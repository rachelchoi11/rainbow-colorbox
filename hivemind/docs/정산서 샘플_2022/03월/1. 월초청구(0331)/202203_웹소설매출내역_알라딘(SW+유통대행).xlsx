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9300" tabRatio="880"/>
  </bookViews>
  <sheets>
    <sheet name="월별합계(2)" sheetId="94" r:id="rId1"/>
    <sheet name="스토리위즈" sheetId="95" r:id="rId2"/>
    <sheet name="밀리오리지널" sheetId="96" r:id="rId3"/>
    <sheet name="에필로그" sheetId="97" r:id="rId4"/>
    <sheet name="더컴퍼니" sheetId="98" r:id="rId5"/>
  </sheets>
  <definedNames>
    <definedName name="_xlnm._FilterDatabase" localSheetId="0" hidden="1">'월별합계(2)'!$A$1:$IT$1</definedName>
    <definedName name="_xlnm.Extract" localSheetId="4">더컴퍼니!$A$1:$IT$1</definedName>
    <definedName name="_xlnm.Extract" localSheetId="2">밀리오리지널!$A$1:$IT$1</definedName>
    <definedName name="_xlnm.Extract" localSheetId="1">스토리위즈!$A$1:$IT$1</definedName>
    <definedName name="_xlnm.Extract" localSheetId="3">에필로그!$A$1:$IT$1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G1532" i="94" l="1"/>
  <c r="L1531" i="94"/>
  <c r="L1530" i="94"/>
  <c r="L1529" i="94"/>
  <c r="L1528" i="94"/>
  <c r="L1527" i="94"/>
  <c r="L1526" i="94"/>
  <c r="L1525" i="94"/>
  <c r="L1524" i="94"/>
  <c r="L1523" i="94"/>
  <c r="L1522" i="94"/>
  <c r="L1521" i="94"/>
  <c r="L1520" i="94"/>
  <c r="L1519" i="94"/>
  <c r="L1518" i="94"/>
  <c r="L1517" i="94"/>
  <c r="L1516" i="94"/>
  <c r="L1515" i="94"/>
  <c r="L1514" i="94"/>
  <c r="L1513" i="94"/>
  <c r="L1512" i="94"/>
  <c r="L1511" i="94"/>
  <c r="L1510" i="94"/>
  <c r="L1509" i="94"/>
  <c r="L1508" i="94"/>
  <c r="L1507" i="94"/>
  <c r="L1506" i="94"/>
  <c r="L1505" i="94"/>
  <c r="L1504" i="94"/>
  <c r="L1503" i="94"/>
  <c r="L1502" i="94"/>
  <c r="L1501" i="94"/>
  <c r="L1500" i="94"/>
  <c r="L1499" i="94"/>
  <c r="L1498" i="94"/>
  <c r="L1497" i="94"/>
  <c r="L1496" i="94"/>
  <c r="L1495" i="94"/>
  <c r="L1494" i="94"/>
  <c r="L1493" i="94"/>
  <c r="L1492" i="94"/>
  <c r="L1491" i="94"/>
  <c r="L1490" i="94"/>
  <c r="L1489" i="94"/>
  <c r="L1488" i="94"/>
  <c r="L1487" i="94"/>
  <c r="L1486" i="94"/>
  <c r="L1485" i="94"/>
  <c r="L1484" i="94"/>
  <c r="L1483" i="94"/>
  <c r="L1482" i="94"/>
  <c r="L1481" i="94"/>
  <c r="L1480" i="94"/>
  <c r="L1479" i="94"/>
  <c r="L1478" i="94"/>
  <c r="L1477" i="94"/>
  <c r="L1476" i="94"/>
  <c r="L1475" i="94"/>
  <c r="L1474" i="94"/>
  <c r="L1473" i="94"/>
  <c r="L1472" i="94"/>
  <c r="L1471" i="94"/>
  <c r="L1470" i="94"/>
  <c r="L1469" i="94"/>
  <c r="L1468" i="94"/>
  <c r="L1467" i="94"/>
  <c r="L1466" i="94"/>
  <c r="L1465" i="94"/>
  <c r="L1464" i="94"/>
  <c r="L1463" i="94"/>
  <c r="L1462" i="94"/>
  <c r="L1461" i="94"/>
  <c r="L1460" i="94"/>
  <c r="L1459" i="94"/>
  <c r="L1458" i="94"/>
  <c r="L1457" i="94"/>
  <c r="L1456" i="94"/>
  <c r="L1455" i="94"/>
  <c r="L1454" i="94"/>
  <c r="L1453" i="94"/>
  <c r="L1452" i="94"/>
  <c r="L1451" i="94"/>
  <c r="L1450" i="94"/>
  <c r="L1449" i="94"/>
  <c r="L1448" i="94"/>
  <c r="L1447" i="94"/>
  <c r="L1446" i="94"/>
  <c r="L1445" i="94"/>
  <c r="L1444" i="94"/>
  <c r="L1443" i="94"/>
  <c r="L1442" i="94"/>
  <c r="L1441" i="94"/>
  <c r="L1440" i="94"/>
  <c r="L1439" i="94"/>
  <c r="L1438" i="94"/>
  <c r="L1437" i="94"/>
  <c r="L1436" i="94"/>
  <c r="L1435" i="94"/>
  <c r="L1434" i="94"/>
  <c r="L1433" i="94"/>
  <c r="L1432" i="94"/>
  <c r="L1431" i="94"/>
  <c r="L1430" i="94"/>
  <c r="L1429" i="94"/>
  <c r="L1428" i="94"/>
  <c r="L1427" i="94"/>
  <c r="L1426" i="94"/>
  <c r="L1425" i="94"/>
  <c r="L1424" i="94"/>
  <c r="L1423" i="94"/>
  <c r="L1422" i="94"/>
  <c r="L1421" i="94"/>
  <c r="L1420" i="94"/>
  <c r="L1419" i="94"/>
  <c r="L1418" i="94"/>
  <c r="L1417" i="94"/>
  <c r="L1416" i="94"/>
  <c r="L1415" i="94"/>
  <c r="L1414" i="94"/>
  <c r="L1413" i="94"/>
  <c r="L1412" i="94"/>
  <c r="L1411" i="94"/>
  <c r="L1410" i="94"/>
  <c r="L1409" i="94"/>
  <c r="L1408" i="94"/>
  <c r="L1407" i="94"/>
  <c r="L1406" i="94"/>
  <c r="L1405" i="94"/>
  <c r="L1404" i="94"/>
  <c r="L1403" i="94"/>
  <c r="L1402" i="94"/>
  <c r="L1401" i="94"/>
  <c r="L1400" i="94"/>
  <c r="L1399" i="94"/>
  <c r="L1398" i="94"/>
  <c r="L1397" i="94"/>
  <c r="L1396" i="94"/>
  <c r="L1395" i="94"/>
  <c r="L1394" i="94"/>
  <c r="L1393" i="94"/>
  <c r="L1392" i="94"/>
  <c r="L1391" i="94"/>
  <c r="L1390" i="94"/>
  <c r="L1389" i="94"/>
  <c r="L1388" i="94"/>
  <c r="L1387" i="94"/>
  <c r="L1386" i="94"/>
  <c r="L1385" i="94"/>
  <c r="L1384" i="94"/>
  <c r="L1383" i="94"/>
  <c r="L1382" i="94"/>
  <c r="L1381" i="94"/>
  <c r="L1380" i="94"/>
  <c r="L1379" i="94"/>
  <c r="L1378" i="94"/>
  <c r="L1377" i="94"/>
  <c r="L1376" i="94"/>
  <c r="L1375" i="94"/>
  <c r="L1374" i="94"/>
  <c r="L1373" i="94"/>
  <c r="L1372" i="94"/>
  <c r="L1371" i="94"/>
  <c r="L1370" i="94"/>
  <c r="L1369" i="94"/>
  <c r="L1368" i="94"/>
  <c r="L1367" i="94"/>
  <c r="L1366" i="94"/>
  <c r="L1365" i="94"/>
  <c r="L1364" i="94"/>
  <c r="L1363" i="94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  <c r="G188" i="95" l="1"/>
  <c r="G805" i="96"/>
  <c r="G78" i="97"/>
  <c r="G93" i="98"/>
</calcChain>
</file>

<file path=xl/sharedStrings.xml><?xml version="1.0" encoding="utf-8"?>
<sst xmlns="http://schemas.openxmlformats.org/spreadsheetml/2006/main" count="14646" uniqueCount="750">
  <si>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</si>
  <si>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</si>
  <si>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</si>
  <si>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</si>
  <si>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</si>
  <si>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</si>
  <si>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</si>
  <si>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</si>
  <si>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</si>
  <si>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</si>
  <si>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</si>
  <si>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</si>
  <si>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</si>
  <si>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</si>
  <si>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</si>
  <si>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루이세</t>
  </si>
  <si>
    <t>전혁</t>
  </si>
  <si>
    <t>[BL] 자비를 베푸소서(Miserere Nobis) 1</t>
  </si>
  <si>
    <t>SISSI</t>
  </si>
  <si>
    <t>온서</t>
  </si>
  <si>
    <t>에필로그</t>
  </si>
  <si>
    <t>협행마</t>
  </si>
  <si>
    <t>임신부터 할까요? 1</t>
  </si>
  <si>
    <t>권용찬</t>
  </si>
  <si>
    <t>트루베니아 연대기 12권 (완결)</t>
  </si>
  <si>
    <t>간신이 나라를 살림 01</t>
  </si>
  <si>
    <t>트루베니아 연대기 09권</t>
  </si>
  <si>
    <t>이린비</t>
  </si>
  <si>
    <t>백범(白帆)</t>
  </si>
  <si>
    <t>여왕 아델 2</t>
  </si>
  <si>
    <t>소드 엠페러 01권</t>
  </si>
  <si>
    <t>여왕 아델 3</t>
  </si>
  <si>
    <t>최영진(청빙)</t>
  </si>
  <si>
    <t>연유</t>
  </si>
  <si>
    <t>사틴</t>
  </si>
  <si>
    <t>한슬</t>
  </si>
  <si>
    <t>여왕 아델 4 (완결)</t>
  </si>
  <si>
    <t>[BL] 익스클루시브(Exclusive) 1</t>
  </si>
  <si>
    <t>최종 보스 : 빛을 향해 달리는 그림자 1부 01</t>
  </si>
  <si>
    <t>최종 보스 : 빛을 향해 달리는 그림자 1부 07</t>
  </si>
  <si>
    <t>최종 보스 : 빛을 향해 달리는 그림자 1부 02</t>
  </si>
  <si>
    <t>9791137601024</t>
  </si>
  <si>
    <t>[BL] 너드 공략집 3 (완결)</t>
  </si>
  <si>
    <t>이다겸</t>
  </si>
  <si>
    <t>남궁세가 건달공자 01</t>
  </si>
  <si>
    <t>9791137601017</t>
  </si>
  <si>
    <t>9791137601079</t>
  </si>
  <si>
    <t>9791190937146</t>
  </si>
  <si>
    <t>9791137600423</t>
  </si>
  <si>
    <t>9791166482472</t>
  </si>
  <si>
    <t>9791166481703</t>
  </si>
  <si>
    <t>9791159283901</t>
  </si>
  <si>
    <t>9791159283628</t>
  </si>
  <si>
    <t>9791159283871</t>
  </si>
  <si>
    <t>9791159286803</t>
  </si>
  <si>
    <t>9791159286797</t>
  </si>
  <si>
    <t>9791166481086</t>
  </si>
  <si>
    <t>9791164481552</t>
  </si>
  <si>
    <t>9791159286780</t>
  </si>
  <si>
    <t>ISBN</t>
  </si>
  <si>
    <t>원주문일시</t>
  </si>
  <si>
    <t>정산처명</t>
  </si>
  <si>
    <t>[BL] 하루하루 2 (완결)</t>
  </si>
  <si>
    <t>그라운드의 지배자 01</t>
  </si>
  <si>
    <t>9791166482632</t>
  </si>
  <si>
    <t>한례</t>
  </si>
  <si>
    <t>직하인</t>
  </si>
  <si>
    <t>키도</t>
  </si>
  <si>
    <t>정감</t>
  </si>
  <si>
    <t>여왕 아델 1</t>
  </si>
  <si>
    <t>데이몬 1권</t>
  </si>
  <si>
    <t>자모검 01</t>
  </si>
  <si>
    <t>철중쟁쟁 1</t>
  </si>
  <si>
    <t>[BL] 하루하루 1</t>
  </si>
  <si>
    <t>이 맛에 회장한다 1</t>
  </si>
  <si>
    <t>[BL] 익스클루시브(Exclusive) 2 (완결)</t>
  </si>
  <si>
    <t>소드 엠페러 08권</t>
  </si>
  <si>
    <t>블레이드 헌터 01권</t>
  </si>
  <si>
    <t>악당의 리턴 01</t>
  </si>
  <si>
    <t>고검환정록 01</t>
  </si>
  <si>
    <t>다크메이지 01권</t>
  </si>
  <si>
    <t>고검환정록 02</t>
  </si>
  <si>
    <t>다크메이지 02권</t>
  </si>
  <si>
    <t>바람피우지 마세요</t>
  </si>
  <si>
    <t>9791166004070</t>
  </si>
  <si>
    <t>9791159283314</t>
  </si>
  <si>
    <t>9791159283468</t>
  </si>
  <si>
    <t>9791159283321</t>
  </si>
  <si>
    <t>9791159282270</t>
  </si>
  <si>
    <t>9791166481710</t>
  </si>
  <si>
    <t>9791166482557</t>
  </si>
  <si>
    <t>9791166482564</t>
  </si>
  <si>
    <t>9791164486069</t>
  </si>
  <si>
    <t>9791159286773</t>
  </si>
  <si>
    <t>9791159283697</t>
  </si>
  <si>
    <t>9791159283529</t>
  </si>
  <si>
    <t>9791164482856</t>
  </si>
  <si>
    <t>9791166004063</t>
  </si>
  <si>
    <t>9791166004513</t>
  </si>
  <si>
    <t>9788928080403</t>
  </si>
  <si>
    <t>[BL] 자비를 베푸소서(Miserere Nobis) 2 (완결)</t>
  </si>
  <si>
    <t>9791159283864</t>
  </si>
  <si>
    <t>9791159283888</t>
  </si>
  <si>
    <t>9791159283895</t>
  </si>
  <si>
    <t>간신이 나라를 살림 02</t>
  </si>
  <si>
    <t>9791159283970</t>
  </si>
  <si>
    <t>9791159283956</t>
  </si>
  <si>
    <t>9791159283925</t>
  </si>
  <si>
    <t>9791159283994</t>
  </si>
  <si>
    <t>9791159284724</t>
  </si>
  <si>
    <t>9791159283963</t>
  </si>
  <si>
    <t>9791159283949</t>
  </si>
  <si>
    <t>9791159283826</t>
  </si>
  <si>
    <t>9791159283833</t>
  </si>
  <si>
    <t>9791159283987</t>
  </si>
  <si>
    <t>9791159283932</t>
  </si>
  <si>
    <t>간신이 나라를 살림 05</t>
  </si>
  <si>
    <t>9791166482649</t>
  </si>
  <si>
    <t>9791166482656</t>
  </si>
  <si>
    <t>9791159283819</t>
  </si>
  <si>
    <t>9791159283840</t>
  </si>
  <si>
    <t>9791159283857</t>
  </si>
  <si>
    <t>9791166004155</t>
  </si>
  <si>
    <t>9791164480166</t>
  </si>
  <si>
    <t>9791166004100</t>
  </si>
  <si>
    <t>9791166000201</t>
  </si>
  <si>
    <t>9791166482670</t>
  </si>
  <si>
    <t>9791166004186</t>
  </si>
  <si>
    <t>9791166004131</t>
  </si>
  <si>
    <t>9791166004087</t>
  </si>
  <si>
    <t>9791166004193</t>
  </si>
  <si>
    <t>9791166004117</t>
  </si>
  <si>
    <t>9791166004124</t>
  </si>
  <si>
    <t>9791166004148</t>
  </si>
  <si>
    <t>9791159283345</t>
  </si>
  <si>
    <t>9791159283338</t>
  </si>
  <si>
    <t>9791166482663</t>
  </si>
  <si>
    <t>9791196945268</t>
  </si>
  <si>
    <t>9791166482724</t>
  </si>
  <si>
    <t>9791166482212</t>
  </si>
  <si>
    <t>9791166066740</t>
  </si>
  <si>
    <t>9791191562002</t>
  </si>
  <si>
    <t>9791159289811</t>
  </si>
  <si>
    <t>9791166482199</t>
  </si>
  <si>
    <t>9791196945251</t>
  </si>
  <si>
    <t>9791166005923</t>
  </si>
  <si>
    <t>9791196945282</t>
  </si>
  <si>
    <t>9791191562026</t>
  </si>
  <si>
    <t>9791166005077</t>
  </si>
  <si>
    <t>9791166481093</t>
  </si>
  <si>
    <t>9791191562033</t>
  </si>
  <si>
    <t>9791166065286</t>
  </si>
  <si>
    <t>9791196945299</t>
  </si>
  <si>
    <t>사상 최강의 뉴비! 01</t>
  </si>
  <si>
    <t>[BL] 주먹 구십구 3</t>
  </si>
  <si>
    <t>[BL] 거울 호흡 1</t>
  </si>
  <si>
    <t>[BL] 주먹 구십구 4</t>
  </si>
  <si>
    <t>다혜람</t>
  </si>
  <si>
    <t>정경하</t>
  </si>
  <si>
    <t>송여희</t>
  </si>
  <si>
    <t>파란영</t>
  </si>
  <si>
    <t>찬동</t>
  </si>
  <si>
    <t>마뇽</t>
  </si>
  <si>
    <t>여도흔</t>
  </si>
  <si>
    <t>하이지</t>
  </si>
  <si>
    <t>정희웅</t>
  </si>
  <si>
    <t>박지영</t>
  </si>
  <si>
    <t>우유양</t>
  </si>
  <si>
    <t>예로나</t>
  </si>
  <si>
    <t>춈춈</t>
  </si>
  <si>
    <t>녹치</t>
  </si>
  <si>
    <t>[BL] 그 가이드에 대하여 1</t>
  </si>
  <si>
    <t>[BL] 거울 호흡 3 (완결)</t>
  </si>
  <si>
    <t>모닝콜(Morning Call)</t>
  </si>
  <si>
    <t>기사가문 망나니는 10클래스 1</t>
  </si>
  <si>
    <t>[BL] 주먹 구십구 5 (완결)</t>
  </si>
  <si>
    <t>호랑이 신을 길들여 버렸다 1</t>
  </si>
  <si>
    <t>9791195622566</t>
  </si>
  <si>
    <t>9791164897629</t>
  </si>
  <si>
    <t>9791195622580</t>
  </si>
  <si>
    <t>9791195622597</t>
  </si>
  <si>
    <t>9791190937153</t>
  </si>
  <si>
    <t>9791195622573</t>
  </si>
  <si>
    <t>9791186864005</t>
  </si>
  <si>
    <t>9791166068737</t>
  </si>
  <si>
    <t>트루베니아 연대기 03권</t>
  </si>
  <si>
    <t>[BL] 주먹 구십구 2</t>
  </si>
  <si>
    <t>[BL] 주먹 구십구 1</t>
  </si>
  <si>
    <t>트루베니아 연대기 07권</t>
  </si>
  <si>
    <t>트루베니아 연대기 06권</t>
  </si>
  <si>
    <t>트루베니아 연대기 08권</t>
  </si>
  <si>
    <t>트루베니아 연대기 10권</t>
  </si>
  <si>
    <t>트루베니아 연대기 04권</t>
  </si>
  <si>
    <t>트루베니아 연대기 11권</t>
  </si>
  <si>
    <t>트루베니아 연대기 05권</t>
  </si>
  <si>
    <t>9791196945275</t>
  </si>
  <si>
    <t>9791166004179</t>
  </si>
  <si>
    <t>9791166004209</t>
  </si>
  <si>
    <t>9791166482687</t>
  </si>
  <si>
    <t>9791166064388</t>
  </si>
  <si>
    <t>9791166004285</t>
  </si>
  <si>
    <t>9791166004315</t>
  </si>
  <si>
    <t>9791137601932</t>
  </si>
  <si>
    <t>9791166004247</t>
  </si>
  <si>
    <t>9791166004254</t>
  </si>
  <si>
    <t>9791166004346</t>
  </si>
  <si>
    <t>9791191562019</t>
  </si>
  <si>
    <t>9791166004216</t>
  </si>
  <si>
    <t>9791166004322</t>
  </si>
  <si>
    <t>9791166004278</t>
  </si>
  <si>
    <t>9791166004230</t>
  </si>
  <si>
    <t>9791166004292</t>
  </si>
  <si>
    <t>9791166004308</t>
  </si>
  <si>
    <t>9791166004339</t>
  </si>
  <si>
    <t>9791164480142</t>
  </si>
  <si>
    <t>9791159283352</t>
  </si>
  <si>
    <t>9791166065293</t>
  </si>
  <si>
    <t>9791190937184</t>
  </si>
  <si>
    <t>세이브 미(Save Me)</t>
  </si>
  <si>
    <t>법보다 주먹 (개정판) 01</t>
  </si>
  <si>
    <t>설국연가</t>
  </si>
  <si>
    <t>라벤더블루</t>
  </si>
  <si>
    <t>분홍의 작약</t>
  </si>
  <si>
    <t>호랑헌화가</t>
  </si>
  <si>
    <t>화산지애 7권</t>
  </si>
  <si>
    <t>비공개 열애</t>
  </si>
  <si>
    <t>화산지애 8권</t>
  </si>
  <si>
    <t>헌터 킹 1</t>
  </si>
  <si>
    <t>화산지애 4권</t>
  </si>
  <si>
    <t>부엉이콩</t>
  </si>
  <si>
    <t>화산지애 5권</t>
  </si>
  <si>
    <t>화산지애 6권</t>
  </si>
  <si>
    <t>황궁애사 1권</t>
  </si>
  <si>
    <t>마연(연필깎이)</t>
  </si>
  <si>
    <t>마왕 데이몬 01권</t>
  </si>
  <si>
    <t>하프 블러드 04권</t>
  </si>
  <si>
    <t>하프 블러드 05권</t>
  </si>
  <si>
    <t>하프 블러드 06권</t>
  </si>
  <si>
    <t>하프 블러드 02권</t>
  </si>
  <si>
    <t>하프 블러드 03권</t>
  </si>
  <si>
    <t>하프 블러드 07권</t>
  </si>
  <si>
    <t>하프 블러드 08권</t>
  </si>
  <si>
    <t>하프 블러드 09권</t>
  </si>
  <si>
    <t>다크메이지 03권</t>
  </si>
  <si>
    <t>다크메이지 04권</t>
  </si>
  <si>
    <t>붉은 정자-살라댕</t>
  </si>
  <si>
    <t>형사의 게임 01</t>
  </si>
  <si>
    <t>소드마스터의 환생 1</t>
  </si>
  <si>
    <t>너만 보면 두근두근</t>
  </si>
  <si>
    <t>[세트] 흑막의 신 (총10권/완결)</t>
  </si>
  <si>
    <t>게임 속 유닛 02</t>
  </si>
  <si>
    <t>티끌모아 대박 01</t>
  </si>
  <si>
    <t>고검환정록 12</t>
  </si>
  <si>
    <t>고검환정록 05</t>
  </si>
  <si>
    <t>고검환정록 07</t>
  </si>
  <si>
    <t>고검환정록 03</t>
  </si>
  <si>
    <t>고검환정록 08</t>
  </si>
  <si>
    <t>고검환정록 10</t>
  </si>
  <si>
    <t>고검환정록 09</t>
  </si>
  <si>
    <t>고검환정록 14</t>
  </si>
  <si>
    <t>고검환정록 13</t>
  </si>
  <si>
    <t>고검환정록 06</t>
  </si>
  <si>
    <t>고검환정록 11</t>
  </si>
  <si>
    <t>고검환정록 18</t>
  </si>
  <si>
    <t>고검환정록 22</t>
  </si>
  <si>
    <t>고검환정록 17</t>
  </si>
  <si>
    <t>고검환정록 23</t>
  </si>
  <si>
    <t>고검환정록 20</t>
  </si>
  <si>
    <t>고검환정록 15</t>
  </si>
  <si>
    <t>고검환정록 16</t>
  </si>
  <si>
    <t>고검환정록 24</t>
  </si>
  <si>
    <t>고검환정록 19</t>
  </si>
  <si>
    <t>고검환정록 21</t>
  </si>
  <si>
    <t>고검환정록 26</t>
  </si>
  <si>
    <t>고검환정록 25</t>
  </si>
  <si>
    <t>낯선 밤에 마주친</t>
  </si>
  <si>
    <t>게임 속 유닛 03</t>
  </si>
  <si>
    <t>다크메이지 05권</t>
  </si>
  <si>
    <t>[세트] 소드 엠페러 (총17권/완결)</t>
  </si>
  <si>
    <t>소드 엠페러 16권</t>
  </si>
  <si>
    <t>순백의 아가씨 1권</t>
  </si>
  <si>
    <t>순백의 아가씨 2권</t>
  </si>
  <si>
    <t>[BL] 여우비가 내리던 날 (외전)</t>
  </si>
  <si>
    <t>[세트] 소드마스터의 환생 (총9권/완결)</t>
  </si>
  <si>
    <t>[BL] 귀수 : 나비가 머문 별 (외전)</t>
  </si>
  <si>
    <t>[BL] 귀수 : 나비가 머문 별 1</t>
  </si>
  <si>
    <t>회귀의 전설 1부 21 (1부 완결)</t>
  </si>
  <si>
    <t>[BL] 그 가이드에 대하여 4 (완결)</t>
  </si>
  <si>
    <t>[BL] 피할 수 없으면 즐겨라 1권</t>
  </si>
  <si>
    <t>[BL] 아스트로(ASTRO): 별 1</t>
  </si>
  <si>
    <t>[BL] 금의 해, 새의 눈 3 (완결)</t>
  </si>
  <si>
    <t>[BL] 택스 프리(TAX FREE) 1</t>
  </si>
  <si>
    <t>삼국지 호접몽전 3부 01</t>
  </si>
  <si>
    <t>삼국지 호접몽전 1부 10</t>
  </si>
  <si>
    <t>[BL] 육식주의자 1</t>
  </si>
  <si>
    <t>황궁애사 2권 (완결)</t>
  </si>
  <si>
    <t>[BL] 그을린 신기루</t>
  </si>
  <si>
    <t>다크메이지 15권 (완결)</t>
  </si>
  <si>
    <t>[BL] 너드 공략집 1</t>
  </si>
  <si>
    <t>고검환정록 42 (완결)</t>
  </si>
  <si>
    <t>[BL] 칼의 기억 1</t>
  </si>
  <si>
    <t>9791159283727</t>
  </si>
  <si>
    <t>9791159283734</t>
  </si>
  <si>
    <t>9791137600799</t>
  </si>
  <si>
    <t>9791137600782</t>
  </si>
  <si>
    <t>9791137600751</t>
  </si>
  <si>
    <t>9791137600775</t>
  </si>
  <si>
    <t>9791137600768</t>
  </si>
  <si>
    <t>9791186864012</t>
  </si>
  <si>
    <t>9791166068706</t>
  </si>
  <si>
    <t>9791159283741</t>
  </si>
  <si>
    <t>9791159283765</t>
  </si>
  <si>
    <t>9791159282836</t>
  </si>
  <si>
    <t>9791159282843</t>
  </si>
  <si>
    <t>9791159283758</t>
  </si>
  <si>
    <t>9791170150077</t>
  </si>
  <si>
    <t>9791170150022</t>
  </si>
  <si>
    <t>9791170150053</t>
  </si>
  <si>
    <t>9791170150060</t>
  </si>
  <si>
    <t>9791159282850</t>
  </si>
  <si>
    <t>9791170150046</t>
  </si>
  <si>
    <t>9791170150039</t>
  </si>
  <si>
    <t>9791159283789</t>
  </si>
  <si>
    <t>9791166481352</t>
  </si>
  <si>
    <t>9791166481932</t>
  </si>
  <si>
    <t>9791159283772</t>
  </si>
  <si>
    <t>9791159289972</t>
  </si>
  <si>
    <t>9791159289989</t>
  </si>
  <si>
    <t>9791159289958</t>
  </si>
  <si>
    <t>9791159282867</t>
  </si>
  <si>
    <t>9791159282874</t>
  </si>
  <si>
    <t>9791159289965</t>
  </si>
  <si>
    <t>9791190937160</t>
  </si>
  <si>
    <t>9791195622535</t>
  </si>
  <si>
    <t>9791137600850</t>
  </si>
  <si>
    <t>9791190937177</t>
  </si>
  <si>
    <t>9791195622559</t>
  </si>
  <si>
    <t>9791195622542</t>
  </si>
  <si>
    <t>9791190937207</t>
  </si>
  <si>
    <t>회귀의 전설 1부 20</t>
  </si>
  <si>
    <t>9791166482762</t>
  </si>
  <si>
    <t>9791190937191</t>
  </si>
  <si>
    <t>9791166482779</t>
  </si>
  <si>
    <t>9791166482786</t>
  </si>
  <si>
    <t>9791191562071</t>
  </si>
  <si>
    <t>9791137601031</t>
  </si>
  <si>
    <t>[BL] 너드 공략집 2</t>
  </si>
  <si>
    <t>9791190132381</t>
  </si>
  <si>
    <t>9791137601130</t>
  </si>
  <si>
    <t>9791137601116</t>
  </si>
  <si>
    <t>9791190937214</t>
  </si>
  <si>
    <t>9791137601161</t>
  </si>
  <si>
    <t>9791137601154</t>
  </si>
  <si>
    <t>9791137601178</t>
  </si>
  <si>
    <t>9791188630165</t>
  </si>
  <si>
    <t>9791137601109</t>
  </si>
  <si>
    <t>9791137601123</t>
  </si>
  <si>
    <t>9791166000409</t>
  </si>
  <si>
    <t>9791137601147</t>
  </si>
  <si>
    <t>9791159282881</t>
  </si>
  <si>
    <t>9791166069024</t>
  </si>
  <si>
    <t>9791190937238</t>
  </si>
  <si>
    <t>9791137601062</t>
  </si>
  <si>
    <t>9791137601048</t>
  </si>
  <si>
    <t>9791137601055</t>
  </si>
  <si>
    <t>9791137601086</t>
  </si>
  <si>
    <t>9791137601093</t>
  </si>
  <si>
    <t>9791190937221</t>
  </si>
  <si>
    <t>9791164480173</t>
  </si>
  <si>
    <t>9791166481871</t>
  </si>
  <si>
    <t>9791159282898</t>
  </si>
  <si>
    <t>9791191562057</t>
  </si>
  <si>
    <t>9791186864210</t>
  </si>
  <si>
    <t>9791166066016</t>
  </si>
  <si>
    <t>9791137601888</t>
  </si>
  <si>
    <t>9791164480180</t>
  </si>
  <si>
    <t>9791166065866</t>
  </si>
  <si>
    <t>9791166482755</t>
  </si>
  <si>
    <t>9791191562064</t>
  </si>
  <si>
    <t>9791164899951</t>
  </si>
  <si>
    <t>9791166004360</t>
  </si>
  <si>
    <t>9791166004377</t>
  </si>
  <si>
    <t>9791159283369</t>
  </si>
  <si>
    <t>9788928091126</t>
  </si>
  <si>
    <t>9791159283376</t>
  </si>
  <si>
    <t>9791159283383</t>
  </si>
  <si>
    <t>9791166004353</t>
  </si>
  <si>
    <t>9791166004391</t>
  </si>
  <si>
    <t>9791166004384</t>
  </si>
  <si>
    <t>9791166004407</t>
  </si>
  <si>
    <t>9791166482731</t>
  </si>
  <si>
    <t>9791166482748</t>
  </si>
  <si>
    <t>9791166481888</t>
  </si>
  <si>
    <t>9791166004414</t>
  </si>
  <si>
    <t>9791166004421</t>
  </si>
  <si>
    <t>9791166004445</t>
  </si>
  <si>
    <t>9791166004438</t>
  </si>
  <si>
    <t>9791191562101</t>
  </si>
  <si>
    <t>9791166004469</t>
  </si>
  <si>
    <t>9791159283444</t>
  </si>
  <si>
    <t>9791159283437</t>
  </si>
  <si>
    <t>9791159283390</t>
  </si>
  <si>
    <t>9791159283413</t>
  </si>
  <si>
    <t>9791159283420</t>
  </si>
  <si>
    <t>9791166482939</t>
  </si>
  <si>
    <t>9791166482458</t>
  </si>
  <si>
    <t>9791159283451</t>
  </si>
  <si>
    <t>9791166004452</t>
  </si>
  <si>
    <t>9791164891771</t>
  </si>
  <si>
    <t>9791164892457</t>
  </si>
  <si>
    <t>9788928091348</t>
  </si>
  <si>
    <t>9791191562088</t>
  </si>
  <si>
    <t>9791164897650</t>
  </si>
  <si>
    <t>9791188630103</t>
  </si>
  <si>
    <t>9791164897636</t>
  </si>
  <si>
    <t>9791159283406</t>
  </si>
  <si>
    <t>9791166004506</t>
  </si>
  <si>
    <t>9791191562095</t>
  </si>
  <si>
    <t>9791166004476</t>
  </si>
  <si>
    <t>9791165311759</t>
  </si>
  <si>
    <t>9791137600430</t>
  </si>
  <si>
    <t>9791166004490</t>
  </si>
  <si>
    <t>9791166481369</t>
  </si>
  <si>
    <t>9791166004483</t>
  </si>
  <si>
    <t>9791166005961</t>
  </si>
  <si>
    <t>9791164482351</t>
  </si>
  <si>
    <t>9791137600546</t>
  </si>
  <si>
    <t>9791166481376</t>
  </si>
  <si>
    <t>9791165311926</t>
  </si>
  <si>
    <t>9791137601963</t>
  </si>
  <si>
    <t>9791191562040</t>
  </si>
  <si>
    <t>9791166300295</t>
  </si>
  <si>
    <t>9791137601956</t>
  </si>
  <si>
    <t>9791166481123</t>
  </si>
  <si>
    <t>9791166481116</t>
  </si>
  <si>
    <t>9791166481277</t>
  </si>
  <si>
    <t>9791166482465</t>
  </si>
  <si>
    <t>9788958317388</t>
  </si>
  <si>
    <t>9791166069000</t>
  </si>
  <si>
    <t>9791166481727</t>
  </si>
  <si>
    <t>9791166068881</t>
  </si>
  <si>
    <t>9791166300301</t>
  </si>
  <si>
    <t>9791164899302</t>
  </si>
  <si>
    <t>9791164899333</t>
  </si>
  <si>
    <t>9791137601949</t>
  </si>
  <si>
    <t>9791137601970</t>
  </si>
  <si>
    <t>독고진</t>
  </si>
  <si>
    <t>김매콤</t>
  </si>
  <si>
    <t>박샛별</t>
  </si>
  <si>
    <t>김지언</t>
  </si>
  <si>
    <t>김혜연</t>
  </si>
  <si>
    <t>새벽달</t>
  </si>
  <si>
    <t>이진희</t>
  </si>
  <si>
    <t>꿀레</t>
  </si>
  <si>
    <t>차크</t>
  </si>
  <si>
    <t>서풍</t>
  </si>
  <si>
    <t>이동열</t>
  </si>
  <si>
    <t>이정숙</t>
  </si>
  <si>
    <t>무성매직</t>
  </si>
  <si>
    <t>신궁전설 01</t>
  </si>
  <si>
    <t>밀리오리지널</t>
  </si>
  <si>
    <t>신궁전설 04</t>
  </si>
  <si>
    <t>만렙도끼</t>
  </si>
  <si>
    <t>마신부활 1</t>
  </si>
  <si>
    <t>신궁전설 02</t>
  </si>
  <si>
    <t>신궁전설 05</t>
  </si>
  <si>
    <t>만나러 갈게</t>
  </si>
  <si>
    <t>무림병장 1</t>
  </si>
  <si>
    <t>화산지애 3권</t>
  </si>
  <si>
    <t>헌터 킹 3</t>
  </si>
  <si>
    <t>화산지애 1권</t>
  </si>
  <si>
    <t>헌터 킹 2</t>
  </si>
  <si>
    <t>신궁전설 06</t>
  </si>
  <si>
    <t>화산지애 2권</t>
  </si>
  <si>
    <t>등나무밑소공자</t>
  </si>
  <si>
    <t>신궁전설 03</t>
  </si>
  <si>
    <t>수리 낭군</t>
  </si>
  <si>
    <t>말빨 1</t>
  </si>
  <si>
    <t>연애의 시작</t>
  </si>
  <si>
    <t>향기로운 뿔</t>
  </si>
  <si>
    <t>프리나이트 1</t>
  </si>
  <si>
    <t>이중생활</t>
  </si>
  <si>
    <t>마루&amp;마야</t>
  </si>
  <si>
    <t>[BL] 그 가이드에 대하여 3</t>
  </si>
  <si>
    <t>공작가의 남루한 신부 5 (완결)</t>
  </si>
  <si>
    <t>[BL] 칼의 기억 2 (완결)</t>
  </si>
  <si>
    <t>간신이 나라를 살림 10 (완결)</t>
  </si>
  <si>
    <t>갓 오브 블랙필드 23 (개정판)</t>
  </si>
  <si>
    <t>[세트] 마신부활 (총8권/완결)</t>
  </si>
  <si>
    <t>[BL] 그 가이드에 대하여 2</t>
  </si>
  <si>
    <t>갓 오브 블랙필드 01 (개정판)</t>
  </si>
  <si>
    <t>임신부터 할까요? 2 (완결)</t>
  </si>
  <si>
    <t>[BL] 금의 해, 새의 눈 2</t>
  </si>
  <si>
    <t>[BL] 금의 해, 새의 눈 1</t>
  </si>
  <si>
    <t>[세트] 헌터 킹 (총8권/완결)</t>
  </si>
  <si>
    <t>[세트] 무림병장 (총8권/완결)</t>
  </si>
  <si>
    <t>[세트] 말빨 (총9권/완결)</t>
  </si>
  <si>
    <t>호랑이 신을 길들여 버렸다 3</t>
  </si>
  <si>
    <t>[BL] 여우비가 내리던 날 1</t>
  </si>
  <si>
    <t>호랑이 신을 길들여 버렸다 2</t>
  </si>
  <si>
    <t>호랑이 신을 길들여 버렸다 4</t>
  </si>
  <si>
    <t>[세트] 검산도해 (총7권/완결)</t>
  </si>
  <si>
    <t>호랑이 신을 길들여 버렸다 5</t>
  </si>
  <si>
    <t>[세트] 마왕 데이몬 (총12권/완결)</t>
  </si>
  <si>
    <t>[BL] 까마귀밥여름나무숲 3 (완결)</t>
  </si>
  <si>
    <t>소드 엠페러 13권</t>
  </si>
  <si>
    <t>소드 엠페러 14권</t>
  </si>
  <si>
    <t>소드 엠페러 15권</t>
  </si>
  <si>
    <t>소드 엠페러 11권</t>
  </si>
  <si>
    <t>소드 엠페러 12권</t>
  </si>
  <si>
    <t>공작가의 남루한 신부 2</t>
  </si>
  <si>
    <t>공작가의 남루한 신부 3</t>
  </si>
  <si>
    <t>공작가의 남루한 신부 4</t>
  </si>
  <si>
    <t>공작가의 남루한 신부 1</t>
  </si>
  <si>
    <t>스트라이커 (완전판) 01</t>
  </si>
  <si>
    <t>화산지애 9권 (완결)</t>
  </si>
  <si>
    <t>스트라이커 (완전판) 02</t>
  </si>
  <si>
    <t>스트라이커 (완전판) 03</t>
  </si>
  <si>
    <t>소드 엠페러 17권 (완결)</t>
  </si>
  <si>
    <t>스트라이커 (완전판) 04</t>
  </si>
  <si>
    <t>선배님, 흔들어 주세요</t>
  </si>
  <si>
    <t>순백의 아가씨 (외전)</t>
  </si>
  <si>
    <t>순백의 아가씨 3권 (완결)</t>
  </si>
  <si>
    <t>스트라이커 (완전판) 05</t>
  </si>
  <si>
    <t>간신이 나라를 살림 03</t>
  </si>
  <si>
    <t>스트라이커 (완전판) 07</t>
  </si>
  <si>
    <t>간신이 나라를 살림 04</t>
  </si>
  <si>
    <t>간신이 나라를 살림 06</t>
  </si>
  <si>
    <t>간신이 나라를 살림 07</t>
  </si>
  <si>
    <t>간신이 나라를 살림 09</t>
  </si>
  <si>
    <t>간신이 나라를 살림 08</t>
  </si>
  <si>
    <t>스트라이커 (완전판) 06</t>
  </si>
  <si>
    <t>최종 보스 : 빛을 향해 달리는 그림자 1부 17 (1부 완결)</t>
  </si>
  <si>
    <t>[BL] 자비를 베푸소서(Miserere Nobis) (외전)</t>
  </si>
  <si>
    <t>[세트] 기사가문 망나니는 10클래스 (총8권/완결)</t>
  </si>
  <si>
    <t>[BL] 택스 프리(TAX FREE) 2 (완결)</t>
  </si>
  <si>
    <t>최종 보스 : 빛을 향해 달리는 그림자 1부 05</t>
  </si>
  <si>
    <t>최종 보스 : 빛을 향해 달리는 그림자 1부 04</t>
  </si>
  <si>
    <t>최종 보스 : 빛을 향해 달리는 그림자 1부 03</t>
  </si>
  <si>
    <t>최종 보스 : 빛을 향해 달리는 그림자 1부 06</t>
  </si>
  <si>
    <t>최종 보스 : 빛을 향해 달리는 그림자 1부 09</t>
  </si>
  <si>
    <t>최종 보스 : 빛을 향해 달리는 그림자 1부 08</t>
  </si>
  <si>
    <t>최종 보스 : 빛을 향해 달리는 그림자 1부 10</t>
  </si>
  <si>
    <t>최종 보스 : 빛을 향해 달리는 그림자 1부 11</t>
  </si>
  <si>
    <t>최종 보스 : 빛을 향해 달리는 그림자 1부 13</t>
  </si>
  <si>
    <t>최종 보스 : 빛을 향해 달리는 그림자 1부 12</t>
  </si>
  <si>
    <t>최종 보스 : 빛을 향해 달리는 그림자 1부 16</t>
  </si>
  <si>
    <t>최종 보스 : 빛을 향해 달리는 그림자 1부 15</t>
  </si>
  <si>
    <t>최종 보스 : 빛을 향해 달리는 그림자 1부 14</t>
  </si>
  <si>
    <t>아는 손, 아는 혀</t>
  </si>
  <si>
    <t>로드 오브 머니 07</t>
  </si>
  <si>
    <t>아나크레온 01</t>
  </si>
  <si>
    <t>하루가(한은경)</t>
  </si>
  <si>
    <t>고검환정록 28</t>
  </si>
  <si>
    <t>고검환정록 27</t>
  </si>
  <si>
    <t>고검환정록 29</t>
  </si>
  <si>
    <t>다크메이지 06권</t>
  </si>
  <si>
    <t>다크메이지 08권</t>
  </si>
  <si>
    <t>다크메이지 07권</t>
  </si>
  <si>
    <t>고검환정록 31</t>
  </si>
  <si>
    <t>고검환정록 32</t>
  </si>
  <si>
    <t>고검환정록 30</t>
  </si>
  <si>
    <t>다크메이지 09권</t>
  </si>
  <si>
    <t>다크메이지 10권</t>
  </si>
  <si>
    <t>로드 오브 머니 01</t>
  </si>
  <si>
    <t>고검환정록 33</t>
  </si>
  <si>
    <t>황궁애사 (외전)</t>
  </si>
  <si>
    <t>다크메이지 11권</t>
  </si>
  <si>
    <t>고검환정록 34</t>
  </si>
  <si>
    <t>다크메이지 12권</t>
  </si>
  <si>
    <t>다크메이지 13권</t>
  </si>
  <si>
    <t>고검환정록 35</t>
  </si>
  <si>
    <t>고검환정록 36</t>
  </si>
  <si>
    <t>다크메이지 14권</t>
  </si>
  <si>
    <t>고검환정록 37</t>
  </si>
  <si>
    <t>고검환정록 38</t>
  </si>
  <si>
    <t>고검환정록 39</t>
  </si>
  <si>
    <t>고검환정록 40</t>
  </si>
  <si>
    <t>고검환정록 41</t>
  </si>
  <si>
    <t>라스트 서바이버 : 진화로 살아남아라! 01</t>
  </si>
  <si>
    <t>고은 나의 고은</t>
  </si>
  <si>
    <t>[BL] 귀수 : 나비가 머문 별 2 (완결)</t>
  </si>
  <si>
    <t>더컴퍼니</t>
  </si>
  <si>
    <t>무장</t>
    <phoneticPr fontId="18" type="noConversion"/>
  </si>
  <si>
    <t>[BL] 컬러 러쉬 (외전)</t>
  </si>
  <si>
    <t>세상</t>
  </si>
  <si>
    <t>[BL] 낯선 소꿉친구</t>
  </si>
  <si>
    <t>사나림</t>
  </si>
  <si>
    <t>블러쉬</t>
  </si>
  <si>
    <t>마왕 데이몬 02권</t>
  </si>
  <si>
    <t>[세트] 라지에르의 서 (총8권/완결)</t>
  </si>
  <si>
    <t>공든탑</t>
  </si>
  <si>
    <t>계약 비서</t>
  </si>
  <si>
    <t>김원경(WR)</t>
  </si>
  <si>
    <t>마왕 데이몬 03권</t>
  </si>
  <si>
    <t>마왕 데이몬 04권</t>
  </si>
  <si>
    <t>검산도해 1</t>
  </si>
  <si>
    <t>마왕 데이몬 05권</t>
  </si>
  <si>
    <t>형사의 게임 02</t>
  </si>
  <si>
    <t>마왕 데이몬 06권</t>
  </si>
  <si>
    <t>[세트] 갓 오브 블랙필드 (개정판) (총32권/완결)</t>
  </si>
  <si>
    <t>마야마루</t>
  </si>
  <si>
    <t>마왕 데이몬 07권</t>
  </si>
  <si>
    <t>형사의 게임 03</t>
  </si>
  <si>
    <t>이차적 일탈</t>
  </si>
  <si>
    <t>서혜은</t>
  </si>
  <si>
    <t>마왕 데이몬 08권</t>
  </si>
  <si>
    <t>마왕 데이몬 09권</t>
  </si>
  <si>
    <t>마왕 데이몬 10권</t>
  </si>
  <si>
    <t>마왕 데이몬 11권</t>
  </si>
  <si>
    <t>형사의 게임 04</t>
  </si>
  <si>
    <t>소드 엠페러 09권</t>
  </si>
  <si>
    <t>마왕 데이몬 12권 (완결)</t>
  </si>
  <si>
    <t>형사의 게임 05</t>
  </si>
  <si>
    <t>레이드 만물상점 1 (완전판)</t>
  </si>
  <si>
    <t>운상연담 : 화불능귀일락 1</t>
  </si>
  <si>
    <t>피모</t>
  </si>
  <si>
    <t>쉬라즈</t>
  </si>
  <si>
    <t>트루베니아 연대기 01권</t>
  </si>
  <si>
    <t>형사의 게임 06</t>
  </si>
  <si>
    <t>만인지상 1</t>
  </si>
  <si>
    <t>형사의 게임 07</t>
  </si>
  <si>
    <t>던전 공략 LIVE 1</t>
  </si>
  <si>
    <t>형사의 게임 08</t>
  </si>
  <si>
    <t>형사의 게임 09</t>
  </si>
  <si>
    <t>[세트] 트루베니아 연대기 (총12권/완결)</t>
  </si>
  <si>
    <t>트루베니아 연대기 02권</t>
  </si>
  <si>
    <t>동대륙의 낭인무사 01</t>
  </si>
  <si>
    <t>형사의 게임 10</t>
  </si>
  <si>
    <t>게임 속 유닛 01</t>
  </si>
  <si>
    <t>내 하루에 네가 피어나</t>
  </si>
  <si>
    <t>정은숙</t>
  </si>
  <si>
    <t>형사의 게임 11</t>
  </si>
  <si>
    <t>운상연담 : 화불능귀일락 2</t>
  </si>
  <si>
    <t>[세트] 순백의 아가씨 (외전 포함) (총4권/완결)</t>
  </si>
  <si>
    <t>[BL] 달보드레 1</t>
  </si>
  <si>
    <t>시아</t>
  </si>
  <si>
    <t>비엘스토리</t>
  </si>
  <si>
    <t>유성하소월 1</t>
  </si>
  <si>
    <t>형사의 게임 12 (완결)</t>
  </si>
  <si>
    <t>이과생 둘이 회귀했다 01</t>
  </si>
  <si>
    <t>하이후</t>
  </si>
  <si>
    <t>[세트] 이과생 둘이 회귀했다 (총15권/완결)</t>
  </si>
  <si>
    <t>법보다 주먹 (개정판) 02</t>
  </si>
  <si>
    <t>법보다 주먹 (개정판) 03</t>
  </si>
  <si>
    <t>전설이 돼라 01</t>
  </si>
  <si>
    <t>사랑 그리고 그 후</t>
  </si>
  <si>
    <t>최현자</t>
  </si>
  <si>
    <t>[세트] [BL] 컬러 러쉬 (외전 포함) (총4권/완결)</t>
  </si>
  <si>
    <t>갓 오브 블랙필드 04 (개정판)</t>
  </si>
  <si>
    <t>갓 오브 블랙필드 05 (개정판)</t>
  </si>
  <si>
    <t>법보다 주먹 (개정판) 04</t>
  </si>
  <si>
    <t>법보다 주먹 (개정판) 05</t>
  </si>
  <si>
    <t>법보다 주먹 (개정판) 06</t>
  </si>
  <si>
    <t>법보다 주먹 (개정판) 07</t>
  </si>
  <si>
    <t>법보다 주먹 (개정판) 08</t>
  </si>
  <si>
    <t>법보다 주먹 (개정판) 09</t>
  </si>
  <si>
    <t>법보다 주먹 (개정판) 10</t>
  </si>
  <si>
    <t>법보다 주먹 (개정판) 11</t>
  </si>
  <si>
    <t>법보다 주먹 (개정판) 12</t>
  </si>
  <si>
    <t>법보다 주먹 (개정판) 13</t>
  </si>
  <si>
    <t>법보다 주먹 (개정판) 14</t>
  </si>
  <si>
    <t>법보다 주먹 (개정판) 15</t>
  </si>
  <si>
    <t>법보다 주먹 (개정판) 16</t>
  </si>
  <si>
    <t>법보다 주먹 (개정판) 17</t>
  </si>
  <si>
    <t>법보다 주먹 (개정판) 18</t>
  </si>
  <si>
    <t>법보다 주먹 (개정판) 19</t>
  </si>
  <si>
    <t>법보다 주먹 (개정판) 20</t>
  </si>
  <si>
    <t>법보다 주먹 (개정판) 21</t>
  </si>
  <si>
    <t>법보다 주먹 (개정판) 22</t>
  </si>
  <si>
    <t>법보다 주먹 (개정판) 23</t>
  </si>
  <si>
    <t>법보다 주먹 (개정판) 24</t>
  </si>
  <si>
    <t>법보다 주먹 (개정판) 25</t>
  </si>
  <si>
    <t>법보다 주먹 (개정판) 26</t>
  </si>
  <si>
    <t>법보다 주먹 (개정판) 27</t>
  </si>
  <si>
    <t>법보다 주먹 (개정판) 28</t>
  </si>
  <si>
    <t>법보다 주먹 (개정판) 29</t>
  </si>
  <si>
    <t>법보다 주먹 (개정판) 30 (완결)</t>
  </si>
  <si>
    <t>위험한 선배 1</t>
  </si>
  <si>
    <t>sJessi</t>
  </si>
  <si>
    <t>위험한 선배 2 (완결)</t>
  </si>
  <si>
    <t>황궁의 밤</t>
  </si>
  <si>
    <t>현진서</t>
  </si>
  <si>
    <t>낚싯대 하나로 세계최강 1</t>
  </si>
  <si>
    <t>단팥크림빵7</t>
  </si>
  <si>
    <t>도폐풍운록 1</t>
  </si>
  <si>
    <t>선유문주 1</t>
  </si>
  <si>
    <t>[BL] 컬러 러쉬 1</t>
  </si>
  <si>
    <t>[BL] 컬러 러쉬 2</t>
  </si>
  <si>
    <t>[BL] 컬러 러쉬 3 (완결)</t>
  </si>
  <si>
    <t>라스트 스노우폴(Last Snowfall)</t>
  </si>
  <si>
    <t>설연</t>
  </si>
  <si>
    <t>[합본] 황궁애사 (전2권/완결)</t>
  </si>
  <si>
    <t>바스락</t>
  </si>
  <si>
    <t>달로</t>
  </si>
  <si>
    <t>[세트] 도폐풍운록 (총4권/완결)</t>
  </si>
  <si>
    <t>[세트] 선유문주 (총5권/완결)</t>
  </si>
  <si>
    <t>로드 오브 머니 02</t>
  </si>
  <si>
    <t>로드 오브 머니 03</t>
  </si>
  <si>
    <t>로드 오브 머니 04</t>
  </si>
  <si>
    <t>[세트] 낚싯대 하나로 세계최강 (총6권/완결)</t>
  </si>
  <si>
    <t>브레이크 포레스트 1</t>
  </si>
  <si>
    <t>구이</t>
  </si>
  <si>
    <t>브레이크 포레스트 2</t>
  </si>
  <si>
    <t>브레이크 포레스트 3 (완결)</t>
  </si>
  <si>
    <t>[합본] [BL] 하고 싶어 (전2권/완결)</t>
  </si>
  <si>
    <t>[세트] 강호유정 (총6권/완결)</t>
  </si>
  <si>
    <t>[BL] 네가 누구든 (외전)</t>
  </si>
  <si>
    <t>마연</t>
  </si>
  <si>
    <t>갓 오브 블랙필드 02 (개정판)</t>
  </si>
  <si>
    <t>[BL] 나는 내 연인의 것 (외전)</t>
  </si>
  <si>
    <t>[BL] 나는 내 연인의 것 2 (완결)</t>
  </si>
  <si>
    <t>[BL] 나는 내 연인의 것 1</t>
  </si>
  <si>
    <t>은천검제(2부 화산검제) 01</t>
  </si>
  <si>
    <t>로드 오브 머니 05</t>
  </si>
  <si>
    <t>로드 오브 머니 06</t>
  </si>
  <si>
    <t>[BL] 피할 수 없으면 즐겨라 (외전증보)</t>
  </si>
  <si>
    <t>[BL] 신들의 성소 2권 (완결)</t>
  </si>
  <si>
    <t>중년바나나</t>
  </si>
  <si>
    <t>[BL] 신들의 성소 (외전)</t>
  </si>
  <si>
    <t>라지에르의 서 1</t>
  </si>
  <si>
    <t>[BL] 신들의 성소 1권</t>
  </si>
  <si>
    <t>도폐풍운록 2</t>
  </si>
  <si>
    <t>로드 오브 머니 08</t>
  </si>
  <si>
    <t>베로나에서 그를 만나다</t>
  </si>
  <si>
    <t>원성혜</t>
  </si>
  <si>
    <t>로드 오브 머니 09</t>
  </si>
  <si>
    <t>로드 오브 머니 10</t>
  </si>
  <si>
    <t>로드 오브 머니 11</t>
  </si>
  <si>
    <t>로드 오브 머니 12</t>
  </si>
  <si>
    <t>[세트] 회귀의 전설 (총43권/미완결)</t>
  </si>
  <si>
    <t>[세트] 삼국지 호접몽전 (총34권/완결)</t>
  </si>
  <si>
    <t>그 여자의 사정</t>
  </si>
  <si>
    <t>전혜진</t>
  </si>
  <si>
    <t>[BL] 너만 모르는 연애 1</t>
  </si>
  <si>
    <t>카에트</t>
  </si>
  <si>
    <t>고검환정록 04</t>
  </si>
  <si>
    <t>로드 오브 머니 13</t>
  </si>
  <si>
    <t>[BL] 더블 파울(Double Foul) 1</t>
  </si>
  <si>
    <t>나나코</t>
  </si>
  <si>
    <t>로드 오브 머니 14</t>
  </si>
  <si>
    <t>로드 오브 머니 15 (완결)</t>
  </si>
  <si>
    <t>밤의 제물</t>
  </si>
  <si>
    <t>두럭</t>
  </si>
  <si>
    <t>[세트] 다크메이지 (총15권/완결)</t>
  </si>
  <si>
    <t>삶의 끝에서</t>
  </si>
  <si>
    <t>이승희</t>
  </si>
  <si>
    <t>꽃처럼 너를 안는다</t>
  </si>
  <si>
    <t>반지영</t>
  </si>
  <si>
    <t>[BL] 피할 수 없으면 즐겨라(체험판)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</si>
</sst>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11">
    <xf numFmtId="0" fontId="0" fillId="0" borderId="0" xfId="0">
      <alignment vertical="center"/>
    </xf>
    <xf numFmtId="0" fontId="19" fillId="0" borderId="0" xfId="42">
      <alignment vertical="center"/>
    </xf>
    <xf numFmtId="41" fontId="0" fillId="33" borderId="0" xfId="43" applyFont="1" applyFill="1">
      <alignment vertical="center"/>
    </xf>
    <xf numFmtId="22" fontId="19" fillId="0" borderId="0" xfId="44" applyNumberFormat="1">
      <alignment vertical="center"/>
    </xf>
    <xf numFmtId="0" fontId="19" fillId="0" borderId="0" xfId="44">
      <alignment vertical="center"/>
    </xf>
    <xf numFmtId="3" fontId="19" fillId="0" borderId="0" xfId="44" applyNumberFormat="1">
      <alignment vertical="center"/>
    </xf>
    <xf numFmtId="3" fontId="0" fillId="33" borderId="0" xfId="0" applyNumberFormat="1" applyFill="1">
      <alignment vertical="center"/>
    </xf>
    <xf numFmtId="0" fontId="0" fillId="33" borderId="0" xfId="0" applyFill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20" fillId="33" borderId="0" xfId="0" applyNumberFormat="1" applyFont="1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  <cellStyle name="표준_월별합계(2)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532"/>
  <sheetViews>
    <sheetView tabSelected="1" topLeftCell="A1499" workbookViewId="0">
      <selection activeCell="B1504" sqref="B1504"/>
    </sheetView>
  </sheetViews>
  <sheetFormatPr defaultRowHeight="16.5"/>
  <cols>
    <col min="1" max="1" width="16.25" bestFit="1" customWidth="1"/>
    <col min="2" max="2" width="10.375" bestFit="1" customWidth="1"/>
    <col min="3" max="3" width="29.375" bestFit="1" customWidth="1"/>
    <col min="4" max="4" width="8.625" bestFit="1" customWidth="1"/>
    <col min="7" max="7" width="10.75" bestFit="1" customWidth="1"/>
    <col min="8" max="8" width="15.5" customWidth="1"/>
    <col min="9" max="9" width="13.5" bestFit="1" customWidth="1"/>
    <col min="10" max="10" width="16.25" bestFit="1" customWidth="1"/>
    <col min="11" max="11" width="13.75" customWidth="1"/>
    <col min="12" max="12" width="14.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8">
        <v>44621.007974537039</v>
      </c>
      <c r="B2">
        <v>287834730</v>
      </c>
      <c r="C2" t="s">
        <v>275</v>
      </c>
      <c r="D2" t="s">
        <v>9</v>
      </c>
      <c r="E2" s="9">
        <v>2000</v>
      </c>
      <c r="F2" s="9">
        <v>2000</v>
      </c>
      <c r="G2" s="9">
        <v>1400</v>
      </c>
      <c r="I2" t="s">
        <v>169</v>
      </c>
      <c r="J2" t="s">
        <v>460</v>
      </c>
      <c r="K2" t="s">
        <v>11</v>
      </c>
      <c r="L2" t="str">
        <f>T("9791191562019")</f>
        <v>9791191562019</v>
      </c>
    </row>
    <row r="3" spans="1:254">
      <c r="A3" s="8">
        <v>44621.022685185184</v>
      </c>
      <c r="B3">
        <v>289315562</v>
      </c>
      <c r="C3" t="s">
        <v>478</v>
      </c>
      <c r="D3" t="s">
        <v>9</v>
      </c>
      <c r="E3" s="9">
        <v>3000</v>
      </c>
      <c r="F3" s="9">
        <v>3000</v>
      </c>
      <c r="G3" s="9">
        <v>2100</v>
      </c>
      <c r="I3" t="s">
        <v>454</v>
      </c>
      <c r="J3" t="s">
        <v>460</v>
      </c>
      <c r="K3" t="s">
        <v>11</v>
      </c>
      <c r="L3" t="str">
        <f>T("9791191562101")</f>
        <v>9791191562101</v>
      </c>
    </row>
    <row r="4" spans="1:254">
      <c r="A4" s="8">
        <v>44621.095219907409</v>
      </c>
      <c r="B4">
        <v>289315562</v>
      </c>
      <c r="C4" t="s">
        <v>478</v>
      </c>
      <c r="D4" t="s">
        <v>9</v>
      </c>
      <c r="E4" s="9">
        <v>3000</v>
      </c>
      <c r="F4" s="9">
        <v>3000</v>
      </c>
      <c r="G4" s="9">
        <v>2100</v>
      </c>
      <c r="I4" t="s">
        <v>454</v>
      </c>
      <c r="J4" t="s">
        <v>460</v>
      </c>
      <c r="K4" t="s">
        <v>11</v>
      </c>
      <c r="L4" t="str">
        <f>T("9791191562101")</f>
        <v>9791191562101</v>
      </c>
    </row>
    <row r="5" spans="1:254">
      <c r="A5" s="8">
        <v>44621.297326388885</v>
      </c>
      <c r="B5">
        <v>289315562</v>
      </c>
      <c r="C5" t="s">
        <v>478</v>
      </c>
      <c r="D5" t="s">
        <v>9</v>
      </c>
      <c r="E5" s="9">
        <v>3000</v>
      </c>
      <c r="F5" s="9">
        <v>3000</v>
      </c>
      <c r="G5" s="9">
        <v>2100</v>
      </c>
      <c r="I5" t="s">
        <v>454</v>
      </c>
      <c r="J5" t="s">
        <v>460</v>
      </c>
      <c r="K5" t="s">
        <v>11</v>
      </c>
      <c r="L5" t="str">
        <f>T("9791191562101")</f>
        <v>9791191562101</v>
      </c>
    </row>
    <row r="6" spans="1:254">
      <c r="A6" s="8">
        <v>44621.33965277778</v>
      </c>
      <c r="B6">
        <v>289956908</v>
      </c>
      <c r="C6" t="s">
        <v>481</v>
      </c>
      <c r="D6" t="s">
        <v>9</v>
      </c>
      <c r="E6" s="9">
        <v>2000</v>
      </c>
      <c r="F6" s="9">
        <v>2000</v>
      </c>
      <c r="G6" s="9">
        <v>1400</v>
      </c>
      <c r="I6" t="s">
        <v>457</v>
      </c>
      <c r="J6" t="s">
        <v>460</v>
      </c>
      <c r="K6" t="s">
        <v>11</v>
      </c>
      <c r="L6" t="str">
        <f>T("9791191562040")</f>
        <v>9791191562040</v>
      </c>
    </row>
    <row r="7" spans="1:254">
      <c r="A7" s="8">
        <v>44621.403865740744</v>
      </c>
      <c r="B7">
        <v>289315562</v>
      </c>
      <c r="C7" t="s">
        <v>478</v>
      </c>
      <c r="D7" t="s">
        <v>9</v>
      </c>
      <c r="E7" s="9">
        <v>3000</v>
      </c>
      <c r="F7" s="9">
        <v>3000</v>
      </c>
      <c r="G7" s="9">
        <v>2100</v>
      </c>
      <c r="I7" t="s">
        <v>454</v>
      </c>
      <c r="J7" t="s">
        <v>460</v>
      </c>
      <c r="K7" t="s">
        <v>11</v>
      </c>
      <c r="L7" t="str">
        <f>T("9791191562101")</f>
        <v>9791191562101</v>
      </c>
    </row>
    <row r="8" spans="1:254">
      <c r="A8" s="8">
        <v>44621.465775462966</v>
      </c>
      <c r="B8">
        <v>289315562</v>
      </c>
      <c r="C8" t="s">
        <v>478</v>
      </c>
      <c r="D8" t="s">
        <v>9</v>
      </c>
      <c r="E8" s="9">
        <v>3000</v>
      </c>
      <c r="F8" s="9">
        <v>3000</v>
      </c>
      <c r="G8" s="9">
        <v>2100</v>
      </c>
      <c r="I8" t="s">
        <v>454</v>
      </c>
      <c r="J8" t="s">
        <v>460</v>
      </c>
      <c r="K8" t="s">
        <v>11</v>
      </c>
      <c r="L8" t="str">
        <f>T("9791191562101")</f>
        <v>9791191562101</v>
      </c>
    </row>
    <row r="9" spans="1:254">
      <c r="A9" s="8">
        <v>44621.538622685184</v>
      </c>
      <c r="B9">
        <v>287834730</v>
      </c>
      <c r="C9" t="s">
        <v>275</v>
      </c>
      <c r="D9" t="s">
        <v>9</v>
      </c>
      <c r="E9" s="9">
        <v>2000</v>
      </c>
      <c r="F9" s="9">
        <v>2000</v>
      </c>
      <c r="G9" s="9">
        <v>1400</v>
      </c>
      <c r="I9" t="s">
        <v>169</v>
      </c>
      <c r="J9" t="s">
        <v>460</v>
      </c>
      <c r="K9" t="s">
        <v>11</v>
      </c>
      <c r="L9" t="str">
        <f>T("9791191562019")</f>
        <v>9791191562019</v>
      </c>
    </row>
    <row r="10" spans="1:254">
      <c r="A10" s="8">
        <v>44621.65902777778</v>
      </c>
      <c r="B10">
        <v>289956908</v>
      </c>
      <c r="C10" t="s">
        <v>481</v>
      </c>
      <c r="D10" t="s">
        <v>9</v>
      </c>
      <c r="E10" s="9">
        <v>2000</v>
      </c>
      <c r="F10" s="9">
        <v>2000</v>
      </c>
      <c r="G10" s="9">
        <v>1400</v>
      </c>
      <c r="I10" t="s">
        <v>457</v>
      </c>
      <c r="J10" t="s">
        <v>460</v>
      </c>
      <c r="K10" t="s">
        <v>11</v>
      </c>
      <c r="L10" t="str">
        <f>T("9791191562040")</f>
        <v>9791191562040</v>
      </c>
    </row>
    <row r="11" spans="1:254">
      <c r="A11" s="8">
        <v>44621.708518518521</v>
      </c>
      <c r="B11">
        <v>289956908</v>
      </c>
      <c r="C11" t="s">
        <v>481</v>
      </c>
      <c r="D11" t="s">
        <v>9</v>
      </c>
      <c r="E11" s="9">
        <v>2000</v>
      </c>
      <c r="F11" s="9">
        <v>2000</v>
      </c>
      <c r="G11" s="9">
        <v>1400</v>
      </c>
      <c r="I11" t="s">
        <v>457</v>
      </c>
      <c r="J11" t="s">
        <v>460</v>
      </c>
      <c r="K11" t="s">
        <v>11</v>
      </c>
      <c r="L11" t="str">
        <f>T("9791191562040")</f>
        <v>9791191562040</v>
      </c>
    </row>
    <row r="12" spans="1:254">
      <c r="A12" s="8">
        <v>44621.715081018519</v>
      </c>
      <c r="B12">
        <v>287086652</v>
      </c>
      <c r="C12" t="s">
        <v>220</v>
      </c>
      <c r="D12" t="s">
        <v>9</v>
      </c>
      <c r="E12" s="9">
        <v>2000</v>
      </c>
      <c r="F12" s="9">
        <v>2000</v>
      </c>
      <c r="G12" s="9">
        <v>1400</v>
      </c>
      <c r="I12" t="s">
        <v>162</v>
      </c>
      <c r="J12" t="s">
        <v>460</v>
      </c>
      <c r="K12" t="s">
        <v>11</v>
      </c>
      <c r="L12" t="str">
        <f>T("9791191562033")</f>
        <v>9791191562033</v>
      </c>
    </row>
    <row r="13" spans="1:254">
      <c r="A13" s="8">
        <v>44621.730624999997</v>
      </c>
      <c r="B13">
        <v>289956908</v>
      </c>
      <c r="C13" t="s">
        <v>481</v>
      </c>
      <c r="D13" t="s">
        <v>9</v>
      </c>
      <c r="E13" s="9">
        <v>2000</v>
      </c>
      <c r="F13" s="9">
        <v>2000</v>
      </c>
      <c r="G13" s="9">
        <v>1400</v>
      </c>
      <c r="I13" t="s">
        <v>457</v>
      </c>
      <c r="J13" t="s">
        <v>460</v>
      </c>
      <c r="K13" t="s">
        <v>11</v>
      </c>
      <c r="L13" t="str">
        <f>T("9791191562040")</f>
        <v>9791191562040</v>
      </c>
    </row>
    <row r="14" spans="1:254">
      <c r="A14" s="8">
        <v>44621.790995370371</v>
      </c>
      <c r="B14">
        <v>289315562</v>
      </c>
      <c r="C14" t="s">
        <v>478</v>
      </c>
      <c r="D14" t="s">
        <v>9</v>
      </c>
      <c r="E14" s="9">
        <v>3000</v>
      </c>
      <c r="F14" s="9">
        <v>3000</v>
      </c>
      <c r="G14" s="9">
        <v>2100</v>
      </c>
      <c r="I14" t="s">
        <v>454</v>
      </c>
      <c r="J14" t="s">
        <v>460</v>
      </c>
      <c r="K14" t="s">
        <v>11</v>
      </c>
      <c r="L14" t="str">
        <f>T("9791191562101")</f>
        <v>9791191562101</v>
      </c>
    </row>
    <row r="15" spans="1:254">
      <c r="A15" s="8">
        <v>44621.824895833335</v>
      </c>
      <c r="B15">
        <v>289315562</v>
      </c>
      <c r="C15" t="s">
        <v>478</v>
      </c>
      <c r="D15" t="s">
        <v>9</v>
      </c>
      <c r="E15" s="9">
        <v>3000</v>
      </c>
      <c r="F15" s="9">
        <v>3000</v>
      </c>
      <c r="G15" s="9">
        <v>2100</v>
      </c>
      <c r="I15" t="s">
        <v>454</v>
      </c>
      <c r="J15" t="s">
        <v>460</v>
      </c>
      <c r="K15" t="s">
        <v>11</v>
      </c>
      <c r="L15" t="str">
        <f>T("9791191562101")</f>
        <v>9791191562101</v>
      </c>
    </row>
    <row r="16" spans="1:254">
      <c r="A16" s="8">
        <v>44621.884791666664</v>
      </c>
      <c r="B16">
        <v>271216769</v>
      </c>
      <c r="C16" t="s">
        <v>584</v>
      </c>
      <c r="D16" t="s">
        <v>9</v>
      </c>
      <c r="E16" s="9">
        <v>1000</v>
      </c>
      <c r="F16" s="9">
        <v>1000</v>
      </c>
      <c r="G16">
        <v>700</v>
      </c>
      <c r="I16" t="s">
        <v>585</v>
      </c>
      <c r="J16" t="s">
        <v>11</v>
      </c>
      <c r="K16" t="s">
        <v>11</v>
      </c>
      <c r="L16" t="str">
        <f>T("9791137600355")</f>
        <v>9791137600355</v>
      </c>
    </row>
    <row r="17" spans="1:12">
      <c r="A17" s="8">
        <v>44621.884895833333</v>
      </c>
      <c r="B17">
        <v>289315562</v>
      </c>
      <c r="C17" t="s">
        <v>478</v>
      </c>
      <c r="D17" t="s">
        <v>9</v>
      </c>
      <c r="E17" s="9">
        <v>3000</v>
      </c>
      <c r="F17" s="9">
        <v>3000</v>
      </c>
      <c r="G17" s="9">
        <v>2100</v>
      </c>
      <c r="I17" t="s">
        <v>454</v>
      </c>
      <c r="J17" t="s">
        <v>460</v>
      </c>
      <c r="K17" t="s">
        <v>11</v>
      </c>
      <c r="L17" t="str">
        <f>T("9791191562101")</f>
        <v>9791191562101</v>
      </c>
    </row>
    <row r="18" spans="1:12">
      <c r="A18" s="8">
        <v>44621.907997685186</v>
      </c>
      <c r="B18">
        <v>274946494</v>
      </c>
      <c r="C18" t="s">
        <v>586</v>
      </c>
      <c r="D18" t="s">
        <v>12</v>
      </c>
      <c r="E18" s="9">
        <v>2720</v>
      </c>
      <c r="F18" s="9">
        <v>2720</v>
      </c>
      <c r="G18" s="9">
        <v>1904</v>
      </c>
      <c r="I18" t="s">
        <v>587</v>
      </c>
      <c r="J18" t="s">
        <v>588</v>
      </c>
      <c r="K18" t="s">
        <v>11</v>
      </c>
      <c r="L18" t="str">
        <f>T("9791166481789")</f>
        <v>9791166481789</v>
      </c>
    </row>
    <row r="19" spans="1:12">
      <c r="A19" s="8">
        <v>44621.918229166666</v>
      </c>
      <c r="B19">
        <v>289315562</v>
      </c>
      <c r="C19" t="s">
        <v>478</v>
      </c>
      <c r="D19" t="s">
        <v>9</v>
      </c>
      <c r="E19" s="9">
        <v>3000</v>
      </c>
      <c r="F19" s="9">
        <v>3000</v>
      </c>
      <c r="G19" s="9">
        <v>2100</v>
      </c>
      <c r="I19" t="s">
        <v>454</v>
      </c>
      <c r="J19" t="s">
        <v>460</v>
      </c>
      <c r="K19" t="s">
        <v>11</v>
      </c>
      <c r="L19" t="str">
        <f>T("9791191562101")</f>
        <v>9791191562101</v>
      </c>
    </row>
    <row r="20" spans="1:12">
      <c r="A20" s="8">
        <v>44621.922071759262</v>
      </c>
      <c r="B20">
        <v>272857319</v>
      </c>
      <c r="C20" t="s">
        <v>284</v>
      </c>
      <c r="D20" t="s">
        <v>12</v>
      </c>
      <c r="E20">
        <v>320</v>
      </c>
      <c r="F20">
        <v>320</v>
      </c>
      <c r="G20">
        <v>224</v>
      </c>
      <c r="I20" t="s">
        <v>67</v>
      </c>
      <c r="J20" t="s">
        <v>588</v>
      </c>
      <c r="K20" t="s">
        <v>11</v>
      </c>
      <c r="L20" t="str">
        <f>T("9791166481727")</f>
        <v>9791166481727</v>
      </c>
    </row>
    <row r="21" spans="1:12">
      <c r="A21" s="8">
        <v>44621.922071759262</v>
      </c>
      <c r="B21">
        <v>266808579</v>
      </c>
      <c r="C21" t="s">
        <v>285</v>
      </c>
      <c r="D21" t="s">
        <v>12</v>
      </c>
      <c r="E21" s="9">
        <v>2800</v>
      </c>
      <c r="F21" s="9">
        <v>2800</v>
      </c>
      <c r="G21" s="9">
        <v>1960</v>
      </c>
      <c r="I21" t="s">
        <v>67</v>
      </c>
      <c r="J21" t="s">
        <v>588</v>
      </c>
      <c r="K21" t="s">
        <v>11</v>
      </c>
      <c r="L21" t="str">
        <f>T("9791166481116")</f>
        <v>9791166481116</v>
      </c>
    </row>
    <row r="22" spans="1:12">
      <c r="A22" s="8">
        <v>44621.922071759262</v>
      </c>
      <c r="B22">
        <v>266808569</v>
      </c>
      <c r="C22" t="s">
        <v>581</v>
      </c>
      <c r="D22" t="s">
        <v>12</v>
      </c>
      <c r="E22" s="9">
        <v>2800</v>
      </c>
      <c r="F22" s="9">
        <v>2800</v>
      </c>
      <c r="G22" s="9">
        <v>1960</v>
      </c>
      <c r="I22" t="s">
        <v>67</v>
      </c>
      <c r="J22" t="s">
        <v>588</v>
      </c>
      <c r="K22" t="s">
        <v>11</v>
      </c>
      <c r="L22" t="str">
        <f>T("9791166481123")</f>
        <v>9791166481123</v>
      </c>
    </row>
    <row r="23" spans="1:12">
      <c r="A23" s="8">
        <v>44621.937199074076</v>
      </c>
      <c r="B23">
        <v>287834730</v>
      </c>
      <c r="C23" t="s">
        <v>275</v>
      </c>
      <c r="D23" t="s">
        <v>9</v>
      </c>
      <c r="E23" s="9">
        <v>2000</v>
      </c>
      <c r="F23" s="9">
        <v>2000</v>
      </c>
      <c r="G23" s="9">
        <v>1400</v>
      </c>
      <c r="I23" t="s">
        <v>169</v>
      </c>
      <c r="J23" t="s">
        <v>460</v>
      </c>
      <c r="K23" t="s">
        <v>11</v>
      </c>
      <c r="L23" t="str">
        <f>T("9791191562019")</f>
        <v>9791191562019</v>
      </c>
    </row>
    <row r="24" spans="1:12">
      <c r="A24" s="8">
        <v>44621.966736111113</v>
      </c>
      <c r="B24">
        <v>48799504</v>
      </c>
      <c r="C24" t="s">
        <v>589</v>
      </c>
      <c r="D24" t="s">
        <v>12</v>
      </c>
      <c r="E24">
        <v>900</v>
      </c>
      <c r="F24">
        <v>900</v>
      </c>
      <c r="G24">
        <v>630</v>
      </c>
      <c r="I24" t="s">
        <v>10</v>
      </c>
      <c r="J24" t="s">
        <v>11</v>
      </c>
      <c r="K24" t="s">
        <v>11</v>
      </c>
      <c r="L24" t="str">
        <f>T("9791159284731")</f>
        <v>9791159284731</v>
      </c>
    </row>
    <row r="25" spans="1:12">
      <c r="A25" s="8">
        <v>44622.021932870368</v>
      </c>
      <c r="B25">
        <v>289315562</v>
      </c>
      <c r="C25" t="s">
        <v>478</v>
      </c>
      <c r="D25" t="s">
        <v>9</v>
      </c>
      <c r="E25" s="9">
        <v>3000</v>
      </c>
      <c r="F25" s="9">
        <v>3000</v>
      </c>
      <c r="G25" s="9">
        <v>2100</v>
      </c>
      <c r="I25" t="s">
        <v>454</v>
      </c>
      <c r="J25" t="s">
        <v>460</v>
      </c>
      <c r="K25" t="s">
        <v>11</v>
      </c>
      <c r="L25" t="str">
        <f>T("9791191562101")</f>
        <v>9791191562101</v>
      </c>
    </row>
    <row r="26" spans="1:12">
      <c r="A26" s="8">
        <v>44622.03230324074</v>
      </c>
      <c r="B26">
        <v>287086652</v>
      </c>
      <c r="C26" t="s">
        <v>220</v>
      </c>
      <c r="D26" t="s">
        <v>9</v>
      </c>
      <c r="E26" s="9">
        <v>2000</v>
      </c>
      <c r="F26" s="9">
        <v>2000</v>
      </c>
      <c r="G26" s="9">
        <v>1400</v>
      </c>
      <c r="I26" t="s">
        <v>162</v>
      </c>
      <c r="J26" t="s">
        <v>460</v>
      </c>
      <c r="K26" t="s">
        <v>11</v>
      </c>
      <c r="L26" t="str">
        <f>T("9791191562033")</f>
        <v>9791191562033</v>
      </c>
    </row>
    <row r="27" spans="1:12">
      <c r="A27" s="8">
        <v>44622.053611111114</v>
      </c>
      <c r="B27">
        <v>266182672</v>
      </c>
      <c r="C27" t="s">
        <v>100</v>
      </c>
      <c r="D27" t="s">
        <v>9</v>
      </c>
      <c r="E27" s="9">
        <v>2800</v>
      </c>
      <c r="F27" s="9">
        <v>2800</v>
      </c>
      <c r="G27" s="9">
        <v>1960</v>
      </c>
      <c r="I27" t="s">
        <v>18</v>
      </c>
      <c r="J27" t="s">
        <v>588</v>
      </c>
      <c r="K27" t="s">
        <v>11</v>
      </c>
      <c r="L27" t="str">
        <f>T("9791166481093")</f>
        <v>9791166481093</v>
      </c>
    </row>
    <row r="28" spans="1:12">
      <c r="A28" s="8">
        <v>44622.053611111114</v>
      </c>
      <c r="B28">
        <v>266182661</v>
      </c>
      <c r="C28" t="s">
        <v>533</v>
      </c>
      <c r="D28" t="s">
        <v>9</v>
      </c>
      <c r="E28" s="9">
        <v>1000</v>
      </c>
      <c r="F28" s="9">
        <v>1000</v>
      </c>
      <c r="G28">
        <v>700</v>
      </c>
      <c r="I28" t="s">
        <v>18</v>
      </c>
      <c r="J28" t="s">
        <v>588</v>
      </c>
      <c r="K28" t="s">
        <v>11</v>
      </c>
      <c r="L28" t="str">
        <f>T("9791166481277")</f>
        <v>9791166481277</v>
      </c>
    </row>
    <row r="29" spans="1:12">
      <c r="A29" s="8">
        <v>44622.071631944447</v>
      </c>
      <c r="B29">
        <v>287235707</v>
      </c>
      <c r="C29" t="s">
        <v>173</v>
      </c>
      <c r="D29" t="s">
        <v>9</v>
      </c>
      <c r="E29" s="9">
        <v>2000</v>
      </c>
      <c r="F29" s="9">
        <v>2000</v>
      </c>
      <c r="G29" s="9">
        <v>1400</v>
      </c>
      <c r="I29" t="s">
        <v>164</v>
      </c>
      <c r="J29" t="s">
        <v>460</v>
      </c>
      <c r="K29" t="s">
        <v>11</v>
      </c>
      <c r="L29" t="str">
        <f>T("9791191562026")</f>
        <v>9791191562026</v>
      </c>
    </row>
    <row r="30" spans="1:12">
      <c r="A30" s="8">
        <v>44622.075879629629</v>
      </c>
      <c r="B30">
        <v>254628542</v>
      </c>
      <c r="C30" t="s">
        <v>590</v>
      </c>
      <c r="D30" t="s">
        <v>9</v>
      </c>
      <c r="E30" s="9">
        <v>22400</v>
      </c>
      <c r="F30" s="9">
        <v>22400</v>
      </c>
      <c r="G30" s="9">
        <v>15680</v>
      </c>
      <c r="I30" t="s">
        <v>591</v>
      </c>
      <c r="J30" t="s">
        <v>11</v>
      </c>
      <c r="K30" t="s">
        <v>11</v>
      </c>
      <c r="L30" t="str">
        <f>T("9791166069260")</f>
        <v>9791166069260</v>
      </c>
    </row>
    <row r="31" spans="1:12">
      <c r="A31" s="8">
        <v>44622.134236111109</v>
      </c>
      <c r="B31">
        <v>289315562</v>
      </c>
      <c r="C31" t="s">
        <v>478</v>
      </c>
      <c r="D31" t="s">
        <v>9</v>
      </c>
      <c r="E31" s="9">
        <v>3000</v>
      </c>
      <c r="F31" s="9">
        <v>3000</v>
      </c>
      <c r="G31" s="9">
        <v>2100</v>
      </c>
      <c r="I31" t="s">
        <v>454</v>
      </c>
      <c r="J31" t="s">
        <v>460</v>
      </c>
      <c r="K31" t="s">
        <v>11</v>
      </c>
      <c r="L31" t="str">
        <f>T("9791191562101")</f>
        <v>9791191562101</v>
      </c>
    </row>
    <row r="32" spans="1:12">
      <c r="A32" s="8">
        <v>44622.180879629632</v>
      </c>
      <c r="B32">
        <v>289172019</v>
      </c>
      <c r="C32" t="s">
        <v>479</v>
      </c>
      <c r="D32" t="s">
        <v>9</v>
      </c>
      <c r="E32" s="9">
        <v>3000</v>
      </c>
      <c r="F32" s="9">
        <v>3000</v>
      </c>
      <c r="G32" s="9">
        <v>2100</v>
      </c>
      <c r="I32" t="s">
        <v>452</v>
      </c>
      <c r="J32" t="s">
        <v>460</v>
      </c>
      <c r="K32" t="s">
        <v>11</v>
      </c>
      <c r="L32" t="str">
        <f>T("9791191562088")</f>
        <v>9791191562088</v>
      </c>
    </row>
    <row r="33" spans="1:12">
      <c r="A33" s="8">
        <v>44622.31591435185</v>
      </c>
      <c r="B33">
        <v>289956908</v>
      </c>
      <c r="C33" t="s">
        <v>481</v>
      </c>
      <c r="D33" t="s">
        <v>9</v>
      </c>
      <c r="E33" s="9">
        <v>2000</v>
      </c>
      <c r="F33" s="9">
        <v>2000</v>
      </c>
      <c r="G33" s="9">
        <v>1400</v>
      </c>
      <c r="I33" t="s">
        <v>457</v>
      </c>
      <c r="J33" t="s">
        <v>460</v>
      </c>
      <c r="K33" t="s">
        <v>11</v>
      </c>
      <c r="L33" t="str">
        <f>T("9791191562040")</f>
        <v>9791191562040</v>
      </c>
    </row>
    <row r="34" spans="1:12">
      <c r="A34" s="8">
        <v>44622.346365740741</v>
      </c>
      <c r="B34">
        <v>290084502</v>
      </c>
      <c r="C34" t="s">
        <v>592</v>
      </c>
      <c r="D34" t="s">
        <v>9</v>
      </c>
      <c r="E34" s="9">
        <v>2500</v>
      </c>
      <c r="F34" s="9">
        <v>2500</v>
      </c>
      <c r="G34" s="9">
        <v>1750</v>
      </c>
      <c r="I34" t="s">
        <v>593</v>
      </c>
      <c r="J34" t="s">
        <v>460</v>
      </c>
      <c r="K34" t="s">
        <v>11</v>
      </c>
      <c r="L34" t="str">
        <f>T("9791191562125")</f>
        <v>9791191562125</v>
      </c>
    </row>
    <row r="35" spans="1:12">
      <c r="A35" s="8">
        <v>44622.388599537036</v>
      </c>
      <c r="B35">
        <v>290084502</v>
      </c>
      <c r="C35" t="s">
        <v>592</v>
      </c>
      <c r="D35" t="s">
        <v>9</v>
      </c>
      <c r="E35" s="9">
        <v>2500</v>
      </c>
      <c r="F35" s="9">
        <v>2500</v>
      </c>
      <c r="G35" s="9">
        <v>1750</v>
      </c>
      <c r="I35" t="s">
        <v>593</v>
      </c>
      <c r="J35" t="s">
        <v>460</v>
      </c>
      <c r="K35" t="s">
        <v>11</v>
      </c>
      <c r="L35" t="str">
        <f>T("9791191562125")</f>
        <v>9791191562125</v>
      </c>
    </row>
    <row r="36" spans="1:12">
      <c r="A36" s="8">
        <v>44622.425451388888</v>
      </c>
      <c r="B36">
        <v>290084502</v>
      </c>
      <c r="C36" t="s">
        <v>592</v>
      </c>
      <c r="D36" t="s">
        <v>9</v>
      </c>
      <c r="E36" s="9">
        <v>2500</v>
      </c>
      <c r="F36" s="9">
        <v>2500</v>
      </c>
      <c r="G36" s="9">
        <v>1750</v>
      </c>
      <c r="I36" t="s">
        <v>593</v>
      </c>
      <c r="J36" t="s">
        <v>460</v>
      </c>
      <c r="K36" t="s">
        <v>11</v>
      </c>
      <c r="L36" t="str">
        <f>T("9791191562125")</f>
        <v>9791191562125</v>
      </c>
    </row>
    <row r="37" spans="1:12">
      <c r="A37" s="8">
        <v>44622.452569444446</v>
      </c>
      <c r="B37">
        <v>286896672</v>
      </c>
      <c r="C37" t="s">
        <v>248</v>
      </c>
      <c r="D37" t="s">
        <v>9</v>
      </c>
      <c r="E37" s="9">
        <v>2500</v>
      </c>
      <c r="F37" s="9">
        <v>2500</v>
      </c>
      <c r="G37" s="9">
        <v>1750</v>
      </c>
      <c r="I37" t="s">
        <v>158</v>
      </c>
      <c r="J37" t="s">
        <v>460</v>
      </c>
      <c r="K37" t="s">
        <v>11</v>
      </c>
      <c r="L37" t="str">
        <f>T("9791191562002")</f>
        <v>9791191562002</v>
      </c>
    </row>
    <row r="38" spans="1:12">
      <c r="A38" s="8">
        <v>44622.540046296293</v>
      </c>
      <c r="B38">
        <v>287086652</v>
      </c>
      <c r="C38" t="s">
        <v>220</v>
      </c>
      <c r="D38" t="s">
        <v>9</v>
      </c>
      <c r="E38" s="9">
        <v>2000</v>
      </c>
      <c r="F38" s="9">
        <v>2000</v>
      </c>
      <c r="G38" s="9">
        <v>1400</v>
      </c>
      <c r="I38" t="s">
        <v>162</v>
      </c>
      <c r="J38" t="s">
        <v>460</v>
      </c>
      <c r="K38" t="s">
        <v>11</v>
      </c>
      <c r="L38" t="str">
        <f>T("9791191562033")</f>
        <v>9791191562033</v>
      </c>
    </row>
    <row r="39" spans="1:12">
      <c r="A39" s="8">
        <v>44622.560960648145</v>
      </c>
      <c r="B39">
        <v>48806273</v>
      </c>
      <c r="C39" t="s">
        <v>594</v>
      </c>
      <c r="D39" t="s">
        <v>12</v>
      </c>
      <c r="E39">
        <v>900</v>
      </c>
      <c r="F39">
        <v>900</v>
      </c>
      <c r="G39">
        <v>630</v>
      </c>
      <c r="I39" t="s">
        <v>10</v>
      </c>
      <c r="J39" t="s">
        <v>11</v>
      </c>
      <c r="K39" t="s">
        <v>11</v>
      </c>
      <c r="L39" t="str">
        <f>T("9791159284748")</f>
        <v>9791159284748</v>
      </c>
    </row>
    <row r="40" spans="1:12">
      <c r="A40" s="8">
        <v>44622.563055555554</v>
      </c>
      <c r="B40">
        <v>289956908</v>
      </c>
      <c r="C40" t="s">
        <v>481</v>
      </c>
      <c r="D40" t="s">
        <v>9</v>
      </c>
      <c r="E40" s="9">
        <v>2000</v>
      </c>
      <c r="F40" s="9">
        <v>2000</v>
      </c>
      <c r="G40" s="9">
        <v>1400</v>
      </c>
      <c r="I40" t="s">
        <v>457</v>
      </c>
      <c r="J40" t="s">
        <v>460</v>
      </c>
      <c r="K40" t="s">
        <v>11</v>
      </c>
      <c r="L40" t="str">
        <f>T("9791191562040")</f>
        <v>9791191562040</v>
      </c>
    </row>
    <row r="41" spans="1:12">
      <c r="A41" s="8">
        <v>44622.598425925928</v>
      </c>
      <c r="B41">
        <v>168351639</v>
      </c>
      <c r="C41" t="s">
        <v>288</v>
      </c>
      <c r="D41" t="s">
        <v>9</v>
      </c>
      <c r="E41">
        <v>0</v>
      </c>
      <c r="F41">
        <v>0</v>
      </c>
      <c r="G41">
        <v>0</v>
      </c>
      <c r="I41" t="s">
        <v>35</v>
      </c>
      <c r="J41" t="s">
        <v>588</v>
      </c>
      <c r="K41" t="s">
        <v>11</v>
      </c>
      <c r="L41" t="str">
        <f>T("9791164892457")</f>
        <v>9791164892457</v>
      </c>
    </row>
    <row r="42" spans="1:12">
      <c r="A42" s="8">
        <v>44622.646527777775</v>
      </c>
      <c r="B42">
        <v>289315562</v>
      </c>
      <c r="C42" t="s">
        <v>478</v>
      </c>
      <c r="D42" t="s">
        <v>9</v>
      </c>
      <c r="E42" s="9">
        <v>3000</v>
      </c>
      <c r="F42" s="9">
        <v>3000</v>
      </c>
      <c r="G42" s="9">
        <v>2100</v>
      </c>
      <c r="I42" t="s">
        <v>454</v>
      </c>
      <c r="J42" t="s">
        <v>460</v>
      </c>
      <c r="K42" t="s">
        <v>11</v>
      </c>
      <c r="L42" t="str">
        <f>T("9791191562101")</f>
        <v>9791191562101</v>
      </c>
    </row>
    <row r="43" spans="1:12">
      <c r="A43" s="8">
        <v>44622.647094907406</v>
      </c>
      <c r="B43">
        <v>289315562</v>
      </c>
      <c r="C43" t="s">
        <v>478</v>
      </c>
      <c r="D43" t="s">
        <v>9</v>
      </c>
      <c r="E43" s="9">
        <v>-3000</v>
      </c>
      <c r="F43" s="9">
        <v>-3000</v>
      </c>
      <c r="G43" s="9">
        <v>-2100</v>
      </c>
      <c r="H43" s="8">
        <v>44622.646527777775</v>
      </c>
      <c r="I43" t="s">
        <v>454</v>
      </c>
      <c r="J43" t="s">
        <v>460</v>
      </c>
      <c r="K43" t="s">
        <v>11</v>
      </c>
      <c r="L43" t="str">
        <f>T("9791191562101")</f>
        <v>9791191562101</v>
      </c>
    </row>
    <row r="44" spans="1:12">
      <c r="A44" s="8">
        <v>44622.655081018522</v>
      </c>
      <c r="B44">
        <v>289315562</v>
      </c>
      <c r="C44" t="s">
        <v>478</v>
      </c>
      <c r="D44" t="s">
        <v>9</v>
      </c>
      <c r="E44" s="9">
        <v>3000</v>
      </c>
      <c r="F44" s="9">
        <v>3000</v>
      </c>
      <c r="G44" s="9">
        <v>2100</v>
      </c>
      <c r="I44" t="s">
        <v>454</v>
      </c>
      <c r="J44" t="s">
        <v>460</v>
      </c>
      <c r="K44" t="s">
        <v>11</v>
      </c>
      <c r="L44" t="str">
        <f>T("9791191562101")</f>
        <v>9791191562101</v>
      </c>
    </row>
    <row r="45" spans="1:12">
      <c r="A45" s="8">
        <v>44622.76153935185</v>
      </c>
      <c r="B45">
        <v>48799506</v>
      </c>
      <c r="C45" t="s">
        <v>595</v>
      </c>
      <c r="D45" t="s">
        <v>12</v>
      </c>
      <c r="E45">
        <v>900</v>
      </c>
      <c r="F45">
        <v>900</v>
      </c>
      <c r="G45">
        <v>630</v>
      </c>
      <c r="I45" t="s">
        <v>10</v>
      </c>
      <c r="J45" t="s">
        <v>11</v>
      </c>
      <c r="K45" t="s">
        <v>11</v>
      </c>
      <c r="L45" t="str">
        <f>T("9791159284755")</f>
        <v>9791159284755</v>
      </c>
    </row>
    <row r="46" spans="1:12">
      <c r="A46" s="8">
        <v>44622.774155092593</v>
      </c>
      <c r="B46">
        <v>289658948</v>
      </c>
      <c r="C46" t="s">
        <v>580</v>
      </c>
      <c r="D46" t="s">
        <v>9</v>
      </c>
      <c r="E46" s="9">
        <v>3600</v>
      </c>
      <c r="F46" s="9">
        <v>3600</v>
      </c>
      <c r="G46" s="9">
        <v>2520</v>
      </c>
      <c r="I46" t="s">
        <v>455</v>
      </c>
      <c r="J46" t="s">
        <v>460</v>
      </c>
      <c r="K46" t="s">
        <v>11</v>
      </c>
      <c r="L46" t="str">
        <f>T("9791191562095")</f>
        <v>9791191562095</v>
      </c>
    </row>
    <row r="47" spans="1:12">
      <c r="A47" s="8">
        <v>44622.787083333336</v>
      </c>
      <c r="B47">
        <v>289315562</v>
      </c>
      <c r="C47" t="s">
        <v>478</v>
      </c>
      <c r="D47" t="s">
        <v>9</v>
      </c>
      <c r="E47" s="9">
        <v>3000</v>
      </c>
      <c r="F47" s="9">
        <v>3000</v>
      </c>
      <c r="G47" s="9">
        <v>2100</v>
      </c>
      <c r="I47" t="s">
        <v>454</v>
      </c>
      <c r="J47" t="s">
        <v>460</v>
      </c>
      <c r="K47" t="s">
        <v>11</v>
      </c>
      <c r="L47" t="str">
        <f>T("9791191562101")</f>
        <v>9791191562101</v>
      </c>
    </row>
    <row r="48" spans="1:12">
      <c r="A48" s="8">
        <v>44622.813402777778</v>
      </c>
      <c r="B48">
        <v>289315562</v>
      </c>
      <c r="C48" t="s">
        <v>478</v>
      </c>
      <c r="D48" t="s">
        <v>9</v>
      </c>
      <c r="E48" s="9">
        <v>3000</v>
      </c>
      <c r="F48" s="9">
        <v>3000</v>
      </c>
      <c r="G48" s="9">
        <v>2100</v>
      </c>
      <c r="I48" t="s">
        <v>454</v>
      </c>
      <c r="J48" t="s">
        <v>460</v>
      </c>
      <c r="K48" t="s">
        <v>11</v>
      </c>
      <c r="L48" t="str">
        <f>T("9791191562101")</f>
        <v>9791191562101</v>
      </c>
    </row>
    <row r="49" spans="1:12">
      <c r="A49" s="8">
        <v>44622.833252314813</v>
      </c>
      <c r="B49">
        <v>253019044</v>
      </c>
      <c r="C49" t="s">
        <v>596</v>
      </c>
      <c r="D49" t="s">
        <v>9</v>
      </c>
      <c r="E49">
        <v>0</v>
      </c>
      <c r="F49">
        <v>0</v>
      </c>
      <c r="G49">
        <v>0</v>
      </c>
      <c r="I49" t="s">
        <v>23</v>
      </c>
      <c r="J49" t="s">
        <v>11</v>
      </c>
      <c r="K49" t="s">
        <v>11</v>
      </c>
      <c r="L49" t="str">
        <f>T("9791197098406")</f>
        <v>9791197098406</v>
      </c>
    </row>
    <row r="50" spans="1:12">
      <c r="A50" s="8">
        <v>44622.849687499998</v>
      </c>
      <c r="B50">
        <v>287834730</v>
      </c>
      <c r="C50" t="s">
        <v>275</v>
      </c>
      <c r="D50" t="s">
        <v>9</v>
      </c>
      <c r="E50" s="9">
        <v>2000</v>
      </c>
      <c r="F50" s="9">
        <v>2000</v>
      </c>
      <c r="G50" s="9">
        <v>1400</v>
      </c>
      <c r="I50" t="s">
        <v>169</v>
      </c>
      <c r="J50" t="s">
        <v>460</v>
      </c>
      <c r="K50" t="s">
        <v>11</v>
      </c>
      <c r="L50" t="str">
        <f>T("9791191562019")</f>
        <v>9791191562019</v>
      </c>
    </row>
    <row r="51" spans="1:12">
      <c r="A51" s="8">
        <v>44622.852233796293</v>
      </c>
      <c r="B51">
        <v>289315562</v>
      </c>
      <c r="C51" t="s">
        <v>478</v>
      </c>
      <c r="D51" t="s">
        <v>9</v>
      </c>
      <c r="E51" s="9">
        <v>3000</v>
      </c>
      <c r="F51" s="9">
        <v>3000</v>
      </c>
      <c r="G51" s="9">
        <v>2100</v>
      </c>
      <c r="I51" t="s">
        <v>454</v>
      </c>
      <c r="J51" t="s">
        <v>460</v>
      </c>
      <c r="K51" t="s">
        <v>11</v>
      </c>
      <c r="L51" t="str">
        <f>T("9791191562101")</f>
        <v>9791191562101</v>
      </c>
    </row>
    <row r="52" spans="1:12">
      <c r="A52" s="8">
        <v>44622.88621527778</v>
      </c>
      <c r="B52">
        <v>289315562</v>
      </c>
      <c r="C52" t="s">
        <v>478</v>
      </c>
      <c r="D52" t="s">
        <v>9</v>
      </c>
      <c r="E52" s="9">
        <v>3000</v>
      </c>
      <c r="F52" s="9">
        <v>3000</v>
      </c>
      <c r="G52" s="9">
        <v>2100</v>
      </c>
      <c r="I52" t="s">
        <v>454</v>
      </c>
      <c r="J52" t="s">
        <v>460</v>
      </c>
      <c r="K52" t="s">
        <v>11</v>
      </c>
      <c r="L52" t="str">
        <f>T("9791191562101")</f>
        <v>9791191562101</v>
      </c>
    </row>
    <row r="53" spans="1:12">
      <c r="A53" s="8">
        <v>44622.898969907408</v>
      </c>
      <c r="B53">
        <v>48799508</v>
      </c>
      <c r="C53" t="s">
        <v>597</v>
      </c>
      <c r="D53" t="s">
        <v>12</v>
      </c>
      <c r="E53">
        <v>900</v>
      </c>
      <c r="F53">
        <v>900</v>
      </c>
      <c r="G53">
        <v>630</v>
      </c>
      <c r="I53" t="s">
        <v>10</v>
      </c>
      <c r="J53" t="s">
        <v>11</v>
      </c>
      <c r="K53" t="s">
        <v>11</v>
      </c>
      <c r="L53" t="str">
        <f>T("9791159284762")</f>
        <v>9791159284762</v>
      </c>
    </row>
    <row r="54" spans="1:12">
      <c r="A54" s="8">
        <v>44622.907777777778</v>
      </c>
      <c r="B54">
        <v>289315562</v>
      </c>
      <c r="C54" t="s">
        <v>478</v>
      </c>
      <c r="D54" t="s">
        <v>9</v>
      </c>
      <c r="E54" s="9">
        <v>3000</v>
      </c>
      <c r="F54" s="9">
        <v>3000</v>
      </c>
      <c r="G54" s="9">
        <v>2100</v>
      </c>
      <c r="I54" t="s">
        <v>454</v>
      </c>
      <c r="J54" t="s">
        <v>460</v>
      </c>
      <c r="K54" t="s">
        <v>11</v>
      </c>
      <c r="L54" t="str">
        <f>T("9791191562101")</f>
        <v>9791191562101</v>
      </c>
    </row>
    <row r="55" spans="1:12">
      <c r="A55" s="8">
        <v>44622.909224537034</v>
      </c>
      <c r="B55">
        <v>289956908</v>
      </c>
      <c r="C55" t="s">
        <v>481</v>
      </c>
      <c r="D55" t="s">
        <v>9</v>
      </c>
      <c r="E55" s="9">
        <v>2000</v>
      </c>
      <c r="F55" s="9">
        <v>2000</v>
      </c>
      <c r="G55" s="9">
        <v>1400</v>
      </c>
      <c r="I55" t="s">
        <v>457</v>
      </c>
      <c r="J55" t="s">
        <v>460</v>
      </c>
      <c r="K55" t="s">
        <v>11</v>
      </c>
      <c r="L55" t="str">
        <f>T("9791191562040")</f>
        <v>9791191562040</v>
      </c>
    </row>
    <row r="56" spans="1:12">
      <c r="A56" s="8">
        <v>44622.928935185184</v>
      </c>
      <c r="B56">
        <v>248187260</v>
      </c>
      <c r="C56" t="s">
        <v>524</v>
      </c>
      <c r="D56" t="s">
        <v>9</v>
      </c>
      <c r="E56" s="9">
        <v>3200</v>
      </c>
      <c r="F56" s="9">
        <v>3200</v>
      </c>
      <c r="G56" s="9">
        <v>2240</v>
      </c>
      <c r="I56" t="s">
        <v>15</v>
      </c>
      <c r="J56" t="s">
        <v>11</v>
      </c>
      <c r="K56" t="s">
        <v>11</v>
      </c>
      <c r="L56" t="str">
        <f>T("9791190937160")</f>
        <v>9791190937160</v>
      </c>
    </row>
    <row r="57" spans="1:12">
      <c r="A57" s="8">
        <v>44622.947164351855</v>
      </c>
      <c r="B57">
        <v>287834730</v>
      </c>
      <c r="C57" t="s">
        <v>275</v>
      </c>
      <c r="D57" t="s">
        <v>9</v>
      </c>
      <c r="E57" s="9">
        <v>2000</v>
      </c>
      <c r="F57" s="9">
        <v>2000</v>
      </c>
      <c r="G57" s="9">
        <v>1400</v>
      </c>
      <c r="I57" t="s">
        <v>169</v>
      </c>
      <c r="J57" t="s">
        <v>460</v>
      </c>
      <c r="K57" t="s">
        <v>11</v>
      </c>
      <c r="L57" t="str">
        <f>T("9791191562019")</f>
        <v>9791191562019</v>
      </c>
    </row>
    <row r="58" spans="1:12">
      <c r="A58" s="8">
        <v>44622.954050925924</v>
      </c>
      <c r="B58">
        <v>289658948</v>
      </c>
      <c r="C58" t="s">
        <v>580</v>
      </c>
      <c r="D58" t="s">
        <v>9</v>
      </c>
      <c r="E58" s="9">
        <v>3600</v>
      </c>
      <c r="F58" s="9">
        <v>3600</v>
      </c>
      <c r="G58" s="9">
        <v>2520</v>
      </c>
      <c r="I58" t="s">
        <v>455</v>
      </c>
      <c r="J58" t="s">
        <v>460</v>
      </c>
      <c r="K58" t="s">
        <v>11</v>
      </c>
      <c r="L58" t="str">
        <f>T("9791191562095")</f>
        <v>9791191562095</v>
      </c>
    </row>
    <row r="59" spans="1:12">
      <c r="A59" s="8">
        <v>44622.978807870371</v>
      </c>
      <c r="B59">
        <v>287086652</v>
      </c>
      <c r="C59" t="s">
        <v>220</v>
      </c>
      <c r="D59" t="s">
        <v>9</v>
      </c>
      <c r="E59" s="9">
        <v>2000</v>
      </c>
      <c r="F59" s="9">
        <v>2000</v>
      </c>
      <c r="G59" s="9">
        <v>1400</v>
      </c>
      <c r="I59" t="s">
        <v>162</v>
      </c>
      <c r="J59" t="s">
        <v>460</v>
      </c>
      <c r="K59" t="s">
        <v>11</v>
      </c>
      <c r="L59" t="str">
        <f>T("9791191562033")</f>
        <v>9791191562033</v>
      </c>
    </row>
    <row r="60" spans="1:12">
      <c r="A60" s="8">
        <v>44622.979930555557</v>
      </c>
      <c r="B60">
        <v>289315562</v>
      </c>
      <c r="C60" t="s">
        <v>478</v>
      </c>
      <c r="D60" t="s">
        <v>9</v>
      </c>
      <c r="E60" s="9">
        <v>3000</v>
      </c>
      <c r="F60" s="9">
        <v>3000</v>
      </c>
      <c r="G60" s="9">
        <v>2100</v>
      </c>
      <c r="I60" t="s">
        <v>454</v>
      </c>
      <c r="J60" t="s">
        <v>460</v>
      </c>
      <c r="K60" t="s">
        <v>11</v>
      </c>
      <c r="L60" t="str">
        <f>T("9791191562101")</f>
        <v>9791191562101</v>
      </c>
    </row>
    <row r="61" spans="1:12">
      <c r="A61" s="8">
        <v>44622.987337962964</v>
      </c>
      <c r="B61">
        <v>287834730</v>
      </c>
      <c r="C61" t="s">
        <v>275</v>
      </c>
      <c r="D61" t="s">
        <v>9</v>
      </c>
      <c r="E61" s="9">
        <v>2000</v>
      </c>
      <c r="F61" s="9">
        <v>2000</v>
      </c>
      <c r="G61" s="9">
        <v>1400</v>
      </c>
      <c r="I61" t="s">
        <v>169</v>
      </c>
      <c r="J61" t="s">
        <v>460</v>
      </c>
      <c r="K61" t="s">
        <v>11</v>
      </c>
      <c r="L61" t="str">
        <f>T("9791191562019")</f>
        <v>9791191562019</v>
      </c>
    </row>
    <row r="62" spans="1:12">
      <c r="A62" s="8">
        <v>44622.997164351851</v>
      </c>
      <c r="B62">
        <v>289315562</v>
      </c>
      <c r="C62" t="s">
        <v>478</v>
      </c>
      <c r="D62" t="s">
        <v>9</v>
      </c>
      <c r="E62" s="9">
        <v>3000</v>
      </c>
      <c r="F62" s="9">
        <v>3000</v>
      </c>
      <c r="G62" s="9">
        <v>2100</v>
      </c>
      <c r="I62" t="s">
        <v>454</v>
      </c>
      <c r="J62" t="s">
        <v>460</v>
      </c>
      <c r="K62" t="s">
        <v>11</v>
      </c>
      <c r="L62" t="str">
        <f>T("9791191562101")</f>
        <v>9791191562101</v>
      </c>
    </row>
    <row r="63" spans="1:12">
      <c r="A63" s="8">
        <v>44623.043124999997</v>
      </c>
      <c r="B63">
        <v>289315562</v>
      </c>
      <c r="C63" t="s">
        <v>478</v>
      </c>
      <c r="D63" t="s">
        <v>9</v>
      </c>
      <c r="E63" s="9">
        <v>3000</v>
      </c>
      <c r="F63" s="9">
        <v>3000</v>
      </c>
      <c r="G63" s="9">
        <v>2100</v>
      </c>
      <c r="I63" t="s">
        <v>454</v>
      </c>
      <c r="J63" t="s">
        <v>460</v>
      </c>
      <c r="K63" t="s">
        <v>11</v>
      </c>
      <c r="L63" t="str">
        <f>T("9791191562101")</f>
        <v>9791191562101</v>
      </c>
    </row>
    <row r="64" spans="1:12">
      <c r="A64" s="8">
        <v>44623.048009259262</v>
      </c>
      <c r="B64">
        <v>289315562</v>
      </c>
      <c r="C64" t="s">
        <v>478</v>
      </c>
      <c r="D64" t="s">
        <v>9</v>
      </c>
      <c r="E64" s="9">
        <v>3000</v>
      </c>
      <c r="F64" s="9">
        <v>3000</v>
      </c>
      <c r="G64" s="9">
        <v>2100</v>
      </c>
      <c r="I64" t="s">
        <v>454</v>
      </c>
      <c r="J64" t="s">
        <v>460</v>
      </c>
      <c r="K64" t="s">
        <v>11</v>
      </c>
      <c r="L64" t="str">
        <f>T("9791191562101")</f>
        <v>9791191562101</v>
      </c>
    </row>
    <row r="65" spans="1:12">
      <c r="A65" s="8">
        <v>44623.234884259262</v>
      </c>
      <c r="B65">
        <v>289315562</v>
      </c>
      <c r="C65" t="s">
        <v>478</v>
      </c>
      <c r="D65" t="s">
        <v>9</v>
      </c>
      <c r="E65" s="9">
        <v>3000</v>
      </c>
      <c r="F65" s="9">
        <v>3000</v>
      </c>
      <c r="G65" s="9">
        <v>2100</v>
      </c>
      <c r="I65" t="s">
        <v>454</v>
      </c>
      <c r="J65" t="s">
        <v>460</v>
      </c>
      <c r="K65" t="s">
        <v>11</v>
      </c>
      <c r="L65" t="str">
        <f>T("9791191562101")</f>
        <v>9791191562101</v>
      </c>
    </row>
    <row r="66" spans="1:12">
      <c r="A66" s="8">
        <v>44623.272997685184</v>
      </c>
      <c r="B66">
        <v>289658948</v>
      </c>
      <c r="C66" t="s">
        <v>580</v>
      </c>
      <c r="D66" t="s">
        <v>9</v>
      </c>
      <c r="E66" s="9">
        <v>3600</v>
      </c>
      <c r="F66" s="9">
        <v>3600</v>
      </c>
      <c r="G66" s="9">
        <v>2520</v>
      </c>
      <c r="I66" t="s">
        <v>455</v>
      </c>
      <c r="J66" t="s">
        <v>460</v>
      </c>
      <c r="K66" t="s">
        <v>11</v>
      </c>
      <c r="L66" t="str">
        <f>T("9791191562095")</f>
        <v>9791191562095</v>
      </c>
    </row>
    <row r="67" spans="1:12">
      <c r="A67" s="8">
        <v>44623.291180555556</v>
      </c>
      <c r="B67">
        <v>289315562</v>
      </c>
      <c r="C67" t="s">
        <v>478</v>
      </c>
      <c r="D67" t="s">
        <v>9</v>
      </c>
      <c r="E67" s="9">
        <v>3000</v>
      </c>
      <c r="F67" s="9">
        <v>3000</v>
      </c>
      <c r="G67" s="9">
        <v>2100</v>
      </c>
      <c r="I67" t="s">
        <v>454</v>
      </c>
      <c r="J67" t="s">
        <v>460</v>
      </c>
      <c r="K67" t="s">
        <v>11</v>
      </c>
      <c r="L67" t="str">
        <f>T("9791191562101")</f>
        <v>9791191562101</v>
      </c>
    </row>
    <row r="68" spans="1:12">
      <c r="A68" s="8">
        <v>44623.346562500003</v>
      </c>
      <c r="B68">
        <v>289315562</v>
      </c>
      <c r="C68" t="s">
        <v>478</v>
      </c>
      <c r="D68" t="s">
        <v>9</v>
      </c>
      <c r="E68" s="9">
        <v>3000</v>
      </c>
      <c r="F68" s="9">
        <v>3000</v>
      </c>
      <c r="G68" s="9">
        <v>2100</v>
      </c>
      <c r="I68" t="s">
        <v>454</v>
      </c>
      <c r="J68" t="s">
        <v>460</v>
      </c>
      <c r="K68" t="s">
        <v>11</v>
      </c>
      <c r="L68" t="str">
        <f>T("9791191562101")</f>
        <v>9791191562101</v>
      </c>
    </row>
    <row r="69" spans="1:12">
      <c r="A69" s="8">
        <v>44623.35361111111</v>
      </c>
      <c r="B69">
        <v>248962259</v>
      </c>
      <c r="C69" t="s">
        <v>598</v>
      </c>
      <c r="D69" t="s">
        <v>12</v>
      </c>
      <c r="E69">
        <v>900</v>
      </c>
      <c r="F69">
        <v>900</v>
      </c>
      <c r="G69">
        <v>630</v>
      </c>
      <c r="I69" t="s">
        <v>14</v>
      </c>
      <c r="J69" t="s">
        <v>11</v>
      </c>
      <c r="K69" t="s">
        <v>11</v>
      </c>
      <c r="L69" t="str">
        <f>T("9791166066757")</f>
        <v>9791166066757</v>
      </c>
    </row>
    <row r="70" spans="1:12">
      <c r="A70" s="8">
        <v>44623.519062500003</v>
      </c>
      <c r="B70">
        <v>287086652</v>
      </c>
      <c r="C70" t="s">
        <v>220</v>
      </c>
      <c r="D70" t="s">
        <v>9</v>
      </c>
      <c r="E70" s="9">
        <v>2000</v>
      </c>
      <c r="F70" s="9">
        <v>2000</v>
      </c>
      <c r="G70" s="9">
        <v>1400</v>
      </c>
      <c r="I70" t="s">
        <v>162</v>
      </c>
      <c r="J70" t="s">
        <v>460</v>
      </c>
      <c r="K70" t="s">
        <v>11</v>
      </c>
      <c r="L70" t="str">
        <f>T("9791191562033")</f>
        <v>9791191562033</v>
      </c>
    </row>
    <row r="71" spans="1:12">
      <c r="A71" s="8">
        <v>44623.536481481482</v>
      </c>
      <c r="B71">
        <v>48799511</v>
      </c>
      <c r="C71" t="s">
        <v>599</v>
      </c>
      <c r="D71" t="s">
        <v>12</v>
      </c>
      <c r="E71">
        <v>900</v>
      </c>
      <c r="F71">
        <v>900</v>
      </c>
      <c r="G71">
        <v>630</v>
      </c>
      <c r="I71" t="s">
        <v>10</v>
      </c>
      <c r="J71" t="s">
        <v>11</v>
      </c>
      <c r="K71" t="s">
        <v>11</v>
      </c>
      <c r="L71" t="str">
        <f>T("9791159284779")</f>
        <v>9791159284779</v>
      </c>
    </row>
    <row r="72" spans="1:12">
      <c r="A72" s="8">
        <v>44623.589305555557</v>
      </c>
      <c r="B72">
        <v>290084502</v>
      </c>
      <c r="C72" t="s">
        <v>592</v>
      </c>
      <c r="D72" t="s">
        <v>9</v>
      </c>
      <c r="E72" s="9">
        <v>2500</v>
      </c>
      <c r="F72" s="9">
        <v>2500</v>
      </c>
      <c r="G72" s="9">
        <v>1750</v>
      </c>
      <c r="I72" t="s">
        <v>593</v>
      </c>
      <c r="J72" t="s">
        <v>460</v>
      </c>
      <c r="K72" t="s">
        <v>11</v>
      </c>
      <c r="L72" t="str">
        <f>T("9791191562125")</f>
        <v>9791191562125</v>
      </c>
    </row>
    <row r="73" spans="1:12">
      <c r="A73" s="8">
        <v>44623.622141203705</v>
      </c>
      <c r="B73">
        <v>289315562</v>
      </c>
      <c r="C73" t="s">
        <v>478</v>
      </c>
      <c r="D73" t="s">
        <v>9</v>
      </c>
      <c r="E73" s="9">
        <v>3000</v>
      </c>
      <c r="F73" s="9">
        <v>3000</v>
      </c>
      <c r="G73" s="9">
        <v>2100</v>
      </c>
      <c r="I73" t="s">
        <v>454</v>
      </c>
      <c r="J73" t="s">
        <v>460</v>
      </c>
      <c r="K73" t="s">
        <v>11</v>
      </c>
      <c r="L73" t="str">
        <f>T("9791191562101")</f>
        <v>9791191562101</v>
      </c>
    </row>
    <row r="74" spans="1:12">
      <c r="A74" s="8">
        <v>44623.634525462963</v>
      </c>
      <c r="B74">
        <v>284241808</v>
      </c>
      <c r="C74" t="s">
        <v>73</v>
      </c>
      <c r="D74" t="s">
        <v>9</v>
      </c>
      <c r="E74" s="9">
        <v>3600</v>
      </c>
      <c r="F74" s="9">
        <v>3600</v>
      </c>
      <c r="G74" s="9">
        <v>2520</v>
      </c>
      <c r="I74" t="s">
        <v>34</v>
      </c>
      <c r="J74" t="s">
        <v>588</v>
      </c>
      <c r="K74" t="s">
        <v>11</v>
      </c>
      <c r="L74" t="str">
        <f>T("9791166482557")</f>
        <v>9791166482557</v>
      </c>
    </row>
    <row r="75" spans="1:12">
      <c r="A75" s="8">
        <v>44623.634525462963</v>
      </c>
      <c r="B75">
        <v>284241886</v>
      </c>
      <c r="C75" t="s">
        <v>62</v>
      </c>
      <c r="D75" t="s">
        <v>9</v>
      </c>
      <c r="E75" s="9">
        <v>3600</v>
      </c>
      <c r="F75" s="9">
        <v>3600</v>
      </c>
      <c r="G75" s="9">
        <v>2520</v>
      </c>
      <c r="I75" t="s">
        <v>34</v>
      </c>
      <c r="J75" t="s">
        <v>588</v>
      </c>
      <c r="K75" t="s">
        <v>11</v>
      </c>
      <c r="L75" t="str">
        <f>T("9791166482564")</f>
        <v>9791166482564</v>
      </c>
    </row>
    <row r="76" spans="1:12">
      <c r="A76" s="8">
        <v>44623.664097222223</v>
      </c>
      <c r="B76">
        <v>287834730</v>
      </c>
      <c r="C76" t="s">
        <v>275</v>
      </c>
      <c r="D76" t="s">
        <v>9</v>
      </c>
      <c r="E76" s="9">
        <v>2000</v>
      </c>
      <c r="F76" s="9">
        <v>2000</v>
      </c>
      <c r="G76" s="9">
        <v>1400</v>
      </c>
      <c r="I76" t="s">
        <v>169</v>
      </c>
      <c r="J76" t="s">
        <v>460</v>
      </c>
      <c r="K76" t="s">
        <v>11</v>
      </c>
      <c r="L76" t="str">
        <f>T("9791191562019")</f>
        <v>9791191562019</v>
      </c>
    </row>
    <row r="77" spans="1:12">
      <c r="A77" s="8">
        <v>44623.665196759262</v>
      </c>
      <c r="B77">
        <v>286266582</v>
      </c>
      <c r="C77" t="s">
        <v>249</v>
      </c>
      <c r="D77" t="s">
        <v>12</v>
      </c>
      <c r="E77" s="9">
        <v>8100</v>
      </c>
      <c r="F77" s="9">
        <v>8100</v>
      </c>
      <c r="G77" s="9">
        <v>5670</v>
      </c>
      <c r="I77" t="s">
        <v>28</v>
      </c>
      <c r="J77" t="s">
        <v>20</v>
      </c>
      <c r="K77" t="s">
        <v>11</v>
      </c>
      <c r="L77" t="str">
        <f>T("9791166005923")</f>
        <v>9791166005923</v>
      </c>
    </row>
    <row r="78" spans="1:12">
      <c r="A78" s="8">
        <v>44623.726875</v>
      </c>
      <c r="B78">
        <v>290084502</v>
      </c>
      <c r="C78" t="s">
        <v>592</v>
      </c>
      <c r="D78" t="s">
        <v>9</v>
      </c>
      <c r="E78" s="9">
        <v>2500</v>
      </c>
      <c r="F78" s="9">
        <v>2500</v>
      </c>
      <c r="G78" s="9">
        <v>1750</v>
      </c>
      <c r="I78" t="s">
        <v>593</v>
      </c>
      <c r="J78" t="s">
        <v>460</v>
      </c>
      <c r="K78" t="s">
        <v>11</v>
      </c>
      <c r="L78" t="str">
        <f>T("9791191562125")</f>
        <v>9791191562125</v>
      </c>
    </row>
    <row r="79" spans="1:12">
      <c r="A79" s="8">
        <v>44623.728067129632</v>
      </c>
      <c r="B79">
        <v>289315562</v>
      </c>
      <c r="C79" t="s">
        <v>478</v>
      </c>
      <c r="D79" t="s">
        <v>9</v>
      </c>
      <c r="E79" s="9">
        <v>3000</v>
      </c>
      <c r="F79" s="9">
        <v>3000</v>
      </c>
      <c r="G79" s="9">
        <v>2100</v>
      </c>
      <c r="I79" t="s">
        <v>454</v>
      </c>
      <c r="J79" t="s">
        <v>460</v>
      </c>
      <c r="K79" t="s">
        <v>11</v>
      </c>
      <c r="L79" t="str">
        <f>T("9791191562101")</f>
        <v>9791191562101</v>
      </c>
    </row>
    <row r="80" spans="1:12">
      <c r="A80" s="8">
        <v>44623.835960648146</v>
      </c>
      <c r="B80">
        <v>287834730</v>
      </c>
      <c r="C80" t="s">
        <v>275</v>
      </c>
      <c r="D80" t="s">
        <v>9</v>
      </c>
      <c r="E80" s="9">
        <v>2000</v>
      </c>
      <c r="F80" s="9">
        <v>2000</v>
      </c>
      <c r="G80" s="9">
        <v>1400</v>
      </c>
      <c r="I80" t="s">
        <v>169</v>
      </c>
      <c r="J80" t="s">
        <v>460</v>
      </c>
      <c r="K80" t="s">
        <v>11</v>
      </c>
      <c r="L80" t="str">
        <f>T("9791191562019")</f>
        <v>9791191562019</v>
      </c>
    </row>
    <row r="81" spans="1:12">
      <c r="A81" s="8">
        <v>44623.836643518516</v>
      </c>
      <c r="B81">
        <v>290084502</v>
      </c>
      <c r="C81" t="s">
        <v>592</v>
      </c>
      <c r="D81" t="s">
        <v>9</v>
      </c>
      <c r="E81" s="9">
        <v>2500</v>
      </c>
      <c r="F81" s="9">
        <v>2500</v>
      </c>
      <c r="G81" s="9">
        <v>1750</v>
      </c>
      <c r="I81" t="s">
        <v>593</v>
      </c>
      <c r="J81" t="s">
        <v>460</v>
      </c>
      <c r="K81" t="s">
        <v>11</v>
      </c>
      <c r="L81" t="str">
        <f>T("9791191562125")</f>
        <v>9791191562125</v>
      </c>
    </row>
    <row r="82" spans="1:12">
      <c r="A82" s="8">
        <v>44623.852638888886</v>
      </c>
      <c r="B82">
        <v>289315562</v>
      </c>
      <c r="C82" t="s">
        <v>478</v>
      </c>
      <c r="D82" t="s">
        <v>9</v>
      </c>
      <c r="E82" s="9">
        <v>3000</v>
      </c>
      <c r="F82" s="9">
        <v>3000</v>
      </c>
      <c r="G82" s="9">
        <v>2100</v>
      </c>
      <c r="I82" t="s">
        <v>454</v>
      </c>
      <c r="J82" t="s">
        <v>460</v>
      </c>
      <c r="K82" t="s">
        <v>11</v>
      </c>
      <c r="L82" t="str">
        <f>T("9791191562101")</f>
        <v>9791191562101</v>
      </c>
    </row>
    <row r="83" spans="1:12">
      <c r="A83" s="8">
        <v>44623.919548611113</v>
      </c>
      <c r="B83">
        <v>289956908</v>
      </c>
      <c r="C83" t="s">
        <v>481</v>
      </c>
      <c r="D83" t="s">
        <v>9</v>
      </c>
      <c r="E83" s="9">
        <v>2000</v>
      </c>
      <c r="F83" s="9">
        <v>2000</v>
      </c>
      <c r="G83" s="9">
        <v>1400</v>
      </c>
      <c r="I83" t="s">
        <v>457</v>
      </c>
      <c r="J83" t="s">
        <v>460</v>
      </c>
      <c r="K83" t="s">
        <v>11</v>
      </c>
      <c r="L83" t="str">
        <f>T("9791191562040")</f>
        <v>9791191562040</v>
      </c>
    </row>
    <row r="84" spans="1:12">
      <c r="A84" s="8">
        <v>44623.94295138889</v>
      </c>
      <c r="B84">
        <v>289315562</v>
      </c>
      <c r="C84" t="s">
        <v>478</v>
      </c>
      <c r="D84" t="s">
        <v>9</v>
      </c>
      <c r="E84" s="9">
        <v>3000</v>
      </c>
      <c r="F84" s="9">
        <v>3000</v>
      </c>
      <c r="G84" s="9">
        <v>2100</v>
      </c>
      <c r="I84" t="s">
        <v>454</v>
      </c>
      <c r="J84" t="s">
        <v>460</v>
      </c>
      <c r="K84" t="s">
        <v>11</v>
      </c>
      <c r="L84" t="str">
        <f>T("9791191562101")</f>
        <v>9791191562101</v>
      </c>
    </row>
    <row r="85" spans="1:12">
      <c r="A85" s="8">
        <v>44623.972905092596</v>
      </c>
      <c r="B85">
        <v>289315562</v>
      </c>
      <c r="C85" t="s">
        <v>478</v>
      </c>
      <c r="D85" t="s">
        <v>9</v>
      </c>
      <c r="E85" s="9">
        <v>3000</v>
      </c>
      <c r="F85" s="9">
        <v>3000</v>
      </c>
      <c r="G85" s="9">
        <v>2100</v>
      </c>
      <c r="I85" t="s">
        <v>454</v>
      </c>
      <c r="J85" t="s">
        <v>460</v>
      </c>
      <c r="K85" t="s">
        <v>11</v>
      </c>
      <c r="L85" t="str">
        <f>T("9791191562101")</f>
        <v>9791191562101</v>
      </c>
    </row>
    <row r="86" spans="1:12">
      <c r="A86" s="8">
        <v>44624.025208333333</v>
      </c>
      <c r="B86">
        <v>289315562</v>
      </c>
      <c r="C86" t="s">
        <v>478</v>
      </c>
      <c r="D86" t="s">
        <v>9</v>
      </c>
      <c r="E86" s="9">
        <v>3000</v>
      </c>
      <c r="F86" s="9">
        <v>3000</v>
      </c>
      <c r="G86" s="9">
        <v>2100</v>
      </c>
      <c r="I86" t="s">
        <v>454</v>
      </c>
      <c r="J86" t="s">
        <v>460</v>
      </c>
      <c r="K86" t="s">
        <v>11</v>
      </c>
      <c r="L86" t="str">
        <f>T("9791191562101")</f>
        <v>9791191562101</v>
      </c>
    </row>
    <row r="87" spans="1:12">
      <c r="A87" s="8">
        <v>44624.025914351849</v>
      </c>
      <c r="B87">
        <v>287834730</v>
      </c>
      <c r="C87" t="s">
        <v>275</v>
      </c>
      <c r="D87" t="s">
        <v>9</v>
      </c>
      <c r="E87" s="9">
        <v>2000</v>
      </c>
      <c r="F87" s="9">
        <v>2000</v>
      </c>
      <c r="G87" s="9">
        <v>1400</v>
      </c>
      <c r="I87" t="s">
        <v>169</v>
      </c>
      <c r="J87" t="s">
        <v>460</v>
      </c>
      <c r="K87" t="s">
        <v>11</v>
      </c>
      <c r="L87" t="str">
        <f>T("9791191562019")</f>
        <v>9791191562019</v>
      </c>
    </row>
    <row r="88" spans="1:12">
      <c r="A88" s="8">
        <v>44624.066192129627</v>
      </c>
      <c r="B88">
        <v>287834730</v>
      </c>
      <c r="C88" t="s">
        <v>275</v>
      </c>
      <c r="D88" t="s">
        <v>9</v>
      </c>
      <c r="E88" s="9">
        <v>2000</v>
      </c>
      <c r="F88" s="9">
        <v>2000</v>
      </c>
      <c r="G88" s="9">
        <v>1400</v>
      </c>
      <c r="I88" t="s">
        <v>169</v>
      </c>
      <c r="J88" t="s">
        <v>460</v>
      </c>
      <c r="K88" t="s">
        <v>11</v>
      </c>
      <c r="L88" t="str">
        <f>T("9791191562019")</f>
        <v>9791191562019</v>
      </c>
    </row>
    <row r="89" spans="1:12">
      <c r="A89" s="8">
        <v>44624.114710648151</v>
      </c>
      <c r="B89">
        <v>287834730</v>
      </c>
      <c r="C89" t="s">
        <v>275</v>
      </c>
      <c r="D89" t="s">
        <v>9</v>
      </c>
      <c r="E89" s="9">
        <v>2000</v>
      </c>
      <c r="F89" s="9">
        <v>2000</v>
      </c>
      <c r="G89" s="9">
        <v>1400</v>
      </c>
      <c r="I89" t="s">
        <v>169</v>
      </c>
      <c r="J89" t="s">
        <v>460</v>
      </c>
      <c r="K89" t="s">
        <v>11</v>
      </c>
      <c r="L89" t="str">
        <f>T("9791191562019")</f>
        <v>9791191562019</v>
      </c>
    </row>
    <row r="90" spans="1:12">
      <c r="A90" s="8">
        <v>44624.142708333333</v>
      </c>
      <c r="B90">
        <v>284990475</v>
      </c>
      <c r="C90" t="s">
        <v>600</v>
      </c>
      <c r="D90" t="s">
        <v>9</v>
      </c>
      <c r="E90" s="9">
        <v>99200</v>
      </c>
      <c r="F90" s="9">
        <v>99200</v>
      </c>
      <c r="G90" s="9">
        <v>69440</v>
      </c>
      <c r="I90" t="s">
        <v>14</v>
      </c>
      <c r="J90" t="s">
        <v>601</v>
      </c>
      <c r="K90" t="s">
        <v>11</v>
      </c>
      <c r="L90" t="str">
        <f>T("9791137602922")</f>
        <v>9791137602922</v>
      </c>
    </row>
    <row r="91" spans="1:12">
      <c r="A91" s="8">
        <v>44624.325937499998</v>
      </c>
      <c r="B91">
        <v>48799514</v>
      </c>
      <c r="C91" t="s">
        <v>602</v>
      </c>
      <c r="D91" t="s">
        <v>12</v>
      </c>
      <c r="E91">
        <v>900</v>
      </c>
      <c r="F91">
        <v>900</v>
      </c>
      <c r="G91">
        <v>630</v>
      </c>
      <c r="I91" t="s">
        <v>10</v>
      </c>
      <c r="J91" t="s">
        <v>11</v>
      </c>
      <c r="K91" t="s">
        <v>11</v>
      </c>
      <c r="L91" t="str">
        <f>T("9791159284786")</f>
        <v>9791159284786</v>
      </c>
    </row>
    <row r="92" spans="1:12">
      <c r="A92" s="8">
        <v>44624.374166666668</v>
      </c>
      <c r="B92">
        <v>248962260</v>
      </c>
      <c r="C92" t="s">
        <v>603</v>
      </c>
      <c r="D92" t="s">
        <v>12</v>
      </c>
      <c r="E92">
        <v>900</v>
      </c>
      <c r="F92">
        <v>900</v>
      </c>
      <c r="G92">
        <v>630</v>
      </c>
      <c r="I92" t="s">
        <v>14</v>
      </c>
      <c r="J92" t="s">
        <v>11</v>
      </c>
      <c r="K92" t="s">
        <v>11</v>
      </c>
      <c r="L92" t="str">
        <f>T("9791166066764")</f>
        <v>9791166066764</v>
      </c>
    </row>
    <row r="93" spans="1:12">
      <c r="A93" s="8">
        <v>44624.401956018519</v>
      </c>
      <c r="B93">
        <v>290197934</v>
      </c>
      <c r="C93" t="s">
        <v>604</v>
      </c>
      <c r="D93" t="s">
        <v>9</v>
      </c>
      <c r="E93" s="9">
        <v>2000</v>
      </c>
      <c r="F93" s="9">
        <v>2000</v>
      </c>
      <c r="G93" s="9">
        <v>1400</v>
      </c>
      <c r="I93" t="s">
        <v>605</v>
      </c>
      <c r="J93" t="s">
        <v>460</v>
      </c>
      <c r="K93" t="s">
        <v>11</v>
      </c>
      <c r="L93" t="str">
        <f>T("9791191562163")</f>
        <v>9791191562163</v>
      </c>
    </row>
    <row r="94" spans="1:12">
      <c r="A94" s="8">
        <v>44624.418113425927</v>
      </c>
      <c r="B94">
        <v>289315562</v>
      </c>
      <c r="C94" t="s">
        <v>478</v>
      </c>
      <c r="D94" t="s">
        <v>9</v>
      </c>
      <c r="E94" s="9">
        <v>3000</v>
      </c>
      <c r="F94" s="9">
        <v>3000</v>
      </c>
      <c r="G94" s="9">
        <v>2100</v>
      </c>
      <c r="I94" t="s">
        <v>454</v>
      </c>
      <c r="J94" t="s">
        <v>460</v>
      </c>
      <c r="K94" t="s">
        <v>11</v>
      </c>
      <c r="L94" t="str">
        <f>T("9791191562101")</f>
        <v>9791191562101</v>
      </c>
    </row>
    <row r="95" spans="1:12">
      <c r="A95" s="8">
        <v>44624.420798611114</v>
      </c>
      <c r="B95">
        <v>290197934</v>
      </c>
      <c r="C95" t="s">
        <v>604</v>
      </c>
      <c r="D95" t="s">
        <v>9</v>
      </c>
      <c r="E95" s="9">
        <v>2000</v>
      </c>
      <c r="F95" s="9">
        <v>2000</v>
      </c>
      <c r="G95" s="9">
        <v>1400</v>
      </c>
      <c r="I95" t="s">
        <v>605</v>
      </c>
      <c r="J95" t="s">
        <v>460</v>
      </c>
      <c r="K95" t="s">
        <v>11</v>
      </c>
      <c r="L95" t="str">
        <f>T("9791191562163")</f>
        <v>9791191562163</v>
      </c>
    </row>
    <row r="96" spans="1:12">
      <c r="A96" s="8">
        <v>44624.429583333331</v>
      </c>
      <c r="B96">
        <v>284241808</v>
      </c>
      <c r="C96" t="s">
        <v>73</v>
      </c>
      <c r="D96" t="s">
        <v>9</v>
      </c>
      <c r="E96" s="9">
        <v>3600</v>
      </c>
      <c r="F96" s="9">
        <v>3600</v>
      </c>
      <c r="G96" s="9">
        <v>2520</v>
      </c>
      <c r="I96" t="s">
        <v>34</v>
      </c>
      <c r="J96" t="s">
        <v>588</v>
      </c>
      <c r="K96" t="s">
        <v>11</v>
      </c>
      <c r="L96" t="str">
        <f>T("9791166482557")</f>
        <v>9791166482557</v>
      </c>
    </row>
    <row r="97" spans="1:12">
      <c r="A97" s="8">
        <v>44624.468969907408</v>
      </c>
      <c r="B97">
        <v>289315562</v>
      </c>
      <c r="C97" t="s">
        <v>478</v>
      </c>
      <c r="D97" t="s">
        <v>9</v>
      </c>
      <c r="E97" s="9">
        <v>3000</v>
      </c>
      <c r="F97" s="9">
        <v>3000</v>
      </c>
      <c r="G97" s="9">
        <v>2100</v>
      </c>
      <c r="I97" t="s">
        <v>454</v>
      </c>
      <c r="J97" t="s">
        <v>460</v>
      </c>
      <c r="K97" t="s">
        <v>11</v>
      </c>
      <c r="L97" t="str">
        <f>T("9791191562101")</f>
        <v>9791191562101</v>
      </c>
    </row>
    <row r="98" spans="1:12">
      <c r="A98" s="8">
        <v>44624.481956018521</v>
      </c>
      <c r="B98">
        <v>289315562</v>
      </c>
      <c r="C98" t="s">
        <v>478</v>
      </c>
      <c r="D98" t="s">
        <v>9</v>
      </c>
      <c r="E98" s="9">
        <v>3000</v>
      </c>
      <c r="F98" s="9">
        <v>3000</v>
      </c>
      <c r="G98" s="9">
        <v>2100</v>
      </c>
      <c r="I98" t="s">
        <v>454</v>
      </c>
      <c r="J98" t="s">
        <v>460</v>
      </c>
      <c r="K98" t="s">
        <v>11</v>
      </c>
      <c r="L98" t="str">
        <f>T("9791191562101")</f>
        <v>9791191562101</v>
      </c>
    </row>
    <row r="99" spans="1:12">
      <c r="A99" s="8">
        <v>44624.512337962966</v>
      </c>
      <c r="B99">
        <v>289315562</v>
      </c>
      <c r="C99" t="s">
        <v>478</v>
      </c>
      <c r="D99" t="s">
        <v>9</v>
      </c>
      <c r="E99" s="9">
        <v>3000</v>
      </c>
      <c r="F99" s="9">
        <v>3000</v>
      </c>
      <c r="G99" s="9">
        <v>2100</v>
      </c>
      <c r="I99" t="s">
        <v>454</v>
      </c>
      <c r="J99" t="s">
        <v>460</v>
      </c>
      <c r="K99" t="s">
        <v>11</v>
      </c>
      <c r="L99" t="str">
        <f>T("9791191562101")</f>
        <v>9791191562101</v>
      </c>
    </row>
    <row r="100" spans="1:12">
      <c r="A100" s="8">
        <v>44624.514224537037</v>
      </c>
      <c r="B100">
        <v>290197934</v>
      </c>
      <c r="C100" t="s">
        <v>604</v>
      </c>
      <c r="D100" t="s">
        <v>9</v>
      </c>
      <c r="E100" s="9">
        <v>2000</v>
      </c>
      <c r="F100" s="9">
        <v>2000</v>
      </c>
      <c r="G100" s="9">
        <v>1400</v>
      </c>
      <c r="I100" t="s">
        <v>605</v>
      </c>
      <c r="J100" t="s">
        <v>460</v>
      </c>
      <c r="K100" t="s">
        <v>11</v>
      </c>
      <c r="L100" t="str">
        <f>T("9791191562163")</f>
        <v>9791191562163</v>
      </c>
    </row>
    <row r="101" spans="1:12">
      <c r="A101" s="8">
        <v>44624.526064814818</v>
      </c>
      <c r="B101">
        <v>290197934</v>
      </c>
      <c r="C101" t="s">
        <v>604</v>
      </c>
      <c r="D101" t="s">
        <v>9</v>
      </c>
      <c r="E101" s="9">
        <v>2000</v>
      </c>
      <c r="F101" s="9">
        <v>2000</v>
      </c>
      <c r="G101" s="9">
        <v>1400</v>
      </c>
      <c r="I101" t="s">
        <v>605</v>
      </c>
      <c r="J101" t="s">
        <v>460</v>
      </c>
      <c r="K101" t="s">
        <v>11</v>
      </c>
      <c r="L101" t="str">
        <f>T("9791191562163")</f>
        <v>9791191562163</v>
      </c>
    </row>
    <row r="102" spans="1:12">
      <c r="A102" s="8">
        <v>44624.52952546296</v>
      </c>
      <c r="B102">
        <v>290197934</v>
      </c>
      <c r="C102" t="s">
        <v>604</v>
      </c>
      <c r="D102" t="s">
        <v>9</v>
      </c>
      <c r="E102" s="9">
        <v>-2000</v>
      </c>
      <c r="F102" s="9">
        <v>-2000</v>
      </c>
      <c r="G102" s="9">
        <v>-1400</v>
      </c>
      <c r="H102" s="8">
        <v>44624.526064814818</v>
      </c>
      <c r="I102" t="s">
        <v>605</v>
      </c>
      <c r="J102" t="s">
        <v>460</v>
      </c>
      <c r="K102" t="s">
        <v>11</v>
      </c>
      <c r="L102" t="str">
        <f>T("9791191562163")</f>
        <v>9791191562163</v>
      </c>
    </row>
    <row r="103" spans="1:12">
      <c r="A103" s="8">
        <v>44624.566516203704</v>
      </c>
      <c r="B103">
        <v>290197934</v>
      </c>
      <c r="C103" t="s">
        <v>604</v>
      </c>
      <c r="D103" t="s">
        <v>9</v>
      </c>
      <c r="E103" s="9">
        <v>2000</v>
      </c>
      <c r="F103" s="9">
        <v>2000</v>
      </c>
      <c r="G103" s="9">
        <v>1400</v>
      </c>
      <c r="I103" t="s">
        <v>605</v>
      </c>
      <c r="J103" t="s">
        <v>460</v>
      </c>
      <c r="K103" t="s">
        <v>11</v>
      </c>
      <c r="L103" t="str">
        <f>T("9791191562163")</f>
        <v>9791191562163</v>
      </c>
    </row>
    <row r="104" spans="1:12">
      <c r="A104" s="8">
        <v>44624.572951388887</v>
      </c>
      <c r="B104">
        <v>289315562</v>
      </c>
      <c r="C104" t="s">
        <v>478</v>
      </c>
      <c r="D104" t="s">
        <v>9</v>
      </c>
      <c r="E104" s="9">
        <v>3000</v>
      </c>
      <c r="F104" s="9">
        <v>3000</v>
      </c>
      <c r="G104" s="9">
        <v>2100</v>
      </c>
      <c r="I104" t="s">
        <v>454</v>
      </c>
      <c r="J104" t="s">
        <v>460</v>
      </c>
      <c r="K104" t="s">
        <v>11</v>
      </c>
      <c r="L104" t="str">
        <f>T("9791191562101")</f>
        <v>9791191562101</v>
      </c>
    </row>
    <row r="105" spans="1:12">
      <c r="A105" s="8">
        <v>44624.619027777779</v>
      </c>
      <c r="B105">
        <v>290197934</v>
      </c>
      <c r="C105" t="s">
        <v>604</v>
      </c>
      <c r="D105" t="s">
        <v>9</v>
      </c>
      <c r="E105" s="9">
        <v>2000</v>
      </c>
      <c r="F105" s="9">
        <v>2000</v>
      </c>
      <c r="G105" s="9">
        <v>1400</v>
      </c>
      <c r="I105" t="s">
        <v>605</v>
      </c>
      <c r="J105" t="s">
        <v>460</v>
      </c>
      <c r="K105" t="s">
        <v>11</v>
      </c>
      <c r="L105" t="str">
        <f>T("9791191562163")</f>
        <v>9791191562163</v>
      </c>
    </row>
    <row r="106" spans="1:12">
      <c r="A106" s="8">
        <v>44624.619027777779</v>
      </c>
      <c r="B106">
        <v>287834730</v>
      </c>
      <c r="C106" t="s">
        <v>275</v>
      </c>
      <c r="D106" t="s">
        <v>9</v>
      </c>
      <c r="E106" s="9">
        <v>2000</v>
      </c>
      <c r="F106" s="9">
        <v>2000</v>
      </c>
      <c r="G106" s="9">
        <v>1400</v>
      </c>
      <c r="I106" t="s">
        <v>169</v>
      </c>
      <c r="J106" t="s">
        <v>460</v>
      </c>
      <c r="K106" t="s">
        <v>11</v>
      </c>
      <c r="L106" t="str">
        <f>T("9791191562019")</f>
        <v>9791191562019</v>
      </c>
    </row>
    <row r="107" spans="1:12">
      <c r="A107" s="8">
        <v>44624.635069444441</v>
      </c>
      <c r="B107">
        <v>290084502</v>
      </c>
      <c r="C107" t="s">
        <v>592</v>
      </c>
      <c r="D107" t="s">
        <v>9</v>
      </c>
      <c r="E107" s="9">
        <v>2500</v>
      </c>
      <c r="F107" s="9">
        <v>2500</v>
      </c>
      <c r="G107" s="9">
        <v>1750</v>
      </c>
      <c r="I107" t="s">
        <v>593</v>
      </c>
      <c r="J107" t="s">
        <v>460</v>
      </c>
      <c r="K107" t="s">
        <v>11</v>
      </c>
      <c r="L107" t="str">
        <f>T("9791191562125")</f>
        <v>9791191562125</v>
      </c>
    </row>
    <row r="108" spans="1:12">
      <c r="A108" s="8">
        <v>44624.679965277777</v>
      </c>
      <c r="B108">
        <v>289315562</v>
      </c>
      <c r="C108" t="s">
        <v>478</v>
      </c>
      <c r="D108" t="s">
        <v>9</v>
      </c>
      <c r="E108" s="9">
        <v>3000</v>
      </c>
      <c r="F108" s="9">
        <v>3000</v>
      </c>
      <c r="G108" s="9">
        <v>2100</v>
      </c>
      <c r="I108" t="s">
        <v>454</v>
      </c>
      <c r="J108" t="s">
        <v>460</v>
      </c>
      <c r="K108" t="s">
        <v>11</v>
      </c>
      <c r="L108" t="str">
        <f>T("9791191562101")</f>
        <v>9791191562101</v>
      </c>
    </row>
    <row r="109" spans="1:12">
      <c r="A109" s="8">
        <v>44624.680787037039</v>
      </c>
      <c r="B109">
        <v>289315562</v>
      </c>
      <c r="C109" t="s">
        <v>478</v>
      </c>
      <c r="D109" t="s">
        <v>9</v>
      </c>
      <c r="E109" s="9">
        <v>3000</v>
      </c>
      <c r="F109" s="9">
        <v>3000</v>
      </c>
      <c r="G109" s="9">
        <v>2100</v>
      </c>
      <c r="I109" t="s">
        <v>454</v>
      </c>
      <c r="J109" t="s">
        <v>460</v>
      </c>
      <c r="K109" t="s">
        <v>11</v>
      </c>
      <c r="L109" t="str">
        <f>T("9791191562101")</f>
        <v>9791191562101</v>
      </c>
    </row>
    <row r="110" spans="1:12">
      <c r="A110" s="8">
        <v>44624.688807870371</v>
      </c>
      <c r="B110">
        <v>289315562</v>
      </c>
      <c r="C110" t="s">
        <v>478</v>
      </c>
      <c r="D110" t="s">
        <v>9</v>
      </c>
      <c r="E110" s="9">
        <v>3000</v>
      </c>
      <c r="F110" s="9">
        <v>3000</v>
      </c>
      <c r="G110" s="9">
        <v>2100</v>
      </c>
      <c r="I110" t="s">
        <v>454</v>
      </c>
      <c r="J110" t="s">
        <v>460</v>
      </c>
      <c r="K110" t="s">
        <v>11</v>
      </c>
      <c r="L110" t="str">
        <f>T("9791191562101")</f>
        <v>9791191562101</v>
      </c>
    </row>
    <row r="111" spans="1:12">
      <c r="A111" s="8">
        <v>44624.714814814812</v>
      </c>
      <c r="B111">
        <v>289956908</v>
      </c>
      <c r="C111" t="s">
        <v>481</v>
      </c>
      <c r="D111" t="s">
        <v>9</v>
      </c>
      <c r="E111" s="9">
        <v>2000</v>
      </c>
      <c r="F111" s="9">
        <v>2000</v>
      </c>
      <c r="G111" s="9">
        <v>1400</v>
      </c>
      <c r="I111" t="s">
        <v>457</v>
      </c>
      <c r="J111" t="s">
        <v>460</v>
      </c>
      <c r="K111" t="s">
        <v>11</v>
      </c>
      <c r="L111" t="str">
        <f>T("9791191562040")</f>
        <v>9791191562040</v>
      </c>
    </row>
    <row r="112" spans="1:12">
      <c r="A112" s="8">
        <v>44624.736979166664</v>
      </c>
      <c r="B112">
        <v>289315562</v>
      </c>
      <c r="C112" t="s">
        <v>478</v>
      </c>
      <c r="D112" t="s">
        <v>9</v>
      </c>
      <c r="E112" s="9">
        <v>3000</v>
      </c>
      <c r="F112" s="9">
        <v>3000</v>
      </c>
      <c r="G112" s="9">
        <v>2100</v>
      </c>
      <c r="I112" t="s">
        <v>454</v>
      </c>
      <c r="J112" t="s">
        <v>460</v>
      </c>
      <c r="K112" t="s">
        <v>11</v>
      </c>
      <c r="L112" t="str">
        <f>T("9791191562101")</f>
        <v>9791191562101</v>
      </c>
    </row>
    <row r="113" spans="1:12">
      <c r="A113" s="8">
        <v>44624.776493055557</v>
      </c>
      <c r="B113">
        <v>48799516</v>
      </c>
      <c r="C113" t="s">
        <v>606</v>
      </c>
      <c r="D113" t="s">
        <v>12</v>
      </c>
      <c r="E113">
        <v>900</v>
      </c>
      <c r="F113">
        <v>900</v>
      </c>
      <c r="G113">
        <v>630</v>
      </c>
      <c r="I113" t="s">
        <v>10</v>
      </c>
      <c r="J113" t="s">
        <v>11</v>
      </c>
      <c r="K113" t="s">
        <v>11</v>
      </c>
      <c r="L113" t="str">
        <f>T("9791159284793")</f>
        <v>9791159284793</v>
      </c>
    </row>
    <row r="114" spans="1:12">
      <c r="A114" s="8">
        <v>44624.788136574076</v>
      </c>
      <c r="B114">
        <v>286120639</v>
      </c>
      <c r="C114" t="s">
        <v>154</v>
      </c>
      <c r="D114" t="s">
        <v>9</v>
      </c>
      <c r="E114" s="9">
        <v>3200</v>
      </c>
      <c r="F114" s="9">
        <v>3200</v>
      </c>
      <c r="G114" s="9">
        <v>2240</v>
      </c>
      <c r="I114" t="s">
        <v>233</v>
      </c>
      <c r="J114" t="s">
        <v>588</v>
      </c>
      <c r="K114" t="s">
        <v>11</v>
      </c>
      <c r="L114" t="str">
        <f>T("9791166482663")</f>
        <v>9791166482663</v>
      </c>
    </row>
    <row r="115" spans="1:12">
      <c r="A115" s="8">
        <v>44624.793067129627</v>
      </c>
      <c r="B115">
        <v>290197934</v>
      </c>
      <c r="C115" t="s">
        <v>604</v>
      </c>
      <c r="D115" t="s">
        <v>9</v>
      </c>
      <c r="E115" s="9">
        <v>2000</v>
      </c>
      <c r="F115" s="9">
        <v>2000</v>
      </c>
      <c r="G115" s="9">
        <v>1400</v>
      </c>
      <c r="I115" t="s">
        <v>605</v>
      </c>
      <c r="J115" t="s">
        <v>460</v>
      </c>
      <c r="K115" t="s">
        <v>11</v>
      </c>
      <c r="L115" t="str">
        <f>T("9791191562163")</f>
        <v>9791191562163</v>
      </c>
    </row>
    <row r="116" spans="1:12">
      <c r="A116" s="8">
        <v>44624.81009259259</v>
      </c>
      <c r="B116">
        <v>290197934</v>
      </c>
      <c r="C116" t="s">
        <v>604</v>
      </c>
      <c r="D116" t="s">
        <v>9</v>
      </c>
      <c r="E116" s="9">
        <v>2000</v>
      </c>
      <c r="F116" s="9">
        <v>2000</v>
      </c>
      <c r="G116" s="9">
        <v>1400</v>
      </c>
      <c r="I116" t="s">
        <v>605</v>
      </c>
      <c r="J116" t="s">
        <v>460</v>
      </c>
      <c r="K116" t="s">
        <v>11</v>
      </c>
      <c r="L116" t="str">
        <f>T("9791191562163")</f>
        <v>9791191562163</v>
      </c>
    </row>
    <row r="117" spans="1:12">
      <c r="A117" s="8">
        <v>44624.82671296296</v>
      </c>
      <c r="B117">
        <v>287834730</v>
      </c>
      <c r="C117" t="s">
        <v>275</v>
      </c>
      <c r="D117" t="s">
        <v>9</v>
      </c>
      <c r="E117" s="9">
        <v>2000</v>
      </c>
      <c r="F117" s="9">
        <v>2000</v>
      </c>
      <c r="G117" s="9">
        <v>1400</v>
      </c>
      <c r="I117" t="s">
        <v>169</v>
      </c>
      <c r="J117" t="s">
        <v>460</v>
      </c>
      <c r="K117" t="s">
        <v>11</v>
      </c>
      <c r="L117" t="str">
        <f>T("9791191562019")</f>
        <v>9791191562019</v>
      </c>
    </row>
    <row r="118" spans="1:12">
      <c r="A118" s="8">
        <v>44624.828333333331</v>
      </c>
      <c r="B118">
        <v>287834730</v>
      </c>
      <c r="C118" t="s">
        <v>275</v>
      </c>
      <c r="D118" t="s">
        <v>9</v>
      </c>
      <c r="E118" s="9">
        <v>-2000</v>
      </c>
      <c r="F118" s="9">
        <v>-2000</v>
      </c>
      <c r="G118" s="9">
        <v>-1400</v>
      </c>
      <c r="H118" s="8">
        <v>44624.82671296296</v>
      </c>
      <c r="I118" t="s">
        <v>169</v>
      </c>
      <c r="J118" t="s">
        <v>460</v>
      </c>
      <c r="K118" t="s">
        <v>11</v>
      </c>
      <c r="L118" t="str">
        <f>T("9791191562019")</f>
        <v>9791191562019</v>
      </c>
    </row>
    <row r="119" spans="1:12">
      <c r="A119" s="8">
        <v>44624.828506944446</v>
      </c>
      <c r="B119">
        <v>290197934</v>
      </c>
      <c r="C119" t="s">
        <v>604</v>
      </c>
      <c r="D119" t="s">
        <v>9</v>
      </c>
      <c r="E119" s="9">
        <v>2000</v>
      </c>
      <c r="F119" s="9">
        <v>2000</v>
      </c>
      <c r="G119" s="9">
        <v>1400</v>
      </c>
      <c r="I119" t="s">
        <v>605</v>
      </c>
      <c r="J119" t="s">
        <v>460</v>
      </c>
      <c r="K119" t="s">
        <v>11</v>
      </c>
      <c r="L119" t="str">
        <f>T("9791191562163")</f>
        <v>9791191562163</v>
      </c>
    </row>
    <row r="120" spans="1:12">
      <c r="A120" s="8">
        <v>44624.828645833331</v>
      </c>
      <c r="B120">
        <v>287834730</v>
      </c>
      <c r="C120" t="s">
        <v>275</v>
      </c>
      <c r="D120" t="s">
        <v>9</v>
      </c>
      <c r="E120" s="9">
        <v>2000</v>
      </c>
      <c r="F120" s="9">
        <v>2000</v>
      </c>
      <c r="G120" s="9">
        <v>1400</v>
      </c>
      <c r="I120" t="s">
        <v>169</v>
      </c>
      <c r="J120" t="s">
        <v>460</v>
      </c>
      <c r="K120" t="s">
        <v>11</v>
      </c>
      <c r="L120" t="str">
        <f>T("9791191562019")</f>
        <v>9791191562019</v>
      </c>
    </row>
    <row r="121" spans="1:12">
      <c r="A121" s="8">
        <v>44624.828715277778</v>
      </c>
      <c r="B121">
        <v>290197934</v>
      </c>
      <c r="C121" t="s">
        <v>604</v>
      </c>
      <c r="D121" t="s">
        <v>9</v>
      </c>
      <c r="E121" s="9">
        <v>2000</v>
      </c>
      <c r="F121" s="9">
        <v>2000</v>
      </c>
      <c r="G121" s="9">
        <v>1400</v>
      </c>
      <c r="I121" t="s">
        <v>605</v>
      </c>
      <c r="J121" t="s">
        <v>460</v>
      </c>
      <c r="K121" t="s">
        <v>11</v>
      </c>
      <c r="L121" t="str">
        <f>T("9791191562163")</f>
        <v>9791191562163</v>
      </c>
    </row>
    <row r="122" spans="1:12">
      <c r="A122" s="8">
        <v>44624.842222222222</v>
      </c>
      <c r="B122">
        <v>287834730</v>
      </c>
      <c r="C122" t="s">
        <v>275</v>
      </c>
      <c r="D122" t="s">
        <v>9</v>
      </c>
      <c r="E122" s="9">
        <v>2000</v>
      </c>
      <c r="F122" s="9">
        <v>2000</v>
      </c>
      <c r="G122" s="9">
        <v>1400</v>
      </c>
      <c r="I122" t="s">
        <v>169</v>
      </c>
      <c r="J122" t="s">
        <v>460</v>
      </c>
      <c r="K122" t="s">
        <v>11</v>
      </c>
      <c r="L122" t="str">
        <f>T("9791191562019")</f>
        <v>9791191562019</v>
      </c>
    </row>
    <row r="123" spans="1:12">
      <c r="A123" s="8">
        <v>44624.857071759259</v>
      </c>
      <c r="B123">
        <v>289315562</v>
      </c>
      <c r="C123" t="s">
        <v>478</v>
      </c>
      <c r="D123" t="s">
        <v>9</v>
      </c>
      <c r="E123" s="9">
        <v>3000</v>
      </c>
      <c r="F123" s="9">
        <v>3000</v>
      </c>
      <c r="G123" s="9">
        <v>2100</v>
      </c>
      <c r="I123" t="s">
        <v>454</v>
      </c>
      <c r="J123" t="s">
        <v>460</v>
      </c>
      <c r="K123" t="s">
        <v>11</v>
      </c>
      <c r="L123" t="str">
        <f>T("9791191562101")</f>
        <v>9791191562101</v>
      </c>
    </row>
    <row r="124" spans="1:12">
      <c r="A124" s="8">
        <v>44624.858460648145</v>
      </c>
      <c r="B124">
        <v>290197934</v>
      </c>
      <c r="C124" t="s">
        <v>604</v>
      </c>
      <c r="D124" t="s">
        <v>9</v>
      </c>
      <c r="E124" s="9">
        <v>2000</v>
      </c>
      <c r="F124" s="9">
        <v>2000</v>
      </c>
      <c r="G124" s="9">
        <v>1400</v>
      </c>
      <c r="I124" t="s">
        <v>605</v>
      </c>
      <c r="J124" t="s">
        <v>460</v>
      </c>
      <c r="K124" t="s">
        <v>11</v>
      </c>
      <c r="L124" t="str">
        <f>T("9791191562163")</f>
        <v>9791191562163</v>
      </c>
    </row>
    <row r="125" spans="1:12">
      <c r="A125" s="8">
        <v>44624.885671296295</v>
      </c>
      <c r="B125">
        <v>290197934</v>
      </c>
      <c r="C125" t="s">
        <v>604</v>
      </c>
      <c r="D125" t="s">
        <v>9</v>
      </c>
      <c r="E125" s="9">
        <v>2000</v>
      </c>
      <c r="F125" s="9">
        <v>2000</v>
      </c>
      <c r="G125" s="9">
        <v>1400</v>
      </c>
      <c r="I125" t="s">
        <v>605</v>
      </c>
      <c r="J125" t="s">
        <v>460</v>
      </c>
      <c r="K125" t="s">
        <v>11</v>
      </c>
      <c r="L125" t="str">
        <f>T("9791191562163")</f>
        <v>9791191562163</v>
      </c>
    </row>
    <row r="126" spans="1:12">
      <c r="A126" s="8">
        <v>44624.895462962966</v>
      </c>
      <c r="B126">
        <v>48799518</v>
      </c>
      <c r="C126" t="s">
        <v>607</v>
      </c>
      <c r="D126" t="s">
        <v>12</v>
      </c>
      <c r="E126">
        <v>900</v>
      </c>
      <c r="F126">
        <v>900</v>
      </c>
      <c r="G126">
        <v>630</v>
      </c>
      <c r="I126" t="s">
        <v>10</v>
      </c>
      <c r="J126" t="s">
        <v>11</v>
      </c>
      <c r="K126" t="s">
        <v>11</v>
      </c>
      <c r="L126" t="str">
        <f>T("9791159284809")</f>
        <v>9791159284809</v>
      </c>
    </row>
    <row r="127" spans="1:12">
      <c r="A127" s="8">
        <v>44624.903981481482</v>
      </c>
      <c r="B127">
        <v>287834730</v>
      </c>
      <c r="C127" t="s">
        <v>275</v>
      </c>
      <c r="D127" t="s">
        <v>9</v>
      </c>
      <c r="E127" s="9">
        <v>2000</v>
      </c>
      <c r="F127" s="9">
        <v>2000</v>
      </c>
      <c r="G127" s="9">
        <v>1400</v>
      </c>
      <c r="I127" t="s">
        <v>169</v>
      </c>
      <c r="J127" t="s">
        <v>460</v>
      </c>
      <c r="K127" t="s">
        <v>11</v>
      </c>
      <c r="L127" t="str">
        <f>T("9791191562019")</f>
        <v>9791191562019</v>
      </c>
    </row>
    <row r="128" spans="1:12">
      <c r="A128" s="8">
        <v>44624.924699074072</v>
      </c>
      <c r="B128">
        <v>290197934</v>
      </c>
      <c r="C128" t="s">
        <v>604</v>
      </c>
      <c r="D128" t="s">
        <v>9</v>
      </c>
      <c r="E128" s="9">
        <v>2000</v>
      </c>
      <c r="F128" s="9">
        <v>2000</v>
      </c>
      <c r="G128" s="9">
        <v>1400</v>
      </c>
      <c r="I128" t="s">
        <v>605</v>
      </c>
      <c r="J128" t="s">
        <v>460</v>
      </c>
      <c r="K128" t="s">
        <v>11</v>
      </c>
      <c r="L128" t="str">
        <f>T("9791191562163")</f>
        <v>9791191562163</v>
      </c>
    </row>
    <row r="129" spans="1:12">
      <c r="A129" s="8">
        <v>44624.934305555558</v>
      </c>
      <c r="B129">
        <v>290197934</v>
      </c>
      <c r="C129" t="s">
        <v>604</v>
      </c>
      <c r="D129" t="s">
        <v>9</v>
      </c>
      <c r="E129" s="9">
        <v>2000</v>
      </c>
      <c r="F129" s="9">
        <v>2000</v>
      </c>
      <c r="G129" s="9">
        <v>1400</v>
      </c>
      <c r="I129" t="s">
        <v>605</v>
      </c>
      <c r="J129" t="s">
        <v>460</v>
      </c>
      <c r="K129" t="s">
        <v>11</v>
      </c>
      <c r="L129" t="str">
        <f>T("9791191562163")</f>
        <v>9791191562163</v>
      </c>
    </row>
    <row r="130" spans="1:12">
      <c r="A130" s="8">
        <v>44624.941493055558</v>
      </c>
      <c r="B130">
        <v>290197934</v>
      </c>
      <c r="C130" t="s">
        <v>604</v>
      </c>
      <c r="D130" t="s">
        <v>9</v>
      </c>
      <c r="E130" s="9">
        <v>2000</v>
      </c>
      <c r="F130" s="9">
        <v>2000</v>
      </c>
      <c r="G130" s="9">
        <v>1400</v>
      </c>
      <c r="I130" t="s">
        <v>605</v>
      </c>
      <c r="J130" t="s">
        <v>460</v>
      </c>
      <c r="K130" t="s">
        <v>11</v>
      </c>
      <c r="L130" t="str">
        <f>T("9791191562163")</f>
        <v>9791191562163</v>
      </c>
    </row>
    <row r="131" spans="1:12">
      <c r="A131" s="8">
        <v>44624.970752314817</v>
      </c>
      <c r="B131">
        <v>289315562</v>
      </c>
      <c r="C131" t="s">
        <v>478</v>
      </c>
      <c r="D131" t="s">
        <v>9</v>
      </c>
      <c r="E131" s="9">
        <v>3000</v>
      </c>
      <c r="F131" s="9">
        <v>3000</v>
      </c>
      <c r="G131" s="9">
        <v>2100</v>
      </c>
      <c r="I131" t="s">
        <v>454</v>
      </c>
      <c r="J131" t="s">
        <v>460</v>
      </c>
      <c r="K131" t="s">
        <v>11</v>
      </c>
      <c r="L131" t="str">
        <f>T("9791191562101")</f>
        <v>9791191562101</v>
      </c>
    </row>
    <row r="132" spans="1:12">
      <c r="A132" s="8">
        <v>44624.979560185187</v>
      </c>
      <c r="B132">
        <v>289315562</v>
      </c>
      <c r="C132" t="s">
        <v>478</v>
      </c>
      <c r="D132" t="s">
        <v>9</v>
      </c>
      <c r="E132" s="9">
        <v>3000</v>
      </c>
      <c r="F132" s="9">
        <v>3000</v>
      </c>
      <c r="G132" s="9">
        <v>2100</v>
      </c>
      <c r="I132" t="s">
        <v>454</v>
      </c>
      <c r="J132" t="s">
        <v>460</v>
      </c>
      <c r="K132" t="s">
        <v>11</v>
      </c>
      <c r="L132" t="str">
        <f>T("9791191562101")</f>
        <v>9791191562101</v>
      </c>
    </row>
    <row r="133" spans="1:12">
      <c r="A133" s="8">
        <v>44624.990949074076</v>
      </c>
      <c r="B133">
        <v>289315562</v>
      </c>
      <c r="C133" t="s">
        <v>478</v>
      </c>
      <c r="D133" t="s">
        <v>9</v>
      </c>
      <c r="E133" s="9">
        <v>3000</v>
      </c>
      <c r="F133" s="9">
        <v>3000</v>
      </c>
      <c r="G133" s="9">
        <v>2100</v>
      </c>
      <c r="I133" t="s">
        <v>454</v>
      </c>
      <c r="J133" t="s">
        <v>460</v>
      </c>
      <c r="K133" t="s">
        <v>11</v>
      </c>
      <c r="L133" t="str">
        <f>T("9791191562101")</f>
        <v>9791191562101</v>
      </c>
    </row>
    <row r="134" spans="1:12">
      <c r="A134" s="8">
        <v>44624.996504629627</v>
      </c>
      <c r="B134">
        <v>287834730</v>
      </c>
      <c r="C134" t="s">
        <v>275</v>
      </c>
      <c r="D134" t="s">
        <v>9</v>
      </c>
      <c r="E134" s="9">
        <v>2000</v>
      </c>
      <c r="F134" s="9">
        <v>2000</v>
      </c>
      <c r="G134" s="9">
        <v>1400</v>
      </c>
      <c r="I134" t="s">
        <v>169</v>
      </c>
      <c r="J134" t="s">
        <v>460</v>
      </c>
      <c r="K134" t="s">
        <v>11</v>
      </c>
      <c r="L134" t="str">
        <f>T("9791191562019")</f>
        <v>9791191562019</v>
      </c>
    </row>
    <row r="135" spans="1:12">
      <c r="A135" s="8">
        <v>44624.996550925927</v>
      </c>
      <c r="B135">
        <v>290197934</v>
      </c>
      <c r="C135" t="s">
        <v>604</v>
      </c>
      <c r="D135" t="s">
        <v>9</v>
      </c>
      <c r="E135" s="9">
        <v>2000</v>
      </c>
      <c r="F135" s="9">
        <v>2000</v>
      </c>
      <c r="G135" s="9">
        <v>1400</v>
      </c>
      <c r="I135" t="s">
        <v>605</v>
      </c>
      <c r="J135" t="s">
        <v>460</v>
      </c>
      <c r="K135" t="s">
        <v>11</v>
      </c>
      <c r="L135" t="str">
        <f>T("9791191562163")</f>
        <v>9791191562163</v>
      </c>
    </row>
    <row r="136" spans="1:12">
      <c r="A136" s="8">
        <v>44624.999606481484</v>
      </c>
      <c r="B136">
        <v>288829883</v>
      </c>
      <c r="C136" t="s">
        <v>476</v>
      </c>
      <c r="D136" t="s">
        <v>9</v>
      </c>
      <c r="E136" s="9">
        <v>2000</v>
      </c>
      <c r="F136" s="9">
        <v>2000</v>
      </c>
      <c r="G136" s="9">
        <v>1400</v>
      </c>
      <c r="I136" t="s">
        <v>552</v>
      </c>
      <c r="J136" t="s">
        <v>460</v>
      </c>
      <c r="K136" t="s">
        <v>11</v>
      </c>
      <c r="L136" t="str">
        <f>T("9791191562064")</f>
        <v>9791191562064</v>
      </c>
    </row>
    <row r="137" spans="1:12">
      <c r="A137" s="8">
        <v>44625.006435185183</v>
      </c>
      <c r="B137">
        <v>287834730</v>
      </c>
      <c r="C137" t="s">
        <v>275</v>
      </c>
      <c r="D137" t="s">
        <v>9</v>
      </c>
      <c r="E137" s="9">
        <v>2000</v>
      </c>
      <c r="F137" s="9">
        <v>2000</v>
      </c>
      <c r="G137" s="9">
        <v>1400</v>
      </c>
      <c r="I137" t="s">
        <v>169</v>
      </c>
      <c r="J137" t="s">
        <v>460</v>
      </c>
      <c r="K137" t="s">
        <v>11</v>
      </c>
      <c r="L137" t="str">
        <f>T("9791191562019")</f>
        <v>9791191562019</v>
      </c>
    </row>
    <row r="138" spans="1:12">
      <c r="A138" s="8">
        <v>44625.007800925923</v>
      </c>
      <c r="B138">
        <v>48799521</v>
      </c>
      <c r="C138" t="s">
        <v>608</v>
      </c>
      <c r="D138" t="s">
        <v>12</v>
      </c>
      <c r="E138">
        <v>900</v>
      </c>
      <c r="F138">
        <v>900</v>
      </c>
      <c r="G138">
        <v>630</v>
      </c>
      <c r="I138" t="s">
        <v>10</v>
      </c>
      <c r="J138" t="s">
        <v>11</v>
      </c>
      <c r="K138" t="s">
        <v>11</v>
      </c>
      <c r="L138" t="str">
        <f>T("9791159284816")</f>
        <v>9791159284816</v>
      </c>
    </row>
    <row r="139" spans="1:12">
      <c r="A139" s="8">
        <v>44625.067337962966</v>
      </c>
      <c r="B139">
        <v>287834730</v>
      </c>
      <c r="C139" t="s">
        <v>275</v>
      </c>
      <c r="D139" t="s">
        <v>9</v>
      </c>
      <c r="E139" s="9">
        <v>2000</v>
      </c>
      <c r="F139" s="9">
        <v>2000</v>
      </c>
      <c r="G139" s="9">
        <v>1400</v>
      </c>
      <c r="I139" t="s">
        <v>169</v>
      </c>
      <c r="J139" t="s">
        <v>460</v>
      </c>
      <c r="K139" t="s">
        <v>11</v>
      </c>
      <c r="L139" t="str">
        <f>T("9791191562019")</f>
        <v>9791191562019</v>
      </c>
    </row>
    <row r="140" spans="1:12">
      <c r="A140" s="8">
        <v>44625.076516203706</v>
      </c>
      <c r="B140">
        <v>289956908</v>
      </c>
      <c r="C140" t="s">
        <v>481</v>
      </c>
      <c r="D140" t="s">
        <v>9</v>
      </c>
      <c r="E140" s="9">
        <v>2000</v>
      </c>
      <c r="F140" s="9">
        <v>2000</v>
      </c>
      <c r="G140" s="9">
        <v>1400</v>
      </c>
      <c r="I140" t="s">
        <v>457</v>
      </c>
      <c r="J140" t="s">
        <v>460</v>
      </c>
      <c r="K140" t="s">
        <v>11</v>
      </c>
      <c r="L140" t="str">
        <f>T("9791191562040")</f>
        <v>9791191562040</v>
      </c>
    </row>
    <row r="141" spans="1:12">
      <c r="A141" s="8">
        <v>44625.080081018517</v>
      </c>
      <c r="B141">
        <v>48799523</v>
      </c>
      <c r="C141" t="s">
        <v>609</v>
      </c>
      <c r="D141" t="s">
        <v>12</v>
      </c>
      <c r="E141">
        <v>900</v>
      </c>
      <c r="F141">
        <v>900</v>
      </c>
      <c r="G141">
        <v>630</v>
      </c>
      <c r="I141" t="s">
        <v>10</v>
      </c>
      <c r="J141" t="s">
        <v>11</v>
      </c>
      <c r="K141" t="s">
        <v>11</v>
      </c>
      <c r="L141" t="str">
        <f>T("9791159284823")</f>
        <v>9791159284823</v>
      </c>
    </row>
    <row r="142" spans="1:12">
      <c r="A142" s="8">
        <v>44625.122002314813</v>
      </c>
      <c r="B142">
        <v>289315562</v>
      </c>
      <c r="C142" t="s">
        <v>478</v>
      </c>
      <c r="D142" t="s">
        <v>9</v>
      </c>
      <c r="E142" s="9">
        <v>3000</v>
      </c>
      <c r="F142" s="9">
        <v>3000</v>
      </c>
      <c r="G142" s="9">
        <v>2100</v>
      </c>
      <c r="I142" t="s">
        <v>454</v>
      </c>
      <c r="J142" t="s">
        <v>460</v>
      </c>
      <c r="K142" t="s">
        <v>11</v>
      </c>
      <c r="L142" t="str">
        <f>T("9791191562101")</f>
        <v>9791191562101</v>
      </c>
    </row>
    <row r="143" spans="1:12">
      <c r="A143" s="8">
        <v>44625.337951388887</v>
      </c>
      <c r="B143">
        <v>289315562</v>
      </c>
      <c r="C143" t="s">
        <v>478</v>
      </c>
      <c r="D143" t="s">
        <v>9</v>
      </c>
      <c r="E143" s="9">
        <v>3000</v>
      </c>
      <c r="F143" s="9">
        <v>3000</v>
      </c>
      <c r="G143" s="9">
        <v>2100</v>
      </c>
      <c r="I143" t="s">
        <v>454</v>
      </c>
      <c r="J143" t="s">
        <v>460</v>
      </c>
      <c r="K143" t="s">
        <v>11</v>
      </c>
      <c r="L143" t="str">
        <f>T("9791191562101")</f>
        <v>9791191562101</v>
      </c>
    </row>
    <row r="144" spans="1:12">
      <c r="A144" s="8">
        <v>44625.347268518519</v>
      </c>
      <c r="B144">
        <v>289315562</v>
      </c>
      <c r="C144" t="s">
        <v>478</v>
      </c>
      <c r="D144" t="s">
        <v>9</v>
      </c>
      <c r="E144" s="9">
        <v>3000</v>
      </c>
      <c r="F144" s="9">
        <v>3000</v>
      </c>
      <c r="G144" s="9">
        <v>2100</v>
      </c>
      <c r="I144" t="s">
        <v>454</v>
      </c>
      <c r="J144" t="s">
        <v>460</v>
      </c>
      <c r="K144" t="s">
        <v>11</v>
      </c>
      <c r="L144" t="str">
        <f>T("9791191562101")</f>
        <v>9791191562101</v>
      </c>
    </row>
    <row r="145" spans="1:12">
      <c r="A145" s="8">
        <v>44625.356574074074</v>
      </c>
      <c r="B145">
        <v>248962258</v>
      </c>
      <c r="C145" t="s">
        <v>610</v>
      </c>
      <c r="D145" t="s">
        <v>12</v>
      </c>
      <c r="E145">
        <v>900</v>
      </c>
      <c r="F145">
        <v>900</v>
      </c>
      <c r="G145">
        <v>630</v>
      </c>
      <c r="I145" t="s">
        <v>14</v>
      </c>
      <c r="J145" t="s">
        <v>11</v>
      </c>
      <c r="K145" t="s">
        <v>11</v>
      </c>
      <c r="L145" t="str">
        <f>T("9791166066771")</f>
        <v>9791166066771</v>
      </c>
    </row>
    <row r="146" spans="1:12">
      <c r="A146" s="8">
        <v>44625.366238425922</v>
      </c>
      <c r="B146">
        <v>290084502</v>
      </c>
      <c r="C146" t="s">
        <v>592</v>
      </c>
      <c r="D146" t="s">
        <v>9</v>
      </c>
      <c r="E146" s="9">
        <v>2500</v>
      </c>
      <c r="F146" s="9">
        <v>2500</v>
      </c>
      <c r="G146" s="9">
        <v>1750</v>
      </c>
      <c r="I146" t="s">
        <v>593</v>
      </c>
      <c r="J146" t="s">
        <v>460</v>
      </c>
      <c r="K146" t="s">
        <v>11</v>
      </c>
      <c r="L146" t="str">
        <f>T("9791191562125")</f>
        <v>9791191562125</v>
      </c>
    </row>
    <row r="147" spans="1:12">
      <c r="A147" s="8">
        <v>44625.37228009259</v>
      </c>
      <c r="B147">
        <v>290084502</v>
      </c>
      <c r="C147" t="s">
        <v>592</v>
      </c>
      <c r="D147" t="s">
        <v>9</v>
      </c>
      <c r="E147" s="9">
        <v>2500</v>
      </c>
      <c r="F147" s="9">
        <v>2500</v>
      </c>
      <c r="G147" s="9">
        <v>1750</v>
      </c>
      <c r="I147" t="s">
        <v>593</v>
      </c>
      <c r="J147" t="s">
        <v>460</v>
      </c>
      <c r="K147" t="s">
        <v>11</v>
      </c>
      <c r="L147" t="str">
        <f>T("9791191562125")</f>
        <v>9791191562125</v>
      </c>
    </row>
    <row r="148" spans="1:12">
      <c r="A148" s="8">
        <v>44625.376585648148</v>
      </c>
      <c r="B148">
        <v>186276474</v>
      </c>
      <c r="C148" t="s">
        <v>69</v>
      </c>
      <c r="D148" t="s">
        <v>9</v>
      </c>
      <c r="E148" s="9">
        <v>3500</v>
      </c>
      <c r="F148" s="9">
        <v>3500</v>
      </c>
      <c r="G148" s="9">
        <v>2450</v>
      </c>
      <c r="I148" t="s">
        <v>27</v>
      </c>
      <c r="J148" t="s">
        <v>11</v>
      </c>
      <c r="K148" t="s">
        <v>11</v>
      </c>
      <c r="L148" t="str">
        <f>T("9791159286773")</f>
        <v>9791159286773</v>
      </c>
    </row>
    <row r="149" spans="1:12">
      <c r="A149" s="8">
        <v>44625.376979166664</v>
      </c>
      <c r="B149">
        <v>287834730</v>
      </c>
      <c r="C149" t="s">
        <v>275</v>
      </c>
      <c r="D149" t="s">
        <v>9</v>
      </c>
      <c r="E149" s="9">
        <v>2000</v>
      </c>
      <c r="F149" s="9">
        <v>2000</v>
      </c>
      <c r="G149" s="9">
        <v>1400</v>
      </c>
      <c r="I149" t="s">
        <v>169</v>
      </c>
      <c r="J149" t="s">
        <v>460</v>
      </c>
      <c r="K149" t="s">
        <v>11</v>
      </c>
      <c r="L149" t="str">
        <f>T("9791191562019")</f>
        <v>9791191562019</v>
      </c>
    </row>
    <row r="150" spans="1:12">
      <c r="A150" s="8">
        <v>44625.393125000002</v>
      </c>
      <c r="B150">
        <v>290197934</v>
      </c>
      <c r="C150" t="s">
        <v>604</v>
      </c>
      <c r="D150" t="s">
        <v>9</v>
      </c>
      <c r="E150" s="9">
        <v>2000</v>
      </c>
      <c r="F150" s="9">
        <v>2000</v>
      </c>
      <c r="G150" s="9">
        <v>1400</v>
      </c>
      <c r="I150" t="s">
        <v>605</v>
      </c>
      <c r="J150" t="s">
        <v>460</v>
      </c>
      <c r="K150" t="s">
        <v>11</v>
      </c>
      <c r="L150" t="str">
        <f>T("9791191562163")</f>
        <v>9791191562163</v>
      </c>
    </row>
    <row r="151" spans="1:12">
      <c r="A151" s="8">
        <v>44625.46497685185</v>
      </c>
      <c r="B151">
        <v>290197934</v>
      </c>
      <c r="C151" t="s">
        <v>604</v>
      </c>
      <c r="D151" t="s">
        <v>9</v>
      </c>
      <c r="E151" s="9">
        <v>2000</v>
      </c>
      <c r="F151" s="9">
        <v>2000</v>
      </c>
      <c r="G151" s="9">
        <v>1400</v>
      </c>
      <c r="I151" t="s">
        <v>605</v>
      </c>
      <c r="J151" t="s">
        <v>460</v>
      </c>
      <c r="K151" t="s">
        <v>11</v>
      </c>
      <c r="L151" t="str">
        <f>T("9791191562163")</f>
        <v>9791191562163</v>
      </c>
    </row>
    <row r="152" spans="1:12">
      <c r="A152" s="8">
        <v>44625.513518518521</v>
      </c>
      <c r="B152">
        <v>290084502</v>
      </c>
      <c r="C152" t="s">
        <v>592</v>
      </c>
      <c r="D152" t="s">
        <v>9</v>
      </c>
      <c r="E152" s="9">
        <v>2500</v>
      </c>
      <c r="F152" s="9">
        <v>2500</v>
      </c>
      <c r="G152" s="9">
        <v>1750</v>
      </c>
      <c r="I152" t="s">
        <v>593</v>
      </c>
      <c r="J152" t="s">
        <v>460</v>
      </c>
      <c r="K152" t="s">
        <v>11</v>
      </c>
      <c r="L152" t="str">
        <f>T("9791191562125")</f>
        <v>9791191562125</v>
      </c>
    </row>
    <row r="153" spans="1:12">
      <c r="A153" s="8">
        <v>44625.545729166668</v>
      </c>
      <c r="B153">
        <v>290197934</v>
      </c>
      <c r="C153" t="s">
        <v>604</v>
      </c>
      <c r="D153" t="s">
        <v>9</v>
      </c>
      <c r="E153" s="9">
        <v>2000</v>
      </c>
      <c r="F153" s="9">
        <v>2000</v>
      </c>
      <c r="G153" s="9">
        <v>1400</v>
      </c>
      <c r="I153" t="s">
        <v>605</v>
      </c>
      <c r="J153" t="s">
        <v>460</v>
      </c>
      <c r="K153" t="s">
        <v>11</v>
      </c>
      <c r="L153" t="str">
        <f>T("9791191562163")</f>
        <v>9791191562163</v>
      </c>
    </row>
    <row r="154" spans="1:12">
      <c r="A154" s="8">
        <v>44625.547060185185</v>
      </c>
      <c r="B154">
        <v>290197934</v>
      </c>
      <c r="C154" t="s">
        <v>604</v>
      </c>
      <c r="D154" t="s">
        <v>9</v>
      </c>
      <c r="E154" s="9">
        <v>2000</v>
      </c>
      <c r="F154" s="9">
        <v>2000</v>
      </c>
      <c r="G154" s="9">
        <v>1400</v>
      </c>
      <c r="I154" t="s">
        <v>605</v>
      </c>
      <c r="J154" t="s">
        <v>460</v>
      </c>
      <c r="K154" t="s">
        <v>11</v>
      </c>
      <c r="L154" t="str">
        <f>T("9791191562163")</f>
        <v>9791191562163</v>
      </c>
    </row>
    <row r="155" spans="1:12">
      <c r="A155" s="8">
        <v>44625.554120370369</v>
      </c>
      <c r="B155">
        <v>290197934</v>
      </c>
      <c r="C155" t="s">
        <v>604</v>
      </c>
      <c r="D155" t="s">
        <v>9</v>
      </c>
      <c r="E155" s="9">
        <v>2000</v>
      </c>
      <c r="F155" s="9">
        <v>2000</v>
      </c>
      <c r="G155" s="9">
        <v>1400</v>
      </c>
      <c r="I155" t="s">
        <v>605</v>
      </c>
      <c r="J155" t="s">
        <v>460</v>
      </c>
      <c r="K155" t="s">
        <v>11</v>
      </c>
      <c r="L155" t="str">
        <f>T("9791191562163")</f>
        <v>9791191562163</v>
      </c>
    </row>
    <row r="156" spans="1:12">
      <c r="A156" s="8">
        <v>44625.658726851849</v>
      </c>
      <c r="B156">
        <v>290197934</v>
      </c>
      <c r="C156" t="s">
        <v>604</v>
      </c>
      <c r="D156" t="s">
        <v>9</v>
      </c>
      <c r="E156" s="9">
        <v>2000</v>
      </c>
      <c r="F156" s="9">
        <v>2000</v>
      </c>
      <c r="G156" s="9">
        <v>1400</v>
      </c>
      <c r="I156" t="s">
        <v>605</v>
      </c>
      <c r="J156" t="s">
        <v>460</v>
      </c>
      <c r="K156" t="s">
        <v>11</v>
      </c>
      <c r="L156" t="str">
        <f>T("9791191562163")</f>
        <v>9791191562163</v>
      </c>
    </row>
    <row r="157" spans="1:12">
      <c r="A157" s="8">
        <v>44625.660127314812</v>
      </c>
      <c r="B157">
        <v>48791693</v>
      </c>
      <c r="C157" t="s">
        <v>611</v>
      </c>
      <c r="D157" t="s">
        <v>9</v>
      </c>
      <c r="E157" s="9">
        <v>3200</v>
      </c>
      <c r="F157" s="9">
        <v>3200</v>
      </c>
      <c r="G157" s="9">
        <v>2240</v>
      </c>
      <c r="I157" t="s">
        <v>10</v>
      </c>
      <c r="J157" t="s">
        <v>11</v>
      </c>
      <c r="K157" t="s">
        <v>11</v>
      </c>
      <c r="L157" t="str">
        <f>T("9791159283703")</f>
        <v>9791159283703</v>
      </c>
    </row>
    <row r="158" spans="1:12">
      <c r="A158" s="8">
        <v>44625.664027777777</v>
      </c>
      <c r="B158">
        <v>289315562</v>
      </c>
      <c r="C158" t="s">
        <v>478</v>
      </c>
      <c r="D158" t="s">
        <v>9</v>
      </c>
      <c r="E158" s="9">
        <v>3000</v>
      </c>
      <c r="F158" s="9">
        <v>3000</v>
      </c>
      <c r="G158" s="9">
        <v>2100</v>
      </c>
      <c r="I158" t="s">
        <v>454</v>
      </c>
      <c r="J158" t="s">
        <v>460</v>
      </c>
      <c r="K158" t="s">
        <v>11</v>
      </c>
      <c r="L158" t="str">
        <f>T("9791191562101")</f>
        <v>9791191562101</v>
      </c>
    </row>
    <row r="159" spans="1:12">
      <c r="A159" s="8">
        <v>44625.674212962964</v>
      </c>
      <c r="B159">
        <v>48799525</v>
      </c>
      <c r="C159" t="s">
        <v>612</v>
      </c>
      <c r="D159" t="s">
        <v>12</v>
      </c>
      <c r="E159">
        <v>900</v>
      </c>
      <c r="F159">
        <v>900</v>
      </c>
      <c r="G159">
        <v>630</v>
      </c>
      <c r="I159" t="s">
        <v>10</v>
      </c>
      <c r="J159" t="s">
        <v>11</v>
      </c>
      <c r="K159" t="s">
        <v>11</v>
      </c>
      <c r="L159" t="str">
        <f>T("9791159284830")</f>
        <v>9791159284830</v>
      </c>
    </row>
    <row r="160" spans="1:12">
      <c r="A160" s="8">
        <v>44625.688692129632</v>
      </c>
      <c r="B160">
        <v>289315562</v>
      </c>
      <c r="C160" t="s">
        <v>478</v>
      </c>
      <c r="D160" t="s">
        <v>9</v>
      </c>
      <c r="E160" s="9">
        <v>3000</v>
      </c>
      <c r="F160" s="9">
        <v>3000</v>
      </c>
      <c r="G160" s="9">
        <v>2100</v>
      </c>
      <c r="I160" t="s">
        <v>454</v>
      </c>
      <c r="J160" t="s">
        <v>460</v>
      </c>
      <c r="K160" t="s">
        <v>11</v>
      </c>
      <c r="L160" t="str">
        <f>T("9791191562101")</f>
        <v>9791191562101</v>
      </c>
    </row>
    <row r="161" spans="1:12">
      <c r="A161" s="8">
        <v>44625.746111111112</v>
      </c>
      <c r="B161">
        <v>290197934</v>
      </c>
      <c r="C161" t="s">
        <v>604</v>
      </c>
      <c r="D161" t="s">
        <v>9</v>
      </c>
      <c r="E161" s="9">
        <v>2000</v>
      </c>
      <c r="F161" s="9">
        <v>2000</v>
      </c>
      <c r="G161" s="9">
        <v>1400</v>
      </c>
      <c r="I161" t="s">
        <v>605</v>
      </c>
      <c r="J161" t="s">
        <v>460</v>
      </c>
      <c r="K161" t="s">
        <v>11</v>
      </c>
      <c r="L161" t="str">
        <f>T("9791191562163")</f>
        <v>9791191562163</v>
      </c>
    </row>
    <row r="162" spans="1:12">
      <c r="A162" s="8">
        <v>44625.751469907409</v>
      </c>
      <c r="B162">
        <v>290197934</v>
      </c>
      <c r="C162" t="s">
        <v>604</v>
      </c>
      <c r="D162" t="s">
        <v>9</v>
      </c>
      <c r="E162" s="9">
        <v>2000</v>
      </c>
      <c r="F162" s="9">
        <v>2000</v>
      </c>
      <c r="G162" s="9">
        <v>1400</v>
      </c>
      <c r="I162" t="s">
        <v>605</v>
      </c>
      <c r="J162" t="s">
        <v>460</v>
      </c>
      <c r="K162" t="s">
        <v>11</v>
      </c>
      <c r="L162" t="str">
        <f>T("9791191562163")</f>
        <v>9791191562163</v>
      </c>
    </row>
    <row r="163" spans="1:12">
      <c r="A163" s="8">
        <v>44625.761678240742</v>
      </c>
      <c r="B163">
        <v>54081867</v>
      </c>
      <c r="C163" t="s">
        <v>470</v>
      </c>
      <c r="D163" t="s">
        <v>9</v>
      </c>
      <c r="E163">
        <v>0</v>
      </c>
      <c r="F163">
        <v>0</v>
      </c>
      <c r="G163">
        <v>0</v>
      </c>
      <c r="I163" t="s">
        <v>13</v>
      </c>
      <c r="J163" t="s">
        <v>11</v>
      </c>
      <c r="K163" t="s">
        <v>11</v>
      </c>
      <c r="L163" t="str">
        <f>T("9791195622535")</f>
        <v>9791195622535</v>
      </c>
    </row>
    <row r="164" spans="1:12">
      <c r="A164" s="8">
        <v>44625.800810185188</v>
      </c>
      <c r="B164">
        <v>290197934</v>
      </c>
      <c r="C164" t="s">
        <v>604</v>
      </c>
      <c r="D164" t="s">
        <v>9</v>
      </c>
      <c r="E164" s="9">
        <v>2000</v>
      </c>
      <c r="F164" s="9">
        <v>2000</v>
      </c>
      <c r="G164" s="9">
        <v>1400</v>
      </c>
      <c r="I164" t="s">
        <v>605</v>
      </c>
      <c r="J164" t="s">
        <v>460</v>
      </c>
      <c r="K164" t="s">
        <v>11</v>
      </c>
      <c r="L164" t="str">
        <f>T("9791191562163")</f>
        <v>9791191562163</v>
      </c>
    </row>
    <row r="165" spans="1:12">
      <c r="A165" s="8">
        <v>44625.805173611108</v>
      </c>
      <c r="B165">
        <v>254628542</v>
      </c>
      <c r="C165" t="s">
        <v>590</v>
      </c>
      <c r="D165" t="s">
        <v>9</v>
      </c>
      <c r="E165" s="9">
        <v>22400</v>
      </c>
      <c r="F165" s="9">
        <v>22400</v>
      </c>
      <c r="G165" s="9">
        <v>15680</v>
      </c>
      <c r="I165" t="s">
        <v>591</v>
      </c>
      <c r="J165" t="s">
        <v>11</v>
      </c>
      <c r="K165" t="s">
        <v>11</v>
      </c>
      <c r="L165" t="str">
        <f>T("9791166069260")</f>
        <v>9791166069260</v>
      </c>
    </row>
    <row r="166" spans="1:12">
      <c r="A166" s="8">
        <v>44625.809212962966</v>
      </c>
      <c r="B166">
        <v>290197934</v>
      </c>
      <c r="C166" t="s">
        <v>604</v>
      </c>
      <c r="D166" t="s">
        <v>9</v>
      </c>
      <c r="E166" s="9">
        <v>2000</v>
      </c>
      <c r="F166" s="9">
        <v>2000</v>
      </c>
      <c r="G166" s="9">
        <v>1400</v>
      </c>
      <c r="I166" t="s">
        <v>605</v>
      </c>
      <c r="J166" t="s">
        <v>460</v>
      </c>
      <c r="K166" t="s">
        <v>11</v>
      </c>
      <c r="L166" t="str">
        <f>T("9791191562163")</f>
        <v>9791191562163</v>
      </c>
    </row>
    <row r="167" spans="1:12">
      <c r="A167" s="8">
        <v>44625.836805555555</v>
      </c>
      <c r="B167">
        <v>289315562</v>
      </c>
      <c r="C167" t="s">
        <v>478</v>
      </c>
      <c r="D167" t="s">
        <v>9</v>
      </c>
      <c r="E167" s="9">
        <v>3000</v>
      </c>
      <c r="F167" s="9">
        <v>3000</v>
      </c>
      <c r="G167" s="9">
        <v>2100</v>
      </c>
      <c r="I167" t="s">
        <v>454</v>
      </c>
      <c r="J167" t="s">
        <v>460</v>
      </c>
      <c r="K167" t="s">
        <v>11</v>
      </c>
      <c r="L167" t="str">
        <f>T("9791191562101")</f>
        <v>9791191562101</v>
      </c>
    </row>
    <row r="168" spans="1:12">
      <c r="A168" s="8">
        <v>44625.842395833337</v>
      </c>
      <c r="B168">
        <v>290197934</v>
      </c>
      <c r="C168" t="s">
        <v>604</v>
      </c>
      <c r="D168" t="s">
        <v>9</v>
      </c>
      <c r="E168" s="9">
        <v>2000</v>
      </c>
      <c r="F168" s="9">
        <v>2000</v>
      </c>
      <c r="G168" s="9">
        <v>1400</v>
      </c>
      <c r="I168" t="s">
        <v>605</v>
      </c>
      <c r="J168" t="s">
        <v>460</v>
      </c>
      <c r="K168" t="s">
        <v>11</v>
      </c>
      <c r="L168" t="str">
        <f>T("9791191562163")</f>
        <v>9791191562163</v>
      </c>
    </row>
    <row r="169" spans="1:12">
      <c r="A169" s="8">
        <v>44625.866550925923</v>
      </c>
      <c r="B169">
        <v>290197934</v>
      </c>
      <c r="C169" t="s">
        <v>604</v>
      </c>
      <c r="D169" t="s">
        <v>9</v>
      </c>
      <c r="E169" s="9">
        <v>2000</v>
      </c>
      <c r="F169" s="9">
        <v>2000</v>
      </c>
      <c r="G169" s="9">
        <v>1400</v>
      </c>
      <c r="I169" t="s">
        <v>605</v>
      </c>
      <c r="J169" t="s">
        <v>460</v>
      </c>
      <c r="K169" t="s">
        <v>11</v>
      </c>
      <c r="L169" t="str">
        <f>T("9791191562163")</f>
        <v>9791191562163</v>
      </c>
    </row>
    <row r="170" spans="1:12">
      <c r="A170" s="8">
        <v>44625.889456018522</v>
      </c>
      <c r="B170">
        <v>290197934</v>
      </c>
      <c r="C170" t="s">
        <v>604</v>
      </c>
      <c r="D170" t="s">
        <v>9</v>
      </c>
      <c r="E170" s="9">
        <v>2000</v>
      </c>
      <c r="F170" s="9">
        <v>2000</v>
      </c>
      <c r="G170" s="9">
        <v>1400</v>
      </c>
      <c r="I170" t="s">
        <v>605</v>
      </c>
      <c r="J170" t="s">
        <v>460</v>
      </c>
      <c r="K170" t="s">
        <v>11</v>
      </c>
      <c r="L170" t="str">
        <f>T("9791191562163")</f>
        <v>9791191562163</v>
      </c>
    </row>
    <row r="171" spans="1:12">
      <c r="A171" s="8">
        <v>44625.90934027778</v>
      </c>
      <c r="B171">
        <v>290197934</v>
      </c>
      <c r="C171" t="s">
        <v>604</v>
      </c>
      <c r="D171" t="s">
        <v>9</v>
      </c>
      <c r="E171" s="9">
        <v>2000</v>
      </c>
      <c r="F171" s="9">
        <v>2000</v>
      </c>
      <c r="G171" s="9">
        <v>1400</v>
      </c>
      <c r="I171" t="s">
        <v>605</v>
      </c>
      <c r="J171" t="s">
        <v>460</v>
      </c>
      <c r="K171" t="s">
        <v>11</v>
      </c>
      <c r="L171" t="str">
        <f>T("9791191562163")</f>
        <v>9791191562163</v>
      </c>
    </row>
    <row r="172" spans="1:12">
      <c r="A172" s="8">
        <v>44625.910555555558</v>
      </c>
      <c r="B172">
        <v>289315562</v>
      </c>
      <c r="C172" t="s">
        <v>478</v>
      </c>
      <c r="D172" t="s">
        <v>9</v>
      </c>
      <c r="E172" s="9">
        <v>3000</v>
      </c>
      <c r="F172" s="9">
        <v>3000</v>
      </c>
      <c r="G172" s="9">
        <v>2100</v>
      </c>
      <c r="I172" t="s">
        <v>454</v>
      </c>
      <c r="J172" t="s">
        <v>460</v>
      </c>
      <c r="K172" t="s">
        <v>11</v>
      </c>
      <c r="L172" t="str">
        <f>T("9791191562101")</f>
        <v>9791191562101</v>
      </c>
    </row>
    <row r="173" spans="1:12">
      <c r="A173" s="8">
        <v>44625.918796296297</v>
      </c>
      <c r="B173">
        <v>290197934</v>
      </c>
      <c r="C173" t="s">
        <v>604</v>
      </c>
      <c r="D173" t="s">
        <v>9</v>
      </c>
      <c r="E173" s="9">
        <v>2000</v>
      </c>
      <c r="F173" s="9">
        <v>2000</v>
      </c>
      <c r="G173" s="9">
        <v>1400</v>
      </c>
      <c r="I173" t="s">
        <v>605</v>
      </c>
      <c r="J173" t="s">
        <v>460</v>
      </c>
      <c r="K173" t="s">
        <v>11</v>
      </c>
      <c r="L173" t="str">
        <f>T("9791191562163")</f>
        <v>9791191562163</v>
      </c>
    </row>
    <row r="174" spans="1:12">
      <c r="A174" s="8">
        <v>44625.923530092594</v>
      </c>
      <c r="B174">
        <v>290197934</v>
      </c>
      <c r="C174" t="s">
        <v>604</v>
      </c>
      <c r="D174" t="s">
        <v>9</v>
      </c>
      <c r="E174" s="9">
        <v>2000</v>
      </c>
      <c r="F174" s="9">
        <v>2000</v>
      </c>
      <c r="G174" s="9">
        <v>1400</v>
      </c>
      <c r="I174" t="s">
        <v>605</v>
      </c>
      <c r="J174" t="s">
        <v>460</v>
      </c>
      <c r="K174" t="s">
        <v>11</v>
      </c>
      <c r="L174" t="str">
        <f>T("9791191562163")</f>
        <v>9791191562163</v>
      </c>
    </row>
    <row r="175" spans="1:12">
      <c r="A175" s="8">
        <v>44625.943379629629</v>
      </c>
      <c r="B175">
        <v>248962261</v>
      </c>
      <c r="C175" t="s">
        <v>613</v>
      </c>
      <c r="D175" t="s">
        <v>12</v>
      </c>
      <c r="E175">
        <v>900</v>
      </c>
      <c r="F175">
        <v>900</v>
      </c>
      <c r="G175">
        <v>630</v>
      </c>
      <c r="I175" t="s">
        <v>14</v>
      </c>
      <c r="J175" t="s">
        <v>11</v>
      </c>
      <c r="K175" t="s">
        <v>11</v>
      </c>
      <c r="L175" t="str">
        <f>T("9791166066788")</f>
        <v>9791166066788</v>
      </c>
    </row>
    <row r="176" spans="1:12">
      <c r="A176" s="8">
        <v>44625.951203703706</v>
      </c>
      <c r="B176">
        <v>249311773</v>
      </c>
      <c r="C176" t="s">
        <v>614</v>
      </c>
      <c r="D176" t="s">
        <v>12</v>
      </c>
      <c r="E176">
        <v>0</v>
      </c>
      <c r="F176">
        <v>0</v>
      </c>
      <c r="G176">
        <v>0</v>
      </c>
      <c r="I176" t="s">
        <v>16</v>
      </c>
      <c r="J176" t="s">
        <v>11</v>
      </c>
      <c r="K176" t="s">
        <v>11</v>
      </c>
      <c r="L176" t="str">
        <f>T("9791159282614")</f>
        <v>9791159282614</v>
      </c>
    </row>
    <row r="177" spans="1:12">
      <c r="A177" s="8">
        <v>44625.958645833336</v>
      </c>
      <c r="B177">
        <v>286896672</v>
      </c>
      <c r="C177" t="s">
        <v>248</v>
      </c>
      <c r="D177" t="s">
        <v>9</v>
      </c>
      <c r="E177" s="9">
        <v>2500</v>
      </c>
      <c r="F177" s="9">
        <v>2500</v>
      </c>
      <c r="G177" s="9">
        <v>1750</v>
      </c>
      <c r="I177" t="s">
        <v>158</v>
      </c>
      <c r="J177" t="s">
        <v>460</v>
      </c>
      <c r="K177" t="s">
        <v>11</v>
      </c>
      <c r="L177" t="str">
        <f>T("9791191562002")</f>
        <v>9791191562002</v>
      </c>
    </row>
    <row r="178" spans="1:12">
      <c r="A178" s="8">
        <v>44625.972546296296</v>
      </c>
      <c r="B178">
        <v>290197934</v>
      </c>
      <c r="C178" t="s">
        <v>604</v>
      </c>
      <c r="D178" t="s">
        <v>9</v>
      </c>
      <c r="E178" s="9">
        <v>2000</v>
      </c>
      <c r="F178" s="9">
        <v>2000</v>
      </c>
      <c r="G178" s="9">
        <v>1400</v>
      </c>
      <c r="I178" t="s">
        <v>605</v>
      </c>
      <c r="J178" t="s">
        <v>460</v>
      </c>
      <c r="K178" t="s">
        <v>11</v>
      </c>
      <c r="L178" t="str">
        <f>T("9791191562163")</f>
        <v>9791191562163</v>
      </c>
    </row>
    <row r="179" spans="1:12">
      <c r="A179" s="8">
        <v>44625.974340277775</v>
      </c>
      <c r="B179">
        <v>290197934</v>
      </c>
      <c r="C179" t="s">
        <v>604</v>
      </c>
      <c r="D179" t="s">
        <v>9</v>
      </c>
      <c r="E179" s="9">
        <v>-2000</v>
      </c>
      <c r="F179" s="9">
        <v>-2000</v>
      </c>
      <c r="G179" s="9">
        <v>-1400</v>
      </c>
      <c r="H179" s="8">
        <v>44625.972546296296</v>
      </c>
      <c r="I179" t="s">
        <v>605</v>
      </c>
      <c r="J179" t="s">
        <v>460</v>
      </c>
      <c r="K179" t="s">
        <v>11</v>
      </c>
      <c r="L179" t="str">
        <f>T("9791191562163")</f>
        <v>9791191562163</v>
      </c>
    </row>
    <row r="180" spans="1:12">
      <c r="A180" s="8">
        <v>44625.993263888886</v>
      </c>
      <c r="B180">
        <v>212220775</v>
      </c>
      <c r="C180" t="s">
        <v>615</v>
      </c>
      <c r="D180" t="s">
        <v>9</v>
      </c>
      <c r="E180" s="9">
        <v>3400</v>
      </c>
      <c r="F180" s="9">
        <v>3400</v>
      </c>
      <c r="G180" s="9">
        <v>2380</v>
      </c>
      <c r="I180" t="s">
        <v>616</v>
      </c>
      <c r="J180" t="s">
        <v>617</v>
      </c>
      <c r="K180" t="s">
        <v>11</v>
      </c>
      <c r="L180" t="str">
        <f>T("9791190132596")</f>
        <v>9791190132596</v>
      </c>
    </row>
    <row r="181" spans="1:12">
      <c r="A181" s="8">
        <v>44626.399791666663</v>
      </c>
      <c r="B181">
        <v>290197934</v>
      </c>
      <c r="C181" t="s">
        <v>604</v>
      </c>
      <c r="D181" t="s">
        <v>9</v>
      </c>
      <c r="E181" s="9">
        <v>2000</v>
      </c>
      <c r="F181" s="9">
        <v>2000</v>
      </c>
      <c r="G181" s="9">
        <v>1400</v>
      </c>
      <c r="I181" t="s">
        <v>605</v>
      </c>
      <c r="J181" t="s">
        <v>460</v>
      </c>
      <c r="K181" t="s">
        <v>11</v>
      </c>
      <c r="L181" t="str">
        <f>T("9791191562163")</f>
        <v>9791191562163</v>
      </c>
    </row>
    <row r="182" spans="1:12">
      <c r="A182" s="8">
        <v>44626.421967592592</v>
      </c>
      <c r="B182">
        <v>48799571</v>
      </c>
      <c r="C182" t="s">
        <v>618</v>
      </c>
      <c r="D182" t="s">
        <v>12</v>
      </c>
      <c r="E182">
        <v>0</v>
      </c>
      <c r="F182">
        <v>0</v>
      </c>
      <c r="G182">
        <v>0</v>
      </c>
      <c r="I182" t="s">
        <v>10</v>
      </c>
      <c r="J182" t="s">
        <v>11</v>
      </c>
      <c r="K182" t="s">
        <v>11</v>
      </c>
      <c r="L182" t="str">
        <f>T("9791159283796")</f>
        <v>9791159283796</v>
      </c>
    </row>
    <row r="183" spans="1:12">
      <c r="A183" s="8">
        <v>44626.433449074073</v>
      </c>
      <c r="B183">
        <v>287834730</v>
      </c>
      <c r="C183" t="s">
        <v>275</v>
      </c>
      <c r="D183" t="s">
        <v>9</v>
      </c>
      <c r="E183" s="9">
        <v>2000</v>
      </c>
      <c r="F183" s="9">
        <v>2000</v>
      </c>
      <c r="G183" s="9">
        <v>1400</v>
      </c>
      <c r="I183" t="s">
        <v>169</v>
      </c>
      <c r="J183" t="s">
        <v>460</v>
      </c>
      <c r="K183" t="s">
        <v>11</v>
      </c>
      <c r="L183" t="str">
        <f>T("9791191562019")</f>
        <v>9791191562019</v>
      </c>
    </row>
    <row r="184" spans="1:12">
      <c r="A184" s="8">
        <v>44626.456805555557</v>
      </c>
      <c r="B184">
        <v>287834730</v>
      </c>
      <c r="C184" t="s">
        <v>275</v>
      </c>
      <c r="D184" t="s">
        <v>9</v>
      </c>
      <c r="E184" s="9">
        <v>2000</v>
      </c>
      <c r="F184" s="9">
        <v>2000</v>
      </c>
      <c r="G184" s="9">
        <v>1400</v>
      </c>
      <c r="I184" t="s">
        <v>169</v>
      </c>
      <c r="J184" t="s">
        <v>460</v>
      </c>
      <c r="K184" t="s">
        <v>11</v>
      </c>
      <c r="L184" t="str">
        <f>T("9791191562019")</f>
        <v>9791191562019</v>
      </c>
    </row>
    <row r="185" spans="1:12">
      <c r="A185" s="8">
        <v>44626.456967592596</v>
      </c>
      <c r="B185">
        <v>248962263</v>
      </c>
      <c r="C185" t="s">
        <v>619</v>
      </c>
      <c r="D185" t="s">
        <v>12</v>
      </c>
      <c r="E185">
        <v>900</v>
      </c>
      <c r="F185">
        <v>900</v>
      </c>
      <c r="G185">
        <v>630</v>
      </c>
      <c r="I185" t="s">
        <v>14</v>
      </c>
      <c r="J185" t="s">
        <v>11</v>
      </c>
      <c r="K185" t="s">
        <v>11</v>
      </c>
      <c r="L185" t="str">
        <f>T("9791166066795")</f>
        <v>9791166066795</v>
      </c>
    </row>
    <row r="186" spans="1:12">
      <c r="A186" s="8">
        <v>44626.549456018518</v>
      </c>
      <c r="B186">
        <v>289956908</v>
      </c>
      <c r="C186" t="s">
        <v>481</v>
      </c>
      <c r="D186" t="s">
        <v>9</v>
      </c>
      <c r="E186" s="9">
        <v>2000</v>
      </c>
      <c r="F186" s="9">
        <v>2000</v>
      </c>
      <c r="G186" s="9">
        <v>1400</v>
      </c>
      <c r="I186" t="s">
        <v>457</v>
      </c>
      <c r="J186" t="s">
        <v>460</v>
      </c>
      <c r="K186" t="s">
        <v>11</v>
      </c>
      <c r="L186" t="str">
        <f>T("9791191562040")</f>
        <v>9791191562040</v>
      </c>
    </row>
    <row r="187" spans="1:12">
      <c r="A187" s="8">
        <v>44626.561527777776</v>
      </c>
      <c r="B187">
        <v>290084502</v>
      </c>
      <c r="C187" t="s">
        <v>592</v>
      </c>
      <c r="D187" t="s">
        <v>9</v>
      </c>
      <c r="E187" s="9">
        <v>2500</v>
      </c>
      <c r="F187" s="9">
        <v>2500</v>
      </c>
      <c r="G187" s="9">
        <v>1750</v>
      </c>
      <c r="I187" t="s">
        <v>593</v>
      </c>
      <c r="J187" t="s">
        <v>460</v>
      </c>
      <c r="K187" t="s">
        <v>11</v>
      </c>
      <c r="L187" t="str">
        <f>T("9791191562125")</f>
        <v>9791191562125</v>
      </c>
    </row>
    <row r="188" spans="1:12">
      <c r="A188" s="8">
        <v>44626.570844907408</v>
      </c>
      <c r="B188">
        <v>290084502</v>
      </c>
      <c r="C188" t="s">
        <v>592</v>
      </c>
      <c r="D188" t="s">
        <v>9</v>
      </c>
      <c r="E188" s="9">
        <v>2500</v>
      </c>
      <c r="F188" s="9">
        <v>2500</v>
      </c>
      <c r="G188" s="9">
        <v>1750</v>
      </c>
      <c r="I188" t="s">
        <v>593</v>
      </c>
      <c r="J188" t="s">
        <v>460</v>
      </c>
      <c r="K188" t="s">
        <v>11</v>
      </c>
      <c r="L188" t="str">
        <f>T("9791191562125")</f>
        <v>9791191562125</v>
      </c>
    </row>
    <row r="189" spans="1:12">
      <c r="A189" s="8">
        <v>44626.602777777778</v>
      </c>
      <c r="B189">
        <v>290197934</v>
      </c>
      <c r="C189" t="s">
        <v>604</v>
      </c>
      <c r="D189" t="s">
        <v>9</v>
      </c>
      <c r="E189" s="9">
        <v>2000</v>
      </c>
      <c r="F189" s="9">
        <v>2000</v>
      </c>
      <c r="G189" s="9">
        <v>1400</v>
      </c>
      <c r="I189" t="s">
        <v>605</v>
      </c>
      <c r="J189" t="s">
        <v>460</v>
      </c>
      <c r="K189" t="s">
        <v>11</v>
      </c>
      <c r="L189" t="str">
        <f>T("9791191562163")</f>
        <v>9791191562163</v>
      </c>
    </row>
    <row r="190" spans="1:12">
      <c r="A190" s="8">
        <v>44626.668113425927</v>
      </c>
      <c r="B190">
        <v>290197934</v>
      </c>
      <c r="C190" t="s">
        <v>604</v>
      </c>
      <c r="D190" t="s">
        <v>9</v>
      </c>
      <c r="E190" s="9">
        <v>2000</v>
      </c>
      <c r="F190" s="9">
        <v>2000</v>
      </c>
      <c r="G190" s="9">
        <v>1400</v>
      </c>
      <c r="I190" t="s">
        <v>605</v>
      </c>
      <c r="J190" t="s">
        <v>460</v>
      </c>
      <c r="K190" t="s">
        <v>11</v>
      </c>
      <c r="L190" t="str">
        <f>T("9791191562163")</f>
        <v>9791191562163</v>
      </c>
    </row>
    <row r="191" spans="1:12">
      <c r="A191" s="8">
        <v>44626.710520833331</v>
      </c>
      <c r="B191">
        <v>289315562</v>
      </c>
      <c r="C191" t="s">
        <v>478</v>
      </c>
      <c r="D191" t="s">
        <v>9</v>
      </c>
      <c r="E191" s="9">
        <v>3000</v>
      </c>
      <c r="F191" s="9">
        <v>3000</v>
      </c>
      <c r="G191" s="9">
        <v>2100</v>
      </c>
      <c r="I191" t="s">
        <v>454</v>
      </c>
      <c r="J191" t="s">
        <v>460</v>
      </c>
      <c r="K191" t="s">
        <v>11</v>
      </c>
      <c r="L191" t="str">
        <f>T("9791191562101")</f>
        <v>9791191562101</v>
      </c>
    </row>
    <row r="192" spans="1:12">
      <c r="A192" s="8">
        <v>44626.717094907406</v>
      </c>
      <c r="B192">
        <v>287834730</v>
      </c>
      <c r="C192" t="s">
        <v>275</v>
      </c>
      <c r="D192" t="s">
        <v>9</v>
      </c>
      <c r="E192" s="9">
        <v>2000</v>
      </c>
      <c r="F192" s="9">
        <v>2000</v>
      </c>
      <c r="G192" s="9">
        <v>1400</v>
      </c>
      <c r="I192" t="s">
        <v>169</v>
      </c>
      <c r="J192" t="s">
        <v>460</v>
      </c>
      <c r="K192" t="s">
        <v>11</v>
      </c>
      <c r="L192" t="str">
        <f>T("9791191562019")</f>
        <v>9791191562019</v>
      </c>
    </row>
    <row r="193" spans="1:12">
      <c r="A193" s="8">
        <v>44626.760636574072</v>
      </c>
      <c r="B193">
        <v>289315562</v>
      </c>
      <c r="C193" t="s">
        <v>478</v>
      </c>
      <c r="D193" t="s">
        <v>9</v>
      </c>
      <c r="E193" s="9">
        <v>3000</v>
      </c>
      <c r="F193" s="9">
        <v>3000</v>
      </c>
      <c r="G193" s="9">
        <v>2100</v>
      </c>
      <c r="I193" t="s">
        <v>454</v>
      </c>
      <c r="J193" t="s">
        <v>460</v>
      </c>
      <c r="K193" t="s">
        <v>11</v>
      </c>
      <c r="L193" t="str">
        <f>T("9791191562101")</f>
        <v>9791191562101</v>
      </c>
    </row>
    <row r="194" spans="1:12">
      <c r="A194" s="8">
        <v>44626.761064814818</v>
      </c>
      <c r="B194">
        <v>289315562</v>
      </c>
      <c r="C194" t="s">
        <v>478</v>
      </c>
      <c r="D194" t="s">
        <v>9</v>
      </c>
      <c r="E194" s="9">
        <v>3000</v>
      </c>
      <c r="F194" s="9">
        <v>3000</v>
      </c>
      <c r="G194" s="9">
        <v>2100</v>
      </c>
      <c r="I194" t="s">
        <v>454</v>
      </c>
      <c r="J194" t="s">
        <v>460</v>
      </c>
      <c r="K194" t="s">
        <v>11</v>
      </c>
      <c r="L194" t="str">
        <f>T("9791191562101")</f>
        <v>9791191562101</v>
      </c>
    </row>
    <row r="195" spans="1:12">
      <c r="A195" s="8">
        <v>44626.87</v>
      </c>
      <c r="B195">
        <v>290197934</v>
      </c>
      <c r="C195" t="s">
        <v>604</v>
      </c>
      <c r="D195" t="s">
        <v>9</v>
      </c>
      <c r="E195" s="9">
        <v>2000</v>
      </c>
      <c r="F195" s="9">
        <v>2000</v>
      </c>
      <c r="G195" s="9">
        <v>1400</v>
      </c>
      <c r="I195" t="s">
        <v>605</v>
      </c>
      <c r="J195" t="s">
        <v>460</v>
      </c>
      <c r="K195" t="s">
        <v>11</v>
      </c>
      <c r="L195" t="str">
        <f>T("9791191562163")</f>
        <v>9791191562163</v>
      </c>
    </row>
    <row r="196" spans="1:12">
      <c r="A196" s="8">
        <v>44626.871921296297</v>
      </c>
      <c r="B196">
        <v>289315562</v>
      </c>
      <c r="C196" t="s">
        <v>478</v>
      </c>
      <c r="D196" t="s">
        <v>9</v>
      </c>
      <c r="E196" s="9">
        <v>3000</v>
      </c>
      <c r="F196" s="9">
        <v>3000</v>
      </c>
      <c r="G196" s="9">
        <v>2100</v>
      </c>
      <c r="I196" t="s">
        <v>454</v>
      </c>
      <c r="J196" t="s">
        <v>460</v>
      </c>
      <c r="K196" t="s">
        <v>11</v>
      </c>
      <c r="L196" t="str">
        <f>T("9791191562101")</f>
        <v>9791191562101</v>
      </c>
    </row>
    <row r="197" spans="1:12">
      <c r="A197" s="8">
        <v>44626.890810185185</v>
      </c>
      <c r="B197">
        <v>62072023</v>
      </c>
      <c r="C197" t="s">
        <v>620</v>
      </c>
      <c r="D197" t="s">
        <v>12</v>
      </c>
      <c r="E197">
        <v>0</v>
      </c>
      <c r="F197">
        <v>0</v>
      </c>
      <c r="G197">
        <v>0</v>
      </c>
      <c r="I197" t="s">
        <v>16</v>
      </c>
      <c r="J197" t="s">
        <v>11</v>
      </c>
      <c r="K197" t="s">
        <v>11</v>
      </c>
      <c r="L197" t="str">
        <f>T("9791170150305")</f>
        <v>9791170150305</v>
      </c>
    </row>
    <row r="198" spans="1:12">
      <c r="A198" s="8">
        <v>44626.899560185186</v>
      </c>
      <c r="B198">
        <v>284241808</v>
      </c>
      <c r="C198" t="s">
        <v>73</v>
      </c>
      <c r="D198" t="s">
        <v>9</v>
      </c>
      <c r="E198" s="9">
        <v>3600</v>
      </c>
      <c r="F198" s="9">
        <v>3600</v>
      </c>
      <c r="G198" s="9">
        <v>2520</v>
      </c>
      <c r="I198" t="s">
        <v>34</v>
      </c>
      <c r="J198" t="s">
        <v>588</v>
      </c>
      <c r="K198" t="s">
        <v>11</v>
      </c>
      <c r="L198" t="str">
        <f>T("9791166482557")</f>
        <v>9791166482557</v>
      </c>
    </row>
    <row r="199" spans="1:12">
      <c r="A199" s="8">
        <v>44626.911458333336</v>
      </c>
      <c r="B199">
        <v>290197934</v>
      </c>
      <c r="C199" t="s">
        <v>604</v>
      </c>
      <c r="D199" t="s">
        <v>9</v>
      </c>
      <c r="E199" s="9">
        <v>2000</v>
      </c>
      <c r="F199" s="9">
        <v>2000</v>
      </c>
      <c r="G199" s="9">
        <v>1400</v>
      </c>
      <c r="I199" t="s">
        <v>605</v>
      </c>
      <c r="J199" t="s">
        <v>460</v>
      </c>
      <c r="K199" t="s">
        <v>11</v>
      </c>
      <c r="L199" t="str">
        <f>T("9791191562163")</f>
        <v>9791191562163</v>
      </c>
    </row>
    <row r="200" spans="1:12">
      <c r="A200" s="8">
        <v>44626.923206018517</v>
      </c>
      <c r="B200">
        <v>290197934</v>
      </c>
      <c r="C200" t="s">
        <v>604</v>
      </c>
      <c r="D200" t="s">
        <v>9</v>
      </c>
      <c r="E200" s="9">
        <v>2000</v>
      </c>
      <c r="F200" s="9">
        <v>2000</v>
      </c>
      <c r="G200" s="9">
        <v>1400</v>
      </c>
      <c r="I200" t="s">
        <v>605</v>
      </c>
      <c r="J200" t="s">
        <v>460</v>
      </c>
      <c r="K200" t="s">
        <v>11</v>
      </c>
      <c r="L200" t="str">
        <f>T("9791191562163")</f>
        <v>9791191562163</v>
      </c>
    </row>
    <row r="201" spans="1:12">
      <c r="A201" s="8">
        <v>44626.925682870373</v>
      </c>
      <c r="B201">
        <v>290197934</v>
      </c>
      <c r="C201" t="s">
        <v>604</v>
      </c>
      <c r="D201" t="s">
        <v>9</v>
      </c>
      <c r="E201" s="9">
        <v>2000</v>
      </c>
      <c r="F201" s="9">
        <v>2000</v>
      </c>
      <c r="G201" s="9">
        <v>1400</v>
      </c>
      <c r="I201" t="s">
        <v>605</v>
      </c>
      <c r="J201" t="s">
        <v>460</v>
      </c>
      <c r="K201" t="s">
        <v>11</v>
      </c>
      <c r="L201" t="str">
        <f>T("9791191562163")</f>
        <v>9791191562163</v>
      </c>
    </row>
    <row r="202" spans="1:12">
      <c r="A202" s="8">
        <v>44626.967118055552</v>
      </c>
      <c r="B202">
        <v>290197934</v>
      </c>
      <c r="C202" t="s">
        <v>604</v>
      </c>
      <c r="D202" t="s">
        <v>9</v>
      </c>
      <c r="E202" s="9">
        <v>2000</v>
      </c>
      <c r="F202" s="9">
        <v>2000</v>
      </c>
      <c r="G202" s="9">
        <v>1400</v>
      </c>
      <c r="I202" t="s">
        <v>605</v>
      </c>
      <c r="J202" t="s">
        <v>460</v>
      </c>
      <c r="K202" t="s">
        <v>11</v>
      </c>
      <c r="L202" t="str">
        <f>T("9791191562163")</f>
        <v>9791191562163</v>
      </c>
    </row>
    <row r="203" spans="1:12">
      <c r="A203" s="8">
        <v>44626.993993055556</v>
      </c>
      <c r="B203">
        <v>289315562</v>
      </c>
      <c r="C203" t="s">
        <v>478</v>
      </c>
      <c r="D203" t="s">
        <v>9</v>
      </c>
      <c r="E203" s="9">
        <v>3000</v>
      </c>
      <c r="F203" s="9">
        <v>3000</v>
      </c>
      <c r="G203" s="9">
        <v>2100</v>
      </c>
      <c r="I203" t="s">
        <v>454</v>
      </c>
      <c r="J203" t="s">
        <v>460</v>
      </c>
      <c r="K203" t="s">
        <v>11</v>
      </c>
      <c r="L203" t="str">
        <f>T("9791191562101")</f>
        <v>9791191562101</v>
      </c>
    </row>
    <row r="204" spans="1:12">
      <c r="A204" s="8">
        <v>44627.103587962964</v>
      </c>
      <c r="B204">
        <v>284241886</v>
      </c>
      <c r="C204" t="s">
        <v>62</v>
      </c>
      <c r="D204" t="s">
        <v>9</v>
      </c>
      <c r="E204" s="9">
        <v>3600</v>
      </c>
      <c r="F204" s="9">
        <v>3600</v>
      </c>
      <c r="G204" s="9">
        <v>2520</v>
      </c>
      <c r="I204" t="s">
        <v>34</v>
      </c>
      <c r="J204" t="s">
        <v>588</v>
      </c>
      <c r="K204" t="s">
        <v>11</v>
      </c>
      <c r="L204" t="str">
        <f>T("9791166482564")</f>
        <v>9791166482564</v>
      </c>
    </row>
    <row r="205" spans="1:12">
      <c r="A205" s="8">
        <v>44627.108634259261</v>
      </c>
      <c r="B205">
        <v>290197934</v>
      </c>
      <c r="C205" t="s">
        <v>604</v>
      </c>
      <c r="D205" t="s">
        <v>9</v>
      </c>
      <c r="E205" s="9">
        <v>2000</v>
      </c>
      <c r="F205" s="9">
        <v>2000</v>
      </c>
      <c r="G205" s="9">
        <v>1400</v>
      </c>
      <c r="I205" t="s">
        <v>605</v>
      </c>
      <c r="J205" t="s">
        <v>460</v>
      </c>
      <c r="K205" t="s">
        <v>11</v>
      </c>
      <c r="L205" t="str">
        <f>T("9791191562163")</f>
        <v>9791191562163</v>
      </c>
    </row>
    <row r="206" spans="1:12">
      <c r="A206" s="8">
        <v>44627.108634259261</v>
      </c>
      <c r="B206">
        <v>289315562</v>
      </c>
      <c r="C206" t="s">
        <v>478</v>
      </c>
      <c r="D206" t="s">
        <v>9</v>
      </c>
      <c r="E206" s="9">
        <v>3000</v>
      </c>
      <c r="F206" s="9">
        <v>3000</v>
      </c>
      <c r="G206" s="9">
        <v>2100</v>
      </c>
      <c r="I206" t="s">
        <v>454</v>
      </c>
      <c r="J206" t="s">
        <v>460</v>
      </c>
      <c r="K206" t="s">
        <v>11</v>
      </c>
      <c r="L206" t="str">
        <f>T("9791191562101")</f>
        <v>9791191562101</v>
      </c>
    </row>
    <row r="207" spans="1:12">
      <c r="A207" s="8">
        <v>44627.233124999999</v>
      </c>
      <c r="B207">
        <v>289315562</v>
      </c>
      <c r="C207" t="s">
        <v>478</v>
      </c>
      <c r="D207" t="s">
        <v>9</v>
      </c>
      <c r="E207" s="9">
        <v>3000</v>
      </c>
      <c r="F207" s="9">
        <v>3000</v>
      </c>
      <c r="G207" s="9">
        <v>2100</v>
      </c>
      <c r="I207" t="s">
        <v>454</v>
      </c>
      <c r="J207" t="s">
        <v>460</v>
      </c>
      <c r="K207" t="s">
        <v>11</v>
      </c>
      <c r="L207" t="str">
        <f>T("9791191562101")</f>
        <v>9791191562101</v>
      </c>
    </row>
    <row r="208" spans="1:12">
      <c r="A208" s="8">
        <v>44627.340787037036</v>
      </c>
      <c r="B208">
        <v>290197934</v>
      </c>
      <c r="C208" t="s">
        <v>604</v>
      </c>
      <c r="D208" t="s">
        <v>9</v>
      </c>
      <c r="E208" s="9">
        <v>2000</v>
      </c>
      <c r="F208" s="9">
        <v>2000</v>
      </c>
      <c r="G208" s="9">
        <v>1400</v>
      </c>
      <c r="I208" t="s">
        <v>605</v>
      </c>
      <c r="J208" t="s">
        <v>460</v>
      </c>
      <c r="K208" t="s">
        <v>11</v>
      </c>
      <c r="L208" t="str">
        <f>T("9791191562163")</f>
        <v>9791191562163</v>
      </c>
    </row>
    <row r="209" spans="1:12">
      <c r="A209" s="8">
        <v>44627.443703703706</v>
      </c>
      <c r="B209">
        <v>290197934</v>
      </c>
      <c r="C209" t="s">
        <v>604</v>
      </c>
      <c r="D209" t="s">
        <v>9</v>
      </c>
      <c r="E209" s="9">
        <v>2000</v>
      </c>
      <c r="F209" s="9">
        <v>2000</v>
      </c>
      <c r="G209" s="9">
        <v>1400</v>
      </c>
      <c r="I209" t="s">
        <v>605</v>
      </c>
      <c r="J209" t="s">
        <v>460</v>
      </c>
      <c r="K209" t="s">
        <v>11</v>
      </c>
      <c r="L209" t="str">
        <f>T("9791191562163")</f>
        <v>9791191562163</v>
      </c>
    </row>
    <row r="210" spans="1:12">
      <c r="A210" s="8">
        <v>44627.474409722221</v>
      </c>
      <c r="B210">
        <v>289315562</v>
      </c>
      <c r="C210" t="s">
        <v>478</v>
      </c>
      <c r="D210" t="s">
        <v>9</v>
      </c>
      <c r="E210" s="9">
        <v>3000</v>
      </c>
      <c r="F210" s="9">
        <v>3000</v>
      </c>
      <c r="G210" s="9">
        <v>2100</v>
      </c>
      <c r="I210" t="s">
        <v>454</v>
      </c>
      <c r="J210" t="s">
        <v>460</v>
      </c>
      <c r="K210" t="s">
        <v>11</v>
      </c>
      <c r="L210" t="str">
        <f>T("9791191562101")</f>
        <v>9791191562101</v>
      </c>
    </row>
    <row r="211" spans="1:12">
      <c r="A211" s="8">
        <v>44627.548564814817</v>
      </c>
      <c r="B211">
        <v>248962267</v>
      </c>
      <c r="C211" t="s">
        <v>621</v>
      </c>
      <c r="D211" t="s">
        <v>12</v>
      </c>
      <c r="E211">
        <v>900</v>
      </c>
      <c r="F211">
        <v>900</v>
      </c>
      <c r="G211">
        <v>630</v>
      </c>
      <c r="I211" t="s">
        <v>14</v>
      </c>
      <c r="J211" t="s">
        <v>11</v>
      </c>
      <c r="K211" t="s">
        <v>11</v>
      </c>
      <c r="L211" t="str">
        <f>T("9791166066801")</f>
        <v>9791166066801</v>
      </c>
    </row>
    <row r="212" spans="1:12">
      <c r="A212" s="8">
        <v>44627.569548611114</v>
      </c>
      <c r="B212">
        <v>290197934</v>
      </c>
      <c r="C212" t="s">
        <v>604</v>
      </c>
      <c r="D212" t="s">
        <v>9</v>
      </c>
      <c r="E212" s="9">
        <v>2000</v>
      </c>
      <c r="F212" s="9">
        <v>2000</v>
      </c>
      <c r="G212" s="9">
        <v>1400</v>
      </c>
      <c r="I212" t="s">
        <v>605</v>
      </c>
      <c r="J212" t="s">
        <v>460</v>
      </c>
      <c r="K212" t="s">
        <v>11</v>
      </c>
      <c r="L212" t="str">
        <f>T("9791191562163")</f>
        <v>9791191562163</v>
      </c>
    </row>
    <row r="213" spans="1:12">
      <c r="A213" s="8">
        <v>44627.576145833336</v>
      </c>
      <c r="B213">
        <v>290084502</v>
      </c>
      <c r="C213" t="s">
        <v>592</v>
      </c>
      <c r="D213" t="s">
        <v>9</v>
      </c>
      <c r="E213" s="9">
        <v>2500</v>
      </c>
      <c r="F213" s="9">
        <v>2500</v>
      </c>
      <c r="G213" s="9">
        <v>1750</v>
      </c>
      <c r="I213" t="s">
        <v>593</v>
      </c>
      <c r="J213" t="s">
        <v>460</v>
      </c>
      <c r="K213" t="s">
        <v>11</v>
      </c>
      <c r="L213" t="str">
        <f>T("9791191562125")</f>
        <v>9791191562125</v>
      </c>
    </row>
    <row r="214" spans="1:12">
      <c r="A214" s="8">
        <v>44627.629618055558</v>
      </c>
      <c r="B214">
        <v>289315562</v>
      </c>
      <c r="C214" t="s">
        <v>478</v>
      </c>
      <c r="D214" t="s">
        <v>9</v>
      </c>
      <c r="E214" s="9">
        <v>3000</v>
      </c>
      <c r="F214" s="9">
        <v>3000</v>
      </c>
      <c r="G214" s="9">
        <v>2100</v>
      </c>
      <c r="I214" t="s">
        <v>454</v>
      </c>
      <c r="J214" t="s">
        <v>460</v>
      </c>
      <c r="K214" t="s">
        <v>11</v>
      </c>
      <c r="L214" t="str">
        <f>T("9791191562101")</f>
        <v>9791191562101</v>
      </c>
    </row>
    <row r="215" spans="1:12">
      <c r="A215" s="8">
        <v>44627.63076388889</v>
      </c>
      <c r="B215">
        <v>290197934</v>
      </c>
      <c r="C215" t="s">
        <v>604</v>
      </c>
      <c r="D215" t="s">
        <v>9</v>
      </c>
      <c r="E215" s="9">
        <v>2000</v>
      </c>
      <c r="F215" s="9">
        <v>2000</v>
      </c>
      <c r="G215" s="9">
        <v>1400</v>
      </c>
      <c r="I215" t="s">
        <v>605</v>
      </c>
      <c r="J215" t="s">
        <v>460</v>
      </c>
      <c r="K215" t="s">
        <v>11</v>
      </c>
      <c r="L215" t="str">
        <f>T("9791191562163")</f>
        <v>9791191562163</v>
      </c>
    </row>
    <row r="216" spans="1:12">
      <c r="A216" s="8">
        <v>44627.647893518515</v>
      </c>
      <c r="B216">
        <v>290197934</v>
      </c>
      <c r="C216" t="s">
        <v>604</v>
      </c>
      <c r="D216" t="s">
        <v>9</v>
      </c>
      <c r="E216" s="9">
        <v>2000</v>
      </c>
      <c r="F216" s="9">
        <v>2000</v>
      </c>
      <c r="G216" s="9">
        <v>1400</v>
      </c>
      <c r="I216" t="s">
        <v>605</v>
      </c>
      <c r="J216" t="s">
        <v>460</v>
      </c>
      <c r="K216" t="s">
        <v>11</v>
      </c>
      <c r="L216" t="str">
        <f>T("9791191562163")</f>
        <v>9791191562163</v>
      </c>
    </row>
    <row r="217" spans="1:12">
      <c r="A217" s="8">
        <v>44627.652858796297</v>
      </c>
      <c r="B217">
        <v>289315562</v>
      </c>
      <c r="C217" t="s">
        <v>478</v>
      </c>
      <c r="D217" t="s">
        <v>9</v>
      </c>
      <c r="E217" s="9">
        <v>3000</v>
      </c>
      <c r="F217" s="9">
        <v>3000</v>
      </c>
      <c r="G217" s="9">
        <v>2100</v>
      </c>
      <c r="I217" t="s">
        <v>454</v>
      </c>
      <c r="J217" t="s">
        <v>460</v>
      </c>
      <c r="K217" t="s">
        <v>11</v>
      </c>
      <c r="L217" t="str">
        <f>T("9791191562101")</f>
        <v>9791191562101</v>
      </c>
    </row>
    <row r="218" spans="1:12">
      <c r="A218" s="8">
        <v>44627.737604166665</v>
      </c>
      <c r="B218">
        <v>287834730</v>
      </c>
      <c r="C218" t="s">
        <v>275</v>
      </c>
      <c r="D218" t="s">
        <v>9</v>
      </c>
      <c r="E218" s="9">
        <v>2000</v>
      </c>
      <c r="F218" s="9">
        <v>2000</v>
      </c>
      <c r="G218" s="9">
        <v>1400</v>
      </c>
      <c r="I218" t="s">
        <v>169</v>
      </c>
      <c r="J218" t="s">
        <v>460</v>
      </c>
      <c r="K218" t="s">
        <v>11</v>
      </c>
      <c r="L218" t="str">
        <f>T("9791191562019")</f>
        <v>9791191562019</v>
      </c>
    </row>
    <row r="219" spans="1:12">
      <c r="A219" s="8">
        <v>44627.773784722223</v>
      </c>
      <c r="B219">
        <v>284241886</v>
      </c>
      <c r="C219" t="s">
        <v>62</v>
      </c>
      <c r="D219" t="s">
        <v>9</v>
      </c>
      <c r="E219" s="9">
        <v>3600</v>
      </c>
      <c r="F219" s="9">
        <v>3600</v>
      </c>
      <c r="G219" s="9">
        <v>2520</v>
      </c>
      <c r="I219" t="s">
        <v>34</v>
      </c>
      <c r="J219" t="s">
        <v>588</v>
      </c>
      <c r="K219" t="s">
        <v>11</v>
      </c>
      <c r="L219" t="str">
        <f>T("9791166482564")</f>
        <v>9791166482564</v>
      </c>
    </row>
    <row r="220" spans="1:12">
      <c r="A220" s="8">
        <v>44627.773784722223</v>
      </c>
      <c r="B220">
        <v>284241808</v>
      </c>
      <c r="C220" t="s">
        <v>73</v>
      </c>
      <c r="D220" t="s">
        <v>9</v>
      </c>
      <c r="E220" s="9">
        <v>3600</v>
      </c>
      <c r="F220" s="9">
        <v>3600</v>
      </c>
      <c r="G220" s="9">
        <v>2520</v>
      </c>
      <c r="I220" t="s">
        <v>34</v>
      </c>
      <c r="J220" t="s">
        <v>588</v>
      </c>
      <c r="K220" t="s">
        <v>11</v>
      </c>
      <c r="L220" t="str">
        <f>T("9791166482557")</f>
        <v>9791166482557</v>
      </c>
    </row>
    <row r="221" spans="1:12">
      <c r="A221" s="8">
        <v>44627.801423611112</v>
      </c>
      <c r="B221">
        <v>287834730</v>
      </c>
      <c r="C221" t="s">
        <v>275</v>
      </c>
      <c r="D221" t="s">
        <v>9</v>
      </c>
      <c r="E221" s="9">
        <v>2000</v>
      </c>
      <c r="F221" s="9">
        <v>2000</v>
      </c>
      <c r="G221" s="9">
        <v>1400</v>
      </c>
      <c r="I221" t="s">
        <v>169</v>
      </c>
      <c r="J221" t="s">
        <v>460</v>
      </c>
      <c r="K221" t="s">
        <v>11</v>
      </c>
      <c r="L221" t="str">
        <f>T("9791191562019")</f>
        <v>9791191562019</v>
      </c>
    </row>
    <row r="222" spans="1:12">
      <c r="A222" s="8">
        <v>44627.807129629633</v>
      </c>
      <c r="B222">
        <v>287834730</v>
      </c>
      <c r="C222" t="s">
        <v>275</v>
      </c>
      <c r="D222" t="s">
        <v>9</v>
      </c>
      <c r="E222" s="9">
        <v>2000</v>
      </c>
      <c r="F222" s="9">
        <v>2000</v>
      </c>
      <c r="G222" s="9">
        <v>1400</v>
      </c>
      <c r="I222" t="s">
        <v>169</v>
      </c>
      <c r="J222" t="s">
        <v>460</v>
      </c>
      <c r="K222" t="s">
        <v>11</v>
      </c>
      <c r="L222" t="str">
        <f>T("9791191562019")</f>
        <v>9791191562019</v>
      </c>
    </row>
    <row r="223" spans="1:12">
      <c r="A223" s="8">
        <v>44627.81827546296</v>
      </c>
      <c r="B223">
        <v>290197934</v>
      </c>
      <c r="C223" t="s">
        <v>604</v>
      </c>
      <c r="D223" t="s">
        <v>9</v>
      </c>
      <c r="E223" s="9">
        <v>2000</v>
      </c>
      <c r="F223" s="9">
        <v>2000</v>
      </c>
      <c r="G223" s="9">
        <v>1400</v>
      </c>
      <c r="I223" t="s">
        <v>605</v>
      </c>
      <c r="J223" t="s">
        <v>460</v>
      </c>
      <c r="K223" t="s">
        <v>11</v>
      </c>
      <c r="L223" t="str">
        <f>T("9791191562163")</f>
        <v>9791191562163</v>
      </c>
    </row>
    <row r="224" spans="1:12">
      <c r="A224" s="8">
        <v>44627.896122685182</v>
      </c>
      <c r="B224">
        <v>289315562</v>
      </c>
      <c r="C224" t="s">
        <v>478</v>
      </c>
      <c r="D224" t="s">
        <v>9</v>
      </c>
      <c r="E224" s="9">
        <v>3000</v>
      </c>
      <c r="F224" s="9">
        <v>3000</v>
      </c>
      <c r="G224" s="9">
        <v>2100</v>
      </c>
      <c r="I224" t="s">
        <v>454</v>
      </c>
      <c r="J224" t="s">
        <v>460</v>
      </c>
      <c r="K224" t="s">
        <v>11</v>
      </c>
      <c r="L224" t="str">
        <f>T("9791191562101")</f>
        <v>9791191562101</v>
      </c>
    </row>
    <row r="225" spans="1:12">
      <c r="A225" s="8">
        <v>44627.907951388886</v>
      </c>
      <c r="B225">
        <v>289315562</v>
      </c>
      <c r="C225" t="s">
        <v>478</v>
      </c>
      <c r="D225" t="s">
        <v>9</v>
      </c>
      <c r="E225" s="9">
        <v>3000</v>
      </c>
      <c r="F225" s="9">
        <v>3000</v>
      </c>
      <c r="G225" s="9">
        <v>2100</v>
      </c>
      <c r="I225" t="s">
        <v>454</v>
      </c>
      <c r="J225" t="s">
        <v>460</v>
      </c>
      <c r="K225" t="s">
        <v>11</v>
      </c>
      <c r="L225" t="str">
        <f>T("9791191562101")</f>
        <v>9791191562101</v>
      </c>
    </row>
    <row r="226" spans="1:12">
      <c r="A226" s="8">
        <v>44627.929699074077</v>
      </c>
      <c r="B226">
        <v>287834730</v>
      </c>
      <c r="C226" t="s">
        <v>275</v>
      </c>
      <c r="D226" t="s">
        <v>9</v>
      </c>
      <c r="E226" s="9">
        <v>2000</v>
      </c>
      <c r="F226" s="9">
        <v>2000</v>
      </c>
      <c r="G226" s="9">
        <v>1400</v>
      </c>
      <c r="I226" t="s">
        <v>169</v>
      </c>
      <c r="J226" t="s">
        <v>460</v>
      </c>
      <c r="K226" t="s">
        <v>11</v>
      </c>
      <c r="L226" t="str">
        <f>T("9791191562019")</f>
        <v>9791191562019</v>
      </c>
    </row>
    <row r="227" spans="1:12">
      <c r="A227" s="8">
        <v>44627.932453703703</v>
      </c>
      <c r="B227">
        <v>290197934</v>
      </c>
      <c r="C227" t="s">
        <v>604</v>
      </c>
      <c r="D227" t="s">
        <v>9</v>
      </c>
      <c r="E227" s="9">
        <v>2000</v>
      </c>
      <c r="F227" s="9">
        <v>2000</v>
      </c>
      <c r="G227" s="9">
        <v>1400</v>
      </c>
      <c r="I227" t="s">
        <v>605</v>
      </c>
      <c r="J227" t="s">
        <v>460</v>
      </c>
      <c r="K227" t="s">
        <v>11</v>
      </c>
      <c r="L227" t="str">
        <f>T("9791191562163")</f>
        <v>9791191562163</v>
      </c>
    </row>
    <row r="228" spans="1:12">
      <c r="A228" s="8">
        <v>44627.997743055559</v>
      </c>
      <c r="B228">
        <v>248962269</v>
      </c>
      <c r="C228" t="s">
        <v>622</v>
      </c>
      <c r="D228" t="s">
        <v>12</v>
      </c>
      <c r="E228">
        <v>0</v>
      </c>
      <c r="F228">
        <v>0</v>
      </c>
      <c r="G228">
        <v>0</v>
      </c>
      <c r="I228" t="s">
        <v>456</v>
      </c>
      <c r="J228" t="s">
        <v>11</v>
      </c>
      <c r="K228" t="s">
        <v>11</v>
      </c>
      <c r="L228" t="str">
        <f>T("9791166066948")</f>
        <v>9791166066948</v>
      </c>
    </row>
    <row r="229" spans="1:12">
      <c r="A229" s="8">
        <v>44627.998310185183</v>
      </c>
      <c r="B229">
        <v>290197934</v>
      </c>
      <c r="C229" t="s">
        <v>604</v>
      </c>
      <c r="D229" t="s">
        <v>9</v>
      </c>
      <c r="E229" s="9">
        <v>2000</v>
      </c>
      <c r="F229" s="9">
        <v>2000</v>
      </c>
      <c r="G229" s="9">
        <v>1400</v>
      </c>
      <c r="I229" t="s">
        <v>605</v>
      </c>
      <c r="J229" t="s">
        <v>460</v>
      </c>
      <c r="K229" t="s">
        <v>11</v>
      </c>
      <c r="L229" t="str">
        <f>T("9791191562163")</f>
        <v>9791191562163</v>
      </c>
    </row>
    <row r="230" spans="1:12">
      <c r="A230" s="8">
        <v>44628.092291666668</v>
      </c>
      <c r="B230">
        <v>289956908</v>
      </c>
      <c r="C230" t="s">
        <v>481</v>
      </c>
      <c r="D230" t="s">
        <v>9</v>
      </c>
      <c r="E230" s="9">
        <v>2000</v>
      </c>
      <c r="F230" s="9">
        <v>2000</v>
      </c>
      <c r="G230" s="9">
        <v>1400</v>
      </c>
      <c r="I230" t="s">
        <v>457</v>
      </c>
      <c r="J230" t="s">
        <v>460</v>
      </c>
      <c r="K230" t="s">
        <v>11</v>
      </c>
      <c r="L230" t="str">
        <f>T("9791191562040")</f>
        <v>9791191562040</v>
      </c>
    </row>
    <row r="231" spans="1:12">
      <c r="A231" s="8">
        <v>44628.117662037039</v>
      </c>
      <c r="B231">
        <v>289956908</v>
      </c>
      <c r="C231" t="s">
        <v>481</v>
      </c>
      <c r="D231" t="s">
        <v>9</v>
      </c>
      <c r="E231" s="9">
        <v>2000</v>
      </c>
      <c r="F231" s="9">
        <v>2000</v>
      </c>
      <c r="G231" s="9">
        <v>1400</v>
      </c>
      <c r="I231" t="s">
        <v>457</v>
      </c>
      <c r="J231" t="s">
        <v>460</v>
      </c>
      <c r="K231" t="s">
        <v>11</v>
      </c>
      <c r="L231" t="str">
        <f>T("9791191562040")</f>
        <v>9791191562040</v>
      </c>
    </row>
    <row r="232" spans="1:12">
      <c r="A232" s="8">
        <v>44628.355821759258</v>
      </c>
      <c r="B232">
        <v>289315562</v>
      </c>
      <c r="C232" t="s">
        <v>478</v>
      </c>
      <c r="D232" t="s">
        <v>9</v>
      </c>
      <c r="E232" s="9">
        <v>3000</v>
      </c>
      <c r="F232" s="9">
        <v>3000</v>
      </c>
      <c r="G232" s="9">
        <v>2100</v>
      </c>
      <c r="I232" t="s">
        <v>454</v>
      </c>
      <c r="J232" t="s">
        <v>460</v>
      </c>
      <c r="K232" t="s">
        <v>11</v>
      </c>
      <c r="L232" t="str">
        <f>T("9791191562101")</f>
        <v>9791191562101</v>
      </c>
    </row>
    <row r="233" spans="1:12">
      <c r="A233" s="8">
        <v>44628.387650462966</v>
      </c>
      <c r="B233">
        <v>248962264</v>
      </c>
      <c r="C233" t="s">
        <v>623</v>
      </c>
      <c r="D233" t="s">
        <v>12</v>
      </c>
      <c r="E233">
        <v>900</v>
      </c>
      <c r="F233">
        <v>900</v>
      </c>
      <c r="G233">
        <v>630</v>
      </c>
      <c r="I233" t="s">
        <v>14</v>
      </c>
      <c r="J233" t="s">
        <v>11</v>
      </c>
      <c r="K233" t="s">
        <v>11</v>
      </c>
      <c r="L233" t="str">
        <f>T("9791166066818")</f>
        <v>9791166066818</v>
      </c>
    </row>
    <row r="234" spans="1:12">
      <c r="A234" s="8">
        <v>44628.436736111114</v>
      </c>
      <c r="B234">
        <v>290197934</v>
      </c>
      <c r="C234" t="s">
        <v>604</v>
      </c>
      <c r="D234" t="s">
        <v>9</v>
      </c>
      <c r="E234" s="9">
        <v>2000</v>
      </c>
      <c r="F234" s="9">
        <v>2000</v>
      </c>
      <c r="G234" s="9">
        <v>1400</v>
      </c>
      <c r="I234" t="s">
        <v>605</v>
      </c>
      <c r="J234" t="s">
        <v>460</v>
      </c>
      <c r="K234" t="s">
        <v>11</v>
      </c>
      <c r="L234" t="str">
        <f>T("9791191562163")</f>
        <v>9791191562163</v>
      </c>
    </row>
    <row r="235" spans="1:12">
      <c r="A235" s="8">
        <v>44628.529641203706</v>
      </c>
      <c r="B235">
        <v>287834730</v>
      </c>
      <c r="C235" t="s">
        <v>275</v>
      </c>
      <c r="D235" t="s">
        <v>9</v>
      </c>
      <c r="E235" s="9">
        <v>2000</v>
      </c>
      <c r="F235" s="9">
        <v>2000</v>
      </c>
      <c r="G235" s="9">
        <v>1400</v>
      </c>
      <c r="I235" t="s">
        <v>169</v>
      </c>
      <c r="J235" t="s">
        <v>460</v>
      </c>
      <c r="K235" t="s">
        <v>11</v>
      </c>
      <c r="L235" t="str">
        <f>T("9791191562019")</f>
        <v>9791191562019</v>
      </c>
    </row>
    <row r="236" spans="1:12">
      <c r="A236" s="8">
        <v>44628.539571759262</v>
      </c>
      <c r="B236">
        <v>290197934</v>
      </c>
      <c r="C236" t="s">
        <v>604</v>
      </c>
      <c r="D236" t="s">
        <v>9</v>
      </c>
      <c r="E236" s="9">
        <v>2000</v>
      </c>
      <c r="F236" s="9">
        <v>2000</v>
      </c>
      <c r="G236" s="9">
        <v>1400</v>
      </c>
      <c r="I236" t="s">
        <v>605</v>
      </c>
      <c r="J236" t="s">
        <v>460</v>
      </c>
      <c r="K236" t="s">
        <v>11</v>
      </c>
      <c r="L236" t="str">
        <f>T("9791191562163")</f>
        <v>9791191562163</v>
      </c>
    </row>
    <row r="237" spans="1:12">
      <c r="A237" s="8">
        <v>44628.547233796293</v>
      </c>
      <c r="B237">
        <v>290197934</v>
      </c>
      <c r="C237" t="s">
        <v>604</v>
      </c>
      <c r="D237" t="s">
        <v>9</v>
      </c>
      <c r="E237" s="9">
        <v>2000</v>
      </c>
      <c r="F237" s="9">
        <v>2000</v>
      </c>
      <c r="G237" s="9">
        <v>1400</v>
      </c>
      <c r="I237" t="s">
        <v>605</v>
      </c>
      <c r="J237" t="s">
        <v>460</v>
      </c>
      <c r="K237" t="s">
        <v>11</v>
      </c>
      <c r="L237" t="str">
        <f>T("9791191562163")</f>
        <v>9791191562163</v>
      </c>
    </row>
    <row r="238" spans="1:12">
      <c r="A238" s="8">
        <v>44628.557372685187</v>
      </c>
      <c r="B238">
        <v>284241886</v>
      </c>
      <c r="C238" t="s">
        <v>62</v>
      </c>
      <c r="D238" t="s">
        <v>9</v>
      </c>
      <c r="E238" s="9">
        <v>3600</v>
      </c>
      <c r="F238" s="9">
        <v>3600</v>
      </c>
      <c r="G238" s="9">
        <v>2520</v>
      </c>
      <c r="I238" t="s">
        <v>34</v>
      </c>
      <c r="J238" t="s">
        <v>588</v>
      </c>
      <c r="K238" t="s">
        <v>11</v>
      </c>
      <c r="L238" t="str">
        <f>T("9791166482564")</f>
        <v>9791166482564</v>
      </c>
    </row>
    <row r="239" spans="1:12">
      <c r="A239" s="8">
        <v>44628.586875000001</v>
      </c>
      <c r="B239">
        <v>290197934</v>
      </c>
      <c r="C239" t="s">
        <v>604</v>
      </c>
      <c r="D239" t="s">
        <v>9</v>
      </c>
      <c r="E239" s="9">
        <v>2000</v>
      </c>
      <c r="F239" s="9">
        <v>2000</v>
      </c>
      <c r="G239" s="9">
        <v>1400</v>
      </c>
      <c r="I239" t="s">
        <v>605</v>
      </c>
      <c r="J239" t="s">
        <v>460</v>
      </c>
      <c r="K239" t="s">
        <v>11</v>
      </c>
      <c r="L239" t="str">
        <f>T("9791191562163")</f>
        <v>9791191562163</v>
      </c>
    </row>
    <row r="240" spans="1:12">
      <c r="A240" s="8">
        <v>44628.592638888891</v>
      </c>
      <c r="B240">
        <v>286405921</v>
      </c>
      <c r="C240" t="s">
        <v>245</v>
      </c>
      <c r="D240" t="s">
        <v>9</v>
      </c>
      <c r="E240" s="9">
        <v>2500</v>
      </c>
      <c r="F240" s="9">
        <v>2500</v>
      </c>
      <c r="G240" s="9">
        <v>1750</v>
      </c>
      <c r="I240" t="s">
        <v>221</v>
      </c>
      <c r="J240" t="s">
        <v>460</v>
      </c>
      <c r="K240" t="s">
        <v>11</v>
      </c>
      <c r="L240" t="str">
        <f>T("9791196945268")</f>
        <v>9791196945268</v>
      </c>
    </row>
    <row r="241" spans="1:12">
      <c r="A241" s="8">
        <v>44628.594386574077</v>
      </c>
      <c r="B241">
        <v>290197934</v>
      </c>
      <c r="C241" t="s">
        <v>604</v>
      </c>
      <c r="D241" t="s">
        <v>9</v>
      </c>
      <c r="E241" s="9">
        <v>2000</v>
      </c>
      <c r="F241" s="9">
        <v>2000</v>
      </c>
      <c r="G241" s="9">
        <v>1400</v>
      </c>
      <c r="I241" t="s">
        <v>605</v>
      </c>
      <c r="J241" t="s">
        <v>460</v>
      </c>
      <c r="K241" t="s">
        <v>11</v>
      </c>
      <c r="L241" t="str">
        <f>T("9791191562163")</f>
        <v>9791191562163</v>
      </c>
    </row>
    <row r="242" spans="1:12">
      <c r="A242" s="8">
        <v>44628.625844907408</v>
      </c>
      <c r="B242">
        <v>290197934</v>
      </c>
      <c r="C242" t="s">
        <v>604</v>
      </c>
      <c r="D242" t="s">
        <v>9</v>
      </c>
      <c r="E242" s="9">
        <v>2000</v>
      </c>
      <c r="F242" s="9">
        <v>2000</v>
      </c>
      <c r="G242" s="9">
        <v>1400</v>
      </c>
      <c r="I242" t="s">
        <v>605</v>
      </c>
      <c r="J242" t="s">
        <v>460</v>
      </c>
      <c r="K242" t="s">
        <v>11</v>
      </c>
      <c r="L242" t="str">
        <f>T("9791191562163")</f>
        <v>9791191562163</v>
      </c>
    </row>
    <row r="243" spans="1:12">
      <c r="A243" s="8">
        <v>44628.80678240741</v>
      </c>
      <c r="B243">
        <v>290084502</v>
      </c>
      <c r="C243" t="s">
        <v>592</v>
      </c>
      <c r="D243" t="s">
        <v>9</v>
      </c>
      <c r="E243" s="9">
        <v>2500</v>
      </c>
      <c r="F243" s="9">
        <v>2500</v>
      </c>
      <c r="G243" s="9">
        <v>1750</v>
      </c>
      <c r="I243" t="s">
        <v>593</v>
      </c>
      <c r="J243" t="s">
        <v>460</v>
      </c>
      <c r="K243" t="s">
        <v>11</v>
      </c>
      <c r="L243" t="str">
        <f>T("9791191562125")</f>
        <v>9791191562125</v>
      </c>
    </row>
    <row r="244" spans="1:12">
      <c r="A244" s="8">
        <v>44628.831886574073</v>
      </c>
      <c r="B244">
        <v>289956908</v>
      </c>
      <c r="C244" t="s">
        <v>481</v>
      </c>
      <c r="D244" t="s">
        <v>9</v>
      </c>
      <c r="E244" s="9">
        <v>2000</v>
      </c>
      <c r="F244" s="9">
        <v>2000</v>
      </c>
      <c r="G244" s="9">
        <v>1400</v>
      </c>
      <c r="I244" t="s">
        <v>457</v>
      </c>
      <c r="J244" t="s">
        <v>460</v>
      </c>
      <c r="K244" t="s">
        <v>11</v>
      </c>
      <c r="L244" t="str">
        <f>T("9791191562040")</f>
        <v>9791191562040</v>
      </c>
    </row>
    <row r="245" spans="1:12">
      <c r="A245" s="8">
        <v>44628.847094907411</v>
      </c>
      <c r="B245">
        <v>290084502</v>
      </c>
      <c r="C245" t="s">
        <v>592</v>
      </c>
      <c r="D245" t="s">
        <v>9</v>
      </c>
      <c r="E245" s="9">
        <v>2500</v>
      </c>
      <c r="F245" s="9">
        <v>2500</v>
      </c>
      <c r="G245" s="9">
        <v>1750</v>
      </c>
      <c r="I245" t="s">
        <v>593</v>
      </c>
      <c r="J245" t="s">
        <v>460</v>
      </c>
      <c r="K245" t="s">
        <v>11</v>
      </c>
      <c r="L245" t="str">
        <f>T("9791191562125")</f>
        <v>9791191562125</v>
      </c>
    </row>
    <row r="246" spans="1:12">
      <c r="A246" s="8">
        <v>44628.881562499999</v>
      </c>
      <c r="B246">
        <v>289315562</v>
      </c>
      <c r="C246" t="s">
        <v>478</v>
      </c>
      <c r="D246" t="s">
        <v>9</v>
      </c>
      <c r="E246" s="9">
        <v>3000</v>
      </c>
      <c r="F246" s="9">
        <v>3000</v>
      </c>
      <c r="G246" s="9">
        <v>2100</v>
      </c>
      <c r="I246" t="s">
        <v>454</v>
      </c>
      <c r="J246" t="s">
        <v>460</v>
      </c>
      <c r="K246" t="s">
        <v>11</v>
      </c>
      <c r="L246" t="str">
        <f>T("9791191562101")</f>
        <v>9791191562101</v>
      </c>
    </row>
    <row r="247" spans="1:12">
      <c r="A247" s="8">
        <v>44628.897337962961</v>
      </c>
      <c r="B247">
        <v>289315562</v>
      </c>
      <c r="C247" t="s">
        <v>478</v>
      </c>
      <c r="D247" t="s">
        <v>9</v>
      </c>
      <c r="E247" s="9">
        <v>3000</v>
      </c>
      <c r="F247" s="9">
        <v>3000</v>
      </c>
      <c r="G247" s="9">
        <v>2100</v>
      </c>
      <c r="I247" t="s">
        <v>454</v>
      </c>
      <c r="J247" t="s">
        <v>460</v>
      </c>
      <c r="K247" t="s">
        <v>11</v>
      </c>
      <c r="L247" t="str">
        <f>T("9791191562101")</f>
        <v>9791191562101</v>
      </c>
    </row>
    <row r="248" spans="1:12">
      <c r="A248" s="8">
        <v>44628.927870370368</v>
      </c>
      <c r="B248">
        <v>290084502</v>
      </c>
      <c r="C248" t="s">
        <v>592</v>
      </c>
      <c r="D248" t="s">
        <v>9</v>
      </c>
      <c r="E248" s="9">
        <v>2500</v>
      </c>
      <c r="F248" s="9">
        <v>2500</v>
      </c>
      <c r="G248" s="9">
        <v>1750</v>
      </c>
      <c r="I248" t="s">
        <v>593</v>
      </c>
      <c r="J248" t="s">
        <v>460</v>
      </c>
      <c r="K248" t="s">
        <v>11</v>
      </c>
      <c r="L248" t="str">
        <f>T("9791191562125")</f>
        <v>9791191562125</v>
      </c>
    </row>
    <row r="249" spans="1:12">
      <c r="A249" s="8">
        <v>44628.940694444442</v>
      </c>
      <c r="B249">
        <v>289315562</v>
      </c>
      <c r="C249" t="s">
        <v>478</v>
      </c>
      <c r="D249" t="s">
        <v>9</v>
      </c>
      <c r="E249" s="9">
        <v>3000</v>
      </c>
      <c r="F249" s="9">
        <v>3000</v>
      </c>
      <c r="G249" s="9">
        <v>2100</v>
      </c>
      <c r="I249" t="s">
        <v>454</v>
      </c>
      <c r="J249" t="s">
        <v>460</v>
      </c>
      <c r="K249" t="s">
        <v>11</v>
      </c>
      <c r="L249" t="str">
        <f>T("9791191562101")</f>
        <v>9791191562101</v>
      </c>
    </row>
    <row r="250" spans="1:12">
      <c r="A250" s="8">
        <v>44628.975208333337</v>
      </c>
      <c r="B250">
        <v>274772659</v>
      </c>
      <c r="C250" t="s">
        <v>37</v>
      </c>
      <c r="D250" t="s">
        <v>9</v>
      </c>
      <c r="E250" s="9">
        <v>3000</v>
      </c>
      <c r="F250" s="9">
        <v>3000</v>
      </c>
      <c r="G250" s="9">
        <v>2100</v>
      </c>
      <c r="I250" t="s">
        <v>34</v>
      </c>
      <c r="J250" t="s">
        <v>588</v>
      </c>
      <c r="K250" t="s">
        <v>11</v>
      </c>
      <c r="L250" t="str">
        <f>T("9791166481703")</f>
        <v>9791166481703</v>
      </c>
    </row>
    <row r="251" spans="1:12">
      <c r="A251" s="8">
        <v>44628.982743055552</v>
      </c>
      <c r="B251">
        <v>290197934</v>
      </c>
      <c r="C251" t="s">
        <v>604</v>
      </c>
      <c r="D251" t="s">
        <v>9</v>
      </c>
      <c r="E251" s="9">
        <v>2000</v>
      </c>
      <c r="F251" s="9">
        <v>2000</v>
      </c>
      <c r="G251" s="9">
        <v>1400</v>
      </c>
      <c r="I251" t="s">
        <v>605</v>
      </c>
      <c r="J251" t="s">
        <v>460</v>
      </c>
      <c r="K251" t="s">
        <v>11</v>
      </c>
      <c r="L251" t="str">
        <f>T("9791191562163")</f>
        <v>9791191562163</v>
      </c>
    </row>
    <row r="252" spans="1:12">
      <c r="A252" s="8">
        <v>44628.991087962961</v>
      </c>
      <c r="B252">
        <v>248962265</v>
      </c>
      <c r="C252" t="s">
        <v>624</v>
      </c>
      <c r="D252" t="s">
        <v>12</v>
      </c>
      <c r="E252">
        <v>900</v>
      </c>
      <c r="F252">
        <v>900</v>
      </c>
      <c r="G252">
        <v>630</v>
      </c>
      <c r="I252" t="s">
        <v>14</v>
      </c>
      <c r="J252" t="s">
        <v>11</v>
      </c>
      <c r="K252" t="s">
        <v>11</v>
      </c>
      <c r="L252" t="str">
        <f>T("9791166066825")</f>
        <v>9791166066825</v>
      </c>
    </row>
    <row r="253" spans="1:12">
      <c r="A253" s="8">
        <v>44629.026805555557</v>
      </c>
      <c r="B253">
        <v>290084502</v>
      </c>
      <c r="C253" t="s">
        <v>592</v>
      </c>
      <c r="D253" t="s">
        <v>9</v>
      </c>
      <c r="E253" s="9">
        <v>2500</v>
      </c>
      <c r="F253" s="9">
        <v>2500</v>
      </c>
      <c r="G253" s="9">
        <v>1750</v>
      </c>
      <c r="I253" t="s">
        <v>593</v>
      </c>
      <c r="J253" t="s">
        <v>460</v>
      </c>
      <c r="K253" t="s">
        <v>11</v>
      </c>
      <c r="L253" t="str">
        <f>T("9791191562125")</f>
        <v>9791191562125</v>
      </c>
    </row>
    <row r="254" spans="1:12">
      <c r="A254" s="8">
        <v>44629.137986111113</v>
      </c>
      <c r="B254">
        <v>287834730</v>
      </c>
      <c r="C254" t="s">
        <v>275</v>
      </c>
      <c r="D254" t="s">
        <v>9</v>
      </c>
      <c r="E254" s="9">
        <v>2000</v>
      </c>
      <c r="F254" s="9">
        <v>2000</v>
      </c>
      <c r="G254" s="9">
        <v>1400</v>
      </c>
      <c r="I254" t="s">
        <v>169</v>
      </c>
      <c r="J254" t="s">
        <v>460</v>
      </c>
      <c r="K254" t="s">
        <v>11</v>
      </c>
      <c r="L254" t="str">
        <f>T("9791191562019")</f>
        <v>9791191562019</v>
      </c>
    </row>
    <row r="255" spans="1:12">
      <c r="A255" s="8">
        <v>44629.153379629628</v>
      </c>
      <c r="B255">
        <v>290197934</v>
      </c>
      <c r="C255" t="s">
        <v>604</v>
      </c>
      <c r="D255" t="s">
        <v>9</v>
      </c>
      <c r="E255" s="9">
        <v>2000</v>
      </c>
      <c r="F255" s="9">
        <v>2000</v>
      </c>
      <c r="G255" s="9">
        <v>1400</v>
      </c>
      <c r="I255" t="s">
        <v>605</v>
      </c>
      <c r="J255" t="s">
        <v>460</v>
      </c>
      <c r="K255" t="s">
        <v>11</v>
      </c>
      <c r="L255" t="str">
        <f>T("9791191562163")</f>
        <v>9791191562163</v>
      </c>
    </row>
    <row r="256" spans="1:12">
      <c r="A256" s="8">
        <v>44629.568761574075</v>
      </c>
      <c r="B256">
        <v>289658948</v>
      </c>
      <c r="C256" t="s">
        <v>580</v>
      </c>
      <c r="D256" t="s">
        <v>9</v>
      </c>
      <c r="E256" s="9">
        <v>3600</v>
      </c>
      <c r="F256" s="9">
        <v>3600</v>
      </c>
      <c r="G256" s="9">
        <v>2520</v>
      </c>
      <c r="I256" t="s">
        <v>455</v>
      </c>
      <c r="J256" t="s">
        <v>460</v>
      </c>
      <c r="K256" t="s">
        <v>11</v>
      </c>
      <c r="L256" t="str">
        <f>T("9791191562095")</f>
        <v>9791191562095</v>
      </c>
    </row>
    <row r="257" spans="1:12">
      <c r="A257" s="8">
        <v>44629.587835648148</v>
      </c>
      <c r="B257">
        <v>284917853</v>
      </c>
      <c r="C257" t="s">
        <v>625</v>
      </c>
      <c r="D257" t="s">
        <v>9</v>
      </c>
      <c r="E257" s="9">
        <v>35200</v>
      </c>
      <c r="F257" s="9">
        <v>35200</v>
      </c>
      <c r="G257" s="9">
        <v>24640</v>
      </c>
      <c r="I257" t="s">
        <v>10</v>
      </c>
      <c r="J257" t="s">
        <v>11</v>
      </c>
      <c r="K257" t="s">
        <v>11</v>
      </c>
      <c r="L257" t="str">
        <f>T("9791166068676")</f>
        <v>9791166068676</v>
      </c>
    </row>
    <row r="258" spans="1:12">
      <c r="A258" s="8">
        <v>44629.633125</v>
      </c>
      <c r="B258">
        <v>284241808</v>
      </c>
      <c r="C258" t="s">
        <v>73</v>
      </c>
      <c r="D258" t="s">
        <v>9</v>
      </c>
      <c r="E258" s="9">
        <v>3600</v>
      </c>
      <c r="F258" s="9">
        <v>3600</v>
      </c>
      <c r="G258" s="9">
        <v>2520</v>
      </c>
      <c r="I258" t="s">
        <v>34</v>
      </c>
      <c r="J258" t="s">
        <v>588</v>
      </c>
      <c r="K258" t="s">
        <v>11</v>
      </c>
      <c r="L258" t="str">
        <f>T("9791166482557")</f>
        <v>9791166482557</v>
      </c>
    </row>
    <row r="259" spans="1:12">
      <c r="A259" s="8">
        <v>44629.663425925923</v>
      </c>
      <c r="B259">
        <v>48791711</v>
      </c>
      <c r="C259" t="s">
        <v>80</v>
      </c>
      <c r="D259" t="s">
        <v>12</v>
      </c>
      <c r="E259">
        <v>0</v>
      </c>
      <c r="F259">
        <v>0</v>
      </c>
      <c r="G259">
        <v>0</v>
      </c>
      <c r="I259" t="s">
        <v>10</v>
      </c>
      <c r="J259" t="s">
        <v>11</v>
      </c>
      <c r="K259" t="s">
        <v>11</v>
      </c>
      <c r="L259" t="str">
        <f>T("9791159283314")</f>
        <v>9791159283314</v>
      </c>
    </row>
    <row r="260" spans="1:12">
      <c r="A260" s="8">
        <v>44629.701435185183</v>
      </c>
      <c r="B260">
        <v>48791712</v>
      </c>
      <c r="C260" t="s">
        <v>82</v>
      </c>
      <c r="D260" t="s">
        <v>12</v>
      </c>
      <c r="E260">
        <v>900</v>
      </c>
      <c r="F260">
        <v>900</v>
      </c>
      <c r="G260">
        <v>630</v>
      </c>
      <c r="I260" t="s">
        <v>10</v>
      </c>
      <c r="J260" t="s">
        <v>11</v>
      </c>
      <c r="K260" t="s">
        <v>11</v>
      </c>
      <c r="L260" t="str">
        <f>T("9791159283321")</f>
        <v>9791159283321</v>
      </c>
    </row>
    <row r="261" spans="1:12">
      <c r="A261" s="8">
        <v>44629.738854166666</v>
      </c>
      <c r="B261">
        <v>48799573</v>
      </c>
      <c r="C261" t="s">
        <v>626</v>
      </c>
      <c r="D261" t="s">
        <v>12</v>
      </c>
      <c r="E261">
        <v>900</v>
      </c>
      <c r="F261">
        <v>900</v>
      </c>
      <c r="G261">
        <v>630</v>
      </c>
      <c r="I261" t="s">
        <v>10</v>
      </c>
      <c r="J261" t="s">
        <v>11</v>
      </c>
      <c r="K261" t="s">
        <v>11</v>
      </c>
      <c r="L261" t="str">
        <f>T("9791159283802")</f>
        <v>9791159283802</v>
      </c>
    </row>
    <row r="262" spans="1:12">
      <c r="A262" s="8">
        <v>44629.788229166668</v>
      </c>
      <c r="B262">
        <v>48791714</v>
      </c>
      <c r="C262" t="s">
        <v>243</v>
      </c>
      <c r="D262" t="s">
        <v>12</v>
      </c>
      <c r="E262">
        <v>900</v>
      </c>
      <c r="F262">
        <v>900</v>
      </c>
      <c r="G262">
        <v>630</v>
      </c>
      <c r="I262" t="s">
        <v>10</v>
      </c>
      <c r="J262" t="s">
        <v>11</v>
      </c>
      <c r="K262" t="s">
        <v>11</v>
      </c>
      <c r="L262" t="str">
        <f>T("9791159283338")</f>
        <v>9791159283338</v>
      </c>
    </row>
    <row r="263" spans="1:12">
      <c r="A263" s="8">
        <v>44629.804918981485</v>
      </c>
      <c r="B263">
        <v>48799575</v>
      </c>
      <c r="C263" t="s">
        <v>185</v>
      </c>
      <c r="D263" t="s">
        <v>12</v>
      </c>
      <c r="E263">
        <v>900</v>
      </c>
      <c r="F263">
        <v>900</v>
      </c>
      <c r="G263">
        <v>630</v>
      </c>
      <c r="I263" t="s">
        <v>10</v>
      </c>
      <c r="J263" t="s">
        <v>11</v>
      </c>
      <c r="K263" t="s">
        <v>11</v>
      </c>
      <c r="L263" t="str">
        <f>T("9791159283819")</f>
        <v>9791159283819</v>
      </c>
    </row>
    <row r="264" spans="1:12">
      <c r="A264" s="8">
        <v>44629.835266203707</v>
      </c>
      <c r="B264">
        <v>48791715</v>
      </c>
      <c r="C264" t="s">
        <v>244</v>
      </c>
      <c r="D264" t="s">
        <v>12</v>
      </c>
      <c r="E264">
        <v>900</v>
      </c>
      <c r="F264">
        <v>900</v>
      </c>
      <c r="G264">
        <v>630</v>
      </c>
      <c r="I264" t="s">
        <v>10</v>
      </c>
      <c r="J264" t="s">
        <v>11</v>
      </c>
      <c r="K264" t="s">
        <v>11</v>
      </c>
      <c r="L264" t="str">
        <f>T("9791159283345")</f>
        <v>9791159283345</v>
      </c>
    </row>
    <row r="265" spans="1:12">
      <c r="A265" s="8">
        <v>44629.864062499997</v>
      </c>
      <c r="B265">
        <v>290084502</v>
      </c>
      <c r="C265" t="s">
        <v>592</v>
      </c>
      <c r="D265" t="s">
        <v>9</v>
      </c>
      <c r="E265" s="9">
        <v>2500</v>
      </c>
      <c r="F265" s="9">
        <v>2500</v>
      </c>
      <c r="G265" s="9">
        <v>1750</v>
      </c>
      <c r="I265" t="s">
        <v>593</v>
      </c>
      <c r="J265" t="s">
        <v>460</v>
      </c>
      <c r="K265" t="s">
        <v>11</v>
      </c>
      <c r="L265" t="str">
        <f>T("9791191562125")</f>
        <v>9791191562125</v>
      </c>
    </row>
    <row r="266" spans="1:12">
      <c r="A266" s="8">
        <v>44629.866238425922</v>
      </c>
      <c r="B266">
        <v>48799577</v>
      </c>
      <c r="C266" t="s">
        <v>192</v>
      </c>
      <c r="D266" t="s">
        <v>12</v>
      </c>
      <c r="E266">
        <v>900</v>
      </c>
      <c r="F266">
        <v>900</v>
      </c>
      <c r="G266">
        <v>630</v>
      </c>
      <c r="I266" t="s">
        <v>10</v>
      </c>
      <c r="J266" t="s">
        <v>11</v>
      </c>
      <c r="K266" t="s">
        <v>11</v>
      </c>
      <c r="L266" t="str">
        <f>T("9791159283826")</f>
        <v>9791159283826</v>
      </c>
    </row>
    <row r="267" spans="1:12">
      <c r="A267" s="8">
        <v>44629.904293981483</v>
      </c>
      <c r="B267">
        <v>48791717</v>
      </c>
      <c r="C267" t="s">
        <v>277</v>
      </c>
      <c r="D267" t="s">
        <v>12</v>
      </c>
      <c r="E267">
        <v>900</v>
      </c>
      <c r="F267">
        <v>900</v>
      </c>
      <c r="G267">
        <v>630</v>
      </c>
      <c r="I267" t="s">
        <v>10</v>
      </c>
      <c r="J267" t="s">
        <v>11</v>
      </c>
      <c r="K267" t="s">
        <v>11</v>
      </c>
      <c r="L267" t="str">
        <f>T("9791159283352")</f>
        <v>9791159283352</v>
      </c>
    </row>
    <row r="268" spans="1:12">
      <c r="A268" s="8">
        <v>44629.912511574075</v>
      </c>
      <c r="B268">
        <v>287834730</v>
      </c>
      <c r="C268" t="s">
        <v>275</v>
      </c>
      <c r="D268" t="s">
        <v>9</v>
      </c>
      <c r="E268" s="9">
        <v>2000</v>
      </c>
      <c r="F268" s="9">
        <v>2000</v>
      </c>
      <c r="G268" s="9">
        <v>1400</v>
      </c>
      <c r="I268" t="s">
        <v>169</v>
      </c>
      <c r="J268" t="s">
        <v>460</v>
      </c>
      <c r="K268" t="s">
        <v>11</v>
      </c>
      <c r="L268" t="str">
        <f>T("9791191562019")</f>
        <v>9791191562019</v>
      </c>
    </row>
    <row r="269" spans="1:12">
      <c r="A269" s="8">
        <v>44629.927430555559</v>
      </c>
      <c r="B269">
        <v>284917853</v>
      </c>
      <c r="C269" t="s">
        <v>625</v>
      </c>
      <c r="D269" t="s">
        <v>12</v>
      </c>
      <c r="E269" s="9">
        <v>9900</v>
      </c>
      <c r="F269" s="9">
        <v>9900</v>
      </c>
      <c r="G269" s="9">
        <v>6930</v>
      </c>
      <c r="I269" t="s">
        <v>10</v>
      </c>
      <c r="J269" t="s">
        <v>11</v>
      </c>
      <c r="K269" t="s">
        <v>11</v>
      </c>
      <c r="L269" t="str">
        <f>T("9791166068676")</f>
        <v>9791166068676</v>
      </c>
    </row>
    <row r="270" spans="1:12">
      <c r="A270" s="8">
        <v>44629.94431712963</v>
      </c>
      <c r="B270">
        <v>290084502</v>
      </c>
      <c r="C270" t="s">
        <v>592</v>
      </c>
      <c r="D270" t="s">
        <v>9</v>
      </c>
      <c r="E270" s="9">
        <v>2500</v>
      </c>
      <c r="F270" s="9">
        <v>2500</v>
      </c>
      <c r="G270" s="9">
        <v>1750</v>
      </c>
      <c r="I270" t="s">
        <v>593</v>
      </c>
      <c r="J270" t="s">
        <v>460</v>
      </c>
      <c r="K270" t="s">
        <v>11</v>
      </c>
      <c r="L270" t="str">
        <f>T("9791191562125")</f>
        <v>9791191562125</v>
      </c>
    </row>
    <row r="271" spans="1:12">
      <c r="A271" s="8">
        <v>44629.94431712963</v>
      </c>
      <c r="B271">
        <v>289956908</v>
      </c>
      <c r="C271" t="s">
        <v>481</v>
      </c>
      <c r="D271" t="s">
        <v>9</v>
      </c>
      <c r="E271" s="9">
        <v>2000</v>
      </c>
      <c r="F271" s="9">
        <v>2000</v>
      </c>
      <c r="G271" s="9">
        <v>1400</v>
      </c>
      <c r="I271" t="s">
        <v>457</v>
      </c>
      <c r="J271" t="s">
        <v>460</v>
      </c>
      <c r="K271" t="s">
        <v>11</v>
      </c>
      <c r="L271" t="str">
        <f>T("9791191562040")</f>
        <v>9791191562040</v>
      </c>
    </row>
    <row r="272" spans="1:12">
      <c r="A272" s="8">
        <v>44629.945428240739</v>
      </c>
      <c r="B272">
        <v>286755913</v>
      </c>
      <c r="C272" t="s">
        <v>222</v>
      </c>
      <c r="D272" t="s">
        <v>9</v>
      </c>
      <c r="E272" s="9">
        <v>2000</v>
      </c>
      <c r="F272" s="9">
        <v>2000</v>
      </c>
      <c r="G272" s="9">
        <v>1400</v>
      </c>
      <c r="I272" t="s">
        <v>159</v>
      </c>
      <c r="J272" t="s">
        <v>460</v>
      </c>
      <c r="K272" t="s">
        <v>11</v>
      </c>
      <c r="L272" t="str">
        <f>T("9791196945251")</f>
        <v>9791196945251</v>
      </c>
    </row>
    <row r="273" spans="1:12">
      <c r="A273" s="8">
        <v>44629.951168981483</v>
      </c>
      <c r="B273">
        <v>241312708</v>
      </c>
      <c r="C273" t="s">
        <v>627</v>
      </c>
      <c r="D273" t="s">
        <v>12</v>
      </c>
      <c r="E273">
        <v>0</v>
      </c>
      <c r="F273">
        <v>0</v>
      </c>
      <c r="G273">
        <v>0</v>
      </c>
      <c r="I273" t="s">
        <v>21</v>
      </c>
      <c r="J273" t="s">
        <v>20</v>
      </c>
      <c r="K273" t="s">
        <v>11</v>
      </c>
      <c r="L273" t="str">
        <f>T("9791164489077")</f>
        <v>9791164489077</v>
      </c>
    </row>
    <row r="274" spans="1:12">
      <c r="A274" s="8">
        <v>44630.007534722223</v>
      </c>
      <c r="B274">
        <v>48791718</v>
      </c>
      <c r="C274" t="s">
        <v>556</v>
      </c>
      <c r="D274" t="s">
        <v>12</v>
      </c>
      <c r="E274">
        <v>900</v>
      </c>
      <c r="F274">
        <v>900</v>
      </c>
      <c r="G274">
        <v>630</v>
      </c>
      <c r="I274" t="s">
        <v>10</v>
      </c>
      <c r="J274" t="s">
        <v>11</v>
      </c>
      <c r="K274" t="s">
        <v>11</v>
      </c>
      <c r="L274" t="str">
        <f>T("9791159283369")</f>
        <v>9791159283369</v>
      </c>
    </row>
    <row r="275" spans="1:12">
      <c r="A275" s="8">
        <v>44630.023148148146</v>
      </c>
      <c r="B275">
        <v>289315562</v>
      </c>
      <c r="C275" t="s">
        <v>478</v>
      </c>
      <c r="D275" t="s">
        <v>9</v>
      </c>
      <c r="E275" s="9">
        <v>3000</v>
      </c>
      <c r="F275" s="9">
        <v>3000</v>
      </c>
      <c r="G275" s="9">
        <v>2100</v>
      </c>
      <c r="I275" t="s">
        <v>454</v>
      </c>
      <c r="J275" t="s">
        <v>460</v>
      </c>
      <c r="K275" t="s">
        <v>11</v>
      </c>
      <c r="L275" t="str">
        <f>T("9791191562101")</f>
        <v>9791191562101</v>
      </c>
    </row>
    <row r="276" spans="1:12">
      <c r="A276" s="8">
        <v>44630.084467592591</v>
      </c>
      <c r="B276">
        <v>48791719</v>
      </c>
      <c r="C276" t="s">
        <v>558</v>
      </c>
      <c r="D276" t="s">
        <v>12</v>
      </c>
      <c r="E276">
        <v>900</v>
      </c>
      <c r="F276">
        <v>900</v>
      </c>
      <c r="G276">
        <v>630</v>
      </c>
      <c r="I276" t="s">
        <v>10</v>
      </c>
      <c r="J276" t="s">
        <v>11</v>
      </c>
      <c r="K276" t="s">
        <v>11</v>
      </c>
      <c r="L276" t="str">
        <f>T("9791159283376")</f>
        <v>9791159283376</v>
      </c>
    </row>
    <row r="277" spans="1:12">
      <c r="A277" s="8">
        <v>44630.375486111108</v>
      </c>
      <c r="B277">
        <v>290197934</v>
      </c>
      <c r="C277" t="s">
        <v>604</v>
      </c>
      <c r="D277" t="s">
        <v>9</v>
      </c>
      <c r="E277" s="9">
        <v>2000</v>
      </c>
      <c r="F277" s="9">
        <v>2000</v>
      </c>
      <c r="G277" s="9">
        <v>1400</v>
      </c>
      <c r="I277" t="s">
        <v>605</v>
      </c>
      <c r="J277" t="s">
        <v>460</v>
      </c>
      <c r="K277" t="s">
        <v>11</v>
      </c>
      <c r="L277" t="str">
        <f>T("9791191562163")</f>
        <v>9791191562163</v>
      </c>
    </row>
    <row r="278" spans="1:12">
      <c r="A278" s="8">
        <v>44630.463993055557</v>
      </c>
      <c r="B278">
        <v>284241886</v>
      </c>
      <c r="C278" t="s">
        <v>62</v>
      </c>
      <c r="D278" t="s">
        <v>9</v>
      </c>
      <c r="E278" s="9">
        <v>3600</v>
      </c>
      <c r="F278" s="9">
        <v>3600</v>
      </c>
      <c r="G278" s="9">
        <v>2520</v>
      </c>
      <c r="I278" t="s">
        <v>34</v>
      </c>
      <c r="J278" t="s">
        <v>588</v>
      </c>
      <c r="K278" t="s">
        <v>11</v>
      </c>
      <c r="L278" t="str">
        <f>T("9791166482564")</f>
        <v>9791166482564</v>
      </c>
    </row>
    <row r="279" spans="1:12">
      <c r="A279" s="8">
        <v>44630.50273148148</v>
      </c>
      <c r="B279">
        <v>287086652</v>
      </c>
      <c r="C279" t="s">
        <v>220</v>
      </c>
      <c r="D279" t="s">
        <v>9</v>
      </c>
      <c r="E279" s="9">
        <v>2000</v>
      </c>
      <c r="F279" s="9">
        <v>2000</v>
      </c>
      <c r="G279" s="9">
        <v>1400</v>
      </c>
      <c r="I279" t="s">
        <v>162</v>
      </c>
      <c r="J279" t="s">
        <v>460</v>
      </c>
      <c r="K279" t="s">
        <v>11</v>
      </c>
      <c r="L279" t="str">
        <f>T("9791191562033")</f>
        <v>9791191562033</v>
      </c>
    </row>
    <row r="280" spans="1:12">
      <c r="A280" s="8">
        <v>44630.539351851854</v>
      </c>
      <c r="B280">
        <v>48791721</v>
      </c>
      <c r="C280" t="s">
        <v>557</v>
      </c>
      <c r="D280" t="s">
        <v>12</v>
      </c>
      <c r="E280">
        <v>900</v>
      </c>
      <c r="F280">
        <v>900</v>
      </c>
      <c r="G280">
        <v>630</v>
      </c>
      <c r="I280" t="s">
        <v>10</v>
      </c>
      <c r="J280" t="s">
        <v>11</v>
      </c>
      <c r="K280" t="s">
        <v>11</v>
      </c>
      <c r="L280" t="str">
        <f>T("9791159283383")</f>
        <v>9791159283383</v>
      </c>
    </row>
    <row r="281" spans="1:12">
      <c r="A281" s="8">
        <v>44630.589097222219</v>
      </c>
      <c r="B281">
        <v>248962266</v>
      </c>
      <c r="C281" t="s">
        <v>628</v>
      </c>
      <c r="D281" t="s">
        <v>12</v>
      </c>
      <c r="E281">
        <v>900</v>
      </c>
      <c r="F281">
        <v>900</v>
      </c>
      <c r="G281">
        <v>630</v>
      </c>
      <c r="I281" t="s">
        <v>14</v>
      </c>
      <c r="J281" t="s">
        <v>11</v>
      </c>
      <c r="K281" t="s">
        <v>11</v>
      </c>
      <c r="L281" t="str">
        <f>T("9791166066832")</f>
        <v>9791166066832</v>
      </c>
    </row>
    <row r="282" spans="1:12">
      <c r="A282" s="8">
        <v>44630.600370370368</v>
      </c>
      <c r="B282">
        <v>256291108</v>
      </c>
      <c r="C282" t="s">
        <v>629</v>
      </c>
      <c r="D282" t="s">
        <v>9</v>
      </c>
      <c r="E282">
        <v>0</v>
      </c>
      <c r="F282">
        <v>0</v>
      </c>
      <c r="G282">
        <v>0</v>
      </c>
      <c r="I282" t="s">
        <v>161</v>
      </c>
      <c r="J282" t="s">
        <v>11</v>
      </c>
      <c r="K282" t="s">
        <v>11</v>
      </c>
      <c r="L282" t="str">
        <f>T("9791166065279")</f>
        <v>9791166065279</v>
      </c>
    </row>
    <row r="283" spans="1:12">
      <c r="A283" s="8">
        <v>44630.62332175926</v>
      </c>
      <c r="B283">
        <v>289956908</v>
      </c>
      <c r="C283" t="s">
        <v>481</v>
      </c>
      <c r="D283" t="s">
        <v>9</v>
      </c>
      <c r="E283" s="9">
        <v>2000</v>
      </c>
      <c r="F283" s="9">
        <v>2000</v>
      </c>
      <c r="G283" s="9">
        <v>1400</v>
      </c>
      <c r="I283" t="s">
        <v>457</v>
      </c>
      <c r="J283" t="s">
        <v>460</v>
      </c>
      <c r="K283" t="s">
        <v>11</v>
      </c>
      <c r="L283" t="str">
        <f>T("9791191562040")</f>
        <v>9791191562040</v>
      </c>
    </row>
    <row r="284" spans="1:12">
      <c r="A284" s="8">
        <v>44630.633587962962</v>
      </c>
      <c r="B284">
        <v>48791711</v>
      </c>
      <c r="C284" t="s">
        <v>80</v>
      </c>
      <c r="D284" t="s">
        <v>9</v>
      </c>
      <c r="E284">
        <v>0</v>
      </c>
      <c r="F284">
        <v>0</v>
      </c>
      <c r="G284">
        <v>0</v>
      </c>
      <c r="I284" t="s">
        <v>10</v>
      </c>
      <c r="J284" t="s">
        <v>11</v>
      </c>
      <c r="K284" t="s">
        <v>11</v>
      </c>
      <c r="L284" t="str">
        <f>T("9791159283314")</f>
        <v>9791159283314</v>
      </c>
    </row>
    <row r="285" spans="1:12">
      <c r="A285" s="8">
        <v>44630.644652777781</v>
      </c>
      <c r="B285">
        <v>48806274</v>
      </c>
      <c r="C285" t="s">
        <v>562</v>
      </c>
      <c r="D285" t="s">
        <v>12</v>
      </c>
      <c r="E285">
        <v>900</v>
      </c>
      <c r="F285">
        <v>900</v>
      </c>
      <c r="G285">
        <v>630</v>
      </c>
      <c r="I285" t="s">
        <v>10</v>
      </c>
      <c r="J285" t="s">
        <v>11</v>
      </c>
      <c r="K285" t="s">
        <v>11</v>
      </c>
      <c r="L285" t="str">
        <f>T("9791159283390")</f>
        <v>9791159283390</v>
      </c>
    </row>
    <row r="286" spans="1:12">
      <c r="A286" s="8">
        <v>44630.686319444445</v>
      </c>
      <c r="B286">
        <v>290197934</v>
      </c>
      <c r="C286" t="s">
        <v>604</v>
      </c>
      <c r="D286" t="s">
        <v>9</v>
      </c>
      <c r="E286" s="9">
        <v>2000</v>
      </c>
      <c r="F286" s="9">
        <v>2000</v>
      </c>
      <c r="G286" s="9">
        <v>1400</v>
      </c>
      <c r="I286" t="s">
        <v>605</v>
      </c>
      <c r="J286" t="s">
        <v>460</v>
      </c>
      <c r="K286" t="s">
        <v>11</v>
      </c>
      <c r="L286" t="str">
        <f>T("9791191562163")</f>
        <v>9791191562163</v>
      </c>
    </row>
    <row r="287" spans="1:12">
      <c r="A287" s="8">
        <v>44630.686319444445</v>
      </c>
      <c r="B287">
        <v>289956908</v>
      </c>
      <c r="C287" t="s">
        <v>481</v>
      </c>
      <c r="D287" t="s">
        <v>9</v>
      </c>
      <c r="E287" s="9">
        <v>2000</v>
      </c>
      <c r="F287" s="9">
        <v>2000</v>
      </c>
      <c r="G287" s="9">
        <v>1400</v>
      </c>
      <c r="I287" t="s">
        <v>457</v>
      </c>
      <c r="J287" t="s">
        <v>460</v>
      </c>
      <c r="K287" t="s">
        <v>11</v>
      </c>
      <c r="L287" t="str">
        <f>T("9791191562040")</f>
        <v>9791191562040</v>
      </c>
    </row>
    <row r="288" spans="1:12">
      <c r="A288" s="8">
        <v>44630.686319444445</v>
      </c>
      <c r="B288">
        <v>289315562</v>
      </c>
      <c r="C288" t="s">
        <v>478</v>
      </c>
      <c r="D288" t="s">
        <v>9</v>
      </c>
      <c r="E288" s="9">
        <v>3000</v>
      </c>
      <c r="F288" s="9">
        <v>3000</v>
      </c>
      <c r="G288" s="9">
        <v>2100</v>
      </c>
      <c r="I288" t="s">
        <v>454</v>
      </c>
      <c r="J288" t="s">
        <v>460</v>
      </c>
      <c r="K288" t="s">
        <v>11</v>
      </c>
      <c r="L288" t="str">
        <f>T("9791191562101")</f>
        <v>9791191562101</v>
      </c>
    </row>
    <row r="289" spans="1:12">
      <c r="A289" s="8">
        <v>44630.74423611111</v>
      </c>
      <c r="B289">
        <v>290197934</v>
      </c>
      <c r="C289" t="s">
        <v>604</v>
      </c>
      <c r="D289" t="s">
        <v>9</v>
      </c>
      <c r="E289" s="9">
        <v>2000</v>
      </c>
      <c r="F289" s="9">
        <v>2000</v>
      </c>
      <c r="G289" s="9">
        <v>1400</v>
      </c>
      <c r="I289" t="s">
        <v>605</v>
      </c>
      <c r="J289" t="s">
        <v>460</v>
      </c>
      <c r="K289" t="s">
        <v>11</v>
      </c>
      <c r="L289" t="str">
        <f>T("9791191562163")</f>
        <v>9791191562163</v>
      </c>
    </row>
    <row r="290" spans="1:12">
      <c r="A290" s="8">
        <v>44630.758437500001</v>
      </c>
      <c r="B290">
        <v>248187293</v>
      </c>
      <c r="C290" t="s">
        <v>526</v>
      </c>
      <c r="D290" t="s">
        <v>9</v>
      </c>
      <c r="E290" s="9">
        <v>3200</v>
      </c>
      <c r="F290" s="9">
        <v>3200</v>
      </c>
      <c r="G290" s="9">
        <v>2240</v>
      </c>
      <c r="I290" t="s">
        <v>15</v>
      </c>
      <c r="J290" t="s">
        <v>11</v>
      </c>
      <c r="K290" t="s">
        <v>11</v>
      </c>
      <c r="L290" t="str">
        <f>T("9791190937177")</f>
        <v>9791190937177</v>
      </c>
    </row>
    <row r="291" spans="1:12">
      <c r="A291" s="8">
        <v>44630.78696759259</v>
      </c>
      <c r="B291">
        <v>48791724</v>
      </c>
      <c r="C291" t="s">
        <v>563</v>
      </c>
      <c r="D291" t="s">
        <v>12</v>
      </c>
      <c r="E291">
        <v>900</v>
      </c>
      <c r="F291">
        <v>900</v>
      </c>
      <c r="G291">
        <v>630</v>
      </c>
      <c r="I291" t="s">
        <v>10</v>
      </c>
      <c r="J291" t="s">
        <v>11</v>
      </c>
      <c r="K291" t="s">
        <v>11</v>
      </c>
      <c r="L291" t="str">
        <f>T("9791159283406")</f>
        <v>9791159283406</v>
      </c>
    </row>
    <row r="292" spans="1:12">
      <c r="A292" s="8">
        <v>44630.796979166669</v>
      </c>
      <c r="B292">
        <v>290084502</v>
      </c>
      <c r="C292" t="s">
        <v>592</v>
      </c>
      <c r="D292" t="s">
        <v>9</v>
      </c>
      <c r="E292" s="9">
        <v>2500</v>
      </c>
      <c r="F292" s="9">
        <v>2500</v>
      </c>
      <c r="G292" s="9">
        <v>1750</v>
      </c>
      <c r="I292" t="s">
        <v>593</v>
      </c>
      <c r="J292" t="s">
        <v>460</v>
      </c>
      <c r="K292" t="s">
        <v>11</v>
      </c>
      <c r="L292" t="str">
        <f>T("9791191562125")</f>
        <v>9791191562125</v>
      </c>
    </row>
    <row r="293" spans="1:12">
      <c r="A293" s="8">
        <v>44630.83697916667</v>
      </c>
      <c r="B293">
        <v>274772659</v>
      </c>
      <c r="C293" t="s">
        <v>37</v>
      </c>
      <c r="D293" t="s">
        <v>9</v>
      </c>
      <c r="E293" s="9">
        <v>3000</v>
      </c>
      <c r="F293" s="9">
        <v>3000</v>
      </c>
      <c r="G293" s="9">
        <v>2100</v>
      </c>
      <c r="I293" t="s">
        <v>34</v>
      </c>
      <c r="J293" t="s">
        <v>588</v>
      </c>
      <c r="K293" t="s">
        <v>11</v>
      </c>
      <c r="L293" t="str">
        <f>T("9791166481703")</f>
        <v>9791166481703</v>
      </c>
    </row>
    <row r="294" spans="1:12">
      <c r="A294" s="8">
        <v>44630.83697916667</v>
      </c>
      <c r="B294">
        <v>274772658</v>
      </c>
      <c r="C294" t="s">
        <v>75</v>
      </c>
      <c r="D294" t="s">
        <v>9</v>
      </c>
      <c r="E294" s="9">
        <v>3000</v>
      </c>
      <c r="F294" s="9">
        <v>3000</v>
      </c>
      <c r="G294" s="9">
        <v>2100</v>
      </c>
      <c r="I294" t="s">
        <v>34</v>
      </c>
      <c r="J294" t="s">
        <v>588</v>
      </c>
      <c r="K294" t="s">
        <v>11</v>
      </c>
      <c r="L294" t="str">
        <f>T("9791166481710")</f>
        <v>9791166481710</v>
      </c>
    </row>
    <row r="295" spans="1:12">
      <c r="A295" s="8">
        <v>44630.862210648149</v>
      </c>
      <c r="B295">
        <v>48791726</v>
      </c>
      <c r="C295" t="s">
        <v>567</v>
      </c>
      <c r="D295" t="s">
        <v>12</v>
      </c>
      <c r="E295">
        <v>900</v>
      </c>
      <c r="F295">
        <v>900</v>
      </c>
      <c r="G295">
        <v>630</v>
      </c>
      <c r="I295" t="s">
        <v>10</v>
      </c>
      <c r="J295" t="s">
        <v>11</v>
      </c>
      <c r="K295" t="s">
        <v>11</v>
      </c>
      <c r="L295" t="str">
        <f>T("9791159283413")</f>
        <v>9791159283413</v>
      </c>
    </row>
    <row r="296" spans="1:12">
      <c r="A296" s="8">
        <v>44630.889039351852</v>
      </c>
      <c r="B296">
        <v>289315562</v>
      </c>
      <c r="C296" t="s">
        <v>478</v>
      </c>
      <c r="D296" t="s">
        <v>9</v>
      </c>
      <c r="E296" s="9">
        <v>3000</v>
      </c>
      <c r="F296" s="9">
        <v>3000</v>
      </c>
      <c r="G296" s="9">
        <v>2100</v>
      </c>
      <c r="I296" t="s">
        <v>454</v>
      </c>
      <c r="J296" t="s">
        <v>460</v>
      </c>
      <c r="K296" t="s">
        <v>11</v>
      </c>
      <c r="L296" t="str">
        <f>T("9791191562101")</f>
        <v>9791191562101</v>
      </c>
    </row>
    <row r="297" spans="1:12">
      <c r="A297" s="8">
        <v>44630.923437500001</v>
      </c>
      <c r="B297">
        <v>289315562</v>
      </c>
      <c r="C297" t="s">
        <v>478</v>
      </c>
      <c r="D297" t="s">
        <v>9</v>
      </c>
      <c r="E297" s="9">
        <v>3000</v>
      </c>
      <c r="F297" s="9">
        <v>3000</v>
      </c>
      <c r="G297" s="9">
        <v>2100</v>
      </c>
      <c r="I297" t="s">
        <v>454</v>
      </c>
      <c r="J297" t="s">
        <v>460</v>
      </c>
      <c r="K297" t="s">
        <v>11</v>
      </c>
      <c r="L297" t="str">
        <f>T("9791191562101")</f>
        <v>9791191562101</v>
      </c>
    </row>
    <row r="298" spans="1:12">
      <c r="A298" s="8">
        <v>44630.926574074074</v>
      </c>
      <c r="B298">
        <v>289315562</v>
      </c>
      <c r="C298" t="s">
        <v>478</v>
      </c>
      <c r="D298" t="s">
        <v>9</v>
      </c>
      <c r="E298" s="9">
        <v>-3000</v>
      </c>
      <c r="F298" s="9">
        <v>-3000</v>
      </c>
      <c r="G298" s="9">
        <v>-2100</v>
      </c>
      <c r="H298" s="8">
        <v>44630.923437500001</v>
      </c>
      <c r="I298" t="s">
        <v>454</v>
      </c>
      <c r="J298" t="s">
        <v>460</v>
      </c>
      <c r="K298" t="s">
        <v>11</v>
      </c>
      <c r="L298" t="str">
        <f>T("9791191562101")</f>
        <v>9791191562101</v>
      </c>
    </row>
    <row r="299" spans="1:12">
      <c r="A299" s="8">
        <v>44630.924756944441</v>
      </c>
      <c r="B299">
        <v>290197934</v>
      </c>
      <c r="C299" t="s">
        <v>604</v>
      </c>
      <c r="D299" t="s">
        <v>9</v>
      </c>
      <c r="E299" s="9">
        <v>2000</v>
      </c>
      <c r="F299" s="9">
        <v>2000</v>
      </c>
      <c r="G299" s="9">
        <v>1400</v>
      </c>
      <c r="I299" t="s">
        <v>605</v>
      </c>
      <c r="J299" t="s">
        <v>460</v>
      </c>
      <c r="K299" t="s">
        <v>11</v>
      </c>
      <c r="L299" t="str">
        <f>T("9791191562163")</f>
        <v>9791191562163</v>
      </c>
    </row>
    <row r="300" spans="1:12">
      <c r="A300" s="8">
        <v>44630.927037037036</v>
      </c>
      <c r="B300">
        <v>289315562</v>
      </c>
      <c r="C300" t="s">
        <v>478</v>
      </c>
      <c r="D300" t="s">
        <v>9</v>
      </c>
      <c r="E300" s="9">
        <v>3000</v>
      </c>
      <c r="F300" s="9">
        <v>3000</v>
      </c>
      <c r="G300" s="9">
        <v>2100</v>
      </c>
      <c r="I300" t="s">
        <v>454</v>
      </c>
      <c r="J300" t="s">
        <v>460</v>
      </c>
      <c r="K300" t="s">
        <v>11</v>
      </c>
      <c r="L300" t="str">
        <f>T("9791191562101")</f>
        <v>9791191562101</v>
      </c>
    </row>
    <row r="301" spans="1:12">
      <c r="A301" s="8">
        <v>44630.971226851849</v>
      </c>
      <c r="B301">
        <v>289315562</v>
      </c>
      <c r="C301" t="s">
        <v>478</v>
      </c>
      <c r="D301" t="s">
        <v>9</v>
      </c>
      <c r="E301" s="9">
        <v>-3000</v>
      </c>
      <c r="F301" s="9">
        <v>-3000</v>
      </c>
      <c r="G301" s="9">
        <v>-2100</v>
      </c>
      <c r="H301" s="8">
        <v>44630.927037037036</v>
      </c>
      <c r="I301" t="s">
        <v>454</v>
      </c>
      <c r="J301" t="s">
        <v>460</v>
      </c>
      <c r="K301" t="s">
        <v>11</v>
      </c>
      <c r="L301" t="str">
        <f>T("9791191562101")</f>
        <v>9791191562101</v>
      </c>
    </row>
    <row r="302" spans="1:12">
      <c r="A302" s="8">
        <v>44630.972754629627</v>
      </c>
      <c r="B302">
        <v>289315562</v>
      </c>
      <c r="C302" t="s">
        <v>478</v>
      </c>
      <c r="D302" t="s">
        <v>9</v>
      </c>
      <c r="E302" s="9">
        <v>3000</v>
      </c>
      <c r="F302" s="9">
        <v>3000</v>
      </c>
      <c r="G302" s="9">
        <v>2100</v>
      </c>
      <c r="I302" t="s">
        <v>454</v>
      </c>
      <c r="J302" t="s">
        <v>460</v>
      </c>
      <c r="K302" t="s">
        <v>11</v>
      </c>
      <c r="L302" t="str">
        <f>T("9791191562101")</f>
        <v>9791191562101</v>
      </c>
    </row>
    <row r="303" spans="1:12">
      <c r="A303" s="8">
        <v>44630.974386574075</v>
      </c>
      <c r="B303">
        <v>289315562</v>
      </c>
      <c r="C303" t="s">
        <v>478</v>
      </c>
      <c r="D303" t="s">
        <v>9</v>
      </c>
      <c r="E303" s="9">
        <v>-3000</v>
      </c>
      <c r="F303" s="9">
        <v>-3000</v>
      </c>
      <c r="G303" s="9">
        <v>-2100</v>
      </c>
      <c r="H303" s="8">
        <v>44630.972754629627</v>
      </c>
      <c r="I303" t="s">
        <v>454</v>
      </c>
      <c r="J303" t="s">
        <v>460</v>
      </c>
      <c r="K303" t="s">
        <v>11</v>
      </c>
      <c r="L303" t="str">
        <f>T("9791191562101")</f>
        <v>9791191562101</v>
      </c>
    </row>
    <row r="304" spans="1:12">
      <c r="A304" s="8">
        <v>44630.972800925927</v>
      </c>
      <c r="B304">
        <v>290197934</v>
      </c>
      <c r="C304" t="s">
        <v>604</v>
      </c>
      <c r="D304" t="s">
        <v>9</v>
      </c>
      <c r="E304" s="9">
        <v>2000</v>
      </c>
      <c r="F304" s="9">
        <v>2000</v>
      </c>
      <c r="G304" s="9">
        <v>1400</v>
      </c>
      <c r="I304" t="s">
        <v>605</v>
      </c>
      <c r="J304" t="s">
        <v>460</v>
      </c>
      <c r="K304" t="s">
        <v>11</v>
      </c>
      <c r="L304" t="str">
        <f t="shared" ref="L304:L309" si="0">T("9791191562163")</f>
        <v>9791191562163</v>
      </c>
    </row>
    <row r="305" spans="1:12">
      <c r="A305" s="8">
        <v>44630.975370370368</v>
      </c>
      <c r="B305">
        <v>290197934</v>
      </c>
      <c r="C305" t="s">
        <v>604</v>
      </c>
      <c r="D305" t="s">
        <v>9</v>
      </c>
      <c r="E305" s="9">
        <v>-2000</v>
      </c>
      <c r="F305" s="9">
        <v>-2000</v>
      </c>
      <c r="G305" s="9">
        <v>-1400</v>
      </c>
      <c r="H305" s="8">
        <v>44630.972800925927</v>
      </c>
      <c r="I305" t="s">
        <v>605</v>
      </c>
      <c r="J305" t="s">
        <v>460</v>
      </c>
      <c r="K305" t="s">
        <v>11</v>
      </c>
      <c r="L305" t="str">
        <f t="shared" si="0"/>
        <v>9791191562163</v>
      </c>
    </row>
    <row r="306" spans="1:12">
      <c r="A306" s="8">
        <v>44630.975844907407</v>
      </c>
      <c r="B306">
        <v>290197934</v>
      </c>
      <c r="C306" t="s">
        <v>604</v>
      </c>
      <c r="D306" t="s">
        <v>9</v>
      </c>
      <c r="E306" s="9">
        <v>2000</v>
      </c>
      <c r="F306" s="9">
        <v>2000</v>
      </c>
      <c r="G306" s="9">
        <v>1400</v>
      </c>
      <c r="I306" t="s">
        <v>605</v>
      </c>
      <c r="J306" t="s">
        <v>460</v>
      </c>
      <c r="K306" t="s">
        <v>11</v>
      </c>
      <c r="L306" t="str">
        <f t="shared" si="0"/>
        <v>9791191562163</v>
      </c>
    </row>
    <row r="307" spans="1:12">
      <c r="A307" s="8">
        <v>44630.983078703706</v>
      </c>
      <c r="B307">
        <v>290197934</v>
      </c>
      <c r="C307" t="s">
        <v>604</v>
      </c>
      <c r="D307" t="s">
        <v>9</v>
      </c>
      <c r="E307" s="9">
        <v>-2000</v>
      </c>
      <c r="F307" s="9">
        <v>-2000</v>
      </c>
      <c r="G307" s="9">
        <v>-1400</v>
      </c>
      <c r="H307" s="8">
        <v>44630.975844907407</v>
      </c>
      <c r="I307" t="s">
        <v>605</v>
      </c>
      <c r="J307" t="s">
        <v>460</v>
      </c>
      <c r="K307" t="s">
        <v>11</v>
      </c>
      <c r="L307" t="str">
        <f t="shared" si="0"/>
        <v>9791191562163</v>
      </c>
    </row>
    <row r="308" spans="1:12">
      <c r="A308" s="8">
        <v>44630.983425925922</v>
      </c>
      <c r="B308">
        <v>290197934</v>
      </c>
      <c r="C308" t="s">
        <v>604</v>
      </c>
      <c r="D308" t="s">
        <v>9</v>
      </c>
      <c r="E308" s="9">
        <v>2000</v>
      </c>
      <c r="F308" s="9">
        <v>2000</v>
      </c>
      <c r="G308" s="9">
        <v>1400</v>
      </c>
      <c r="I308" t="s">
        <v>605</v>
      </c>
      <c r="J308" t="s">
        <v>460</v>
      </c>
      <c r="K308" t="s">
        <v>11</v>
      </c>
      <c r="L308" t="str">
        <f t="shared" si="0"/>
        <v>9791191562163</v>
      </c>
    </row>
    <row r="309" spans="1:12">
      <c r="A309" s="8">
        <v>44630.98945601852</v>
      </c>
      <c r="B309">
        <v>290197934</v>
      </c>
      <c r="C309" t="s">
        <v>604</v>
      </c>
      <c r="D309" t="s">
        <v>9</v>
      </c>
      <c r="E309" s="9">
        <v>2000</v>
      </c>
      <c r="F309" s="9">
        <v>2000</v>
      </c>
      <c r="G309" s="9">
        <v>1400</v>
      </c>
      <c r="I309" t="s">
        <v>605</v>
      </c>
      <c r="J309" t="s">
        <v>460</v>
      </c>
      <c r="K309" t="s">
        <v>11</v>
      </c>
      <c r="L309" t="str">
        <f t="shared" si="0"/>
        <v>9791191562163</v>
      </c>
    </row>
    <row r="310" spans="1:12">
      <c r="A310" s="8">
        <v>44631.072581018518</v>
      </c>
      <c r="B310">
        <v>289315562</v>
      </c>
      <c r="C310" t="s">
        <v>478</v>
      </c>
      <c r="D310" t="s">
        <v>9</v>
      </c>
      <c r="E310" s="9">
        <v>3000</v>
      </c>
      <c r="F310" s="9">
        <v>3000</v>
      </c>
      <c r="G310" s="9">
        <v>2100</v>
      </c>
      <c r="I310" t="s">
        <v>454</v>
      </c>
      <c r="J310" t="s">
        <v>460</v>
      </c>
      <c r="K310" t="s">
        <v>11</v>
      </c>
      <c r="L310" t="str">
        <f>T("9791191562101")</f>
        <v>9791191562101</v>
      </c>
    </row>
    <row r="311" spans="1:12">
      <c r="A311" s="8">
        <v>44631.073078703703</v>
      </c>
      <c r="B311">
        <v>288284467</v>
      </c>
      <c r="C311" t="s">
        <v>493</v>
      </c>
      <c r="D311" t="s">
        <v>9</v>
      </c>
      <c r="E311" s="9">
        <v>3000</v>
      </c>
      <c r="F311" s="9">
        <v>3000</v>
      </c>
      <c r="G311" s="9">
        <v>2100</v>
      </c>
      <c r="I311" t="s">
        <v>474</v>
      </c>
      <c r="J311" t="s">
        <v>588</v>
      </c>
      <c r="K311" t="s">
        <v>11</v>
      </c>
      <c r="L311" t="str">
        <f>T("9791166482762")</f>
        <v>9791166482762</v>
      </c>
    </row>
    <row r="312" spans="1:12">
      <c r="A312" s="8">
        <v>44631.368333333332</v>
      </c>
      <c r="B312">
        <v>212220775</v>
      </c>
      <c r="C312" t="s">
        <v>615</v>
      </c>
      <c r="D312" t="s">
        <v>9</v>
      </c>
      <c r="E312" s="9">
        <v>3400</v>
      </c>
      <c r="F312" s="9">
        <v>3400</v>
      </c>
      <c r="G312" s="9">
        <v>2380</v>
      </c>
      <c r="I312" t="s">
        <v>616</v>
      </c>
      <c r="J312" t="s">
        <v>617</v>
      </c>
      <c r="K312" t="s">
        <v>11</v>
      </c>
      <c r="L312" t="str">
        <f>T("9791190132596")</f>
        <v>9791190132596</v>
      </c>
    </row>
    <row r="313" spans="1:12">
      <c r="A313" s="8">
        <v>44631.380266203705</v>
      </c>
      <c r="B313">
        <v>289315562</v>
      </c>
      <c r="C313" t="s">
        <v>478</v>
      </c>
      <c r="D313" t="s">
        <v>9</v>
      </c>
      <c r="E313" s="9">
        <v>3000</v>
      </c>
      <c r="F313" s="9">
        <v>3000</v>
      </c>
      <c r="G313" s="9">
        <v>2100</v>
      </c>
      <c r="I313" t="s">
        <v>454</v>
      </c>
      <c r="J313" t="s">
        <v>460</v>
      </c>
      <c r="K313" t="s">
        <v>11</v>
      </c>
      <c r="L313" t="str">
        <f>T("9791191562101")</f>
        <v>9791191562101</v>
      </c>
    </row>
    <row r="314" spans="1:12">
      <c r="A314" s="8">
        <v>44631.404976851853</v>
      </c>
      <c r="B314">
        <v>248187304</v>
      </c>
      <c r="C314" t="s">
        <v>116</v>
      </c>
      <c r="D314" t="s">
        <v>9</v>
      </c>
      <c r="E314" s="9">
        <v>3200</v>
      </c>
      <c r="F314" s="9">
        <v>3200</v>
      </c>
      <c r="G314" s="9">
        <v>2240</v>
      </c>
      <c r="I314" t="s">
        <v>15</v>
      </c>
      <c r="J314" t="s">
        <v>11</v>
      </c>
      <c r="K314" t="s">
        <v>11</v>
      </c>
      <c r="L314" t="str">
        <f>T("9791190937184")</f>
        <v>9791190937184</v>
      </c>
    </row>
    <row r="315" spans="1:12">
      <c r="A315" s="8">
        <v>44631.404976851853</v>
      </c>
      <c r="B315">
        <v>248187283</v>
      </c>
      <c r="C315" t="s">
        <v>527</v>
      </c>
      <c r="D315" t="s">
        <v>9</v>
      </c>
      <c r="E315" s="9">
        <v>3200</v>
      </c>
      <c r="F315" s="9">
        <v>3200</v>
      </c>
      <c r="G315" s="9">
        <v>2240</v>
      </c>
      <c r="I315" t="s">
        <v>15</v>
      </c>
      <c r="J315" t="s">
        <v>11</v>
      </c>
      <c r="K315" t="s">
        <v>11</v>
      </c>
      <c r="L315" t="str">
        <f>T("9791190937191")</f>
        <v>9791190937191</v>
      </c>
    </row>
    <row r="316" spans="1:12">
      <c r="A316" s="8">
        <v>44631.440648148149</v>
      </c>
      <c r="B316">
        <v>289315562</v>
      </c>
      <c r="C316" t="s">
        <v>478</v>
      </c>
      <c r="D316" t="s">
        <v>9</v>
      </c>
      <c r="E316" s="9">
        <v>3000</v>
      </c>
      <c r="F316" s="9">
        <v>3000</v>
      </c>
      <c r="G316" s="9">
        <v>2100</v>
      </c>
      <c r="I316" t="s">
        <v>454</v>
      </c>
      <c r="J316" t="s">
        <v>460</v>
      </c>
      <c r="K316" t="s">
        <v>11</v>
      </c>
      <c r="L316" t="str">
        <f>T("9791191562101")</f>
        <v>9791191562101</v>
      </c>
    </row>
    <row r="317" spans="1:12">
      <c r="A317" s="8">
        <v>44631.445717592593</v>
      </c>
      <c r="B317">
        <v>288284508</v>
      </c>
      <c r="C317" t="s">
        <v>492</v>
      </c>
      <c r="D317" t="s">
        <v>9</v>
      </c>
      <c r="E317" s="9">
        <v>3000</v>
      </c>
      <c r="F317" s="9">
        <v>3000</v>
      </c>
      <c r="G317" s="9">
        <v>2100</v>
      </c>
      <c r="I317" t="s">
        <v>474</v>
      </c>
      <c r="J317" t="s">
        <v>588</v>
      </c>
      <c r="K317" t="s">
        <v>11</v>
      </c>
      <c r="L317" t="str">
        <f>T("9791166482779")</f>
        <v>9791166482779</v>
      </c>
    </row>
    <row r="318" spans="1:12">
      <c r="A318" s="8">
        <v>44631.453958333332</v>
      </c>
      <c r="B318">
        <v>48791730</v>
      </c>
      <c r="C318" t="s">
        <v>569</v>
      </c>
      <c r="D318" t="s">
        <v>12</v>
      </c>
      <c r="E318">
        <v>900</v>
      </c>
      <c r="F318">
        <v>900</v>
      </c>
      <c r="G318">
        <v>630</v>
      </c>
      <c r="I318" t="s">
        <v>10</v>
      </c>
      <c r="J318" t="s">
        <v>11</v>
      </c>
      <c r="K318" t="s">
        <v>11</v>
      </c>
      <c r="L318" t="str">
        <f>T("9791159283420")</f>
        <v>9791159283420</v>
      </c>
    </row>
    <row r="319" spans="1:12">
      <c r="A319" s="8">
        <v>44631.477141203701</v>
      </c>
      <c r="B319">
        <v>290645912</v>
      </c>
      <c r="C319" t="s">
        <v>630</v>
      </c>
      <c r="D319" t="s">
        <v>9</v>
      </c>
      <c r="E319" s="9">
        <v>2000</v>
      </c>
      <c r="F319" s="9">
        <v>2000</v>
      </c>
      <c r="G319" s="9">
        <v>1400</v>
      </c>
      <c r="I319" t="s">
        <v>631</v>
      </c>
      <c r="J319" t="s">
        <v>460</v>
      </c>
      <c r="K319" t="s">
        <v>11</v>
      </c>
      <c r="L319" t="str">
        <f>T("9791191562170")</f>
        <v>9791191562170</v>
      </c>
    </row>
    <row r="320" spans="1:12">
      <c r="A320" s="8">
        <v>44631.488136574073</v>
      </c>
      <c r="B320">
        <v>287834730</v>
      </c>
      <c r="C320" t="s">
        <v>275</v>
      </c>
      <c r="D320" t="s">
        <v>9</v>
      </c>
      <c r="E320" s="9">
        <v>2000</v>
      </c>
      <c r="F320" s="9">
        <v>2000</v>
      </c>
      <c r="G320" s="9">
        <v>1400</v>
      </c>
      <c r="I320" t="s">
        <v>169</v>
      </c>
      <c r="J320" t="s">
        <v>460</v>
      </c>
      <c r="K320" t="s">
        <v>11</v>
      </c>
      <c r="L320" t="str">
        <f>T("9791191562019")</f>
        <v>9791191562019</v>
      </c>
    </row>
    <row r="321" spans="1:12">
      <c r="A321" s="8">
        <v>44631.49900462963</v>
      </c>
      <c r="B321">
        <v>289315562</v>
      </c>
      <c r="C321" t="s">
        <v>478</v>
      </c>
      <c r="D321" t="s">
        <v>9</v>
      </c>
      <c r="E321" s="9">
        <v>3000</v>
      </c>
      <c r="F321" s="9">
        <v>3000</v>
      </c>
      <c r="G321" s="9">
        <v>2100</v>
      </c>
      <c r="I321" t="s">
        <v>454</v>
      </c>
      <c r="J321" t="s">
        <v>460</v>
      </c>
      <c r="K321" t="s">
        <v>11</v>
      </c>
      <c r="L321" t="str">
        <f>T("9791191562101")</f>
        <v>9791191562101</v>
      </c>
    </row>
    <row r="322" spans="1:12">
      <c r="A322" s="8">
        <v>44631.506319444445</v>
      </c>
      <c r="B322">
        <v>287834730</v>
      </c>
      <c r="C322" t="s">
        <v>275</v>
      </c>
      <c r="D322" t="s">
        <v>9</v>
      </c>
      <c r="E322" s="9">
        <v>2000</v>
      </c>
      <c r="F322" s="9">
        <v>2000</v>
      </c>
      <c r="G322" s="9">
        <v>1400</v>
      </c>
      <c r="I322" t="s">
        <v>169</v>
      </c>
      <c r="J322" t="s">
        <v>460</v>
      </c>
      <c r="K322" t="s">
        <v>11</v>
      </c>
      <c r="L322" t="str">
        <f>T("9791191562019")</f>
        <v>9791191562019</v>
      </c>
    </row>
    <row r="323" spans="1:12">
      <c r="A323" s="8">
        <v>44631.527222222219</v>
      </c>
      <c r="B323">
        <v>248962268</v>
      </c>
      <c r="C323" t="s">
        <v>632</v>
      </c>
      <c r="D323" t="s">
        <v>12</v>
      </c>
      <c r="E323">
        <v>900</v>
      </c>
      <c r="F323">
        <v>900</v>
      </c>
      <c r="G323">
        <v>630</v>
      </c>
      <c r="I323" t="s">
        <v>14</v>
      </c>
      <c r="J323" t="s">
        <v>11</v>
      </c>
      <c r="K323" t="s">
        <v>11</v>
      </c>
      <c r="L323" t="str">
        <f>T("9791166066849")</f>
        <v>9791166066849</v>
      </c>
    </row>
    <row r="324" spans="1:12">
      <c r="A324" s="8">
        <v>44631.699178240742</v>
      </c>
      <c r="B324">
        <v>212220776</v>
      </c>
      <c r="C324" t="s">
        <v>633</v>
      </c>
      <c r="D324" t="s">
        <v>9</v>
      </c>
      <c r="E324" s="9">
        <v>3400</v>
      </c>
      <c r="F324" s="9">
        <v>3400</v>
      </c>
      <c r="G324" s="9">
        <v>2380</v>
      </c>
      <c r="I324" t="s">
        <v>616</v>
      </c>
      <c r="J324" t="s">
        <v>617</v>
      </c>
      <c r="K324" t="s">
        <v>11</v>
      </c>
      <c r="L324" t="str">
        <f>T("9791190132602")</f>
        <v>9791190132602</v>
      </c>
    </row>
    <row r="325" spans="1:12">
      <c r="A325" s="8">
        <v>44631.828819444447</v>
      </c>
      <c r="B325">
        <v>290197934</v>
      </c>
      <c r="C325" t="s">
        <v>604</v>
      </c>
      <c r="D325" t="s">
        <v>9</v>
      </c>
      <c r="E325" s="9">
        <v>2000</v>
      </c>
      <c r="F325" s="9">
        <v>2000</v>
      </c>
      <c r="G325" s="9">
        <v>1400</v>
      </c>
      <c r="I325" t="s">
        <v>605</v>
      </c>
      <c r="J325" t="s">
        <v>460</v>
      </c>
      <c r="K325" t="s">
        <v>11</v>
      </c>
      <c r="L325" t="str">
        <f>T("9791191562163")</f>
        <v>9791191562163</v>
      </c>
    </row>
    <row r="326" spans="1:12">
      <c r="A326" s="8">
        <v>44631.832719907405</v>
      </c>
      <c r="B326">
        <v>281625185</v>
      </c>
      <c r="C326" t="s">
        <v>38</v>
      </c>
      <c r="D326" t="s">
        <v>9</v>
      </c>
      <c r="E326">
        <v>0</v>
      </c>
      <c r="F326">
        <v>0</v>
      </c>
      <c r="G326">
        <v>0</v>
      </c>
      <c r="I326" t="s">
        <v>14</v>
      </c>
      <c r="J326" t="s">
        <v>11</v>
      </c>
      <c r="K326" t="s">
        <v>11</v>
      </c>
      <c r="L326" t="str">
        <f>T("9791137601017")</f>
        <v>9791137601017</v>
      </c>
    </row>
    <row r="327" spans="1:12">
      <c r="A327" s="8">
        <v>44631.834293981483</v>
      </c>
      <c r="B327">
        <v>290197934</v>
      </c>
      <c r="C327" t="s">
        <v>604</v>
      </c>
      <c r="D327" t="s">
        <v>9</v>
      </c>
      <c r="E327" s="9">
        <v>2000</v>
      </c>
      <c r="F327" s="9">
        <v>2000</v>
      </c>
      <c r="G327" s="9">
        <v>1400</v>
      </c>
      <c r="I327" t="s">
        <v>605</v>
      </c>
      <c r="J327" t="s">
        <v>460</v>
      </c>
      <c r="K327" t="s">
        <v>11</v>
      </c>
      <c r="L327" t="str">
        <f>T("9791191562163")</f>
        <v>9791191562163</v>
      </c>
    </row>
    <row r="328" spans="1:12">
      <c r="A328" s="8">
        <v>44631.852094907408</v>
      </c>
      <c r="B328">
        <v>289315562</v>
      </c>
      <c r="C328" t="s">
        <v>478</v>
      </c>
      <c r="D328" t="s">
        <v>9</v>
      </c>
      <c r="E328" s="9">
        <v>3000</v>
      </c>
      <c r="F328" s="9">
        <v>3000</v>
      </c>
      <c r="G328" s="9">
        <v>2100</v>
      </c>
      <c r="I328" t="s">
        <v>454</v>
      </c>
      <c r="J328" t="s">
        <v>460</v>
      </c>
      <c r="K328" t="s">
        <v>11</v>
      </c>
      <c r="L328" t="str">
        <f>T("9791191562101")</f>
        <v>9791191562101</v>
      </c>
    </row>
    <row r="329" spans="1:12">
      <c r="A329" s="8">
        <v>44631.881041666667</v>
      </c>
      <c r="B329">
        <v>290197934</v>
      </c>
      <c r="C329" t="s">
        <v>604</v>
      </c>
      <c r="D329" t="s">
        <v>9</v>
      </c>
      <c r="E329" s="9">
        <v>2000</v>
      </c>
      <c r="F329" s="9">
        <v>2000</v>
      </c>
      <c r="G329" s="9">
        <v>1400</v>
      </c>
      <c r="I329" t="s">
        <v>605</v>
      </c>
      <c r="J329" t="s">
        <v>460</v>
      </c>
      <c r="K329" t="s">
        <v>11</v>
      </c>
      <c r="L329" t="str">
        <f>T("9791191562163")</f>
        <v>9791191562163</v>
      </c>
    </row>
    <row r="330" spans="1:12">
      <c r="A330" s="8">
        <v>44631.881041666667</v>
      </c>
      <c r="B330">
        <v>290084502</v>
      </c>
      <c r="C330" t="s">
        <v>592</v>
      </c>
      <c r="D330" t="s">
        <v>9</v>
      </c>
      <c r="E330" s="9">
        <v>2500</v>
      </c>
      <c r="F330" s="9">
        <v>2500</v>
      </c>
      <c r="G330" s="9">
        <v>1750</v>
      </c>
      <c r="I330" t="s">
        <v>593</v>
      </c>
      <c r="J330" t="s">
        <v>460</v>
      </c>
      <c r="K330" t="s">
        <v>11</v>
      </c>
      <c r="L330" t="str">
        <f>T("9791191562125")</f>
        <v>9791191562125</v>
      </c>
    </row>
    <row r="331" spans="1:12">
      <c r="A331" s="8">
        <v>44631.902905092589</v>
      </c>
      <c r="B331">
        <v>290197934</v>
      </c>
      <c r="C331" t="s">
        <v>604</v>
      </c>
      <c r="D331" t="s">
        <v>9</v>
      </c>
      <c r="E331" s="9">
        <v>2000</v>
      </c>
      <c r="F331" s="9">
        <v>2000</v>
      </c>
      <c r="G331" s="9">
        <v>1400</v>
      </c>
      <c r="I331" t="s">
        <v>605</v>
      </c>
      <c r="J331" t="s">
        <v>460</v>
      </c>
      <c r="K331" t="s">
        <v>11</v>
      </c>
      <c r="L331" t="str">
        <f>T("9791191562163")</f>
        <v>9791191562163</v>
      </c>
    </row>
    <row r="332" spans="1:12">
      <c r="A332" s="8">
        <v>44631.912939814814</v>
      </c>
      <c r="B332">
        <v>286896672</v>
      </c>
      <c r="C332" t="s">
        <v>248</v>
      </c>
      <c r="D332" t="s">
        <v>9</v>
      </c>
      <c r="E332" s="9">
        <v>2500</v>
      </c>
      <c r="F332" s="9">
        <v>2500</v>
      </c>
      <c r="G332" s="9">
        <v>1750</v>
      </c>
      <c r="I332" t="s">
        <v>158</v>
      </c>
      <c r="J332" t="s">
        <v>460</v>
      </c>
      <c r="K332" t="s">
        <v>11</v>
      </c>
      <c r="L332" t="str">
        <f>T("9791191562002")</f>
        <v>9791191562002</v>
      </c>
    </row>
    <row r="333" spans="1:12">
      <c r="A333" s="8">
        <v>44631.924710648149</v>
      </c>
      <c r="B333">
        <v>285362577</v>
      </c>
      <c r="C333" t="s">
        <v>634</v>
      </c>
      <c r="D333" t="s">
        <v>9</v>
      </c>
      <c r="E333" s="9">
        <v>10300</v>
      </c>
      <c r="F333" s="9">
        <v>10300</v>
      </c>
      <c r="G333" s="9">
        <v>7210</v>
      </c>
      <c r="I333" t="s">
        <v>65</v>
      </c>
      <c r="J333" t="s">
        <v>11</v>
      </c>
      <c r="K333" t="s">
        <v>11</v>
      </c>
      <c r="L333" t="str">
        <f>T("9791137602755")</f>
        <v>9791137602755</v>
      </c>
    </row>
    <row r="334" spans="1:12">
      <c r="A334" s="8">
        <v>44631.958182870374</v>
      </c>
      <c r="B334">
        <v>290197934</v>
      </c>
      <c r="C334" t="s">
        <v>604</v>
      </c>
      <c r="D334" t="s">
        <v>9</v>
      </c>
      <c r="E334" s="9">
        <v>2000</v>
      </c>
      <c r="F334" s="9">
        <v>2000</v>
      </c>
      <c r="G334" s="9">
        <v>1400</v>
      </c>
      <c r="I334" t="s">
        <v>605</v>
      </c>
      <c r="J334" t="s">
        <v>460</v>
      </c>
      <c r="K334" t="s">
        <v>11</v>
      </c>
      <c r="L334" t="str">
        <f>T("9791191562163")</f>
        <v>9791191562163</v>
      </c>
    </row>
    <row r="335" spans="1:12">
      <c r="A335" s="8">
        <v>44631.980069444442</v>
      </c>
      <c r="B335">
        <v>284241808</v>
      </c>
      <c r="C335" t="s">
        <v>73</v>
      </c>
      <c r="D335" t="s">
        <v>9</v>
      </c>
      <c r="E335" s="9">
        <v>3600</v>
      </c>
      <c r="F335" s="9">
        <v>3600</v>
      </c>
      <c r="G335" s="9">
        <v>2520</v>
      </c>
      <c r="I335" t="s">
        <v>34</v>
      </c>
      <c r="J335" t="s">
        <v>588</v>
      </c>
      <c r="K335" t="s">
        <v>11</v>
      </c>
      <c r="L335" t="str">
        <f>T("9791166482557")</f>
        <v>9791166482557</v>
      </c>
    </row>
    <row r="336" spans="1:12">
      <c r="A336" s="8">
        <v>44631.980995370373</v>
      </c>
      <c r="B336">
        <v>290197934</v>
      </c>
      <c r="C336" t="s">
        <v>604</v>
      </c>
      <c r="D336" t="s">
        <v>9</v>
      </c>
      <c r="E336" s="9">
        <v>2000</v>
      </c>
      <c r="F336" s="9">
        <v>2000</v>
      </c>
      <c r="G336" s="9">
        <v>1400</v>
      </c>
      <c r="I336" t="s">
        <v>605</v>
      </c>
      <c r="J336" t="s">
        <v>460</v>
      </c>
      <c r="K336" t="s">
        <v>11</v>
      </c>
      <c r="L336" t="str">
        <f>T("9791191562163")</f>
        <v>9791191562163</v>
      </c>
    </row>
    <row r="337" spans="1:12">
      <c r="A337" s="8">
        <v>44631.986122685186</v>
      </c>
      <c r="B337">
        <v>287148991</v>
      </c>
      <c r="C337" t="s">
        <v>223</v>
      </c>
      <c r="D337" t="s">
        <v>9</v>
      </c>
      <c r="E337" s="9">
        <v>2000</v>
      </c>
      <c r="F337" s="9">
        <v>2000</v>
      </c>
      <c r="G337" s="9">
        <v>1400</v>
      </c>
      <c r="I337" t="s">
        <v>163</v>
      </c>
      <c r="J337" t="s">
        <v>460</v>
      </c>
      <c r="K337" t="s">
        <v>11</v>
      </c>
      <c r="L337" t="str">
        <f>T("9791196945282")</f>
        <v>9791196945282</v>
      </c>
    </row>
    <row r="338" spans="1:12">
      <c r="A338" s="8">
        <v>44631.991354166668</v>
      </c>
      <c r="B338">
        <v>290197934</v>
      </c>
      <c r="C338" t="s">
        <v>604</v>
      </c>
      <c r="D338" t="s">
        <v>9</v>
      </c>
      <c r="E338" s="9">
        <v>2000</v>
      </c>
      <c r="F338" s="9">
        <v>2000</v>
      </c>
      <c r="G338" s="9">
        <v>1400</v>
      </c>
      <c r="I338" t="s">
        <v>605</v>
      </c>
      <c r="J338" t="s">
        <v>460</v>
      </c>
      <c r="K338" t="s">
        <v>11</v>
      </c>
      <c r="L338" t="str">
        <f>T("9791191562163")</f>
        <v>9791191562163</v>
      </c>
    </row>
    <row r="339" spans="1:12">
      <c r="A339" s="8">
        <v>44632.18681712963</v>
      </c>
      <c r="B339">
        <v>289315562</v>
      </c>
      <c r="C339" t="s">
        <v>478</v>
      </c>
      <c r="D339" t="s">
        <v>9</v>
      </c>
      <c r="E339" s="9">
        <v>3000</v>
      </c>
      <c r="F339" s="9">
        <v>3000</v>
      </c>
      <c r="G339" s="9">
        <v>2100</v>
      </c>
      <c r="I339" t="s">
        <v>454</v>
      </c>
      <c r="J339" t="s">
        <v>460</v>
      </c>
      <c r="K339" t="s">
        <v>11</v>
      </c>
      <c r="L339" t="str">
        <f>T("9791191562101")</f>
        <v>9791191562101</v>
      </c>
    </row>
    <row r="340" spans="1:12">
      <c r="A340" s="8">
        <v>44632.309270833335</v>
      </c>
      <c r="B340">
        <v>126067589</v>
      </c>
      <c r="C340" t="s">
        <v>635</v>
      </c>
      <c r="D340" t="s">
        <v>9</v>
      </c>
      <c r="E340" s="9">
        <v>3200</v>
      </c>
      <c r="F340" s="9">
        <v>3200</v>
      </c>
      <c r="G340" s="9">
        <v>2240</v>
      </c>
      <c r="I340" t="s">
        <v>636</v>
      </c>
      <c r="J340" t="s">
        <v>637</v>
      </c>
      <c r="K340" t="s">
        <v>11</v>
      </c>
      <c r="L340" t="str">
        <f>T("9791161885063")</f>
        <v>9791161885063</v>
      </c>
    </row>
    <row r="341" spans="1:12">
      <c r="A341" s="8">
        <v>44632.31113425926</v>
      </c>
      <c r="B341">
        <v>281625189</v>
      </c>
      <c r="C341" t="s">
        <v>638</v>
      </c>
      <c r="D341" t="s">
        <v>9</v>
      </c>
      <c r="E341">
        <v>0</v>
      </c>
      <c r="F341">
        <v>0</v>
      </c>
      <c r="G341">
        <v>0</v>
      </c>
      <c r="I341" t="s">
        <v>14</v>
      </c>
      <c r="J341" t="s">
        <v>11</v>
      </c>
      <c r="K341" t="s">
        <v>11</v>
      </c>
      <c r="L341" t="str">
        <f>T("9791137601758")</f>
        <v>9791137601758</v>
      </c>
    </row>
    <row r="342" spans="1:12">
      <c r="A342" s="8">
        <v>44632.339675925927</v>
      </c>
      <c r="B342">
        <v>48791719</v>
      </c>
      <c r="C342" t="s">
        <v>558</v>
      </c>
      <c r="D342" t="s">
        <v>9</v>
      </c>
      <c r="E342" s="9">
        <v>3200</v>
      </c>
      <c r="F342" s="9">
        <v>3200</v>
      </c>
      <c r="G342" s="9">
        <v>2240</v>
      </c>
      <c r="I342" t="s">
        <v>10</v>
      </c>
      <c r="J342" t="s">
        <v>11</v>
      </c>
      <c r="K342" t="s">
        <v>11</v>
      </c>
      <c r="L342" t="str">
        <f>T("9791159283376")</f>
        <v>9791159283376</v>
      </c>
    </row>
    <row r="343" spans="1:12">
      <c r="A343" s="8">
        <v>44632.373287037037</v>
      </c>
      <c r="B343">
        <v>290197934</v>
      </c>
      <c r="C343" t="s">
        <v>604</v>
      </c>
      <c r="D343" t="s">
        <v>9</v>
      </c>
      <c r="E343" s="9">
        <v>2000</v>
      </c>
      <c r="F343" s="9">
        <v>2000</v>
      </c>
      <c r="G343" s="9">
        <v>1400</v>
      </c>
      <c r="I343" t="s">
        <v>605</v>
      </c>
      <c r="J343" t="s">
        <v>460</v>
      </c>
      <c r="K343" t="s">
        <v>11</v>
      </c>
      <c r="L343" t="str">
        <f>T("9791191562163")</f>
        <v>9791191562163</v>
      </c>
    </row>
    <row r="344" spans="1:12">
      <c r="A344" s="8">
        <v>44632.386412037034</v>
      </c>
      <c r="B344">
        <v>290197934</v>
      </c>
      <c r="C344" t="s">
        <v>604</v>
      </c>
      <c r="D344" t="s">
        <v>9</v>
      </c>
      <c r="E344" s="9">
        <v>2000</v>
      </c>
      <c r="F344" s="9">
        <v>2000</v>
      </c>
      <c r="G344" s="9">
        <v>1400</v>
      </c>
      <c r="I344" t="s">
        <v>605</v>
      </c>
      <c r="J344" t="s">
        <v>460</v>
      </c>
      <c r="K344" t="s">
        <v>11</v>
      </c>
      <c r="L344" t="str">
        <f>T("9791191562163")</f>
        <v>9791191562163</v>
      </c>
    </row>
    <row r="345" spans="1:12">
      <c r="A345" s="8">
        <v>44632.441979166666</v>
      </c>
      <c r="B345">
        <v>290197934</v>
      </c>
      <c r="C345" t="s">
        <v>604</v>
      </c>
      <c r="D345" t="s">
        <v>9</v>
      </c>
      <c r="E345" s="9">
        <v>2000</v>
      </c>
      <c r="F345" s="9">
        <v>2000</v>
      </c>
      <c r="G345" s="9">
        <v>1400</v>
      </c>
      <c r="I345" t="s">
        <v>605</v>
      </c>
      <c r="J345" t="s">
        <v>460</v>
      </c>
      <c r="K345" t="s">
        <v>11</v>
      </c>
      <c r="L345" t="str">
        <f>T("9791191562163")</f>
        <v>9791191562163</v>
      </c>
    </row>
    <row r="346" spans="1:12">
      <c r="A346" s="8">
        <v>44632.508356481485</v>
      </c>
      <c r="B346">
        <v>289315562</v>
      </c>
      <c r="C346" t="s">
        <v>478</v>
      </c>
      <c r="D346" t="s">
        <v>9</v>
      </c>
      <c r="E346" s="9">
        <v>3000</v>
      </c>
      <c r="F346" s="9">
        <v>3000</v>
      </c>
      <c r="G346" s="9">
        <v>2100</v>
      </c>
      <c r="I346" t="s">
        <v>454</v>
      </c>
      <c r="J346" t="s">
        <v>460</v>
      </c>
      <c r="K346" t="s">
        <v>11</v>
      </c>
      <c r="L346" t="str">
        <f>T("9791191562101")</f>
        <v>9791191562101</v>
      </c>
    </row>
    <row r="347" spans="1:12">
      <c r="A347" s="8">
        <v>44632.529548611114</v>
      </c>
      <c r="B347">
        <v>284917853</v>
      </c>
      <c r="C347" t="s">
        <v>625</v>
      </c>
      <c r="D347" t="s">
        <v>9</v>
      </c>
      <c r="E347" s="9">
        <v>35200</v>
      </c>
      <c r="F347" s="9">
        <v>35200</v>
      </c>
      <c r="G347" s="9">
        <v>24640</v>
      </c>
      <c r="I347" t="s">
        <v>10</v>
      </c>
      <c r="J347" t="s">
        <v>11</v>
      </c>
      <c r="K347" t="s">
        <v>11</v>
      </c>
      <c r="L347" t="str">
        <f>T("9791166068676")</f>
        <v>9791166068676</v>
      </c>
    </row>
    <row r="348" spans="1:12">
      <c r="A348" s="8">
        <v>44632.540023148147</v>
      </c>
      <c r="B348">
        <v>248962270</v>
      </c>
      <c r="C348" t="s">
        <v>639</v>
      </c>
      <c r="D348" t="s">
        <v>12</v>
      </c>
      <c r="E348">
        <v>900</v>
      </c>
      <c r="F348">
        <v>900</v>
      </c>
      <c r="G348">
        <v>630</v>
      </c>
      <c r="I348" t="s">
        <v>14</v>
      </c>
      <c r="J348" t="s">
        <v>11</v>
      </c>
      <c r="K348" t="s">
        <v>11</v>
      </c>
      <c r="L348" t="str">
        <f>T("9791166066856")</f>
        <v>9791166066856</v>
      </c>
    </row>
    <row r="349" spans="1:12">
      <c r="A349" s="8">
        <v>44632.629282407404</v>
      </c>
      <c r="B349">
        <v>290197934</v>
      </c>
      <c r="C349" t="s">
        <v>604</v>
      </c>
      <c r="D349" t="s">
        <v>9</v>
      </c>
      <c r="E349" s="9">
        <v>2000</v>
      </c>
      <c r="F349" s="9">
        <v>2000</v>
      </c>
      <c r="G349" s="9">
        <v>1400</v>
      </c>
      <c r="I349" t="s">
        <v>605</v>
      </c>
      <c r="J349" t="s">
        <v>460</v>
      </c>
      <c r="K349" t="s">
        <v>11</v>
      </c>
      <c r="L349" t="str">
        <f>T("9791191562163")</f>
        <v>9791191562163</v>
      </c>
    </row>
    <row r="350" spans="1:12">
      <c r="A350" s="8">
        <v>44632.638888888891</v>
      </c>
      <c r="B350">
        <v>290197934</v>
      </c>
      <c r="C350" t="s">
        <v>604</v>
      </c>
      <c r="D350" t="s">
        <v>9</v>
      </c>
      <c r="E350" s="9">
        <v>2000</v>
      </c>
      <c r="F350" s="9">
        <v>2000</v>
      </c>
      <c r="G350" s="9">
        <v>1400</v>
      </c>
      <c r="I350" t="s">
        <v>605</v>
      </c>
      <c r="J350" t="s">
        <v>460</v>
      </c>
      <c r="K350" t="s">
        <v>11</v>
      </c>
      <c r="L350" t="str">
        <f>T("9791191562163")</f>
        <v>9791191562163</v>
      </c>
    </row>
    <row r="351" spans="1:12">
      <c r="A351" s="8">
        <v>44632.641365740739</v>
      </c>
      <c r="B351">
        <v>289315562</v>
      </c>
      <c r="C351" t="s">
        <v>478</v>
      </c>
      <c r="D351" t="s">
        <v>9</v>
      </c>
      <c r="E351" s="9">
        <v>3000</v>
      </c>
      <c r="F351" s="9">
        <v>3000</v>
      </c>
      <c r="G351" s="9">
        <v>2100</v>
      </c>
      <c r="I351" t="s">
        <v>454</v>
      </c>
      <c r="J351" t="s">
        <v>460</v>
      </c>
      <c r="K351" t="s">
        <v>11</v>
      </c>
      <c r="L351" t="str">
        <f>T("9791191562101")</f>
        <v>9791191562101</v>
      </c>
    </row>
    <row r="352" spans="1:12">
      <c r="A352" s="8">
        <v>44632.690405092595</v>
      </c>
      <c r="B352">
        <v>290645912</v>
      </c>
      <c r="C352" t="s">
        <v>630</v>
      </c>
      <c r="D352" t="s">
        <v>9</v>
      </c>
      <c r="E352" s="9">
        <v>2000</v>
      </c>
      <c r="F352" s="9">
        <v>2000</v>
      </c>
      <c r="G352" s="9">
        <v>1400</v>
      </c>
      <c r="I352" t="s">
        <v>631</v>
      </c>
      <c r="J352" t="s">
        <v>460</v>
      </c>
      <c r="K352" t="s">
        <v>11</v>
      </c>
      <c r="L352" t="str">
        <f>T("9791191562170")</f>
        <v>9791191562170</v>
      </c>
    </row>
    <row r="353" spans="1:12">
      <c r="A353" s="8">
        <v>44632.70826388889</v>
      </c>
      <c r="B353">
        <v>289956908</v>
      </c>
      <c r="C353" t="s">
        <v>481</v>
      </c>
      <c r="D353" t="s">
        <v>9</v>
      </c>
      <c r="E353" s="9">
        <v>2000</v>
      </c>
      <c r="F353" s="9">
        <v>2000</v>
      </c>
      <c r="G353" s="9">
        <v>1400</v>
      </c>
      <c r="I353" t="s">
        <v>457</v>
      </c>
      <c r="J353" t="s">
        <v>460</v>
      </c>
      <c r="K353" t="s">
        <v>11</v>
      </c>
      <c r="L353" t="str">
        <f>T("9791191562040")</f>
        <v>9791191562040</v>
      </c>
    </row>
    <row r="354" spans="1:12">
      <c r="A354" s="8">
        <v>44632.708483796298</v>
      </c>
      <c r="B354">
        <v>287834730</v>
      </c>
      <c r="C354" t="s">
        <v>275</v>
      </c>
      <c r="D354" t="s">
        <v>9</v>
      </c>
      <c r="E354" s="9">
        <v>2000</v>
      </c>
      <c r="F354" s="9">
        <v>2000</v>
      </c>
      <c r="G354" s="9">
        <v>1400</v>
      </c>
      <c r="I354" t="s">
        <v>169</v>
      </c>
      <c r="J354" t="s">
        <v>460</v>
      </c>
      <c r="K354" t="s">
        <v>11</v>
      </c>
      <c r="L354" t="str">
        <f>T("9791191562019")</f>
        <v>9791191562019</v>
      </c>
    </row>
    <row r="355" spans="1:12">
      <c r="A355" s="8">
        <v>44632.727881944447</v>
      </c>
      <c r="B355">
        <v>290197934</v>
      </c>
      <c r="C355" t="s">
        <v>604</v>
      </c>
      <c r="D355" t="s">
        <v>9</v>
      </c>
      <c r="E355" s="9">
        <v>2000</v>
      </c>
      <c r="F355" s="9">
        <v>2000</v>
      </c>
      <c r="G355" s="9">
        <v>1400</v>
      </c>
      <c r="I355" t="s">
        <v>605</v>
      </c>
      <c r="J355" t="s">
        <v>460</v>
      </c>
      <c r="K355" t="s">
        <v>11</v>
      </c>
      <c r="L355" t="str">
        <f>T("9791191562163")</f>
        <v>9791191562163</v>
      </c>
    </row>
    <row r="356" spans="1:12">
      <c r="A356" s="8">
        <v>44632.773993055554</v>
      </c>
      <c r="B356">
        <v>289956908</v>
      </c>
      <c r="C356" t="s">
        <v>481</v>
      </c>
      <c r="D356" t="s">
        <v>9</v>
      </c>
      <c r="E356" s="9">
        <v>2000</v>
      </c>
      <c r="F356" s="9">
        <v>2000</v>
      </c>
      <c r="G356" s="9">
        <v>1400</v>
      </c>
      <c r="I356" t="s">
        <v>457</v>
      </c>
      <c r="J356" t="s">
        <v>460</v>
      </c>
      <c r="K356" t="s">
        <v>11</v>
      </c>
      <c r="L356" t="str">
        <f>T("9791191562040")</f>
        <v>9791191562040</v>
      </c>
    </row>
    <row r="357" spans="1:12">
      <c r="A357" s="8">
        <v>44632.788043981483</v>
      </c>
      <c r="B357">
        <v>258341074</v>
      </c>
      <c r="C357" t="s">
        <v>640</v>
      </c>
      <c r="D357" t="s">
        <v>9</v>
      </c>
      <c r="E357">
        <v>0</v>
      </c>
      <c r="F357">
        <v>0</v>
      </c>
      <c r="G357">
        <v>0</v>
      </c>
      <c r="I357" t="s">
        <v>641</v>
      </c>
      <c r="J357" t="s">
        <v>11</v>
      </c>
      <c r="K357" t="s">
        <v>11</v>
      </c>
      <c r="L357" t="str">
        <f>T("9791166065125")</f>
        <v>9791166065125</v>
      </c>
    </row>
    <row r="358" spans="1:12">
      <c r="A358" s="8">
        <v>44632.825300925928</v>
      </c>
      <c r="B358">
        <v>290197934</v>
      </c>
      <c r="C358" t="s">
        <v>604</v>
      </c>
      <c r="D358" t="s">
        <v>9</v>
      </c>
      <c r="E358" s="9">
        <v>2000</v>
      </c>
      <c r="F358" s="9">
        <v>2000</v>
      </c>
      <c r="G358" s="9">
        <v>1400</v>
      </c>
      <c r="I358" t="s">
        <v>605</v>
      </c>
      <c r="J358" t="s">
        <v>460</v>
      </c>
      <c r="K358" t="s">
        <v>11</v>
      </c>
      <c r="L358" t="str">
        <f>T("9791191562163")</f>
        <v>9791191562163</v>
      </c>
    </row>
    <row r="359" spans="1:12">
      <c r="A359" s="8">
        <v>44632.869479166664</v>
      </c>
      <c r="B359">
        <v>290197934</v>
      </c>
      <c r="C359" t="s">
        <v>604</v>
      </c>
      <c r="D359" t="s">
        <v>9</v>
      </c>
      <c r="E359" s="9">
        <v>2000</v>
      </c>
      <c r="F359" s="9">
        <v>2000</v>
      </c>
      <c r="G359" s="9">
        <v>1400</v>
      </c>
      <c r="I359" t="s">
        <v>605</v>
      </c>
      <c r="J359" t="s">
        <v>460</v>
      </c>
      <c r="K359" t="s">
        <v>11</v>
      </c>
      <c r="L359" t="str">
        <f>T("9791191562163")</f>
        <v>9791191562163</v>
      </c>
    </row>
    <row r="360" spans="1:12">
      <c r="A360" s="8">
        <v>44632.88590277778</v>
      </c>
      <c r="B360">
        <v>287834730</v>
      </c>
      <c r="C360" t="s">
        <v>275</v>
      </c>
      <c r="D360" t="s">
        <v>9</v>
      </c>
      <c r="E360" s="9">
        <v>2000</v>
      </c>
      <c r="F360" s="9">
        <v>2000</v>
      </c>
      <c r="G360" s="9">
        <v>1400</v>
      </c>
      <c r="I360" t="s">
        <v>169</v>
      </c>
      <c r="J360" t="s">
        <v>460</v>
      </c>
      <c r="K360" t="s">
        <v>11</v>
      </c>
      <c r="L360" t="str">
        <f>T("9791191562019")</f>
        <v>9791191562019</v>
      </c>
    </row>
    <row r="361" spans="1:12">
      <c r="A361" s="8">
        <v>44632.935497685183</v>
      </c>
      <c r="B361">
        <v>287086652</v>
      </c>
      <c r="C361" t="s">
        <v>220</v>
      </c>
      <c r="D361" t="s">
        <v>9</v>
      </c>
      <c r="E361" s="9">
        <v>2000</v>
      </c>
      <c r="F361" s="9">
        <v>2000</v>
      </c>
      <c r="G361" s="9">
        <v>1400</v>
      </c>
      <c r="I361" t="s">
        <v>162</v>
      </c>
      <c r="J361" t="s">
        <v>460</v>
      </c>
      <c r="K361" t="s">
        <v>11</v>
      </c>
      <c r="L361" t="str">
        <f>T("9791191562033")</f>
        <v>9791191562033</v>
      </c>
    </row>
    <row r="362" spans="1:12">
      <c r="A362" s="8">
        <v>44632.979560185187</v>
      </c>
      <c r="B362">
        <v>289315562</v>
      </c>
      <c r="C362" t="s">
        <v>478</v>
      </c>
      <c r="D362" t="s">
        <v>9</v>
      </c>
      <c r="E362" s="9">
        <v>3000</v>
      </c>
      <c r="F362" s="9">
        <v>3000</v>
      </c>
      <c r="G362" s="9">
        <v>2100</v>
      </c>
      <c r="I362" t="s">
        <v>454</v>
      </c>
      <c r="J362" t="s">
        <v>460</v>
      </c>
      <c r="K362" t="s">
        <v>11</v>
      </c>
      <c r="L362" t="str">
        <f>T("9791191562101")</f>
        <v>9791191562101</v>
      </c>
    </row>
    <row r="363" spans="1:12">
      <c r="A363" s="8">
        <v>44632.979560185187</v>
      </c>
      <c r="B363">
        <v>287834730</v>
      </c>
      <c r="C363" t="s">
        <v>275</v>
      </c>
      <c r="D363" t="s">
        <v>9</v>
      </c>
      <c r="E363" s="9">
        <v>2000</v>
      </c>
      <c r="F363" s="9">
        <v>2000</v>
      </c>
      <c r="G363" s="9">
        <v>1400</v>
      </c>
      <c r="I363" t="s">
        <v>169</v>
      </c>
      <c r="J363" t="s">
        <v>460</v>
      </c>
      <c r="K363" t="s">
        <v>11</v>
      </c>
      <c r="L363" t="str">
        <f>T("9791191562019")</f>
        <v>9791191562019</v>
      </c>
    </row>
    <row r="364" spans="1:12">
      <c r="A364" s="8">
        <v>44632.980023148149</v>
      </c>
      <c r="B364">
        <v>290084502</v>
      </c>
      <c r="C364" t="s">
        <v>592</v>
      </c>
      <c r="D364" t="s">
        <v>9</v>
      </c>
      <c r="E364" s="9">
        <v>2500</v>
      </c>
      <c r="F364" s="9">
        <v>2500</v>
      </c>
      <c r="G364" s="9">
        <v>1750</v>
      </c>
      <c r="I364" t="s">
        <v>593</v>
      </c>
      <c r="J364" t="s">
        <v>460</v>
      </c>
      <c r="K364" t="s">
        <v>11</v>
      </c>
      <c r="L364" t="str">
        <f>T("9791191562125")</f>
        <v>9791191562125</v>
      </c>
    </row>
    <row r="365" spans="1:12">
      <c r="A365" s="8">
        <v>44633.28502314815</v>
      </c>
      <c r="B365">
        <v>258343981</v>
      </c>
      <c r="C365" t="s">
        <v>642</v>
      </c>
      <c r="D365" t="s">
        <v>12</v>
      </c>
      <c r="E365" s="9">
        <v>12600</v>
      </c>
      <c r="F365" s="9">
        <v>12600</v>
      </c>
      <c r="G365" s="9">
        <v>8820</v>
      </c>
      <c r="I365" t="s">
        <v>641</v>
      </c>
      <c r="J365" t="s">
        <v>11</v>
      </c>
      <c r="K365" t="s">
        <v>11</v>
      </c>
      <c r="L365" t="str">
        <f>T("9791166069451")</f>
        <v>9791166069451</v>
      </c>
    </row>
    <row r="366" spans="1:12">
      <c r="A366" s="8">
        <v>44633.289351851854</v>
      </c>
      <c r="B366">
        <v>54081873</v>
      </c>
      <c r="C366" t="s">
        <v>473</v>
      </c>
      <c r="D366" t="s">
        <v>12</v>
      </c>
      <c r="E366">
        <v>900</v>
      </c>
      <c r="F366">
        <v>900</v>
      </c>
      <c r="G366">
        <v>630</v>
      </c>
      <c r="I366" t="s">
        <v>13</v>
      </c>
      <c r="J366" t="s">
        <v>11</v>
      </c>
      <c r="K366" t="s">
        <v>11</v>
      </c>
      <c r="L366" t="str">
        <f>T("9791195622542")</f>
        <v>9791195622542</v>
      </c>
    </row>
    <row r="367" spans="1:12">
      <c r="A367" s="8">
        <v>44633.289351851854</v>
      </c>
      <c r="B367">
        <v>54081871</v>
      </c>
      <c r="C367" t="s">
        <v>468</v>
      </c>
      <c r="D367" t="s">
        <v>12</v>
      </c>
      <c r="E367">
        <v>900</v>
      </c>
      <c r="F367">
        <v>900</v>
      </c>
      <c r="G367">
        <v>630</v>
      </c>
      <c r="I367" t="s">
        <v>13</v>
      </c>
      <c r="J367" t="s">
        <v>11</v>
      </c>
      <c r="K367" t="s">
        <v>11</v>
      </c>
      <c r="L367" t="str">
        <f>T("9791195622559")</f>
        <v>9791195622559</v>
      </c>
    </row>
    <row r="368" spans="1:12">
      <c r="A368" s="8">
        <v>44633.402037037034</v>
      </c>
      <c r="B368">
        <v>289315562</v>
      </c>
      <c r="C368" t="s">
        <v>478</v>
      </c>
      <c r="D368" t="s">
        <v>9</v>
      </c>
      <c r="E368" s="9">
        <v>3000</v>
      </c>
      <c r="F368" s="9">
        <v>3000</v>
      </c>
      <c r="G368" s="9">
        <v>2100</v>
      </c>
      <c r="I368" t="s">
        <v>454</v>
      </c>
      <c r="J368" t="s">
        <v>460</v>
      </c>
      <c r="K368" t="s">
        <v>11</v>
      </c>
      <c r="L368" t="str">
        <f>T("9791191562101")</f>
        <v>9791191562101</v>
      </c>
    </row>
    <row r="369" spans="1:12">
      <c r="A369" s="8">
        <v>44633.475775462961</v>
      </c>
      <c r="B369">
        <v>287834730</v>
      </c>
      <c r="C369" t="s">
        <v>275</v>
      </c>
      <c r="D369" t="s">
        <v>9</v>
      </c>
      <c r="E369" s="9">
        <v>2000</v>
      </c>
      <c r="F369" s="9">
        <v>2000</v>
      </c>
      <c r="G369" s="9">
        <v>1400</v>
      </c>
      <c r="I369" t="s">
        <v>169</v>
      </c>
      <c r="J369" t="s">
        <v>460</v>
      </c>
      <c r="K369" t="s">
        <v>11</v>
      </c>
      <c r="L369" t="str">
        <f>T("9791191562019")</f>
        <v>9791191562019</v>
      </c>
    </row>
    <row r="370" spans="1:12">
      <c r="A370" s="8">
        <v>44633.585532407407</v>
      </c>
      <c r="B370">
        <v>290197934</v>
      </c>
      <c r="C370" t="s">
        <v>604</v>
      </c>
      <c r="D370" t="s">
        <v>9</v>
      </c>
      <c r="E370" s="9">
        <v>2000</v>
      </c>
      <c r="F370" s="9">
        <v>2000</v>
      </c>
      <c r="G370" s="9">
        <v>1400</v>
      </c>
      <c r="I370" t="s">
        <v>605</v>
      </c>
      <c r="J370" t="s">
        <v>460</v>
      </c>
      <c r="K370" t="s">
        <v>11</v>
      </c>
      <c r="L370" t="str">
        <f>T("9791191562163")</f>
        <v>9791191562163</v>
      </c>
    </row>
    <row r="371" spans="1:12">
      <c r="A371" s="8">
        <v>44633.585532407407</v>
      </c>
      <c r="B371">
        <v>289315562</v>
      </c>
      <c r="C371" t="s">
        <v>478</v>
      </c>
      <c r="D371" t="s">
        <v>9</v>
      </c>
      <c r="E371" s="9">
        <v>3000</v>
      </c>
      <c r="F371" s="9">
        <v>3000</v>
      </c>
      <c r="G371" s="9">
        <v>2100</v>
      </c>
      <c r="I371" t="s">
        <v>454</v>
      </c>
      <c r="J371" t="s">
        <v>460</v>
      </c>
      <c r="K371" t="s">
        <v>11</v>
      </c>
      <c r="L371" t="str">
        <f>T("9791191562101")</f>
        <v>9791191562101</v>
      </c>
    </row>
    <row r="372" spans="1:12">
      <c r="A372" s="8">
        <v>44633.614999999998</v>
      </c>
      <c r="B372">
        <v>54083053</v>
      </c>
      <c r="C372" t="s">
        <v>228</v>
      </c>
      <c r="D372" t="s">
        <v>12</v>
      </c>
      <c r="E372">
        <v>900</v>
      </c>
      <c r="F372">
        <v>900</v>
      </c>
      <c r="G372">
        <v>630</v>
      </c>
      <c r="I372" t="s">
        <v>13</v>
      </c>
      <c r="J372" t="s">
        <v>11</v>
      </c>
      <c r="K372" t="s">
        <v>11</v>
      </c>
      <c r="L372" t="str">
        <f>T("9791195622566")</f>
        <v>9791195622566</v>
      </c>
    </row>
    <row r="373" spans="1:12">
      <c r="A373" s="8">
        <v>44633.614999999998</v>
      </c>
      <c r="B373">
        <v>54083052</v>
      </c>
      <c r="C373" t="s">
        <v>230</v>
      </c>
      <c r="D373" t="s">
        <v>12</v>
      </c>
      <c r="E373">
        <v>900</v>
      </c>
      <c r="F373">
        <v>900</v>
      </c>
      <c r="G373">
        <v>630</v>
      </c>
      <c r="I373" t="s">
        <v>13</v>
      </c>
      <c r="J373" t="s">
        <v>11</v>
      </c>
      <c r="K373" t="s">
        <v>11</v>
      </c>
      <c r="L373" t="str">
        <f>T("9791195622573")</f>
        <v>9791195622573</v>
      </c>
    </row>
    <row r="374" spans="1:12">
      <c r="A374" s="8">
        <v>44633.653333333335</v>
      </c>
      <c r="B374">
        <v>290197934</v>
      </c>
      <c r="C374" t="s">
        <v>604</v>
      </c>
      <c r="D374" t="s">
        <v>9</v>
      </c>
      <c r="E374" s="9">
        <v>2000</v>
      </c>
      <c r="F374" s="9">
        <v>2000</v>
      </c>
      <c r="G374" s="9">
        <v>1400</v>
      </c>
      <c r="I374" t="s">
        <v>605</v>
      </c>
      <c r="J374" t="s">
        <v>460</v>
      </c>
      <c r="K374" t="s">
        <v>11</v>
      </c>
      <c r="L374" t="str">
        <f>T("9791191562163")</f>
        <v>9791191562163</v>
      </c>
    </row>
    <row r="375" spans="1:12">
      <c r="A375" s="8">
        <v>44633.665648148148</v>
      </c>
      <c r="B375">
        <v>290084502</v>
      </c>
      <c r="C375" t="s">
        <v>592</v>
      </c>
      <c r="D375" t="s">
        <v>9</v>
      </c>
      <c r="E375" s="9">
        <v>2500</v>
      </c>
      <c r="F375" s="9">
        <v>2500</v>
      </c>
      <c r="G375" s="9">
        <v>1750</v>
      </c>
      <c r="I375" t="s">
        <v>593</v>
      </c>
      <c r="J375" t="s">
        <v>460</v>
      </c>
      <c r="K375" t="s">
        <v>11</v>
      </c>
      <c r="L375" t="str">
        <f>T("9791191562125")</f>
        <v>9791191562125</v>
      </c>
    </row>
    <row r="376" spans="1:12">
      <c r="A376" s="8">
        <v>44633.712673611109</v>
      </c>
      <c r="B376">
        <v>286405921</v>
      </c>
      <c r="C376" t="s">
        <v>245</v>
      </c>
      <c r="D376" t="s">
        <v>9</v>
      </c>
      <c r="E376" s="9">
        <v>2500</v>
      </c>
      <c r="F376" s="9">
        <v>2500</v>
      </c>
      <c r="G376" s="9">
        <v>1750</v>
      </c>
      <c r="I376" t="s">
        <v>221</v>
      </c>
      <c r="J376" t="s">
        <v>460</v>
      </c>
      <c r="K376" t="s">
        <v>11</v>
      </c>
      <c r="L376" t="str">
        <f>T("9791196945268")</f>
        <v>9791196945268</v>
      </c>
    </row>
    <row r="377" spans="1:12">
      <c r="A377" s="8">
        <v>44633.728773148148</v>
      </c>
      <c r="B377">
        <v>287086652</v>
      </c>
      <c r="C377" t="s">
        <v>220</v>
      </c>
      <c r="D377" t="s">
        <v>9</v>
      </c>
      <c r="E377" s="9">
        <v>2000</v>
      </c>
      <c r="F377" s="9">
        <v>2000</v>
      </c>
      <c r="G377" s="9">
        <v>1400</v>
      </c>
      <c r="I377" t="s">
        <v>162</v>
      </c>
      <c r="J377" t="s">
        <v>460</v>
      </c>
      <c r="K377" t="s">
        <v>11</v>
      </c>
      <c r="L377" t="str">
        <f>T("9791191562033")</f>
        <v>9791191562033</v>
      </c>
    </row>
    <row r="378" spans="1:12">
      <c r="A378" s="8">
        <v>44633.758449074077</v>
      </c>
      <c r="B378">
        <v>290197934</v>
      </c>
      <c r="C378" t="s">
        <v>604</v>
      </c>
      <c r="D378" t="s">
        <v>9</v>
      </c>
      <c r="E378" s="9">
        <v>2000</v>
      </c>
      <c r="F378" s="9">
        <v>2000</v>
      </c>
      <c r="G378" s="9">
        <v>1400</v>
      </c>
      <c r="I378" t="s">
        <v>605</v>
      </c>
      <c r="J378" t="s">
        <v>460</v>
      </c>
      <c r="K378" t="s">
        <v>11</v>
      </c>
      <c r="L378" t="str">
        <f>T("9791191562163")</f>
        <v>9791191562163</v>
      </c>
    </row>
    <row r="379" spans="1:12">
      <c r="A379" s="8">
        <v>44633.761793981481</v>
      </c>
      <c r="B379">
        <v>290197934</v>
      </c>
      <c r="C379" t="s">
        <v>604</v>
      </c>
      <c r="D379" t="s">
        <v>9</v>
      </c>
      <c r="E379" s="9">
        <v>2000</v>
      </c>
      <c r="F379" s="9">
        <v>2000</v>
      </c>
      <c r="G379" s="9">
        <v>1400</v>
      </c>
      <c r="I379" t="s">
        <v>605</v>
      </c>
      <c r="J379" t="s">
        <v>460</v>
      </c>
      <c r="K379" t="s">
        <v>11</v>
      </c>
      <c r="L379" t="str">
        <f>T("9791191562163")</f>
        <v>9791191562163</v>
      </c>
    </row>
    <row r="380" spans="1:12">
      <c r="A380" s="8">
        <v>44633.800104166665</v>
      </c>
      <c r="B380">
        <v>290084502</v>
      </c>
      <c r="C380" t="s">
        <v>592</v>
      </c>
      <c r="D380" t="s">
        <v>9</v>
      </c>
      <c r="E380" s="9">
        <v>2500</v>
      </c>
      <c r="F380" s="9">
        <v>2500</v>
      </c>
      <c r="G380" s="9">
        <v>1750</v>
      </c>
      <c r="I380" t="s">
        <v>593</v>
      </c>
      <c r="J380" t="s">
        <v>460</v>
      </c>
      <c r="K380" t="s">
        <v>11</v>
      </c>
      <c r="L380" t="str">
        <f>T("9791191562125")</f>
        <v>9791191562125</v>
      </c>
    </row>
    <row r="381" spans="1:12">
      <c r="A381" s="8">
        <v>44633.912280092591</v>
      </c>
      <c r="B381">
        <v>246862681</v>
      </c>
      <c r="C381" t="s">
        <v>219</v>
      </c>
      <c r="D381" t="s">
        <v>12</v>
      </c>
      <c r="E381">
        <v>0</v>
      </c>
      <c r="F381">
        <v>0</v>
      </c>
      <c r="G381">
        <v>0</v>
      </c>
      <c r="I381" t="s">
        <v>28</v>
      </c>
      <c r="J381" t="s">
        <v>20</v>
      </c>
      <c r="K381" t="s">
        <v>11</v>
      </c>
      <c r="L381" t="str">
        <f>T("9791164480142")</f>
        <v>9791164480142</v>
      </c>
    </row>
    <row r="382" spans="1:12">
      <c r="A382" s="8">
        <v>44633.912280092591</v>
      </c>
      <c r="B382">
        <v>246862964</v>
      </c>
      <c r="C382" t="s">
        <v>643</v>
      </c>
      <c r="D382" t="s">
        <v>12</v>
      </c>
      <c r="E382">
        <v>900</v>
      </c>
      <c r="F382">
        <v>900</v>
      </c>
      <c r="G382">
        <v>630</v>
      </c>
      <c r="I382" t="s">
        <v>28</v>
      </c>
      <c r="J382" t="s">
        <v>20</v>
      </c>
      <c r="K382" t="s">
        <v>11</v>
      </c>
      <c r="L382" t="str">
        <f>T("9791164481668")</f>
        <v>9791164481668</v>
      </c>
    </row>
    <row r="383" spans="1:12">
      <c r="A383" s="8">
        <v>44633.912280092591</v>
      </c>
      <c r="B383">
        <v>246862968</v>
      </c>
      <c r="C383" t="s">
        <v>644</v>
      </c>
      <c r="D383" t="s">
        <v>12</v>
      </c>
      <c r="E383">
        <v>900</v>
      </c>
      <c r="F383">
        <v>900</v>
      </c>
      <c r="G383">
        <v>630</v>
      </c>
      <c r="I383" t="s">
        <v>28</v>
      </c>
      <c r="J383" t="s">
        <v>20</v>
      </c>
      <c r="K383" t="s">
        <v>11</v>
      </c>
      <c r="L383" t="str">
        <f>T("9791164481675")</f>
        <v>9791164481675</v>
      </c>
    </row>
    <row r="384" spans="1:12">
      <c r="A384" s="8">
        <v>44633.940104166664</v>
      </c>
      <c r="B384">
        <v>287086652</v>
      </c>
      <c r="C384" t="s">
        <v>220</v>
      </c>
      <c r="D384" t="s">
        <v>9</v>
      </c>
      <c r="E384" s="9">
        <v>2000</v>
      </c>
      <c r="F384" s="9">
        <v>2000</v>
      </c>
      <c r="G384" s="9">
        <v>1400</v>
      </c>
      <c r="I384" t="s">
        <v>162</v>
      </c>
      <c r="J384" t="s">
        <v>460</v>
      </c>
      <c r="K384" t="s">
        <v>11</v>
      </c>
      <c r="L384" t="str">
        <f>T("9791191562033")</f>
        <v>9791191562033</v>
      </c>
    </row>
    <row r="385" spans="1:12">
      <c r="A385" s="8">
        <v>44633.945254629631</v>
      </c>
      <c r="B385">
        <v>290197934</v>
      </c>
      <c r="C385" t="s">
        <v>604</v>
      </c>
      <c r="D385" t="s">
        <v>9</v>
      </c>
      <c r="E385" s="9">
        <v>2000</v>
      </c>
      <c r="F385" s="9">
        <v>2000</v>
      </c>
      <c r="G385" s="9">
        <v>1400</v>
      </c>
      <c r="I385" t="s">
        <v>605</v>
      </c>
      <c r="J385" t="s">
        <v>460</v>
      </c>
      <c r="K385" t="s">
        <v>11</v>
      </c>
      <c r="L385" t="str">
        <f>T("9791191562163")</f>
        <v>9791191562163</v>
      </c>
    </row>
    <row r="386" spans="1:12">
      <c r="A386" s="8">
        <v>44633.965324074074</v>
      </c>
      <c r="B386">
        <v>289315562</v>
      </c>
      <c r="C386" t="s">
        <v>478</v>
      </c>
      <c r="D386" t="s">
        <v>9</v>
      </c>
      <c r="E386" s="9">
        <v>3000</v>
      </c>
      <c r="F386" s="9">
        <v>3000</v>
      </c>
      <c r="G386" s="9">
        <v>2100</v>
      </c>
      <c r="I386" t="s">
        <v>454</v>
      </c>
      <c r="J386" t="s">
        <v>460</v>
      </c>
      <c r="K386" t="s">
        <v>11</v>
      </c>
      <c r="L386" t="str">
        <f>T("9791191562101")</f>
        <v>9791191562101</v>
      </c>
    </row>
    <row r="387" spans="1:12">
      <c r="A387" s="8">
        <v>44633.979548611111</v>
      </c>
      <c r="B387">
        <v>287834730</v>
      </c>
      <c r="C387" t="s">
        <v>275</v>
      </c>
      <c r="D387" t="s">
        <v>9</v>
      </c>
      <c r="E387" s="9">
        <v>2000</v>
      </c>
      <c r="F387" s="9">
        <v>2000</v>
      </c>
      <c r="G387" s="9">
        <v>1400</v>
      </c>
      <c r="I387" t="s">
        <v>169</v>
      </c>
      <c r="J387" t="s">
        <v>460</v>
      </c>
      <c r="K387" t="s">
        <v>11</v>
      </c>
      <c r="L387" t="str">
        <f>T("9791191562019")</f>
        <v>9791191562019</v>
      </c>
    </row>
    <row r="388" spans="1:12">
      <c r="A388" s="8">
        <v>44633.98542824074</v>
      </c>
      <c r="B388">
        <v>289315562</v>
      </c>
      <c r="C388" t="s">
        <v>478</v>
      </c>
      <c r="D388" t="s">
        <v>9</v>
      </c>
      <c r="E388" s="9">
        <v>3000</v>
      </c>
      <c r="F388" s="9">
        <v>3000</v>
      </c>
      <c r="G388" s="9">
        <v>2100</v>
      </c>
      <c r="I388" t="s">
        <v>454</v>
      </c>
      <c r="J388" t="s">
        <v>460</v>
      </c>
      <c r="K388" t="s">
        <v>11</v>
      </c>
      <c r="L388" t="str">
        <f>T("9791191562101")</f>
        <v>9791191562101</v>
      </c>
    </row>
    <row r="389" spans="1:12">
      <c r="A389" s="8">
        <v>44634.068495370368</v>
      </c>
      <c r="B389">
        <v>290197934</v>
      </c>
      <c r="C389" t="s">
        <v>604</v>
      </c>
      <c r="D389" t="s">
        <v>9</v>
      </c>
      <c r="E389" s="9">
        <v>2000</v>
      </c>
      <c r="F389" s="9">
        <v>2000</v>
      </c>
      <c r="G389" s="9">
        <v>1400</v>
      </c>
      <c r="I389" t="s">
        <v>605</v>
      </c>
      <c r="J389" t="s">
        <v>460</v>
      </c>
      <c r="K389" t="s">
        <v>11</v>
      </c>
      <c r="L389" t="str">
        <f>T("9791191562163")</f>
        <v>9791191562163</v>
      </c>
    </row>
    <row r="390" spans="1:12">
      <c r="A390" s="8">
        <v>44634.226481481484</v>
      </c>
      <c r="B390">
        <v>286896672</v>
      </c>
      <c r="C390" t="s">
        <v>248</v>
      </c>
      <c r="D390" t="s">
        <v>9</v>
      </c>
      <c r="E390" s="9">
        <v>2500</v>
      </c>
      <c r="F390" s="9">
        <v>2500</v>
      </c>
      <c r="G390" s="9">
        <v>1750</v>
      </c>
      <c r="I390" t="s">
        <v>158</v>
      </c>
      <c r="J390" t="s">
        <v>460</v>
      </c>
      <c r="K390" t="s">
        <v>11</v>
      </c>
      <c r="L390" t="str">
        <f>T("9791191562002")</f>
        <v>9791191562002</v>
      </c>
    </row>
    <row r="391" spans="1:12">
      <c r="A391" s="8">
        <v>44634.276990740742</v>
      </c>
      <c r="B391">
        <v>290197934</v>
      </c>
      <c r="C391" t="s">
        <v>604</v>
      </c>
      <c r="D391" t="s">
        <v>9</v>
      </c>
      <c r="E391" s="9">
        <v>2000</v>
      </c>
      <c r="F391" s="9">
        <v>2000</v>
      </c>
      <c r="G391" s="9">
        <v>1400</v>
      </c>
      <c r="I391" t="s">
        <v>605</v>
      </c>
      <c r="J391" t="s">
        <v>460</v>
      </c>
      <c r="K391" t="s">
        <v>11</v>
      </c>
      <c r="L391" t="str">
        <f>T("9791191562163")</f>
        <v>9791191562163</v>
      </c>
    </row>
    <row r="392" spans="1:12">
      <c r="A392" s="8">
        <v>44634.313819444447</v>
      </c>
      <c r="B392">
        <v>290084502</v>
      </c>
      <c r="C392" t="s">
        <v>592</v>
      </c>
      <c r="D392" t="s">
        <v>9</v>
      </c>
      <c r="E392" s="9">
        <v>2500</v>
      </c>
      <c r="F392" s="9">
        <v>2500</v>
      </c>
      <c r="G392" s="9">
        <v>1750</v>
      </c>
      <c r="I392" t="s">
        <v>593</v>
      </c>
      <c r="J392" t="s">
        <v>460</v>
      </c>
      <c r="K392" t="s">
        <v>11</v>
      </c>
      <c r="L392" t="str">
        <f>T("9791191562125")</f>
        <v>9791191562125</v>
      </c>
    </row>
    <row r="393" spans="1:12">
      <c r="A393" s="8">
        <v>44634.320405092592</v>
      </c>
      <c r="B393">
        <v>287834730</v>
      </c>
      <c r="C393" t="s">
        <v>275</v>
      </c>
      <c r="D393" t="s">
        <v>9</v>
      </c>
      <c r="E393" s="9">
        <v>2000</v>
      </c>
      <c r="F393" s="9">
        <v>2000</v>
      </c>
      <c r="G393" s="9">
        <v>1400</v>
      </c>
      <c r="I393" t="s">
        <v>169</v>
      </c>
      <c r="J393" t="s">
        <v>460</v>
      </c>
      <c r="K393" t="s">
        <v>11</v>
      </c>
      <c r="L393" t="str">
        <f>T("9791191562019")</f>
        <v>9791191562019</v>
      </c>
    </row>
    <row r="394" spans="1:12">
      <c r="A394" s="8">
        <v>44634.347488425927</v>
      </c>
      <c r="B394">
        <v>290084502</v>
      </c>
      <c r="C394" t="s">
        <v>592</v>
      </c>
      <c r="D394" t="s">
        <v>9</v>
      </c>
      <c r="E394" s="9">
        <v>2500</v>
      </c>
      <c r="F394" s="9">
        <v>2500</v>
      </c>
      <c r="G394" s="9">
        <v>1750</v>
      </c>
      <c r="I394" t="s">
        <v>593</v>
      </c>
      <c r="J394" t="s">
        <v>460</v>
      </c>
      <c r="K394" t="s">
        <v>11</v>
      </c>
      <c r="L394" t="str">
        <f>T("9791191562125")</f>
        <v>9791191562125</v>
      </c>
    </row>
    <row r="395" spans="1:12">
      <c r="A395" s="8">
        <v>44634.347488425927</v>
      </c>
      <c r="B395">
        <v>286896672</v>
      </c>
      <c r="C395" t="s">
        <v>248</v>
      </c>
      <c r="D395" t="s">
        <v>9</v>
      </c>
      <c r="E395" s="9">
        <v>2500</v>
      </c>
      <c r="F395" s="9">
        <v>2500</v>
      </c>
      <c r="G395" s="9">
        <v>1750</v>
      </c>
      <c r="I395" t="s">
        <v>158</v>
      </c>
      <c r="J395" t="s">
        <v>460</v>
      </c>
      <c r="K395" t="s">
        <v>11</v>
      </c>
      <c r="L395" t="str">
        <f>T("9791191562002")</f>
        <v>9791191562002</v>
      </c>
    </row>
    <row r="396" spans="1:12">
      <c r="A396" s="8">
        <v>44634.382037037038</v>
      </c>
      <c r="B396">
        <v>290084502</v>
      </c>
      <c r="C396" t="s">
        <v>592</v>
      </c>
      <c r="D396" t="s">
        <v>9</v>
      </c>
      <c r="E396" s="9">
        <v>2500</v>
      </c>
      <c r="F396" s="9">
        <v>2500</v>
      </c>
      <c r="G396" s="9">
        <v>1750</v>
      </c>
      <c r="I396" t="s">
        <v>593</v>
      </c>
      <c r="J396" t="s">
        <v>460</v>
      </c>
      <c r="K396" t="s">
        <v>11</v>
      </c>
      <c r="L396" t="str">
        <f>T("9791191562125")</f>
        <v>9791191562125</v>
      </c>
    </row>
    <row r="397" spans="1:12">
      <c r="A397" s="8">
        <v>44634.427824074075</v>
      </c>
      <c r="B397">
        <v>290829048</v>
      </c>
      <c r="C397" t="s">
        <v>645</v>
      </c>
      <c r="D397" t="s">
        <v>9</v>
      </c>
      <c r="E397">
        <v>0</v>
      </c>
      <c r="F397">
        <v>0</v>
      </c>
      <c r="G397">
        <v>0</v>
      </c>
      <c r="I397" t="s">
        <v>28</v>
      </c>
      <c r="J397" t="s">
        <v>20</v>
      </c>
      <c r="K397" t="s">
        <v>11</v>
      </c>
      <c r="L397" t="str">
        <f>T("9791164480401")</f>
        <v>9791164480401</v>
      </c>
    </row>
    <row r="398" spans="1:12">
      <c r="A398" s="8">
        <v>44634.443506944444</v>
      </c>
      <c r="B398">
        <v>48799502</v>
      </c>
      <c r="C398" t="s">
        <v>234</v>
      </c>
      <c r="D398" t="s">
        <v>12</v>
      </c>
      <c r="E398">
        <v>0</v>
      </c>
      <c r="F398">
        <v>0</v>
      </c>
      <c r="G398">
        <v>0</v>
      </c>
      <c r="I398" t="s">
        <v>10</v>
      </c>
      <c r="J398" t="s">
        <v>11</v>
      </c>
      <c r="K398" t="s">
        <v>11</v>
      </c>
      <c r="L398" t="str">
        <f>T("9791159284724")</f>
        <v>9791159284724</v>
      </c>
    </row>
    <row r="399" spans="1:12">
      <c r="A399" s="8">
        <v>44634.463148148148</v>
      </c>
      <c r="B399">
        <v>290197934</v>
      </c>
      <c r="C399" t="s">
        <v>604</v>
      </c>
      <c r="D399" t="s">
        <v>9</v>
      </c>
      <c r="E399" s="9">
        <v>2000</v>
      </c>
      <c r="F399" s="9">
        <v>2000</v>
      </c>
      <c r="G399" s="9">
        <v>1400</v>
      </c>
      <c r="I399" t="s">
        <v>605</v>
      </c>
      <c r="J399" t="s">
        <v>460</v>
      </c>
      <c r="K399" t="s">
        <v>11</v>
      </c>
      <c r="L399" t="str">
        <f>T("9791191562163")</f>
        <v>9791191562163</v>
      </c>
    </row>
    <row r="400" spans="1:12">
      <c r="A400" s="8">
        <v>44634.465740740743</v>
      </c>
      <c r="B400">
        <v>290197934</v>
      </c>
      <c r="C400" t="s">
        <v>604</v>
      </c>
      <c r="D400" t="s">
        <v>9</v>
      </c>
      <c r="E400" s="9">
        <v>2000</v>
      </c>
      <c r="F400" s="9">
        <v>2000</v>
      </c>
      <c r="G400" s="9">
        <v>1400</v>
      </c>
      <c r="I400" t="s">
        <v>605</v>
      </c>
      <c r="J400" t="s">
        <v>460</v>
      </c>
      <c r="K400" t="s">
        <v>11</v>
      </c>
      <c r="L400" t="str">
        <f>T("9791191562163")</f>
        <v>9791191562163</v>
      </c>
    </row>
    <row r="401" spans="1:12">
      <c r="A401" s="8">
        <v>44634.473043981481</v>
      </c>
      <c r="B401">
        <v>248187294</v>
      </c>
      <c r="C401" t="s">
        <v>529</v>
      </c>
      <c r="D401" t="s">
        <v>9</v>
      </c>
      <c r="E401" s="9">
        <v>3200</v>
      </c>
      <c r="F401" s="9">
        <v>3200</v>
      </c>
      <c r="G401" s="9">
        <v>2240</v>
      </c>
      <c r="I401" t="s">
        <v>15</v>
      </c>
      <c r="J401" t="s">
        <v>11</v>
      </c>
      <c r="K401" t="s">
        <v>11</v>
      </c>
      <c r="L401" t="str">
        <f>T("9791190937221")</f>
        <v>9791190937221</v>
      </c>
    </row>
    <row r="402" spans="1:12">
      <c r="A402" s="8">
        <v>44634.473043981481</v>
      </c>
      <c r="B402">
        <v>248187305</v>
      </c>
      <c r="C402" t="s">
        <v>486</v>
      </c>
      <c r="D402" t="s">
        <v>9</v>
      </c>
      <c r="E402" s="9">
        <v>3200</v>
      </c>
      <c r="F402" s="9">
        <v>3200</v>
      </c>
      <c r="G402" s="9">
        <v>2240</v>
      </c>
      <c r="I402" t="s">
        <v>15</v>
      </c>
      <c r="J402" t="s">
        <v>11</v>
      </c>
      <c r="K402" t="s">
        <v>11</v>
      </c>
      <c r="L402" t="str">
        <f>T("9791190937238")</f>
        <v>9791190937238</v>
      </c>
    </row>
    <row r="403" spans="1:12">
      <c r="A403" s="8">
        <v>44634.548518518517</v>
      </c>
      <c r="B403">
        <v>290829048</v>
      </c>
      <c r="C403" t="s">
        <v>645</v>
      </c>
      <c r="D403" t="s">
        <v>9</v>
      </c>
      <c r="E403">
        <v>0</v>
      </c>
      <c r="F403">
        <v>0</v>
      </c>
      <c r="G403">
        <v>0</v>
      </c>
      <c r="I403" t="s">
        <v>28</v>
      </c>
      <c r="J403" t="s">
        <v>20</v>
      </c>
      <c r="K403" t="s">
        <v>11</v>
      </c>
      <c r="L403" t="str">
        <f>T("9791164480401")</f>
        <v>9791164480401</v>
      </c>
    </row>
    <row r="404" spans="1:12">
      <c r="A404" s="8">
        <v>44634.550347222219</v>
      </c>
      <c r="B404">
        <v>290827241</v>
      </c>
      <c r="C404" t="s">
        <v>646</v>
      </c>
      <c r="D404" t="s">
        <v>9</v>
      </c>
      <c r="E404" s="9">
        <v>2000</v>
      </c>
      <c r="F404" s="9">
        <v>2000</v>
      </c>
      <c r="G404" s="9">
        <v>1400</v>
      </c>
      <c r="I404" t="s">
        <v>647</v>
      </c>
      <c r="J404" t="s">
        <v>460</v>
      </c>
      <c r="K404" t="s">
        <v>11</v>
      </c>
      <c r="L404" t="str">
        <f>T("9791191562149")</f>
        <v>9791191562149</v>
      </c>
    </row>
    <row r="405" spans="1:12">
      <c r="A405" s="8">
        <v>44634.561145833337</v>
      </c>
      <c r="B405">
        <v>287834730</v>
      </c>
      <c r="C405" t="s">
        <v>275</v>
      </c>
      <c r="D405" t="s">
        <v>9</v>
      </c>
      <c r="E405" s="9">
        <v>2000</v>
      </c>
      <c r="F405" s="9">
        <v>2000</v>
      </c>
      <c r="G405" s="9">
        <v>1400</v>
      </c>
      <c r="I405" t="s">
        <v>169</v>
      </c>
      <c r="J405" t="s">
        <v>460</v>
      </c>
      <c r="K405" t="s">
        <v>11</v>
      </c>
      <c r="L405" t="str">
        <f>T("9791191562019")</f>
        <v>9791191562019</v>
      </c>
    </row>
    <row r="406" spans="1:12">
      <c r="A406" s="8">
        <v>44634.573275462964</v>
      </c>
      <c r="B406">
        <v>48791711</v>
      </c>
      <c r="C406" t="s">
        <v>80</v>
      </c>
      <c r="D406" t="s">
        <v>12</v>
      </c>
      <c r="E406">
        <v>0</v>
      </c>
      <c r="F406">
        <v>0</v>
      </c>
      <c r="G406">
        <v>0</v>
      </c>
      <c r="I406" t="s">
        <v>10</v>
      </c>
      <c r="J406" t="s">
        <v>11</v>
      </c>
      <c r="K406" t="s">
        <v>11</v>
      </c>
      <c r="L406" t="str">
        <f>T("9791159283314")</f>
        <v>9791159283314</v>
      </c>
    </row>
    <row r="407" spans="1:12">
      <c r="A407" s="8">
        <v>44634.590590277781</v>
      </c>
      <c r="B407">
        <v>287834730</v>
      </c>
      <c r="C407" t="s">
        <v>275</v>
      </c>
      <c r="D407" t="s">
        <v>9</v>
      </c>
      <c r="E407" s="9">
        <v>2000</v>
      </c>
      <c r="F407" s="9">
        <v>2000</v>
      </c>
      <c r="G407" s="9">
        <v>1400</v>
      </c>
      <c r="I407" t="s">
        <v>169</v>
      </c>
      <c r="J407" t="s">
        <v>460</v>
      </c>
      <c r="K407" t="s">
        <v>11</v>
      </c>
      <c r="L407" t="str">
        <f>T("9791191562019")</f>
        <v>9791191562019</v>
      </c>
    </row>
    <row r="408" spans="1:12">
      <c r="A408" s="8">
        <v>44634.679085648146</v>
      </c>
      <c r="B408">
        <v>290084502</v>
      </c>
      <c r="C408" t="s">
        <v>592</v>
      </c>
      <c r="D408" t="s">
        <v>9</v>
      </c>
      <c r="E408" s="9">
        <v>2500</v>
      </c>
      <c r="F408" s="9">
        <v>2500</v>
      </c>
      <c r="G408" s="9">
        <v>1750</v>
      </c>
      <c r="I408" t="s">
        <v>593</v>
      </c>
      <c r="J408" t="s">
        <v>460</v>
      </c>
      <c r="K408" t="s">
        <v>11</v>
      </c>
      <c r="L408" t="str">
        <f>T("9791191562125")</f>
        <v>9791191562125</v>
      </c>
    </row>
    <row r="409" spans="1:12">
      <c r="A409" s="8">
        <v>44634.754664351851</v>
      </c>
      <c r="B409">
        <v>290829048</v>
      </c>
      <c r="C409" t="s">
        <v>645</v>
      </c>
      <c r="D409" t="s">
        <v>9</v>
      </c>
      <c r="E409">
        <v>0</v>
      </c>
      <c r="F409">
        <v>0</v>
      </c>
      <c r="G409">
        <v>0</v>
      </c>
      <c r="I409" t="s">
        <v>28</v>
      </c>
      <c r="J409" t="s">
        <v>20</v>
      </c>
      <c r="K409" t="s">
        <v>11</v>
      </c>
      <c r="L409" t="str">
        <f>T("9791164480401")</f>
        <v>9791164480401</v>
      </c>
    </row>
    <row r="410" spans="1:12">
      <c r="A410" s="8">
        <v>44634.808935185189</v>
      </c>
      <c r="B410">
        <v>290197934</v>
      </c>
      <c r="C410" t="s">
        <v>604</v>
      </c>
      <c r="D410" t="s">
        <v>9</v>
      </c>
      <c r="E410" s="9">
        <v>2000</v>
      </c>
      <c r="F410" s="9">
        <v>2000</v>
      </c>
      <c r="G410" s="9">
        <v>1400</v>
      </c>
      <c r="I410" t="s">
        <v>605</v>
      </c>
      <c r="J410" t="s">
        <v>460</v>
      </c>
      <c r="K410" t="s">
        <v>11</v>
      </c>
      <c r="L410" t="str">
        <f>T("9791191562163")</f>
        <v>9791191562163</v>
      </c>
    </row>
    <row r="411" spans="1:12">
      <c r="A411" s="8">
        <v>44634.815405092595</v>
      </c>
      <c r="B411">
        <v>287834730</v>
      </c>
      <c r="C411" t="s">
        <v>275</v>
      </c>
      <c r="D411" t="s">
        <v>9</v>
      </c>
      <c r="E411" s="9">
        <v>2000</v>
      </c>
      <c r="F411" s="9">
        <v>2000</v>
      </c>
      <c r="G411" s="9">
        <v>1400</v>
      </c>
      <c r="I411" t="s">
        <v>169</v>
      </c>
      <c r="J411" t="s">
        <v>460</v>
      </c>
      <c r="K411" t="s">
        <v>11</v>
      </c>
      <c r="L411" t="str">
        <f>T("9791191562019")</f>
        <v>9791191562019</v>
      </c>
    </row>
    <row r="412" spans="1:12">
      <c r="A412" s="8">
        <v>44634.826238425929</v>
      </c>
      <c r="B412">
        <v>290197934</v>
      </c>
      <c r="C412" t="s">
        <v>604</v>
      </c>
      <c r="D412" t="s">
        <v>9</v>
      </c>
      <c r="E412" s="9">
        <v>2000</v>
      </c>
      <c r="F412" s="9">
        <v>2000</v>
      </c>
      <c r="G412" s="9">
        <v>1400</v>
      </c>
      <c r="I412" t="s">
        <v>605</v>
      </c>
      <c r="J412" t="s">
        <v>460</v>
      </c>
      <c r="K412" t="s">
        <v>11</v>
      </c>
      <c r="L412" t="str">
        <f>T("9791191562163")</f>
        <v>9791191562163</v>
      </c>
    </row>
    <row r="413" spans="1:12">
      <c r="A413" s="8">
        <v>44634.839930555558</v>
      </c>
      <c r="B413">
        <v>48791721</v>
      </c>
      <c r="C413" t="s">
        <v>557</v>
      </c>
      <c r="D413" t="s">
        <v>9</v>
      </c>
      <c r="E413" s="9">
        <v>3200</v>
      </c>
      <c r="F413" s="9">
        <v>3200</v>
      </c>
      <c r="G413" s="9">
        <v>2240</v>
      </c>
      <c r="I413" t="s">
        <v>10</v>
      </c>
      <c r="J413" t="s">
        <v>11</v>
      </c>
      <c r="K413" t="s">
        <v>11</v>
      </c>
      <c r="L413" t="str">
        <f>T("9791159283383")</f>
        <v>9791159283383</v>
      </c>
    </row>
    <row r="414" spans="1:12">
      <c r="A414" s="8">
        <v>44634.85297453704</v>
      </c>
      <c r="B414">
        <v>290197934</v>
      </c>
      <c r="C414" t="s">
        <v>604</v>
      </c>
      <c r="D414" t="s">
        <v>9</v>
      </c>
      <c r="E414" s="9">
        <v>2000</v>
      </c>
      <c r="F414" s="9">
        <v>2000</v>
      </c>
      <c r="G414" s="9">
        <v>1400</v>
      </c>
      <c r="I414" t="s">
        <v>605</v>
      </c>
      <c r="J414" t="s">
        <v>460</v>
      </c>
      <c r="K414" t="s">
        <v>11</v>
      </c>
      <c r="L414" t="str">
        <f>T("9791191562163")</f>
        <v>9791191562163</v>
      </c>
    </row>
    <row r="415" spans="1:12">
      <c r="A415" s="8">
        <v>44634.917256944442</v>
      </c>
      <c r="B415">
        <v>271217202</v>
      </c>
      <c r="C415" t="s">
        <v>648</v>
      </c>
      <c r="D415" t="s">
        <v>9</v>
      </c>
      <c r="E415" s="9">
        <v>9400</v>
      </c>
      <c r="F415" s="9">
        <v>9400</v>
      </c>
      <c r="G415" s="9">
        <v>6580</v>
      </c>
      <c r="I415" t="s">
        <v>585</v>
      </c>
      <c r="J415" t="s">
        <v>11</v>
      </c>
      <c r="K415" t="s">
        <v>11</v>
      </c>
      <c r="L415" t="str">
        <f>T("9791137601185")</f>
        <v>9791137601185</v>
      </c>
    </row>
    <row r="416" spans="1:12">
      <c r="A416" s="8">
        <v>44634.994456018518</v>
      </c>
      <c r="B416">
        <v>248962260</v>
      </c>
      <c r="C416" t="s">
        <v>603</v>
      </c>
      <c r="D416" t="s">
        <v>12</v>
      </c>
      <c r="E416">
        <v>900</v>
      </c>
      <c r="F416">
        <v>900</v>
      </c>
      <c r="G416">
        <v>630</v>
      </c>
      <c r="I416" t="s">
        <v>14</v>
      </c>
      <c r="J416" t="s">
        <v>11</v>
      </c>
      <c r="K416" t="s">
        <v>11</v>
      </c>
      <c r="L416" t="str">
        <f>T("9791166066764")</f>
        <v>9791166066764</v>
      </c>
    </row>
    <row r="417" spans="1:12">
      <c r="A417" s="8">
        <v>44635.03460648148</v>
      </c>
      <c r="B417">
        <v>287834730</v>
      </c>
      <c r="C417" t="s">
        <v>275</v>
      </c>
      <c r="D417" t="s">
        <v>9</v>
      </c>
      <c r="E417" s="9">
        <v>2000</v>
      </c>
      <c r="F417" s="9">
        <v>2000</v>
      </c>
      <c r="G417" s="9">
        <v>1400</v>
      </c>
      <c r="I417" t="s">
        <v>169</v>
      </c>
      <c r="J417" t="s">
        <v>460</v>
      </c>
      <c r="K417" t="s">
        <v>11</v>
      </c>
      <c r="L417" t="str">
        <f>T("9791191562019")</f>
        <v>9791191562019</v>
      </c>
    </row>
    <row r="418" spans="1:12">
      <c r="A418" s="8">
        <v>44635.095347222225</v>
      </c>
      <c r="B418">
        <v>170138823</v>
      </c>
      <c r="C418" t="s">
        <v>649</v>
      </c>
      <c r="D418" t="s">
        <v>9</v>
      </c>
      <c r="E418" s="9">
        <v>3200</v>
      </c>
      <c r="F418" s="9">
        <v>3200</v>
      </c>
      <c r="G418" s="9">
        <v>2240</v>
      </c>
      <c r="I418" t="s">
        <v>14</v>
      </c>
      <c r="J418" t="s">
        <v>601</v>
      </c>
      <c r="K418" t="s">
        <v>11</v>
      </c>
      <c r="L418" t="str">
        <f>T("9788928091157")</f>
        <v>9788928091157</v>
      </c>
    </row>
    <row r="419" spans="1:12">
      <c r="A419" s="8">
        <v>44635.131550925929</v>
      </c>
      <c r="B419">
        <v>290829048</v>
      </c>
      <c r="C419" t="s">
        <v>645</v>
      </c>
      <c r="D419" t="s">
        <v>9</v>
      </c>
      <c r="E419">
        <v>0</v>
      </c>
      <c r="F419">
        <v>0</v>
      </c>
      <c r="G419">
        <v>0</v>
      </c>
      <c r="I419" t="s">
        <v>28</v>
      </c>
      <c r="J419" t="s">
        <v>20</v>
      </c>
      <c r="K419" t="s">
        <v>11</v>
      </c>
      <c r="L419" t="str">
        <f>T("9791164480401")</f>
        <v>9791164480401</v>
      </c>
    </row>
    <row r="420" spans="1:12">
      <c r="A420" s="8">
        <v>44635.17628472222</v>
      </c>
      <c r="B420">
        <v>290829048</v>
      </c>
      <c r="C420" t="s">
        <v>645</v>
      </c>
      <c r="D420" t="s">
        <v>9</v>
      </c>
      <c r="E420">
        <v>0</v>
      </c>
      <c r="F420">
        <v>0</v>
      </c>
      <c r="G420">
        <v>0</v>
      </c>
      <c r="I420" t="s">
        <v>28</v>
      </c>
      <c r="J420" t="s">
        <v>20</v>
      </c>
      <c r="K420" t="s">
        <v>11</v>
      </c>
      <c r="L420" t="str">
        <f>T("9791164480401")</f>
        <v>9791164480401</v>
      </c>
    </row>
    <row r="421" spans="1:12">
      <c r="A421" s="8">
        <v>44635.279247685183</v>
      </c>
      <c r="B421">
        <v>290197934</v>
      </c>
      <c r="C421" t="s">
        <v>604</v>
      </c>
      <c r="D421" t="s">
        <v>9</v>
      </c>
      <c r="E421" s="9">
        <v>2000</v>
      </c>
      <c r="F421" s="9">
        <v>2000</v>
      </c>
      <c r="G421" s="9">
        <v>1400</v>
      </c>
      <c r="I421" t="s">
        <v>605</v>
      </c>
      <c r="J421" t="s">
        <v>460</v>
      </c>
      <c r="K421" t="s">
        <v>11</v>
      </c>
      <c r="L421" t="str">
        <f>T("9791191562163")</f>
        <v>9791191562163</v>
      </c>
    </row>
    <row r="422" spans="1:12">
      <c r="A422" s="8">
        <v>44635.397939814815</v>
      </c>
      <c r="B422">
        <v>290197934</v>
      </c>
      <c r="C422" t="s">
        <v>604</v>
      </c>
      <c r="D422" t="s">
        <v>9</v>
      </c>
      <c r="E422" s="9">
        <v>2000</v>
      </c>
      <c r="F422" s="9">
        <v>2000</v>
      </c>
      <c r="G422" s="9">
        <v>1400</v>
      </c>
      <c r="I422" t="s">
        <v>605</v>
      </c>
      <c r="J422" t="s">
        <v>460</v>
      </c>
      <c r="K422" t="s">
        <v>11</v>
      </c>
      <c r="L422" t="str">
        <f>T("9791191562163")</f>
        <v>9791191562163</v>
      </c>
    </row>
    <row r="423" spans="1:12">
      <c r="A423" s="8">
        <v>44635.435844907406</v>
      </c>
      <c r="B423">
        <v>289315562</v>
      </c>
      <c r="C423" t="s">
        <v>478</v>
      </c>
      <c r="D423" t="s">
        <v>9</v>
      </c>
      <c r="E423" s="9">
        <v>3000</v>
      </c>
      <c r="F423" s="9">
        <v>3000</v>
      </c>
      <c r="G423" s="9">
        <v>2100</v>
      </c>
      <c r="I423" t="s">
        <v>454</v>
      </c>
      <c r="J423" t="s">
        <v>460</v>
      </c>
      <c r="K423" t="s">
        <v>11</v>
      </c>
      <c r="L423" t="str">
        <f>T("9791191562101")</f>
        <v>9791191562101</v>
      </c>
    </row>
    <row r="424" spans="1:12">
      <c r="A424" s="8">
        <v>44635.454131944447</v>
      </c>
      <c r="B424">
        <v>289315562</v>
      </c>
      <c r="C424" t="s">
        <v>478</v>
      </c>
      <c r="D424" t="s">
        <v>9</v>
      </c>
      <c r="E424" s="9">
        <v>-3000</v>
      </c>
      <c r="F424" s="9">
        <v>-3000</v>
      </c>
      <c r="G424" s="9">
        <v>-2100</v>
      </c>
      <c r="H424" s="8">
        <v>44635.435844907406</v>
      </c>
      <c r="I424" t="s">
        <v>454</v>
      </c>
      <c r="J424" t="s">
        <v>460</v>
      </c>
      <c r="K424" t="s">
        <v>11</v>
      </c>
      <c r="L424" t="str">
        <f>T("9791191562101")</f>
        <v>9791191562101</v>
      </c>
    </row>
    <row r="425" spans="1:12">
      <c r="A425" s="8">
        <v>44635.480127314811</v>
      </c>
      <c r="B425">
        <v>287086652</v>
      </c>
      <c r="C425" t="s">
        <v>220</v>
      </c>
      <c r="D425" t="s">
        <v>9</v>
      </c>
      <c r="E425" s="9">
        <v>2000</v>
      </c>
      <c r="F425" s="9">
        <v>2000</v>
      </c>
      <c r="G425" s="9">
        <v>1400</v>
      </c>
      <c r="I425" t="s">
        <v>162</v>
      </c>
      <c r="J425" t="s">
        <v>460</v>
      </c>
      <c r="K425" t="s">
        <v>11</v>
      </c>
      <c r="L425" t="str">
        <f>T("9791191562033")</f>
        <v>9791191562033</v>
      </c>
    </row>
    <row r="426" spans="1:12">
      <c r="A426" s="8">
        <v>44635.499259259261</v>
      </c>
      <c r="B426">
        <v>170138822</v>
      </c>
      <c r="C426" t="s">
        <v>650</v>
      </c>
      <c r="D426" t="s">
        <v>9</v>
      </c>
      <c r="E426" s="9">
        <v>3200</v>
      </c>
      <c r="F426" s="9">
        <v>3200</v>
      </c>
      <c r="G426" s="9">
        <v>2240</v>
      </c>
      <c r="I426" t="s">
        <v>14</v>
      </c>
      <c r="J426" t="s">
        <v>601</v>
      </c>
      <c r="K426" t="s">
        <v>11</v>
      </c>
      <c r="L426" t="str">
        <f>T("9788928091164")</f>
        <v>9788928091164</v>
      </c>
    </row>
    <row r="427" spans="1:12">
      <c r="A427" s="8">
        <v>44635.520995370367</v>
      </c>
      <c r="B427">
        <v>287834730</v>
      </c>
      <c r="C427" t="s">
        <v>275</v>
      </c>
      <c r="D427" t="s">
        <v>9</v>
      </c>
      <c r="E427" s="9">
        <v>2000</v>
      </c>
      <c r="F427" s="9">
        <v>2000</v>
      </c>
      <c r="G427" s="9">
        <v>1400</v>
      </c>
      <c r="I427" t="s">
        <v>169</v>
      </c>
      <c r="J427" t="s">
        <v>460</v>
      </c>
      <c r="K427" t="s">
        <v>11</v>
      </c>
      <c r="L427" t="str">
        <f>T("9791191562019")</f>
        <v>9791191562019</v>
      </c>
    </row>
    <row r="428" spans="1:12">
      <c r="A428" s="8">
        <v>44635.52443287037</v>
      </c>
      <c r="B428">
        <v>290197934</v>
      </c>
      <c r="C428" t="s">
        <v>604</v>
      </c>
      <c r="D428" t="s">
        <v>9</v>
      </c>
      <c r="E428" s="9">
        <v>2000</v>
      </c>
      <c r="F428" s="9">
        <v>2000</v>
      </c>
      <c r="G428" s="9">
        <v>1400</v>
      </c>
      <c r="I428" t="s">
        <v>605</v>
      </c>
      <c r="J428" t="s">
        <v>460</v>
      </c>
      <c r="K428" t="s">
        <v>11</v>
      </c>
      <c r="L428" t="str">
        <f>T("9791191562163")</f>
        <v>9791191562163</v>
      </c>
    </row>
    <row r="429" spans="1:12">
      <c r="A429" s="8">
        <v>44635.657233796293</v>
      </c>
      <c r="B429">
        <v>289315562</v>
      </c>
      <c r="C429" t="s">
        <v>478</v>
      </c>
      <c r="D429" t="s">
        <v>9</v>
      </c>
      <c r="E429" s="9">
        <v>3000</v>
      </c>
      <c r="F429" s="9">
        <v>3000</v>
      </c>
      <c r="G429" s="9">
        <v>2100</v>
      </c>
      <c r="I429" t="s">
        <v>454</v>
      </c>
      <c r="J429" t="s">
        <v>460</v>
      </c>
      <c r="K429" t="s">
        <v>11</v>
      </c>
      <c r="L429" t="str">
        <f>T("9791191562101")</f>
        <v>9791191562101</v>
      </c>
    </row>
    <row r="430" spans="1:12">
      <c r="A430" s="8">
        <v>44635.660752314812</v>
      </c>
      <c r="B430">
        <v>246862966</v>
      </c>
      <c r="C430" t="s">
        <v>651</v>
      </c>
      <c r="D430" t="s">
        <v>12</v>
      </c>
      <c r="E430">
        <v>900</v>
      </c>
      <c r="F430">
        <v>900</v>
      </c>
      <c r="G430">
        <v>630</v>
      </c>
      <c r="I430" t="s">
        <v>28</v>
      </c>
      <c r="J430" t="s">
        <v>20</v>
      </c>
      <c r="K430" t="s">
        <v>11</v>
      </c>
      <c r="L430" t="str">
        <f>T("9791164481682")</f>
        <v>9791164481682</v>
      </c>
    </row>
    <row r="431" spans="1:12">
      <c r="A431" s="8">
        <v>44635.660752314812</v>
      </c>
      <c r="B431">
        <v>246862965</v>
      </c>
      <c r="C431" t="s">
        <v>652</v>
      </c>
      <c r="D431" t="s">
        <v>12</v>
      </c>
      <c r="E431">
        <v>900</v>
      </c>
      <c r="F431">
        <v>900</v>
      </c>
      <c r="G431">
        <v>630</v>
      </c>
      <c r="I431" t="s">
        <v>28</v>
      </c>
      <c r="J431" t="s">
        <v>20</v>
      </c>
      <c r="K431" t="s">
        <v>11</v>
      </c>
      <c r="L431" t="str">
        <f>T("9791164481699")</f>
        <v>9791164481699</v>
      </c>
    </row>
    <row r="432" spans="1:12">
      <c r="A432" s="8">
        <v>44635.660752314812</v>
      </c>
      <c r="B432">
        <v>246862967</v>
      </c>
      <c r="C432" t="s">
        <v>653</v>
      </c>
      <c r="D432" t="s">
        <v>12</v>
      </c>
      <c r="E432">
        <v>900</v>
      </c>
      <c r="F432">
        <v>900</v>
      </c>
      <c r="G432">
        <v>630</v>
      </c>
      <c r="I432" t="s">
        <v>28</v>
      </c>
      <c r="J432" t="s">
        <v>20</v>
      </c>
      <c r="K432" t="s">
        <v>11</v>
      </c>
      <c r="L432" t="str">
        <f>T("9791164481705")</f>
        <v>9791164481705</v>
      </c>
    </row>
    <row r="433" spans="1:12">
      <c r="A433" s="8">
        <v>44635.660752314812</v>
      </c>
      <c r="B433">
        <v>246862972</v>
      </c>
      <c r="C433" t="s">
        <v>654</v>
      </c>
      <c r="D433" t="s">
        <v>12</v>
      </c>
      <c r="E433">
        <v>900</v>
      </c>
      <c r="F433">
        <v>900</v>
      </c>
      <c r="G433">
        <v>630</v>
      </c>
      <c r="I433" t="s">
        <v>28</v>
      </c>
      <c r="J433" t="s">
        <v>20</v>
      </c>
      <c r="K433" t="s">
        <v>11</v>
      </c>
      <c r="L433" t="str">
        <f>T("9791164481712")</f>
        <v>9791164481712</v>
      </c>
    </row>
    <row r="434" spans="1:12">
      <c r="A434" s="8">
        <v>44635.660752314812</v>
      </c>
      <c r="B434">
        <v>246862973</v>
      </c>
      <c r="C434" t="s">
        <v>655</v>
      </c>
      <c r="D434" t="s">
        <v>12</v>
      </c>
      <c r="E434">
        <v>900</v>
      </c>
      <c r="F434">
        <v>900</v>
      </c>
      <c r="G434">
        <v>630</v>
      </c>
      <c r="I434" t="s">
        <v>28</v>
      </c>
      <c r="J434" t="s">
        <v>20</v>
      </c>
      <c r="K434" t="s">
        <v>11</v>
      </c>
      <c r="L434" t="str">
        <f>T("9791164481729")</f>
        <v>9791164481729</v>
      </c>
    </row>
    <row r="435" spans="1:12">
      <c r="A435" s="8">
        <v>44635.660752314812</v>
      </c>
      <c r="B435">
        <v>246862969</v>
      </c>
      <c r="C435" t="s">
        <v>656</v>
      </c>
      <c r="D435" t="s">
        <v>12</v>
      </c>
      <c r="E435">
        <v>900</v>
      </c>
      <c r="F435">
        <v>900</v>
      </c>
      <c r="G435">
        <v>630</v>
      </c>
      <c r="I435" t="s">
        <v>28</v>
      </c>
      <c r="J435" t="s">
        <v>20</v>
      </c>
      <c r="K435" t="s">
        <v>11</v>
      </c>
      <c r="L435" t="str">
        <f>T("9791164481736")</f>
        <v>9791164481736</v>
      </c>
    </row>
    <row r="436" spans="1:12">
      <c r="A436" s="8">
        <v>44635.660752314812</v>
      </c>
      <c r="B436">
        <v>246862971</v>
      </c>
      <c r="C436" t="s">
        <v>657</v>
      </c>
      <c r="D436" t="s">
        <v>12</v>
      </c>
      <c r="E436">
        <v>900</v>
      </c>
      <c r="F436">
        <v>900</v>
      </c>
      <c r="G436">
        <v>630</v>
      </c>
      <c r="I436" t="s">
        <v>28</v>
      </c>
      <c r="J436" t="s">
        <v>20</v>
      </c>
      <c r="K436" t="s">
        <v>11</v>
      </c>
      <c r="L436" t="str">
        <f>T("9791164481743")</f>
        <v>9791164481743</v>
      </c>
    </row>
    <row r="437" spans="1:12">
      <c r="A437" s="8">
        <v>44635.660752314812</v>
      </c>
      <c r="B437">
        <v>246862970</v>
      </c>
      <c r="C437" t="s">
        <v>658</v>
      </c>
      <c r="D437" t="s">
        <v>12</v>
      </c>
      <c r="E437">
        <v>900</v>
      </c>
      <c r="F437">
        <v>900</v>
      </c>
      <c r="G437">
        <v>630</v>
      </c>
      <c r="I437" t="s">
        <v>28</v>
      </c>
      <c r="J437" t="s">
        <v>20</v>
      </c>
      <c r="K437" t="s">
        <v>11</v>
      </c>
      <c r="L437" t="str">
        <f>T("9791164481750")</f>
        <v>9791164481750</v>
      </c>
    </row>
    <row r="438" spans="1:12">
      <c r="A438" s="8">
        <v>44635.660752314812</v>
      </c>
      <c r="B438">
        <v>246862978</v>
      </c>
      <c r="C438" t="s">
        <v>659</v>
      </c>
      <c r="D438" t="s">
        <v>12</v>
      </c>
      <c r="E438">
        <v>900</v>
      </c>
      <c r="F438">
        <v>900</v>
      </c>
      <c r="G438">
        <v>630</v>
      </c>
      <c r="I438" t="s">
        <v>28</v>
      </c>
      <c r="J438" t="s">
        <v>20</v>
      </c>
      <c r="K438" t="s">
        <v>11</v>
      </c>
      <c r="L438" t="str">
        <f>T("9791164481767")</f>
        <v>9791164481767</v>
      </c>
    </row>
    <row r="439" spans="1:12">
      <c r="A439" s="8">
        <v>44635.660752314812</v>
      </c>
      <c r="B439">
        <v>246862976</v>
      </c>
      <c r="C439" t="s">
        <v>660</v>
      </c>
      <c r="D439" t="s">
        <v>12</v>
      </c>
      <c r="E439">
        <v>900</v>
      </c>
      <c r="F439">
        <v>900</v>
      </c>
      <c r="G439">
        <v>630</v>
      </c>
      <c r="I439" t="s">
        <v>28</v>
      </c>
      <c r="J439" t="s">
        <v>20</v>
      </c>
      <c r="K439" t="s">
        <v>11</v>
      </c>
      <c r="L439" t="str">
        <f>T("9791164481774")</f>
        <v>9791164481774</v>
      </c>
    </row>
    <row r="440" spans="1:12">
      <c r="A440" s="8">
        <v>44635.660752314812</v>
      </c>
      <c r="B440">
        <v>246862975</v>
      </c>
      <c r="C440" t="s">
        <v>661</v>
      </c>
      <c r="D440" t="s">
        <v>12</v>
      </c>
      <c r="E440">
        <v>900</v>
      </c>
      <c r="F440">
        <v>900</v>
      </c>
      <c r="G440">
        <v>630</v>
      </c>
      <c r="I440" t="s">
        <v>28</v>
      </c>
      <c r="J440" t="s">
        <v>20</v>
      </c>
      <c r="K440" t="s">
        <v>11</v>
      </c>
      <c r="L440" t="str">
        <f>T("9791164481781")</f>
        <v>9791164481781</v>
      </c>
    </row>
    <row r="441" spans="1:12">
      <c r="A441" s="8">
        <v>44635.660752314812</v>
      </c>
      <c r="B441">
        <v>246862977</v>
      </c>
      <c r="C441" t="s">
        <v>662</v>
      </c>
      <c r="D441" t="s">
        <v>12</v>
      </c>
      <c r="E441">
        <v>900</v>
      </c>
      <c r="F441">
        <v>900</v>
      </c>
      <c r="G441">
        <v>630</v>
      </c>
      <c r="I441" t="s">
        <v>28</v>
      </c>
      <c r="J441" t="s">
        <v>20</v>
      </c>
      <c r="K441" t="s">
        <v>11</v>
      </c>
      <c r="L441" t="str">
        <f>T("9791164481798")</f>
        <v>9791164481798</v>
      </c>
    </row>
    <row r="442" spans="1:12">
      <c r="A442" s="8">
        <v>44635.660752314812</v>
      </c>
      <c r="B442">
        <v>246862974</v>
      </c>
      <c r="C442" t="s">
        <v>663</v>
      </c>
      <c r="D442" t="s">
        <v>12</v>
      </c>
      <c r="E442">
        <v>900</v>
      </c>
      <c r="F442">
        <v>900</v>
      </c>
      <c r="G442">
        <v>630</v>
      </c>
      <c r="I442" t="s">
        <v>28</v>
      </c>
      <c r="J442" t="s">
        <v>20</v>
      </c>
      <c r="K442" t="s">
        <v>11</v>
      </c>
      <c r="L442" t="str">
        <f>T("9791164481804")</f>
        <v>9791164481804</v>
      </c>
    </row>
    <row r="443" spans="1:12">
      <c r="A443" s="8">
        <v>44635.660752314812</v>
      </c>
      <c r="B443">
        <v>246862679</v>
      </c>
      <c r="C443" t="s">
        <v>664</v>
      </c>
      <c r="D443" t="s">
        <v>12</v>
      </c>
      <c r="E443">
        <v>900</v>
      </c>
      <c r="F443">
        <v>900</v>
      </c>
      <c r="G443">
        <v>630</v>
      </c>
      <c r="I443" t="s">
        <v>28</v>
      </c>
      <c r="J443" t="s">
        <v>20</v>
      </c>
      <c r="K443" t="s">
        <v>11</v>
      </c>
      <c r="L443" t="str">
        <f>T("9791164481811")</f>
        <v>9791164481811</v>
      </c>
    </row>
    <row r="444" spans="1:12">
      <c r="A444" s="8">
        <v>44635.660752314812</v>
      </c>
      <c r="B444">
        <v>246862680</v>
      </c>
      <c r="C444" t="s">
        <v>665</v>
      </c>
      <c r="D444" t="s">
        <v>12</v>
      </c>
      <c r="E444">
        <v>900</v>
      </c>
      <c r="F444">
        <v>900</v>
      </c>
      <c r="G444">
        <v>630</v>
      </c>
      <c r="I444" t="s">
        <v>28</v>
      </c>
      <c r="J444" t="s">
        <v>20</v>
      </c>
      <c r="K444" t="s">
        <v>11</v>
      </c>
      <c r="L444" t="str">
        <f>T("9791164481828")</f>
        <v>9791164481828</v>
      </c>
    </row>
    <row r="445" spans="1:12">
      <c r="A445" s="8">
        <v>44635.660752314812</v>
      </c>
      <c r="B445">
        <v>246862980</v>
      </c>
      <c r="C445" t="s">
        <v>666</v>
      </c>
      <c r="D445" t="s">
        <v>12</v>
      </c>
      <c r="E445">
        <v>900</v>
      </c>
      <c r="F445">
        <v>900</v>
      </c>
      <c r="G445">
        <v>630</v>
      </c>
      <c r="I445" t="s">
        <v>28</v>
      </c>
      <c r="J445" t="s">
        <v>20</v>
      </c>
      <c r="K445" t="s">
        <v>11</v>
      </c>
      <c r="L445" t="str">
        <f>T("9791164481835")</f>
        <v>9791164481835</v>
      </c>
    </row>
    <row r="446" spans="1:12">
      <c r="A446" s="8">
        <v>44635.660752314812</v>
      </c>
      <c r="B446">
        <v>246862979</v>
      </c>
      <c r="C446" t="s">
        <v>667</v>
      </c>
      <c r="D446" t="s">
        <v>12</v>
      </c>
      <c r="E446">
        <v>900</v>
      </c>
      <c r="F446">
        <v>900</v>
      </c>
      <c r="G446">
        <v>630</v>
      </c>
      <c r="I446" t="s">
        <v>28</v>
      </c>
      <c r="J446" t="s">
        <v>20</v>
      </c>
      <c r="K446" t="s">
        <v>11</v>
      </c>
      <c r="L446" t="str">
        <f>T("9791164481842")</f>
        <v>9791164481842</v>
      </c>
    </row>
    <row r="447" spans="1:12">
      <c r="A447" s="8">
        <v>44635.660752314812</v>
      </c>
      <c r="B447">
        <v>246862981</v>
      </c>
      <c r="C447" t="s">
        <v>668</v>
      </c>
      <c r="D447" t="s">
        <v>12</v>
      </c>
      <c r="E447">
        <v>900</v>
      </c>
      <c r="F447">
        <v>900</v>
      </c>
      <c r="G447">
        <v>630</v>
      </c>
      <c r="I447" t="s">
        <v>28</v>
      </c>
      <c r="J447" t="s">
        <v>20</v>
      </c>
      <c r="K447" t="s">
        <v>11</v>
      </c>
      <c r="L447" t="str">
        <f>T("9791164481859")</f>
        <v>9791164481859</v>
      </c>
    </row>
    <row r="448" spans="1:12">
      <c r="A448" s="8">
        <v>44635.660752314812</v>
      </c>
      <c r="B448">
        <v>246862987</v>
      </c>
      <c r="C448" t="s">
        <v>669</v>
      </c>
      <c r="D448" t="s">
        <v>12</v>
      </c>
      <c r="E448">
        <v>900</v>
      </c>
      <c r="F448">
        <v>900</v>
      </c>
      <c r="G448">
        <v>630</v>
      </c>
      <c r="I448" t="s">
        <v>28</v>
      </c>
      <c r="J448" t="s">
        <v>20</v>
      </c>
      <c r="K448" t="s">
        <v>11</v>
      </c>
      <c r="L448" t="str">
        <f>T("9791164481866")</f>
        <v>9791164481866</v>
      </c>
    </row>
    <row r="449" spans="1:12">
      <c r="A449" s="8">
        <v>44635.660752314812</v>
      </c>
      <c r="B449">
        <v>246862986</v>
      </c>
      <c r="C449" t="s">
        <v>670</v>
      </c>
      <c r="D449" t="s">
        <v>12</v>
      </c>
      <c r="E449">
        <v>900</v>
      </c>
      <c r="F449">
        <v>900</v>
      </c>
      <c r="G449">
        <v>630</v>
      </c>
      <c r="I449" t="s">
        <v>28</v>
      </c>
      <c r="J449" t="s">
        <v>20</v>
      </c>
      <c r="K449" t="s">
        <v>11</v>
      </c>
      <c r="L449" t="str">
        <f>T("9791164481873")</f>
        <v>9791164481873</v>
      </c>
    </row>
    <row r="450" spans="1:12">
      <c r="A450" s="8">
        <v>44635.660752314812</v>
      </c>
      <c r="B450">
        <v>246862984</v>
      </c>
      <c r="C450" t="s">
        <v>671</v>
      </c>
      <c r="D450" t="s">
        <v>12</v>
      </c>
      <c r="E450">
        <v>900</v>
      </c>
      <c r="F450">
        <v>900</v>
      </c>
      <c r="G450">
        <v>630</v>
      </c>
      <c r="I450" t="s">
        <v>28</v>
      </c>
      <c r="J450" t="s">
        <v>20</v>
      </c>
      <c r="K450" t="s">
        <v>11</v>
      </c>
      <c r="L450" t="str">
        <f>T("9791164481880")</f>
        <v>9791164481880</v>
      </c>
    </row>
    <row r="451" spans="1:12">
      <c r="A451" s="8">
        <v>44635.660752314812</v>
      </c>
      <c r="B451">
        <v>246862982</v>
      </c>
      <c r="C451" t="s">
        <v>672</v>
      </c>
      <c r="D451" t="s">
        <v>12</v>
      </c>
      <c r="E451">
        <v>900</v>
      </c>
      <c r="F451">
        <v>900</v>
      </c>
      <c r="G451">
        <v>630</v>
      </c>
      <c r="I451" t="s">
        <v>28</v>
      </c>
      <c r="J451" t="s">
        <v>20</v>
      </c>
      <c r="K451" t="s">
        <v>11</v>
      </c>
      <c r="L451" t="str">
        <f>T("9791164481897")</f>
        <v>9791164481897</v>
      </c>
    </row>
    <row r="452" spans="1:12">
      <c r="A452" s="8">
        <v>44635.660752314812</v>
      </c>
      <c r="B452">
        <v>246862983</v>
      </c>
      <c r="C452" t="s">
        <v>673</v>
      </c>
      <c r="D452" t="s">
        <v>12</v>
      </c>
      <c r="E452">
        <v>900</v>
      </c>
      <c r="F452">
        <v>900</v>
      </c>
      <c r="G452">
        <v>630</v>
      </c>
      <c r="I452" t="s">
        <v>28</v>
      </c>
      <c r="J452" t="s">
        <v>20</v>
      </c>
      <c r="K452" t="s">
        <v>11</v>
      </c>
      <c r="L452" t="str">
        <f>T("9791164481903")</f>
        <v>9791164481903</v>
      </c>
    </row>
    <row r="453" spans="1:12">
      <c r="A453" s="8">
        <v>44635.660752314812</v>
      </c>
      <c r="B453">
        <v>246862991</v>
      </c>
      <c r="C453" t="s">
        <v>674</v>
      </c>
      <c r="D453" t="s">
        <v>12</v>
      </c>
      <c r="E453">
        <v>900</v>
      </c>
      <c r="F453">
        <v>900</v>
      </c>
      <c r="G453">
        <v>630</v>
      </c>
      <c r="I453" t="s">
        <v>28</v>
      </c>
      <c r="J453" t="s">
        <v>20</v>
      </c>
      <c r="K453" t="s">
        <v>11</v>
      </c>
      <c r="L453" t="str">
        <f>T("9791164481910")</f>
        <v>9791164481910</v>
      </c>
    </row>
    <row r="454" spans="1:12">
      <c r="A454" s="8">
        <v>44635.660752314812</v>
      </c>
      <c r="B454">
        <v>246862990</v>
      </c>
      <c r="C454" t="s">
        <v>675</v>
      </c>
      <c r="D454" t="s">
        <v>12</v>
      </c>
      <c r="E454">
        <v>900</v>
      </c>
      <c r="F454">
        <v>900</v>
      </c>
      <c r="G454">
        <v>630</v>
      </c>
      <c r="I454" t="s">
        <v>28</v>
      </c>
      <c r="J454" t="s">
        <v>20</v>
      </c>
      <c r="K454" t="s">
        <v>11</v>
      </c>
      <c r="L454" t="str">
        <f>T("9791164481927")</f>
        <v>9791164481927</v>
      </c>
    </row>
    <row r="455" spans="1:12">
      <c r="A455" s="8">
        <v>44635.660752314812</v>
      </c>
      <c r="B455">
        <v>246862989</v>
      </c>
      <c r="C455" t="s">
        <v>676</v>
      </c>
      <c r="D455" t="s">
        <v>12</v>
      </c>
      <c r="E455">
        <v>900</v>
      </c>
      <c r="F455">
        <v>900</v>
      </c>
      <c r="G455">
        <v>630</v>
      </c>
      <c r="I455" t="s">
        <v>28</v>
      </c>
      <c r="J455" t="s">
        <v>20</v>
      </c>
      <c r="K455" t="s">
        <v>11</v>
      </c>
      <c r="L455" t="str">
        <f>T("9791164481934")</f>
        <v>9791164481934</v>
      </c>
    </row>
    <row r="456" spans="1:12">
      <c r="A456" s="8">
        <v>44635.660752314812</v>
      </c>
      <c r="B456">
        <v>246862988</v>
      </c>
      <c r="C456" t="s">
        <v>677</v>
      </c>
      <c r="D456" t="s">
        <v>12</v>
      </c>
      <c r="E456">
        <v>900</v>
      </c>
      <c r="F456">
        <v>900</v>
      </c>
      <c r="G456">
        <v>630</v>
      </c>
      <c r="I456" t="s">
        <v>28</v>
      </c>
      <c r="J456" t="s">
        <v>20</v>
      </c>
      <c r="K456" t="s">
        <v>11</v>
      </c>
      <c r="L456" t="str">
        <f>T("9791164481941")</f>
        <v>9791164481941</v>
      </c>
    </row>
    <row r="457" spans="1:12">
      <c r="A457" s="8">
        <v>44635.684305555558</v>
      </c>
      <c r="B457">
        <v>290197934</v>
      </c>
      <c r="C457" t="s">
        <v>604</v>
      </c>
      <c r="D457" t="s">
        <v>9</v>
      </c>
      <c r="E457" s="9">
        <v>2000</v>
      </c>
      <c r="F457" s="9">
        <v>2000</v>
      </c>
      <c r="G457" s="9">
        <v>1400</v>
      </c>
      <c r="I457" t="s">
        <v>605</v>
      </c>
      <c r="J457" t="s">
        <v>460</v>
      </c>
      <c r="K457" t="s">
        <v>11</v>
      </c>
      <c r="L457" t="str">
        <f>T("9791191562163")</f>
        <v>9791191562163</v>
      </c>
    </row>
    <row r="458" spans="1:12">
      <c r="A458" s="8">
        <v>44635.747939814813</v>
      </c>
      <c r="B458">
        <v>290829048</v>
      </c>
      <c r="C458" t="s">
        <v>645</v>
      </c>
      <c r="D458" t="s">
        <v>9</v>
      </c>
      <c r="E458">
        <v>0</v>
      </c>
      <c r="F458">
        <v>0</v>
      </c>
      <c r="G458">
        <v>0</v>
      </c>
      <c r="I458" t="s">
        <v>28</v>
      </c>
      <c r="J458" t="s">
        <v>20</v>
      </c>
      <c r="K458" t="s">
        <v>11</v>
      </c>
      <c r="L458" t="str">
        <f>T("9791164480401")</f>
        <v>9791164480401</v>
      </c>
    </row>
    <row r="459" spans="1:12">
      <c r="A459" s="8">
        <v>44635.793043981481</v>
      </c>
      <c r="B459">
        <v>290829048</v>
      </c>
      <c r="C459" t="s">
        <v>645</v>
      </c>
      <c r="D459" t="s">
        <v>9</v>
      </c>
      <c r="E459">
        <v>0</v>
      </c>
      <c r="F459">
        <v>0</v>
      </c>
      <c r="G459">
        <v>0</v>
      </c>
      <c r="I459" t="s">
        <v>28</v>
      </c>
      <c r="J459" t="s">
        <v>20</v>
      </c>
      <c r="K459" t="s">
        <v>11</v>
      </c>
      <c r="L459" t="str">
        <f>T("9791164480401")</f>
        <v>9791164480401</v>
      </c>
    </row>
    <row r="460" spans="1:12">
      <c r="A460" s="8">
        <v>44635.803993055553</v>
      </c>
      <c r="B460">
        <v>290084502</v>
      </c>
      <c r="C460" t="s">
        <v>592</v>
      </c>
      <c r="D460" t="s">
        <v>9</v>
      </c>
      <c r="E460" s="9">
        <v>2500</v>
      </c>
      <c r="F460" s="9">
        <v>2500</v>
      </c>
      <c r="G460" s="9">
        <v>1750</v>
      </c>
      <c r="I460" t="s">
        <v>593</v>
      </c>
      <c r="J460" t="s">
        <v>460</v>
      </c>
      <c r="K460" t="s">
        <v>11</v>
      </c>
      <c r="L460" t="str">
        <f>T("9791191562125")</f>
        <v>9791191562125</v>
      </c>
    </row>
    <row r="461" spans="1:12">
      <c r="A461" s="8">
        <v>44635.874282407407</v>
      </c>
      <c r="B461">
        <v>289956908</v>
      </c>
      <c r="C461" t="s">
        <v>481</v>
      </c>
      <c r="D461" t="s">
        <v>9</v>
      </c>
      <c r="E461" s="9">
        <v>2000</v>
      </c>
      <c r="F461" s="9">
        <v>2000</v>
      </c>
      <c r="G461" s="9">
        <v>1400</v>
      </c>
      <c r="I461" t="s">
        <v>457</v>
      </c>
      <c r="J461" t="s">
        <v>460</v>
      </c>
      <c r="K461" t="s">
        <v>11</v>
      </c>
      <c r="L461" t="str">
        <f>T("9791191562040")</f>
        <v>9791191562040</v>
      </c>
    </row>
    <row r="462" spans="1:12">
      <c r="A462" s="8">
        <v>44635.876111111109</v>
      </c>
      <c r="B462">
        <v>286755913</v>
      </c>
      <c r="C462" t="s">
        <v>222</v>
      </c>
      <c r="D462" t="s">
        <v>9</v>
      </c>
      <c r="E462" s="9">
        <v>2000</v>
      </c>
      <c r="F462" s="9">
        <v>2000</v>
      </c>
      <c r="G462" s="9">
        <v>1400</v>
      </c>
      <c r="I462" t="s">
        <v>159</v>
      </c>
      <c r="J462" t="s">
        <v>460</v>
      </c>
      <c r="K462" t="s">
        <v>11</v>
      </c>
      <c r="L462" t="str">
        <f>T("9791196945251")</f>
        <v>9791196945251</v>
      </c>
    </row>
    <row r="463" spans="1:12">
      <c r="A463" s="8">
        <v>44635.884768518517</v>
      </c>
      <c r="B463">
        <v>289315562</v>
      </c>
      <c r="C463" t="s">
        <v>478</v>
      </c>
      <c r="D463" t="s">
        <v>9</v>
      </c>
      <c r="E463" s="9">
        <v>3000</v>
      </c>
      <c r="F463" s="9">
        <v>3000</v>
      </c>
      <c r="G463" s="9">
        <v>2100</v>
      </c>
      <c r="I463" t="s">
        <v>454</v>
      </c>
      <c r="J463" t="s">
        <v>460</v>
      </c>
      <c r="K463" t="s">
        <v>11</v>
      </c>
      <c r="L463" t="str">
        <f>T("9791191562101")</f>
        <v>9791191562101</v>
      </c>
    </row>
    <row r="464" spans="1:12">
      <c r="A464" s="8">
        <v>44635.899259259262</v>
      </c>
      <c r="B464">
        <v>289315562</v>
      </c>
      <c r="C464" t="s">
        <v>478</v>
      </c>
      <c r="D464" t="s">
        <v>9</v>
      </c>
      <c r="E464" s="9">
        <v>3000</v>
      </c>
      <c r="F464" s="9">
        <v>3000</v>
      </c>
      <c r="G464" s="9">
        <v>2100</v>
      </c>
      <c r="I464" t="s">
        <v>454</v>
      </c>
      <c r="J464" t="s">
        <v>460</v>
      </c>
      <c r="K464" t="s">
        <v>11</v>
      </c>
      <c r="L464" t="str">
        <f>T("9791191562101")</f>
        <v>9791191562101</v>
      </c>
    </row>
    <row r="465" spans="1:12">
      <c r="A465" s="8">
        <v>44635.903993055559</v>
      </c>
      <c r="B465">
        <v>289315562</v>
      </c>
      <c r="C465" t="s">
        <v>478</v>
      </c>
      <c r="D465" t="s">
        <v>9</v>
      </c>
      <c r="E465" s="9">
        <v>-3000</v>
      </c>
      <c r="F465" s="9">
        <v>-3000</v>
      </c>
      <c r="G465" s="9">
        <v>-2100</v>
      </c>
      <c r="H465" s="8">
        <v>44635.899259259262</v>
      </c>
      <c r="I465" t="s">
        <v>454</v>
      </c>
      <c r="J465" t="s">
        <v>460</v>
      </c>
      <c r="K465" t="s">
        <v>11</v>
      </c>
      <c r="L465" t="str">
        <f>T("9791191562101")</f>
        <v>9791191562101</v>
      </c>
    </row>
    <row r="466" spans="1:12">
      <c r="A466" s="8">
        <v>44635.960393518515</v>
      </c>
      <c r="B466">
        <v>290197934</v>
      </c>
      <c r="C466" t="s">
        <v>604</v>
      </c>
      <c r="D466" t="s">
        <v>9</v>
      </c>
      <c r="E466" s="9">
        <v>2000</v>
      </c>
      <c r="F466" s="9">
        <v>2000</v>
      </c>
      <c r="G466" s="9">
        <v>1400</v>
      </c>
      <c r="I466" t="s">
        <v>605</v>
      </c>
      <c r="J466" t="s">
        <v>460</v>
      </c>
      <c r="K466" t="s">
        <v>11</v>
      </c>
      <c r="L466" t="str">
        <f>T("9791191562163")</f>
        <v>9791191562163</v>
      </c>
    </row>
    <row r="467" spans="1:12">
      <c r="A467" s="8">
        <v>44635.962500000001</v>
      </c>
      <c r="B467">
        <v>276845995</v>
      </c>
      <c r="C467" t="s">
        <v>513</v>
      </c>
      <c r="D467" t="s">
        <v>9</v>
      </c>
      <c r="E467" s="9">
        <v>2400</v>
      </c>
      <c r="F467" s="9">
        <v>2400</v>
      </c>
      <c r="G467" s="9">
        <v>1680</v>
      </c>
      <c r="I467" t="s">
        <v>458</v>
      </c>
      <c r="J467" t="s">
        <v>11</v>
      </c>
      <c r="K467" t="s">
        <v>11</v>
      </c>
      <c r="L467" t="str">
        <f>T("9791137600751")</f>
        <v>9791137600751</v>
      </c>
    </row>
    <row r="468" spans="1:12">
      <c r="A468" s="8">
        <v>44635.971770833334</v>
      </c>
      <c r="B468">
        <v>290197934</v>
      </c>
      <c r="C468" t="s">
        <v>604</v>
      </c>
      <c r="D468" t="s">
        <v>9</v>
      </c>
      <c r="E468" s="9">
        <v>2000</v>
      </c>
      <c r="F468" s="9">
        <v>2000</v>
      </c>
      <c r="G468" s="9">
        <v>1400</v>
      </c>
      <c r="I468" t="s">
        <v>605</v>
      </c>
      <c r="J468" t="s">
        <v>460</v>
      </c>
      <c r="K468" t="s">
        <v>11</v>
      </c>
      <c r="L468" t="str">
        <f>T("9791191562163")</f>
        <v>9791191562163</v>
      </c>
    </row>
    <row r="469" spans="1:12">
      <c r="A469" s="8">
        <v>44635.981307870374</v>
      </c>
      <c r="B469">
        <v>287086652</v>
      </c>
      <c r="C469" t="s">
        <v>220</v>
      </c>
      <c r="D469" t="s">
        <v>9</v>
      </c>
      <c r="E469" s="9">
        <v>2000</v>
      </c>
      <c r="F469" s="9">
        <v>2000</v>
      </c>
      <c r="G469" s="9">
        <v>1400</v>
      </c>
      <c r="I469" t="s">
        <v>162</v>
      </c>
      <c r="J469" t="s">
        <v>460</v>
      </c>
      <c r="K469" t="s">
        <v>11</v>
      </c>
      <c r="L469" t="str">
        <f>T("9791191562033")</f>
        <v>9791191562033</v>
      </c>
    </row>
    <row r="470" spans="1:12">
      <c r="A470" s="8">
        <v>44635.999745370369</v>
      </c>
      <c r="B470">
        <v>290368135</v>
      </c>
      <c r="C470" t="s">
        <v>678</v>
      </c>
      <c r="D470" t="s">
        <v>9</v>
      </c>
      <c r="E470" s="9">
        <v>3600</v>
      </c>
      <c r="F470" s="9">
        <v>3600</v>
      </c>
      <c r="G470" s="9">
        <v>2520</v>
      </c>
      <c r="I470" t="s">
        <v>679</v>
      </c>
      <c r="J470" t="s">
        <v>617</v>
      </c>
      <c r="K470" t="s">
        <v>11</v>
      </c>
      <c r="L470" t="str">
        <f>T("9791166483028")</f>
        <v>9791166483028</v>
      </c>
    </row>
    <row r="471" spans="1:12">
      <c r="A471" s="8">
        <v>44636.004120370373</v>
      </c>
      <c r="B471">
        <v>290368135</v>
      </c>
      <c r="C471" t="s">
        <v>678</v>
      </c>
      <c r="D471" t="s">
        <v>9</v>
      </c>
      <c r="E471" s="9">
        <v>-3600</v>
      </c>
      <c r="F471" s="9">
        <v>-3600</v>
      </c>
      <c r="G471" s="9">
        <v>-2520</v>
      </c>
      <c r="H471" s="8">
        <v>44635.999745370369</v>
      </c>
      <c r="I471" t="s">
        <v>679</v>
      </c>
      <c r="J471" t="s">
        <v>617</v>
      </c>
      <c r="K471" t="s">
        <v>11</v>
      </c>
      <c r="L471" t="str">
        <f>T("9791166483028")</f>
        <v>9791166483028</v>
      </c>
    </row>
    <row r="472" spans="1:12">
      <c r="A472" s="8">
        <v>44635.999745370369</v>
      </c>
      <c r="B472">
        <v>290368153</v>
      </c>
      <c r="C472" t="s">
        <v>680</v>
      </c>
      <c r="D472" t="s">
        <v>9</v>
      </c>
      <c r="E472" s="9">
        <v>3600</v>
      </c>
      <c r="F472" s="9">
        <v>3600</v>
      </c>
      <c r="G472" s="9">
        <v>2520</v>
      </c>
      <c r="I472" t="s">
        <v>679</v>
      </c>
      <c r="J472" t="s">
        <v>617</v>
      </c>
      <c r="K472" t="s">
        <v>11</v>
      </c>
      <c r="L472" t="str">
        <f>T("9791166483035")</f>
        <v>9791166483035</v>
      </c>
    </row>
    <row r="473" spans="1:12">
      <c r="A473" s="8">
        <v>44636.004120370373</v>
      </c>
      <c r="B473">
        <v>290368153</v>
      </c>
      <c r="C473" t="s">
        <v>680</v>
      </c>
      <c r="D473" t="s">
        <v>9</v>
      </c>
      <c r="E473" s="9">
        <v>-3600</v>
      </c>
      <c r="F473" s="9">
        <v>-3600</v>
      </c>
      <c r="G473" s="9">
        <v>-2520</v>
      </c>
      <c r="H473" s="8">
        <v>44635.999745370369</v>
      </c>
      <c r="I473" t="s">
        <v>679</v>
      </c>
      <c r="J473" t="s">
        <v>617</v>
      </c>
      <c r="K473" t="s">
        <v>11</v>
      </c>
      <c r="L473" t="str">
        <f>T("9791166483035")</f>
        <v>9791166483035</v>
      </c>
    </row>
    <row r="474" spans="1:12">
      <c r="A474" s="8">
        <v>44636.015046296299</v>
      </c>
      <c r="B474">
        <v>290197934</v>
      </c>
      <c r="C474" t="s">
        <v>604</v>
      </c>
      <c r="D474" t="s">
        <v>9</v>
      </c>
      <c r="E474" s="9">
        <v>2000</v>
      </c>
      <c r="F474" s="9">
        <v>2000</v>
      </c>
      <c r="G474" s="9">
        <v>1400</v>
      </c>
      <c r="I474" t="s">
        <v>605</v>
      </c>
      <c r="J474" t="s">
        <v>460</v>
      </c>
      <c r="K474" t="s">
        <v>11</v>
      </c>
      <c r="L474" t="str">
        <f>T("9791191562163")</f>
        <v>9791191562163</v>
      </c>
    </row>
    <row r="475" spans="1:12">
      <c r="A475" s="8">
        <v>44636.119733796295</v>
      </c>
      <c r="B475">
        <v>287086652</v>
      </c>
      <c r="C475" t="s">
        <v>220</v>
      </c>
      <c r="D475" t="s">
        <v>9</v>
      </c>
      <c r="E475" s="9">
        <v>2000</v>
      </c>
      <c r="F475" s="9">
        <v>2000</v>
      </c>
      <c r="G475" s="9">
        <v>1400</v>
      </c>
      <c r="I475" t="s">
        <v>162</v>
      </c>
      <c r="J475" t="s">
        <v>460</v>
      </c>
      <c r="K475" t="s">
        <v>11</v>
      </c>
      <c r="L475" t="str">
        <f>T("9791191562033")</f>
        <v>9791191562033</v>
      </c>
    </row>
    <row r="476" spans="1:12">
      <c r="A476" s="8">
        <v>44636.329861111109</v>
      </c>
      <c r="B476">
        <v>54081867</v>
      </c>
      <c r="C476" t="s">
        <v>470</v>
      </c>
      <c r="D476" t="s">
        <v>12</v>
      </c>
      <c r="E476">
        <v>0</v>
      </c>
      <c r="F476">
        <v>0</v>
      </c>
      <c r="G476">
        <v>0</v>
      </c>
      <c r="I476" t="s">
        <v>13</v>
      </c>
      <c r="J476" t="s">
        <v>11</v>
      </c>
      <c r="K476" t="s">
        <v>11</v>
      </c>
      <c r="L476" t="str">
        <f>T("9791195622535")</f>
        <v>9791195622535</v>
      </c>
    </row>
    <row r="477" spans="1:12">
      <c r="A477" s="8">
        <v>44636.409768518519</v>
      </c>
      <c r="B477">
        <v>290963607</v>
      </c>
      <c r="C477" t="s">
        <v>681</v>
      </c>
      <c r="D477" t="s">
        <v>9</v>
      </c>
      <c r="E477" s="9">
        <v>3500</v>
      </c>
      <c r="F477" s="9">
        <v>3500</v>
      </c>
      <c r="G477" s="9">
        <v>2450</v>
      </c>
      <c r="I477" t="s">
        <v>682</v>
      </c>
      <c r="J477" t="s">
        <v>460</v>
      </c>
      <c r="K477" t="s">
        <v>11</v>
      </c>
      <c r="L477" t="str">
        <f>T("9791191562132")</f>
        <v>9791191562132</v>
      </c>
    </row>
    <row r="478" spans="1:12">
      <c r="A478" s="8">
        <v>44636.418715277781</v>
      </c>
      <c r="B478">
        <v>290829048</v>
      </c>
      <c r="C478" t="s">
        <v>645</v>
      </c>
      <c r="D478" t="s">
        <v>9</v>
      </c>
      <c r="E478">
        <v>0</v>
      </c>
      <c r="F478">
        <v>0</v>
      </c>
      <c r="G478">
        <v>0</v>
      </c>
      <c r="I478" t="s">
        <v>28</v>
      </c>
      <c r="J478" t="s">
        <v>20</v>
      </c>
      <c r="K478" t="s">
        <v>11</v>
      </c>
      <c r="L478" t="str">
        <f>T("9791164480401")</f>
        <v>9791164480401</v>
      </c>
    </row>
    <row r="479" spans="1:12">
      <c r="A479" s="8">
        <v>44636.418715277781</v>
      </c>
      <c r="B479">
        <v>290963570</v>
      </c>
      <c r="C479" t="s">
        <v>683</v>
      </c>
      <c r="D479" t="s">
        <v>9</v>
      </c>
      <c r="E479">
        <v>0</v>
      </c>
      <c r="F479">
        <v>0</v>
      </c>
      <c r="G479">
        <v>0</v>
      </c>
      <c r="I479" t="s">
        <v>684</v>
      </c>
      <c r="J479" t="s">
        <v>11</v>
      </c>
      <c r="K479" t="s">
        <v>11</v>
      </c>
      <c r="L479" t="str">
        <f>T("9791137603332")</f>
        <v>9791137603332</v>
      </c>
    </row>
    <row r="480" spans="1:12">
      <c r="A480" s="8">
        <v>44636.423761574071</v>
      </c>
      <c r="B480">
        <v>290197934</v>
      </c>
      <c r="C480" t="s">
        <v>604</v>
      </c>
      <c r="D480" t="s">
        <v>9</v>
      </c>
      <c r="E480" s="9">
        <v>2000</v>
      </c>
      <c r="F480" s="9">
        <v>2000</v>
      </c>
      <c r="G480" s="9">
        <v>1400</v>
      </c>
      <c r="I480" t="s">
        <v>605</v>
      </c>
      <c r="J480" t="s">
        <v>460</v>
      </c>
      <c r="K480" t="s">
        <v>11</v>
      </c>
      <c r="L480" t="str">
        <f>T("9791191562163")</f>
        <v>9791191562163</v>
      </c>
    </row>
    <row r="481" spans="1:12">
      <c r="A481" s="8">
        <v>44636.437256944446</v>
      </c>
      <c r="B481">
        <v>287834730</v>
      </c>
      <c r="C481" t="s">
        <v>275</v>
      </c>
      <c r="D481" t="s">
        <v>9</v>
      </c>
      <c r="E481" s="9">
        <v>2000</v>
      </c>
      <c r="F481" s="9">
        <v>2000</v>
      </c>
      <c r="G481" s="9">
        <v>1400</v>
      </c>
      <c r="I481" t="s">
        <v>169</v>
      </c>
      <c r="J481" t="s">
        <v>460</v>
      </c>
      <c r="K481" t="s">
        <v>11</v>
      </c>
      <c r="L481" t="str">
        <f>T("9791191562019")</f>
        <v>9791191562019</v>
      </c>
    </row>
    <row r="482" spans="1:12">
      <c r="A482" s="8">
        <v>44636.461678240739</v>
      </c>
      <c r="B482">
        <v>290197934</v>
      </c>
      <c r="C482" t="s">
        <v>604</v>
      </c>
      <c r="D482" t="s">
        <v>9</v>
      </c>
      <c r="E482" s="9">
        <v>2000</v>
      </c>
      <c r="F482" s="9">
        <v>2000</v>
      </c>
      <c r="G482" s="9">
        <v>1400</v>
      </c>
      <c r="I482" t="s">
        <v>605</v>
      </c>
      <c r="J482" t="s">
        <v>460</v>
      </c>
      <c r="K482" t="s">
        <v>11</v>
      </c>
      <c r="L482" t="str">
        <f>T("9791191562163")</f>
        <v>9791191562163</v>
      </c>
    </row>
    <row r="483" spans="1:12">
      <c r="A483" s="8">
        <v>44636.487696759257</v>
      </c>
      <c r="B483">
        <v>287366429</v>
      </c>
      <c r="C483" t="s">
        <v>225</v>
      </c>
      <c r="D483" t="s">
        <v>9</v>
      </c>
      <c r="E483" s="9">
        <v>2000</v>
      </c>
      <c r="F483" s="9">
        <v>2000</v>
      </c>
      <c r="G483" s="9">
        <v>1400</v>
      </c>
      <c r="I483" t="s">
        <v>166</v>
      </c>
      <c r="J483" t="s">
        <v>460</v>
      </c>
      <c r="K483" t="s">
        <v>11</v>
      </c>
      <c r="L483" t="str">
        <f>T("9791196945299")</f>
        <v>9791196945299</v>
      </c>
    </row>
    <row r="484" spans="1:12">
      <c r="A484" s="8">
        <v>44636.51525462963</v>
      </c>
      <c r="B484">
        <v>290963570</v>
      </c>
      <c r="C484" t="s">
        <v>683</v>
      </c>
      <c r="D484" t="s">
        <v>9</v>
      </c>
      <c r="E484">
        <v>0</v>
      </c>
      <c r="F484">
        <v>0</v>
      </c>
      <c r="G484">
        <v>0</v>
      </c>
      <c r="I484" t="s">
        <v>684</v>
      </c>
      <c r="J484" t="s">
        <v>11</v>
      </c>
      <c r="K484" t="s">
        <v>11</v>
      </c>
      <c r="L484" t="str">
        <f>T("9791137603332")</f>
        <v>9791137603332</v>
      </c>
    </row>
    <row r="485" spans="1:12">
      <c r="A485" s="8">
        <v>44636.51525462963</v>
      </c>
      <c r="B485">
        <v>290829048</v>
      </c>
      <c r="C485" t="s">
        <v>645</v>
      </c>
      <c r="D485" t="s">
        <v>9</v>
      </c>
      <c r="E485">
        <v>0</v>
      </c>
      <c r="F485">
        <v>0</v>
      </c>
      <c r="G485">
        <v>0</v>
      </c>
      <c r="I485" t="s">
        <v>28</v>
      </c>
      <c r="J485" t="s">
        <v>20</v>
      </c>
      <c r="K485" t="s">
        <v>11</v>
      </c>
      <c r="L485" t="str">
        <f>T("9791164480401")</f>
        <v>9791164480401</v>
      </c>
    </row>
    <row r="486" spans="1:12">
      <c r="A486" s="8">
        <v>44636.533506944441</v>
      </c>
      <c r="B486">
        <v>290963607</v>
      </c>
      <c r="C486" t="s">
        <v>681</v>
      </c>
      <c r="D486" t="s">
        <v>9</v>
      </c>
      <c r="E486" s="9">
        <v>3500</v>
      </c>
      <c r="F486" s="9">
        <v>3500</v>
      </c>
      <c r="G486" s="9">
        <v>2450</v>
      </c>
      <c r="I486" t="s">
        <v>682</v>
      </c>
      <c r="J486" t="s">
        <v>460</v>
      </c>
      <c r="K486" t="s">
        <v>11</v>
      </c>
      <c r="L486" t="str">
        <f>T("9791191562132")</f>
        <v>9791191562132</v>
      </c>
    </row>
    <row r="487" spans="1:12">
      <c r="A487" s="8">
        <v>44636.560011574074</v>
      </c>
      <c r="B487">
        <v>274772659</v>
      </c>
      <c r="C487" t="s">
        <v>37</v>
      </c>
      <c r="D487" t="s">
        <v>12</v>
      </c>
      <c r="E487" s="9">
        <v>2400</v>
      </c>
      <c r="F487" s="9">
        <v>2400</v>
      </c>
      <c r="G487" s="9">
        <v>1680</v>
      </c>
      <c r="I487" t="s">
        <v>34</v>
      </c>
      <c r="J487" t="s">
        <v>588</v>
      </c>
      <c r="K487" t="s">
        <v>11</v>
      </c>
      <c r="L487" t="str">
        <f>T("9791166481703")</f>
        <v>9791166481703</v>
      </c>
    </row>
    <row r="488" spans="1:12">
      <c r="A488" s="8">
        <v>44636.576192129629</v>
      </c>
      <c r="B488">
        <v>290963607</v>
      </c>
      <c r="C488" t="s">
        <v>681</v>
      </c>
      <c r="D488" t="s">
        <v>9</v>
      </c>
      <c r="E488" s="9">
        <v>3500</v>
      </c>
      <c r="F488" s="9">
        <v>3500</v>
      </c>
      <c r="G488" s="9">
        <v>2450</v>
      </c>
      <c r="I488" t="s">
        <v>682</v>
      </c>
      <c r="J488" t="s">
        <v>460</v>
      </c>
      <c r="K488" t="s">
        <v>11</v>
      </c>
      <c r="L488" t="str">
        <f>T("9791191562132")</f>
        <v>9791191562132</v>
      </c>
    </row>
    <row r="489" spans="1:12">
      <c r="A489" s="8">
        <v>44636.586655092593</v>
      </c>
      <c r="B489">
        <v>290197934</v>
      </c>
      <c r="C489" t="s">
        <v>604</v>
      </c>
      <c r="D489" t="s">
        <v>9</v>
      </c>
      <c r="E489" s="9">
        <v>2000</v>
      </c>
      <c r="F489" s="9">
        <v>2000</v>
      </c>
      <c r="G489" s="9">
        <v>1400</v>
      </c>
      <c r="I489" t="s">
        <v>605</v>
      </c>
      <c r="J489" t="s">
        <v>460</v>
      </c>
      <c r="K489" t="s">
        <v>11</v>
      </c>
      <c r="L489" t="str">
        <f>T("9791191562163")</f>
        <v>9791191562163</v>
      </c>
    </row>
    <row r="490" spans="1:12">
      <c r="A490" s="8">
        <v>44636.606979166667</v>
      </c>
      <c r="B490">
        <v>290963607</v>
      </c>
      <c r="C490" t="s">
        <v>681</v>
      </c>
      <c r="D490" t="s">
        <v>9</v>
      </c>
      <c r="E490" s="9">
        <v>3500</v>
      </c>
      <c r="F490" s="9">
        <v>3500</v>
      </c>
      <c r="G490" s="9">
        <v>2450</v>
      </c>
      <c r="I490" t="s">
        <v>682</v>
      </c>
      <c r="J490" t="s">
        <v>460</v>
      </c>
      <c r="K490" t="s">
        <v>11</v>
      </c>
      <c r="L490" t="str">
        <f>T("9791191562132")</f>
        <v>9791191562132</v>
      </c>
    </row>
    <row r="491" spans="1:12">
      <c r="A491" s="8">
        <v>44636.62976851852</v>
      </c>
      <c r="B491">
        <v>290963570</v>
      </c>
      <c r="C491" t="s">
        <v>683</v>
      </c>
      <c r="D491" t="s">
        <v>9</v>
      </c>
      <c r="E491">
        <v>0</v>
      </c>
      <c r="F491">
        <v>0</v>
      </c>
      <c r="G491">
        <v>0</v>
      </c>
      <c r="I491" t="s">
        <v>684</v>
      </c>
      <c r="J491" t="s">
        <v>11</v>
      </c>
      <c r="K491" t="s">
        <v>11</v>
      </c>
      <c r="L491" t="str">
        <f>T("9791137603332")</f>
        <v>9791137603332</v>
      </c>
    </row>
    <row r="492" spans="1:12">
      <c r="A492" s="8">
        <v>44636.644745370373</v>
      </c>
      <c r="B492">
        <v>290084502</v>
      </c>
      <c r="C492" t="s">
        <v>592</v>
      </c>
      <c r="D492" t="s">
        <v>9</v>
      </c>
      <c r="E492" s="9">
        <v>2500</v>
      </c>
      <c r="F492" s="9">
        <v>2500</v>
      </c>
      <c r="G492" s="9">
        <v>1750</v>
      </c>
      <c r="I492" t="s">
        <v>593</v>
      </c>
      <c r="J492" t="s">
        <v>460</v>
      </c>
      <c r="K492" t="s">
        <v>11</v>
      </c>
      <c r="L492" t="str">
        <f>T("9791191562125")</f>
        <v>9791191562125</v>
      </c>
    </row>
    <row r="493" spans="1:12">
      <c r="A493" s="8">
        <v>44636.65016203704</v>
      </c>
      <c r="B493">
        <v>289956908</v>
      </c>
      <c r="C493" t="s">
        <v>481</v>
      </c>
      <c r="D493" t="s">
        <v>9</v>
      </c>
      <c r="E493" s="9">
        <v>2000</v>
      </c>
      <c r="F493" s="9">
        <v>2000</v>
      </c>
      <c r="G493" s="9">
        <v>1400</v>
      </c>
      <c r="I493" t="s">
        <v>457</v>
      </c>
      <c r="J493" t="s">
        <v>460</v>
      </c>
      <c r="K493" t="s">
        <v>11</v>
      </c>
      <c r="L493" t="str">
        <f>T("9791191562040")</f>
        <v>9791191562040</v>
      </c>
    </row>
    <row r="494" spans="1:12">
      <c r="A494" s="8">
        <v>44636.699606481481</v>
      </c>
      <c r="B494">
        <v>290084502</v>
      </c>
      <c r="C494" t="s">
        <v>592</v>
      </c>
      <c r="D494" t="s">
        <v>9</v>
      </c>
      <c r="E494" s="9">
        <v>2500</v>
      </c>
      <c r="F494" s="9">
        <v>2500</v>
      </c>
      <c r="G494" s="9">
        <v>1750</v>
      </c>
      <c r="I494" t="s">
        <v>593</v>
      </c>
      <c r="J494" t="s">
        <v>460</v>
      </c>
      <c r="K494" t="s">
        <v>11</v>
      </c>
      <c r="L494" t="str">
        <f>T("9791191562125")</f>
        <v>9791191562125</v>
      </c>
    </row>
    <row r="495" spans="1:12">
      <c r="A495" s="8">
        <v>44636.873078703706</v>
      </c>
      <c r="B495">
        <v>290197934</v>
      </c>
      <c r="C495" t="s">
        <v>604</v>
      </c>
      <c r="D495" t="s">
        <v>9</v>
      </c>
      <c r="E495" s="9">
        <v>2000</v>
      </c>
      <c r="F495" s="9">
        <v>2000</v>
      </c>
      <c r="G495" s="9">
        <v>1400</v>
      </c>
      <c r="I495" t="s">
        <v>605</v>
      </c>
      <c r="J495" t="s">
        <v>460</v>
      </c>
      <c r="K495" t="s">
        <v>11</v>
      </c>
      <c r="L495" t="str">
        <f>T("9791191562163")</f>
        <v>9791191562163</v>
      </c>
    </row>
    <row r="496" spans="1:12">
      <c r="A496" s="8">
        <v>44636.891192129631</v>
      </c>
      <c r="B496">
        <v>290963576</v>
      </c>
      <c r="C496" t="s">
        <v>685</v>
      </c>
      <c r="D496" t="s">
        <v>9</v>
      </c>
      <c r="E496">
        <v>0</v>
      </c>
      <c r="F496">
        <v>0</v>
      </c>
      <c r="G496">
        <v>0</v>
      </c>
      <c r="I496" t="s">
        <v>14</v>
      </c>
      <c r="J496" t="s">
        <v>11</v>
      </c>
      <c r="K496" t="s">
        <v>11</v>
      </c>
      <c r="L496" t="str">
        <f>T("9791137602809")</f>
        <v>9791137602809</v>
      </c>
    </row>
    <row r="497" spans="1:12">
      <c r="A497" s="8">
        <v>44636.891192129631</v>
      </c>
      <c r="B497">
        <v>290963632</v>
      </c>
      <c r="C497" t="s">
        <v>686</v>
      </c>
      <c r="D497" t="s">
        <v>9</v>
      </c>
      <c r="E497">
        <v>0</v>
      </c>
      <c r="F497">
        <v>0</v>
      </c>
      <c r="G497">
        <v>0</v>
      </c>
      <c r="I497" t="s">
        <v>14</v>
      </c>
      <c r="J497" t="s">
        <v>11</v>
      </c>
      <c r="K497" t="s">
        <v>11</v>
      </c>
      <c r="L497" t="str">
        <f>T("9791137602854")</f>
        <v>9791137602854</v>
      </c>
    </row>
    <row r="498" spans="1:12">
      <c r="A498" s="8">
        <v>44636.901608796295</v>
      </c>
      <c r="B498">
        <v>287834730</v>
      </c>
      <c r="C498" t="s">
        <v>275</v>
      </c>
      <c r="D498" t="s">
        <v>9</v>
      </c>
      <c r="E498" s="9">
        <v>2000</v>
      </c>
      <c r="F498" s="9">
        <v>2000</v>
      </c>
      <c r="G498" s="9">
        <v>1400</v>
      </c>
      <c r="I498" t="s">
        <v>169</v>
      </c>
      <c r="J498" t="s">
        <v>460</v>
      </c>
      <c r="K498" t="s">
        <v>11</v>
      </c>
      <c r="L498" t="str">
        <f>T("9791191562019")</f>
        <v>9791191562019</v>
      </c>
    </row>
    <row r="499" spans="1:12">
      <c r="A499" s="8">
        <v>44636.931574074071</v>
      </c>
      <c r="B499">
        <v>287834730</v>
      </c>
      <c r="C499" t="s">
        <v>275</v>
      </c>
      <c r="D499" t="s">
        <v>9</v>
      </c>
      <c r="E499" s="9">
        <v>2000</v>
      </c>
      <c r="F499" s="9">
        <v>2000</v>
      </c>
      <c r="G499" s="9">
        <v>1400</v>
      </c>
      <c r="I499" t="s">
        <v>169</v>
      </c>
      <c r="J499" t="s">
        <v>460</v>
      </c>
      <c r="K499" t="s">
        <v>11</v>
      </c>
      <c r="L499" t="str">
        <f>T("9791191562019")</f>
        <v>9791191562019</v>
      </c>
    </row>
    <row r="500" spans="1:12">
      <c r="A500" s="8">
        <v>44636.96471064815</v>
      </c>
      <c r="B500">
        <v>290197934</v>
      </c>
      <c r="C500" t="s">
        <v>604</v>
      </c>
      <c r="D500" t="s">
        <v>9</v>
      </c>
      <c r="E500" s="9">
        <v>2000</v>
      </c>
      <c r="F500" s="9">
        <v>2000</v>
      </c>
      <c r="G500" s="9">
        <v>1400</v>
      </c>
      <c r="I500" t="s">
        <v>605</v>
      </c>
      <c r="J500" t="s">
        <v>460</v>
      </c>
      <c r="K500" t="s">
        <v>11</v>
      </c>
      <c r="L500" t="str">
        <f>T("9791191562163")</f>
        <v>9791191562163</v>
      </c>
    </row>
    <row r="501" spans="1:12">
      <c r="A501" s="8">
        <v>44637.007673611108</v>
      </c>
      <c r="B501">
        <v>271216769</v>
      </c>
      <c r="C501" t="s">
        <v>584</v>
      </c>
      <c r="D501" t="s">
        <v>9</v>
      </c>
      <c r="E501" s="9">
        <v>1000</v>
      </c>
      <c r="F501" s="9">
        <v>1000</v>
      </c>
      <c r="G501">
        <v>700</v>
      </c>
      <c r="I501" t="s">
        <v>585</v>
      </c>
      <c r="J501" t="s">
        <v>11</v>
      </c>
      <c r="K501" t="s">
        <v>11</v>
      </c>
      <c r="L501" t="str">
        <f>T("9791137600355")</f>
        <v>9791137600355</v>
      </c>
    </row>
    <row r="502" spans="1:12">
      <c r="A502" s="8">
        <v>44637.007673611108</v>
      </c>
      <c r="B502">
        <v>271216764</v>
      </c>
      <c r="C502" t="s">
        <v>687</v>
      </c>
      <c r="D502" t="s">
        <v>9</v>
      </c>
      <c r="E502" s="9">
        <v>2800</v>
      </c>
      <c r="F502" s="9">
        <v>2800</v>
      </c>
      <c r="G502" s="9">
        <v>1960</v>
      </c>
      <c r="I502" t="s">
        <v>585</v>
      </c>
      <c r="J502" t="s">
        <v>11</v>
      </c>
      <c r="K502" t="s">
        <v>11</v>
      </c>
      <c r="L502" t="str">
        <f>T("9791166068171")</f>
        <v>9791166068171</v>
      </c>
    </row>
    <row r="503" spans="1:12">
      <c r="A503" s="8">
        <v>44637.007673611108</v>
      </c>
      <c r="B503">
        <v>271216758</v>
      </c>
      <c r="C503" t="s">
        <v>688</v>
      </c>
      <c r="D503" t="s">
        <v>9</v>
      </c>
      <c r="E503" s="9">
        <v>2800</v>
      </c>
      <c r="F503" s="9">
        <v>2800</v>
      </c>
      <c r="G503" s="9">
        <v>1960</v>
      </c>
      <c r="I503" t="s">
        <v>585</v>
      </c>
      <c r="J503" t="s">
        <v>11</v>
      </c>
      <c r="K503" t="s">
        <v>11</v>
      </c>
      <c r="L503" t="str">
        <f>T("9791166068188")</f>
        <v>9791166068188</v>
      </c>
    </row>
    <row r="504" spans="1:12">
      <c r="A504" s="8">
        <v>44637.007673611108</v>
      </c>
      <c r="B504">
        <v>271216755</v>
      </c>
      <c r="C504" t="s">
        <v>689</v>
      </c>
      <c r="D504" t="s">
        <v>9</v>
      </c>
      <c r="E504" s="9">
        <v>2800</v>
      </c>
      <c r="F504" s="9">
        <v>2800</v>
      </c>
      <c r="G504" s="9">
        <v>1960</v>
      </c>
      <c r="I504" t="s">
        <v>585</v>
      </c>
      <c r="J504" t="s">
        <v>11</v>
      </c>
      <c r="K504" t="s">
        <v>11</v>
      </c>
      <c r="L504" t="str">
        <f>T("9791166068195")</f>
        <v>9791166068195</v>
      </c>
    </row>
    <row r="505" spans="1:12">
      <c r="A505" s="8">
        <v>44637.427384259259</v>
      </c>
      <c r="B505">
        <v>290645912</v>
      </c>
      <c r="C505" t="s">
        <v>630</v>
      </c>
      <c r="D505" t="s">
        <v>9</v>
      </c>
      <c r="E505" s="9">
        <v>2000</v>
      </c>
      <c r="F505" s="9">
        <v>2000</v>
      </c>
      <c r="G505" s="9">
        <v>1400</v>
      </c>
      <c r="I505" t="s">
        <v>631</v>
      </c>
      <c r="J505" t="s">
        <v>460</v>
      </c>
      <c r="K505" t="s">
        <v>11</v>
      </c>
      <c r="L505" t="str">
        <f>T("9791191562170")</f>
        <v>9791191562170</v>
      </c>
    </row>
    <row r="506" spans="1:12">
      <c r="A506" s="8">
        <v>44637.441192129627</v>
      </c>
      <c r="B506">
        <v>268984746</v>
      </c>
      <c r="C506" t="s">
        <v>690</v>
      </c>
      <c r="D506" t="s">
        <v>12</v>
      </c>
      <c r="E506" s="9">
        <v>2400</v>
      </c>
      <c r="F506" s="9">
        <v>2400</v>
      </c>
      <c r="G506" s="9">
        <v>1680</v>
      </c>
      <c r="I506" t="s">
        <v>691</v>
      </c>
      <c r="J506" t="s">
        <v>617</v>
      </c>
      <c r="K506" t="s">
        <v>11</v>
      </c>
      <c r="L506" t="str">
        <f>T("9791166481291")</f>
        <v>9791166481291</v>
      </c>
    </row>
    <row r="507" spans="1:12">
      <c r="A507" s="8">
        <v>44637.588090277779</v>
      </c>
      <c r="B507">
        <v>290197934</v>
      </c>
      <c r="C507" t="s">
        <v>604</v>
      </c>
      <c r="D507" t="s">
        <v>9</v>
      </c>
      <c r="E507" s="9">
        <v>2000</v>
      </c>
      <c r="F507" s="9">
        <v>2000</v>
      </c>
      <c r="G507" s="9">
        <v>1400</v>
      </c>
      <c r="I507" t="s">
        <v>605</v>
      </c>
      <c r="J507" t="s">
        <v>460</v>
      </c>
      <c r="K507" t="s">
        <v>11</v>
      </c>
      <c r="L507" t="str">
        <f>T("9791191562163")</f>
        <v>9791191562163</v>
      </c>
    </row>
    <row r="508" spans="1:12">
      <c r="A508" s="8">
        <v>44637.607523148145</v>
      </c>
      <c r="B508">
        <v>290197934</v>
      </c>
      <c r="C508" t="s">
        <v>604</v>
      </c>
      <c r="D508" t="s">
        <v>9</v>
      </c>
      <c r="E508" s="9">
        <v>2000</v>
      </c>
      <c r="F508" s="9">
        <v>2000</v>
      </c>
      <c r="G508" s="9">
        <v>1400</v>
      </c>
      <c r="I508" t="s">
        <v>605</v>
      </c>
      <c r="J508" t="s">
        <v>460</v>
      </c>
      <c r="K508" t="s">
        <v>11</v>
      </c>
      <c r="L508" t="str">
        <f>T("9791191562163")</f>
        <v>9791191562163</v>
      </c>
    </row>
    <row r="509" spans="1:12">
      <c r="A509" s="8">
        <v>44637.641030092593</v>
      </c>
      <c r="B509">
        <v>286896672</v>
      </c>
      <c r="C509" t="s">
        <v>248</v>
      </c>
      <c r="D509" t="s">
        <v>9</v>
      </c>
      <c r="E509" s="9">
        <v>2500</v>
      </c>
      <c r="F509" s="9">
        <v>2500</v>
      </c>
      <c r="G509" s="9">
        <v>1750</v>
      </c>
      <c r="I509" t="s">
        <v>158</v>
      </c>
      <c r="J509" t="s">
        <v>460</v>
      </c>
      <c r="K509" t="s">
        <v>11</v>
      </c>
      <c r="L509" t="str">
        <f>T("9791191562002")</f>
        <v>9791191562002</v>
      </c>
    </row>
    <row r="510" spans="1:12">
      <c r="A510" s="8">
        <v>44637.675150462965</v>
      </c>
      <c r="B510">
        <v>290963632</v>
      </c>
      <c r="C510" t="s">
        <v>686</v>
      </c>
      <c r="D510" t="s">
        <v>9</v>
      </c>
      <c r="E510">
        <v>0</v>
      </c>
      <c r="F510">
        <v>0</v>
      </c>
      <c r="G510">
        <v>0</v>
      </c>
      <c r="I510" t="s">
        <v>14</v>
      </c>
      <c r="J510" t="s">
        <v>11</v>
      </c>
      <c r="K510" t="s">
        <v>11</v>
      </c>
      <c r="L510" t="str">
        <f>T("9791137602854")</f>
        <v>9791137602854</v>
      </c>
    </row>
    <row r="511" spans="1:12">
      <c r="A511" s="8">
        <v>44637.727118055554</v>
      </c>
      <c r="B511">
        <v>212220776</v>
      </c>
      <c r="C511" t="s">
        <v>633</v>
      </c>
      <c r="D511" t="s">
        <v>9</v>
      </c>
      <c r="E511" s="9">
        <v>3400</v>
      </c>
      <c r="F511" s="9">
        <v>3400</v>
      </c>
      <c r="G511" s="9">
        <v>2380</v>
      </c>
      <c r="I511" t="s">
        <v>616</v>
      </c>
      <c r="J511" t="s">
        <v>617</v>
      </c>
      <c r="K511" t="s">
        <v>11</v>
      </c>
      <c r="L511" t="str">
        <f>T("9791190132602")</f>
        <v>9791190132602</v>
      </c>
    </row>
    <row r="512" spans="1:12">
      <c r="A512" s="8">
        <v>44637.800092592595</v>
      </c>
      <c r="B512">
        <v>290827241</v>
      </c>
      <c r="C512" t="s">
        <v>646</v>
      </c>
      <c r="D512" t="s">
        <v>9</v>
      </c>
      <c r="E512" s="9">
        <v>2000</v>
      </c>
      <c r="F512" s="9">
        <v>2000</v>
      </c>
      <c r="G512" s="9">
        <v>1400</v>
      </c>
      <c r="I512" t="s">
        <v>647</v>
      </c>
      <c r="J512" t="s">
        <v>460</v>
      </c>
      <c r="K512" t="s">
        <v>11</v>
      </c>
      <c r="L512" t="str">
        <f>T("9791191562149")</f>
        <v>9791191562149</v>
      </c>
    </row>
    <row r="513" spans="1:12">
      <c r="A513" s="8">
        <v>44637.868449074071</v>
      </c>
      <c r="B513">
        <v>286896672</v>
      </c>
      <c r="C513" t="s">
        <v>248</v>
      </c>
      <c r="D513" t="s">
        <v>9</v>
      </c>
      <c r="E513" s="9">
        <v>2500</v>
      </c>
      <c r="F513" s="9">
        <v>2500</v>
      </c>
      <c r="G513" s="9">
        <v>1750</v>
      </c>
      <c r="I513" t="s">
        <v>158</v>
      </c>
      <c r="J513" t="s">
        <v>460</v>
      </c>
      <c r="K513" t="s">
        <v>11</v>
      </c>
      <c r="L513" t="str">
        <f>T("9791191562002")</f>
        <v>9791191562002</v>
      </c>
    </row>
    <row r="514" spans="1:12">
      <c r="A514" s="8">
        <v>44637.869074074071</v>
      </c>
      <c r="B514">
        <v>290084502</v>
      </c>
      <c r="C514" t="s">
        <v>592</v>
      </c>
      <c r="D514" t="s">
        <v>9</v>
      </c>
      <c r="E514" s="9">
        <v>2500</v>
      </c>
      <c r="F514" s="9">
        <v>2500</v>
      </c>
      <c r="G514" s="9">
        <v>1750</v>
      </c>
      <c r="I514" t="s">
        <v>593</v>
      </c>
      <c r="J514" t="s">
        <v>460</v>
      </c>
      <c r="K514" t="s">
        <v>11</v>
      </c>
      <c r="L514" t="str">
        <f>T("9791191562125")</f>
        <v>9791191562125</v>
      </c>
    </row>
    <row r="515" spans="1:12">
      <c r="A515" s="8">
        <v>44637.880439814813</v>
      </c>
      <c r="B515">
        <v>290963632</v>
      </c>
      <c r="C515" t="s">
        <v>686</v>
      </c>
      <c r="D515" t="s">
        <v>9</v>
      </c>
      <c r="E515">
        <v>0</v>
      </c>
      <c r="F515">
        <v>0</v>
      </c>
      <c r="G515">
        <v>0</v>
      </c>
      <c r="I515" t="s">
        <v>14</v>
      </c>
      <c r="J515" t="s">
        <v>11</v>
      </c>
      <c r="K515" t="s">
        <v>11</v>
      </c>
      <c r="L515" t="str">
        <f>T("9791137602854")</f>
        <v>9791137602854</v>
      </c>
    </row>
    <row r="516" spans="1:12">
      <c r="A516" s="8">
        <v>44637.957719907405</v>
      </c>
      <c r="B516">
        <v>190314845</v>
      </c>
      <c r="C516" t="s">
        <v>692</v>
      </c>
      <c r="D516" t="s">
        <v>9</v>
      </c>
      <c r="E516" s="9">
        <v>7000</v>
      </c>
      <c r="F516" s="9">
        <v>6300</v>
      </c>
      <c r="G516" s="9">
        <v>4410</v>
      </c>
      <c r="I516" t="s">
        <v>33</v>
      </c>
      <c r="J516" t="s">
        <v>617</v>
      </c>
      <c r="K516" t="s">
        <v>11</v>
      </c>
      <c r="L516" t="str">
        <f>T("9791164897643")</f>
        <v>9791164897643</v>
      </c>
    </row>
    <row r="517" spans="1:12">
      <c r="A517" s="8">
        <v>44637.969409722224</v>
      </c>
      <c r="B517">
        <v>196159192</v>
      </c>
      <c r="C517" t="s">
        <v>44</v>
      </c>
      <c r="D517" t="s">
        <v>9</v>
      </c>
      <c r="E517">
        <v>0</v>
      </c>
      <c r="F517">
        <v>0</v>
      </c>
      <c r="G517">
        <v>0</v>
      </c>
      <c r="I517" t="s">
        <v>21</v>
      </c>
      <c r="J517" t="s">
        <v>20</v>
      </c>
      <c r="K517" t="s">
        <v>11</v>
      </c>
      <c r="L517" t="str">
        <f>T("9791164481552")</f>
        <v>9791164481552</v>
      </c>
    </row>
    <row r="518" spans="1:12">
      <c r="A518" s="8">
        <v>44637.977534722224</v>
      </c>
      <c r="B518">
        <v>290963607</v>
      </c>
      <c r="C518" t="s">
        <v>681</v>
      </c>
      <c r="D518" t="s">
        <v>9</v>
      </c>
      <c r="E518" s="9">
        <v>3500</v>
      </c>
      <c r="F518" s="9">
        <v>3500</v>
      </c>
      <c r="G518" s="9">
        <v>2450</v>
      </c>
      <c r="I518" t="s">
        <v>682</v>
      </c>
      <c r="J518" t="s">
        <v>460</v>
      </c>
      <c r="K518" t="s">
        <v>11</v>
      </c>
      <c r="L518" t="str">
        <f>T("9791191562132")</f>
        <v>9791191562132</v>
      </c>
    </row>
    <row r="519" spans="1:12">
      <c r="A519" s="8">
        <v>44638.020532407405</v>
      </c>
      <c r="B519">
        <v>290963607</v>
      </c>
      <c r="C519" t="s">
        <v>681</v>
      </c>
      <c r="D519" t="s">
        <v>9</v>
      </c>
      <c r="E519" s="9">
        <v>3500</v>
      </c>
      <c r="F519" s="9">
        <v>3500</v>
      </c>
      <c r="G519" s="9">
        <v>2450</v>
      </c>
      <c r="I519" t="s">
        <v>682</v>
      </c>
      <c r="J519" t="s">
        <v>460</v>
      </c>
      <c r="K519" t="s">
        <v>11</v>
      </c>
      <c r="L519" t="str">
        <f>T("9791191562132")</f>
        <v>9791191562132</v>
      </c>
    </row>
    <row r="520" spans="1:12">
      <c r="A520" s="8">
        <v>44638.038726851853</v>
      </c>
      <c r="B520">
        <v>289315562</v>
      </c>
      <c r="C520" t="s">
        <v>478</v>
      </c>
      <c r="D520" t="s">
        <v>9</v>
      </c>
      <c r="E520" s="9">
        <v>3000</v>
      </c>
      <c r="F520" s="9">
        <v>3000</v>
      </c>
      <c r="G520" s="9">
        <v>2100</v>
      </c>
      <c r="I520" t="s">
        <v>454</v>
      </c>
      <c r="J520" t="s">
        <v>460</v>
      </c>
      <c r="K520" t="s">
        <v>11</v>
      </c>
      <c r="L520" t="str">
        <f>T("9791191562101")</f>
        <v>9791191562101</v>
      </c>
    </row>
    <row r="521" spans="1:12">
      <c r="A521" s="8">
        <v>44638.081608796296</v>
      </c>
      <c r="B521">
        <v>290963607</v>
      </c>
      <c r="C521" t="s">
        <v>681</v>
      </c>
      <c r="D521" t="s">
        <v>9</v>
      </c>
      <c r="E521" s="9">
        <v>3500</v>
      </c>
      <c r="F521" s="9">
        <v>3500</v>
      </c>
      <c r="G521" s="9">
        <v>2450</v>
      </c>
      <c r="I521" t="s">
        <v>682</v>
      </c>
      <c r="J521" t="s">
        <v>460</v>
      </c>
      <c r="K521" t="s">
        <v>11</v>
      </c>
      <c r="L521" t="str">
        <f>T("9791191562132")</f>
        <v>9791191562132</v>
      </c>
    </row>
    <row r="522" spans="1:12">
      <c r="A522" s="8">
        <v>44638.162372685183</v>
      </c>
      <c r="B522">
        <v>289315562</v>
      </c>
      <c r="C522" t="s">
        <v>478</v>
      </c>
      <c r="D522" t="s">
        <v>9</v>
      </c>
      <c r="E522" s="9">
        <v>3000</v>
      </c>
      <c r="F522" s="9">
        <v>3000</v>
      </c>
      <c r="G522" s="9">
        <v>2100</v>
      </c>
      <c r="I522" t="s">
        <v>454</v>
      </c>
      <c r="J522" t="s">
        <v>460</v>
      </c>
      <c r="K522" t="s">
        <v>11</v>
      </c>
      <c r="L522" t="str">
        <f>T("9791191562101")</f>
        <v>9791191562101</v>
      </c>
    </row>
    <row r="523" spans="1:12">
      <c r="A523" s="8">
        <v>44638.407175925924</v>
      </c>
      <c r="B523">
        <v>291088925</v>
      </c>
      <c r="C523" t="s">
        <v>693</v>
      </c>
      <c r="D523" t="s">
        <v>9</v>
      </c>
      <c r="E523" s="9">
        <v>2000</v>
      </c>
      <c r="F523" s="9">
        <v>2000</v>
      </c>
      <c r="G523" s="9">
        <v>1400</v>
      </c>
      <c r="I523" t="s">
        <v>694</v>
      </c>
      <c r="J523" t="s">
        <v>460</v>
      </c>
      <c r="K523" t="s">
        <v>11</v>
      </c>
      <c r="L523" t="str">
        <f>T("9791191562187")</f>
        <v>9791191562187</v>
      </c>
    </row>
    <row r="524" spans="1:12">
      <c r="A524" s="8">
        <v>44638.41002314815</v>
      </c>
      <c r="B524">
        <v>291088925</v>
      </c>
      <c r="C524" t="s">
        <v>693</v>
      </c>
      <c r="D524" t="s">
        <v>9</v>
      </c>
      <c r="E524" s="9">
        <v>2000</v>
      </c>
      <c r="F524" s="9">
        <v>2000</v>
      </c>
      <c r="G524" s="9">
        <v>1400</v>
      </c>
      <c r="I524" t="s">
        <v>694</v>
      </c>
      <c r="J524" t="s">
        <v>460</v>
      </c>
      <c r="K524" t="s">
        <v>11</v>
      </c>
      <c r="L524" t="str">
        <f>T("9791191562187")</f>
        <v>9791191562187</v>
      </c>
    </row>
    <row r="525" spans="1:12">
      <c r="A525" s="8">
        <v>44638.422546296293</v>
      </c>
      <c r="B525">
        <v>287148991</v>
      </c>
      <c r="C525" t="s">
        <v>223</v>
      </c>
      <c r="D525" t="s">
        <v>9</v>
      </c>
      <c r="E525" s="9">
        <v>2000</v>
      </c>
      <c r="F525" s="9">
        <v>2000</v>
      </c>
      <c r="G525" s="9">
        <v>1400</v>
      </c>
      <c r="I525" t="s">
        <v>163</v>
      </c>
      <c r="J525" t="s">
        <v>460</v>
      </c>
      <c r="K525" t="s">
        <v>11</v>
      </c>
      <c r="L525" t="str">
        <f>T("9791196945282")</f>
        <v>9791196945282</v>
      </c>
    </row>
    <row r="526" spans="1:12">
      <c r="A526" s="8">
        <v>44638.42292824074</v>
      </c>
      <c r="B526">
        <v>274772659</v>
      </c>
      <c r="C526" t="s">
        <v>37</v>
      </c>
      <c r="D526" t="s">
        <v>12</v>
      </c>
      <c r="E526" s="9">
        <v>2400</v>
      </c>
      <c r="F526" s="9">
        <v>2400</v>
      </c>
      <c r="G526" s="9">
        <v>1680</v>
      </c>
      <c r="I526" t="s">
        <v>34</v>
      </c>
      <c r="J526" t="s">
        <v>588</v>
      </c>
      <c r="K526" t="s">
        <v>11</v>
      </c>
      <c r="L526" t="str">
        <f>T("9791166481703")</f>
        <v>9791166481703</v>
      </c>
    </row>
    <row r="527" spans="1:12">
      <c r="A527" s="8">
        <v>44638.42292824074</v>
      </c>
      <c r="B527">
        <v>274772658</v>
      </c>
      <c r="C527" t="s">
        <v>75</v>
      </c>
      <c r="D527" t="s">
        <v>12</v>
      </c>
      <c r="E527" s="9">
        <v>2400</v>
      </c>
      <c r="F527" s="9">
        <v>2400</v>
      </c>
      <c r="G527" s="9">
        <v>1680</v>
      </c>
      <c r="I527" t="s">
        <v>34</v>
      </c>
      <c r="J527" t="s">
        <v>588</v>
      </c>
      <c r="K527" t="s">
        <v>11</v>
      </c>
      <c r="L527" t="str">
        <f>T("9791166481710")</f>
        <v>9791166481710</v>
      </c>
    </row>
    <row r="528" spans="1:12">
      <c r="A528" s="8">
        <v>44638.42732638889</v>
      </c>
      <c r="B528">
        <v>290084502</v>
      </c>
      <c r="C528" t="s">
        <v>592</v>
      </c>
      <c r="D528" t="s">
        <v>9</v>
      </c>
      <c r="E528" s="9">
        <v>2500</v>
      </c>
      <c r="F528" s="9">
        <v>2500</v>
      </c>
      <c r="G528" s="9">
        <v>1750</v>
      </c>
      <c r="I528" t="s">
        <v>593</v>
      </c>
      <c r="J528" t="s">
        <v>460</v>
      </c>
      <c r="K528" t="s">
        <v>11</v>
      </c>
      <c r="L528" t="str">
        <f>T("9791191562125")</f>
        <v>9791191562125</v>
      </c>
    </row>
    <row r="529" spans="1:12">
      <c r="A529" s="8">
        <v>44638.430231481485</v>
      </c>
      <c r="B529">
        <v>291088925</v>
      </c>
      <c r="C529" t="s">
        <v>693</v>
      </c>
      <c r="D529" t="s">
        <v>9</v>
      </c>
      <c r="E529" s="9">
        <v>2000</v>
      </c>
      <c r="F529" s="9">
        <v>2000</v>
      </c>
      <c r="G529" s="9">
        <v>1400</v>
      </c>
      <c r="I529" t="s">
        <v>694</v>
      </c>
      <c r="J529" t="s">
        <v>460</v>
      </c>
      <c r="K529" t="s">
        <v>11</v>
      </c>
      <c r="L529" t="str">
        <f>T("9791191562187")</f>
        <v>9791191562187</v>
      </c>
    </row>
    <row r="530" spans="1:12">
      <c r="A530" s="8">
        <v>44638.438946759263</v>
      </c>
      <c r="B530">
        <v>290084502</v>
      </c>
      <c r="C530" t="s">
        <v>592</v>
      </c>
      <c r="D530" t="s">
        <v>9</v>
      </c>
      <c r="E530" s="9">
        <v>2500</v>
      </c>
      <c r="F530" s="9">
        <v>2500</v>
      </c>
      <c r="G530" s="9">
        <v>1750</v>
      </c>
      <c r="I530" t="s">
        <v>593</v>
      </c>
      <c r="J530" t="s">
        <v>460</v>
      </c>
      <c r="K530" t="s">
        <v>11</v>
      </c>
      <c r="L530" t="str">
        <f>T("9791191562125")</f>
        <v>9791191562125</v>
      </c>
    </row>
    <row r="531" spans="1:12">
      <c r="A531" s="8">
        <v>44638.445381944446</v>
      </c>
      <c r="B531">
        <v>291088925</v>
      </c>
      <c r="C531" t="s">
        <v>693</v>
      </c>
      <c r="D531" t="s">
        <v>9</v>
      </c>
      <c r="E531" s="9">
        <v>2000</v>
      </c>
      <c r="F531" s="9">
        <v>2000</v>
      </c>
      <c r="G531" s="9">
        <v>1400</v>
      </c>
      <c r="I531" t="s">
        <v>694</v>
      </c>
      <c r="J531" t="s">
        <v>460</v>
      </c>
      <c r="K531" t="s">
        <v>11</v>
      </c>
      <c r="L531" t="str">
        <f>T("9791191562187")</f>
        <v>9791191562187</v>
      </c>
    </row>
    <row r="532" spans="1:12">
      <c r="A532" s="8">
        <v>44638.458020833335</v>
      </c>
      <c r="B532">
        <v>291088925</v>
      </c>
      <c r="C532" t="s">
        <v>693</v>
      </c>
      <c r="D532" t="s">
        <v>9</v>
      </c>
      <c r="E532" s="9">
        <v>2000</v>
      </c>
      <c r="F532" s="9">
        <v>2000</v>
      </c>
      <c r="G532" s="9">
        <v>1400</v>
      </c>
      <c r="I532" t="s">
        <v>694</v>
      </c>
      <c r="J532" t="s">
        <v>460</v>
      </c>
      <c r="K532" t="s">
        <v>11</v>
      </c>
      <c r="L532" t="str">
        <f>T("9791191562187")</f>
        <v>9791191562187</v>
      </c>
    </row>
    <row r="533" spans="1:12">
      <c r="A533" s="8">
        <v>44638.462847222225</v>
      </c>
      <c r="B533">
        <v>291088925</v>
      </c>
      <c r="C533" t="s">
        <v>693</v>
      </c>
      <c r="D533" t="s">
        <v>9</v>
      </c>
      <c r="E533" s="9">
        <v>2000</v>
      </c>
      <c r="F533" s="9">
        <v>2000</v>
      </c>
      <c r="G533" s="9">
        <v>1400</v>
      </c>
      <c r="I533" t="s">
        <v>694</v>
      </c>
      <c r="J533" t="s">
        <v>460</v>
      </c>
      <c r="K533" t="s">
        <v>11</v>
      </c>
      <c r="L533" t="str">
        <f>T("9791191562187")</f>
        <v>9791191562187</v>
      </c>
    </row>
    <row r="534" spans="1:12">
      <c r="A534" s="8">
        <v>44638.473657407405</v>
      </c>
      <c r="B534">
        <v>291088925</v>
      </c>
      <c r="C534" t="s">
        <v>693</v>
      </c>
      <c r="D534" t="s">
        <v>9</v>
      </c>
      <c r="E534" s="9">
        <v>2000</v>
      </c>
      <c r="F534" s="9">
        <v>2000</v>
      </c>
      <c r="G534" s="9">
        <v>1400</v>
      </c>
      <c r="I534" t="s">
        <v>694</v>
      </c>
      <c r="J534" t="s">
        <v>460</v>
      </c>
      <c r="K534" t="s">
        <v>11</v>
      </c>
      <c r="L534" t="str">
        <f>T("9791191562187")</f>
        <v>9791191562187</v>
      </c>
    </row>
    <row r="535" spans="1:12">
      <c r="A535" s="8">
        <v>44638.496423611112</v>
      </c>
      <c r="B535">
        <v>291088925</v>
      </c>
      <c r="C535" t="s">
        <v>693</v>
      </c>
      <c r="D535" t="s">
        <v>9</v>
      </c>
      <c r="E535" s="9">
        <v>2000</v>
      </c>
      <c r="F535" s="9">
        <v>2000</v>
      </c>
      <c r="G535" s="9">
        <v>1400</v>
      </c>
      <c r="I535" t="s">
        <v>694</v>
      </c>
      <c r="J535" t="s">
        <v>460</v>
      </c>
      <c r="K535" t="s">
        <v>11</v>
      </c>
      <c r="L535" t="str">
        <f>T("9791191562187")</f>
        <v>9791191562187</v>
      </c>
    </row>
    <row r="536" spans="1:12">
      <c r="A536" s="8">
        <v>44638.51699074074</v>
      </c>
      <c r="B536">
        <v>290084502</v>
      </c>
      <c r="C536" t="s">
        <v>592</v>
      </c>
      <c r="D536" t="s">
        <v>9</v>
      </c>
      <c r="E536" s="9">
        <v>2500</v>
      </c>
      <c r="F536" s="9">
        <v>2500</v>
      </c>
      <c r="G536" s="9">
        <v>1750</v>
      </c>
      <c r="I536" t="s">
        <v>593</v>
      </c>
      <c r="J536" t="s">
        <v>460</v>
      </c>
      <c r="K536" t="s">
        <v>11</v>
      </c>
      <c r="L536" t="str">
        <f>T("9791191562125")</f>
        <v>9791191562125</v>
      </c>
    </row>
    <row r="537" spans="1:12">
      <c r="A537" s="8">
        <v>44638.5237037037</v>
      </c>
      <c r="B537">
        <v>291088925</v>
      </c>
      <c r="C537" t="s">
        <v>693</v>
      </c>
      <c r="D537" t="s">
        <v>9</v>
      </c>
      <c r="E537" s="9">
        <v>2000</v>
      </c>
      <c r="F537" s="9">
        <v>2000</v>
      </c>
      <c r="G537" s="9">
        <v>1400</v>
      </c>
      <c r="I537" t="s">
        <v>694</v>
      </c>
      <c r="J537" t="s">
        <v>460</v>
      </c>
      <c r="K537" t="s">
        <v>11</v>
      </c>
      <c r="L537" t="str">
        <f>T("9791191562187")</f>
        <v>9791191562187</v>
      </c>
    </row>
    <row r="538" spans="1:12">
      <c r="A538" s="8">
        <v>44638.534907407404</v>
      </c>
      <c r="B538">
        <v>291088925</v>
      </c>
      <c r="C538" t="s">
        <v>693</v>
      </c>
      <c r="D538" t="s">
        <v>9</v>
      </c>
      <c r="E538" s="9">
        <v>2000</v>
      </c>
      <c r="F538" s="9">
        <v>2000</v>
      </c>
      <c r="G538" s="9">
        <v>1400</v>
      </c>
      <c r="I538" t="s">
        <v>694</v>
      </c>
      <c r="J538" t="s">
        <v>460</v>
      </c>
      <c r="K538" t="s">
        <v>11</v>
      </c>
      <c r="L538" t="str">
        <f>T("9791191562187")</f>
        <v>9791191562187</v>
      </c>
    </row>
    <row r="539" spans="1:12">
      <c r="A539" s="8">
        <v>44638.538587962961</v>
      </c>
      <c r="B539">
        <v>290368153</v>
      </c>
      <c r="C539" t="s">
        <v>680</v>
      </c>
      <c r="D539" t="s">
        <v>9</v>
      </c>
      <c r="E539" s="9">
        <v>3600</v>
      </c>
      <c r="F539" s="9">
        <v>3600</v>
      </c>
      <c r="G539" s="9">
        <v>2520</v>
      </c>
      <c r="I539" t="s">
        <v>679</v>
      </c>
      <c r="J539" t="s">
        <v>617</v>
      </c>
      <c r="K539" t="s">
        <v>11</v>
      </c>
      <c r="L539" t="str">
        <f>T("9791166483035")</f>
        <v>9791166483035</v>
      </c>
    </row>
    <row r="540" spans="1:12">
      <c r="A540" s="8">
        <v>44638.538587962961</v>
      </c>
      <c r="B540">
        <v>290368135</v>
      </c>
      <c r="C540" t="s">
        <v>678</v>
      </c>
      <c r="D540" t="s">
        <v>9</v>
      </c>
      <c r="E540" s="9">
        <v>3600</v>
      </c>
      <c r="F540" s="9">
        <v>3600</v>
      </c>
      <c r="G540" s="9">
        <v>2520</v>
      </c>
      <c r="I540" t="s">
        <v>679</v>
      </c>
      <c r="J540" t="s">
        <v>617</v>
      </c>
      <c r="K540" t="s">
        <v>11</v>
      </c>
      <c r="L540" t="str">
        <f>T("9791166483028")</f>
        <v>9791166483028</v>
      </c>
    </row>
    <row r="541" spans="1:12">
      <c r="A541" s="8">
        <v>44638.543726851851</v>
      </c>
      <c r="B541">
        <v>289315562</v>
      </c>
      <c r="C541" t="s">
        <v>478</v>
      </c>
      <c r="D541" t="s">
        <v>9</v>
      </c>
      <c r="E541" s="9">
        <v>3000</v>
      </c>
      <c r="F541" s="9">
        <v>3000</v>
      </c>
      <c r="G541" s="9">
        <v>2100</v>
      </c>
      <c r="I541" t="s">
        <v>454</v>
      </c>
      <c r="J541" t="s">
        <v>460</v>
      </c>
      <c r="K541" t="s">
        <v>11</v>
      </c>
      <c r="L541" t="str">
        <f>T("9791191562101")</f>
        <v>9791191562101</v>
      </c>
    </row>
    <row r="542" spans="1:12">
      <c r="A542" s="8">
        <v>44638.55133101852</v>
      </c>
      <c r="B542">
        <v>290197934</v>
      </c>
      <c r="C542" t="s">
        <v>604</v>
      </c>
      <c r="D542" t="s">
        <v>9</v>
      </c>
      <c r="E542" s="9">
        <v>2000</v>
      </c>
      <c r="F542" s="9">
        <v>2000</v>
      </c>
      <c r="G542" s="9">
        <v>1400</v>
      </c>
      <c r="I542" t="s">
        <v>605</v>
      </c>
      <c r="J542" t="s">
        <v>460</v>
      </c>
      <c r="K542" t="s">
        <v>11</v>
      </c>
      <c r="L542" t="str">
        <f>T("9791191562163")</f>
        <v>9791191562163</v>
      </c>
    </row>
    <row r="543" spans="1:12">
      <c r="A543" s="8">
        <v>44638.557997685188</v>
      </c>
      <c r="B543">
        <v>290964566</v>
      </c>
      <c r="C543" t="s">
        <v>695</v>
      </c>
      <c r="D543" t="s">
        <v>12</v>
      </c>
      <c r="E543" s="9">
        <v>1890</v>
      </c>
      <c r="F543" s="9">
        <v>1890</v>
      </c>
      <c r="G543" s="9">
        <v>1323</v>
      </c>
      <c r="I543" t="s">
        <v>14</v>
      </c>
      <c r="J543" t="s">
        <v>11</v>
      </c>
      <c r="K543" t="s">
        <v>11</v>
      </c>
      <c r="L543" t="str">
        <f>T("9791137603530")</f>
        <v>9791137603530</v>
      </c>
    </row>
    <row r="544" spans="1:12">
      <c r="A544" s="8">
        <v>44638.557997685188</v>
      </c>
      <c r="B544">
        <v>290964565</v>
      </c>
      <c r="C544" t="s">
        <v>696</v>
      </c>
      <c r="D544" t="s">
        <v>12</v>
      </c>
      <c r="E544" s="9">
        <v>2520</v>
      </c>
      <c r="F544" s="9">
        <v>2520</v>
      </c>
      <c r="G544" s="9">
        <v>1764</v>
      </c>
      <c r="I544" t="s">
        <v>14</v>
      </c>
      <c r="J544" t="s">
        <v>11</v>
      </c>
      <c r="K544" t="s">
        <v>11</v>
      </c>
      <c r="L544" t="str">
        <f>T("9791137603523")</f>
        <v>9791137603523</v>
      </c>
    </row>
    <row r="545" spans="1:12">
      <c r="A545" s="8">
        <v>44638.576539351852</v>
      </c>
      <c r="B545">
        <v>291088925</v>
      </c>
      <c r="C545" t="s">
        <v>693</v>
      </c>
      <c r="D545" t="s">
        <v>9</v>
      </c>
      <c r="E545" s="9">
        <v>2000</v>
      </c>
      <c r="F545" s="9">
        <v>2000</v>
      </c>
      <c r="G545" s="9">
        <v>1400</v>
      </c>
      <c r="I545" t="s">
        <v>694</v>
      </c>
      <c r="J545" t="s">
        <v>460</v>
      </c>
      <c r="K545" t="s">
        <v>11</v>
      </c>
      <c r="L545" t="str">
        <f t="shared" ref="L545:L550" si="1">T("9791191562187")</f>
        <v>9791191562187</v>
      </c>
    </row>
    <row r="546" spans="1:12">
      <c r="A546" s="8">
        <v>44638.592291666668</v>
      </c>
      <c r="B546">
        <v>291088925</v>
      </c>
      <c r="C546" t="s">
        <v>693</v>
      </c>
      <c r="D546" t="s">
        <v>9</v>
      </c>
      <c r="E546" s="9">
        <v>2000</v>
      </c>
      <c r="F546" s="9">
        <v>2000</v>
      </c>
      <c r="G546" s="9">
        <v>1400</v>
      </c>
      <c r="I546" t="s">
        <v>694</v>
      </c>
      <c r="J546" t="s">
        <v>460</v>
      </c>
      <c r="K546" t="s">
        <v>11</v>
      </c>
      <c r="L546" t="str">
        <f t="shared" si="1"/>
        <v>9791191562187</v>
      </c>
    </row>
    <row r="547" spans="1:12">
      <c r="A547" s="8">
        <v>44638.605706018519</v>
      </c>
      <c r="B547">
        <v>291088925</v>
      </c>
      <c r="C547" t="s">
        <v>693</v>
      </c>
      <c r="D547" t="s">
        <v>9</v>
      </c>
      <c r="E547" s="9">
        <v>2000</v>
      </c>
      <c r="F547" s="9">
        <v>2000</v>
      </c>
      <c r="G547" s="9">
        <v>1400</v>
      </c>
      <c r="I547" t="s">
        <v>694</v>
      </c>
      <c r="J547" t="s">
        <v>460</v>
      </c>
      <c r="K547" t="s">
        <v>11</v>
      </c>
      <c r="L547" t="str">
        <f t="shared" si="1"/>
        <v>9791191562187</v>
      </c>
    </row>
    <row r="548" spans="1:12">
      <c r="A548" s="8">
        <v>44638.621331018519</v>
      </c>
      <c r="B548">
        <v>291088925</v>
      </c>
      <c r="C548" t="s">
        <v>693</v>
      </c>
      <c r="D548" t="s">
        <v>9</v>
      </c>
      <c r="E548" s="9">
        <v>2000</v>
      </c>
      <c r="F548" s="9">
        <v>2000</v>
      </c>
      <c r="G548" s="9">
        <v>1400</v>
      </c>
      <c r="I548" t="s">
        <v>694</v>
      </c>
      <c r="J548" t="s">
        <v>460</v>
      </c>
      <c r="K548" t="s">
        <v>11</v>
      </c>
      <c r="L548" t="str">
        <f t="shared" si="1"/>
        <v>9791191562187</v>
      </c>
    </row>
    <row r="549" spans="1:12">
      <c r="A549" s="8">
        <v>44638.625231481485</v>
      </c>
      <c r="B549">
        <v>291088925</v>
      </c>
      <c r="C549" t="s">
        <v>693</v>
      </c>
      <c r="D549" t="s">
        <v>9</v>
      </c>
      <c r="E549" s="9">
        <v>2000</v>
      </c>
      <c r="F549" s="9">
        <v>2000</v>
      </c>
      <c r="G549" s="9">
        <v>1400</v>
      </c>
      <c r="I549" t="s">
        <v>694</v>
      </c>
      <c r="J549" t="s">
        <v>460</v>
      </c>
      <c r="K549" t="s">
        <v>11</v>
      </c>
      <c r="L549" t="str">
        <f t="shared" si="1"/>
        <v>9791191562187</v>
      </c>
    </row>
    <row r="550" spans="1:12">
      <c r="A550" s="8">
        <v>44638.633067129631</v>
      </c>
      <c r="B550">
        <v>291088925</v>
      </c>
      <c r="C550" t="s">
        <v>693</v>
      </c>
      <c r="D550" t="s">
        <v>9</v>
      </c>
      <c r="E550" s="9">
        <v>2000</v>
      </c>
      <c r="F550" s="9">
        <v>2000</v>
      </c>
      <c r="G550" s="9">
        <v>1400</v>
      </c>
      <c r="I550" t="s">
        <v>694</v>
      </c>
      <c r="J550" t="s">
        <v>460</v>
      </c>
      <c r="K550" t="s">
        <v>11</v>
      </c>
      <c r="L550" t="str">
        <f t="shared" si="1"/>
        <v>9791191562187</v>
      </c>
    </row>
    <row r="551" spans="1:12">
      <c r="A551" s="8">
        <v>44638.633333333331</v>
      </c>
      <c r="B551">
        <v>246278199</v>
      </c>
      <c r="C551" t="s">
        <v>697</v>
      </c>
      <c r="D551" t="s">
        <v>9</v>
      </c>
      <c r="E551" s="9">
        <v>3200</v>
      </c>
      <c r="F551" s="9">
        <v>3200</v>
      </c>
      <c r="G551" s="9">
        <v>2240</v>
      </c>
      <c r="I551" t="s">
        <v>14</v>
      </c>
      <c r="J551" t="s">
        <v>11</v>
      </c>
      <c r="K551" t="s">
        <v>11</v>
      </c>
      <c r="L551" t="str">
        <f>T("9791188630110")</f>
        <v>9791188630110</v>
      </c>
    </row>
    <row r="552" spans="1:12">
      <c r="A552" s="8">
        <v>44638.633333333331</v>
      </c>
      <c r="B552">
        <v>246278092</v>
      </c>
      <c r="C552" t="s">
        <v>698</v>
      </c>
      <c r="D552" t="s">
        <v>9</v>
      </c>
      <c r="E552" s="9">
        <v>3200</v>
      </c>
      <c r="F552" s="9">
        <v>3200</v>
      </c>
      <c r="G552" s="9">
        <v>2240</v>
      </c>
      <c r="I552" t="s">
        <v>14</v>
      </c>
      <c r="J552" t="s">
        <v>11</v>
      </c>
      <c r="K552" t="s">
        <v>11</v>
      </c>
      <c r="L552" t="str">
        <f>T("9791188630127")</f>
        <v>9791188630127</v>
      </c>
    </row>
    <row r="553" spans="1:12">
      <c r="A553" s="8">
        <v>44638.633333333331</v>
      </c>
      <c r="B553">
        <v>246278153</v>
      </c>
      <c r="C553" t="s">
        <v>699</v>
      </c>
      <c r="D553" t="s">
        <v>9</v>
      </c>
      <c r="E553" s="9">
        <v>3200</v>
      </c>
      <c r="F553" s="9">
        <v>3200</v>
      </c>
      <c r="G553" s="9">
        <v>2240</v>
      </c>
      <c r="I553" t="s">
        <v>14</v>
      </c>
      <c r="J553" t="s">
        <v>11</v>
      </c>
      <c r="K553" t="s">
        <v>11</v>
      </c>
      <c r="L553" t="str">
        <f>T("9791188630134")</f>
        <v>9791188630134</v>
      </c>
    </row>
    <row r="554" spans="1:12">
      <c r="A554" s="8">
        <v>44638.635185185187</v>
      </c>
      <c r="B554">
        <v>290963607</v>
      </c>
      <c r="C554" t="s">
        <v>681</v>
      </c>
      <c r="D554" t="s">
        <v>9</v>
      </c>
      <c r="E554" s="9">
        <v>3500</v>
      </c>
      <c r="F554" s="9">
        <v>3500</v>
      </c>
      <c r="G554" s="9">
        <v>2450</v>
      </c>
      <c r="I554" t="s">
        <v>682</v>
      </c>
      <c r="J554" t="s">
        <v>460</v>
      </c>
      <c r="K554" t="s">
        <v>11</v>
      </c>
      <c r="L554" t="str">
        <f>T("9791191562132")</f>
        <v>9791191562132</v>
      </c>
    </row>
    <row r="555" spans="1:12">
      <c r="A555" s="8">
        <v>44638.638784722221</v>
      </c>
      <c r="B555">
        <v>290197934</v>
      </c>
      <c r="C555" t="s">
        <v>604</v>
      </c>
      <c r="D555" t="s">
        <v>9</v>
      </c>
      <c r="E555" s="9">
        <v>2000</v>
      </c>
      <c r="F555" s="9">
        <v>2000</v>
      </c>
      <c r="G555" s="9">
        <v>1400</v>
      </c>
      <c r="I555" t="s">
        <v>605</v>
      </c>
      <c r="J555" t="s">
        <v>460</v>
      </c>
      <c r="K555" t="s">
        <v>11</v>
      </c>
      <c r="L555" t="str">
        <f>T("9791191562163")</f>
        <v>9791191562163</v>
      </c>
    </row>
    <row r="556" spans="1:12">
      <c r="A556" s="8">
        <v>44638.641851851855</v>
      </c>
      <c r="B556">
        <v>291088925</v>
      </c>
      <c r="C556" t="s">
        <v>693</v>
      </c>
      <c r="D556" t="s">
        <v>9</v>
      </c>
      <c r="E556" s="9">
        <v>2000</v>
      </c>
      <c r="F556" s="9">
        <v>2000</v>
      </c>
      <c r="G556" s="9">
        <v>1400</v>
      </c>
      <c r="I556" t="s">
        <v>694</v>
      </c>
      <c r="J556" t="s">
        <v>460</v>
      </c>
      <c r="K556" t="s">
        <v>11</v>
      </c>
      <c r="L556" t="str">
        <f>T("9791191562187")</f>
        <v>9791191562187</v>
      </c>
    </row>
    <row r="557" spans="1:12">
      <c r="A557" s="8">
        <v>44638.644652777781</v>
      </c>
      <c r="B557">
        <v>291088925</v>
      </c>
      <c r="C557" t="s">
        <v>693</v>
      </c>
      <c r="D557" t="s">
        <v>9</v>
      </c>
      <c r="E557" s="9">
        <v>2000</v>
      </c>
      <c r="F557" s="9">
        <v>2000</v>
      </c>
      <c r="G557" s="9">
        <v>1400</v>
      </c>
      <c r="I557" t="s">
        <v>694</v>
      </c>
      <c r="J557" t="s">
        <v>460</v>
      </c>
      <c r="K557" t="s">
        <v>11</v>
      </c>
      <c r="L557" t="str">
        <f>T("9791191562187")</f>
        <v>9791191562187</v>
      </c>
    </row>
    <row r="558" spans="1:12">
      <c r="A558" s="8">
        <v>44638.647800925923</v>
      </c>
      <c r="B558">
        <v>291088925</v>
      </c>
      <c r="C558" t="s">
        <v>693</v>
      </c>
      <c r="D558" t="s">
        <v>9</v>
      </c>
      <c r="E558" s="9">
        <v>2000</v>
      </c>
      <c r="F558" s="9">
        <v>2000</v>
      </c>
      <c r="G558" s="9">
        <v>1400</v>
      </c>
      <c r="I558" t="s">
        <v>694</v>
      </c>
      <c r="J558" t="s">
        <v>460</v>
      </c>
      <c r="K558" t="s">
        <v>11</v>
      </c>
      <c r="L558" t="str">
        <f>T("9791191562187")</f>
        <v>9791191562187</v>
      </c>
    </row>
    <row r="559" spans="1:12">
      <c r="A559" s="8">
        <v>44638.658368055556</v>
      </c>
      <c r="B559">
        <v>290197934</v>
      </c>
      <c r="C559" t="s">
        <v>604</v>
      </c>
      <c r="D559" t="s">
        <v>9</v>
      </c>
      <c r="E559" s="9">
        <v>2000</v>
      </c>
      <c r="F559" s="9">
        <v>2000</v>
      </c>
      <c r="G559" s="9">
        <v>1400</v>
      </c>
      <c r="I559" t="s">
        <v>605</v>
      </c>
      <c r="J559" t="s">
        <v>460</v>
      </c>
      <c r="K559" t="s">
        <v>11</v>
      </c>
      <c r="L559" t="str">
        <f>T("9791191562163")</f>
        <v>9791191562163</v>
      </c>
    </row>
    <row r="560" spans="1:12">
      <c r="A560" s="8">
        <v>44638.673009259262</v>
      </c>
      <c r="B560">
        <v>290197934</v>
      </c>
      <c r="C560" t="s">
        <v>604</v>
      </c>
      <c r="D560" t="s">
        <v>9</v>
      </c>
      <c r="E560" s="9">
        <v>2000</v>
      </c>
      <c r="F560" s="9">
        <v>2000</v>
      </c>
      <c r="G560" s="9">
        <v>1400</v>
      </c>
      <c r="I560" t="s">
        <v>605</v>
      </c>
      <c r="J560" t="s">
        <v>460</v>
      </c>
      <c r="K560" t="s">
        <v>11</v>
      </c>
      <c r="L560" t="str">
        <f>T("9791191562163")</f>
        <v>9791191562163</v>
      </c>
    </row>
    <row r="561" spans="1:12">
      <c r="A561" s="8">
        <v>44638.69158564815</v>
      </c>
      <c r="B561">
        <v>290963570</v>
      </c>
      <c r="C561" t="s">
        <v>683</v>
      </c>
      <c r="D561" t="s">
        <v>9</v>
      </c>
      <c r="E561">
        <v>0</v>
      </c>
      <c r="F561">
        <v>0</v>
      </c>
      <c r="G561">
        <v>0</v>
      </c>
      <c r="I561" t="s">
        <v>684</v>
      </c>
      <c r="J561" t="s">
        <v>11</v>
      </c>
      <c r="K561" t="s">
        <v>11</v>
      </c>
      <c r="L561" t="str">
        <f>T("9791137603332")</f>
        <v>9791137603332</v>
      </c>
    </row>
    <row r="562" spans="1:12">
      <c r="A562" s="8">
        <v>44638.697523148148</v>
      </c>
      <c r="B562">
        <v>291088925</v>
      </c>
      <c r="C562" t="s">
        <v>693</v>
      </c>
      <c r="D562" t="s">
        <v>9</v>
      </c>
      <c r="E562" s="9">
        <v>2000</v>
      </c>
      <c r="F562" s="9">
        <v>2000</v>
      </c>
      <c r="G562" s="9">
        <v>1400</v>
      </c>
      <c r="I562" t="s">
        <v>694</v>
      </c>
      <c r="J562" t="s">
        <v>460</v>
      </c>
      <c r="K562" t="s">
        <v>11</v>
      </c>
      <c r="L562" t="str">
        <f t="shared" ref="L562:L567" si="2">T("9791191562187")</f>
        <v>9791191562187</v>
      </c>
    </row>
    <row r="563" spans="1:12">
      <c r="A563" s="8">
        <v>44638.69976851852</v>
      </c>
      <c r="B563">
        <v>291088925</v>
      </c>
      <c r="C563" t="s">
        <v>693</v>
      </c>
      <c r="D563" t="s">
        <v>9</v>
      </c>
      <c r="E563" s="9">
        <v>2000</v>
      </c>
      <c r="F563" s="9">
        <v>2000</v>
      </c>
      <c r="G563" s="9">
        <v>1400</v>
      </c>
      <c r="I563" t="s">
        <v>694</v>
      </c>
      <c r="J563" t="s">
        <v>460</v>
      </c>
      <c r="K563" t="s">
        <v>11</v>
      </c>
      <c r="L563" t="str">
        <f t="shared" si="2"/>
        <v>9791191562187</v>
      </c>
    </row>
    <row r="564" spans="1:12">
      <c r="A564" s="8">
        <v>44638.700416666667</v>
      </c>
      <c r="B564">
        <v>291088925</v>
      </c>
      <c r="C564" t="s">
        <v>693</v>
      </c>
      <c r="D564" t="s">
        <v>9</v>
      </c>
      <c r="E564" s="9">
        <v>2000</v>
      </c>
      <c r="F564" s="9">
        <v>2000</v>
      </c>
      <c r="G564" s="9">
        <v>1400</v>
      </c>
      <c r="I564" t="s">
        <v>694</v>
      </c>
      <c r="J564" t="s">
        <v>460</v>
      </c>
      <c r="K564" t="s">
        <v>11</v>
      </c>
      <c r="L564" t="str">
        <f t="shared" si="2"/>
        <v>9791191562187</v>
      </c>
    </row>
    <row r="565" spans="1:12">
      <c r="A565" s="8">
        <v>44638.705266203702</v>
      </c>
      <c r="B565">
        <v>291088925</v>
      </c>
      <c r="C565" t="s">
        <v>693</v>
      </c>
      <c r="D565" t="s">
        <v>9</v>
      </c>
      <c r="E565" s="9">
        <v>2000</v>
      </c>
      <c r="F565" s="9">
        <v>2000</v>
      </c>
      <c r="G565" s="9">
        <v>1400</v>
      </c>
      <c r="I565" t="s">
        <v>694</v>
      </c>
      <c r="J565" t="s">
        <v>460</v>
      </c>
      <c r="K565" t="s">
        <v>11</v>
      </c>
      <c r="L565" t="str">
        <f t="shared" si="2"/>
        <v>9791191562187</v>
      </c>
    </row>
    <row r="566" spans="1:12">
      <c r="A566" s="8">
        <v>44638.712708333333</v>
      </c>
      <c r="B566">
        <v>291088925</v>
      </c>
      <c r="C566" t="s">
        <v>693</v>
      </c>
      <c r="D566" t="s">
        <v>9</v>
      </c>
      <c r="E566" s="9">
        <v>2000</v>
      </c>
      <c r="F566" s="9">
        <v>2000</v>
      </c>
      <c r="G566" s="9">
        <v>1400</v>
      </c>
      <c r="I566" t="s">
        <v>694</v>
      </c>
      <c r="J566" t="s">
        <v>460</v>
      </c>
      <c r="K566" t="s">
        <v>11</v>
      </c>
      <c r="L566" t="str">
        <f t="shared" si="2"/>
        <v>9791191562187</v>
      </c>
    </row>
    <row r="567" spans="1:12">
      <c r="A567" s="8">
        <v>44638.715416666666</v>
      </c>
      <c r="B567">
        <v>291088925</v>
      </c>
      <c r="C567" t="s">
        <v>693</v>
      </c>
      <c r="D567" t="s">
        <v>9</v>
      </c>
      <c r="E567" s="9">
        <v>2000</v>
      </c>
      <c r="F567" s="9">
        <v>2000</v>
      </c>
      <c r="G567" s="9">
        <v>1400</v>
      </c>
      <c r="I567" t="s">
        <v>694</v>
      </c>
      <c r="J567" t="s">
        <v>460</v>
      </c>
      <c r="K567" t="s">
        <v>11</v>
      </c>
      <c r="L567" t="str">
        <f t="shared" si="2"/>
        <v>9791191562187</v>
      </c>
    </row>
    <row r="568" spans="1:12">
      <c r="A568" s="8">
        <v>44638.729131944441</v>
      </c>
      <c r="B568">
        <v>290197934</v>
      </c>
      <c r="C568" t="s">
        <v>604</v>
      </c>
      <c r="D568" t="s">
        <v>9</v>
      </c>
      <c r="E568" s="9">
        <v>2000</v>
      </c>
      <c r="F568" s="9">
        <v>2000</v>
      </c>
      <c r="G568" s="9">
        <v>1400</v>
      </c>
      <c r="I568" t="s">
        <v>605</v>
      </c>
      <c r="J568" t="s">
        <v>460</v>
      </c>
      <c r="K568" t="s">
        <v>11</v>
      </c>
      <c r="L568" t="str">
        <f>T("9791191562163")</f>
        <v>9791191562163</v>
      </c>
    </row>
    <row r="569" spans="1:12">
      <c r="A569" s="8">
        <v>44638.763101851851</v>
      </c>
      <c r="B569">
        <v>289956908</v>
      </c>
      <c r="C569" t="s">
        <v>481</v>
      </c>
      <c r="D569" t="s">
        <v>9</v>
      </c>
      <c r="E569" s="9">
        <v>2000</v>
      </c>
      <c r="F569" s="9">
        <v>2000</v>
      </c>
      <c r="G569" s="9">
        <v>1400</v>
      </c>
      <c r="I569" t="s">
        <v>457</v>
      </c>
      <c r="J569" t="s">
        <v>460</v>
      </c>
      <c r="K569" t="s">
        <v>11</v>
      </c>
      <c r="L569" t="str">
        <f>T("9791191562040")</f>
        <v>9791191562040</v>
      </c>
    </row>
    <row r="570" spans="1:12">
      <c r="A570" s="8">
        <v>44638.79005787037</v>
      </c>
      <c r="B570">
        <v>291088925</v>
      </c>
      <c r="C570" t="s">
        <v>693</v>
      </c>
      <c r="D570" t="s">
        <v>9</v>
      </c>
      <c r="E570" s="9">
        <v>2000</v>
      </c>
      <c r="F570" s="9">
        <v>2000</v>
      </c>
      <c r="G570" s="9">
        <v>1400</v>
      </c>
      <c r="I570" t="s">
        <v>694</v>
      </c>
      <c r="J570" t="s">
        <v>460</v>
      </c>
      <c r="K570" t="s">
        <v>11</v>
      </c>
      <c r="L570" t="str">
        <f>T("9791191562187")</f>
        <v>9791191562187</v>
      </c>
    </row>
    <row r="571" spans="1:12">
      <c r="A571" s="8">
        <v>44638.808611111112</v>
      </c>
      <c r="B571">
        <v>291088925</v>
      </c>
      <c r="C571" t="s">
        <v>693</v>
      </c>
      <c r="D571" t="s">
        <v>9</v>
      </c>
      <c r="E571" s="9">
        <v>2000</v>
      </c>
      <c r="F571" s="9">
        <v>2000</v>
      </c>
      <c r="G571" s="9">
        <v>1400</v>
      </c>
      <c r="I571" t="s">
        <v>694</v>
      </c>
      <c r="J571" t="s">
        <v>460</v>
      </c>
      <c r="K571" t="s">
        <v>11</v>
      </c>
      <c r="L571" t="str">
        <f>T("9791191562187")</f>
        <v>9791191562187</v>
      </c>
    </row>
    <row r="572" spans="1:12">
      <c r="A572" s="8">
        <v>44638.820254629631</v>
      </c>
      <c r="B572">
        <v>291088925</v>
      </c>
      <c r="C572" t="s">
        <v>693</v>
      </c>
      <c r="D572" t="s">
        <v>9</v>
      </c>
      <c r="E572" s="9">
        <v>2000</v>
      </c>
      <c r="F572" s="9">
        <v>2000</v>
      </c>
      <c r="G572" s="9">
        <v>1400</v>
      </c>
      <c r="I572" t="s">
        <v>694</v>
      </c>
      <c r="J572" t="s">
        <v>460</v>
      </c>
      <c r="K572" t="s">
        <v>11</v>
      </c>
      <c r="L572" t="str">
        <f>T("9791191562187")</f>
        <v>9791191562187</v>
      </c>
    </row>
    <row r="573" spans="1:12">
      <c r="A573" s="8">
        <v>44638.826979166668</v>
      </c>
      <c r="B573">
        <v>290963570</v>
      </c>
      <c r="C573" t="s">
        <v>683</v>
      </c>
      <c r="D573" t="s">
        <v>9</v>
      </c>
      <c r="E573">
        <v>0</v>
      </c>
      <c r="F573">
        <v>0</v>
      </c>
      <c r="G573">
        <v>0</v>
      </c>
      <c r="I573" t="s">
        <v>684</v>
      </c>
      <c r="J573" t="s">
        <v>11</v>
      </c>
      <c r="K573" t="s">
        <v>11</v>
      </c>
      <c r="L573" t="str">
        <f>T("9791137603332")</f>
        <v>9791137603332</v>
      </c>
    </row>
    <row r="574" spans="1:12">
      <c r="A574" s="8">
        <v>44638.833101851851</v>
      </c>
      <c r="B574">
        <v>290964569</v>
      </c>
      <c r="C574" t="s">
        <v>700</v>
      </c>
      <c r="D574" t="s">
        <v>9</v>
      </c>
      <c r="E574" s="9">
        <v>16000</v>
      </c>
      <c r="F574" s="9">
        <v>16000</v>
      </c>
      <c r="G574" s="9">
        <v>11200</v>
      </c>
      <c r="I574" t="s">
        <v>684</v>
      </c>
      <c r="J574" t="s">
        <v>11</v>
      </c>
      <c r="K574" t="s">
        <v>11</v>
      </c>
      <c r="L574" t="str">
        <f>T("9791137603547")</f>
        <v>9791137603547</v>
      </c>
    </row>
    <row r="575" spans="1:12">
      <c r="A575" s="8">
        <v>44638.837222222224</v>
      </c>
      <c r="B575">
        <v>291088925</v>
      </c>
      <c r="C575" t="s">
        <v>693</v>
      </c>
      <c r="D575" t="s">
        <v>9</v>
      </c>
      <c r="E575" s="9">
        <v>2000</v>
      </c>
      <c r="F575" s="9">
        <v>2000</v>
      </c>
      <c r="G575" s="9">
        <v>1400</v>
      </c>
      <c r="I575" t="s">
        <v>694</v>
      </c>
      <c r="J575" t="s">
        <v>460</v>
      </c>
      <c r="K575" t="s">
        <v>11</v>
      </c>
      <c r="L575" t="str">
        <f>T("9791191562187")</f>
        <v>9791191562187</v>
      </c>
    </row>
    <row r="576" spans="1:12">
      <c r="A576" s="8">
        <v>44638.874745370369</v>
      </c>
      <c r="B576">
        <v>290197934</v>
      </c>
      <c r="C576" t="s">
        <v>604</v>
      </c>
      <c r="D576" t="s">
        <v>9</v>
      </c>
      <c r="E576" s="9">
        <v>2000</v>
      </c>
      <c r="F576" s="9">
        <v>2000</v>
      </c>
      <c r="G576" s="9">
        <v>1400</v>
      </c>
      <c r="I576" t="s">
        <v>605</v>
      </c>
      <c r="J576" t="s">
        <v>460</v>
      </c>
      <c r="K576" t="s">
        <v>11</v>
      </c>
      <c r="L576" t="str">
        <f>T("9791191562163")</f>
        <v>9791191562163</v>
      </c>
    </row>
    <row r="577" spans="1:12">
      <c r="A577" s="8">
        <v>44638.877303240741</v>
      </c>
      <c r="B577">
        <v>291088925</v>
      </c>
      <c r="C577" t="s">
        <v>693</v>
      </c>
      <c r="D577" t="s">
        <v>9</v>
      </c>
      <c r="E577" s="9">
        <v>2000</v>
      </c>
      <c r="F577" s="9">
        <v>2000</v>
      </c>
      <c r="G577" s="9">
        <v>1400</v>
      </c>
      <c r="I577" t="s">
        <v>694</v>
      </c>
      <c r="J577" t="s">
        <v>460</v>
      </c>
      <c r="K577" t="s">
        <v>11</v>
      </c>
      <c r="L577" t="str">
        <f>T("9791191562187")</f>
        <v>9791191562187</v>
      </c>
    </row>
    <row r="578" spans="1:12">
      <c r="A578" s="8">
        <v>44638.891921296294</v>
      </c>
      <c r="B578">
        <v>291088925</v>
      </c>
      <c r="C578" t="s">
        <v>693</v>
      </c>
      <c r="D578" t="s">
        <v>9</v>
      </c>
      <c r="E578" s="9">
        <v>2000</v>
      </c>
      <c r="F578" s="9">
        <v>2000</v>
      </c>
      <c r="G578" s="9">
        <v>1400</v>
      </c>
      <c r="I578" t="s">
        <v>694</v>
      </c>
      <c r="J578" t="s">
        <v>460</v>
      </c>
      <c r="K578" t="s">
        <v>11</v>
      </c>
      <c r="L578" t="str">
        <f>T("9791191562187")</f>
        <v>9791191562187</v>
      </c>
    </row>
    <row r="579" spans="1:12">
      <c r="A579" s="8">
        <v>44638.895208333335</v>
      </c>
      <c r="B579">
        <v>291088925</v>
      </c>
      <c r="C579" t="s">
        <v>693</v>
      </c>
      <c r="D579" t="s">
        <v>9</v>
      </c>
      <c r="E579" s="9">
        <v>2000</v>
      </c>
      <c r="F579" s="9">
        <v>2000</v>
      </c>
      <c r="G579" s="9">
        <v>1400</v>
      </c>
      <c r="I579" t="s">
        <v>694</v>
      </c>
      <c r="J579" t="s">
        <v>460</v>
      </c>
      <c r="K579" t="s">
        <v>11</v>
      </c>
      <c r="L579" t="str">
        <f>T("9791191562187")</f>
        <v>9791191562187</v>
      </c>
    </row>
    <row r="580" spans="1:12">
      <c r="A580" s="8">
        <v>44638.90215277778</v>
      </c>
      <c r="B580">
        <v>289315562</v>
      </c>
      <c r="C580" t="s">
        <v>478</v>
      </c>
      <c r="D580" t="s">
        <v>9</v>
      </c>
      <c r="E580" s="9">
        <v>3000</v>
      </c>
      <c r="F580" s="9">
        <v>3000</v>
      </c>
      <c r="G580" s="9">
        <v>2100</v>
      </c>
      <c r="I580" t="s">
        <v>454</v>
      </c>
      <c r="J580" t="s">
        <v>460</v>
      </c>
      <c r="K580" t="s">
        <v>11</v>
      </c>
      <c r="L580" t="str">
        <f>T("9791191562101")</f>
        <v>9791191562101</v>
      </c>
    </row>
    <row r="581" spans="1:12">
      <c r="A581" s="8">
        <v>44638.902673611112</v>
      </c>
      <c r="B581">
        <v>276449000</v>
      </c>
      <c r="C581" t="s">
        <v>701</v>
      </c>
      <c r="D581" t="s">
        <v>12</v>
      </c>
      <c r="E581" s="9">
        <v>2000</v>
      </c>
      <c r="F581" s="9">
        <v>2000</v>
      </c>
      <c r="G581" s="9">
        <v>1400</v>
      </c>
      <c r="I581" t="s">
        <v>702</v>
      </c>
      <c r="J581" t="s">
        <v>11</v>
      </c>
      <c r="K581" t="s">
        <v>11</v>
      </c>
      <c r="L581" t="str">
        <f>T("9791137600393")</f>
        <v>9791137600393</v>
      </c>
    </row>
    <row r="582" spans="1:12">
      <c r="A582" s="8">
        <v>44638.902673611112</v>
      </c>
      <c r="B582">
        <v>276448999</v>
      </c>
      <c r="C582" t="s">
        <v>703</v>
      </c>
      <c r="D582" t="s">
        <v>12</v>
      </c>
      <c r="E582" s="9">
        <v>2000</v>
      </c>
      <c r="F582" s="9">
        <v>2000</v>
      </c>
      <c r="G582" s="9">
        <v>1400</v>
      </c>
      <c r="I582" t="s">
        <v>702</v>
      </c>
      <c r="J582" t="s">
        <v>11</v>
      </c>
      <c r="K582" t="s">
        <v>11</v>
      </c>
      <c r="L582" t="str">
        <f>T("9791137600409")</f>
        <v>9791137600409</v>
      </c>
    </row>
    <row r="583" spans="1:12">
      <c r="A583" s="8">
        <v>44638.918321759258</v>
      </c>
      <c r="B583">
        <v>291088925</v>
      </c>
      <c r="C583" t="s">
        <v>693</v>
      </c>
      <c r="D583" t="s">
        <v>9</v>
      </c>
      <c r="E583" s="9">
        <v>2000</v>
      </c>
      <c r="F583" s="9">
        <v>2000</v>
      </c>
      <c r="G583" s="9">
        <v>1400</v>
      </c>
      <c r="I583" t="s">
        <v>694</v>
      </c>
      <c r="J583" t="s">
        <v>460</v>
      </c>
      <c r="K583" t="s">
        <v>11</v>
      </c>
      <c r="L583" t="str">
        <f>T("9791191562187")</f>
        <v>9791191562187</v>
      </c>
    </row>
    <row r="584" spans="1:12">
      <c r="A584" s="8">
        <v>44638.927523148152</v>
      </c>
      <c r="B584">
        <v>170138826</v>
      </c>
      <c r="C584" t="s">
        <v>490</v>
      </c>
      <c r="D584" t="s">
        <v>9</v>
      </c>
      <c r="E584">
        <v>0</v>
      </c>
      <c r="F584">
        <v>0</v>
      </c>
      <c r="G584">
        <v>0</v>
      </c>
      <c r="I584" t="s">
        <v>14</v>
      </c>
      <c r="J584" t="s">
        <v>601</v>
      </c>
      <c r="K584" t="s">
        <v>11</v>
      </c>
      <c r="L584" t="str">
        <f>T("9788928091126")</f>
        <v>9788928091126</v>
      </c>
    </row>
    <row r="585" spans="1:12">
      <c r="A585" s="8">
        <v>44638.931979166664</v>
      </c>
      <c r="B585">
        <v>290197934</v>
      </c>
      <c r="C585" t="s">
        <v>604</v>
      </c>
      <c r="D585" t="s">
        <v>9</v>
      </c>
      <c r="E585" s="9">
        <v>2000</v>
      </c>
      <c r="F585" s="9">
        <v>2000</v>
      </c>
      <c r="G585" s="9">
        <v>1400</v>
      </c>
      <c r="I585" t="s">
        <v>605</v>
      </c>
      <c r="J585" t="s">
        <v>460</v>
      </c>
      <c r="K585" t="s">
        <v>11</v>
      </c>
      <c r="L585" t="str">
        <f>T("9791191562163")</f>
        <v>9791191562163</v>
      </c>
    </row>
    <row r="586" spans="1:12">
      <c r="A586" s="8">
        <v>44638.933078703703</v>
      </c>
      <c r="B586">
        <v>291088925</v>
      </c>
      <c r="C586" t="s">
        <v>693</v>
      </c>
      <c r="D586" t="s">
        <v>9</v>
      </c>
      <c r="E586" s="9">
        <v>2000</v>
      </c>
      <c r="F586" s="9">
        <v>2000</v>
      </c>
      <c r="G586" s="9">
        <v>1400</v>
      </c>
      <c r="I586" t="s">
        <v>694</v>
      </c>
      <c r="J586" t="s">
        <v>460</v>
      </c>
      <c r="K586" t="s">
        <v>11</v>
      </c>
      <c r="L586" t="str">
        <f>T("9791191562187")</f>
        <v>9791191562187</v>
      </c>
    </row>
    <row r="587" spans="1:12">
      <c r="A587" s="8">
        <v>44638.939236111109</v>
      </c>
      <c r="B587">
        <v>289658948</v>
      </c>
      <c r="C587" t="s">
        <v>580</v>
      </c>
      <c r="D587" t="s">
        <v>9</v>
      </c>
      <c r="E587" s="9">
        <v>3600</v>
      </c>
      <c r="F587" s="9">
        <v>3600</v>
      </c>
      <c r="G587" s="9">
        <v>2520</v>
      </c>
      <c r="I587" t="s">
        <v>455</v>
      </c>
      <c r="J587" t="s">
        <v>460</v>
      </c>
      <c r="K587" t="s">
        <v>11</v>
      </c>
      <c r="L587" t="str">
        <f>T("9791191562095")</f>
        <v>9791191562095</v>
      </c>
    </row>
    <row r="588" spans="1:12">
      <c r="A588" s="8">
        <v>44638.94091435185</v>
      </c>
      <c r="B588">
        <v>290197934</v>
      </c>
      <c r="C588" t="s">
        <v>604</v>
      </c>
      <c r="D588" t="s">
        <v>9</v>
      </c>
      <c r="E588" s="9">
        <v>2000</v>
      </c>
      <c r="F588" s="9">
        <v>2000</v>
      </c>
      <c r="G588" s="9">
        <v>1400</v>
      </c>
      <c r="I588" t="s">
        <v>605</v>
      </c>
      <c r="J588" t="s">
        <v>460</v>
      </c>
      <c r="K588" t="s">
        <v>11</v>
      </c>
      <c r="L588" t="str">
        <f>T("9791191562163")</f>
        <v>9791191562163</v>
      </c>
    </row>
    <row r="589" spans="1:12">
      <c r="A589" s="8">
        <v>44638.950439814813</v>
      </c>
      <c r="B589">
        <v>276449001</v>
      </c>
      <c r="C589" t="s">
        <v>704</v>
      </c>
      <c r="D589" t="s">
        <v>12</v>
      </c>
      <c r="E589" s="9">
        <v>2000</v>
      </c>
      <c r="F589" s="9">
        <v>2000</v>
      </c>
      <c r="G589" s="9">
        <v>1400</v>
      </c>
      <c r="I589" t="s">
        <v>702</v>
      </c>
      <c r="J589" t="s">
        <v>11</v>
      </c>
      <c r="K589" t="s">
        <v>11</v>
      </c>
      <c r="L589" t="str">
        <f>T("9791137600416")</f>
        <v>9791137600416</v>
      </c>
    </row>
    <row r="590" spans="1:12">
      <c r="A590" s="8">
        <v>44638.965717592589</v>
      </c>
      <c r="B590">
        <v>291088925</v>
      </c>
      <c r="C590" t="s">
        <v>693</v>
      </c>
      <c r="D590" t="s">
        <v>9</v>
      </c>
      <c r="E590" s="9">
        <v>2000</v>
      </c>
      <c r="F590" s="9">
        <v>2000</v>
      </c>
      <c r="G590" s="9">
        <v>1400</v>
      </c>
      <c r="I590" t="s">
        <v>694</v>
      </c>
      <c r="J590" t="s">
        <v>460</v>
      </c>
      <c r="K590" t="s">
        <v>11</v>
      </c>
      <c r="L590" t="str">
        <f>T("9791191562187")</f>
        <v>9791191562187</v>
      </c>
    </row>
    <row r="591" spans="1:12">
      <c r="A591" s="8">
        <v>44638.967731481483</v>
      </c>
      <c r="B591">
        <v>291088925</v>
      </c>
      <c r="C591" t="s">
        <v>693</v>
      </c>
      <c r="D591" t="s">
        <v>9</v>
      </c>
      <c r="E591" s="9">
        <v>2000</v>
      </c>
      <c r="F591" s="9">
        <v>2000</v>
      </c>
      <c r="G591" s="9">
        <v>1400</v>
      </c>
      <c r="I591" t="s">
        <v>694</v>
      </c>
      <c r="J591" t="s">
        <v>460</v>
      </c>
      <c r="K591" t="s">
        <v>11</v>
      </c>
      <c r="L591" t="str">
        <f>T("9791191562187")</f>
        <v>9791191562187</v>
      </c>
    </row>
    <row r="592" spans="1:12">
      <c r="A592" s="8">
        <v>44638.970810185187</v>
      </c>
      <c r="B592">
        <v>289315562</v>
      </c>
      <c r="C592" t="s">
        <v>478</v>
      </c>
      <c r="D592" t="s">
        <v>9</v>
      </c>
      <c r="E592" s="9">
        <v>3000</v>
      </c>
      <c r="F592" s="9">
        <v>3000</v>
      </c>
      <c r="G592" s="9">
        <v>2100</v>
      </c>
      <c r="I592" t="s">
        <v>454</v>
      </c>
      <c r="J592" t="s">
        <v>460</v>
      </c>
      <c r="K592" t="s">
        <v>11</v>
      </c>
      <c r="L592" t="str">
        <f>T("9791191562101")</f>
        <v>9791191562101</v>
      </c>
    </row>
    <row r="593" spans="1:12">
      <c r="A593" s="8">
        <v>44638.973055555558</v>
      </c>
      <c r="B593">
        <v>291088925</v>
      </c>
      <c r="C593" t="s">
        <v>693</v>
      </c>
      <c r="D593" t="s">
        <v>9</v>
      </c>
      <c r="E593" s="9">
        <v>2000</v>
      </c>
      <c r="F593" s="9">
        <v>2000</v>
      </c>
      <c r="G593" s="9">
        <v>1400</v>
      </c>
      <c r="I593" t="s">
        <v>694</v>
      </c>
      <c r="J593" t="s">
        <v>460</v>
      </c>
      <c r="K593" t="s">
        <v>11</v>
      </c>
      <c r="L593" t="str">
        <f>T("9791191562187")</f>
        <v>9791191562187</v>
      </c>
    </row>
    <row r="594" spans="1:12">
      <c r="A594" s="8">
        <v>44638.978333333333</v>
      </c>
      <c r="B594">
        <v>291088925</v>
      </c>
      <c r="C594" t="s">
        <v>693</v>
      </c>
      <c r="D594" t="s">
        <v>9</v>
      </c>
      <c r="E594" s="9">
        <v>2000</v>
      </c>
      <c r="F594" s="9">
        <v>2000</v>
      </c>
      <c r="G594" s="9">
        <v>1400</v>
      </c>
      <c r="I594" t="s">
        <v>694</v>
      </c>
      <c r="J594" t="s">
        <v>460</v>
      </c>
      <c r="K594" t="s">
        <v>11</v>
      </c>
      <c r="L594" t="str">
        <f>T("9791191562187")</f>
        <v>9791191562187</v>
      </c>
    </row>
    <row r="595" spans="1:12">
      <c r="A595" s="8">
        <v>44638.979201388887</v>
      </c>
      <c r="B595">
        <v>179742025</v>
      </c>
      <c r="C595" t="s">
        <v>705</v>
      </c>
      <c r="D595" t="s">
        <v>9</v>
      </c>
      <c r="E595" s="9">
        <v>7000</v>
      </c>
      <c r="F595" s="9">
        <v>6300</v>
      </c>
      <c r="G595" s="9">
        <v>4410</v>
      </c>
      <c r="I595" t="s">
        <v>636</v>
      </c>
      <c r="J595" t="s">
        <v>588</v>
      </c>
      <c r="K595" t="s">
        <v>11</v>
      </c>
      <c r="L595" t="str">
        <f>T("9791190132336")</f>
        <v>9791190132336</v>
      </c>
    </row>
    <row r="596" spans="1:12">
      <c r="A596" s="8">
        <v>44639.010451388887</v>
      </c>
      <c r="B596">
        <v>291088925</v>
      </c>
      <c r="C596" t="s">
        <v>693</v>
      </c>
      <c r="D596" t="s">
        <v>9</v>
      </c>
      <c r="E596" s="9">
        <v>2000</v>
      </c>
      <c r="F596" s="9">
        <v>2000</v>
      </c>
      <c r="G596" s="9">
        <v>1400</v>
      </c>
      <c r="I596" t="s">
        <v>694</v>
      </c>
      <c r="J596" t="s">
        <v>460</v>
      </c>
      <c r="K596" t="s">
        <v>11</v>
      </c>
      <c r="L596" t="str">
        <f>T("9791191562187")</f>
        <v>9791191562187</v>
      </c>
    </row>
    <row r="597" spans="1:12">
      <c r="A597" s="8">
        <v>44639.032337962963</v>
      </c>
      <c r="B597">
        <v>284990475</v>
      </c>
      <c r="C597" t="s">
        <v>600</v>
      </c>
      <c r="D597" t="s">
        <v>9</v>
      </c>
      <c r="E597" s="9">
        <v>99200</v>
      </c>
      <c r="F597" s="9">
        <v>99200</v>
      </c>
      <c r="G597" s="9">
        <v>69440</v>
      </c>
      <c r="I597" t="s">
        <v>14</v>
      </c>
      <c r="J597" t="s">
        <v>601</v>
      </c>
      <c r="K597" t="s">
        <v>11</v>
      </c>
      <c r="L597" t="str">
        <f>T("9791137602922")</f>
        <v>9791137602922</v>
      </c>
    </row>
    <row r="598" spans="1:12">
      <c r="A598" s="8">
        <v>44639.066516203704</v>
      </c>
      <c r="B598">
        <v>290197934</v>
      </c>
      <c r="C598" t="s">
        <v>604</v>
      </c>
      <c r="D598" t="s">
        <v>9</v>
      </c>
      <c r="E598" s="9">
        <v>2000</v>
      </c>
      <c r="F598" s="9">
        <v>2000</v>
      </c>
      <c r="G598" s="9">
        <v>1400</v>
      </c>
      <c r="I598" t="s">
        <v>605</v>
      </c>
      <c r="J598" t="s">
        <v>460</v>
      </c>
      <c r="K598" t="s">
        <v>11</v>
      </c>
      <c r="L598" t="str">
        <f>T("9791191562163")</f>
        <v>9791191562163</v>
      </c>
    </row>
    <row r="599" spans="1:12">
      <c r="A599" s="8">
        <v>44639.172881944447</v>
      </c>
      <c r="B599">
        <v>176019268</v>
      </c>
      <c r="C599" t="s">
        <v>706</v>
      </c>
      <c r="D599" t="s">
        <v>9</v>
      </c>
      <c r="E599" s="9">
        <v>16000</v>
      </c>
      <c r="F599" s="9">
        <v>14400</v>
      </c>
      <c r="G599" s="9">
        <v>10080</v>
      </c>
      <c r="I599" t="s">
        <v>14</v>
      </c>
      <c r="J599" t="s">
        <v>482</v>
      </c>
      <c r="K599" t="s">
        <v>11</v>
      </c>
      <c r="L599" t="str">
        <f>T("")</f>
        <v/>
      </c>
    </row>
    <row r="600" spans="1:12">
      <c r="A600" s="8">
        <v>44639.300752314812</v>
      </c>
      <c r="B600">
        <v>291088925</v>
      </c>
      <c r="C600" t="s">
        <v>693</v>
      </c>
      <c r="D600" t="s">
        <v>9</v>
      </c>
      <c r="E600" s="9">
        <v>2000</v>
      </c>
      <c r="F600" s="9">
        <v>2000</v>
      </c>
      <c r="G600" s="9">
        <v>1400</v>
      </c>
      <c r="I600" t="s">
        <v>694</v>
      </c>
      <c r="J600" t="s">
        <v>460</v>
      </c>
      <c r="K600" t="s">
        <v>11</v>
      </c>
      <c r="L600" t="str">
        <f>T("9791191562187")</f>
        <v>9791191562187</v>
      </c>
    </row>
    <row r="601" spans="1:12">
      <c r="A601" s="8">
        <v>44639.309942129628</v>
      </c>
      <c r="B601">
        <v>290197934</v>
      </c>
      <c r="C601" t="s">
        <v>604</v>
      </c>
      <c r="D601" t="s">
        <v>9</v>
      </c>
      <c r="E601" s="9">
        <v>2000</v>
      </c>
      <c r="F601" s="9">
        <v>2000</v>
      </c>
      <c r="G601" s="9">
        <v>1400</v>
      </c>
      <c r="I601" t="s">
        <v>605</v>
      </c>
      <c r="J601" t="s">
        <v>460</v>
      </c>
      <c r="K601" t="s">
        <v>11</v>
      </c>
      <c r="L601" t="str">
        <f>T("9791191562163")</f>
        <v>9791191562163</v>
      </c>
    </row>
    <row r="602" spans="1:12">
      <c r="A602" s="8">
        <v>44639.347766203704</v>
      </c>
      <c r="B602">
        <v>291088925</v>
      </c>
      <c r="C602" t="s">
        <v>693</v>
      </c>
      <c r="D602" t="s">
        <v>9</v>
      </c>
      <c r="E602" s="9">
        <v>2000</v>
      </c>
      <c r="F602" s="9">
        <v>2000</v>
      </c>
      <c r="G602" s="9">
        <v>1400</v>
      </c>
      <c r="I602" t="s">
        <v>694</v>
      </c>
      <c r="J602" t="s">
        <v>460</v>
      </c>
      <c r="K602" t="s">
        <v>11</v>
      </c>
      <c r="L602" t="str">
        <f>T("9791191562187")</f>
        <v>9791191562187</v>
      </c>
    </row>
    <row r="603" spans="1:12">
      <c r="A603" s="8">
        <v>44639.363587962966</v>
      </c>
      <c r="B603">
        <v>291088925</v>
      </c>
      <c r="C603" t="s">
        <v>693</v>
      </c>
      <c r="D603" t="s">
        <v>9</v>
      </c>
      <c r="E603" s="9">
        <v>2000</v>
      </c>
      <c r="F603" s="9">
        <v>2000</v>
      </c>
      <c r="G603" s="9">
        <v>1400</v>
      </c>
      <c r="I603" t="s">
        <v>694</v>
      </c>
      <c r="J603" t="s">
        <v>460</v>
      </c>
      <c r="K603" t="s">
        <v>11</v>
      </c>
      <c r="L603" t="str">
        <f>T("9791191562187")</f>
        <v>9791191562187</v>
      </c>
    </row>
    <row r="604" spans="1:12">
      <c r="A604" s="8">
        <v>44639.420798611114</v>
      </c>
      <c r="B604">
        <v>290963607</v>
      </c>
      <c r="C604" t="s">
        <v>681</v>
      </c>
      <c r="D604" t="s">
        <v>9</v>
      </c>
      <c r="E604" s="9">
        <v>3500</v>
      </c>
      <c r="F604" s="9">
        <v>3500</v>
      </c>
      <c r="G604" s="9">
        <v>2450</v>
      </c>
      <c r="I604" t="s">
        <v>682</v>
      </c>
      <c r="J604" t="s">
        <v>460</v>
      </c>
      <c r="K604" t="s">
        <v>11</v>
      </c>
      <c r="L604" t="str">
        <f>T("9791191562132")</f>
        <v>9791191562132</v>
      </c>
    </row>
    <row r="605" spans="1:12">
      <c r="A605" s="8">
        <v>44639.422442129631</v>
      </c>
      <c r="B605">
        <v>290197934</v>
      </c>
      <c r="C605" t="s">
        <v>604</v>
      </c>
      <c r="D605" t="s">
        <v>9</v>
      </c>
      <c r="E605" s="9">
        <v>2000</v>
      </c>
      <c r="F605" s="9">
        <v>2000</v>
      </c>
      <c r="G605" s="9">
        <v>1400</v>
      </c>
      <c r="I605" t="s">
        <v>605</v>
      </c>
      <c r="J605" t="s">
        <v>460</v>
      </c>
      <c r="K605" t="s">
        <v>11</v>
      </c>
      <c r="L605" t="str">
        <f>T("9791191562163")</f>
        <v>9791191562163</v>
      </c>
    </row>
    <row r="606" spans="1:12">
      <c r="A606" s="8">
        <v>44639.428599537037</v>
      </c>
      <c r="B606">
        <v>289315562</v>
      </c>
      <c r="C606" t="s">
        <v>478</v>
      </c>
      <c r="D606" t="s">
        <v>9</v>
      </c>
      <c r="E606" s="9">
        <v>3000</v>
      </c>
      <c r="F606" s="9">
        <v>3000</v>
      </c>
      <c r="G606" s="9">
        <v>2100</v>
      </c>
      <c r="I606" t="s">
        <v>454</v>
      </c>
      <c r="J606" t="s">
        <v>460</v>
      </c>
      <c r="K606" t="s">
        <v>11</v>
      </c>
      <c r="L606" t="str">
        <f>T("9791191562101")</f>
        <v>9791191562101</v>
      </c>
    </row>
    <row r="607" spans="1:12">
      <c r="A607" s="8">
        <v>44639.442025462966</v>
      </c>
      <c r="B607">
        <v>48806274</v>
      </c>
      <c r="C607" t="s">
        <v>562</v>
      </c>
      <c r="D607" t="s">
        <v>9</v>
      </c>
      <c r="E607" s="9">
        <v>3200</v>
      </c>
      <c r="F607" s="9">
        <v>3200</v>
      </c>
      <c r="G607" s="9">
        <v>2240</v>
      </c>
      <c r="I607" t="s">
        <v>10</v>
      </c>
      <c r="J607" t="s">
        <v>11</v>
      </c>
      <c r="K607" t="s">
        <v>11</v>
      </c>
      <c r="L607" t="str">
        <f>T("9791159283390")</f>
        <v>9791159283390</v>
      </c>
    </row>
    <row r="608" spans="1:12">
      <c r="A608" s="8">
        <v>44639.453460648147</v>
      </c>
      <c r="B608">
        <v>291088925</v>
      </c>
      <c r="C608" t="s">
        <v>693</v>
      </c>
      <c r="D608" t="s">
        <v>9</v>
      </c>
      <c r="E608" s="9">
        <v>2000</v>
      </c>
      <c r="F608" s="9">
        <v>2000</v>
      </c>
      <c r="G608" s="9">
        <v>1400</v>
      </c>
      <c r="I608" t="s">
        <v>694</v>
      </c>
      <c r="J608" t="s">
        <v>460</v>
      </c>
      <c r="K608" t="s">
        <v>11</v>
      </c>
      <c r="L608" t="str">
        <f>T("9791191562187")</f>
        <v>9791191562187</v>
      </c>
    </row>
    <row r="609" spans="1:12">
      <c r="A609" s="8">
        <v>44639.520300925928</v>
      </c>
      <c r="B609">
        <v>291088925</v>
      </c>
      <c r="C609" t="s">
        <v>693</v>
      </c>
      <c r="D609" t="s">
        <v>9</v>
      </c>
      <c r="E609" s="9">
        <v>2000</v>
      </c>
      <c r="F609" s="9">
        <v>2000</v>
      </c>
      <c r="G609" s="9">
        <v>1400</v>
      </c>
      <c r="I609" t="s">
        <v>694</v>
      </c>
      <c r="J609" t="s">
        <v>460</v>
      </c>
      <c r="K609" t="s">
        <v>11</v>
      </c>
      <c r="L609" t="str">
        <f>T("9791191562187")</f>
        <v>9791191562187</v>
      </c>
    </row>
    <row r="610" spans="1:12">
      <c r="A610" s="8">
        <v>44639.586226851854</v>
      </c>
      <c r="B610">
        <v>291088925</v>
      </c>
      <c r="C610" t="s">
        <v>693</v>
      </c>
      <c r="D610" t="s">
        <v>9</v>
      </c>
      <c r="E610" s="9">
        <v>2000</v>
      </c>
      <c r="F610" s="9">
        <v>2000</v>
      </c>
      <c r="G610" s="9">
        <v>1400</v>
      </c>
      <c r="I610" t="s">
        <v>694</v>
      </c>
      <c r="J610" t="s">
        <v>460</v>
      </c>
      <c r="K610" t="s">
        <v>11</v>
      </c>
      <c r="L610" t="str">
        <f>T("9791191562187")</f>
        <v>9791191562187</v>
      </c>
    </row>
    <row r="611" spans="1:12">
      <c r="A611" s="8">
        <v>44639.604537037034</v>
      </c>
      <c r="B611">
        <v>291088925</v>
      </c>
      <c r="C611" t="s">
        <v>693</v>
      </c>
      <c r="D611" t="s">
        <v>9</v>
      </c>
      <c r="E611" s="9">
        <v>2000</v>
      </c>
      <c r="F611" s="9">
        <v>2000</v>
      </c>
      <c r="G611" s="9">
        <v>1400</v>
      </c>
      <c r="I611" t="s">
        <v>694</v>
      </c>
      <c r="J611" t="s">
        <v>460</v>
      </c>
      <c r="K611" t="s">
        <v>11</v>
      </c>
      <c r="L611" t="str">
        <f>T("9791191562187")</f>
        <v>9791191562187</v>
      </c>
    </row>
    <row r="612" spans="1:12">
      <c r="A612" s="8">
        <v>44639.608171296299</v>
      </c>
      <c r="B612">
        <v>291088925</v>
      </c>
      <c r="C612" t="s">
        <v>693</v>
      </c>
      <c r="D612" t="s">
        <v>9</v>
      </c>
      <c r="E612" s="9">
        <v>2000</v>
      </c>
      <c r="F612" s="9">
        <v>2000</v>
      </c>
      <c r="G612" s="9">
        <v>1400</v>
      </c>
      <c r="I612" t="s">
        <v>694</v>
      </c>
      <c r="J612" t="s">
        <v>460</v>
      </c>
      <c r="K612" t="s">
        <v>11</v>
      </c>
      <c r="L612" t="str">
        <f>T("9791191562187")</f>
        <v>9791191562187</v>
      </c>
    </row>
    <row r="613" spans="1:12">
      <c r="A613" s="8">
        <v>44639.663240740738</v>
      </c>
      <c r="B613">
        <v>290827241</v>
      </c>
      <c r="C613" t="s">
        <v>646</v>
      </c>
      <c r="D613" t="s">
        <v>9</v>
      </c>
      <c r="E613" s="9">
        <v>2000</v>
      </c>
      <c r="F613" s="9">
        <v>2000</v>
      </c>
      <c r="G613" s="9">
        <v>1400</v>
      </c>
      <c r="I613" t="s">
        <v>647</v>
      </c>
      <c r="J613" t="s">
        <v>460</v>
      </c>
      <c r="K613" t="s">
        <v>11</v>
      </c>
      <c r="L613" t="str">
        <f>T("9791191562149")</f>
        <v>9791191562149</v>
      </c>
    </row>
    <row r="614" spans="1:12">
      <c r="A614" s="8">
        <v>44639.704699074071</v>
      </c>
      <c r="B614">
        <v>291088925</v>
      </c>
      <c r="C614" t="s">
        <v>693</v>
      </c>
      <c r="D614" t="s">
        <v>9</v>
      </c>
      <c r="E614" s="9">
        <v>2000</v>
      </c>
      <c r="F614" s="9">
        <v>2000</v>
      </c>
      <c r="G614" s="9">
        <v>1400</v>
      </c>
      <c r="I614" t="s">
        <v>694</v>
      </c>
      <c r="J614" t="s">
        <v>460</v>
      </c>
      <c r="K614" t="s">
        <v>11</v>
      </c>
      <c r="L614" t="str">
        <f>T("9791191562187")</f>
        <v>9791191562187</v>
      </c>
    </row>
    <row r="615" spans="1:12">
      <c r="A615" s="8">
        <v>44639.767187500001</v>
      </c>
      <c r="B615">
        <v>291088925</v>
      </c>
      <c r="C615" t="s">
        <v>693</v>
      </c>
      <c r="D615" t="s">
        <v>9</v>
      </c>
      <c r="E615" s="9">
        <v>2000</v>
      </c>
      <c r="F615" s="9">
        <v>2000</v>
      </c>
      <c r="G615" s="9">
        <v>1400</v>
      </c>
      <c r="I615" t="s">
        <v>694</v>
      </c>
      <c r="J615" t="s">
        <v>460</v>
      </c>
      <c r="K615" t="s">
        <v>11</v>
      </c>
      <c r="L615" t="str">
        <f>T("9791191562187")</f>
        <v>9791191562187</v>
      </c>
    </row>
    <row r="616" spans="1:12">
      <c r="A616" s="8">
        <v>44639.769768518519</v>
      </c>
      <c r="B616">
        <v>290197934</v>
      </c>
      <c r="C616" t="s">
        <v>604</v>
      </c>
      <c r="D616" t="s">
        <v>9</v>
      </c>
      <c r="E616" s="9">
        <v>2000</v>
      </c>
      <c r="F616" s="9">
        <v>2000</v>
      </c>
      <c r="G616" s="9">
        <v>1400</v>
      </c>
      <c r="I616" t="s">
        <v>605</v>
      </c>
      <c r="J616" t="s">
        <v>460</v>
      </c>
      <c r="K616" t="s">
        <v>11</v>
      </c>
      <c r="L616" t="str">
        <f>T("9791191562163")</f>
        <v>9791191562163</v>
      </c>
    </row>
    <row r="617" spans="1:12">
      <c r="A617" s="8">
        <v>44639.788657407407</v>
      </c>
      <c r="B617">
        <v>290084502</v>
      </c>
      <c r="C617" t="s">
        <v>592</v>
      </c>
      <c r="D617" t="s">
        <v>9</v>
      </c>
      <c r="E617" s="9">
        <v>2500</v>
      </c>
      <c r="F617" s="9">
        <v>2500</v>
      </c>
      <c r="G617" s="9">
        <v>1750</v>
      </c>
      <c r="I617" t="s">
        <v>593</v>
      </c>
      <c r="J617" t="s">
        <v>460</v>
      </c>
      <c r="K617" t="s">
        <v>11</v>
      </c>
      <c r="L617" t="str">
        <f>T("9791191562125")</f>
        <v>9791191562125</v>
      </c>
    </row>
    <row r="618" spans="1:12">
      <c r="A618" s="8">
        <v>44639.788657407407</v>
      </c>
      <c r="B618">
        <v>291088925</v>
      </c>
      <c r="C618" t="s">
        <v>693</v>
      </c>
      <c r="D618" t="s">
        <v>9</v>
      </c>
      <c r="E618" s="9">
        <v>2000</v>
      </c>
      <c r="F618" s="9">
        <v>2000</v>
      </c>
      <c r="G618" s="9">
        <v>1400</v>
      </c>
      <c r="I618" t="s">
        <v>694</v>
      </c>
      <c r="J618" t="s">
        <v>460</v>
      </c>
      <c r="K618" t="s">
        <v>11</v>
      </c>
      <c r="L618" t="str">
        <f>T("9791191562187")</f>
        <v>9791191562187</v>
      </c>
    </row>
    <row r="619" spans="1:12">
      <c r="A619" s="8">
        <v>44639.820914351854</v>
      </c>
      <c r="B619">
        <v>291088925</v>
      </c>
      <c r="C619" t="s">
        <v>693</v>
      </c>
      <c r="D619" t="s">
        <v>9</v>
      </c>
      <c r="E619" s="9">
        <v>2000</v>
      </c>
      <c r="F619" s="9">
        <v>2000</v>
      </c>
      <c r="G619" s="9">
        <v>1400</v>
      </c>
      <c r="I619" t="s">
        <v>694</v>
      </c>
      <c r="J619" t="s">
        <v>460</v>
      </c>
      <c r="K619" t="s">
        <v>11</v>
      </c>
      <c r="L619" t="str">
        <f>T("9791191562187")</f>
        <v>9791191562187</v>
      </c>
    </row>
    <row r="620" spans="1:12">
      <c r="A620" s="8">
        <v>44639.827210648145</v>
      </c>
      <c r="B620">
        <v>290197934</v>
      </c>
      <c r="C620" t="s">
        <v>604</v>
      </c>
      <c r="D620" t="s">
        <v>9</v>
      </c>
      <c r="E620" s="9">
        <v>2000</v>
      </c>
      <c r="F620" s="9">
        <v>2000</v>
      </c>
      <c r="G620" s="9">
        <v>1400</v>
      </c>
      <c r="I620" t="s">
        <v>605</v>
      </c>
      <c r="J620" t="s">
        <v>460</v>
      </c>
      <c r="K620" t="s">
        <v>11</v>
      </c>
      <c r="L620" t="str">
        <f>T("9791191562163")</f>
        <v>9791191562163</v>
      </c>
    </row>
    <row r="621" spans="1:12">
      <c r="A621" s="8">
        <v>44639.851840277777</v>
      </c>
      <c r="B621">
        <v>290197934</v>
      </c>
      <c r="C621" t="s">
        <v>604</v>
      </c>
      <c r="D621" t="s">
        <v>9</v>
      </c>
      <c r="E621" s="9">
        <v>2000</v>
      </c>
      <c r="F621" s="9">
        <v>2000</v>
      </c>
      <c r="G621" s="9">
        <v>1400</v>
      </c>
      <c r="I621" t="s">
        <v>605</v>
      </c>
      <c r="J621" t="s">
        <v>460</v>
      </c>
      <c r="K621" t="s">
        <v>11</v>
      </c>
      <c r="L621" t="str">
        <f>T("9791191562163")</f>
        <v>9791191562163</v>
      </c>
    </row>
    <row r="622" spans="1:12">
      <c r="A622" s="8">
        <v>44639.851840277777</v>
      </c>
      <c r="B622">
        <v>291088925</v>
      </c>
      <c r="C622" t="s">
        <v>693</v>
      </c>
      <c r="D622" t="s">
        <v>9</v>
      </c>
      <c r="E622" s="9">
        <v>2000</v>
      </c>
      <c r="F622" s="9">
        <v>2000</v>
      </c>
      <c r="G622" s="9">
        <v>1400</v>
      </c>
      <c r="I622" t="s">
        <v>694</v>
      </c>
      <c r="J622" t="s">
        <v>460</v>
      </c>
      <c r="K622" t="s">
        <v>11</v>
      </c>
      <c r="L622" t="str">
        <f>T("9791191562187")</f>
        <v>9791191562187</v>
      </c>
    </row>
    <row r="623" spans="1:12">
      <c r="A623" s="8">
        <v>44639.852453703701</v>
      </c>
      <c r="B623">
        <v>287834730</v>
      </c>
      <c r="C623" t="s">
        <v>275</v>
      </c>
      <c r="D623" t="s">
        <v>9</v>
      </c>
      <c r="E623" s="9">
        <v>2000</v>
      </c>
      <c r="F623" s="9">
        <v>2000</v>
      </c>
      <c r="G623" s="9">
        <v>1400</v>
      </c>
      <c r="I623" t="s">
        <v>169</v>
      </c>
      <c r="J623" t="s">
        <v>460</v>
      </c>
      <c r="K623" t="s">
        <v>11</v>
      </c>
      <c r="L623" t="str">
        <f>T("9791191562019")</f>
        <v>9791191562019</v>
      </c>
    </row>
    <row r="624" spans="1:12">
      <c r="A624" s="8">
        <v>44639.856608796297</v>
      </c>
      <c r="B624">
        <v>290963576</v>
      </c>
      <c r="C624" t="s">
        <v>685</v>
      </c>
      <c r="D624" t="s">
        <v>9</v>
      </c>
      <c r="E624">
        <v>0</v>
      </c>
      <c r="F624">
        <v>0</v>
      </c>
      <c r="G624">
        <v>0</v>
      </c>
      <c r="I624" t="s">
        <v>14</v>
      </c>
      <c r="J624" t="s">
        <v>11</v>
      </c>
      <c r="K624" t="s">
        <v>11</v>
      </c>
      <c r="L624" t="str">
        <f>T("9791137602809")</f>
        <v>9791137602809</v>
      </c>
    </row>
    <row r="625" spans="1:12">
      <c r="A625" s="8">
        <v>44639.85696759259</v>
      </c>
      <c r="B625">
        <v>290963632</v>
      </c>
      <c r="C625" t="s">
        <v>686</v>
      </c>
      <c r="D625" t="s">
        <v>9</v>
      </c>
      <c r="E625">
        <v>0</v>
      </c>
      <c r="F625">
        <v>0</v>
      </c>
      <c r="G625">
        <v>0</v>
      </c>
      <c r="I625" t="s">
        <v>14</v>
      </c>
      <c r="J625" t="s">
        <v>11</v>
      </c>
      <c r="K625" t="s">
        <v>11</v>
      </c>
      <c r="L625" t="str">
        <f>T("9791137602854")</f>
        <v>9791137602854</v>
      </c>
    </row>
    <row r="626" spans="1:12">
      <c r="A626" s="8">
        <v>44639.892025462963</v>
      </c>
      <c r="B626">
        <v>291088925</v>
      </c>
      <c r="C626" t="s">
        <v>693</v>
      </c>
      <c r="D626" t="s">
        <v>9</v>
      </c>
      <c r="E626" s="9">
        <v>2000</v>
      </c>
      <c r="F626" s="9">
        <v>2000</v>
      </c>
      <c r="G626" s="9">
        <v>1400</v>
      </c>
      <c r="I626" t="s">
        <v>694</v>
      </c>
      <c r="J626" t="s">
        <v>460</v>
      </c>
      <c r="K626" t="s">
        <v>11</v>
      </c>
      <c r="L626" t="str">
        <f>T("9791191562187")</f>
        <v>9791191562187</v>
      </c>
    </row>
    <row r="627" spans="1:12">
      <c r="A627" s="8">
        <v>44639.896655092591</v>
      </c>
      <c r="B627">
        <v>291088925</v>
      </c>
      <c r="C627" t="s">
        <v>693</v>
      </c>
      <c r="D627" t="s">
        <v>9</v>
      </c>
      <c r="E627" s="9">
        <v>2000</v>
      </c>
      <c r="F627" s="9">
        <v>2000</v>
      </c>
      <c r="G627" s="9">
        <v>1400</v>
      </c>
      <c r="I627" t="s">
        <v>694</v>
      </c>
      <c r="J627" t="s">
        <v>460</v>
      </c>
      <c r="K627" t="s">
        <v>11</v>
      </c>
      <c r="L627" t="str">
        <f>T("9791191562187")</f>
        <v>9791191562187</v>
      </c>
    </row>
    <row r="628" spans="1:12">
      <c r="A628" s="8">
        <v>44639.905138888891</v>
      </c>
      <c r="B628">
        <v>290963607</v>
      </c>
      <c r="C628" t="s">
        <v>681</v>
      </c>
      <c r="D628" t="s">
        <v>9</v>
      </c>
      <c r="E628" s="9">
        <v>3500</v>
      </c>
      <c r="F628" s="9">
        <v>3500</v>
      </c>
      <c r="G628" s="9">
        <v>2450</v>
      </c>
      <c r="I628" t="s">
        <v>682</v>
      </c>
      <c r="J628" t="s">
        <v>460</v>
      </c>
      <c r="K628" t="s">
        <v>11</v>
      </c>
      <c r="L628" t="str">
        <f>T("9791191562132")</f>
        <v>9791191562132</v>
      </c>
    </row>
    <row r="629" spans="1:12">
      <c r="A629" s="8">
        <v>44639.910011574073</v>
      </c>
      <c r="B629">
        <v>291088925</v>
      </c>
      <c r="C629" t="s">
        <v>693</v>
      </c>
      <c r="D629" t="s">
        <v>9</v>
      </c>
      <c r="E629" s="9">
        <v>2000</v>
      </c>
      <c r="F629" s="9">
        <v>2000</v>
      </c>
      <c r="G629" s="9">
        <v>1400</v>
      </c>
      <c r="I629" t="s">
        <v>694</v>
      </c>
      <c r="J629" t="s">
        <v>460</v>
      </c>
      <c r="K629" t="s">
        <v>11</v>
      </c>
      <c r="L629" t="str">
        <f>T("9791191562187")</f>
        <v>9791191562187</v>
      </c>
    </row>
    <row r="630" spans="1:12">
      <c r="A630" s="8">
        <v>44639.910358796296</v>
      </c>
      <c r="B630">
        <v>291088925</v>
      </c>
      <c r="C630" t="s">
        <v>693</v>
      </c>
      <c r="D630" t="s">
        <v>9</v>
      </c>
      <c r="E630" s="9">
        <v>2000</v>
      </c>
      <c r="F630" s="9">
        <v>2000</v>
      </c>
      <c r="G630" s="9">
        <v>1400</v>
      </c>
      <c r="I630" t="s">
        <v>694</v>
      </c>
      <c r="J630" t="s">
        <v>460</v>
      </c>
      <c r="K630" t="s">
        <v>11</v>
      </c>
      <c r="L630" t="str">
        <f>T("9791191562187")</f>
        <v>9791191562187</v>
      </c>
    </row>
    <row r="631" spans="1:12">
      <c r="A631" s="8">
        <v>44639.910462962966</v>
      </c>
      <c r="B631">
        <v>289315562</v>
      </c>
      <c r="C631" t="s">
        <v>478</v>
      </c>
      <c r="D631" t="s">
        <v>9</v>
      </c>
      <c r="E631" s="9">
        <v>3000</v>
      </c>
      <c r="F631" s="9">
        <v>3000</v>
      </c>
      <c r="G631" s="9">
        <v>2100</v>
      </c>
      <c r="I631" t="s">
        <v>454</v>
      </c>
      <c r="J631" t="s">
        <v>460</v>
      </c>
      <c r="K631" t="s">
        <v>11</v>
      </c>
      <c r="L631" t="str">
        <f>T("9791191562101")</f>
        <v>9791191562101</v>
      </c>
    </row>
    <row r="632" spans="1:12">
      <c r="A632" s="8">
        <v>44639.912986111114</v>
      </c>
      <c r="B632">
        <v>290197934</v>
      </c>
      <c r="C632" t="s">
        <v>604</v>
      </c>
      <c r="D632" t="s">
        <v>9</v>
      </c>
      <c r="E632" s="9">
        <v>2000</v>
      </c>
      <c r="F632" s="9">
        <v>2000</v>
      </c>
      <c r="G632" s="9">
        <v>1400</v>
      </c>
      <c r="I632" t="s">
        <v>605</v>
      </c>
      <c r="J632" t="s">
        <v>460</v>
      </c>
      <c r="K632" t="s">
        <v>11</v>
      </c>
      <c r="L632" t="str">
        <f>T("9791191562163")</f>
        <v>9791191562163</v>
      </c>
    </row>
    <row r="633" spans="1:12">
      <c r="A633" s="8">
        <v>44639.920717592591</v>
      </c>
      <c r="B633">
        <v>291088925</v>
      </c>
      <c r="C633" t="s">
        <v>693</v>
      </c>
      <c r="D633" t="s">
        <v>9</v>
      </c>
      <c r="E633" s="9">
        <v>2000</v>
      </c>
      <c r="F633" s="9">
        <v>2000</v>
      </c>
      <c r="G633" s="9">
        <v>1400</v>
      </c>
      <c r="I633" t="s">
        <v>694</v>
      </c>
      <c r="J633" t="s">
        <v>460</v>
      </c>
      <c r="K633" t="s">
        <v>11</v>
      </c>
      <c r="L633" t="str">
        <f>T("9791191562187")</f>
        <v>9791191562187</v>
      </c>
    </row>
    <row r="634" spans="1:12">
      <c r="A634" s="8">
        <v>44639.944386574076</v>
      </c>
      <c r="B634">
        <v>291088925</v>
      </c>
      <c r="C634" t="s">
        <v>693</v>
      </c>
      <c r="D634" t="s">
        <v>9</v>
      </c>
      <c r="E634" s="9">
        <v>2000</v>
      </c>
      <c r="F634" s="9">
        <v>2000</v>
      </c>
      <c r="G634" s="9">
        <v>1400</v>
      </c>
      <c r="I634" t="s">
        <v>694</v>
      </c>
      <c r="J634" t="s">
        <v>460</v>
      </c>
      <c r="K634" t="s">
        <v>11</v>
      </c>
      <c r="L634" t="str">
        <f>T("9791191562187")</f>
        <v>9791191562187</v>
      </c>
    </row>
    <row r="635" spans="1:12">
      <c r="A635" s="8">
        <v>44639.947233796294</v>
      </c>
      <c r="B635">
        <v>289315562</v>
      </c>
      <c r="C635" t="s">
        <v>478</v>
      </c>
      <c r="D635" t="s">
        <v>9</v>
      </c>
      <c r="E635" s="9">
        <v>3000</v>
      </c>
      <c r="F635" s="9">
        <v>3000</v>
      </c>
      <c r="G635" s="9">
        <v>2100</v>
      </c>
      <c r="I635" t="s">
        <v>454</v>
      </c>
      <c r="J635" t="s">
        <v>460</v>
      </c>
      <c r="K635" t="s">
        <v>11</v>
      </c>
      <c r="L635" t="str">
        <f>T("9791191562101")</f>
        <v>9791191562101</v>
      </c>
    </row>
    <row r="636" spans="1:12">
      <c r="A636" s="8">
        <v>44639.959791666668</v>
      </c>
      <c r="B636">
        <v>170138826</v>
      </c>
      <c r="C636" t="s">
        <v>490</v>
      </c>
      <c r="D636" t="s">
        <v>9</v>
      </c>
      <c r="E636">
        <v>0</v>
      </c>
      <c r="F636">
        <v>0</v>
      </c>
      <c r="G636">
        <v>0</v>
      </c>
      <c r="I636" t="s">
        <v>14</v>
      </c>
      <c r="J636" t="s">
        <v>601</v>
      </c>
      <c r="K636" t="s">
        <v>11</v>
      </c>
      <c r="L636" t="str">
        <f>T("9788928091126")</f>
        <v>9788928091126</v>
      </c>
    </row>
    <row r="637" spans="1:12">
      <c r="A637" s="8">
        <v>44639.973171296297</v>
      </c>
      <c r="B637">
        <v>194701865</v>
      </c>
      <c r="C637" t="s">
        <v>707</v>
      </c>
      <c r="D637" t="s">
        <v>9</v>
      </c>
      <c r="E637">
        <v>700</v>
      </c>
      <c r="F637">
        <v>700</v>
      </c>
      <c r="G637">
        <v>490</v>
      </c>
      <c r="I637" t="s">
        <v>708</v>
      </c>
      <c r="J637" t="s">
        <v>588</v>
      </c>
      <c r="K637" t="s">
        <v>11</v>
      </c>
      <c r="L637" t="str">
        <f>T("9791196696771")</f>
        <v>9791196696771</v>
      </c>
    </row>
    <row r="638" spans="1:12">
      <c r="A638" s="8">
        <v>44639.983159722222</v>
      </c>
      <c r="B638">
        <v>291088925</v>
      </c>
      <c r="C638" t="s">
        <v>693</v>
      </c>
      <c r="D638" t="s">
        <v>9</v>
      </c>
      <c r="E638" s="9">
        <v>2000</v>
      </c>
      <c r="F638" s="9">
        <v>2000</v>
      </c>
      <c r="G638" s="9">
        <v>1400</v>
      </c>
      <c r="I638" t="s">
        <v>694</v>
      </c>
      <c r="J638" t="s">
        <v>460</v>
      </c>
      <c r="K638" t="s">
        <v>11</v>
      </c>
      <c r="L638" t="str">
        <f>T("9791191562187")</f>
        <v>9791191562187</v>
      </c>
    </row>
    <row r="639" spans="1:12">
      <c r="A639" s="8">
        <v>44639.987337962964</v>
      </c>
      <c r="B639">
        <v>290963607</v>
      </c>
      <c r="C639" t="s">
        <v>681</v>
      </c>
      <c r="D639" t="s">
        <v>9</v>
      </c>
      <c r="E639" s="9">
        <v>3500</v>
      </c>
      <c r="F639" s="9">
        <v>3500</v>
      </c>
      <c r="G639" s="9">
        <v>2450</v>
      </c>
      <c r="I639" t="s">
        <v>682</v>
      </c>
      <c r="J639" t="s">
        <v>460</v>
      </c>
      <c r="K639" t="s">
        <v>11</v>
      </c>
      <c r="L639" t="str">
        <f>T("9791191562132")</f>
        <v>9791191562132</v>
      </c>
    </row>
    <row r="640" spans="1:12">
      <c r="A640" s="8">
        <v>44639.987337962964</v>
      </c>
      <c r="B640">
        <v>290197934</v>
      </c>
      <c r="C640" t="s">
        <v>604</v>
      </c>
      <c r="D640" t="s">
        <v>9</v>
      </c>
      <c r="E640" s="9">
        <v>2000</v>
      </c>
      <c r="F640" s="9">
        <v>2000</v>
      </c>
      <c r="G640" s="9">
        <v>1400</v>
      </c>
      <c r="I640" t="s">
        <v>605</v>
      </c>
      <c r="J640" t="s">
        <v>460</v>
      </c>
      <c r="K640" t="s">
        <v>11</v>
      </c>
      <c r="L640" t="str">
        <f>T("9791191562163")</f>
        <v>9791191562163</v>
      </c>
    </row>
    <row r="641" spans="1:12">
      <c r="A641" s="8">
        <v>44639.987337962964</v>
      </c>
      <c r="B641">
        <v>290084502</v>
      </c>
      <c r="C641" t="s">
        <v>592</v>
      </c>
      <c r="D641" t="s">
        <v>9</v>
      </c>
      <c r="E641" s="9">
        <v>2500</v>
      </c>
      <c r="F641" s="9">
        <v>2500</v>
      </c>
      <c r="G641" s="9">
        <v>1750</v>
      </c>
      <c r="I641" t="s">
        <v>593</v>
      </c>
      <c r="J641" t="s">
        <v>460</v>
      </c>
      <c r="K641" t="s">
        <v>11</v>
      </c>
      <c r="L641" t="str">
        <f>T("9791191562125")</f>
        <v>9791191562125</v>
      </c>
    </row>
    <row r="642" spans="1:12">
      <c r="A642" s="8">
        <v>44639.987488425926</v>
      </c>
      <c r="B642">
        <v>291088925</v>
      </c>
      <c r="C642" t="s">
        <v>693</v>
      </c>
      <c r="D642" t="s">
        <v>9</v>
      </c>
      <c r="E642" s="9">
        <v>2000</v>
      </c>
      <c r="F642" s="9">
        <v>2000</v>
      </c>
      <c r="G642" s="9">
        <v>1400</v>
      </c>
      <c r="I642" t="s">
        <v>694</v>
      </c>
      <c r="J642" t="s">
        <v>460</v>
      </c>
      <c r="K642" t="s">
        <v>11</v>
      </c>
      <c r="L642" t="str">
        <f>T("9791191562187")</f>
        <v>9791191562187</v>
      </c>
    </row>
    <row r="643" spans="1:12">
      <c r="A643" s="8">
        <v>44640.002118055556</v>
      </c>
      <c r="B643">
        <v>291088925</v>
      </c>
      <c r="C643" t="s">
        <v>693</v>
      </c>
      <c r="D643" t="s">
        <v>9</v>
      </c>
      <c r="E643" s="9">
        <v>2000</v>
      </c>
      <c r="F643" s="9">
        <v>2000</v>
      </c>
      <c r="G643" s="9">
        <v>1400</v>
      </c>
      <c r="I643" t="s">
        <v>694</v>
      </c>
      <c r="J643" t="s">
        <v>460</v>
      </c>
      <c r="K643" t="s">
        <v>11</v>
      </c>
      <c r="L643" t="str">
        <f>T("9791191562187")</f>
        <v>9791191562187</v>
      </c>
    </row>
    <row r="644" spans="1:12">
      <c r="A644" s="8">
        <v>44640.003321759257</v>
      </c>
      <c r="B644">
        <v>291088925</v>
      </c>
      <c r="C644" t="s">
        <v>693</v>
      </c>
      <c r="D644" t="s">
        <v>9</v>
      </c>
      <c r="E644" s="9">
        <v>2000</v>
      </c>
      <c r="F644" s="9">
        <v>2000</v>
      </c>
      <c r="G644" s="9">
        <v>1400</v>
      </c>
      <c r="I644" t="s">
        <v>694</v>
      </c>
      <c r="J644" t="s">
        <v>460</v>
      </c>
      <c r="K644" t="s">
        <v>11</v>
      </c>
      <c r="L644" t="str">
        <f>T("9791191562187")</f>
        <v>9791191562187</v>
      </c>
    </row>
    <row r="645" spans="1:12">
      <c r="A645" s="8">
        <v>44640.012326388889</v>
      </c>
      <c r="B645">
        <v>170138825</v>
      </c>
      <c r="C645" t="s">
        <v>709</v>
      </c>
      <c r="D645" t="s">
        <v>9</v>
      </c>
      <c r="E645" s="9">
        <v>3200</v>
      </c>
      <c r="F645" s="9">
        <v>3200</v>
      </c>
      <c r="G645" s="9">
        <v>2240</v>
      </c>
      <c r="I645" t="s">
        <v>14</v>
      </c>
      <c r="J645" t="s">
        <v>601</v>
      </c>
      <c r="K645" t="s">
        <v>11</v>
      </c>
      <c r="L645" t="str">
        <f>T("9788928091133")</f>
        <v>9788928091133</v>
      </c>
    </row>
    <row r="646" spans="1:12">
      <c r="A646" s="8">
        <v>44640.028599537036</v>
      </c>
      <c r="B646">
        <v>287086652</v>
      </c>
      <c r="C646" t="s">
        <v>220</v>
      </c>
      <c r="D646" t="s">
        <v>9</v>
      </c>
      <c r="E646" s="9">
        <v>2000</v>
      </c>
      <c r="F646" s="9">
        <v>2000</v>
      </c>
      <c r="G646" s="9">
        <v>1400</v>
      </c>
      <c r="I646" t="s">
        <v>162</v>
      </c>
      <c r="J646" t="s">
        <v>460</v>
      </c>
      <c r="K646" t="s">
        <v>11</v>
      </c>
      <c r="L646" t="str">
        <f>T("9791191562033")</f>
        <v>9791191562033</v>
      </c>
    </row>
    <row r="647" spans="1:12">
      <c r="A647" s="8">
        <v>44640.092766203707</v>
      </c>
      <c r="B647">
        <v>290197934</v>
      </c>
      <c r="C647" t="s">
        <v>604</v>
      </c>
      <c r="D647" t="s">
        <v>9</v>
      </c>
      <c r="E647" s="9">
        <v>2000</v>
      </c>
      <c r="F647" s="9">
        <v>2000</v>
      </c>
      <c r="G647" s="9">
        <v>1400</v>
      </c>
      <c r="I647" t="s">
        <v>605</v>
      </c>
      <c r="J647" t="s">
        <v>460</v>
      </c>
      <c r="K647" t="s">
        <v>11</v>
      </c>
      <c r="L647" t="str">
        <f>T("9791191562163")</f>
        <v>9791191562163</v>
      </c>
    </row>
    <row r="648" spans="1:12">
      <c r="A648" s="8">
        <v>44640.093564814815</v>
      </c>
      <c r="B648">
        <v>291088925</v>
      </c>
      <c r="C648" t="s">
        <v>693</v>
      </c>
      <c r="D648" t="s">
        <v>9</v>
      </c>
      <c r="E648" s="9">
        <v>2000</v>
      </c>
      <c r="F648" s="9">
        <v>2000</v>
      </c>
      <c r="G648" s="9">
        <v>1400</v>
      </c>
      <c r="I648" t="s">
        <v>694</v>
      </c>
      <c r="J648" t="s">
        <v>460</v>
      </c>
      <c r="K648" t="s">
        <v>11</v>
      </c>
      <c r="L648" t="str">
        <f>T("9791191562187")</f>
        <v>9791191562187</v>
      </c>
    </row>
    <row r="649" spans="1:12">
      <c r="A649" s="8">
        <v>44640.137592592589</v>
      </c>
      <c r="B649">
        <v>253098969</v>
      </c>
      <c r="C649" t="s">
        <v>710</v>
      </c>
      <c r="D649" t="s">
        <v>12</v>
      </c>
      <c r="E649">
        <v>480</v>
      </c>
      <c r="F649">
        <v>480</v>
      </c>
      <c r="G649">
        <v>336</v>
      </c>
      <c r="I649" t="s">
        <v>18</v>
      </c>
      <c r="J649" t="s">
        <v>588</v>
      </c>
      <c r="K649" t="s">
        <v>11</v>
      </c>
      <c r="L649" t="str">
        <f>T("9791164899432")</f>
        <v>9791164899432</v>
      </c>
    </row>
    <row r="650" spans="1:12">
      <c r="A650" s="8">
        <v>44640.137592592589</v>
      </c>
      <c r="B650">
        <v>253099023</v>
      </c>
      <c r="C650" t="s">
        <v>711</v>
      </c>
      <c r="D650" t="s">
        <v>12</v>
      </c>
      <c r="E650" s="9">
        <v>2560</v>
      </c>
      <c r="F650" s="9">
        <v>2560</v>
      </c>
      <c r="G650" s="9">
        <v>1792</v>
      </c>
      <c r="I650" t="s">
        <v>18</v>
      </c>
      <c r="J650" t="s">
        <v>588</v>
      </c>
      <c r="K650" t="s">
        <v>11</v>
      </c>
      <c r="L650" t="str">
        <f>T("9791164899418")</f>
        <v>9791164899418</v>
      </c>
    </row>
    <row r="651" spans="1:12">
      <c r="A651" s="8">
        <v>44640.137592592589</v>
      </c>
      <c r="B651">
        <v>253098974</v>
      </c>
      <c r="C651" t="s">
        <v>712</v>
      </c>
      <c r="D651" t="s">
        <v>12</v>
      </c>
      <c r="E651" s="9">
        <v>2560</v>
      </c>
      <c r="F651" s="9">
        <v>2560</v>
      </c>
      <c r="G651" s="9">
        <v>1792</v>
      </c>
      <c r="I651" t="s">
        <v>18</v>
      </c>
      <c r="J651" t="s">
        <v>588</v>
      </c>
      <c r="K651" t="s">
        <v>11</v>
      </c>
      <c r="L651" t="str">
        <f>T("9791164899401")</f>
        <v>9791164899401</v>
      </c>
    </row>
    <row r="652" spans="1:12">
      <c r="A652" s="8">
        <v>44640.145543981482</v>
      </c>
      <c r="B652">
        <v>253098974</v>
      </c>
      <c r="C652" t="s">
        <v>712</v>
      </c>
      <c r="D652" t="s">
        <v>9</v>
      </c>
      <c r="E652" s="9">
        <v>3200</v>
      </c>
      <c r="F652" s="9">
        <v>3200</v>
      </c>
      <c r="G652" s="9">
        <v>2240</v>
      </c>
      <c r="I652" t="s">
        <v>18</v>
      </c>
      <c r="J652" t="s">
        <v>588</v>
      </c>
      <c r="K652" t="s">
        <v>11</v>
      </c>
      <c r="L652" t="str">
        <f>T("9791164899401")</f>
        <v>9791164899401</v>
      </c>
    </row>
    <row r="653" spans="1:12">
      <c r="A653" s="8">
        <v>44640.145543981482</v>
      </c>
      <c r="B653">
        <v>253099023</v>
      </c>
      <c r="C653" t="s">
        <v>711</v>
      </c>
      <c r="D653" t="s">
        <v>9</v>
      </c>
      <c r="E653" s="9">
        <v>3200</v>
      </c>
      <c r="F653" s="9">
        <v>3200</v>
      </c>
      <c r="G653" s="9">
        <v>2240</v>
      </c>
      <c r="I653" t="s">
        <v>18</v>
      </c>
      <c r="J653" t="s">
        <v>588</v>
      </c>
      <c r="K653" t="s">
        <v>11</v>
      </c>
      <c r="L653" t="str">
        <f>T("9791164899418")</f>
        <v>9791164899418</v>
      </c>
    </row>
    <row r="654" spans="1:12">
      <c r="A654" s="8">
        <v>44640.145543981482</v>
      </c>
      <c r="B654">
        <v>253098969</v>
      </c>
      <c r="C654" t="s">
        <v>710</v>
      </c>
      <c r="D654" t="s">
        <v>9</v>
      </c>
      <c r="E654">
        <v>600</v>
      </c>
      <c r="F654">
        <v>600</v>
      </c>
      <c r="G654">
        <v>420</v>
      </c>
      <c r="I654" t="s">
        <v>18</v>
      </c>
      <c r="J654" t="s">
        <v>588</v>
      </c>
      <c r="K654" t="s">
        <v>11</v>
      </c>
      <c r="L654" t="str">
        <f>T("9791164899432")</f>
        <v>9791164899432</v>
      </c>
    </row>
    <row r="655" spans="1:12">
      <c r="A655" s="8">
        <v>44640.177164351851</v>
      </c>
      <c r="B655">
        <v>250696224</v>
      </c>
      <c r="C655" t="s">
        <v>713</v>
      </c>
      <c r="D655" t="s">
        <v>9</v>
      </c>
      <c r="E655">
        <v>0</v>
      </c>
      <c r="F655">
        <v>0</v>
      </c>
      <c r="G655">
        <v>0</v>
      </c>
      <c r="I655" t="s">
        <v>14</v>
      </c>
      <c r="J655" t="s">
        <v>11</v>
      </c>
      <c r="K655" t="s">
        <v>11</v>
      </c>
      <c r="L655" t="str">
        <f>T("9791166060175")</f>
        <v>9791166060175</v>
      </c>
    </row>
    <row r="656" spans="1:12">
      <c r="A656" s="8">
        <v>44640.317939814813</v>
      </c>
      <c r="B656">
        <v>291088925</v>
      </c>
      <c r="C656" t="s">
        <v>693</v>
      </c>
      <c r="D656" t="s">
        <v>9</v>
      </c>
      <c r="E656" s="9">
        <v>2000</v>
      </c>
      <c r="F656" s="9">
        <v>2000</v>
      </c>
      <c r="G656" s="9">
        <v>1400</v>
      </c>
      <c r="I656" t="s">
        <v>694</v>
      </c>
      <c r="J656" t="s">
        <v>460</v>
      </c>
      <c r="K656" t="s">
        <v>11</v>
      </c>
      <c r="L656" t="str">
        <f>T("9791191562187")</f>
        <v>9791191562187</v>
      </c>
    </row>
    <row r="657" spans="1:12">
      <c r="A657" s="8">
        <v>44640.331516203703</v>
      </c>
      <c r="B657">
        <v>291088925</v>
      </c>
      <c r="C657" t="s">
        <v>693</v>
      </c>
      <c r="D657" t="s">
        <v>9</v>
      </c>
      <c r="E657" s="9">
        <v>2000</v>
      </c>
      <c r="F657" s="9">
        <v>2000</v>
      </c>
      <c r="G657" s="9">
        <v>1400</v>
      </c>
      <c r="I657" t="s">
        <v>694</v>
      </c>
      <c r="J657" t="s">
        <v>460</v>
      </c>
      <c r="K657" t="s">
        <v>11</v>
      </c>
      <c r="L657" t="str">
        <f>T("9791191562187")</f>
        <v>9791191562187</v>
      </c>
    </row>
    <row r="658" spans="1:12">
      <c r="A658" s="8">
        <v>44640.374027777776</v>
      </c>
      <c r="B658">
        <v>290197934</v>
      </c>
      <c r="C658" t="s">
        <v>604</v>
      </c>
      <c r="D658" t="s">
        <v>9</v>
      </c>
      <c r="E658" s="9">
        <v>2000</v>
      </c>
      <c r="F658" s="9">
        <v>2000</v>
      </c>
      <c r="G658" s="9">
        <v>1400</v>
      </c>
      <c r="I658" t="s">
        <v>605</v>
      </c>
      <c r="J658" t="s">
        <v>460</v>
      </c>
      <c r="K658" t="s">
        <v>11</v>
      </c>
      <c r="L658" t="str">
        <f>T("9791191562163")</f>
        <v>9791191562163</v>
      </c>
    </row>
    <row r="659" spans="1:12">
      <c r="A659" s="8">
        <v>44640.41165509259</v>
      </c>
      <c r="B659">
        <v>291088925</v>
      </c>
      <c r="C659" t="s">
        <v>693</v>
      </c>
      <c r="D659" t="s">
        <v>9</v>
      </c>
      <c r="E659" s="9">
        <v>2000</v>
      </c>
      <c r="F659" s="9">
        <v>2000</v>
      </c>
      <c r="G659" s="9">
        <v>1400</v>
      </c>
      <c r="I659" t="s">
        <v>694</v>
      </c>
      <c r="J659" t="s">
        <v>460</v>
      </c>
      <c r="K659" t="s">
        <v>11</v>
      </c>
      <c r="L659" t="str">
        <f>T("9791191562187")</f>
        <v>9791191562187</v>
      </c>
    </row>
    <row r="660" spans="1:12">
      <c r="A660" s="8">
        <v>44640.427557870367</v>
      </c>
      <c r="B660">
        <v>291088925</v>
      </c>
      <c r="C660" t="s">
        <v>693</v>
      </c>
      <c r="D660" t="s">
        <v>9</v>
      </c>
      <c r="E660" s="9">
        <v>2000</v>
      </c>
      <c r="F660" s="9">
        <v>2000</v>
      </c>
      <c r="G660" s="9">
        <v>1400</v>
      </c>
      <c r="I660" t="s">
        <v>694</v>
      </c>
      <c r="J660" t="s">
        <v>460</v>
      </c>
      <c r="K660" t="s">
        <v>11</v>
      </c>
      <c r="L660" t="str">
        <f>T("9791191562187")</f>
        <v>9791191562187</v>
      </c>
    </row>
    <row r="661" spans="1:12">
      <c r="A661" s="8">
        <v>44640.459386574075</v>
      </c>
      <c r="B661">
        <v>286405921</v>
      </c>
      <c r="C661" t="s">
        <v>245</v>
      </c>
      <c r="D661" t="s">
        <v>9</v>
      </c>
      <c r="E661" s="9">
        <v>2500</v>
      </c>
      <c r="F661" s="9">
        <v>2500</v>
      </c>
      <c r="G661" s="9">
        <v>1750</v>
      </c>
      <c r="I661" t="s">
        <v>221</v>
      </c>
      <c r="J661" t="s">
        <v>460</v>
      </c>
      <c r="K661" t="s">
        <v>11</v>
      </c>
      <c r="L661" t="str">
        <f>T("9791196945268")</f>
        <v>9791196945268</v>
      </c>
    </row>
    <row r="662" spans="1:12">
      <c r="A662" s="8">
        <v>44640.460081018522</v>
      </c>
      <c r="B662">
        <v>289315562</v>
      </c>
      <c r="C662" t="s">
        <v>478</v>
      </c>
      <c r="D662" t="s">
        <v>9</v>
      </c>
      <c r="E662" s="9">
        <v>3000</v>
      </c>
      <c r="F662" s="9">
        <v>3000</v>
      </c>
      <c r="G662" s="9">
        <v>2100</v>
      </c>
      <c r="I662" t="s">
        <v>454</v>
      </c>
      <c r="J662" t="s">
        <v>460</v>
      </c>
      <c r="K662" t="s">
        <v>11</v>
      </c>
      <c r="L662" t="str">
        <f>T("9791191562101")</f>
        <v>9791191562101</v>
      </c>
    </row>
    <row r="663" spans="1:12">
      <c r="A663" s="8">
        <v>44640.461435185185</v>
      </c>
      <c r="B663">
        <v>287834730</v>
      </c>
      <c r="C663" t="s">
        <v>275</v>
      </c>
      <c r="D663" t="s">
        <v>9</v>
      </c>
      <c r="E663" s="9">
        <v>2000</v>
      </c>
      <c r="F663" s="9">
        <v>2000</v>
      </c>
      <c r="G663" s="9">
        <v>1400</v>
      </c>
      <c r="I663" t="s">
        <v>169</v>
      </c>
      <c r="J663" t="s">
        <v>460</v>
      </c>
      <c r="K663" t="s">
        <v>11</v>
      </c>
      <c r="L663" t="str">
        <f>T("9791191562019")</f>
        <v>9791191562019</v>
      </c>
    </row>
    <row r="664" spans="1:12">
      <c r="A664" s="8">
        <v>44640.46371527778</v>
      </c>
      <c r="B664">
        <v>291088925</v>
      </c>
      <c r="C664" t="s">
        <v>693</v>
      </c>
      <c r="D664" t="s">
        <v>9</v>
      </c>
      <c r="E664" s="9">
        <v>2000</v>
      </c>
      <c r="F664" s="9">
        <v>2000</v>
      </c>
      <c r="G664" s="9">
        <v>1400</v>
      </c>
      <c r="I664" t="s">
        <v>694</v>
      </c>
      <c r="J664" t="s">
        <v>460</v>
      </c>
      <c r="K664" t="s">
        <v>11</v>
      </c>
      <c r="L664" t="str">
        <f>T("9791191562187")</f>
        <v>9791191562187</v>
      </c>
    </row>
    <row r="665" spans="1:12">
      <c r="A665" s="8">
        <v>44640.475624999999</v>
      </c>
      <c r="B665">
        <v>291088925</v>
      </c>
      <c r="C665" t="s">
        <v>693</v>
      </c>
      <c r="D665" t="s">
        <v>9</v>
      </c>
      <c r="E665" s="9">
        <v>2000</v>
      </c>
      <c r="F665" s="9">
        <v>2000</v>
      </c>
      <c r="G665" s="9">
        <v>1400</v>
      </c>
      <c r="I665" t="s">
        <v>694</v>
      </c>
      <c r="J665" t="s">
        <v>460</v>
      </c>
      <c r="K665" t="s">
        <v>11</v>
      </c>
      <c r="L665" t="str">
        <f>T("9791191562187")</f>
        <v>9791191562187</v>
      </c>
    </row>
    <row r="666" spans="1:12">
      <c r="A666" s="8">
        <v>44640.504050925927</v>
      </c>
      <c r="B666">
        <v>291088925</v>
      </c>
      <c r="C666" t="s">
        <v>693</v>
      </c>
      <c r="D666" t="s">
        <v>9</v>
      </c>
      <c r="E666" s="9">
        <v>2000</v>
      </c>
      <c r="F666" s="9">
        <v>2000</v>
      </c>
      <c r="G666" s="9">
        <v>1400</v>
      </c>
      <c r="I666" t="s">
        <v>694</v>
      </c>
      <c r="J666" t="s">
        <v>460</v>
      </c>
      <c r="K666" t="s">
        <v>11</v>
      </c>
      <c r="L666" t="str">
        <f>T("9791191562187")</f>
        <v>9791191562187</v>
      </c>
    </row>
    <row r="667" spans="1:12">
      <c r="A667" s="8">
        <v>44640.562291666669</v>
      </c>
      <c r="B667">
        <v>289315562</v>
      </c>
      <c r="C667" t="s">
        <v>478</v>
      </c>
      <c r="D667" t="s">
        <v>9</v>
      </c>
      <c r="E667" s="9">
        <v>3000</v>
      </c>
      <c r="F667" s="9">
        <v>3000</v>
      </c>
      <c r="G667" s="9">
        <v>2100</v>
      </c>
      <c r="I667" t="s">
        <v>454</v>
      </c>
      <c r="J667" t="s">
        <v>460</v>
      </c>
      <c r="K667" t="s">
        <v>11</v>
      </c>
      <c r="L667" t="str">
        <f>T("9791191562101")</f>
        <v>9791191562101</v>
      </c>
    </row>
    <row r="668" spans="1:12">
      <c r="A668" s="8">
        <v>44640.600659722222</v>
      </c>
      <c r="B668">
        <v>291088925</v>
      </c>
      <c r="C668" t="s">
        <v>693</v>
      </c>
      <c r="D668" t="s">
        <v>9</v>
      </c>
      <c r="E668" s="9">
        <v>2000</v>
      </c>
      <c r="F668" s="9">
        <v>2000</v>
      </c>
      <c r="G668" s="9">
        <v>1400</v>
      </c>
      <c r="I668" t="s">
        <v>694</v>
      </c>
      <c r="J668" t="s">
        <v>460</v>
      </c>
      <c r="K668" t="s">
        <v>11</v>
      </c>
      <c r="L668" t="str">
        <f>T("9791191562187")</f>
        <v>9791191562187</v>
      </c>
    </row>
    <row r="669" spans="1:12">
      <c r="A669" s="8">
        <v>44640.610625000001</v>
      </c>
      <c r="B669">
        <v>291088925</v>
      </c>
      <c r="C669" t="s">
        <v>693</v>
      </c>
      <c r="D669" t="s">
        <v>9</v>
      </c>
      <c r="E669" s="9">
        <v>2000</v>
      </c>
      <c r="F669" s="9">
        <v>2000</v>
      </c>
      <c r="G669" s="9">
        <v>1400</v>
      </c>
      <c r="I669" t="s">
        <v>694</v>
      </c>
      <c r="J669" t="s">
        <v>460</v>
      </c>
      <c r="K669" t="s">
        <v>11</v>
      </c>
      <c r="L669" t="str">
        <f>T("9791191562187")</f>
        <v>9791191562187</v>
      </c>
    </row>
    <row r="670" spans="1:12">
      <c r="A670" s="8">
        <v>44640.637881944444</v>
      </c>
      <c r="B670">
        <v>291088925</v>
      </c>
      <c r="C670" t="s">
        <v>693</v>
      </c>
      <c r="D670" t="s">
        <v>9</v>
      </c>
      <c r="E670" s="9">
        <v>2000</v>
      </c>
      <c r="F670" s="9">
        <v>2000</v>
      </c>
      <c r="G670" s="9">
        <v>1400</v>
      </c>
      <c r="I670" t="s">
        <v>694</v>
      </c>
      <c r="J670" t="s">
        <v>460</v>
      </c>
      <c r="K670" t="s">
        <v>11</v>
      </c>
      <c r="L670" t="str">
        <f>T("9791191562187")</f>
        <v>9791191562187</v>
      </c>
    </row>
    <row r="671" spans="1:12">
      <c r="A671" s="8">
        <v>44640.639166666668</v>
      </c>
      <c r="B671">
        <v>246278077</v>
      </c>
      <c r="C671" t="s">
        <v>714</v>
      </c>
      <c r="D671" t="s">
        <v>9</v>
      </c>
      <c r="E671" s="9">
        <v>3200</v>
      </c>
      <c r="F671" s="9">
        <v>3200</v>
      </c>
      <c r="G671" s="9">
        <v>2240</v>
      </c>
      <c r="I671" t="s">
        <v>14</v>
      </c>
      <c r="J671" t="s">
        <v>11</v>
      </c>
      <c r="K671" t="s">
        <v>11</v>
      </c>
      <c r="L671" t="str">
        <f>T("9791188630141")</f>
        <v>9791188630141</v>
      </c>
    </row>
    <row r="672" spans="1:12">
      <c r="A672" s="8">
        <v>44640.639166666668</v>
      </c>
      <c r="B672">
        <v>246278180</v>
      </c>
      <c r="C672" t="s">
        <v>715</v>
      </c>
      <c r="D672" t="s">
        <v>9</v>
      </c>
      <c r="E672" s="9">
        <v>3200</v>
      </c>
      <c r="F672" s="9">
        <v>3200</v>
      </c>
      <c r="G672" s="9">
        <v>2240</v>
      </c>
      <c r="I672" t="s">
        <v>14</v>
      </c>
      <c r="J672" t="s">
        <v>11</v>
      </c>
      <c r="K672" t="s">
        <v>11</v>
      </c>
      <c r="L672" t="str">
        <f>T("9791188630158")</f>
        <v>9791188630158</v>
      </c>
    </row>
    <row r="673" spans="1:12">
      <c r="A673" s="8">
        <v>44640.639166666668</v>
      </c>
      <c r="B673">
        <v>246278200</v>
      </c>
      <c r="C673" t="s">
        <v>550</v>
      </c>
      <c r="D673" t="s">
        <v>9</v>
      </c>
      <c r="E673" s="9">
        <v>3200</v>
      </c>
      <c r="F673" s="9">
        <v>3200</v>
      </c>
      <c r="G673" s="9">
        <v>2240</v>
      </c>
      <c r="I673" t="s">
        <v>14</v>
      </c>
      <c r="J673" t="s">
        <v>11</v>
      </c>
      <c r="K673" t="s">
        <v>11</v>
      </c>
      <c r="L673" t="str">
        <f>T("9791188630165")</f>
        <v>9791188630165</v>
      </c>
    </row>
    <row r="674" spans="1:12">
      <c r="A674" s="8">
        <v>44640.642592592594</v>
      </c>
      <c r="B674">
        <v>290084502</v>
      </c>
      <c r="C674" t="s">
        <v>592</v>
      </c>
      <c r="D674" t="s">
        <v>9</v>
      </c>
      <c r="E674" s="9">
        <v>2500</v>
      </c>
      <c r="F674" s="9">
        <v>2500</v>
      </c>
      <c r="G674" s="9">
        <v>1750</v>
      </c>
      <c r="I674" t="s">
        <v>593</v>
      </c>
      <c r="J674" t="s">
        <v>460</v>
      </c>
      <c r="K674" t="s">
        <v>11</v>
      </c>
      <c r="L674" t="str">
        <f>T("9791191562125")</f>
        <v>9791191562125</v>
      </c>
    </row>
    <row r="675" spans="1:12">
      <c r="A675" s="8">
        <v>44640.651388888888</v>
      </c>
      <c r="B675">
        <v>291088925</v>
      </c>
      <c r="C675" t="s">
        <v>693</v>
      </c>
      <c r="D675" t="s">
        <v>9</v>
      </c>
      <c r="E675" s="9">
        <v>2000</v>
      </c>
      <c r="F675" s="9">
        <v>2000</v>
      </c>
      <c r="G675" s="9">
        <v>1400</v>
      </c>
      <c r="I675" t="s">
        <v>694</v>
      </c>
      <c r="J675" t="s">
        <v>460</v>
      </c>
      <c r="K675" t="s">
        <v>11</v>
      </c>
      <c r="L675" t="str">
        <f>T("9791191562187")</f>
        <v>9791191562187</v>
      </c>
    </row>
    <row r="676" spans="1:12">
      <c r="A676" s="8">
        <v>44640.653368055559</v>
      </c>
      <c r="B676">
        <v>291088925</v>
      </c>
      <c r="C676" t="s">
        <v>693</v>
      </c>
      <c r="D676" t="s">
        <v>9</v>
      </c>
      <c r="E676" s="9">
        <v>2000</v>
      </c>
      <c r="F676" s="9">
        <v>2000</v>
      </c>
      <c r="G676" s="9">
        <v>1400</v>
      </c>
      <c r="I676" t="s">
        <v>694</v>
      </c>
      <c r="J676" t="s">
        <v>460</v>
      </c>
      <c r="K676" t="s">
        <v>11</v>
      </c>
      <c r="L676" t="str">
        <f>T("9791191562187")</f>
        <v>9791191562187</v>
      </c>
    </row>
    <row r="677" spans="1:12">
      <c r="A677" s="8">
        <v>44640.701168981483</v>
      </c>
      <c r="B677">
        <v>274772659</v>
      </c>
      <c r="C677" t="s">
        <v>37</v>
      </c>
      <c r="D677" t="s">
        <v>12</v>
      </c>
      <c r="E677" s="9">
        <v>2400</v>
      </c>
      <c r="F677" s="9">
        <v>2400</v>
      </c>
      <c r="G677" s="9">
        <v>1680</v>
      </c>
      <c r="I677" t="s">
        <v>34</v>
      </c>
      <c r="J677" t="s">
        <v>588</v>
      </c>
      <c r="K677" t="s">
        <v>11</v>
      </c>
      <c r="L677" t="str">
        <f>T("9791166481703")</f>
        <v>9791166481703</v>
      </c>
    </row>
    <row r="678" spans="1:12">
      <c r="A678" s="8">
        <v>44640.701168981483</v>
      </c>
      <c r="B678">
        <v>274772658</v>
      </c>
      <c r="C678" t="s">
        <v>75</v>
      </c>
      <c r="D678" t="s">
        <v>12</v>
      </c>
      <c r="E678" s="9">
        <v>2400</v>
      </c>
      <c r="F678" s="9">
        <v>2400</v>
      </c>
      <c r="G678" s="9">
        <v>1680</v>
      </c>
      <c r="I678" t="s">
        <v>34</v>
      </c>
      <c r="J678" t="s">
        <v>588</v>
      </c>
      <c r="K678" t="s">
        <v>11</v>
      </c>
      <c r="L678" t="str">
        <f>T("9791166481710")</f>
        <v>9791166481710</v>
      </c>
    </row>
    <row r="679" spans="1:12">
      <c r="A679" s="8">
        <v>44640.741331018522</v>
      </c>
      <c r="B679">
        <v>289315562</v>
      </c>
      <c r="C679" t="s">
        <v>478</v>
      </c>
      <c r="D679" t="s">
        <v>9</v>
      </c>
      <c r="E679" s="9">
        <v>3000</v>
      </c>
      <c r="F679" s="9">
        <v>3000</v>
      </c>
      <c r="G679" s="9">
        <v>2100</v>
      </c>
      <c r="I679" t="s">
        <v>454</v>
      </c>
      <c r="J679" t="s">
        <v>460</v>
      </c>
      <c r="K679" t="s">
        <v>11</v>
      </c>
      <c r="L679" t="str">
        <f>T("9791191562101")</f>
        <v>9791191562101</v>
      </c>
    </row>
    <row r="680" spans="1:12">
      <c r="A680" s="8">
        <v>44640.751979166664</v>
      </c>
      <c r="B680">
        <v>291088925</v>
      </c>
      <c r="C680" t="s">
        <v>693</v>
      </c>
      <c r="D680" t="s">
        <v>9</v>
      </c>
      <c r="E680" s="9">
        <v>2000</v>
      </c>
      <c r="F680" s="9">
        <v>2000</v>
      </c>
      <c r="G680" s="9">
        <v>1400</v>
      </c>
      <c r="I680" t="s">
        <v>694</v>
      </c>
      <c r="J680" t="s">
        <v>460</v>
      </c>
      <c r="K680" t="s">
        <v>11</v>
      </c>
      <c r="L680" t="str">
        <f>T("9791191562187")</f>
        <v>9791191562187</v>
      </c>
    </row>
    <row r="681" spans="1:12">
      <c r="A681" s="8">
        <v>44640.764143518521</v>
      </c>
      <c r="B681">
        <v>290963607</v>
      </c>
      <c r="C681" t="s">
        <v>681</v>
      </c>
      <c r="D681" t="s">
        <v>9</v>
      </c>
      <c r="E681" s="9">
        <v>3500</v>
      </c>
      <c r="F681" s="9">
        <v>3500</v>
      </c>
      <c r="G681" s="9">
        <v>2450</v>
      </c>
      <c r="I681" t="s">
        <v>682</v>
      </c>
      <c r="J681" t="s">
        <v>460</v>
      </c>
      <c r="K681" t="s">
        <v>11</v>
      </c>
      <c r="L681" t="str">
        <f>T("9791191562132")</f>
        <v>9791191562132</v>
      </c>
    </row>
    <row r="682" spans="1:12">
      <c r="A682" s="8">
        <v>44640.789629629631</v>
      </c>
      <c r="B682">
        <v>287834730</v>
      </c>
      <c r="C682" t="s">
        <v>275</v>
      </c>
      <c r="D682" t="s">
        <v>9</v>
      </c>
      <c r="E682" s="9">
        <v>2000</v>
      </c>
      <c r="F682" s="9">
        <v>2000</v>
      </c>
      <c r="G682" s="9">
        <v>1400</v>
      </c>
      <c r="I682" t="s">
        <v>169</v>
      </c>
      <c r="J682" t="s">
        <v>460</v>
      </c>
      <c r="K682" t="s">
        <v>11</v>
      </c>
      <c r="L682" t="str">
        <f>T("9791191562019")</f>
        <v>9791191562019</v>
      </c>
    </row>
    <row r="683" spans="1:12">
      <c r="A683" s="8">
        <v>44640.799722222226</v>
      </c>
      <c r="B683">
        <v>291088925</v>
      </c>
      <c r="C683" t="s">
        <v>693</v>
      </c>
      <c r="D683" t="s">
        <v>9</v>
      </c>
      <c r="E683" s="9">
        <v>2000</v>
      </c>
      <c r="F683" s="9">
        <v>2000</v>
      </c>
      <c r="G683" s="9">
        <v>1400</v>
      </c>
      <c r="I683" t="s">
        <v>694</v>
      </c>
      <c r="J683" t="s">
        <v>460</v>
      </c>
      <c r="K683" t="s">
        <v>11</v>
      </c>
      <c r="L683" t="str">
        <f>T("9791191562187")</f>
        <v>9791191562187</v>
      </c>
    </row>
    <row r="684" spans="1:12">
      <c r="A684" s="8">
        <v>44640.802175925928</v>
      </c>
      <c r="B684">
        <v>291088925</v>
      </c>
      <c r="C684" t="s">
        <v>693</v>
      </c>
      <c r="D684" t="s">
        <v>9</v>
      </c>
      <c r="E684" s="9">
        <v>2000</v>
      </c>
      <c r="F684" s="9">
        <v>2000</v>
      </c>
      <c r="G684" s="9">
        <v>1400</v>
      </c>
      <c r="I684" t="s">
        <v>694</v>
      </c>
      <c r="J684" t="s">
        <v>460</v>
      </c>
      <c r="K684" t="s">
        <v>11</v>
      </c>
      <c r="L684" t="str">
        <f>T("9791191562187")</f>
        <v>9791191562187</v>
      </c>
    </row>
    <row r="685" spans="1:12">
      <c r="A685" s="8">
        <v>44640.80572916667</v>
      </c>
      <c r="B685">
        <v>291088925</v>
      </c>
      <c r="C685" t="s">
        <v>693</v>
      </c>
      <c r="D685" t="s">
        <v>9</v>
      </c>
      <c r="E685" s="9">
        <v>2000</v>
      </c>
      <c r="F685" s="9">
        <v>2000</v>
      </c>
      <c r="G685" s="9">
        <v>1400</v>
      </c>
      <c r="I685" t="s">
        <v>694</v>
      </c>
      <c r="J685" t="s">
        <v>460</v>
      </c>
      <c r="K685" t="s">
        <v>11</v>
      </c>
      <c r="L685" t="str">
        <f>T("9791191562187")</f>
        <v>9791191562187</v>
      </c>
    </row>
    <row r="686" spans="1:12">
      <c r="A686" s="8">
        <v>44640.807581018518</v>
      </c>
      <c r="B686">
        <v>289315562</v>
      </c>
      <c r="C686" t="s">
        <v>478</v>
      </c>
      <c r="D686" t="s">
        <v>9</v>
      </c>
      <c r="E686" s="9">
        <v>3000</v>
      </c>
      <c r="F686" s="9">
        <v>3000</v>
      </c>
      <c r="G686" s="9">
        <v>2100</v>
      </c>
      <c r="I686" t="s">
        <v>454</v>
      </c>
      <c r="J686" t="s">
        <v>460</v>
      </c>
      <c r="K686" t="s">
        <v>11</v>
      </c>
      <c r="L686" t="str">
        <f>T("9791191562101")</f>
        <v>9791191562101</v>
      </c>
    </row>
    <row r="687" spans="1:12">
      <c r="A687" s="8">
        <v>44640.820567129631</v>
      </c>
      <c r="B687">
        <v>290084502</v>
      </c>
      <c r="C687" t="s">
        <v>592</v>
      </c>
      <c r="D687" t="s">
        <v>9</v>
      </c>
      <c r="E687" s="9">
        <v>2500</v>
      </c>
      <c r="F687" s="9">
        <v>2500</v>
      </c>
      <c r="G687" s="9">
        <v>1750</v>
      </c>
      <c r="I687" t="s">
        <v>593</v>
      </c>
      <c r="J687" t="s">
        <v>460</v>
      </c>
      <c r="K687" t="s">
        <v>11</v>
      </c>
      <c r="L687" t="str">
        <f>T("9791191562125")</f>
        <v>9791191562125</v>
      </c>
    </row>
    <row r="688" spans="1:12">
      <c r="A688" s="8">
        <v>44640.821446759262</v>
      </c>
      <c r="B688">
        <v>291088925</v>
      </c>
      <c r="C688" t="s">
        <v>693</v>
      </c>
      <c r="D688" t="s">
        <v>9</v>
      </c>
      <c r="E688" s="9">
        <v>2000</v>
      </c>
      <c r="F688" s="9">
        <v>2000</v>
      </c>
      <c r="G688" s="9">
        <v>1400</v>
      </c>
      <c r="I688" t="s">
        <v>694</v>
      </c>
      <c r="J688" t="s">
        <v>460</v>
      </c>
      <c r="K688" t="s">
        <v>11</v>
      </c>
      <c r="L688" t="str">
        <f>T("9791191562187")</f>
        <v>9791191562187</v>
      </c>
    </row>
    <row r="689" spans="1:12">
      <c r="A689" s="8">
        <v>44640.823518518519</v>
      </c>
      <c r="B689">
        <v>291088925</v>
      </c>
      <c r="C689" t="s">
        <v>693</v>
      </c>
      <c r="D689" t="s">
        <v>9</v>
      </c>
      <c r="E689" s="9">
        <v>2000</v>
      </c>
      <c r="F689" s="9">
        <v>2000</v>
      </c>
      <c r="G689" s="9">
        <v>1400</v>
      </c>
      <c r="I689" t="s">
        <v>694</v>
      </c>
      <c r="J689" t="s">
        <v>460</v>
      </c>
      <c r="K689" t="s">
        <v>11</v>
      </c>
      <c r="L689" t="str">
        <f>T("9791191562187")</f>
        <v>9791191562187</v>
      </c>
    </row>
    <row r="690" spans="1:12">
      <c r="A690" s="8">
        <v>44640.831932870373</v>
      </c>
      <c r="B690">
        <v>291088925</v>
      </c>
      <c r="C690" t="s">
        <v>693</v>
      </c>
      <c r="D690" t="s">
        <v>9</v>
      </c>
      <c r="E690" s="9">
        <v>2000</v>
      </c>
      <c r="F690" s="9">
        <v>2000</v>
      </c>
      <c r="G690" s="9">
        <v>1400</v>
      </c>
      <c r="I690" t="s">
        <v>694</v>
      </c>
      <c r="J690" t="s">
        <v>460</v>
      </c>
      <c r="K690" t="s">
        <v>11</v>
      </c>
      <c r="L690" t="str">
        <f>T("9791191562187")</f>
        <v>9791191562187</v>
      </c>
    </row>
    <row r="691" spans="1:12">
      <c r="A691" s="8">
        <v>44640.834722222222</v>
      </c>
      <c r="B691">
        <v>291088925</v>
      </c>
      <c r="C691" t="s">
        <v>693</v>
      </c>
      <c r="D691" t="s">
        <v>9</v>
      </c>
      <c r="E691" s="9">
        <v>2000</v>
      </c>
      <c r="F691" s="9">
        <v>2000</v>
      </c>
      <c r="G691" s="9">
        <v>1400</v>
      </c>
      <c r="I691" t="s">
        <v>694</v>
      </c>
      <c r="J691" t="s">
        <v>460</v>
      </c>
      <c r="K691" t="s">
        <v>11</v>
      </c>
      <c r="L691" t="str">
        <f>T("9791191562187")</f>
        <v>9791191562187</v>
      </c>
    </row>
    <row r="692" spans="1:12">
      <c r="A692" s="8">
        <v>44640.842013888891</v>
      </c>
      <c r="B692">
        <v>290197934</v>
      </c>
      <c r="C692" t="s">
        <v>604</v>
      </c>
      <c r="D692" t="s">
        <v>9</v>
      </c>
      <c r="E692" s="9">
        <v>2000</v>
      </c>
      <c r="F692" s="9">
        <v>2000</v>
      </c>
      <c r="G692" s="9">
        <v>1400</v>
      </c>
      <c r="I692" t="s">
        <v>605</v>
      </c>
      <c r="J692" t="s">
        <v>460</v>
      </c>
      <c r="K692" t="s">
        <v>11</v>
      </c>
      <c r="L692" t="str">
        <f>T("9791191562163")</f>
        <v>9791191562163</v>
      </c>
    </row>
    <row r="693" spans="1:12">
      <c r="A693" s="8">
        <v>44640.857569444444</v>
      </c>
      <c r="B693">
        <v>289315562</v>
      </c>
      <c r="C693" t="s">
        <v>478</v>
      </c>
      <c r="D693" t="s">
        <v>9</v>
      </c>
      <c r="E693" s="9">
        <v>3000</v>
      </c>
      <c r="F693" s="9">
        <v>3000</v>
      </c>
      <c r="G693" s="9">
        <v>2100</v>
      </c>
      <c r="I693" t="s">
        <v>454</v>
      </c>
      <c r="J693" t="s">
        <v>460</v>
      </c>
      <c r="K693" t="s">
        <v>11</v>
      </c>
      <c r="L693" t="str">
        <f>T("9791191562101")</f>
        <v>9791191562101</v>
      </c>
    </row>
    <row r="694" spans="1:12">
      <c r="A694" s="8">
        <v>44640.86451388889</v>
      </c>
      <c r="B694">
        <v>141460577</v>
      </c>
      <c r="C694" t="s">
        <v>716</v>
      </c>
      <c r="D694" t="s">
        <v>9</v>
      </c>
      <c r="E694" s="9">
        <v>11700</v>
      </c>
      <c r="F694" s="9">
        <v>11700</v>
      </c>
      <c r="G694" s="9">
        <v>8190</v>
      </c>
      <c r="I694" t="s">
        <v>35</v>
      </c>
      <c r="J694" t="s">
        <v>637</v>
      </c>
      <c r="K694" t="s">
        <v>11</v>
      </c>
      <c r="L694" t="str">
        <f>T("9791161886329")</f>
        <v>9791161886329</v>
      </c>
    </row>
    <row r="695" spans="1:12">
      <c r="A695" s="8">
        <v>44640.864745370367</v>
      </c>
      <c r="B695">
        <v>291088925</v>
      </c>
      <c r="C695" t="s">
        <v>693</v>
      </c>
      <c r="D695" t="s">
        <v>9</v>
      </c>
      <c r="E695" s="9">
        <v>2000</v>
      </c>
      <c r="F695" s="9">
        <v>2000</v>
      </c>
      <c r="G695" s="9">
        <v>1400</v>
      </c>
      <c r="I695" t="s">
        <v>694</v>
      </c>
      <c r="J695" t="s">
        <v>460</v>
      </c>
      <c r="K695" t="s">
        <v>11</v>
      </c>
      <c r="L695" t="str">
        <f>T("9791191562187")</f>
        <v>9791191562187</v>
      </c>
    </row>
    <row r="696" spans="1:12">
      <c r="A696" s="8">
        <v>44640.879062499997</v>
      </c>
      <c r="B696">
        <v>291088925</v>
      </c>
      <c r="C696" t="s">
        <v>693</v>
      </c>
      <c r="D696" t="s">
        <v>9</v>
      </c>
      <c r="E696" s="9">
        <v>2000</v>
      </c>
      <c r="F696" s="9">
        <v>2000</v>
      </c>
      <c r="G696" s="9">
        <v>1400</v>
      </c>
      <c r="I696" t="s">
        <v>694</v>
      </c>
      <c r="J696" t="s">
        <v>460</v>
      </c>
      <c r="K696" t="s">
        <v>11</v>
      </c>
      <c r="L696" t="str">
        <f>T("9791191562187")</f>
        <v>9791191562187</v>
      </c>
    </row>
    <row r="697" spans="1:12">
      <c r="A697" s="8">
        <v>44640.88521990741</v>
      </c>
      <c r="B697">
        <v>290197934</v>
      </c>
      <c r="C697" t="s">
        <v>604</v>
      </c>
      <c r="D697" t="s">
        <v>9</v>
      </c>
      <c r="E697" s="9">
        <v>2000</v>
      </c>
      <c r="F697" s="9">
        <v>2000</v>
      </c>
      <c r="G697" s="9">
        <v>1400</v>
      </c>
      <c r="I697" t="s">
        <v>605</v>
      </c>
      <c r="J697" t="s">
        <v>460</v>
      </c>
      <c r="K697" t="s">
        <v>11</v>
      </c>
      <c r="L697" t="str">
        <f>T("9791191562163")</f>
        <v>9791191562163</v>
      </c>
    </row>
    <row r="698" spans="1:12">
      <c r="A698" s="8">
        <v>44640.887430555558</v>
      </c>
      <c r="B698">
        <v>291088925</v>
      </c>
      <c r="C698" t="s">
        <v>693</v>
      </c>
      <c r="D698" t="s">
        <v>9</v>
      </c>
      <c r="E698" s="9">
        <v>2000</v>
      </c>
      <c r="F698" s="9">
        <v>2000</v>
      </c>
      <c r="G698" s="9">
        <v>1400</v>
      </c>
      <c r="I698" t="s">
        <v>694</v>
      </c>
      <c r="J698" t="s">
        <v>460</v>
      </c>
      <c r="K698" t="s">
        <v>11</v>
      </c>
      <c r="L698" t="str">
        <f>T("9791191562187")</f>
        <v>9791191562187</v>
      </c>
    </row>
    <row r="699" spans="1:12">
      <c r="A699" s="8">
        <v>44640.891168981485</v>
      </c>
      <c r="B699">
        <v>291088925</v>
      </c>
      <c r="C699" t="s">
        <v>693</v>
      </c>
      <c r="D699" t="s">
        <v>9</v>
      </c>
      <c r="E699" s="9">
        <v>2000</v>
      </c>
      <c r="F699" s="9">
        <v>2000</v>
      </c>
      <c r="G699" s="9">
        <v>1400</v>
      </c>
      <c r="I699" t="s">
        <v>694</v>
      </c>
      <c r="J699" t="s">
        <v>460</v>
      </c>
      <c r="K699" t="s">
        <v>11</v>
      </c>
      <c r="L699" t="str">
        <f>T("9791191562187")</f>
        <v>9791191562187</v>
      </c>
    </row>
    <row r="700" spans="1:12">
      <c r="A700" s="8">
        <v>44640.898148148146</v>
      </c>
      <c r="B700">
        <v>291088925</v>
      </c>
      <c r="C700" t="s">
        <v>693</v>
      </c>
      <c r="D700" t="s">
        <v>9</v>
      </c>
      <c r="E700" s="9">
        <v>2000</v>
      </c>
      <c r="F700" s="9">
        <v>2000</v>
      </c>
      <c r="G700" s="9">
        <v>1400</v>
      </c>
      <c r="I700" t="s">
        <v>694</v>
      </c>
      <c r="J700" t="s">
        <v>460</v>
      </c>
      <c r="K700" t="s">
        <v>11</v>
      </c>
      <c r="L700" t="str">
        <f>T("9791191562187")</f>
        <v>9791191562187</v>
      </c>
    </row>
    <row r="701" spans="1:12">
      <c r="A701" s="8">
        <v>44640.9065162037</v>
      </c>
      <c r="B701">
        <v>291088925</v>
      </c>
      <c r="C701" t="s">
        <v>693</v>
      </c>
      <c r="D701" t="s">
        <v>9</v>
      </c>
      <c r="E701" s="9">
        <v>2000</v>
      </c>
      <c r="F701" s="9">
        <v>2000</v>
      </c>
      <c r="G701" s="9">
        <v>1400</v>
      </c>
      <c r="I701" t="s">
        <v>694</v>
      </c>
      <c r="J701" t="s">
        <v>460</v>
      </c>
      <c r="K701" t="s">
        <v>11</v>
      </c>
      <c r="L701" t="str">
        <f>T("9791191562187")</f>
        <v>9791191562187</v>
      </c>
    </row>
    <row r="702" spans="1:12">
      <c r="A702" s="8">
        <v>44640.914398148147</v>
      </c>
      <c r="B702">
        <v>290829048</v>
      </c>
      <c r="C702" t="s">
        <v>645</v>
      </c>
      <c r="D702" t="s">
        <v>9</v>
      </c>
      <c r="E702">
        <v>0</v>
      </c>
      <c r="F702">
        <v>0</v>
      </c>
      <c r="G702">
        <v>0</v>
      </c>
      <c r="I702" t="s">
        <v>28</v>
      </c>
      <c r="J702" t="s">
        <v>20</v>
      </c>
      <c r="K702" t="s">
        <v>11</v>
      </c>
      <c r="L702" t="str">
        <f>T("9791164480401")</f>
        <v>9791164480401</v>
      </c>
    </row>
    <row r="703" spans="1:12">
      <c r="A703" s="8">
        <v>44640.914398148147</v>
      </c>
      <c r="B703">
        <v>290963570</v>
      </c>
      <c r="C703" t="s">
        <v>683</v>
      </c>
      <c r="D703" t="s">
        <v>9</v>
      </c>
      <c r="E703">
        <v>0</v>
      </c>
      <c r="F703">
        <v>0</v>
      </c>
      <c r="G703">
        <v>0</v>
      </c>
      <c r="I703" t="s">
        <v>684</v>
      </c>
      <c r="J703" t="s">
        <v>11</v>
      </c>
      <c r="K703" t="s">
        <v>11</v>
      </c>
      <c r="L703" t="str">
        <f>T("9791137603332")</f>
        <v>9791137603332</v>
      </c>
    </row>
    <row r="704" spans="1:12">
      <c r="A704" s="8">
        <v>44640.918425925927</v>
      </c>
      <c r="B704">
        <v>289315562</v>
      </c>
      <c r="C704" t="s">
        <v>478</v>
      </c>
      <c r="D704" t="s">
        <v>9</v>
      </c>
      <c r="E704" s="9">
        <v>3000</v>
      </c>
      <c r="F704" s="9">
        <v>3000</v>
      </c>
      <c r="G704" s="9">
        <v>2100</v>
      </c>
      <c r="I704" t="s">
        <v>454</v>
      </c>
      <c r="J704" t="s">
        <v>460</v>
      </c>
      <c r="K704" t="s">
        <v>11</v>
      </c>
      <c r="L704" t="str">
        <f>T("9791191562101")</f>
        <v>9791191562101</v>
      </c>
    </row>
    <row r="705" spans="1:12">
      <c r="A705" s="8">
        <v>44640.924120370371</v>
      </c>
      <c r="B705">
        <v>290197934</v>
      </c>
      <c r="C705" t="s">
        <v>604</v>
      </c>
      <c r="D705" t="s">
        <v>9</v>
      </c>
      <c r="E705" s="9">
        <v>2000</v>
      </c>
      <c r="F705" s="9">
        <v>2000</v>
      </c>
      <c r="G705" s="9">
        <v>1400</v>
      </c>
      <c r="I705" t="s">
        <v>605</v>
      </c>
      <c r="J705" t="s">
        <v>460</v>
      </c>
      <c r="K705" t="s">
        <v>11</v>
      </c>
      <c r="L705" t="str">
        <f>T("9791191562163")</f>
        <v>9791191562163</v>
      </c>
    </row>
    <row r="706" spans="1:12">
      <c r="A706" s="8">
        <v>44640.925115740742</v>
      </c>
      <c r="B706">
        <v>291088925</v>
      </c>
      <c r="C706" t="s">
        <v>693</v>
      </c>
      <c r="D706" t="s">
        <v>9</v>
      </c>
      <c r="E706" s="9">
        <v>2000</v>
      </c>
      <c r="F706" s="9">
        <v>2000</v>
      </c>
      <c r="G706" s="9">
        <v>1400</v>
      </c>
      <c r="I706" t="s">
        <v>694</v>
      </c>
      <c r="J706" t="s">
        <v>460</v>
      </c>
      <c r="K706" t="s">
        <v>11</v>
      </c>
      <c r="L706" t="str">
        <f>T("9791191562187")</f>
        <v>9791191562187</v>
      </c>
    </row>
    <row r="707" spans="1:12">
      <c r="A707" s="8">
        <v>44640.927199074074</v>
      </c>
      <c r="B707">
        <v>248187304</v>
      </c>
      <c r="C707" t="s">
        <v>116</v>
      </c>
      <c r="D707" t="s">
        <v>9</v>
      </c>
      <c r="E707" s="9">
        <v>3200</v>
      </c>
      <c r="F707" s="9">
        <v>3200</v>
      </c>
      <c r="G707" s="9">
        <v>2240</v>
      </c>
      <c r="I707" t="s">
        <v>15</v>
      </c>
      <c r="J707" t="s">
        <v>11</v>
      </c>
      <c r="K707" t="s">
        <v>11</v>
      </c>
      <c r="L707" t="str">
        <f>T("9791190937184")</f>
        <v>9791190937184</v>
      </c>
    </row>
    <row r="708" spans="1:12">
      <c r="A708" s="8">
        <v>44640.93818287037</v>
      </c>
      <c r="B708">
        <v>291088925</v>
      </c>
      <c r="C708" t="s">
        <v>693</v>
      </c>
      <c r="D708" t="s">
        <v>9</v>
      </c>
      <c r="E708" s="9">
        <v>2000</v>
      </c>
      <c r="F708" s="9">
        <v>2000</v>
      </c>
      <c r="G708" s="9">
        <v>1400</v>
      </c>
      <c r="I708" t="s">
        <v>694</v>
      </c>
      <c r="J708" t="s">
        <v>460</v>
      </c>
      <c r="K708" t="s">
        <v>11</v>
      </c>
      <c r="L708" t="str">
        <f t="shared" ref="L708:L716" si="3">T("9791191562187")</f>
        <v>9791191562187</v>
      </c>
    </row>
    <row r="709" spans="1:12">
      <c r="A709" s="8">
        <v>44640.947465277779</v>
      </c>
      <c r="B709">
        <v>291088925</v>
      </c>
      <c r="C709" t="s">
        <v>693</v>
      </c>
      <c r="D709" t="s">
        <v>9</v>
      </c>
      <c r="E709" s="9">
        <v>2000</v>
      </c>
      <c r="F709" s="9">
        <v>2000</v>
      </c>
      <c r="G709" s="9">
        <v>1400</v>
      </c>
      <c r="I709" t="s">
        <v>694</v>
      </c>
      <c r="J709" t="s">
        <v>460</v>
      </c>
      <c r="K709" t="s">
        <v>11</v>
      </c>
      <c r="L709" t="str">
        <f t="shared" si="3"/>
        <v>9791191562187</v>
      </c>
    </row>
    <row r="710" spans="1:12">
      <c r="A710" s="8">
        <v>44640.957199074073</v>
      </c>
      <c r="B710">
        <v>291088925</v>
      </c>
      <c r="C710" t="s">
        <v>693</v>
      </c>
      <c r="D710" t="s">
        <v>9</v>
      </c>
      <c r="E710" s="9">
        <v>2000</v>
      </c>
      <c r="F710" s="9">
        <v>2000</v>
      </c>
      <c r="G710" s="9">
        <v>1400</v>
      </c>
      <c r="I710" t="s">
        <v>694</v>
      </c>
      <c r="J710" t="s">
        <v>460</v>
      </c>
      <c r="K710" t="s">
        <v>11</v>
      </c>
      <c r="L710" t="str">
        <f t="shared" si="3"/>
        <v>9791191562187</v>
      </c>
    </row>
    <row r="711" spans="1:12">
      <c r="A711" s="8">
        <v>44640.958981481483</v>
      </c>
      <c r="B711">
        <v>291088925</v>
      </c>
      <c r="C711" t="s">
        <v>693</v>
      </c>
      <c r="D711" t="s">
        <v>9</v>
      </c>
      <c r="E711" s="9">
        <v>2000</v>
      </c>
      <c r="F711" s="9">
        <v>2000</v>
      </c>
      <c r="G711" s="9">
        <v>1400</v>
      </c>
      <c r="I711" t="s">
        <v>694</v>
      </c>
      <c r="J711" t="s">
        <v>460</v>
      </c>
      <c r="K711" t="s">
        <v>11</v>
      </c>
      <c r="L711" t="str">
        <f t="shared" si="3"/>
        <v>9791191562187</v>
      </c>
    </row>
    <row r="712" spans="1:12">
      <c r="A712" s="8">
        <v>44640.963784722226</v>
      </c>
      <c r="B712">
        <v>291088925</v>
      </c>
      <c r="C712" t="s">
        <v>693</v>
      </c>
      <c r="D712" t="s">
        <v>9</v>
      </c>
      <c r="E712" s="9">
        <v>2000</v>
      </c>
      <c r="F712" s="9">
        <v>2000</v>
      </c>
      <c r="G712" s="9">
        <v>1400</v>
      </c>
      <c r="I712" t="s">
        <v>694</v>
      </c>
      <c r="J712" t="s">
        <v>460</v>
      </c>
      <c r="K712" t="s">
        <v>11</v>
      </c>
      <c r="L712" t="str">
        <f t="shared" si="3"/>
        <v>9791191562187</v>
      </c>
    </row>
    <row r="713" spans="1:12">
      <c r="A713" s="8">
        <v>44640.96802083333</v>
      </c>
      <c r="B713">
        <v>291088925</v>
      </c>
      <c r="C713" t="s">
        <v>693</v>
      </c>
      <c r="D713" t="s">
        <v>9</v>
      </c>
      <c r="E713" s="9">
        <v>2000</v>
      </c>
      <c r="F713" s="9">
        <v>2000</v>
      </c>
      <c r="G713" s="9">
        <v>1400</v>
      </c>
      <c r="I713" t="s">
        <v>694</v>
      </c>
      <c r="J713" t="s">
        <v>460</v>
      </c>
      <c r="K713" t="s">
        <v>11</v>
      </c>
      <c r="L713" t="str">
        <f t="shared" si="3"/>
        <v>9791191562187</v>
      </c>
    </row>
    <row r="714" spans="1:12">
      <c r="A714" s="8">
        <v>44640.968310185184</v>
      </c>
      <c r="B714">
        <v>291088925</v>
      </c>
      <c r="C714" t="s">
        <v>693</v>
      </c>
      <c r="D714" t="s">
        <v>9</v>
      </c>
      <c r="E714" s="9">
        <v>2000</v>
      </c>
      <c r="F714" s="9">
        <v>2000</v>
      </c>
      <c r="G714" s="9">
        <v>1400</v>
      </c>
      <c r="I714" t="s">
        <v>694</v>
      </c>
      <c r="J714" t="s">
        <v>460</v>
      </c>
      <c r="K714" t="s">
        <v>11</v>
      </c>
      <c r="L714" t="str">
        <f t="shared" si="3"/>
        <v>9791191562187</v>
      </c>
    </row>
    <row r="715" spans="1:12">
      <c r="A715" s="8">
        <v>44640.970590277779</v>
      </c>
      <c r="B715">
        <v>291088925</v>
      </c>
      <c r="C715" t="s">
        <v>693</v>
      </c>
      <c r="D715" t="s">
        <v>9</v>
      </c>
      <c r="E715" s="9">
        <v>2000</v>
      </c>
      <c r="F715" s="9">
        <v>2000</v>
      </c>
      <c r="G715" s="9">
        <v>1400</v>
      </c>
      <c r="I715" t="s">
        <v>694</v>
      </c>
      <c r="J715" t="s">
        <v>460</v>
      </c>
      <c r="K715" t="s">
        <v>11</v>
      </c>
      <c r="L715" t="str">
        <f t="shared" si="3"/>
        <v>9791191562187</v>
      </c>
    </row>
    <row r="716" spans="1:12">
      <c r="A716" s="8">
        <v>44640.972627314812</v>
      </c>
      <c r="B716">
        <v>291088925</v>
      </c>
      <c r="C716" t="s">
        <v>693</v>
      </c>
      <c r="D716" t="s">
        <v>9</v>
      </c>
      <c r="E716" s="9">
        <v>2000</v>
      </c>
      <c r="F716" s="9">
        <v>2000</v>
      </c>
      <c r="G716" s="9">
        <v>1400</v>
      </c>
      <c r="I716" t="s">
        <v>694</v>
      </c>
      <c r="J716" t="s">
        <v>460</v>
      </c>
      <c r="K716" t="s">
        <v>11</v>
      </c>
      <c r="L716" t="str">
        <f t="shared" si="3"/>
        <v>9791191562187</v>
      </c>
    </row>
    <row r="717" spans="1:12">
      <c r="A717" s="8">
        <v>44640.986863425926</v>
      </c>
      <c r="B717">
        <v>289315562</v>
      </c>
      <c r="C717" t="s">
        <v>478</v>
      </c>
      <c r="D717" t="s">
        <v>9</v>
      </c>
      <c r="E717" s="9">
        <v>3000</v>
      </c>
      <c r="F717" s="9">
        <v>3000</v>
      </c>
      <c r="G717" s="9">
        <v>2100</v>
      </c>
      <c r="I717" t="s">
        <v>454</v>
      </c>
      <c r="J717" t="s">
        <v>460</v>
      </c>
      <c r="K717" t="s">
        <v>11</v>
      </c>
      <c r="L717" t="str">
        <f>T("9791191562101")</f>
        <v>9791191562101</v>
      </c>
    </row>
    <row r="718" spans="1:12">
      <c r="A718" s="8">
        <v>44640.992268518516</v>
      </c>
      <c r="B718">
        <v>291088925</v>
      </c>
      <c r="C718" t="s">
        <v>693</v>
      </c>
      <c r="D718" t="s">
        <v>9</v>
      </c>
      <c r="E718" s="9">
        <v>2000</v>
      </c>
      <c r="F718" s="9">
        <v>2000</v>
      </c>
      <c r="G718" s="9">
        <v>1400</v>
      </c>
      <c r="I718" t="s">
        <v>694</v>
      </c>
      <c r="J718" t="s">
        <v>460</v>
      </c>
      <c r="K718" t="s">
        <v>11</v>
      </c>
      <c r="L718" t="str">
        <f>T("9791191562187")</f>
        <v>9791191562187</v>
      </c>
    </row>
    <row r="719" spans="1:12">
      <c r="A719" s="8">
        <v>44640.99627314815</v>
      </c>
      <c r="B719">
        <v>291088925</v>
      </c>
      <c r="C719" t="s">
        <v>693</v>
      </c>
      <c r="D719" t="s">
        <v>9</v>
      </c>
      <c r="E719" s="9">
        <v>2000</v>
      </c>
      <c r="F719" s="9">
        <v>2000</v>
      </c>
      <c r="G719" s="9">
        <v>1400</v>
      </c>
      <c r="I719" t="s">
        <v>694</v>
      </c>
      <c r="J719" t="s">
        <v>460</v>
      </c>
      <c r="K719" t="s">
        <v>11</v>
      </c>
      <c r="L719" t="str">
        <f>T("9791191562187")</f>
        <v>9791191562187</v>
      </c>
    </row>
    <row r="720" spans="1:12">
      <c r="A720" s="8">
        <v>44640.999664351853</v>
      </c>
      <c r="B720">
        <v>291088925</v>
      </c>
      <c r="C720" t="s">
        <v>693</v>
      </c>
      <c r="D720" t="s">
        <v>9</v>
      </c>
      <c r="E720" s="9">
        <v>2000</v>
      </c>
      <c r="F720" s="9">
        <v>2000</v>
      </c>
      <c r="G720" s="9">
        <v>1400</v>
      </c>
      <c r="I720" t="s">
        <v>694</v>
      </c>
      <c r="J720" t="s">
        <v>460</v>
      </c>
      <c r="K720" t="s">
        <v>11</v>
      </c>
      <c r="L720" t="str">
        <f>T("9791191562187")</f>
        <v>9791191562187</v>
      </c>
    </row>
    <row r="721" spans="1:12">
      <c r="A721" s="8">
        <v>44641.013402777775</v>
      </c>
      <c r="B721">
        <v>290963607</v>
      </c>
      <c r="C721" t="s">
        <v>681</v>
      </c>
      <c r="D721" t="s">
        <v>9</v>
      </c>
      <c r="E721" s="9">
        <v>3500</v>
      </c>
      <c r="F721" s="9">
        <v>3500</v>
      </c>
      <c r="G721" s="9">
        <v>2450</v>
      </c>
      <c r="I721" t="s">
        <v>682</v>
      </c>
      <c r="J721" t="s">
        <v>460</v>
      </c>
      <c r="K721" t="s">
        <v>11</v>
      </c>
      <c r="L721" t="str">
        <f>T("9791191562132")</f>
        <v>9791191562132</v>
      </c>
    </row>
    <row r="722" spans="1:12">
      <c r="A722" s="8">
        <v>44641.060659722221</v>
      </c>
      <c r="B722">
        <v>291088925</v>
      </c>
      <c r="C722" t="s">
        <v>693</v>
      </c>
      <c r="D722" t="s">
        <v>9</v>
      </c>
      <c r="E722" s="9">
        <v>2000</v>
      </c>
      <c r="F722" s="9">
        <v>2000</v>
      </c>
      <c r="G722" s="9">
        <v>1400</v>
      </c>
      <c r="I722" t="s">
        <v>694</v>
      </c>
      <c r="J722" t="s">
        <v>460</v>
      </c>
      <c r="K722" t="s">
        <v>11</v>
      </c>
      <c r="L722" t="str">
        <f>T("9791191562187")</f>
        <v>9791191562187</v>
      </c>
    </row>
    <row r="723" spans="1:12">
      <c r="A723" s="8">
        <v>44641.326886574076</v>
      </c>
      <c r="B723">
        <v>284241808</v>
      </c>
      <c r="C723" t="s">
        <v>73</v>
      </c>
      <c r="D723" t="s">
        <v>9</v>
      </c>
      <c r="E723" s="9">
        <v>3600</v>
      </c>
      <c r="F723" s="9">
        <v>3600</v>
      </c>
      <c r="G723" s="9">
        <v>2520</v>
      </c>
      <c r="I723" t="s">
        <v>34</v>
      </c>
      <c r="J723" t="s">
        <v>588</v>
      </c>
      <c r="K723" t="s">
        <v>11</v>
      </c>
      <c r="L723" t="str">
        <f>T("9791166482557")</f>
        <v>9791166482557</v>
      </c>
    </row>
    <row r="724" spans="1:12">
      <c r="A724" s="8">
        <v>44641.326886574076</v>
      </c>
      <c r="B724">
        <v>284241886</v>
      </c>
      <c r="C724" t="s">
        <v>62</v>
      </c>
      <c r="D724" t="s">
        <v>9</v>
      </c>
      <c r="E724" s="9">
        <v>3600</v>
      </c>
      <c r="F724" s="9">
        <v>3600</v>
      </c>
      <c r="G724" s="9">
        <v>2520</v>
      </c>
      <c r="I724" t="s">
        <v>34</v>
      </c>
      <c r="J724" t="s">
        <v>588</v>
      </c>
      <c r="K724" t="s">
        <v>11</v>
      </c>
      <c r="L724" t="str">
        <f>T("9791166482564")</f>
        <v>9791166482564</v>
      </c>
    </row>
    <row r="725" spans="1:12">
      <c r="A725" s="8">
        <v>44641.418553240743</v>
      </c>
      <c r="B725">
        <v>291088925</v>
      </c>
      <c r="C725" t="s">
        <v>693</v>
      </c>
      <c r="D725" t="s">
        <v>9</v>
      </c>
      <c r="E725" s="9">
        <v>2000</v>
      </c>
      <c r="F725" s="9">
        <v>2000</v>
      </c>
      <c r="G725" s="9">
        <v>1400</v>
      </c>
      <c r="I725" t="s">
        <v>694</v>
      </c>
      <c r="J725" t="s">
        <v>460</v>
      </c>
      <c r="K725" t="s">
        <v>11</v>
      </c>
      <c r="L725" t="str">
        <f>T("9791191562187")</f>
        <v>9791191562187</v>
      </c>
    </row>
    <row r="726" spans="1:12">
      <c r="A726" s="8">
        <v>44641.450023148151</v>
      </c>
      <c r="B726">
        <v>291088925</v>
      </c>
      <c r="C726" t="s">
        <v>693</v>
      </c>
      <c r="D726" t="s">
        <v>9</v>
      </c>
      <c r="E726" s="9">
        <v>2000</v>
      </c>
      <c r="F726" s="9">
        <v>2000</v>
      </c>
      <c r="G726" s="9">
        <v>1400</v>
      </c>
      <c r="I726" t="s">
        <v>694</v>
      </c>
      <c r="J726" t="s">
        <v>460</v>
      </c>
      <c r="K726" t="s">
        <v>11</v>
      </c>
      <c r="L726" t="str">
        <f>T("9791191562187")</f>
        <v>9791191562187</v>
      </c>
    </row>
    <row r="727" spans="1:12">
      <c r="A727" s="8">
        <v>44641.483530092592</v>
      </c>
      <c r="B727">
        <v>291088925</v>
      </c>
      <c r="C727" t="s">
        <v>693</v>
      </c>
      <c r="D727" t="s">
        <v>9</v>
      </c>
      <c r="E727" s="9">
        <v>2000</v>
      </c>
      <c r="F727" s="9">
        <v>2000</v>
      </c>
      <c r="G727" s="9">
        <v>1400</v>
      </c>
      <c r="I727" t="s">
        <v>694</v>
      </c>
      <c r="J727" t="s">
        <v>460</v>
      </c>
      <c r="K727" t="s">
        <v>11</v>
      </c>
      <c r="L727" t="str">
        <f>T("9791191562187")</f>
        <v>9791191562187</v>
      </c>
    </row>
    <row r="728" spans="1:12">
      <c r="A728" s="8">
        <v>44641.485185185185</v>
      </c>
      <c r="B728">
        <v>258341074</v>
      </c>
      <c r="C728" t="s">
        <v>640</v>
      </c>
      <c r="D728" t="s">
        <v>9</v>
      </c>
      <c r="E728">
        <v>0</v>
      </c>
      <c r="F728">
        <v>0</v>
      </c>
      <c r="G728">
        <v>0</v>
      </c>
      <c r="I728" t="s">
        <v>641</v>
      </c>
      <c r="J728" t="s">
        <v>11</v>
      </c>
      <c r="K728" t="s">
        <v>11</v>
      </c>
      <c r="L728" t="str">
        <f>T("9791166065125")</f>
        <v>9791166065125</v>
      </c>
    </row>
    <row r="729" spans="1:12">
      <c r="A729" s="8">
        <v>44641.500798611109</v>
      </c>
      <c r="B729">
        <v>291088925</v>
      </c>
      <c r="C729" t="s">
        <v>693</v>
      </c>
      <c r="D729" t="s">
        <v>9</v>
      </c>
      <c r="E729" s="9">
        <v>2000</v>
      </c>
      <c r="F729" s="9">
        <v>2000</v>
      </c>
      <c r="G729" s="9">
        <v>1400</v>
      </c>
      <c r="I729" t="s">
        <v>694</v>
      </c>
      <c r="J729" t="s">
        <v>460</v>
      </c>
      <c r="K729" t="s">
        <v>11</v>
      </c>
      <c r="L729" t="str">
        <f>T("9791191562187")</f>
        <v>9791191562187</v>
      </c>
    </row>
    <row r="730" spans="1:12">
      <c r="A730" s="8">
        <v>44641.504849537036</v>
      </c>
      <c r="B730">
        <v>253098969</v>
      </c>
      <c r="C730" t="s">
        <v>710</v>
      </c>
      <c r="D730" t="s">
        <v>12</v>
      </c>
      <c r="E730">
        <v>480</v>
      </c>
      <c r="F730">
        <v>480</v>
      </c>
      <c r="G730">
        <v>336</v>
      </c>
      <c r="I730" t="s">
        <v>18</v>
      </c>
      <c r="J730" t="s">
        <v>588</v>
      </c>
      <c r="K730" t="s">
        <v>11</v>
      </c>
      <c r="L730" t="str">
        <f>T("9791164899432")</f>
        <v>9791164899432</v>
      </c>
    </row>
    <row r="731" spans="1:12">
      <c r="A731" s="8">
        <v>44641.504849537036</v>
      </c>
      <c r="B731">
        <v>253099023</v>
      </c>
      <c r="C731" t="s">
        <v>711</v>
      </c>
      <c r="D731" t="s">
        <v>12</v>
      </c>
      <c r="E731" s="9">
        <v>2560</v>
      </c>
      <c r="F731" s="9">
        <v>2560</v>
      </c>
      <c r="G731" s="9">
        <v>1792</v>
      </c>
      <c r="I731" t="s">
        <v>18</v>
      </c>
      <c r="J731" t="s">
        <v>588</v>
      </c>
      <c r="K731" t="s">
        <v>11</v>
      </c>
      <c r="L731" t="str">
        <f>T("9791164899418")</f>
        <v>9791164899418</v>
      </c>
    </row>
    <row r="732" spans="1:12">
      <c r="A732" s="8">
        <v>44641.504849537036</v>
      </c>
      <c r="B732">
        <v>253098974</v>
      </c>
      <c r="C732" t="s">
        <v>712</v>
      </c>
      <c r="D732" t="s">
        <v>12</v>
      </c>
      <c r="E732" s="9">
        <v>2560</v>
      </c>
      <c r="F732" s="9">
        <v>2560</v>
      </c>
      <c r="G732" s="9">
        <v>1792</v>
      </c>
      <c r="I732" t="s">
        <v>18</v>
      </c>
      <c r="J732" t="s">
        <v>588</v>
      </c>
      <c r="K732" t="s">
        <v>11</v>
      </c>
      <c r="L732" t="str">
        <f>T("9791164899401")</f>
        <v>9791164899401</v>
      </c>
    </row>
    <row r="733" spans="1:12">
      <c r="A733" s="8">
        <v>44641.504884259259</v>
      </c>
      <c r="B733">
        <v>290197934</v>
      </c>
      <c r="C733" t="s">
        <v>604</v>
      </c>
      <c r="D733" t="s">
        <v>9</v>
      </c>
      <c r="E733" s="9">
        <v>2000</v>
      </c>
      <c r="F733" s="9">
        <v>2000</v>
      </c>
      <c r="G733" s="9">
        <v>1400</v>
      </c>
      <c r="I733" t="s">
        <v>605</v>
      </c>
      <c r="J733" t="s">
        <v>460</v>
      </c>
      <c r="K733" t="s">
        <v>11</v>
      </c>
      <c r="L733" t="str">
        <f>T("9791191562163")</f>
        <v>9791191562163</v>
      </c>
    </row>
    <row r="734" spans="1:12">
      <c r="A734" s="8">
        <v>44641.504884259259</v>
      </c>
      <c r="B734">
        <v>291088925</v>
      </c>
      <c r="C734" t="s">
        <v>693</v>
      </c>
      <c r="D734" t="s">
        <v>9</v>
      </c>
      <c r="E734" s="9">
        <v>2000</v>
      </c>
      <c r="F734" s="9">
        <v>2000</v>
      </c>
      <c r="G734" s="9">
        <v>1400</v>
      </c>
      <c r="I734" t="s">
        <v>694</v>
      </c>
      <c r="J734" t="s">
        <v>460</v>
      </c>
      <c r="K734" t="s">
        <v>11</v>
      </c>
      <c r="L734" t="str">
        <f t="shared" ref="L734:L749" si="4">T("9791191562187")</f>
        <v>9791191562187</v>
      </c>
    </row>
    <row r="735" spans="1:12">
      <c r="A735" s="8">
        <v>44641.510868055557</v>
      </c>
      <c r="B735">
        <v>291088925</v>
      </c>
      <c r="C735" t="s">
        <v>693</v>
      </c>
      <c r="D735" t="s">
        <v>9</v>
      </c>
      <c r="E735" s="9">
        <v>2000</v>
      </c>
      <c r="F735" s="9">
        <v>2000</v>
      </c>
      <c r="G735" s="9">
        <v>1400</v>
      </c>
      <c r="I735" t="s">
        <v>694</v>
      </c>
      <c r="J735" t="s">
        <v>460</v>
      </c>
      <c r="K735" t="s">
        <v>11</v>
      </c>
      <c r="L735" t="str">
        <f t="shared" si="4"/>
        <v>9791191562187</v>
      </c>
    </row>
    <row r="736" spans="1:12">
      <c r="A736" s="8">
        <v>44641.519525462965</v>
      </c>
      <c r="B736">
        <v>291088925</v>
      </c>
      <c r="C736" t="s">
        <v>693</v>
      </c>
      <c r="D736" t="s">
        <v>9</v>
      </c>
      <c r="E736" s="9">
        <v>2000</v>
      </c>
      <c r="F736" s="9">
        <v>2000</v>
      </c>
      <c r="G736" s="9">
        <v>1400</v>
      </c>
      <c r="I736" t="s">
        <v>694</v>
      </c>
      <c r="J736" t="s">
        <v>460</v>
      </c>
      <c r="K736" t="s">
        <v>11</v>
      </c>
      <c r="L736" t="str">
        <f t="shared" si="4"/>
        <v>9791191562187</v>
      </c>
    </row>
    <row r="737" spans="1:12">
      <c r="A737" s="8">
        <v>44641.521226851852</v>
      </c>
      <c r="B737">
        <v>291088925</v>
      </c>
      <c r="C737" t="s">
        <v>693</v>
      </c>
      <c r="D737" t="s">
        <v>9</v>
      </c>
      <c r="E737" s="9">
        <v>2000</v>
      </c>
      <c r="F737" s="9">
        <v>2000</v>
      </c>
      <c r="G737" s="9">
        <v>1400</v>
      </c>
      <c r="I737" t="s">
        <v>694</v>
      </c>
      <c r="J737" t="s">
        <v>460</v>
      </c>
      <c r="K737" t="s">
        <v>11</v>
      </c>
      <c r="L737" t="str">
        <f t="shared" si="4"/>
        <v>9791191562187</v>
      </c>
    </row>
    <row r="738" spans="1:12">
      <c r="A738" s="8">
        <v>44641.529907407406</v>
      </c>
      <c r="B738">
        <v>291088925</v>
      </c>
      <c r="C738" t="s">
        <v>693</v>
      </c>
      <c r="D738" t="s">
        <v>9</v>
      </c>
      <c r="E738" s="9">
        <v>2000</v>
      </c>
      <c r="F738" s="9">
        <v>2000</v>
      </c>
      <c r="G738" s="9">
        <v>1400</v>
      </c>
      <c r="I738" t="s">
        <v>694</v>
      </c>
      <c r="J738" t="s">
        <v>460</v>
      </c>
      <c r="K738" t="s">
        <v>11</v>
      </c>
      <c r="L738" t="str">
        <f t="shared" si="4"/>
        <v>9791191562187</v>
      </c>
    </row>
    <row r="739" spans="1:12">
      <c r="A739" s="8">
        <v>44641.543217592596</v>
      </c>
      <c r="B739">
        <v>291088925</v>
      </c>
      <c r="C739" t="s">
        <v>693</v>
      </c>
      <c r="D739" t="s">
        <v>9</v>
      </c>
      <c r="E739" s="9">
        <v>2000</v>
      </c>
      <c r="F739" s="9">
        <v>2000</v>
      </c>
      <c r="G739" s="9">
        <v>1400</v>
      </c>
      <c r="I739" t="s">
        <v>694</v>
      </c>
      <c r="J739" t="s">
        <v>460</v>
      </c>
      <c r="K739" t="s">
        <v>11</v>
      </c>
      <c r="L739" t="str">
        <f t="shared" si="4"/>
        <v>9791191562187</v>
      </c>
    </row>
    <row r="740" spans="1:12">
      <c r="A740" s="8">
        <v>44641.557962962965</v>
      </c>
      <c r="B740">
        <v>291088925</v>
      </c>
      <c r="C740" t="s">
        <v>693</v>
      </c>
      <c r="D740" t="s">
        <v>9</v>
      </c>
      <c r="E740" s="9">
        <v>2000</v>
      </c>
      <c r="F740" s="9">
        <v>2000</v>
      </c>
      <c r="G740" s="9">
        <v>1400</v>
      </c>
      <c r="I740" t="s">
        <v>694</v>
      </c>
      <c r="J740" t="s">
        <v>460</v>
      </c>
      <c r="K740" t="s">
        <v>11</v>
      </c>
      <c r="L740" t="str">
        <f t="shared" si="4"/>
        <v>9791191562187</v>
      </c>
    </row>
    <row r="741" spans="1:12">
      <c r="A741" s="8">
        <v>44641.567175925928</v>
      </c>
      <c r="B741">
        <v>291088925</v>
      </c>
      <c r="C741" t="s">
        <v>693</v>
      </c>
      <c r="D741" t="s">
        <v>9</v>
      </c>
      <c r="E741" s="9">
        <v>2000</v>
      </c>
      <c r="F741" s="9">
        <v>2000</v>
      </c>
      <c r="G741" s="9">
        <v>1400</v>
      </c>
      <c r="I741" t="s">
        <v>694</v>
      </c>
      <c r="J741" t="s">
        <v>460</v>
      </c>
      <c r="K741" t="s">
        <v>11</v>
      </c>
      <c r="L741" t="str">
        <f t="shared" si="4"/>
        <v>9791191562187</v>
      </c>
    </row>
    <row r="742" spans="1:12">
      <c r="A742" s="8">
        <v>44641.580057870371</v>
      </c>
      <c r="B742">
        <v>291088925</v>
      </c>
      <c r="C742" t="s">
        <v>693</v>
      </c>
      <c r="D742" t="s">
        <v>9</v>
      </c>
      <c r="E742" s="9">
        <v>2000</v>
      </c>
      <c r="F742" s="9">
        <v>2000</v>
      </c>
      <c r="G742" s="9">
        <v>1400</v>
      </c>
      <c r="I742" t="s">
        <v>694</v>
      </c>
      <c r="J742" t="s">
        <v>460</v>
      </c>
      <c r="K742" t="s">
        <v>11</v>
      </c>
      <c r="L742" t="str">
        <f t="shared" si="4"/>
        <v>9791191562187</v>
      </c>
    </row>
    <row r="743" spans="1:12">
      <c r="A743" s="8">
        <v>44641.593657407408</v>
      </c>
      <c r="B743">
        <v>291088925</v>
      </c>
      <c r="C743" t="s">
        <v>693</v>
      </c>
      <c r="D743" t="s">
        <v>9</v>
      </c>
      <c r="E743" s="9">
        <v>2000</v>
      </c>
      <c r="F743" s="9">
        <v>2000</v>
      </c>
      <c r="G743" s="9">
        <v>1400</v>
      </c>
      <c r="I743" t="s">
        <v>694</v>
      </c>
      <c r="J743" t="s">
        <v>460</v>
      </c>
      <c r="K743" t="s">
        <v>11</v>
      </c>
      <c r="L743" t="str">
        <f t="shared" si="4"/>
        <v>9791191562187</v>
      </c>
    </row>
    <row r="744" spans="1:12">
      <c r="A744" s="8">
        <v>44641.603333333333</v>
      </c>
      <c r="B744">
        <v>291088925</v>
      </c>
      <c r="C744" t="s">
        <v>693</v>
      </c>
      <c r="D744" t="s">
        <v>9</v>
      </c>
      <c r="E744" s="9">
        <v>2000</v>
      </c>
      <c r="F744" s="9">
        <v>2000</v>
      </c>
      <c r="G744" s="9">
        <v>1400</v>
      </c>
      <c r="I744" t="s">
        <v>694</v>
      </c>
      <c r="J744" t="s">
        <v>460</v>
      </c>
      <c r="K744" t="s">
        <v>11</v>
      </c>
      <c r="L744" t="str">
        <f t="shared" si="4"/>
        <v>9791191562187</v>
      </c>
    </row>
    <row r="745" spans="1:12">
      <c r="A745" s="8">
        <v>44641.619664351849</v>
      </c>
      <c r="B745">
        <v>291088925</v>
      </c>
      <c r="C745" t="s">
        <v>693</v>
      </c>
      <c r="D745" t="s">
        <v>9</v>
      </c>
      <c r="E745" s="9">
        <v>2000</v>
      </c>
      <c r="F745" s="9">
        <v>2000</v>
      </c>
      <c r="G745" s="9">
        <v>1400</v>
      </c>
      <c r="I745" t="s">
        <v>694</v>
      </c>
      <c r="J745" t="s">
        <v>460</v>
      </c>
      <c r="K745" t="s">
        <v>11</v>
      </c>
      <c r="L745" t="str">
        <f t="shared" si="4"/>
        <v>9791191562187</v>
      </c>
    </row>
    <row r="746" spans="1:12">
      <c r="A746" s="8">
        <v>44641.624606481484</v>
      </c>
      <c r="B746">
        <v>291088925</v>
      </c>
      <c r="C746" t="s">
        <v>693</v>
      </c>
      <c r="D746" t="s">
        <v>9</v>
      </c>
      <c r="E746" s="9">
        <v>2000</v>
      </c>
      <c r="F746" s="9">
        <v>2000</v>
      </c>
      <c r="G746" s="9">
        <v>1400</v>
      </c>
      <c r="I746" t="s">
        <v>694</v>
      </c>
      <c r="J746" t="s">
        <v>460</v>
      </c>
      <c r="K746" t="s">
        <v>11</v>
      </c>
      <c r="L746" t="str">
        <f t="shared" si="4"/>
        <v>9791191562187</v>
      </c>
    </row>
    <row r="747" spans="1:12">
      <c r="A747" s="8">
        <v>44641.630856481483</v>
      </c>
      <c r="B747">
        <v>291088925</v>
      </c>
      <c r="C747" t="s">
        <v>693</v>
      </c>
      <c r="D747" t="s">
        <v>9</v>
      </c>
      <c r="E747" s="9">
        <v>2000</v>
      </c>
      <c r="F747" s="9">
        <v>2000</v>
      </c>
      <c r="G747" s="9">
        <v>1400</v>
      </c>
      <c r="I747" t="s">
        <v>694</v>
      </c>
      <c r="J747" t="s">
        <v>460</v>
      </c>
      <c r="K747" t="s">
        <v>11</v>
      </c>
      <c r="L747" t="str">
        <f t="shared" si="4"/>
        <v>9791191562187</v>
      </c>
    </row>
    <row r="748" spans="1:12">
      <c r="A748" s="8">
        <v>44641.638252314813</v>
      </c>
      <c r="B748">
        <v>291088925</v>
      </c>
      <c r="C748" t="s">
        <v>693</v>
      </c>
      <c r="D748" t="s">
        <v>9</v>
      </c>
      <c r="E748" s="9">
        <v>2000</v>
      </c>
      <c r="F748" s="9">
        <v>2000</v>
      </c>
      <c r="G748" s="9">
        <v>1400</v>
      </c>
      <c r="I748" t="s">
        <v>694</v>
      </c>
      <c r="J748" t="s">
        <v>460</v>
      </c>
      <c r="K748" t="s">
        <v>11</v>
      </c>
      <c r="L748" t="str">
        <f t="shared" si="4"/>
        <v>9791191562187</v>
      </c>
    </row>
    <row r="749" spans="1:12">
      <c r="A749" s="8">
        <v>44641.672442129631</v>
      </c>
      <c r="B749">
        <v>291088925</v>
      </c>
      <c r="C749" t="s">
        <v>693</v>
      </c>
      <c r="D749" t="s">
        <v>9</v>
      </c>
      <c r="E749" s="9">
        <v>2000</v>
      </c>
      <c r="F749" s="9">
        <v>2000</v>
      </c>
      <c r="G749" s="9">
        <v>1400</v>
      </c>
      <c r="I749" t="s">
        <v>694</v>
      </c>
      <c r="J749" t="s">
        <v>460</v>
      </c>
      <c r="K749" t="s">
        <v>11</v>
      </c>
      <c r="L749" t="str">
        <f t="shared" si="4"/>
        <v>9791191562187</v>
      </c>
    </row>
    <row r="750" spans="1:12">
      <c r="A750" s="8">
        <v>44641.689166666663</v>
      </c>
      <c r="B750">
        <v>290964565</v>
      </c>
      <c r="C750" t="s">
        <v>696</v>
      </c>
      <c r="D750" t="s">
        <v>12</v>
      </c>
      <c r="E750" s="9">
        <v>2520</v>
      </c>
      <c r="F750" s="9">
        <v>2520</v>
      </c>
      <c r="G750" s="9">
        <v>1764</v>
      </c>
      <c r="I750" t="s">
        <v>14</v>
      </c>
      <c r="J750" t="s">
        <v>11</v>
      </c>
      <c r="K750" t="s">
        <v>11</v>
      </c>
      <c r="L750" t="str">
        <f>T("9791137603523")</f>
        <v>9791137603523</v>
      </c>
    </row>
    <row r="751" spans="1:12">
      <c r="A751" s="8">
        <v>44641.706342592595</v>
      </c>
      <c r="B751">
        <v>268984746</v>
      </c>
      <c r="C751" t="s">
        <v>690</v>
      </c>
      <c r="D751" t="s">
        <v>12</v>
      </c>
      <c r="E751" s="9">
        <v>2400</v>
      </c>
      <c r="F751" s="9">
        <v>2400</v>
      </c>
      <c r="G751" s="9">
        <v>1680</v>
      </c>
      <c r="I751" t="s">
        <v>691</v>
      </c>
      <c r="J751" t="s">
        <v>617</v>
      </c>
      <c r="K751" t="s">
        <v>11</v>
      </c>
      <c r="L751" t="str">
        <f>T("9791166481291")</f>
        <v>9791166481291</v>
      </c>
    </row>
    <row r="752" spans="1:12">
      <c r="A752" s="8">
        <v>44641.713275462964</v>
      </c>
      <c r="B752">
        <v>291088925</v>
      </c>
      <c r="C752" t="s">
        <v>693</v>
      </c>
      <c r="D752" t="s">
        <v>9</v>
      </c>
      <c r="E752" s="9">
        <v>2000</v>
      </c>
      <c r="F752" s="9">
        <v>2000</v>
      </c>
      <c r="G752" s="9">
        <v>1400</v>
      </c>
      <c r="I752" t="s">
        <v>694</v>
      </c>
      <c r="J752" t="s">
        <v>460</v>
      </c>
      <c r="K752" t="s">
        <v>11</v>
      </c>
      <c r="L752" t="str">
        <f>T("9791191562187")</f>
        <v>9791191562187</v>
      </c>
    </row>
    <row r="753" spans="1:12">
      <c r="A753" s="8">
        <v>44641.71435185185</v>
      </c>
      <c r="B753">
        <v>291088925</v>
      </c>
      <c r="C753" t="s">
        <v>693</v>
      </c>
      <c r="D753" t="s">
        <v>9</v>
      </c>
      <c r="E753" s="9">
        <v>2000</v>
      </c>
      <c r="F753" s="9">
        <v>2000</v>
      </c>
      <c r="G753" s="9">
        <v>1400</v>
      </c>
      <c r="I753" t="s">
        <v>694</v>
      </c>
      <c r="J753" t="s">
        <v>460</v>
      </c>
      <c r="K753" t="s">
        <v>11</v>
      </c>
      <c r="L753" t="str">
        <f>T("9791191562187")</f>
        <v>9791191562187</v>
      </c>
    </row>
    <row r="754" spans="1:12">
      <c r="A754" s="8">
        <v>44641.719722222224</v>
      </c>
      <c r="B754">
        <v>289315562</v>
      </c>
      <c r="C754" t="s">
        <v>478</v>
      </c>
      <c r="D754" t="s">
        <v>9</v>
      </c>
      <c r="E754" s="9">
        <v>3000</v>
      </c>
      <c r="F754" s="9">
        <v>3000</v>
      </c>
      <c r="G754" s="9">
        <v>2100</v>
      </c>
      <c r="I754" t="s">
        <v>454</v>
      </c>
      <c r="J754" t="s">
        <v>460</v>
      </c>
      <c r="K754" t="s">
        <v>11</v>
      </c>
      <c r="L754" t="str">
        <f>T("9791191562101")</f>
        <v>9791191562101</v>
      </c>
    </row>
    <row r="755" spans="1:12">
      <c r="A755" s="8">
        <v>44641.720486111109</v>
      </c>
      <c r="B755">
        <v>291088925</v>
      </c>
      <c r="C755" t="s">
        <v>693</v>
      </c>
      <c r="D755" t="s">
        <v>9</v>
      </c>
      <c r="E755" s="9">
        <v>2000</v>
      </c>
      <c r="F755" s="9">
        <v>2000</v>
      </c>
      <c r="G755" s="9">
        <v>1400</v>
      </c>
      <c r="I755" t="s">
        <v>694</v>
      </c>
      <c r="J755" t="s">
        <v>460</v>
      </c>
      <c r="K755" t="s">
        <v>11</v>
      </c>
      <c r="L755" t="str">
        <f>T("9791191562187")</f>
        <v>9791191562187</v>
      </c>
    </row>
    <row r="756" spans="1:12">
      <c r="A756" s="8">
        <v>44641.740046296298</v>
      </c>
      <c r="B756">
        <v>291088925</v>
      </c>
      <c r="C756" t="s">
        <v>693</v>
      </c>
      <c r="D756" t="s">
        <v>9</v>
      </c>
      <c r="E756" s="9">
        <v>2000</v>
      </c>
      <c r="F756" s="9">
        <v>2000</v>
      </c>
      <c r="G756" s="9">
        <v>1400</v>
      </c>
      <c r="I756" t="s">
        <v>694</v>
      </c>
      <c r="J756" t="s">
        <v>460</v>
      </c>
      <c r="K756" t="s">
        <v>11</v>
      </c>
      <c r="L756" t="str">
        <f>T("9791191562187")</f>
        <v>9791191562187</v>
      </c>
    </row>
    <row r="757" spans="1:12">
      <c r="A757" s="8">
        <v>44641.741122685184</v>
      </c>
      <c r="B757">
        <v>289315562</v>
      </c>
      <c r="C757" t="s">
        <v>478</v>
      </c>
      <c r="D757" t="s">
        <v>9</v>
      </c>
      <c r="E757" s="9">
        <v>3000</v>
      </c>
      <c r="F757" s="9">
        <v>3000</v>
      </c>
      <c r="G757" s="9">
        <v>2100</v>
      </c>
      <c r="I757" t="s">
        <v>454</v>
      </c>
      <c r="J757" t="s">
        <v>460</v>
      </c>
      <c r="K757" t="s">
        <v>11</v>
      </c>
      <c r="L757" t="str">
        <f>T("9791191562101")</f>
        <v>9791191562101</v>
      </c>
    </row>
    <row r="758" spans="1:12">
      <c r="A758" s="8">
        <v>44641.7421412037</v>
      </c>
      <c r="B758">
        <v>291088925</v>
      </c>
      <c r="C758" t="s">
        <v>693</v>
      </c>
      <c r="D758" t="s">
        <v>9</v>
      </c>
      <c r="E758" s="9">
        <v>2000</v>
      </c>
      <c r="F758" s="9">
        <v>2000</v>
      </c>
      <c r="G758" s="9">
        <v>1400</v>
      </c>
      <c r="I758" t="s">
        <v>694</v>
      </c>
      <c r="J758" t="s">
        <v>460</v>
      </c>
      <c r="K758" t="s">
        <v>11</v>
      </c>
      <c r="L758" t="str">
        <f>T("9791191562187")</f>
        <v>9791191562187</v>
      </c>
    </row>
    <row r="759" spans="1:12">
      <c r="A759" s="8">
        <v>44641.757430555554</v>
      </c>
      <c r="B759">
        <v>291088925</v>
      </c>
      <c r="C759" t="s">
        <v>693</v>
      </c>
      <c r="D759" t="s">
        <v>9</v>
      </c>
      <c r="E759" s="9">
        <v>2000</v>
      </c>
      <c r="F759" s="9">
        <v>2000</v>
      </c>
      <c r="G759" s="9">
        <v>1400</v>
      </c>
      <c r="I759" t="s">
        <v>694</v>
      </c>
      <c r="J759" t="s">
        <v>460</v>
      </c>
      <c r="K759" t="s">
        <v>11</v>
      </c>
      <c r="L759" t="str">
        <f>T("9791191562187")</f>
        <v>9791191562187</v>
      </c>
    </row>
    <row r="760" spans="1:12">
      <c r="A760" s="8">
        <v>44641.764930555553</v>
      </c>
      <c r="B760">
        <v>291088925</v>
      </c>
      <c r="C760" t="s">
        <v>693</v>
      </c>
      <c r="D760" t="s">
        <v>9</v>
      </c>
      <c r="E760" s="9">
        <v>2000</v>
      </c>
      <c r="F760" s="9">
        <v>2000</v>
      </c>
      <c r="G760" s="9">
        <v>1400</v>
      </c>
      <c r="I760" t="s">
        <v>694</v>
      </c>
      <c r="J760" t="s">
        <v>460</v>
      </c>
      <c r="K760" t="s">
        <v>11</v>
      </c>
      <c r="L760" t="str">
        <f>T("9791191562187")</f>
        <v>9791191562187</v>
      </c>
    </row>
    <row r="761" spans="1:12">
      <c r="A761" s="8">
        <v>44641.769375000003</v>
      </c>
      <c r="B761">
        <v>286120721</v>
      </c>
      <c r="C761" t="s">
        <v>156</v>
      </c>
      <c r="D761" t="s">
        <v>9</v>
      </c>
      <c r="E761" s="9">
        <v>3200</v>
      </c>
      <c r="F761" s="9">
        <v>3200</v>
      </c>
      <c r="G761" s="9">
        <v>2240</v>
      </c>
      <c r="I761" t="s">
        <v>233</v>
      </c>
      <c r="J761" t="s">
        <v>588</v>
      </c>
      <c r="K761" t="s">
        <v>11</v>
      </c>
      <c r="L761" t="str">
        <f>T("9791166482670")</f>
        <v>9791166482670</v>
      </c>
    </row>
    <row r="762" spans="1:12">
      <c r="A762" s="8">
        <v>44641.769560185188</v>
      </c>
      <c r="B762">
        <v>291088925</v>
      </c>
      <c r="C762" t="s">
        <v>693</v>
      </c>
      <c r="D762" t="s">
        <v>9</v>
      </c>
      <c r="E762" s="9">
        <v>2000</v>
      </c>
      <c r="F762" s="9">
        <v>2000</v>
      </c>
      <c r="G762" s="9">
        <v>1400</v>
      </c>
      <c r="I762" t="s">
        <v>694</v>
      </c>
      <c r="J762" t="s">
        <v>460</v>
      </c>
      <c r="K762" t="s">
        <v>11</v>
      </c>
      <c r="L762" t="str">
        <f>T("9791191562187")</f>
        <v>9791191562187</v>
      </c>
    </row>
    <row r="763" spans="1:12">
      <c r="A763" s="8">
        <v>44641.783483796295</v>
      </c>
      <c r="B763">
        <v>291088925</v>
      </c>
      <c r="C763" t="s">
        <v>693</v>
      </c>
      <c r="D763" t="s">
        <v>9</v>
      </c>
      <c r="E763" s="9">
        <v>2000</v>
      </c>
      <c r="F763" s="9">
        <v>2000</v>
      </c>
      <c r="G763" s="9">
        <v>1400</v>
      </c>
      <c r="I763" t="s">
        <v>694</v>
      </c>
      <c r="J763" t="s">
        <v>460</v>
      </c>
      <c r="K763" t="s">
        <v>11</v>
      </c>
      <c r="L763" t="str">
        <f>T("9791191562187")</f>
        <v>9791191562187</v>
      </c>
    </row>
    <row r="764" spans="1:12">
      <c r="A764" s="8">
        <v>44641.786886574075</v>
      </c>
      <c r="B764">
        <v>274772659</v>
      </c>
      <c r="C764" t="s">
        <v>37</v>
      </c>
      <c r="D764" t="s">
        <v>12</v>
      </c>
      <c r="E764" s="9">
        <v>2400</v>
      </c>
      <c r="F764" s="9">
        <v>2400</v>
      </c>
      <c r="G764" s="9">
        <v>1680</v>
      </c>
      <c r="I764" t="s">
        <v>34</v>
      </c>
      <c r="J764" t="s">
        <v>588</v>
      </c>
      <c r="K764" t="s">
        <v>11</v>
      </c>
      <c r="L764" t="str">
        <f>T("9791166481703")</f>
        <v>9791166481703</v>
      </c>
    </row>
    <row r="765" spans="1:12">
      <c r="A765" s="8">
        <v>44641.786886574075</v>
      </c>
      <c r="B765">
        <v>274772658</v>
      </c>
      <c r="C765" t="s">
        <v>75</v>
      </c>
      <c r="D765" t="s">
        <v>12</v>
      </c>
      <c r="E765" s="9">
        <v>2400</v>
      </c>
      <c r="F765" s="9">
        <v>2400</v>
      </c>
      <c r="G765" s="9">
        <v>1680</v>
      </c>
      <c r="I765" t="s">
        <v>34</v>
      </c>
      <c r="J765" t="s">
        <v>588</v>
      </c>
      <c r="K765" t="s">
        <v>11</v>
      </c>
      <c r="L765" t="str">
        <f>T("9791166481710")</f>
        <v>9791166481710</v>
      </c>
    </row>
    <row r="766" spans="1:12">
      <c r="A766" s="8">
        <v>44641.787870370368</v>
      </c>
      <c r="B766">
        <v>291088925</v>
      </c>
      <c r="C766" t="s">
        <v>693</v>
      </c>
      <c r="D766" t="s">
        <v>9</v>
      </c>
      <c r="E766" s="9">
        <v>2000</v>
      </c>
      <c r="F766" s="9">
        <v>2000</v>
      </c>
      <c r="G766" s="9">
        <v>1400</v>
      </c>
      <c r="I766" t="s">
        <v>694</v>
      </c>
      <c r="J766" t="s">
        <v>460</v>
      </c>
      <c r="K766" t="s">
        <v>11</v>
      </c>
      <c r="L766" t="str">
        <f>T("9791191562187")</f>
        <v>9791191562187</v>
      </c>
    </row>
    <row r="767" spans="1:12">
      <c r="A767" s="8">
        <v>44641.792650462965</v>
      </c>
      <c r="B767">
        <v>289315562</v>
      </c>
      <c r="C767" t="s">
        <v>478</v>
      </c>
      <c r="D767" t="s">
        <v>9</v>
      </c>
      <c r="E767" s="9">
        <v>3000</v>
      </c>
      <c r="F767" s="9">
        <v>3000</v>
      </c>
      <c r="G767" s="9">
        <v>2100</v>
      </c>
      <c r="I767" t="s">
        <v>454</v>
      </c>
      <c r="J767" t="s">
        <v>460</v>
      </c>
      <c r="K767" t="s">
        <v>11</v>
      </c>
      <c r="L767" t="str">
        <f>T("9791191562101")</f>
        <v>9791191562101</v>
      </c>
    </row>
    <row r="768" spans="1:12">
      <c r="A768" s="8">
        <v>44641.79965277778</v>
      </c>
      <c r="B768">
        <v>291088925</v>
      </c>
      <c r="C768" t="s">
        <v>693</v>
      </c>
      <c r="D768" t="s">
        <v>9</v>
      </c>
      <c r="E768" s="9">
        <v>2000</v>
      </c>
      <c r="F768" s="9">
        <v>2000</v>
      </c>
      <c r="G768" s="9">
        <v>1400</v>
      </c>
      <c r="I768" t="s">
        <v>694</v>
      </c>
      <c r="J768" t="s">
        <v>460</v>
      </c>
      <c r="K768" t="s">
        <v>11</v>
      </c>
      <c r="L768" t="str">
        <f>T("9791191562187")</f>
        <v>9791191562187</v>
      </c>
    </row>
    <row r="769" spans="1:12">
      <c r="A769" s="8">
        <v>44641.800567129627</v>
      </c>
      <c r="B769">
        <v>290827241</v>
      </c>
      <c r="C769" t="s">
        <v>646</v>
      </c>
      <c r="D769" t="s">
        <v>9</v>
      </c>
      <c r="E769" s="9">
        <v>2000</v>
      </c>
      <c r="F769" s="9">
        <v>2000</v>
      </c>
      <c r="G769" s="9">
        <v>1400</v>
      </c>
      <c r="I769" t="s">
        <v>647</v>
      </c>
      <c r="J769" t="s">
        <v>460</v>
      </c>
      <c r="K769" t="s">
        <v>11</v>
      </c>
      <c r="L769" t="str">
        <f>T("9791191562149")</f>
        <v>9791191562149</v>
      </c>
    </row>
    <row r="770" spans="1:12">
      <c r="A770" s="8">
        <v>44641.801342592589</v>
      </c>
      <c r="B770">
        <v>287834730</v>
      </c>
      <c r="C770" t="s">
        <v>275</v>
      </c>
      <c r="D770" t="s">
        <v>9</v>
      </c>
      <c r="E770" s="9">
        <v>2000</v>
      </c>
      <c r="F770" s="9">
        <v>2000</v>
      </c>
      <c r="G770" s="9">
        <v>1400</v>
      </c>
      <c r="I770" t="s">
        <v>169</v>
      </c>
      <c r="J770" t="s">
        <v>460</v>
      </c>
      <c r="K770" t="s">
        <v>11</v>
      </c>
      <c r="L770" t="str">
        <f>T("9791191562019")</f>
        <v>9791191562019</v>
      </c>
    </row>
    <row r="771" spans="1:12">
      <c r="A771" s="8">
        <v>44641.810393518521</v>
      </c>
      <c r="B771">
        <v>291088925</v>
      </c>
      <c r="C771" t="s">
        <v>693</v>
      </c>
      <c r="D771" t="s">
        <v>9</v>
      </c>
      <c r="E771" s="9">
        <v>2000</v>
      </c>
      <c r="F771" s="9">
        <v>2000</v>
      </c>
      <c r="G771" s="9">
        <v>1400</v>
      </c>
      <c r="I771" t="s">
        <v>694</v>
      </c>
      <c r="J771" t="s">
        <v>460</v>
      </c>
      <c r="K771" t="s">
        <v>11</v>
      </c>
      <c r="L771" t="str">
        <f>T("9791191562187")</f>
        <v>9791191562187</v>
      </c>
    </row>
    <row r="772" spans="1:12">
      <c r="A772" s="8">
        <v>44641.820706018516</v>
      </c>
      <c r="B772">
        <v>291088925</v>
      </c>
      <c r="C772" t="s">
        <v>693</v>
      </c>
      <c r="D772" t="s">
        <v>9</v>
      </c>
      <c r="E772" s="9">
        <v>2000</v>
      </c>
      <c r="F772" s="9">
        <v>2000</v>
      </c>
      <c r="G772" s="9">
        <v>1400</v>
      </c>
      <c r="I772" t="s">
        <v>694</v>
      </c>
      <c r="J772" t="s">
        <v>460</v>
      </c>
      <c r="K772" t="s">
        <v>11</v>
      </c>
      <c r="L772" t="str">
        <f>T("9791191562187")</f>
        <v>9791191562187</v>
      </c>
    </row>
    <row r="773" spans="1:12">
      <c r="A773" s="8">
        <v>44641.821435185186</v>
      </c>
      <c r="B773">
        <v>291088925</v>
      </c>
      <c r="C773" t="s">
        <v>693</v>
      </c>
      <c r="D773" t="s">
        <v>9</v>
      </c>
      <c r="E773" s="9">
        <v>2000</v>
      </c>
      <c r="F773" s="9">
        <v>2000</v>
      </c>
      <c r="G773" s="9">
        <v>1400</v>
      </c>
      <c r="I773" t="s">
        <v>694</v>
      </c>
      <c r="J773" t="s">
        <v>460</v>
      </c>
      <c r="K773" t="s">
        <v>11</v>
      </c>
      <c r="L773" t="str">
        <f>T("9791191562187")</f>
        <v>9791191562187</v>
      </c>
    </row>
    <row r="774" spans="1:12">
      <c r="A774" s="8">
        <v>44641.822870370372</v>
      </c>
      <c r="B774">
        <v>274772659</v>
      </c>
      <c r="C774" t="s">
        <v>37</v>
      </c>
      <c r="D774" t="s">
        <v>9</v>
      </c>
      <c r="E774" s="9">
        <v>3000</v>
      </c>
      <c r="F774" s="9">
        <v>3000</v>
      </c>
      <c r="G774" s="9">
        <v>2100</v>
      </c>
      <c r="I774" t="s">
        <v>34</v>
      </c>
      <c r="J774" t="s">
        <v>588</v>
      </c>
      <c r="K774" t="s">
        <v>11</v>
      </c>
      <c r="L774" t="str">
        <f>T("9791166481703")</f>
        <v>9791166481703</v>
      </c>
    </row>
    <row r="775" spans="1:12">
      <c r="A775" s="8">
        <v>44641.824432870373</v>
      </c>
      <c r="B775">
        <v>274772658</v>
      </c>
      <c r="C775" t="s">
        <v>75</v>
      </c>
      <c r="D775" t="s">
        <v>9</v>
      </c>
      <c r="E775" s="9">
        <v>3000</v>
      </c>
      <c r="F775" s="9">
        <v>3000</v>
      </c>
      <c r="G775" s="9">
        <v>2100</v>
      </c>
      <c r="I775" t="s">
        <v>34</v>
      </c>
      <c r="J775" t="s">
        <v>588</v>
      </c>
      <c r="K775" t="s">
        <v>11</v>
      </c>
      <c r="L775" t="str">
        <f>T("9791166481710")</f>
        <v>9791166481710</v>
      </c>
    </row>
    <row r="776" spans="1:12">
      <c r="A776" s="8">
        <v>44641.825543981482</v>
      </c>
      <c r="B776">
        <v>290197934</v>
      </c>
      <c r="C776" t="s">
        <v>604</v>
      </c>
      <c r="D776" t="s">
        <v>9</v>
      </c>
      <c r="E776" s="9">
        <v>2000</v>
      </c>
      <c r="F776" s="9">
        <v>2000</v>
      </c>
      <c r="G776" s="9">
        <v>1400</v>
      </c>
      <c r="I776" t="s">
        <v>605</v>
      </c>
      <c r="J776" t="s">
        <v>460</v>
      </c>
      <c r="K776" t="s">
        <v>11</v>
      </c>
      <c r="L776" t="str">
        <f>T("9791191562163")</f>
        <v>9791191562163</v>
      </c>
    </row>
    <row r="777" spans="1:12">
      <c r="A777" s="8">
        <v>44641.834456018521</v>
      </c>
      <c r="B777">
        <v>291088925</v>
      </c>
      <c r="C777" t="s">
        <v>693</v>
      </c>
      <c r="D777" t="s">
        <v>9</v>
      </c>
      <c r="E777" s="9">
        <v>2000</v>
      </c>
      <c r="F777" s="9">
        <v>2000</v>
      </c>
      <c r="G777" s="9">
        <v>1400</v>
      </c>
      <c r="I777" t="s">
        <v>694</v>
      </c>
      <c r="J777" t="s">
        <v>460</v>
      </c>
      <c r="K777" t="s">
        <v>11</v>
      </c>
      <c r="L777" t="str">
        <f>T("9791191562187")</f>
        <v>9791191562187</v>
      </c>
    </row>
    <row r="778" spans="1:12">
      <c r="A778" s="8">
        <v>44641.837500000001</v>
      </c>
      <c r="B778">
        <v>291088925</v>
      </c>
      <c r="C778" t="s">
        <v>693</v>
      </c>
      <c r="D778" t="s">
        <v>9</v>
      </c>
      <c r="E778" s="9">
        <v>2000</v>
      </c>
      <c r="F778" s="9">
        <v>2000</v>
      </c>
      <c r="G778" s="9">
        <v>1400</v>
      </c>
      <c r="I778" t="s">
        <v>694</v>
      </c>
      <c r="J778" t="s">
        <v>460</v>
      </c>
      <c r="K778" t="s">
        <v>11</v>
      </c>
      <c r="L778" t="str">
        <f>T("9791191562187")</f>
        <v>9791191562187</v>
      </c>
    </row>
    <row r="779" spans="1:12">
      <c r="A779" s="8">
        <v>44641.838495370372</v>
      </c>
      <c r="B779">
        <v>291088925</v>
      </c>
      <c r="C779" t="s">
        <v>693</v>
      </c>
      <c r="D779" t="s">
        <v>9</v>
      </c>
      <c r="E779" s="9">
        <v>2000</v>
      </c>
      <c r="F779" s="9">
        <v>2000</v>
      </c>
      <c r="G779" s="9">
        <v>1400</v>
      </c>
      <c r="I779" t="s">
        <v>694</v>
      </c>
      <c r="J779" t="s">
        <v>460</v>
      </c>
      <c r="K779" t="s">
        <v>11</v>
      </c>
      <c r="L779" t="str">
        <f>T("9791191562187")</f>
        <v>9791191562187</v>
      </c>
    </row>
    <row r="780" spans="1:12">
      <c r="A780" s="8">
        <v>44641.850289351853</v>
      </c>
      <c r="B780">
        <v>291088925</v>
      </c>
      <c r="C780" t="s">
        <v>693</v>
      </c>
      <c r="D780" t="s">
        <v>9</v>
      </c>
      <c r="E780" s="9">
        <v>2000</v>
      </c>
      <c r="F780" s="9">
        <v>2000</v>
      </c>
      <c r="G780" s="9">
        <v>1400</v>
      </c>
      <c r="I780" t="s">
        <v>694</v>
      </c>
      <c r="J780" t="s">
        <v>460</v>
      </c>
      <c r="K780" t="s">
        <v>11</v>
      </c>
      <c r="L780" t="str">
        <f>T("9791191562187")</f>
        <v>9791191562187</v>
      </c>
    </row>
    <row r="781" spans="1:12">
      <c r="A781" s="8">
        <v>44641.855590277781</v>
      </c>
      <c r="B781">
        <v>291088925</v>
      </c>
      <c r="C781" t="s">
        <v>693</v>
      </c>
      <c r="D781" t="s">
        <v>9</v>
      </c>
      <c r="E781" s="9">
        <v>2000</v>
      </c>
      <c r="F781" s="9">
        <v>2000</v>
      </c>
      <c r="G781" s="9">
        <v>1400</v>
      </c>
      <c r="I781" t="s">
        <v>694</v>
      </c>
      <c r="J781" t="s">
        <v>460</v>
      </c>
      <c r="K781" t="s">
        <v>11</v>
      </c>
      <c r="L781" t="str">
        <f>T("9791191562187")</f>
        <v>9791191562187</v>
      </c>
    </row>
    <row r="782" spans="1:12">
      <c r="A782" s="8">
        <v>44641.858900462961</v>
      </c>
      <c r="B782">
        <v>290827241</v>
      </c>
      <c r="C782" t="s">
        <v>646</v>
      </c>
      <c r="D782" t="s">
        <v>9</v>
      </c>
      <c r="E782" s="9">
        <v>2000</v>
      </c>
      <c r="F782" s="9">
        <v>2000</v>
      </c>
      <c r="G782" s="9">
        <v>1400</v>
      </c>
      <c r="I782" t="s">
        <v>647</v>
      </c>
      <c r="J782" t="s">
        <v>460</v>
      </c>
      <c r="K782" t="s">
        <v>11</v>
      </c>
      <c r="L782" t="str">
        <f>T("9791191562149")</f>
        <v>9791191562149</v>
      </c>
    </row>
    <row r="783" spans="1:12">
      <c r="A783" s="8">
        <v>44641.859050925923</v>
      </c>
      <c r="B783">
        <v>291088925</v>
      </c>
      <c r="C783" t="s">
        <v>693</v>
      </c>
      <c r="D783" t="s">
        <v>9</v>
      </c>
      <c r="E783" s="9">
        <v>2000</v>
      </c>
      <c r="F783" s="9">
        <v>2000</v>
      </c>
      <c r="G783" s="9">
        <v>1400</v>
      </c>
      <c r="I783" t="s">
        <v>694</v>
      </c>
      <c r="J783" t="s">
        <v>460</v>
      </c>
      <c r="K783" t="s">
        <v>11</v>
      </c>
      <c r="L783" t="str">
        <f>T("9791191562187")</f>
        <v>9791191562187</v>
      </c>
    </row>
    <row r="784" spans="1:12">
      <c r="A784" s="8">
        <v>44641.859479166669</v>
      </c>
      <c r="B784">
        <v>291088925</v>
      </c>
      <c r="C784" t="s">
        <v>693</v>
      </c>
      <c r="D784" t="s">
        <v>9</v>
      </c>
      <c r="E784" s="9">
        <v>2000</v>
      </c>
      <c r="F784" s="9">
        <v>2000</v>
      </c>
      <c r="G784" s="9">
        <v>1400</v>
      </c>
      <c r="I784" t="s">
        <v>694</v>
      </c>
      <c r="J784" t="s">
        <v>460</v>
      </c>
      <c r="K784" t="s">
        <v>11</v>
      </c>
      <c r="L784" t="str">
        <f>T("9791191562187")</f>
        <v>9791191562187</v>
      </c>
    </row>
    <row r="785" spans="1:12">
      <c r="A785" s="8">
        <v>44641.868622685186</v>
      </c>
      <c r="B785">
        <v>291088925</v>
      </c>
      <c r="C785" t="s">
        <v>693</v>
      </c>
      <c r="D785" t="s">
        <v>9</v>
      </c>
      <c r="E785" s="9">
        <v>2000</v>
      </c>
      <c r="F785" s="9">
        <v>2000</v>
      </c>
      <c r="G785" s="9">
        <v>1400</v>
      </c>
      <c r="I785" t="s">
        <v>694</v>
      </c>
      <c r="J785" t="s">
        <v>460</v>
      </c>
      <c r="K785" t="s">
        <v>11</v>
      </c>
      <c r="L785" t="str">
        <f>T("9791191562187")</f>
        <v>9791191562187</v>
      </c>
    </row>
    <row r="786" spans="1:12">
      <c r="A786" s="8">
        <v>44641.872766203705</v>
      </c>
      <c r="B786">
        <v>291088925</v>
      </c>
      <c r="C786" t="s">
        <v>693</v>
      </c>
      <c r="D786" t="s">
        <v>9</v>
      </c>
      <c r="E786" s="9">
        <v>2000</v>
      </c>
      <c r="F786" s="9">
        <v>2000</v>
      </c>
      <c r="G786" s="9">
        <v>1400</v>
      </c>
      <c r="I786" t="s">
        <v>694</v>
      </c>
      <c r="J786" t="s">
        <v>460</v>
      </c>
      <c r="K786" t="s">
        <v>11</v>
      </c>
      <c r="L786" t="str">
        <f>T("9791191562187")</f>
        <v>9791191562187</v>
      </c>
    </row>
    <row r="787" spans="1:12">
      <c r="A787" s="8">
        <v>44641.87771990741</v>
      </c>
      <c r="B787">
        <v>287086652</v>
      </c>
      <c r="C787" t="s">
        <v>220</v>
      </c>
      <c r="D787" t="s">
        <v>9</v>
      </c>
      <c r="E787" s="9">
        <v>2000</v>
      </c>
      <c r="F787" s="9">
        <v>2000</v>
      </c>
      <c r="G787" s="9">
        <v>1400</v>
      </c>
      <c r="I787" t="s">
        <v>162</v>
      </c>
      <c r="J787" t="s">
        <v>460</v>
      </c>
      <c r="K787" t="s">
        <v>11</v>
      </c>
      <c r="L787" t="str">
        <f>T("9791191562033")</f>
        <v>9791191562033</v>
      </c>
    </row>
    <row r="788" spans="1:12">
      <c r="A788" s="8">
        <v>44641.878807870373</v>
      </c>
      <c r="B788">
        <v>291088925</v>
      </c>
      <c r="C788" t="s">
        <v>693</v>
      </c>
      <c r="D788" t="s">
        <v>9</v>
      </c>
      <c r="E788" s="9">
        <v>2000</v>
      </c>
      <c r="F788" s="9">
        <v>2000</v>
      </c>
      <c r="G788" s="9">
        <v>1400</v>
      </c>
      <c r="I788" t="s">
        <v>694</v>
      </c>
      <c r="J788" t="s">
        <v>460</v>
      </c>
      <c r="K788" t="s">
        <v>11</v>
      </c>
      <c r="L788" t="str">
        <f>T("9791191562187")</f>
        <v>9791191562187</v>
      </c>
    </row>
    <row r="789" spans="1:12">
      <c r="A789" s="8">
        <v>44641.882025462961</v>
      </c>
      <c r="B789">
        <v>291088925</v>
      </c>
      <c r="C789" t="s">
        <v>693</v>
      </c>
      <c r="D789" t="s">
        <v>9</v>
      </c>
      <c r="E789" s="9">
        <v>2000</v>
      </c>
      <c r="F789" s="9">
        <v>2000</v>
      </c>
      <c r="G789" s="9">
        <v>1400</v>
      </c>
      <c r="I789" t="s">
        <v>694</v>
      </c>
      <c r="J789" t="s">
        <v>460</v>
      </c>
      <c r="K789" t="s">
        <v>11</v>
      </c>
      <c r="L789" t="str">
        <f>T("9791191562187")</f>
        <v>9791191562187</v>
      </c>
    </row>
    <row r="790" spans="1:12">
      <c r="A790" s="8">
        <v>44641.884467592594</v>
      </c>
      <c r="B790">
        <v>291088925</v>
      </c>
      <c r="C790" t="s">
        <v>693</v>
      </c>
      <c r="D790" t="s">
        <v>9</v>
      </c>
      <c r="E790" s="9">
        <v>2000</v>
      </c>
      <c r="F790" s="9">
        <v>2000</v>
      </c>
      <c r="G790" s="9">
        <v>1400</v>
      </c>
      <c r="I790" t="s">
        <v>694</v>
      </c>
      <c r="J790" t="s">
        <v>460</v>
      </c>
      <c r="K790" t="s">
        <v>11</v>
      </c>
      <c r="L790" t="str">
        <f>T("9791191562187")</f>
        <v>9791191562187</v>
      </c>
    </row>
    <row r="791" spans="1:12">
      <c r="A791" s="8">
        <v>44641.885972222219</v>
      </c>
      <c r="B791">
        <v>170068100</v>
      </c>
      <c r="C791" t="s">
        <v>717</v>
      </c>
      <c r="D791" t="s">
        <v>12</v>
      </c>
      <c r="E791" s="9">
        <v>3040</v>
      </c>
      <c r="F791" s="9">
        <v>3040</v>
      </c>
      <c r="G791" s="9">
        <v>2128</v>
      </c>
      <c r="I791" t="s">
        <v>718</v>
      </c>
      <c r="J791" t="s">
        <v>588</v>
      </c>
      <c r="K791" t="s">
        <v>11</v>
      </c>
      <c r="L791" t="str">
        <f>T("9791190132480")</f>
        <v>9791190132480</v>
      </c>
    </row>
    <row r="792" spans="1:12">
      <c r="A792" s="8">
        <v>44641.885972222219</v>
      </c>
      <c r="B792">
        <v>183417827</v>
      </c>
      <c r="C792" t="s">
        <v>719</v>
      </c>
      <c r="D792" t="s">
        <v>12</v>
      </c>
      <c r="E792">
        <v>960</v>
      </c>
      <c r="F792">
        <v>960</v>
      </c>
      <c r="G792">
        <v>672</v>
      </c>
      <c r="I792" t="s">
        <v>718</v>
      </c>
      <c r="J792" t="s">
        <v>588</v>
      </c>
      <c r="K792" t="s">
        <v>11</v>
      </c>
      <c r="L792" t="str">
        <f>T("9791190132503")</f>
        <v>9791190132503</v>
      </c>
    </row>
    <row r="793" spans="1:12">
      <c r="A793" s="8">
        <v>44641.891087962962</v>
      </c>
      <c r="B793">
        <v>291088925</v>
      </c>
      <c r="C793" t="s">
        <v>693</v>
      </c>
      <c r="D793" t="s">
        <v>9</v>
      </c>
      <c r="E793" s="9">
        <v>2000</v>
      </c>
      <c r="F793" s="9">
        <v>2000</v>
      </c>
      <c r="G793" s="9">
        <v>1400</v>
      </c>
      <c r="I793" t="s">
        <v>694</v>
      </c>
      <c r="J793" t="s">
        <v>460</v>
      </c>
      <c r="K793" t="s">
        <v>11</v>
      </c>
      <c r="L793" t="str">
        <f>T("9791191562187")</f>
        <v>9791191562187</v>
      </c>
    </row>
    <row r="794" spans="1:12">
      <c r="A794" s="8">
        <v>44641.894837962966</v>
      </c>
      <c r="B794">
        <v>291088925</v>
      </c>
      <c r="C794" t="s">
        <v>693</v>
      </c>
      <c r="D794" t="s">
        <v>9</v>
      </c>
      <c r="E794" s="9">
        <v>2000</v>
      </c>
      <c r="F794" s="9">
        <v>2000</v>
      </c>
      <c r="G794" s="9">
        <v>1400</v>
      </c>
      <c r="I794" t="s">
        <v>694</v>
      </c>
      <c r="J794" t="s">
        <v>460</v>
      </c>
      <c r="K794" t="s">
        <v>11</v>
      </c>
      <c r="L794" t="str">
        <f>T("9791191562187")</f>
        <v>9791191562187</v>
      </c>
    </row>
    <row r="795" spans="1:12">
      <c r="A795" s="8">
        <v>44641.903333333335</v>
      </c>
      <c r="B795">
        <v>291088925</v>
      </c>
      <c r="C795" t="s">
        <v>693</v>
      </c>
      <c r="D795" t="s">
        <v>9</v>
      </c>
      <c r="E795" s="9">
        <v>2000</v>
      </c>
      <c r="F795" s="9">
        <v>2000</v>
      </c>
      <c r="G795" s="9">
        <v>1400</v>
      </c>
      <c r="I795" t="s">
        <v>694</v>
      </c>
      <c r="J795" t="s">
        <v>460</v>
      </c>
      <c r="K795" t="s">
        <v>11</v>
      </c>
      <c r="L795" t="str">
        <f>T("9791191562187")</f>
        <v>9791191562187</v>
      </c>
    </row>
    <row r="796" spans="1:12">
      <c r="A796" s="8">
        <v>44641.906724537039</v>
      </c>
      <c r="B796">
        <v>290197934</v>
      </c>
      <c r="C796" t="s">
        <v>604</v>
      </c>
      <c r="D796" t="s">
        <v>9</v>
      </c>
      <c r="E796" s="9">
        <v>2000</v>
      </c>
      <c r="F796" s="9">
        <v>2000</v>
      </c>
      <c r="G796" s="9">
        <v>1400</v>
      </c>
      <c r="I796" t="s">
        <v>605</v>
      </c>
      <c r="J796" t="s">
        <v>460</v>
      </c>
      <c r="K796" t="s">
        <v>11</v>
      </c>
      <c r="L796" t="str">
        <f>T("9791191562163")</f>
        <v>9791191562163</v>
      </c>
    </row>
    <row r="797" spans="1:12">
      <c r="A797" s="8">
        <v>44641.908252314817</v>
      </c>
      <c r="B797">
        <v>48791711</v>
      </c>
      <c r="C797" t="s">
        <v>80</v>
      </c>
      <c r="D797" t="s">
        <v>12</v>
      </c>
      <c r="E797">
        <v>0</v>
      </c>
      <c r="F797">
        <v>0</v>
      </c>
      <c r="G797">
        <v>0</v>
      </c>
      <c r="I797" t="s">
        <v>10</v>
      </c>
      <c r="J797" t="s">
        <v>11</v>
      </c>
      <c r="K797" t="s">
        <v>11</v>
      </c>
      <c r="L797" t="str">
        <f>T("9791159283314")</f>
        <v>9791159283314</v>
      </c>
    </row>
    <row r="798" spans="1:12">
      <c r="A798" s="8">
        <v>44641.910694444443</v>
      </c>
      <c r="B798">
        <v>291088925</v>
      </c>
      <c r="C798" t="s">
        <v>693</v>
      </c>
      <c r="D798" t="s">
        <v>9</v>
      </c>
      <c r="E798" s="9">
        <v>2000</v>
      </c>
      <c r="F798" s="9">
        <v>2000</v>
      </c>
      <c r="G798" s="9">
        <v>1400</v>
      </c>
      <c r="I798" t="s">
        <v>694</v>
      </c>
      <c r="J798" t="s">
        <v>460</v>
      </c>
      <c r="K798" t="s">
        <v>11</v>
      </c>
      <c r="L798" t="str">
        <f>T("9791191562187")</f>
        <v>9791191562187</v>
      </c>
    </row>
    <row r="799" spans="1:12">
      <c r="A799" s="8">
        <v>44641.91233796296</v>
      </c>
      <c r="B799">
        <v>291088925</v>
      </c>
      <c r="C799" t="s">
        <v>693</v>
      </c>
      <c r="D799" t="s">
        <v>9</v>
      </c>
      <c r="E799" s="9">
        <v>2000</v>
      </c>
      <c r="F799" s="9">
        <v>2000</v>
      </c>
      <c r="G799" s="9">
        <v>1400</v>
      </c>
      <c r="I799" t="s">
        <v>694</v>
      </c>
      <c r="J799" t="s">
        <v>460</v>
      </c>
      <c r="K799" t="s">
        <v>11</v>
      </c>
      <c r="L799" t="str">
        <f>T("9791191562187")</f>
        <v>9791191562187</v>
      </c>
    </row>
    <row r="800" spans="1:12">
      <c r="A800" s="8">
        <v>44641.914861111109</v>
      </c>
      <c r="B800">
        <v>291088925</v>
      </c>
      <c r="C800" t="s">
        <v>693</v>
      </c>
      <c r="D800" t="s">
        <v>9</v>
      </c>
      <c r="E800" s="9">
        <v>2000</v>
      </c>
      <c r="F800" s="9">
        <v>2000</v>
      </c>
      <c r="G800" s="9">
        <v>1400</v>
      </c>
      <c r="I800" t="s">
        <v>694</v>
      </c>
      <c r="J800" t="s">
        <v>460</v>
      </c>
      <c r="K800" t="s">
        <v>11</v>
      </c>
      <c r="L800" t="str">
        <f>T("9791191562187")</f>
        <v>9791191562187</v>
      </c>
    </row>
    <row r="801" spans="1:12">
      <c r="A801" s="8">
        <v>44641.917025462964</v>
      </c>
      <c r="B801">
        <v>287086652</v>
      </c>
      <c r="C801" t="s">
        <v>220</v>
      </c>
      <c r="D801" t="s">
        <v>9</v>
      </c>
      <c r="E801" s="9">
        <v>2000</v>
      </c>
      <c r="F801" s="9">
        <v>2000</v>
      </c>
      <c r="G801" s="9">
        <v>1400</v>
      </c>
      <c r="I801" t="s">
        <v>162</v>
      </c>
      <c r="J801" t="s">
        <v>460</v>
      </c>
      <c r="K801" t="s">
        <v>11</v>
      </c>
      <c r="L801" t="str">
        <f>T("9791191562033")</f>
        <v>9791191562033</v>
      </c>
    </row>
    <row r="802" spans="1:12">
      <c r="A802" s="8">
        <v>44641.918287037035</v>
      </c>
      <c r="B802">
        <v>291088925</v>
      </c>
      <c r="C802" t="s">
        <v>693</v>
      </c>
      <c r="D802" t="s">
        <v>9</v>
      </c>
      <c r="E802" s="9">
        <v>2000</v>
      </c>
      <c r="F802" s="9">
        <v>2000</v>
      </c>
      <c r="G802" s="9">
        <v>1400</v>
      </c>
      <c r="I802" t="s">
        <v>694</v>
      </c>
      <c r="J802" t="s">
        <v>460</v>
      </c>
      <c r="K802" t="s">
        <v>11</v>
      </c>
      <c r="L802" t="str">
        <f t="shared" ref="L802:L815" si="5">T("9791191562187")</f>
        <v>9791191562187</v>
      </c>
    </row>
    <row r="803" spans="1:12">
      <c r="A803" s="8">
        <v>44641.920405092591</v>
      </c>
      <c r="B803">
        <v>291088925</v>
      </c>
      <c r="C803" t="s">
        <v>693</v>
      </c>
      <c r="D803" t="s">
        <v>9</v>
      </c>
      <c r="E803" s="9">
        <v>2000</v>
      </c>
      <c r="F803" s="9">
        <v>2000</v>
      </c>
      <c r="G803" s="9">
        <v>1400</v>
      </c>
      <c r="I803" t="s">
        <v>694</v>
      </c>
      <c r="J803" t="s">
        <v>460</v>
      </c>
      <c r="K803" t="s">
        <v>11</v>
      </c>
      <c r="L803" t="str">
        <f t="shared" si="5"/>
        <v>9791191562187</v>
      </c>
    </row>
    <row r="804" spans="1:12">
      <c r="A804" s="8">
        <v>44641.922847222224</v>
      </c>
      <c r="B804">
        <v>291088925</v>
      </c>
      <c r="C804" t="s">
        <v>693</v>
      </c>
      <c r="D804" t="s">
        <v>9</v>
      </c>
      <c r="E804" s="9">
        <v>2000</v>
      </c>
      <c r="F804" s="9">
        <v>2000</v>
      </c>
      <c r="G804" s="9">
        <v>1400</v>
      </c>
      <c r="I804" t="s">
        <v>694</v>
      </c>
      <c r="J804" t="s">
        <v>460</v>
      </c>
      <c r="K804" t="s">
        <v>11</v>
      </c>
      <c r="L804" t="str">
        <f t="shared" si="5"/>
        <v>9791191562187</v>
      </c>
    </row>
    <row r="805" spans="1:12">
      <c r="A805" s="8">
        <v>44641.927627314813</v>
      </c>
      <c r="B805">
        <v>291088925</v>
      </c>
      <c r="C805" t="s">
        <v>693</v>
      </c>
      <c r="D805" t="s">
        <v>9</v>
      </c>
      <c r="E805" s="9">
        <v>2000</v>
      </c>
      <c r="F805" s="9">
        <v>2000</v>
      </c>
      <c r="G805" s="9">
        <v>1400</v>
      </c>
      <c r="I805" t="s">
        <v>694</v>
      </c>
      <c r="J805" t="s">
        <v>460</v>
      </c>
      <c r="K805" t="s">
        <v>11</v>
      </c>
      <c r="L805" t="str">
        <f t="shared" si="5"/>
        <v>9791191562187</v>
      </c>
    </row>
    <row r="806" spans="1:12">
      <c r="A806" s="8">
        <v>44641.94332175926</v>
      </c>
      <c r="B806">
        <v>291088925</v>
      </c>
      <c r="C806" t="s">
        <v>693</v>
      </c>
      <c r="D806" t="s">
        <v>9</v>
      </c>
      <c r="E806" s="9">
        <v>2000</v>
      </c>
      <c r="F806" s="9">
        <v>2000</v>
      </c>
      <c r="G806" s="9">
        <v>1400</v>
      </c>
      <c r="I806" t="s">
        <v>694</v>
      </c>
      <c r="J806" t="s">
        <v>460</v>
      </c>
      <c r="K806" t="s">
        <v>11</v>
      </c>
      <c r="L806" t="str">
        <f t="shared" si="5"/>
        <v>9791191562187</v>
      </c>
    </row>
    <row r="807" spans="1:12">
      <c r="A807" s="8">
        <v>44641.947615740741</v>
      </c>
      <c r="B807">
        <v>291088925</v>
      </c>
      <c r="C807" t="s">
        <v>693</v>
      </c>
      <c r="D807" t="s">
        <v>9</v>
      </c>
      <c r="E807" s="9">
        <v>2000</v>
      </c>
      <c r="F807" s="9">
        <v>2000</v>
      </c>
      <c r="G807" s="9">
        <v>1400</v>
      </c>
      <c r="I807" t="s">
        <v>694</v>
      </c>
      <c r="J807" t="s">
        <v>460</v>
      </c>
      <c r="K807" t="s">
        <v>11</v>
      </c>
      <c r="L807" t="str">
        <f t="shared" si="5"/>
        <v>9791191562187</v>
      </c>
    </row>
    <row r="808" spans="1:12">
      <c r="A808" s="8">
        <v>44641.959224537037</v>
      </c>
      <c r="B808">
        <v>291088925</v>
      </c>
      <c r="C808" t="s">
        <v>693</v>
      </c>
      <c r="D808" t="s">
        <v>9</v>
      </c>
      <c r="E808" s="9">
        <v>2000</v>
      </c>
      <c r="F808" s="9">
        <v>2000</v>
      </c>
      <c r="G808" s="9">
        <v>1400</v>
      </c>
      <c r="I808" t="s">
        <v>694</v>
      </c>
      <c r="J808" t="s">
        <v>460</v>
      </c>
      <c r="K808" t="s">
        <v>11</v>
      </c>
      <c r="L808" t="str">
        <f t="shared" si="5"/>
        <v>9791191562187</v>
      </c>
    </row>
    <row r="809" spans="1:12">
      <c r="A809" s="8">
        <v>44641.96193287037</v>
      </c>
      <c r="B809">
        <v>291088925</v>
      </c>
      <c r="C809" t="s">
        <v>693</v>
      </c>
      <c r="D809" t="s">
        <v>9</v>
      </c>
      <c r="E809" s="9">
        <v>2000</v>
      </c>
      <c r="F809" s="9">
        <v>2000</v>
      </c>
      <c r="G809" s="9">
        <v>1400</v>
      </c>
      <c r="I809" t="s">
        <v>694</v>
      </c>
      <c r="J809" t="s">
        <v>460</v>
      </c>
      <c r="K809" t="s">
        <v>11</v>
      </c>
      <c r="L809" t="str">
        <f t="shared" si="5"/>
        <v>9791191562187</v>
      </c>
    </row>
    <row r="810" spans="1:12">
      <c r="A810" s="8">
        <v>44641.96297453704</v>
      </c>
      <c r="B810">
        <v>291088925</v>
      </c>
      <c r="C810" t="s">
        <v>693</v>
      </c>
      <c r="D810" t="s">
        <v>9</v>
      </c>
      <c r="E810" s="9">
        <v>2000</v>
      </c>
      <c r="F810" s="9">
        <v>2000</v>
      </c>
      <c r="G810" s="9">
        <v>1400</v>
      </c>
      <c r="I810" t="s">
        <v>694</v>
      </c>
      <c r="J810" t="s">
        <v>460</v>
      </c>
      <c r="K810" t="s">
        <v>11</v>
      </c>
      <c r="L810" t="str">
        <f t="shared" si="5"/>
        <v>9791191562187</v>
      </c>
    </row>
    <row r="811" spans="1:12">
      <c r="A811" s="8">
        <v>44641.976111111115</v>
      </c>
      <c r="B811">
        <v>291088925</v>
      </c>
      <c r="C811" t="s">
        <v>693</v>
      </c>
      <c r="D811" t="s">
        <v>9</v>
      </c>
      <c r="E811" s="9">
        <v>2000</v>
      </c>
      <c r="F811" s="9">
        <v>2000</v>
      </c>
      <c r="G811" s="9">
        <v>1400</v>
      </c>
      <c r="I811" t="s">
        <v>694</v>
      </c>
      <c r="J811" t="s">
        <v>460</v>
      </c>
      <c r="K811" t="s">
        <v>11</v>
      </c>
      <c r="L811" t="str">
        <f t="shared" si="5"/>
        <v>9791191562187</v>
      </c>
    </row>
    <row r="812" spans="1:12">
      <c r="A812" s="8">
        <v>44641.979722222219</v>
      </c>
      <c r="B812">
        <v>291088925</v>
      </c>
      <c r="C812" t="s">
        <v>693</v>
      </c>
      <c r="D812" t="s">
        <v>9</v>
      </c>
      <c r="E812" s="9">
        <v>2000</v>
      </c>
      <c r="F812" s="9">
        <v>2000</v>
      </c>
      <c r="G812" s="9">
        <v>1400</v>
      </c>
      <c r="I812" t="s">
        <v>694</v>
      </c>
      <c r="J812" t="s">
        <v>460</v>
      </c>
      <c r="K812" t="s">
        <v>11</v>
      </c>
      <c r="L812" t="str">
        <f t="shared" si="5"/>
        <v>9791191562187</v>
      </c>
    </row>
    <row r="813" spans="1:12">
      <c r="A813" s="8">
        <v>44641.981874999998</v>
      </c>
      <c r="B813">
        <v>291088925</v>
      </c>
      <c r="C813" t="s">
        <v>693</v>
      </c>
      <c r="D813" t="s">
        <v>9</v>
      </c>
      <c r="E813" s="9">
        <v>2000</v>
      </c>
      <c r="F813" s="9">
        <v>2000</v>
      </c>
      <c r="G813" s="9">
        <v>1400</v>
      </c>
      <c r="I813" t="s">
        <v>694</v>
      </c>
      <c r="J813" t="s">
        <v>460</v>
      </c>
      <c r="K813" t="s">
        <v>11</v>
      </c>
      <c r="L813" t="str">
        <f t="shared" si="5"/>
        <v>9791191562187</v>
      </c>
    </row>
    <row r="814" spans="1:12">
      <c r="A814" s="8">
        <v>44641.996388888889</v>
      </c>
      <c r="B814">
        <v>291088925</v>
      </c>
      <c r="C814" t="s">
        <v>693</v>
      </c>
      <c r="D814" t="s">
        <v>9</v>
      </c>
      <c r="E814" s="9">
        <v>2000</v>
      </c>
      <c r="F814" s="9">
        <v>2000</v>
      </c>
      <c r="G814" s="9">
        <v>1400</v>
      </c>
      <c r="I814" t="s">
        <v>694</v>
      </c>
      <c r="J814" t="s">
        <v>460</v>
      </c>
      <c r="K814" t="s">
        <v>11</v>
      </c>
      <c r="L814" t="str">
        <f t="shared" si="5"/>
        <v>9791191562187</v>
      </c>
    </row>
    <row r="815" spans="1:12">
      <c r="A815" s="8">
        <v>44641.997777777775</v>
      </c>
      <c r="B815">
        <v>291088925</v>
      </c>
      <c r="C815" t="s">
        <v>693</v>
      </c>
      <c r="D815" t="s">
        <v>9</v>
      </c>
      <c r="E815" s="9">
        <v>2000</v>
      </c>
      <c r="F815" s="9">
        <v>2000</v>
      </c>
      <c r="G815" s="9">
        <v>1400</v>
      </c>
      <c r="I815" t="s">
        <v>694</v>
      </c>
      <c r="J815" t="s">
        <v>460</v>
      </c>
      <c r="K815" t="s">
        <v>11</v>
      </c>
      <c r="L815" t="str">
        <f t="shared" si="5"/>
        <v>9791191562187</v>
      </c>
    </row>
    <row r="816" spans="1:12">
      <c r="A816" s="8">
        <v>44641.998101851852</v>
      </c>
      <c r="B816">
        <v>290197934</v>
      </c>
      <c r="C816" t="s">
        <v>604</v>
      </c>
      <c r="D816" t="s">
        <v>9</v>
      </c>
      <c r="E816" s="9">
        <v>2000</v>
      </c>
      <c r="F816" s="9">
        <v>2000</v>
      </c>
      <c r="G816" s="9">
        <v>1400</v>
      </c>
      <c r="I816" t="s">
        <v>605</v>
      </c>
      <c r="J816" t="s">
        <v>460</v>
      </c>
      <c r="K816" t="s">
        <v>11</v>
      </c>
      <c r="L816" t="str">
        <f>T("9791191562163")</f>
        <v>9791191562163</v>
      </c>
    </row>
    <row r="817" spans="1:12">
      <c r="A817" s="8">
        <v>44642.003460648149</v>
      </c>
      <c r="B817">
        <v>291088925</v>
      </c>
      <c r="C817" t="s">
        <v>693</v>
      </c>
      <c r="D817" t="s">
        <v>9</v>
      </c>
      <c r="E817" s="9">
        <v>2000</v>
      </c>
      <c r="F817" s="9">
        <v>2000</v>
      </c>
      <c r="G817" s="9">
        <v>1400</v>
      </c>
      <c r="I817" t="s">
        <v>694</v>
      </c>
      <c r="J817" t="s">
        <v>460</v>
      </c>
      <c r="K817" t="s">
        <v>11</v>
      </c>
      <c r="L817" t="str">
        <f>T("9791191562187")</f>
        <v>9791191562187</v>
      </c>
    </row>
    <row r="818" spans="1:12">
      <c r="A818" s="8">
        <v>44642.0075462963</v>
      </c>
      <c r="B818">
        <v>291088925</v>
      </c>
      <c r="C818" t="s">
        <v>693</v>
      </c>
      <c r="D818" t="s">
        <v>9</v>
      </c>
      <c r="E818" s="9">
        <v>2000</v>
      </c>
      <c r="F818" s="9">
        <v>2000</v>
      </c>
      <c r="G818" s="9">
        <v>1400</v>
      </c>
      <c r="I818" t="s">
        <v>694</v>
      </c>
      <c r="J818" t="s">
        <v>460</v>
      </c>
      <c r="K818" t="s">
        <v>11</v>
      </c>
      <c r="L818" t="str">
        <f>T("9791191562187")</f>
        <v>9791191562187</v>
      </c>
    </row>
    <row r="819" spans="1:12">
      <c r="A819" s="8">
        <v>44642.010671296295</v>
      </c>
      <c r="B819">
        <v>291088925</v>
      </c>
      <c r="C819" t="s">
        <v>693</v>
      </c>
      <c r="D819" t="s">
        <v>9</v>
      </c>
      <c r="E819" s="9">
        <v>2000</v>
      </c>
      <c r="F819" s="9">
        <v>2000</v>
      </c>
      <c r="G819" s="9">
        <v>1400</v>
      </c>
      <c r="I819" t="s">
        <v>694</v>
      </c>
      <c r="J819" t="s">
        <v>460</v>
      </c>
      <c r="K819" t="s">
        <v>11</v>
      </c>
      <c r="L819" t="str">
        <f>T("9791191562187")</f>
        <v>9791191562187</v>
      </c>
    </row>
    <row r="820" spans="1:12">
      <c r="A820" s="8">
        <v>44642.011412037034</v>
      </c>
      <c r="B820">
        <v>48791726</v>
      </c>
      <c r="C820" t="s">
        <v>567</v>
      </c>
      <c r="D820" t="s">
        <v>9</v>
      </c>
      <c r="E820" s="9">
        <v>3200</v>
      </c>
      <c r="F820" s="9">
        <v>3200</v>
      </c>
      <c r="G820" s="9">
        <v>2240</v>
      </c>
      <c r="I820" t="s">
        <v>10</v>
      </c>
      <c r="J820" t="s">
        <v>11</v>
      </c>
      <c r="K820" t="s">
        <v>11</v>
      </c>
      <c r="L820" t="str">
        <f>T("9791159283413")</f>
        <v>9791159283413</v>
      </c>
    </row>
    <row r="821" spans="1:12">
      <c r="A821" s="8">
        <v>44642.014398148145</v>
      </c>
      <c r="B821">
        <v>291088925</v>
      </c>
      <c r="C821" t="s">
        <v>693</v>
      </c>
      <c r="D821" t="s">
        <v>9</v>
      </c>
      <c r="E821" s="9">
        <v>2000</v>
      </c>
      <c r="F821" s="9">
        <v>2000</v>
      </c>
      <c r="G821" s="9">
        <v>1400</v>
      </c>
      <c r="I821" t="s">
        <v>694</v>
      </c>
      <c r="J821" t="s">
        <v>460</v>
      </c>
      <c r="K821" t="s">
        <v>11</v>
      </c>
      <c r="L821" t="str">
        <f>T("9791191562187")</f>
        <v>9791191562187</v>
      </c>
    </row>
    <row r="822" spans="1:12">
      <c r="A822" s="8">
        <v>44642.016805555555</v>
      </c>
      <c r="B822">
        <v>291088925</v>
      </c>
      <c r="C822" t="s">
        <v>693</v>
      </c>
      <c r="D822" t="s">
        <v>9</v>
      </c>
      <c r="E822" s="9">
        <v>2000</v>
      </c>
      <c r="F822" s="9">
        <v>2000</v>
      </c>
      <c r="G822" s="9">
        <v>1400</v>
      </c>
      <c r="I822" t="s">
        <v>694</v>
      </c>
      <c r="J822" t="s">
        <v>460</v>
      </c>
      <c r="K822" t="s">
        <v>11</v>
      </c>
      <c r="L822" t="str">
        <f>T("9791191562187")</f>
        <v>9791191562187</v>
      </c>
    </row>
    <row r="823" spans="1:12">
      <c r="A823" s="8">
        <v>44642.016805555555</v>
      </c>
      <c r="B823">
        <v>290084502</v>
      </c>
      <c r="C823" t="s">
        <v>592</v>
      </c>
      <c r="D823" t="s">
        <v>9</v>
      </c>
      <c r="E823" s="9">
        <v>2500</v>
      </c>
      <c r="F823" s="9">
        <v>2500</v>
      </c>
      <c r="G823" s="9">
        <v>1750</v>
      </c>
      <c r="I823" t="s">
        <v>593</v>
      </c>
      <c r="J823" t="s">
        <v>460</v>
      </c>
      <c r="K823" t="s">
        <v>11</v>
      </c>
      <c r="L823" t="str">
        <f>T("9791191562125")</f>
        <v>9791191562125</v>
      </c>
    </row>
    <row r="824" spans="1:12">
      <c r="A824" s="8">
        <v>44642.022916666669</v>
      </c>
      <c r="B824">
        <v>291088925</v>
      </c>
      <c r="C824" t="s">
        <v>693</v>
      </c>
      <c r="D824" t="s">
        <v>9</v>
      </c>
      <c r="E824" s="9">
        <v>2000</v>
      </c>
      <c r="F824" s="9">
        <v>2000</v>
      </c>
      <c r="G824" s="9">
        <v>1400</v>
      </c>
      <c r="I824" t="s">
        <v>694</v>
      </c>
      <c r="J824" t="s">
        <v>460</v>
      </c>
      <c r="K824" t="s">
        <v>11</v>
      </c>
      <c r="L824" t="str">
        <f>T("9791191562187")</f>
        <v>9791191562187</v>
      </c>
    </row>
    <row r="825" spans="1:12">
      <c r="A825" s="8">
        <v>44642.040798611109</v>
      </c>
      <c r="B825">
        <v>291088925</v>
      </c>
      <c r="C825" t="s">
        <v>693</v>
      </c>
      <c r="D825" t="s">
        <v>9</v>
      </c>
      <c r="E825" s="9">
        <v>2000</v>
      </c>
      <c r="F825" s="9">
        <v>2000</v>
      </c>
      <c r="G825" s="9">
        <v>1400</v>
      </c>
      <c r="I825" t="s">
        <v>694</v>
      </c>
      <c r="J825" t="s">
        <v>460</v>
      </c>
      <c r="K825" t="s">
        <v>11</v>
      </c>
      <c r="L825" t="str">
        <f>T("9791191562187")</f>
        <v>9791191562187</v>
      </c>
    </row>
    <row r="826" spans="1:12">
      <c r="A826" s="8">
        <v>44642.051944444444</v>
      </c>
      <c r="B826">
        <v>291088925</v>
      </c>
      <c r="C826" t="s">
        <v>693</v>
      </c>
      <c r="D826" t="s">
        <v>9</v>
      </c>
      <c r="E826" s="9">
        <v>2000</v>
      </c>
      <c r="F826" s="9">
        <v>2000</v>
      </c>
      <c r="G826" s="9">
        <v>1400</v>
      </c>
      <c r="I826" t="s">
        <v>694</v>
      </c>
      <c r="J826" t="s">
        <v>460</v>
      </c>
      <c r="K826" t="s">
        <v>11</v>
      </c>
      <c r="L826" t="str">
        <f>T("9791191562187")</f>
        <v>9791191562187</v>
      </c>
    </row>
    <row r="827" spans="1:12">
      <c r="A827" s="8">
        <v>44642.057372685187</v>
      </c>
      <c r="B827">
        <v>291088925</v>
      </c>
      <c r="C827" t="s">
        <v>693</v>
      </c>
      <c r="D827" t="s">
        <v>9</v>
      </c>
      <c r="E827" s="9">
        <v>2000</v>
      </c>
      <c r="F827" s="9">
        <v>2000</v>
      </c>
      <c r="G827" s="9">
        <v>1400</v>
      </c>
      <c r="I827" t="s">
        <v>694</v>
      </c>
      <c r="J827" t="s">
        <v>460</v>
      </c>
      <c r="K827" t="s">
        <v>11</v>
      </c>
      <c r="L827" t="str">
        <f>T("9791191562187")</f>
        <v>9791191562187</v>
      </c>
    </row>
    <row r="828" spans="1:12">
      <c r="A828" s="8">
        <v>44642.060543981483</v>
      </c>
      <c r="B828">
        <v>291088925</v>
      </c>
      <c r="C828" t="s">
        <v>693</v>
      </c>
      <c r="D828" t="s">
        <v>9</v>
      </c>
      <c r="E828" s="9">
        <v>2000</v>
      </c>
      <c r="F828" s="9">
        <v>2000</v>
      </c>
      <c r="G828" s="9">
        <v>1400</v>
      </c>
      <c r="I828" t="s">
        <v>694</v>
      </c>
      <c r="J828" t="s">
        <v>460</v>
      </c>
      <c r="K828" t="s">
        <v>11</v>
      </c>
      <c r="L828" t="str">
        <f>T("9791191562187")</f>
        <v>9791191562187</v>
      </c>
    </row>
    <row r="829" spans="1:12">
      <c r="A829" s="8">
        <v>44642.069861111115</v>
      </c>
      <c r="B829">
        <v>253098974</v>
      </c>
      <c r="C829" t="s">
        <v>712</v>
      </c>
      <c r="D829" t="s">
        <v>12</v>
      </c>
      <c r="E829" s="9">
        <v>2560</v>
      </c>
      <c r="F829" s="9">
        <v>2560</v>
      </c>
      <c r="G829" s="9">
        <v>1792</v>
      </c>
      <c r="I829" t="s">
        <v>18</v>
      </c>
      <c r="J829" t="s">
        <v>588</v>
      </c>
      <c r="K829" t="s">
        <v>11</v>
      </c>
      <c r="L829" t="str">
        <f>T("9791164899401")</f>
        <v>9791164899401</v>
      </c>
    </row>
    <row r="830" spans="1:12">
      <c r="A830" s="8">
        <v>44642.069861111115</v>
      </c>
      <c r="B830">
        <v>253099023</v>
      </c>
      <c r="C830" t="s">
        <v>711</v>
      </c>
      <c r="D830" t="s">
        <v>12</v>
      </c>
      <c r="E830" s="9">
        <v>2560</v>
      </c>
      <c r="F830" s="9">
        <v>2560</v>
      </c>
      <c r="G830" s="9">
        <v>1792</v>
      </c>
      <c r="I830" t="s">
        <v>18</v>
      </c>
      <c r="J830" t="s">
        <v>588</v>
      </c>
      <c r="K830" t="s">
        <v>11</v>
      </c>
      <c r="L830" t="str">
        <f>T("9791164899418")</f>
        <v>9791164899418</v>
      </c>
    </row>
    <row r="831" spans="1:12">
      <c r="A831" s="8">
        <v>44642.078263888892</v>
      </c>
      <c r="B831">
        <v>291088925</v>
      </c>
      <c r="C831" t="s">
        <v>693</v>
      </c>
      <c r="D831" t="s">
        <v>9</v>
      </c>
      <c r="E831" s="9">
        <v>2000</v>
      </c>
      <c r="F831" s="9">
        <v>2000</v>
      </c>
      <c r="G831" s="9">
        <v>1400</v>
      </c>
      <c r="I831" t="s">
        <v>694</v>
      </c>
      <c r="J831" t="s">
        <v>460</v>
      </c>
      <c r="K831" t="s">
        <v>11</v>
      </c>
      <c r="L831" t="str">
        <f>T("9791191562187")</f>
        <v>9791191562187</v>
      </c>
    </row>
    <row r="832" spans="1:12">
      <c r="A832" s="8">
        <v>44642.092835648145</v>
      </c>
      <c r="B832">
        <v>291088925</v>
      </c>
      <c r="C832" t="s">
        <v>693</v>
      </c>
      <c r="D832" t="s">
        <v>9</v>
      </c>
      <c r="E832" s="9">
        <v>2000</v>
      </c>
      <c r="F832" s="9">
        <v>2000</v>
      </c>
      <c r="G832" s="9">
        <v>1400</v>
      </c>
      <c r="I832" t="s">
        <v>694</v>
      </c>
      <c r="J832" t="s">
        <v>460</v>
      </c>
      <c r="K832" t="s">
        <v>11</v>
      </c>
      <c r="L832" t="str">
        <f>T("9791191562187")</f>
        <v>9791191562187</v>
      </c>
    </row>
    <row r="833" spans="1:12">
      <c r="A833" s="8">
        <v>44642.169166666667</v>
      </c>
      <c r="B833">
        <v>291088925</v>
      </c>
      <c r="C833" t="s">
        <v>693</v>
      </c>
      <c r="D833" t="s">
        <v>9</v>
      </c>
      <c r="E833" s="9">
        <v>2000</v>
      </c>
      <c r="F833" s="9">
        <v>2000</v>
      </c>
      <c r="G833" s="9">
        <v>1400</v>
      </c>
      <c r="I833" t="s">
        <v>694</v>
      </c>
      <c r="J833" t="s">
        <v>460</v>
      </c>
      <c r="K833" t="s">
        <v>11</v>
      </c>
      <c r="L833" t="str">
        <f>T("9791191562187")</f>
        <v>9791191562187</v>
      </c>
    </row>
    <row r="834" spans="1:12">
      <c r="A834" s="8">
        <v>44642.217939814815</v>
      </c>
      <c r="B834">
        <v>287834730</v>
      </c>
      <c r="C834" t="s">
        <v>275</v>
      </c>
      <c r="D834" t="s">
        <v>9</v>
      </c>
      <c r="E834" s="9">
        <v>2000</v>
      </c>
      <c r="F834" s="9">
        <v>2000</v>
      </c>
      <c r="G834" s="9">
        <v>1400</v>
      </c>
      <c r="I834" t="s">
        <v>169</v>
      </c>
      <c r="J834" t="s">
        <v>460</v>
      </c>
      <c r="K834" t="s">
        <v>11</v>
      </c>
      <c r="L834" t="str">
        <f>T("9791191562019")</f>
        <v>9791191562019</v>
      </c>
    </row>
    <row r="835" spans="1:12">
      <c r="A835" s="8">
        <v>44642.286469907405</v>
      </c>
      <c r="B835">
        <v>290197934</v>
      </c>
      <c r="C835" t="s">
        <v>604</v>
      </c>
      <c r="D835" t="s">
        <v>9</v>
      </c>
      <c r="E835" s="9">
        <v>2000</v>
      </c>
      <c r="F835" s="9">
        <v>2000</v>
      </c>
      <c r="G835" s="9">
        <v>1400</v>
      </c>
      <c r="I835" t="s">
        <v>605</v>
      </c>
      <c r="J835" t="s">
        <v>460</v>
      </c>
      <c r="K835" t="s">
        <v>11</v>
      </c>
      <c r="L835" t="str">
        <f>T("9791191562163")</f>
        <v>9791191562163</v>
      </c>
    </row>
    <row r="836" spans="1:12">
      <c r="A836" s="8">
        <v>44642.337222222224</v>
      </c>
      <c r="B836">
        <v>291088925</v>
      </c>
      <c r="C836" t="s">
        <v>693</v>
      </c>
      <c r="D836" t="s">
        <v>9</v>
      </c>
      <c r="E836" s="9">
        <v>2000</v>
      </c>
      <c r="F836" s="9">
        <v>2000</v>
      </c>
      <c r="G836" s="9">
        <v>1400</v>
      </c>
      <c r="I836" t="s">
        <v>694</v>
      </c>
      <c r="J836" t="s">
        <v>460</v>
      </c>
      <c r="K836" t="s">
        <v>11</v>
      </c>
      <c r="L836" t="str">
        <f>T("9791191562187")</f>
        <v>9791191562187</v>
      </c>
    </row>
    <row r="837" spans="1:12">
      <c r="A837" s="8">
        <v>44642.337743055556</v>
      </c>
      <c r="B837">
        <v>48791726</v>
      </c>
      <c r="C837" t="s">
        <v>567</v>
      </c>
      <c r="D837" t="s">
        <v>12</v>
      </c>
      <c r="E837">
        <v>900</v>
      </c>
      <c r="F837">
        <v>900</v>
      </c>
      <c r="G837">
        <v>630</v>
      </c>
      <c r="I837" t="s">
        <v>10</v>
      </c>
      <c r="J837" t="s">
        <v>11</v>
      </c>
      <c r="K837" t="s">
        <v>11</v>
      </c>
      <c r="L837" t="str">
        <f>T("9791159283413")</f>
        <v>9791159283413</v>
      </c>
    </row>
    <row r="838" spans="1:12">
      <c r="A838" s="8">
        <v>44642.385162037041</v>
      </c>
      <c r="B838">
        <v>48791726</v>
      </c>
      <c r="C838" t="s">
        <v>567</v>
      </c>
      <c r="D838" t="s">
        <v>12</v>
      </c>
      <c r="E838">
        <v>-900</v>
      </c>
      <c r="F838">
        <v>-900</v>
      </c>
      <c r="G838">
        <v>-630</v>
      </c>
      <c r="H838" s="8">
        <v>44642.337743055556</v>
      </c>
      <c r="I838" t="s">
        <v>10</v>
      </c>
      <c r="J838" t="s">
        <v>11</v>
      </c>
      <c r="K838" t="s">
        <v>11</v>
      </c>
      <c r="L838" t="str">
        <f>T("9791159283413")</f>
        <v>9791159283413</v>
      </c>
    </row>
    <row r="839" spans="1:12">
      <c r="A839" s="8">
        <v>44642.357199074075</v>
      </c>
      <c r="B839">
        <v>291088925</v>
      </c>
      <c r="C839" t="s">
        <v>693</v>
      </c>
      <c r="D839" t="s">
        <v>9</v>
      </c>
      <c r="E839" s="9">
        <v>2000</v>
      </c>
      <c r="F839" s="9">
        <v>2000</v>
      </c>
      <c r="G839" s="9">
        <v>1400</v>
      </c>
      <c r="I839" t="s">
        <v>694</v>
      </c>
      <c r="J839" t="s">
        <v>460</v>
      </c>
      <c r="K839" t="s">
        <v>11</v>
      </c>
      <c r="L839" t="str">
        <f>T("9791191562187")</f>
        <v>9791191562187</v>
      </c>
    </row>
    <row r="840" spans="1:12">
      <c r="A840" s="8">
        <v>44642.386631944442</v>
      </c>
      <c r="B840">
        <v>290197934</v>
      </c>
      <c r="C840" t="s">
        <v>604</v>
      </c>
      <c r="D840" t="s">
        <v>9</v>
      </c>
      <c r="E840" s="9">
        <v>2000</v>
      </c>
      <c r="F840" s="9">
        <v>2000</v>
      </c>
      <c r="G840" s="9">
        <v>1400</v>
      </c>
      <c r="I840" t="s">
        <v>605</v>
      </c>
      <c r="J840" t="s">
        <v>460</v>
      </c>
      <c r="K840" t="s">
        <v>11</v>
      </c>
      <c r="L840" t="str">
        <f>T("9791191562163")</f>
        <v>9791191562163</v>
      </c>
    </row>
    <row r="841" spans="1:12">
      <c r="A841" s="8">
        <v>44642.390162037038</v>
      </c>
      <c r="B841">
        <v>48791726</v>
      </c>
      <c r="C841" t="s">
        <v>567</v>
      </c>
      <c r="D841" t="s">
        <v>12</v>
      </c>
      <c r="E841">
        <v>900</v>
      </c>
      <c r="F841">
        <v>900</v>
      </c>
      <c r="G841">
        <v>630</v>
      </c>
      <c r="I841" t="s">
        <v>10</v>
      </c>
      <c r="J841" t="s">
        <v>11</v>
      </c>
      <c r="K841" t="s">
        <v>11</v>
      </c>
      <c r="L841" t="str">
        <f>T("9791159283413")</f>
        <v>9791159283413</v>
      </c>
    </row>
    <row r="842" spans="1:12">
      <c r="A842" s="8">
        <v>44642.412719907406</v>
      </c>
      <c r="B842">
        <v>290197934</v>
      </c>
      <c r="C842" t="s">
        <v>604</v>
      </c>
      <c r="D842" t="s">
        <v>9</v>
      </c>
      <c r="E842" s="9">
        <v>2000</v>
      </c>
      <c r="F842" s="9">
        <v>2000</v>
      </c>
      <c r="G842" s="9">
        <v>1400</v>
      </c>
      <c r="I842" t="s">
        <v>605</v>
      </c>
      <c r="J842" t="s">
        <v>460</v>
      </c>
      <c r="K842" t="s">
        <v>11</v>
      </c>
      <c r="L842" t="str">
        <f>T("9791191562163")</f>
        <v>9791191562163</v>
      </c>
    </row>
    <row r="843" spans="1:12">
      <c r="A843" s="8">
        <v>44642.442199074074</v>
      </c>
      <c r="B843">
        <v>291088925</v>
      </c>
      <c r="C843" t="s">
        <v>693</v>
      </c>
      <c r="D843" t="s">
        <v>9</v>
      </c>
      <c r="E843" s="9">
        <v>2000</v>
      </c>
      <c r="F843" s="9">
        <v>2000</v>
      </c>
      <c r="G843" s="9">
        <v>1400</v>
      </c>
      <c r="I843" t="s">
        <v>694</v>
      </c>
      <c r="J843" t="s">
        <v>460</v>
      </c>
      <c r="K843" t="s">
        <v>11</v>
      </c>
      <c r="L843" t="str">
        <f>T("9791191562187")</f>
        <v>9791191562187</v>
      </c>
    </row>
    <row r="844" spans="1:12">
      <c r="A844" s="8">
        <v>44642.455034722225</v>
      </c>
      <c r="B844">
        <v>291088925</v>
      </c>
      <c r="C844" t="s">
        <v>693</v>
      </c>
      <c r="D844" t="s">
        <v>9</v>
      </c>
      <c r="E844" s="9">
        <v>2000</v>
      </c>
      <c r="F844" s="9">
        <v>2000</v>
      </c>
      <c r="G844" s="9">
        <v>1400</v>
      </c>
      <c r="I844" t="s">
        <v>694</v>
      </c>
      <c r="J844" t="s">
        <v>460</v>
      </c>
      <c r="K844" t="s">
        <v>11</v>
      </c>
      <c r="L844" t="str">
        <f>T("9791191562187")</f>
        <v>9791191562187</v>
      </c>
    </row>
    <row r="845" spans="1:12">
      <c r="A845" s="8">
        <v>44642.462071759262</v>
      </c>
      <c r="B845">
        <v>291088925</v>
      </c>
      <c r="C845" t="s">
        <v>693</v>
      </c>
      <c r="D845" t="s">
        <v>9</v>
      </c>
      <c r="E845" s="9">
        <v>2000</v>
      </c>
      <c r="F845" s="9">
        <v>2000</v>
      </c>
      <c r="G845" s="9">
        <v>1400</v>
      </c>
      <c r="I845" t="s">
        <v>694</v>
      </c>
      <c r="J845" t="s">
        <v>460</v>
      </c>
      <c r="K845" t="s">
        <v>11</v>
      </c>
      <c r="L845" t="str">
        <f>T("9791191562187")</f>
        <v>9791191562187</v>
      </c>
    </row>
    <row r="846" spans="1:12">
      <c r="A846" s="8">
        <v>44642.485081018516</v>
      </c>
      <c r="B846">
        <v>286896672</v>
      </c>
      <c r="C846" t="s">
        <v>248</v>
      </c>
      <c r="D846" t="s">
        <v>9</v>
      </c>
      <c r="E846" s="9">
        <v>2500</v>
      </c>
      <c r="F846" s="9">
        <v>2500</v>
      </c>
      <c r="G846" s="9">
        <v>1750</v>
      </c>
      <c r="I846" t="s">
        <v>158</v>
      </c>
      <c r="J846" t="s">
        <v>460</v>
      </c>
      <c r="K846" t="s">
        <v>11</v>
      </c>
      <c r="L846" t="str">
        <f>T("9791191562002")</f>
        <v>9791191562002</v>
      </c>
    </row>
    <row r="847" spans="1:12">
      <c r="A847" s="8">
        <v>44642.494155092594</v>
      </c>
      <c r="B847">
        <v>291088925</v>
      </c>
      <c r="C847" t="s">
        <v>693</v>
      </c>
      <c r="D847" t="s">
        <v>9</v>
      </c>
      <c r="E847" s="9">
        <v>2000</v>
      </c>
      <c r="F847" s="9">
        <v>2000</v>
      </c>
      <c r="G847" s="9">
        <v>1400</v>
      </c>
      <c r="I847" t="s">
        <v>694</v>
      </c>
      <c r="J847" t="s">
        <v>460</v>
      </c>
      <c r="K847" t="s">
        <v>11</v>
      </c>
      <c r="L847" t="str">
        <f t="shared" ref="L847:L852" si="6">T("9791191562187")</f>
        <v>9791191562187</v>
      </c>
    </row>
    <row r="848" spans="1:12">
      <c r="A848" s="8">
        <v>44642.500706018516</v>
      </c>
      <c r="B848">
        <v>291088925</v>
      </c>
      <c r="C848" t="s">
        <v>693</v>
      </c>
      <c r="D848" t="s">
        <v>9</v>
      </c>
      <c r="E848" s="9">
        <v>2000</v>
      </c>
      <c r="F848" s="9">
        <v>2000</v>
      </c>
      <c r="G848" s="9">
        <v>1400</v>
      </c>
      <c r="I848" t="s">
        <v>694</v>
      </c>
      <c r="J848" t="s">
        <v>460</v>
      </c>
      <c r="K848" t="s">
        <v>11</v>
      </c>
      <c r="L848" t="str">
        <f t="shared" si="6"/>
        <v>9791191562187</v>
      </c>
    </row>
    <row r="849" spans="1:12">
      <c r="A849" s="8">
        <v>44642.501273148147</v>
      </c>
      <c r="B849">
        <v>291088925</v>
      </c>
      <c r="C849" t="s">
        <v>693</v>
      </c>
      <c r="D849" t="s">
        <v>9</v>
      </c>
      <c r="E849" s="9">
        <v>2000</v>
      </c>
      <c r="F849" s="9">
        <v>2000</v>
      </c>
      <c r="G849" s="9">
        <v>1400</v>
      </c>
      <c r="I849" t="s">
        <v>694</v>
      </c>
      <c r="J849" t="s">
        <v>460</v>
      </c>
      <c r="K849" t="s">
        <v>11</v>
      </c>
      <c r="L849" t="str">
        <f t="shared" si="6"/>
        <v>9791191562187</v>
      </c>
    </row>
    <row r="850" spans="1:12">
      <c r="A850" s="8">
        <v>44642.528055555558</v>
      </c>
      <c r="B850">
        <v>291088925</v>
      </c>
      <c r="C850" t="s">
        <v>693</v>
      </c>
      <c r="D850" t="s">
        <v>9</v>
      </c>
      <c r="E850" s="9">
        <v>2000</v>
      </c>
      <c r="F850" s="9">
        <v>2000</v>
      </c>
      <c r="G850" s="9">
        <v>1400</v>
      </c>
      <c r="I850" t="s">
        <v>694</v>
      </c>
      <c r="J850" t="s">
        <v>460</v>
      </c>
      <c r="K850" t="s">
        <v>11</v>
      </c>
      <c r="L850" t="str">
        <f t="shared" si="6"/>
        <v>9791191562187</v>
      </c>
    </row>
    <row r="851" spans="1:12">
      <c r="A851" s="8">
        <v>44642.538530092592</v>
      </c>
      <c r="B851">
        <v>291088925</v>
      </c>
      <c r="C851" t="s">
        <v>693</v>
      </c>
      <c r="D851" t="s">
        <v>9</v>
      </c>
      <c r="E851" s="9">
        <v>2000</v>
      </c>
      <c r="F851" s="9">
        <v>2000</v>
      </c>
      <c r="G851" s="9">
        <v>1400</v>
      </c>
      <c r="I851" t="s">
        <v>694</v>
      </c>
      <c r="J851" t="s">
        <v>460</v>
      </c>
      <c r="K851" t="s">
        <v>11</v>
      </c>
      <c r="L851" t="str">
        <f t="shared" si="6"/>
        <v>9791191562187</v>
      </c>
    </row>
    <row r="852" spans="1:12">
      <c r="A852" s="8">
        <v>44642.545104166667</v>
      </c>
      <c r="B852">
        <v>291088925</v>
      </c>
      <c r="C852" t="s">
        <v>693</v>
      </c>
      <c r="D852" t="s">
        <v>9</v>
      </c>
      <c r="E852" s="9">
        <v>2000</v>
      </c>
      <c r="F852" s="9">
        <v>2000</v>
      </c>
      <c r="G852" s="9">
        <v>1400</v>
      </c>
      <c r="I852" t="s">
        <v>694</v>
      </c>
      <c r="J852" t="s">
        <v>460</v>
      </c>
      <c r="K852" t="s">
        <v>11</v>
      </c>
      <c r="L852" t="str">
        <f t="shared" si="6"/>
        <v>9791191562187</v>
      </c>
    </row>
    <row r="853" spans="1:12">
      <c r="A853" s="8">
        <v>44642.55332175926</v>
      </c>
      <c r="B853">
        <v>149550330</v>
      </c>
      <c r="C853" t="s">
        <v>720</v>
      </c>
      <c r="D853" t="s">
        <v>9</v>
      </c>
      <c r="E853">
        <v>0</v>
      </c>
      <c r="F853">
        <v>0</v>
      </c>
      <c r="G853">
        <v>0</v>
      </c>
      <c r="I853" t="s">
        <v>591</v>
      </c>
      <c r="J853" t="s">
        <v>11</v>
      </c>
      <c r="K853" t="s">
        <v>11</v>
      </c>
      <c r="L853" t="str">
        <f>T("9791159286322")</f>
        <v>9791159286322</v>
      </c>
    </row>
    <row r="854" spans="1:12">
      <c r="A854" s="8">
        <v>44642.602453703701</v>
      </c>
      <c r="B854">
        <v>290963607</v>
      </c>
      <c r="C854" t="s">
        <v>681</v>
      </c>
      <c r="D854" t="s">
        <v>9</v>
      </c>
      <c r="E854" s="9">
        <v>3500</v>
      </c>
      <c r="F854" s="9">
        <v>3500</v>
      </c>
      <c r="G854" s="9">
        <v>2450</v>
      </c>
      <c r="I854" t="s">
        <v>682</v>
      </c>
      <c r="J854" t="s">
        <v>460</v>
      </c>
      <c r="K854" t="s">
        <v>11</v>
      </c>
      <c r="L854" t="str">
        <f>T("9791191562132")</f>
        <v>9791191562132</v>
      </c>
    </row>
    <row r="855" spans="1:12">
      <c r="A855" s="8">
        <v>44642.606423611112</v>
      </c>
      <c r="B855">
        <v>291088925</v>
      </c>
      <c r="C855" t="s">
        <v>693</v>
      </c>
      <c r="D855" t="s">
        <v>9</v>
      </c>
      <c r="E855" s="9">
        <v>2000</v>
      </c>
      <c r="F855" s="9">
        <v>2000</v>
      </c>
      <c r="G855" s="9">
        <v>1400</v>
      </c>
      <c r="I855" t="s">
        <v>694</v>
      </c>
      <c r="J855" t="s">
        <v>460</v>
      </c>
      <c r="K855" t="s">
        <v>11</v>
      </c>
      <c r="L855" t="str">
        <f>T("9791191562187")</f>
        <v>9791191562187</v>
      </c>
    </row>
    <row r="856" spans="1:12">
      <c r="A856" s="8">
        <v>44642.608773148146</v>
      </c>
      <c r="B856">
        <v>287834730</v>
      </c>
      <c r="C856" t="s">
        <v>275</v>
      </c>
      <c r="D856" t="s">
        <v>9</v>
      </c>
      <c r="E856" s="9">
        <v>2000</v>
      </c>
      <c r="F856" s="9">
        <v>2000</v>
      </c>
      <c r="G856" s="9">
        <v>1400</v>
      </c>
      <c r="I856" t="s">
        <v>169</v>
      </c>
      <c r="J856" t="s">
        <v>460</v>
      </c>
      <c r="K856" t="s">
        <v>11</v>
      </c>
      <c r="L856" t="str">
        <f>T("9791191562019")</f>
        <v>9791191562019</v>
      </c>
    </row>
    <row r="857" spans="1:12">
      <c r="A857" s="8">
        <v>44642.61010416667</v>
      </c>
      <c r="B857">
        <v>291088925</v>
      </c>
      <c r="C857" t="s">
        <v>693</v>
      </c>
      <c r="D857" t="s">
        <v>9</v>
      </c>
      <c r="E857" s="9">
        <v>2000</v>
      </c>
      <c r="F857" s="9">
        <v>2000</v>
      </c>
      <c r="G857" s="9">
        <v>1400</v>
      </c>
      <c r="I857" t="s">
        <v>694</v>
      </c>
      <c r="J857" t="s">
        <v>460</v>
      </c>
      <c r="K857" t="s">
        <v>11</v>
      </c>
      <c r="L857" t="str">
        <f>T("9791191562187")</f>
        <v>9791191562187</v>
      </c>
    </row>
    <row r="858" spans="1:12">
      <c r="A858" s="8">
        <v>44642.617326388892</v>
      </c>
      <c r="B858">
        <v>291088925</v>
      </c>
      <c r="C858" t="s">
        <v>693</v>
      </c>
      <c r="D858" t="s">
        <v>9</v>
      </c>
      <c r="E858" s="9">
        <v>2000</v>
      </c>
      <c r="F858" s="9">
        <v>2000</v>
      </c>
      <c r="G858" s="9">
        <v>1400</v>
      </c>
      <c r="I858" t="s">
        <v>694</v>
      </c>
      <c r="J858" t="s">
        <v>460</v>
      </c>
      <c r="K858" t="s">
        <v>11</v>
      </c>
      <c r="L858" t="str">
        <f>T("9791191562187")</f>
        <v>9791191562187</v>
      </c>
    </row>
    <row r="859" spans="1:12">
      <c r="A859" s="8">
        <v>44642.692476851851</v>
      </c>
      <c r="B859">
        <v>291088925</v>
      </c>
      <c r="C859" t="s">
        <v>693</v>
      </c>
      <c r="D859" t="s">
        <v>9</v>
      </c>
      <c r="E859" s="9">
        <v>2000</v>
      </c>
      <c r="F859" s="9">
        <v>2000</v>
      </c>
      <c r="G859" s="9">
        <v>1400</v>
      </c>
      <c r="I859" t="s">
        <v>694</v>
      </c>
      <c r="J859" t="s">
        <v>460</v>
      </c>
      <c r="K859" t="s">
        <v>11</v>
      </c>
      <c r="L859" t="str">
        <f>T("9791191562187")</f>
        <v>9791191562187</v>
      </c>
    </row>
    <row r="860" spans="1:12">
      <c r="A860" s="8">
        <v>44642.697384259256</v>
      </c>
      <c r="B860">
        <v>291088925</v>
      </c>
      <c r="C860" t="s">
        <v>693</v>
      </c>
      <c r="D860" t="s">
        <v>9</v>
      </c>
      <c r="E860" s="9">
        <v>2000</v>
      </c>
      <c r="F860" s="9">
        <v>2000</v>
      </c>
      <c r="G860" s="9">
        <v>1400</v>
      </c>
      <c r="I860" t="s">
        <v>694</v>
      </c>
      <c r="J860" t="s">
        <v>460</v>
      </c>
      <c r="K860" t="s">
        <v>11</v>
      </c>
      <c r="L860" t="str">
        <f>T("9791191562187")</f>
        <v>9791191562187</v>
      </c>
    </row>
    <row r="861" spans="1:12">
      <c r="A861" s="8">
        <v>44642.697581018518</v>
      </c>
      <c r="B861">
        <v>291088925</v>
      </c>
      <c r="C861" t="s">
        <v>693</v>
      </c>
      <c r="D861" t="s">
        <v>9</v>
      </c>
      <c r="E861" s="9">
        <v>2000</v>
      </c>
      <c r="F861" s="9">
        <v>2000</v>
      </c>
      <c r="G861" s="9">
        <v>1400</v>
      </c>
      <c r="I861" t="s">
        <v>694</v>
      </c>
      <c r="J861" t="s">
        <v>460</v>
      </c>
      <c r="K861" t="s">
        <v>11</v>
      </c>
      <c r="L861" t="str">
        <f>T("9791191562187")</f>
        <v>9791191562187</v>
      </c>
    </row>
    <row r="862" spans="1:12">
      <c r="A862" s="8">
        <v>44642.715787037036</v>
      </c>
      <c r="B862">
        <v>183417827</v>
      </c>
      <c r="C862" t="s">
        <v>719</v>
      </c>
      <c r="D862" t="s">
        <v>9</v>
      </c>
      <c r="E862" s="9">
        <v>1200</v>
      </c>
      <c r="F862" s="9">
        <v>1200</v>
      </c>
      <c r="G862">
        <v>840</v>
      </c>
      <c r="I862" t="s">
        <v>718</v>
      </c>
      <c r="J862" t="s">
        <v>588</v>
      </c>
      <c r="K862" t="s">
        <v>11</v>
      </c>
      <c r="L862" t="str">
        <f>T("9791190132503")</f>
        <v>9791190132503</v>
      </c>
    </row>
    <row r="863" spans="1:12">
      <c r="A863" s="8">
        <v>44642.715787037036</v>
      </c>
      <c r="B863">
        <v>170068101</v>
      </c>
      <c r="C863" t="s">
        <v>721</v>
      </c>
      <c r="D863" t="s">
        <v>9</v>
      </c>
      <c r="E863" s="9">
        <v>3800</v>
      </c>
      <c r="F863" s="9">
        <v>3800</v>
      </c>
      <c r="G863" s="9">
        <v>2660</v>
      </c>
      <c r="I863" t="s">
        <v>718</v>
      </c>
      <c r="J863" t="s">
        <v>588</v>
      </c>
      <c r="K863" t="s">
        <v>11</v>
      </c>
      <c r="L863" t="str">
        <f>T("9791190132473")</f>
        <v>9791190132473</v>
      </c>
    </row>
    <row r="864" spans="1:12">
      <c r="A864" s="8">
        <v>44642.715787037036</v>
      </c>
      <c r="B864">
        <v>170068100</v>
      </c>
      <c r="C864" t="s">
        <v>717</v>
      </c>
      <c r="D864" t="s">
        <v>9</v>
      </c>
      <c r="E864" s="9">
        <v>3800</v>
      </c>
      <c r="F864" s="9">
        <v>3800</v>
      </c>
      <c r="G864" s="9">
        <v>2660</v>
      </c>
      <c r="I864" t="s">
        <v>718</v>
      </c>
      <c r="J864" t="s">
        <v>588</v>
      </c>
      <c r="K864" t="s">
        <v>11</v>
      </c>
      <c r="L864" t="str">
        <f>T("9791190132480")</f>
        <v>9791190132480</v>
      </c>
    </row>
    <row r="865" spans="1:12">
      <c r="A865" s="8">
        <v>44642.72378472222</v>
      </c>
      <c r="B865">
        <v>287834730</v>
      </c>
      <c r="C865" t="s">
        <v>275</v>
      </c>
      <c r="D865" t="s">
        <v>9</v>
      </c>
      <c r="E865" s="9">
        <v>2000</v>
      </c>
      <c r="F865" s="9">
        <v>2000</v>
      </c>
      <c r="G865" s="9">
        <v>1400</v>
      </c>
      <c r="I865" t="s">
        <v>169</v>
      </c>
      <c r="J865" t="s">
        <v>460</v>
      </c>
      <c r="K865" t="s">
        <v>11</v>
      </c>
      <c r="L865" t="str">
        <f>T("9791191562019")</f>
        <v>9791191562019</v>
      </c>
    </row>
    <row r="866" spans="1:12">
      <c r="A866" s="8">
        <v>44642.779791666668</v>
      </c>
      <c r="B866">
        <v>290197934</v>
      </c>
      <c r="C866" t="s">
        <v>604</v>
      </c>
      <c r="D866" t="s">
        <v>9</v>
      </c>
      <c r="E866" s="9">
        <v>2000</v>
      </c>
      <c r="F866" s="9">
        <v>2000</v>
      </c>
      <c r="G866" s="9">
        <v>1400</v>
      </c>
      <c r="I866" t="s">
        <v>605</v>
      </c>
      <c r="J866" t="s">
        <v>460</v>
      </c>
      <c r="K866" t="s">
        <v>11</v>
      </c>
      <c r="L866" t="str">
        <f>T("9791191562163")</f>
        <v>9791191562163</v>
      </c>
    </row>
    <row r="867" spans="1:12">
      <c r="A867" s="8">
        <v>44642.779791666668</v>
      </c>
      <c r="B867">
        <v>290084502</v>
      </c>
      <c r="C867" t="s">
        <v>592</v>
      </c>
      <c r="D867" t="s">
        <v>9</v>
      </c>
      <c r="E867" s="9">
        <v>2500</v>
      </c>
      <c r="F867" s="9">
        <v>2500</v>
      </c>
      <c r="G867" s="9">
        <v>1750</v>
      </c>
      <c r="I867" t="s">
        <v>593</v>
      </c>
      <c r="J867" t="s">
        <v>460</v>
      </c>
      <c r="K867" t="s">
        <v>11</v>
      </c>
      <c r="L867" t="str">
        <f>T("9791191562125")</f>
        <v>9791191562125</v>
      </c>
    </row>
    <row r="868" spans="1:12">
      <c r="A868" s="8">
        <v>44642.779791666668</v>
      </c>
      <c r="B868">
        <v>291088925</v>
      </c>
      <c r="C868" t="s">
        <v>693</v>
      </c>
      <c r="D868" t="s">
        <v>9</v>
      </c>
      <c r="E868" s="9">
        <v>2000</v>
      </c>
      <c r="F868" s="9">
        <v>2000</v>
      </c>
      <c r="G868" s="9">
        <v>1400</v>
      </c>
      <c r="I868" t="s">
        <v>694</v>
      </c>
      <c r="J868" t="s">
        <v>460</v>
      </c>
      <c r="K868" t="s">
        <v>11</v>
      </c>
      <c r="L868" t="str">
        <f>T("9791191562187")</f>
        <v>9791191562187</v>
      </c>
    </row>
    <row r="869" spans="1:12">
      <c r="A869" s="8">
        <v>44642.779791666668</v>
      </c>
      <c r="B869">
        <v>290963607</v>
      </c>
      <c r="C869" t="s">
        <v>681</v>
      </c>
      <c r="D869" t="s">
        <v>9</v>
      </c>
      <c r="E869" s="9">
        <v>3500</v>
      </c>
      <c r="F869" s="9">
        <v>3500</v>
      </c>
      <c r="G869" s="9">
        <v>2450</v>
      </c>
      <c r="I869" t="s">
        <v>682</v>
      </c>
      <c r="J869" t="s">
        <v>460</v>
      </c>
      <c r="K869" t="s">
        <v>11</v>
      </c>
      <c r="L869" t="str">
        <f>T("9791191562132")</f>
        <v>9791191562132</v>
      </c>
    </row>
    <row r="870" spans="1:12">
      <c r="A870" s="8">
        <v>44642.786550925928</v>
      </c>
      <c r="B870">
        <v>291088925</v>
      </c>
      <c r="C870" t="s">
        <v>693</v>
      </c>
      <c r="D870" t="s">
        <v>9</v>
      </c>
      <c r="E870" s="9">
        <v>2000</v>
      </c>
      <c r="F870" s="9">
        <v>2000</v>
      </c>
      <c r="G870" s="9">
        <v>1400</v>
      </c>
      <c r="I870" t="s">
        <v>694</v>
      </c>
      <c r="J870" t="s">
        <v>460</v>
      </c>
      <c r="K870" t="s">
        <v>11</v>
      </c>
      <c r="L870" t="str">
        <f>T("9791191562187")</f>
        <v>9791191562187</v>
      </c>
    </row>
    <row r="871" spans="1:12">
      <c r="A871" s="8">
        <v>44642.787268518521</v>
      </c>
      <c r="B871">
        <v>291088925</v>
      </c>
      <c r="C871" t="s">
        <v>693</v>
      </c>
      <c r="D871" t="s">
        <v>9</v>
      </c>
      <c r="E871" s="9">
        <v>2000</v>
      </c>
      <c r="F871" s="9">
        <v>2000</v>
      </c>
      <c r="G871" s="9">
        <v>1400</v>
      </c>
      <c r="I871" t="s">
        <v>694</v>
      </c>
      <c r="J871" t="s">
        <v>460</v>
      </c>
      <c r="K871" t="s">
        <v>11</v>
      </c>
      <c r="L871" t="str">
        <f>T("9791191562187")</f>
        <v>9791191562187</v>
      </c>
    </row>
    <row r="872" spans="1:12">
      <c r="A872" s="8">
        <v>44642.787858796299</v>
      </c>
      <c r="B872">
        <v>290197934</v>
      </c>
      <c r="C872" t="s">
        <v>604</v>
      </c>
      <c r="D872" t="s">
        <v>9</v>
      </c>
      <c r="E872" s="9">
        <v>2000</v>
      </c>
      <c r="F872" s="9">
        <v>2000</v>
      </c>
      <c r="G872" s="9">
        <v>1400</v>
      </c>
      <c r="I872" t="s">
        <v>605</v>
      </c>
      <c r="J872" t="s">
        <v>460</v>
      </c>
      <c r="K872" t="s">
        <v>11</v>
      </c>
      <c r="L872" t="str">
        <f>T("9791191562163")</f>
        <v>9791191562163</v>
      </c>
    </row>
    <row r="873" spans="1:12">
      <c r="A873" s="8">
        <v>44642.79409722222</v>
      </c>
      <c r="B873">
        <v>286120715</v>
      </c>
      <c r="C873" t="s">
        <v>187</v>
      </c>
      <c r="D873" t="s">
        <v>9</v>
      </c>
      <c r="E873" s="9">
        <v>3200</v>
      </c>
      <c r="F873" s="9">
        <v>3200</v>
      </c>
      <c r="G873" s="9">
        <v>2240</v>
      </c>
      <c r="I873" t="s">
        <v>233</v>
      </c>
      <c r="J873" t="s">
        <v>588</v>
      </c>
      <c r="K873" t="s">
        <v>11</v>
      </c>
      <c r="L873" t="str">
        <f>T("9791166482649")</f>
        <v>9791166482649</v>
      </c>
    </row>
    <row r="874" spans="1:12">
      <c r="A874" s="8">
        <v>44642.812604166669</v>
      </c>
      <c r="B874">
        <v>291088925</v>
      </c>
      <c r="C874" t="s">
        <v>693</v>
      </c>
      <c r="D874" t="s">
        <v>9</v>
      </c>
      <c r="E874" s="9">
        <v>2000</v>
      </c>
      <c r="F874" s="9">
        <v>2000</v>
      </c>
      <c r="G874" s="9">
        <v>1400</v>
      </c>
      <c r="I874" t="s">
        <v>694</v>
      </c>
      <c r="J874" t="s">
        <v>460</v>
      </c>
      <c r="K874" t="s">
        <v>11</v>
      </c>
      <c r="L874" t="str">
        <f>T("9791191562187")</f>
        <v>9791191562187</v>
      </c>
    </row>
    <row r="875" spans="1:12">
      <c r="A875" s="8">
        <v>44642.835023148145</v>
      </c>
      <c r="B875">
        <v>291088925</v>
      </c>
      <c r="C875" t="s">
        <v>693</v>
      </c>
      <c r="D875" t="s">
        <v>9</v>
      </c>
      <c r="E875" s="9">
        <v>2000</v>
      </c>
      <c r="F875" s="9">
        <v>2000</v>
      </c>
      <c r="G875" s="9">
        <v>1400</v>
      </c>
      <c r="I875" t="s">
        <v>694</v>
      </c>
      <c r="J875" t="s">
        <v>460</v>
      </c>
      <c r="K875" t="s">
        <v>11</v>
      </c>
      <c r="L875" t="str">
        <f>T("9791191562187")</f>
        <v>9791191562187</v>
      </c>
    </row>
    <row r="876" spans="1:12">
      <c r="A876" s="8">
        <v>44642.835023148145</v>
      </c>
      <c r="B876">
        <v>290197934</v>
      </c>
      <c r="C876" t="s">
        <v>604</v>
      </c>
      <c r="D876" t="s">
        <v>9</v>
      </c>
      <c r="E876" s="9">
        <v>2000</v>
      </c>
      <c r="F876" s="9">
        <v>2000</v>
      </c>
      <c r="G876" s="9">
        <v>1400</v>
      </c>
      <c r="I876" t="s">
        <v>605</v>
      </c>
      <c r="J876" t="s">
        <v>460</v>
      </c>
      <c r="K876" t="s">
        <v>11</v>
      </c>
      <c r="L876" t="str">
        <f>T("9791191562163")</f>
        <v>9791191562163</v>
      </c>
    </row>
    <row r="877" spans="1:12">
      <c r="A877" s="8">
        <v>44642.840081018519</v>
      </c>
      <c r="B877">
        <v>291088925</v>
      </c>
      <c r="C877" t="s">
        <v>693</v>
      </c>
      <c r="D877" t="s">
        <v>9</v>
      </c>
      <c r="E877" s="9">
        <v>2000</v>
      </c>
      <c r="F877" s="9">
        <v>2000</v>
      </c>
      <c r="G877" s="9">
        <v>1400</v>
      </c>
      <c r="I877" t="s">
        <v>694</v>
      </c>
      <c r="J877" t="s">
        <v>460</v>
      </c>
      <c r="K877" t="s">
        <v>11</v>
      </c>
      <c r="L877" t="str">
        <f>T("9791191562187")</f>
        <v>9791191562187</v>
      </c>
    </row>
    <row r="878" spans="1:12">
      <c r="A878" s="8">
        <v>44642.840381944443</v>
      </c>
      <c r="B878">
        <v>287834730</v>
      </c>
      <c r="C878" t="s">
        <v>275</v>
      </c>
      <c r="D878" t="s">
        <v>9</v>
      </c>
      <c r="E878" s="9">
        <v>2000</v>
      </c>
      <c r="F878" s="9">
        <v>2000</v>
      </c>
      <c r="G878" s="9">
        <v>1400</v>
      </c>
      <c r="I878" t="s">
        <v>169</v>
      </c>
      <c r="J878" t="s">
        <v>460</v>
      </c>
      <c r="K878" t="s">
        <v>11</v>
      </c>
      <c r="L878" t="str">
        <f>T("9791191562019")</f>
        <v>9791191562019</v>
      </c>
    </row>
    <row r="879" spans="1:12">
      <c r="A879" s="8">
        <v>44642.846597222226</v>
      </c>
      <c r="B879">
        <v>291088925</v>
      </c>
      <c r="C879" t="s">
        <v>693</v>
      </c>
      <c r="D879" t="s">
        <v>9</v>
      </c>
      <c r="E879" s="9">
        <v>2000</v>
      </c>
      <c r="F879" s="9">
        <v>2000</v>
      </c>
      <c r="G879" s="9">
        <v>1400</v>
      </c>
      <c r="I879" t="s">
        <v>694</v>
      </c>
      <c r="J879" t="s">
        <v>460</v>
      </c>
      <c r="K879" t="s">
        <v>11</v>
      </c>
      <c r="L879" t="str">
        <f>T("9791191562187")</f>
        <v>9791191562187</v>
      </c>
    </row>
    <row r="880" spans="1:12">
      <c r="A880" s="8">
        <v>44642.848599537036</v>
      </c>
      <c r="B880">
        <v>285885492</v>
      </c>
      <c r="C880" t="s">
        <v>83</v>
      </c>
      <c r="D880" t="s">
        <v>9</v>
      </c>
      <c r="E880" s="9">
        <v>3400</v>
      </c>
      <c r="F880" s="9">
        <v>3400</v>
      </c>
      <c r="G880" s="9">
        <v>2380</v>
      </c>
      <c r="I880" t="s">
        <v>68</v>
      </c>
      <c r="J880" t="s">
        <v>617</v>
      </c>
      <c r="K880" t="s">
        <v>11</v>
      </c>
      <c r="L880" t="str">
        <f>T("9791166482632")</f>
        <v>9791166482632</v>
      </c>
    </row>
    <row r="881" spans="1:12">
      <c r="A881" s="8">
        <v>44642.851018518515</v>
      </c>
      <c r="B881">
        <v>291088925</v>
      </c>
      <c r="C881" t="s">
        <v>693</v>
      </c>
      <c r="D881" t="s">
        <v>9</v>
      </c>
      <c r="E881" s="9">
        <v>2000</v>
      </c>
      <c r="F881" s="9">
        <v>2000</v>
      </c>
      <c r="G881" s="9">
        <v>1400</v>
      </c>
      <c r="I881" t="s">
        <v>694</v>
      </c>
      <c r="J881" t="s">
        <v>460</v>
      </c>
      <c r="K881" t="s">
        <v>11</v>
      </c>
      <c r="L881" t="str">
        <f>T("9791191562187")</f>
        <v>9791191562187</v>
      </c>
    </row>
    <row r="882" spans="1:12">
      <c r="A882" s="8">
        <v>44642.861990740741</v>
      </c>
      <c r="B882">
        <v>291088925</v>
      </c>
      <c r="C882" t="s">
        <v>693</v>
      </c>
      <c r="D882" t="s">
        <v>9</v>
      </c>
      <c r="E882" s="9">
        <v>2000</v>
      </c>
      <c r="F882" s="9">
        <v>2000</v>
      </c>
      <c r="G882" s="9">
        <v>1400</v>
      </c>
      <c r="I882" t="s">
        <v>694</v>
      </c>
      <c r="J882" t="s">
        <v>460</v>
      </c>
      <c r="K882" t="s">
        <v>11</v>
      </c>
      <c r="L882" t="str">
        <f>T("9791191562187")</f>
        <v>9791191562187</v>
      </c>
    </row>
    <row r="883" spans="1:12">
      <c r="A883" s="8">
        <v>44642.861990740741</v>
      </c>
      <c r="B883">
        <v>290084502</v>
      </c>
      <c r="C883" t="s">
        <v>592</v>
      </c>
      <c r="D883" t="s">
        <v>9</v>
      </c>
      <c r="E883" s="9">
        <v>2500</v>
      </c>
      <c r="F883" s="9">
        <v>2500</v>
      </c>
      <c r="G883" s="9">
        <v>1750</v>
      </c>
      <c r="I883" t="s">
        <v>593</v>
      </c>
      <c r="J883" t="s">
        <v>460</v>
      </c>
      <c r="K883" t="s">
        <v>11</v>
      </c>
      <c r="L883" t="str">
        <f>T("9791191562125")</f>
        <v>9791191562125</v>
      </c>
    </row>
    <row r="884" spans="1:12">
      <c r="A884" s="8">
        <v>44642.871874999997</v>
      </c>
      <c r="B884">
        <v>291088925</v>
      </c>
      <c r="C884" t="s">
        <v>693</v>
      </c>
      <c r="D884" t="s">
        <v>9</v>
      </c>
      <c r="E884" s="9">
        <v>2000</v>
      </c>
      <c r="F884" s="9">
        <v>2000</v>
      </c>
      <c r="G884" s="9">
        <v>1400</v>
      </c>
      <c r="I884" t="s">
        <v>694</v>
      </c>
      <c r="J884" t="s">
        <v>460</v>
      </c>
      <c r="K884" t="s">
        <v>11</v>
      </c>
      <c r="L884" t="str">
        <f>T("9791191562187")</f>
        <v>9791191562187</v>
      </c>
    </row>
    <row r="885" spans="1:12">
      <c r="A885" s="8">
        <v>44642.890844907408</v>
      </c>
      <c r="B885">
        <v>291088925</v>
      </c>
      <c r="C885" t="s">
        <v>693</v>
      </c>
      <c r="D885" t="s">
        <v>9</v>
      </c>
      <c r="E885" s="9">
        <v>2000</v>
      </c>
      <c r="F885" s="9">
        <v>2000</v>
      </c>
      <c r="G885" s="9">
        <v>1400</v>
      </c>
      <c r="I885" t="s">
        <v>694</v>
      </c>
      <c r="J885" t="s">
        <v>460</v>
      </c>
      <c r="K885" t="s">
        <v>11</v>
      </c>
      <c r="L885" t="str">
        <f>T("9791191562187")</f>
        <v>9791191562187</v>
      </c>
    </row>
    <row r="886" spans="1:12">
      <c r="A886" s="8">
        <v>44642.891203703701</v>
      </c>
      <c r="B886">
        <v>291088925</v>
      </c>
      <c r="C886" t="s">
        <v>693</v>
      </c>
      <c r="D886" t="s">
        <v>9</v>
      </c>
      <c r="E886" s="9">
        <v>2000</v>
      </c>
      <c r="F886" s="9">
        <v>2000</v>
      </c>
      <c r="G886" s="9">
        <v>1400</v>
      </c>
      <c r="I886" t="s">
        <v>694</v>
      </c>
      <c r="J886" t="s">
        <v>460</v>
      </c>
      <c r="K886" t="s">
        <v>11</v>
      </c>
      <c r="L886" t="str">
        <f>T("9791191562187")</f>
        <v>9791191562187</v>
      </c>
    </row>
    <row r="887" spans="1:12">
      <c r="A887" s="8">
        <v>44642.895995370367</v>
      </c>
      <c r="B887">
        <v>290197934</v>
      </c>
      <c r="C887" t="s">
        <v>604</v>
      </c>
      <c r="D887" t="s">
        <v>9</v>
      </c>
      <c r="E887" s="9">
        <v>2000</v>
      </c>
      <c r="F887" s="9">
        <v>2000</v>
      </c>
      <c r="G887" s="9">
        <v>1400</v>
      </c>
      <c r="I887" t="s">
        <v>605</v>
      </c>
      <c r="J887" t="s">
        <v>460</v>
      </c>
      <c r="K887" t="s">
        <v>11</v>
      </c>
      <c r="L887" t="str">
        <f>T("9791191562163")</f>
        <v>9791191562163</v>
      </c>
    </row>
    <row r="888" spans="1:12">
      <c r="A888" s="8">
        <v>44642.90525462963</v>
      </c>
      <c r="B888">
        <v>291088925</v>
      </c>
      <c r="C888" t="s">
        <v>693</v>
      </c>
      <c r="D888" t="s">
        <v>9</v>
      </c>
      <c r="E888" s="9">
        <v>2000</v>
      </c>
      <c r="F888" s="9">
        <v>2000</v>
      </c>
      <c r="G888" s="9">
        <v>1400</v>
      </c>
      <c r="I888" t="s">
        <v>694</v>
      </c>
      <c r="J888" t="s">
        <v>460</v>
      </c>
      <c r="K888" t="s">
        <v>11</v>
      </c>
      <c r="L888" t="str">
        <f t="shared" ref="L888:L894" si="7">T("9791191562187")</f>
        <v>9791191562187</v>
      </c>
    </row>
    <row r="889" spans="1:12">
      <c r="A889" s="8">
        <v>44642.91302083333</v>
      </c>
      <c r="B889">
        <v>291088925</v>
      </c>
      <c r="C889" t="s">
        <v>693</v>
      </c>
      <c r="D889" t="s">
        <v>9</v>
      </c>
      <c r="E889" s="9">
        <v>2000</v>
      </c>
      <c r="F889" s="9">
        <v>2000</v>
      </c>
      <c r="G889" s="9">
        <v>1400</v>
      </c>
      <c r="I889" t="s">
        <v>694</v>
      </c>
      <c r="J889" t="s">
        <v>460</v>
      </c>
      <c r="K889" t="s">
        <v>11</v>
      </c>
      <c r="L889" t="str">
        <f t="shared" si="7"/>
        <v>9791191562187</v>
      </c>
    </row>
    <row r="890" spans="1:12">
      <c r="A890" s="8">
        <v>44642.921331018515</v>
      </c>
      <c r="B890">
        <v>291088925</v>
      </c>
      <c r="C890" t="s">
        <v>693</v>
      </c>
      <c r="D890" t="s">
        <v>9</v>
      </c>
      <c r="E890" s="9">
        <v>2000</v>
      </c>
      <c r="F890" s="9">
        <v>2000</v>
      </c>
      <c r="G890" s="9">
        <v>1400</v>
      </c>
      <c r="I890" t="s">
        <v>694</v>
      </c>
      <c r="J890" t="s">
        <v>460</v>
      </c>
      <c r="K890" t="s">
        <v>11</v>
      </c>
      <c r="L890" t="str">
        <f t="shared" si="7"/>
        <v>9791191562187</v>
      </c>
    </row>
    <row r="891" spans="1:12">
      <c r="A891" s="8">
        <v>44642.921666666669</v>
      </c>
      <c r="B891">
        <v>291088925</v>
      </c>
      <c r="C891" t="s">
        <v>693</v>
      </c>
      <c r="D891" t="s">
        <v>9</v>
      </c>
      <c r="E891" s="9">
        <v>2000</v>
      </c>
      <c r="F891" s="9">
        <v>2000</v>
      </c>
      <c r="G891" s="9">
        <v>1400</v>
      </c>
      <c r="I891" t="s">
        <v>694</v>
      </c>
      <c r="J891" t="s">
        <v>460</v>
      </c>
      <c r="K891" t="s">
        <v>11</v>
      </c>
      <c r="L891" t="str">
        <f t="shared" si="7"/>
        <v>9791191562187</v>
      </c>
    </row>
    <row r="892" spans="1:12">
      <c r="A892" s="8">
        <v>44642.929097222222</v>
      </c>
      <c r="B892">
        <v>291088925</v>
      </c>
      <c r="C892" t="s">
        <v>693</v>
      </c>
      <c r="D892" t="s">
        <v>9</v>
      </c>
      <c r="E892" s="9">
        <v>2000</v>
      </c>
      <c r="F892" s="9">
        <v>2000</v>
      </c>
      <c r="G892" s="9">
        <v>1400</v>
      </c>
      <c r="I892" t="s">
        <v>694</v>
      </c>
      <c r="J892" t="s">
        <v>460</v>
      </c>
      <c r="K892" t="s">
        <v>11</v>
      </c>
      <c r="L892" t="str">
        <f t="shared" si="7"/>
        <v>9791191562187</v>
      </c>
    </row>
    <row r="893" spans="1:12">
      <c r="A893" s="8">
        <v>44642.942199074074</v>
      </c>
      <c r="B893">
        <v>291088925</v>
      </c>
      <c r="C893" t="s">
        <v>693</v>
      </c>
      <c r="D893" t="s">
        <v>9</v>
      </c>
      <c r="E893" s="9">
        <v>2000</v>
      </c>
      <c r="F893" s="9">
        <v>2000</v>
      </c>
      <c r="G893" s="9">
        <v>1400</v>
      </c>
      <c r="I893" t="s">
        <v>694</v>
      </c>
      <c r="J893" t="s">
        <v>460</v>
      </c>
      <c r="K893" t="s">
        <v>11</v>
      </c>
      <c r="L893" t="str">
        <f t="shared" si="7"/>
        <v>9791191562187</v>
      </c>
    </row>
    <row r="894" spans="1:12">
      <c r="A894" s="8">
        <v>44642.945729166669</v>
      </c>
      <c r="B894">
        <v>291088925</v>
      </c>
      <c r="C894" t="s">
        <v>693</v>
      </c>
      <c r="D894" t="s">
        <v>9</v>
      </c>
      <c r="E894" s="9">
        <v>2000</v>
      </c>
      <c r="F894" s="9">
        <v>2000</v>
      </c>
      <c r="G894" s="9">
        <v>1400</v>
      </c>
      <c r="I894" t="s">
        <v>694</v>
      </c>
      <c r="J894" t="s">
        <v>460</v>
      </c>
      <c r="K894" t="s">
        <v>11</v>
      </c>
      <c r="L894" t="str">
        <f t="shared" si="7"/>
        <v>9791191562187</v>
      </c>
    </row>
    <row r="895" spans="1:12">
      <c r="A895" s="8">
        <v>44642.95521990741</v>
      </c>
      <c r="B895">
        <v>290084502</v>
      </c>
      <c r="C895" t="s">
        <v>592</v>
      </c>
      <c r="D895" t="s">
        <v>9</v>
      </c>
      <c r="E895" s="9">
        <v>2500</v>
      </c>
      <c r="F895" s="9">
        <v>2500</v>
      </c>
      <c r="G895" s="9">
        <v>1750</v>
      </c>
      <c r="I895" t="s">
        <v>593</v>
      </c>
      <c r="J895" t="s">
        <v>460</v>
      </c>
      <c r="K895" t="s">
        <v>11</v>
      </c>
      <c r="L895" t="str">
        <f>T("9791191562125")</f>
        <v>9791191562125</v>
      </c>
    </row>
    <row r="896" spans="1:12">
      <c r="A896" s="8">
        <v>44642.957291666666</v>
      </c>
      <c r="B896">
        <v>291088925</v>
      </c>
      <c r="C896" t="s">
        <v>693</v>
      </c>
      <c r="D896" t="s">
        <v>9</v>
      </c>
      <c r="E896" s="9">
        <v>2000</v>
      </c>
      <c r="F896" s="9">
        <v>2000</v>
      </c>
      <c r="G896" s="9">
        <v>1400</v>
      </c>
      <c r="I896" t="s">
        <v>694</v>
      </c>
      <c r="J896" t="s">
        <v>460</v>
      </c>
      <c r="K896" t="s">
        <v>11</v>
      </c>
      <c r="L896" t="str">
        <f t="shared" ref="L896:L911" si="8">T("9791191562187")</f>
        <v>9791191562187</v>
      </c>
    </row>
    <row r="897" spans="1:12">
      <c r="A897" s="8">
        <v>44642.974212962959</v>
      </c>
      <c r="B897">
        <v>291088925</v>
      </c>
      <c r="C897" t="s">
        <v>693</v>
      </c>
      <c r="D897" t="s">
        <v>9</v>
      </c>
      <c r="E897" s="9">
        <v>2000</v>
      </c>
      <c r="F897" s="9">
        <v>2000</v>
      </c>
      <c r="G897" s="9">
        <v>1400</v>
      </c>
      <c r="I897" t="s">
        <v>694</v>
      </c>
      <c r="J897" t="s">
        <v>460</v>
      </c>
      <c r="K897" t="s">
        <v>11</v>
      </c>
      <c r="L897" t="str">
        <f t="shared" si="8"/>
        <v>9791191562187</v>
      </c>
    </row>
    <row r="898" spans="1:12">
      <c r="A898" s="8">
        <v>44642.988587962966</v>
      </c>
      <c r="B898">
        <v>291088925</v>
      </c>
      <c r="C898" t="s">
        <v>693</v>
      </c>
      <c r="D898" t="s">
        <v>9</v>
      </c>
      <c r="E898" s="9">
        <v>2000</v>
      </c>
      <c r="F898" s="9">
        <v>2000</v>
      </c>
      <c r="G898" s="9">
        <v>1400</v>
      </c>
      <c r="I898" t="s">
        <v>694</v>
      </c>
      <c r="J898" t="s">
        <v>460</v>
      </c>
      <c r="K898" t="s">
        <v>11</v>
      </c>
      <c r="L898" t="str">
        <f t="shared" si="8"/>
        <v>9791191562187</v>
      </c>
    </row>
    <row r="899" spans="1:12">
      <c r="A899" s="8">
        <v>44642.99628472222</v>
      </c>
      <c r="B899">
        <v>291088925</v>
      </c>
      <c r="C899" t="s">
        <v>693</v>
      </c>
      <c r="D899" t="s">
        <v>9</v>
      </c>
      <c r="E899" s="9">
        <v>2000</v>
      </c>
      <c r="F899" s="9">
        <v>2000</v>
      </c>
      <c r="G899" s="9">
        <v>1400</v>
      </c>
      <c r="I899" t="s">
        <v>694</v>
      </c>
      <c r="J899" t="s">
        <v>460</v>
      </c>
      <c r="K899" t="s">
        <v>11</v>
      </c>
      <c r="L899" t="str">
        <f t="shared" si="8"/>
        <v>9791191562187</v>
      </c>
    </row>
    <row r="900" spans="1:12">
      <c r="A900" s="8">
        <v>44643.002175925925</v>
      </c>
      <c r="B900">
        <v>291088925</v>
      </c>
      <c r="C900" t="s">
        <v>693</v>
      </c>
      <c r="D900" t="s">
        <v>9</v>
      </c>
      <c r="E900" s="9">
        <v>2000</v>
      </c>
      <c r="F900" s="9">
        <v>2000</v>
      </c>
      <c r="G900" s="9">
        <v>1400</v>
      </c>
      <c r="I900" t="s">
        <v>694</v>
      </c>
      <c r="J900" t="s">
        <v>460</v>
      </c>
      <c r="K900" t="s">
        <v>11</v>
      </c>
      <c r="L900" t="str">
        <f t="shared" si="8"/>
        <v>9791191562187</v>
      </c>
    </row>
    <row r="901" spans="1:12">
      <c r="A901" s="8">
        <v>44643.005682870367</v>
      </c>
      <c r="B901">
        <v>291088925</v>
      </c>
      <c r="C901" t="s">
        <v>693</v>
      </c>
      <c r="D901" t="s">
        <v>9</v>
      </c>
      <c r="E901" s="9">
        <v>2000</v>
      </c>
      <c r="F901" s="9">
        <v>2000</v>
      </c>
      <c r="G901" s="9">
        <v>1400</v>
      </c>
      <c r="I901" t="s">
        <v>694</v>
      </c>
      <c r="J901" t="s">
        <v>460</v>
      </c>
      <c r="K901" t="s">
        <v>11</v>
      </c>
      <c r="L901" t="str">
        <f t="shared" si="8"/>
        <v>9791191562187</v>
      </c>
    </row>
    <row r="902" spans="1:12">
      <c r="A902" s="8">
        <v>44643.005995370368</v>
      </c>
      <c r="B902">
        <v>291088925</v>
      </c>
      <c r="C902" t="s">
        <v>693</v>
      </c>
      <c r="D902" t="s">
        <v>9</v>
      </c>
      <c r="E902" s="9">
        <v>2000</v>
      </c>
      <c r="F902" s="9">
        <v>2000</v>
      </c>
      <c r="G902" s="9">
        <v>1400</v>
      </c>
      <c r="I902" t="s">
        <v>694</v>
      </c>
      <c r="J902" t="s">
        <v>460</v>
      </c>
      <c r="K902" t="s">
        <v>11</v>
      </c>
      <c r="L902" t="str">
        <f t="shared" si="8"/>
        <v>9791191562187</v>
      </c>
    </row>
    <row r="903" spans="1:12">
      <c r="A903" s="8">
        <v>44643.010081018518</v>
      </c>
      <c r="B903">
        <v>291088925</v>
      </c>
      <c r="C903" t="s">
        <v>693</v>
      </c>
      <c r="D903" t="s">
        <v>9</v>
      </c>
      <c r="E903" s="9">
        <v>2000</v>
      </c>
      <c r="F903" s="9">
        <v>2000</v>
      </c>
      <c r="G903" s="9">
        <v>1400</v>
      </c>
      <c r="I903" t="s">
        <v>694</v>
      </c>
      <c r="J903" t="s">
        <v>460</v>
      </c>
      <c r="K903" t="s">
        <v>11</v>
      </c>
      <c r="L903" t="str">
        <f t="shared" si="8"/>
        <v>9791191562187</v>
      </c>
    </row>
    <row r="904" spans="1:12">
      <c r="A904" s="8">
        <v>44643.010520833333</v>
      </c>
      <c r="B904">
        <v>291088925</v>
      </c>
      <c r="C904" t="s">
        <v>693</v>
      </c>
      <c r="D904" t="s">
        <v>9</v>
      </c>
      <c r="E904" s="9">
        <v>2000</v>
      </c>
      <c r="F904" s="9">
        <v>2000</v>
      </c>
      <c r="G904" s="9">
        <v>1400</v>
      </c>
      <c r="I904" t="s">
        <v>694</v>
      </c>
      <c r="J904" t="s">
        <v>460</v>
      </c>
      <c r="K904" t="s">
        <v>11</v>
      </c>
      <c r="L904" t="str">
        <f t="shared" si="8"/>
        <v>9791191562187</v>
      </c>
    </row>
    <row r="905" spans="1:12">
      <c r="A905" s="8">
        <v>44643.011817129627</v>
      </c>
      <c r="B905">
        <v>291088925</v>
      </c>
      <c r="C905" t="s">
        <v>693</v>
      </c>
      <c r="D905" t="s">
        <v>9</v>
      </c>
      <c r="E905" s="9">
        <v>2000</v>
      </c>
      <c r="F905" s="9">
        <v>2000</v>
      </c>
      <c r="G905" s="9">
        <v>1400</v>
      </c>
      <c r="I905" t="s">
        <v>694</v>
      </c>
      <c r="J905" t="s">
        <v>460</v>
      </c>
      <c r="K905" t="s">
        <v>11</v>
      </c>
      <c r="L905" t="str">
        <f t="shared" si="8"/>
        <v>9791191562187</v>
      </c>
    </row>
    <row r="906" spans="1:12">
      <c r="A906" s="8">
        <v>44643.012303240743</v>
      </c>
      <c r="B906">
        <v>291088925</v>
      </c>
      <c r="C906" t="s">
        <v>693</v>
      </c>
      <c r="D906" t="s">
        <v>9</v>
      </c>
      <c r="E906" s="9">
        <v>2000</v>
      </c>
      <c r="F906" s="9">
        <v>2000</v>
      </c>
      <c r="G906" s="9">
        <v>1400</v>
      </c>
      <c r="I906" t="s">
        <v>694</v>
      </c>
      <c r="J906" t="s">
        <v>460</v>
      </c>
      <c r="K906" t="s">
        <v>11</v>
      </c>
      <c r="L906" t="str">
        <f t="shared" si="8"/>
        <v>9791191562187</v>
      </c>
    </row>
    <row r="907" spans="1:12">
      <c r="A907" s="8">
        <v>44643.013159722221</v>
      </c>
      <c r="B907">
        <v>291088925</v>
      </c>
      <c r="C907" t="s">
        <v>693</v>
      </c>
      <c r="D907" t="s">
        <v>9</v>
      </c>
      <c r="E907" s="9">
        <v>2000</v>
      </c>
      <c r="F907" s="9">
        <v>2000</v>
      </c>
      <c r="G907" s="9">
        <v>1400</v>
      </c>
      <c r="I907" t="s">
        <v>694</v>
      </c>
      <c r="J907" t="s">
        <v>460</v>
      </c>
      <c r="K907" t="s">
        <v>11</v>
      </c>
      <c r="L907" t="str">
        <f t="shared" si="8"/>
        <v>9791191562187</v>
      </c>
    </row>
    <row r="908" spans="1:12">
      <c r="A908" s="8">
        <v>44643.016041666669</v>
      </c>
      <c r="B908">
        <v>291088925</v>
      </c>
      <c r="C908" t="s">
        <v>693</v>
      </c>
      <c r="D908" t="s">
        <v>9</v>
      </c>
      <c r="E908" s="9">
        <v>2000</v>
      </c>
      <c r="F908" s="9">
        <v>2000</v>
      </c>
      <c r="G908" s="9">
        <v>1400</v>
      </c>
      <c r="I908" t="s">
        <v>694</v>
      </c>
      <c r="J908" t="s">
        <v>460</v>
      </c>
      <c r="K908" t="s">
        <v>11</v>
      </c>
      <c r="L908" t="str">
        <f t="shared" si="8"/>
        <v>9791191562187</v>
      </c>
    </row>
    <row r="909" spans="1:12">
      <c r="A909" s="8">
        <v>44643.020613425928</v>
      </c>
      <c r="B909">
        <v>291088925</v>
      </c>
      <c r="C909" t="s">
        <v>693</v>
      </c>
      <c r="D909" t="s">
        <v>9</v>
      </c>
      <c r="E909" s="9">
        <v>2000</v>
      </c>
      <c r="F909" s="9">
        <v>2000</v>
      </c>
      <c r="G909" s="9">
        <v>1400</v>
      </c>
      <c r="I909" t="s">
        <v>694</v>
      </c>
      <c r="J909" t="s">
        <v>460</v>
      </c>
      <c r="K909" t="s">
        <v>11</v>
      </c>
      <c r="L909" t="str">
        <f t="shared" si="8"/>
        <v>9791191562187</v>
      </c>
    </row>
    <row r="910" spans="1:12">
      <c r="A910" s="8">
        <v>44643.029710648145</v>
      </c>
      <c r="B910">
        <v>291088925</v>
      </c>
      <c r="C910" t="s">
        <v>693</v>
      </c>
      <c r="D910" t="s">
        <v>9</v>
      </c>
      <c r="E910" s="9">
        <v>2000</v>
      </c>
      <c r="F910" s="9">
        <v>2000</v>
      </c>
      <c r="G910" s="9">
        <v>1400</v>
      </c>
      <c r="I910" t="s">
        <v>694</v>
      </c>
      <c r="J910" t="s">
        <v>460</v>
      </c>
      <c r="K910" t="s">
        <v>11</v>
      </c>
      <c r="L910" t="str">
        <f t="shared" si="8"/>
        <v>9791191562187</v>
      </c>
    </row>
    <row r="911" spans="1:12">
      <c r="A911" s="8">
        <v>44643.031192129631</v>
      </c>
      <c r="B911">
        <v>291088925</v>
      </c>
      <c r="C911" t="s">
        <v>693</v>
      </c>
      <c r="D911" t="s">
        <v>9</v>
      </c>
      <c r="E911" s="9">
        <v>2000</v>
      </c>
      <c r="F911" s="9">
        <v>2000</v>
      </c>
      <c r="G911" s="9">
        <v>1400</v>
      </c>
      <c r="I911" t="s">
        <v>694</v>
      </c>
      <c r="J911" t="s">
        <v>460</v>
      </c>
      <c r="K911" t="s">
        <v>11</v>
      </c>
      <c r="L911" t="str">
        <f t="shared" si="8"/>
        <v>9791191562187</v>
      </c>
    </row>
    <row r="912" spans="1:12">
      <c r="A912" s="8">
        <v>44643.031469907408</v>
      </c>
      <c r="B912">
        <v>289315562</v>
      </c>
      <c r="C912" t="s">
        <v>478</v>
      </c>
      <c r="D912" t="s">
        <v>9</v>
      </c>
      <c r="E912" s="9">
        <v>3000</v>
      </c>
      <c r="F912" s="9">
        <v>3000</v>
      </c>
      <c r="G912" s="9">
        <v>2100</v>
      </c>
      <c r="I912" t="s">
        <v>454</v>
      </c>
      <c r="J912" t="s">
        <v>460</v>
      </c>
      <c r="K912" t="s">
        <v>11</v>
      </c>
      <c r="L912" t="str">
        <f>T("9791191562101")</f>
        <v>9791191562101</v>
      </c>
    </row>
    <row r="913" spans="1:12">
      <c r="A913" s="8">
        <v>44643.03466435185</v>
      </c>
      <c r="B913">
        <v>291088925</v>
      </c>
      <c r="C913" t="s">
        <v>693</v>
      </c>
      <c r="D913" t="s">
        <v>9</v>
      </c>
      <c r="E913" s="9">
        <v>2000</v>
      </c>
      <c r="F913" s="9">
        <v>2000</v>
      </c>
      <c r="G913" s="9">
        <v>1400</v>
      </c>
      <c r="I913" t="s">
        <v>694</v>
      </c>
      <c r="J913" t="s">
        <v>460</v>
      </c>
      <c r="K913" t="s">
        <v>11</v>
      </c>
      <c r="L913" t="str">
        <f>T("9791191562187")</f>
        <v>9791191562187</v>
      </c>
    </row>
    <row r="914" spans="1:12">
      <c r="A914" s="8">
        <v>44643.035833333335</v>
      </c>
      <c r="B914">
        <v>291088925</v>
      </c>
      <c r="C914" t="s">
        <v>693</v>
      </c>
      <c r="D914" t="s">
        <v>9</v>
      </c>
      <c r="E914" s="9">
        <v>2000</v>
      </c>
      <c r="F914" s="9">
        <v>2000</v>
      </c>
      <c r="G914" s="9">
        <v>1400</v>
      </c>
      <c r="I914" t="s">
        <v>694</v>
      </c>
      <c r="J914" t="s">
        <v>460</v>
      </c>
      <c r="K914" t="s">
        <v>11</v>
      </c>
      <c r="L914" t="str">
        <f>T("9791191562187")</f>
        <v>9791191562187</v>
      </c>
    </row>
    <row r="915" spans="1:12">
      <c r="A915" s="8">
        <v>44643.039386574077</v>
      </c>
      <c r="B915">
        <v>291088925</v>
      </c>
      <c r="C915" t="s">
        <v>693</v>
      </c>
      <c r="D915" t="s">
        <v>9</v>
      </c>
      <c r="E915" s="9">
        <v>2000</v>
      </c>
      <c r="F915" s="9">
        <v>2000</v>
      </c>
      <c r="G915" s="9">
        <v>1400</v>
      </c>
      <c r="I915" t="s">
        <v>694</v>
      </c>
      <c r="J915" t="s">
        <v>460</v>
      </c>
      <c r="K915" t="s">
        <v>11</v>
      </c>
      <c r="L915" t="str">
        <f>T("9791191562187")</f>
        <v>9791191562187</v>
      </c>
    </row>
    <row r="916" spans="1:12">
      <c r="A916" s="8">
        <v>44643.057453703703</v>
      </c>
      <c r="B916">
        <v>290963630</v>
      </c>
      <c r="C916" t="s">
        <v>722</v>
      </c>
      <c r="D916" t="s">
        <v>9</v>
      </c>
      <c r="E916" s="9">
        <v>3200</v>
      </c>
      <c r="F916" s="9">
        <v>3200</v>
      </c>
      <c r="G916" s="9">
        <v>2240</v>
      </c>
      <c r="I916" t="s">
        <v>14</v>
      </c>
      <c r="J916" t="s">
        <v>11</v>
      </c>
      <c r="K916" t="s">
        <v>11</v>
      </c>
      <c r="L916" t="str">
        <f>T("9791137602816")</f>
        <v>9791137602816</v>
      </c>
    </row>
    <row r="917" spans="1:12">
      <c r="A917" s="8">
        <v>44643.192523148151</v>
      </c>
      <c r="B917">
        <v>246278094</v>
      </c>
      <c r="C917" t="s">
        <v>723</v>
      </c>
      <c r="D917" t="s">
        <v>9</v>
      </c>
      <c r="E917" s="9">
        <v>3200</v>
      </c>
      <c r="F917" s="9">
        <v>3200</v>
      </c>
      <c r="G917" s="9">
        <v>2240</v>
      </c>
      <c r="I917" t="s">
        <v>14</v>
      </c>
      <c r="J917" t="s">
        <v>11</v>
      </c>
      <c r="K917" t="s">
        <v>11</v>
      </c>
      <c r="L917" t="str">
        <f>T("9791188630172")</f>
        <v>9791188630172</v>
      </c>
    </row>
    <row r="918" spans="1:12">
      <c r="A918" s="8">
        <v>44643.304872685185</v>
      </c>
      <c r="B918">
        <v>291088925</v>
      </c>
      <c r="C918" t="s">
        <v>693</v>
      </c>
      <c r="D918" t="s">
        <v>9</v>
      </c>
      <c r="E918" s="9">
        <v>2000</v>
      </c>
      <c r="F918" s="9">
        <v>2000</v>
      </c>
      <c r="G918" s="9">
        <v>1400</v>
      </c>
      <c r="I918" t="s">
        <v>694</v>
      </c>
      <c r="J918" t="s">
        <v>460</v>
      </c>
      <c r="K918" t="s">
        <v>11</v>
      </c>
      <c r="L918" t="str">
        <f>T("9791191562187")</f>
        <v>9791191562187</v>
      </c>
    </row>
    <row r="919" spans="1:12">
      <c r="A919" s="8">
        <v>44643.312395833331</v>
      </c>
      <c r="B919">
        <v>291088925</v>
      </c>
      <c r="C919" t="s">
        <v>693</v>
      </c>
      <c r="D919" t="s">
        <v>9</v>
      </c>
      <c r="E919" s="9">
        <v>2000</v>
      </c>
      <c r="F919" s="9">
        <v>2000</v>
      </c>
      <c r="G919" s="9">
        <v>1400</v>
      </c>
      <c r="I919" t="s">
        <v>694</v>
      </c>
      <c r="J919" t="s">
        <v>460</v>
      </c>
      <c r="K919" t="s">
        <v>11</v>
      </c>
      <c r="L919" t="str">
        <f>T("9791191562187")</f>
        <v>9791191562187</v>
      </c>
    </row>
    <row r="920" spans="1:12">
      <c r="A920" s="8">
        <v>44643.33252314815</v>
      </c>
      <c r="B920">
        <v>291088925</v>
      </c>
      <c r="C920" t="s">
        <v>693</v>
      </c>
      <c r="D920" t="s">
        <v>9</v>
      </c>
      <c r="E920" s="9">
        <v>-2000</v>
      </c>
      <c r="F920" s="9">
        <v>-2000</v>
      </c>
      <c r="G920" s="9">
        <v>-1400</v>
      </c>
      <c r="H920" s="8">
        <v>44643.312395833331</v>
      </c>
      <c r="I920" t="s">
        <v>694</v>
      </c>
      <c r="J920" t="s">
        <v>460</v>
      </c>
      <c r="K920" t="s">
        <v>11</v>
      </c>
      <c r="L920" t="str">
        <f>T("9791191562187")</f>
        <v>9791191562187</v>
      </c>
    </row>
    <row r="921" spans="1:12">
      <c r="A921" s="8">
        <v>44643.327025462961</v>
      </c>
      <c r="B921">
        <v>287834730</v>
      </c>
      <c r="C921" t="s">
        <v>275</v>
      </c>
      <c r="D921" t="s">
        <v>9</v>
      </c>
      <c r="E921" s="9">
        <v>2000</v>
      </c>
      <c r="F921" s="9">
        <v>2000</v>
      </c>
      <c r="G921" s="9">
        <v>1400</v>
      </c>
      <c r="I921" t="s">
        <v>169</v>
      </c>
      <c r="J921" t="s">
        <v>460</v>
      </c>
      <c r="K921" t="s">
        <v>11</v>
      </c>
      <c r="L921" t="str">
        <f>T("9791191562019")</f>
        <v>9791191562019</v>
      </c>
    </row>
    <row r="922" spans="1:12">
      <c r="A922" s="8">
        <v>44643.334606481483</v>
      </c>
      <c r="B922">
        <v>291088925</v>
      </c>
      <c r="C922" t="s">
        <v>693</v>
      </c>
      <c r="D922" t="s">
        <v>9</v>
      </c>
      <c r="E922" s="9">
        <v>2000</v>
      </c>
      <c r="F922" s="9">
        <v>2000</v>
      </c>
      <c r="G922" s="9">
        <v>1400</v>
      </c>
      <c r="I922" t="s">
        <v>694</v>
      </c>
      <c r="J922" t="s">
        <v>460</v>
      </c>
      <c r="K922" t="s">
        <v>11</v>
      </c>
      <c r="L922" t="str">
        <f>T("9791191562187")</f>
        <v>9791191562187</v>
      </c>
    </row>
    <row r="923" spans="1:12">
      <c r="A923" s="8">
        <v>44643.335532407407</v>
      </c>
      <c r="B923">
        <v>291088925</v>
      </c>
      <c r="C923" t="s">
        <v>693</v>
      </c>
      <c r="D923" t="s">
        <v>9</v>
      </c>
      <c r="E923" s="9">
        <v>2000</v>
      </c>
      <c r="F923" s="9">
        <v>2000</v>
      </c>
      <c r="G923" s="9">
        <v>1400</v>
      </c>
      <c r="I923" t="s">
        <v>694</v>
      </c>
      <c r="J923" t="s">
        <v>460</v>
      </c>
      <c r="K923" t="s">
        <v>11</v>
      </c>
      <c r="L923" t="str">
        <f>T("9791191562187")</f>
        <v>9791191562187</v>
      </c>
    </row>
    <row r="924" spans="1:12">
      <c r="A924" s="8">
        <v>44643.394409722219</v>
      </c>
      <c r="B924">
        <v>291088925</v>
      </c>
      <c r="C924" t="s">
        <v>693</v>
      </c>
      <c r="D924" t="s">
        <v>9</v>
      </c>
      <c r="E924" s="9">
        <v>2000</v>
      </c>
      <c r="F924" s="9">
        <v>2000</v>
      </c>
      <c r="G924" s="9">
        <v>1400</v>
      </c>
      <c r="I924" t="s">
        <v>694</v>
      </c>
      <c r="J924" t="s">
        <v>460</v>
      </c>
      <c r="K924" t="s">
        <v>11</v>
      </c>
      <c r="L924" t="str">
        <f>T("9791191562187")</f>
        <v>9791191562187</v>
      </c>
    </row>
    <row r="925" spans="1:12">
      <c r="A925" s="8">
        <v>44643.398287037038</v>
      </c>
      <c r="B925">
        <v>291088925</v>
      </c>
      <c r="C925" t="s">
        <v>693</v>
      </c>
      <c r="D925" t="s">
        <v>9</v>
      </c>
      <c r="E925" s="9">
        <v>2000</v>
      </c>
      <c r="F925" s="9">
        <v>2000</v>
      </c>
      <c r="G925" s="9">
        <v>1400</v>
      </c>
      <c r="I925" t="s">
        <v>694</v>
      </c>
      <c r="J925" t="s">
        <v>460</v>
      </c>
      <c r="K925" t="s">
        <v>11</v>
      </c>
      <c r="L925" t="str">
        <f>T("9791191562187")</f>
        <v>9791191562187</v>
      </c>
    </row>
    <row r="926" spans="1:12">
      <c r="A926" s="8">
        <v>44643.400173611109</v>
      </c>
      <c r="B926">
        <v>290197934</v>
      </c>
      <c r="C926" t="s">
        <v>604</v>
      </c>
      <c r="D926" t="s">
        <v>9</v>
      </c>
      <c r="E926" s="9">
        <v>2000</v>
      </c>
      <c r="F926" s="9">
        <v>2000</v>
      </c>
      <c r="G926" s="9">
        <v>1400</v>
      </c>
      <c r="I926" t="s">
        <v>605</v>
      </c>
      <c r="J926" t="s">
        <v>460</v>
      </c>
      <c r="K926" t="s">
        <v>11</v>
      </c>
      <c r="L926" t="str">
        <f>T("9791191562163")</f>
        <v>9791191562163</v>
      </c>
    </row>
    <row r="927" spans="1:12">
      <c r="A927" s="8">
        <v>44643.404189814813</v>
      </c>
      <c r="B927">
        <v>291088925</v>
      </c>
      <c r="C927" t="s">
        <v>693</v>
      </c>
      <c r="D927" t="s">
        <v>9</v>
      </c>
      <c r="E927" s="9">
        <v>2000</v>
      </c>
      <c r="F927" s="9">
        <v>2000</v>
      </c>
      <c r="G927" s="9">
        <v>1400</v>
      </c>
      <c r="I927" t="s">
        <v>694</v>
      </c>
      <c r="J927" t="s">
        <v>460</v>
      </c>
      <c r="K927" t="s">
        <v>11</v>
      </c>
      <c r="L927" t="str">
        <f>T("9791191562187")</f>
        <v>9791191562187</v>
      </c>
    </row>
    <row r="928" spans="1:12">
      <c r="A928" s="8">
        <v>44643.426099537035</v>
      </c>
      <c r="B928">
        <v>291088925</v>
      </c>
      <c r="C928" t="s">
        <v>693</v>
      </c>
      <c r="D928" t="s">
        <v>9</v>
      </c>
      <c r="E928" s="9">
        <v>2000</v>
      </c>
      <c r="F928" s="9">
        <v>2000</v>
      </c>
      <c r="G928" s="9">
        <v>1400</v>
      </c>
      <c r="I928" t="s">
        <v>694</v>
      </c>
      <c r="J928" t="s">
        <v>460</v>
      </c>
      <c r="K928" t="s">
        <v>11</v>
      </c>
      <c r="L928" t="str">
        <f>T("9791191562187")</f>
        <v>9791191562187</v>
      </c>
    </row>
    <row r="929" spans="1:12">
      <c r="A929" s="8">
        <v>44643.451041666667</v>
      </c>
      <c r="B929">
        <v>291088925</v>
      </c>
      <c r="C929" t="s">
        <v>693</v>
      </c>
      <c r="D929" t="s">
        <v>9</v>
      </c>
      <c r="E929" s="9">
        <v>2000</v>
      </c>
      <c r="F929" s="9">
        <v>2000</v>
      </c>
      <c r="G929" s="9">
        <v>1400</v>
      </c>
      <c r="I929" t="s">
        <v>694</v>
      </c>
      <c r="J929" t="s">
        <v>460</v>
      </c>
      <c r="K929" t="s">
        <v>11</v>
      </c>
      <c r="L929" t="str">
        <f>T("9791191562187")</f>
        <v>9791191562187</v>
      </c>
    </row>
    <row r="930" spans="1:12">
      <c r="A930" s="8">
        <v>44643.4612037037</v>
      </c>
      <c r="B930">
        <v>291088925</v>
      </c>
      <c r="C930" t="s">
        <v>693</v>
      </c>
      <c r="D930" t="s">
        <v>9</v>
      </c>
      <c r="E930" s="9">
        <v>2000</v>
      </c>
      <c r="F930" s="9">
        <v>2000</v>
      </c>
      <c r="G930" s="9">
        <v>1400</v>
      </c>
      <c r="I930" t="s">
        <v>694</v>
      </c>
      <c r="J930" t="s">
        <v>460</v>
      </c>
      <c r="K930" t="s">
        <v>11</v>
      </c>
      <c r="L930" t="str">
        <f>T("9791191562187")</f>
        <v>9791191562187</v>
      </c>
    </row>
    <row r="931" spans="1:12">
      <c r="A931" s="8">
        <v>44643.466087962966</v>
      </c>
      <c r="B931">
        <v>290197934</v>
      </c>
      <c r="C931" t="s">
        <v>604</v>
      </c>
      <c r="D931" t="s">
        <v>9</v>
      </c>
      <c r="E931" s="9">
        <v>2000</v>
      </c>
      <c r="F931" s="9">
        <v>2000</v>
      </c>
      <c r="G931" s="9">
        <v>1400</v>
      </c>
      <c r="I931" t="s">
        <v>605</v>
      </c>
      <c r="J931" t="s">
        <v>460</v>
      </c>
      <c r="K931" t="s">
        <v>11</v>
      </c>
      <c r="L931" t="str">
        <f>T("9791191562163")</f>
        <v>9791191562163</v>
      </c>
    </row>
    <row r="932" spans="1:12">
      <c r="A932" s="8">
        <v>44643.504317129627</v>
      </c>
      <c r="B932">
        <v>290827241</v>
      </c>
      <c r="C932" t="s">
        <v>646</v>
      </c>
      <c r="D932" t="s">
        <v>9</v>
      </c>
      <c r="E932" s="9">
        <v>2000</v>
      </c>
      <c r="F932" s="9">
        <v>2000</v>
      </c>
      <c r="G932" s="9">
        <v>1400</v>
      </c>
      <c r="I932" t="s">
        <v>647</v>
      </c>
      <c r="J932" t="s">
        <v>460</v>
      </c>
      <c r="K932" t="s">
        <v>11</v>
      </c>
      <c r="L932" t="str">
        <f>T("9791191562149")</f>
        <v>9791191562149</v>
      </c>
    </row>
    <row r="933" spans="1:12">
      <c r="A933" s="8">
        <v>44643.512743055559</v>
      </c>
      <c r="B933">
        <v>281625185</v>
      </c>
      <c r="C933" t="s">
        <v>38</v>
      </c>
      <c r="D933" t="s">
        <v>9</v>
      </c>
      <c r="E933">
        <v>0</v>
      </c>
      <c r="F933">
        <v>0</v>
      </c>
      <c r="G933">
        <v>0</v>
      </c>
      <c r="I933" t="s">
        <v>14</v>
      </c>
      <c r="J933" t="s">
        <v>11</v>
      </c>
      <c r="K933" t="s">
        <v>11</v>
      </c>
      <c r="L933" t="str">
        <f>T("9791137601017")</f>
        <v>9791137601017</v>
      </c>
    </row>
    <row r="934" spans="1:12">
      <c r="A934" s="8">
        <v>44643.525960648149</v>
      </c>
      <c r="B934">
        <v>291088925</v>
      </c>
      <c r="C934" t="s">
        <v>693</v>
      </c>
      <c r="D934" t="s">
        <v>9</v>
      </c>
      <c r="E934" s="9">
        <v>2000</v>
      </c>
      <c r="F934" s="9">
        <v>2000</v>
      </c>
      <c r="G934" s="9">
        <v>1400</v>
      </c>
      <c r="I934" t="s">
        <v>694</v>
      </c>
      <c r="J934" t="s">
        <v>460</v>
      </c>
      <c r="K934" t="s">
        <v>11</v>
      </c>
      <c r="L934" t="str">
        <f t="shared" ref="L934:L941" si="9">T("9791191562187")</f>
        <v>9791191562187</v>
      </c>
    </row>
    <row r="935" spans="1:12">
      <c r="A935" s="8">
        <v>44643.605393518519</v>
      </c>
      <c r="B935">
        <v>291088925</v>
      </c>
      <c r="C935" t="s">
        <v>693</v>
      </c>
      <c r="D935" t="s">
        <v>9</v>
      </c>
      <c r="E935" s="9">
        <v>2000</v>
      </c>
      <c r="F935" s="9">
        <v>2000</v>
      </c>
      <c r="G935" s="9">
        <v>1400</v>
      </c>
      <c r="I935" t="s">
        <v>694</v>
      </c>
      <c r="J935" t="s">
        <v>460</v>
      </c>
      <c r="K935" t="s">
        <v>11</v>
      </c>
      <c r="L935" t="str">
        <f t="shared" si="9"/>
        <v>9791191562187</v>
      </c>
    </row>
    <row r="936" spans="1:12">
      <c r="A936" s="8">
        <v>44643.66642361111</v>
      </c>
      <c r="B936">
        <v>291088925</v>
      </c>
      <c r="C936" t="s">
        <v>693</v>
      </c>
      <c r="D936" t="s">
        <v>9</v>
      </c>
      <c r="E936" s="9">
        <v>2000</v>
      </c>
      <c r="F936" s="9">
        <v>2000</v>
      </c>
      <c r="G936" s="9">
        <v>1400</v>
      </c>
      <c r="I936" t="s">
        <v>694</v>
      </c>
      <c r="J936" t="s">
        <v>460</v>
      </c>
      <c r="K936" t="s">
        <v>11</v>
      </c>
      <c r="L936" t="str">
        <f t="shared" si="9"/>
        <v>9791191562187</v>
      </c>
    </row>
    <row r="937" spans="1:12">
      <c r="A937" s="8">
        <v>44643.667581018519</v>
      </c>
      <c r="B937">
        <v>291088925</v>
      </c>
      <c r="C937" t="s">
        <v>693</v>
      </c>
      <c r="D937" t="s">
        <v>9</v>
      </c>
      <c r="E937" s="9">
        <v>2000</v>
      </c>
      <c r="F937" s="9">
        <v>2000</v>
      </c>
      <c r="G937" s="9">
        <v>1400</v>
      </c>
      <c r="I937" t="s">
        <v>694</v>
      </c>
      <c r="J937" t="s">
        <v>460</v>
      </c>
      <c r="K937" t="s">
        <v>11</v>
      </c>
      <c r="L937" t="str">
        <f t="shared" si="9"/>
        <v>9791191562187</v>
      </c>
    </row>
    <row r="938" spans="1:12">
      <c r="A938" s="8">
        <v>44643.682615740741</v>
      </c>
      <c r="B938">
        <v>291088925</v>
      </c>
      <c r="C938" t="s">
        <v>693</v>
      </c>
      <c r="D938" t="s">
        <v>9</v>
      </c>
      <c r="E938" s="9">
        <v>2000</v>
      </c>
      <c r="F938" s="9">
        <v>2000</v>
      </c>
      <c r="G938" s="9">
        <v>1400</v>
      </c>
      <c r="I938" t="s">
        <v>694</v>
      </c>
      <c r="J938" t="s">
        <v>460</v>
      </c>
      <c r="K938" t="s">
        <v>11</v>
      </c>
      <c r="L938" t="str">
        <f t="shared" si="9"/>
        <v>9791191562187</v>
      </c>
    </row>
    <row r="939" spans="1:12">
      <c r="A939" s="8">
        <v>44643.713784722226</v>
      </c>
      <c r="B939">
        <v>291088925</v>
      </c>
      <c r="C939" t="s">
        <v>693</v>
      </c>
      <c r="D939" t="s">
        <v>9</v>
      </c>
      <c r="E939" s="9">
        <v>2000</v>
      </c>
      <c r="F939" s="9">
        <v>2000</v>
      </c>
      <c r="G939" s="9">
        <v>1400</v>
      </c>
      <c r="I939" t="s">
        <v>694</v>
      </c>
      <c r="J939" t="s">
        <v>460</v>
      </c>
      <c r="K939" t="s">
        <v>11</v>
      </c>
      <c r="L939" t="str">
        <f t="shared" si="9"/>
        <v>9791191562187</v>
      </c>
    </row>
    <row r="940" spans="1:12">
      <c r="A940" s="8">
        <v>44643.722766203704</v>
      </c>
      <c r="B940">
        <v>291088925</v>
      </c>
      <c r="C940" t="s">
        <v>693</v>
      </c>
      <c r="D940" t="s">
        <v>9</v>
      </c>
      <c r="E940" s="9">
        <v>2000</v>
      </c>
      <c r="F940" s="9">
        <v>2000</v>
      </c>
      <c r="G940" s="9">
        <v>1400</v>
      </c>
      <c r="I940" t="s">
        <v>694</v>
      </c>
      <c r="J940" t="s">
        <v>460</v>
      </c>
      <c r="K940" t="s">
        <v>11</v>
      </c>
      <c r="L940" t="str">
        <f t="shared" si="9"/>
        <v>9791191562187</v>
      </c>
    </row>
    <row r="941" spans="1:12">
      <c r="A941" s="8">
        <v>44643.761307870373</v>
      </c>
      <c r="B941">
        <v>291088925</v>
      </c>
      <c r="C941" t="s">
        <v>693</v>
      </c>
      <c r="D941" t="s">
        <v>9</v>
      </c>
      <c r="E941" s="9">
        <v>2000</v>
      </c>
      <c r="F941" s="9">
        <v>2000</v>
      </c>
      <c r="G941" s="9">
        <v>1400</v>
      </c>
      <c r="I941" t="s">
        <v>694</v>
      </c>
      <c r="J941" t="s">
        <v>460</v>
      </c>
      <c r="K941" t="s">
        <v>11</v>
      </c>
      <c r="L941" t="str">
        <f t="shared" si="9"/>
        <v>9791191562187</v>
      </c>
    </row>
    <row r="942" spans="1:12">
      <c r="A942" s="8">
        <v>44643.786620370367</v>
      </c>
      <c r="B942">
        <v>290197934</v>
      </c>
      <c r="C942" t="s">
        <v>604</v>
      </c>
      <c r="D942" t="s">
        <v>9</v>
      </c>
      <c r="E942" s="9">
        <v>2000</v>
      </c>
      <c r="F942" s="9">
        <v>2000</v>
      </c>
      <c r="G942" s="9">
        <v>1400</v>
      </c>
      <c r="I942" t="s">
        <v>605</v>
      </c>
      <c r="J942" t="s">
        <v>460</v>
      </c>
      <c r="K942" t="s">
        <v>11</v>
      </c>
      <c r="L942" t="str">
        <f>T("9791191562163")</f>
        <v>9791191562163</v>
      </c>
    </row>
    <row r="943" spans="1:12">
      <c r="A943" s="8">
        <v>44643.80976851852</v>
      </c>
      <c r="B943">
        <v>290963607</v>
      </c>
      <c r="C943" t="s">
        <v>681</v>
      </c>
      <c r="D943" t="s">
        <v>9</v>
      </c>
      <c r="E943" s="9">
        <v>3500</v>
      </c>
      <c r="F943" s="9">
        <v>3500</v>
      </c>
      <c r="G943" s="9">
        <v>2450</v>
      </c>
      <c r="I943" t="s">
        <v>682</v>
      </c>
      <c r="J943" t="s">
        <v>460</v>
      </c>
      <c r="K943" t="s">
        <v>11</v>
      </c>
      <c r="L943" t="str">
        <f>T("9791191562132")</f>
        <v>9791191562132</v>
      </c>
    </row>
    <row r="944" spans="1:12">
      <c r="A944" s="8">
        <v>44643.811354166668</v>
      </c>
      <c r="B944">
        <v>290197934</v>
      </c>
      <c r="C944" t="s">
        <v>604</v>
      </c>
      <c r="D944" t="s">
        <v>9</v>
      </c>
      <c r="E944" s="9">
        <v>2000</v>
      </c>
      <c r="F944" s="9">
        <v>2000</v>
      </c>
      <c r="G944" s="9">
        <v>1400</v>
      </c>
      <c r="I944" t="s">
        <v>605</v>
      </c>
      <c r="J944" t="s">
        <v>460</v>
      </c>
      <c r="K944" t="s">
        <v>11</v>
      </c>
      <c r="L944" t="str">
        <f>T("9791191562163")</f>
        <v>9791191562163</v>
      </c>
    </row>
    <row r="945" spans="1:12">
      <c r="A945" s="8">
        <v>44643.843900462962</v>
      </c>
      <c r="B945">
        <v>246278178</v>
      </c>
      <c r="C945" t="s">
        <v>564</v>
      </c>
      <c r="D945" t="s">
        <v>9</v>
      </c>
      <c r="E945">
        <v>0</v>
      </c>
      <c r="F945">
        <v>0</v>
      </c>
      <c r="G945">
        <v>0</v>
      </c>
      <c r="I945" t="s">
        <v>14</v>
      </c>
      <c r="J945" t="s">
        <v>11</v>
      </c>
      <c r="K945" t="s">
        <v>11</v>
      </c>
      <c r="L945" t="str">
        <f>T("9791188630103")</f>
        <v>9791188630103</v>
      </c>
    </row>
    <row r="946" spans="1:12">
      <c r="A946" s="8">
        <v>44643.861620370371</v>
      </c>
      <c r="B946">
        <v>291088925</v>
      </c>
      <c r="C946" t="s">
        <v>693</v>
      </c>
      <c r="D946" t="s">
        <v>9</v>
      </c>
      <c r="E946" s="9">
        <v>2000</v>
      </c>
      <c r="F946" s="9">
        <v>2000</v>
      </c>
      <c r="G946" s="9">
        <v>1400</v>
      </c>
      <c r="I946" t="s">
        <v>694</v>
      </c>
      <c r="J946" t="s">
        <v>460</v>
      </c>
      <c r="K946" t="s">
        <v>11</v>
      </c>
      <c r="L946" t="str">
        <f>T("9791191562187")</f>
        <v>9791191562187</v>
      </c>
    </row>
    <row r="947" spans="1:12">
      <c r="A947" s="8">
        <v>44643.871967592589</v>
      </c>
      <c r="B947">
        <v>291088925</v>
      </c>
      <c r="C947" t="s">
        <v>693</v>
      </c>
      <c r="D947" t="s">
        <v>9</v>
      </c>
      <c r="E947" s="9">
        <v>2000</v>
      </c>
      <c r="F947" s="9">
        <v>2000</v>
      </c>
      <c r="G947" s="9">
        <v>1400</v>
      </c>
      <c r="I947" t="s">
        <v>694</v>
      </c>
      <c r="J947" t="s">
        <v>460</v>
      </c>
      <c r="K947" t="s">
        <v>11</v>
      </c>
      <c r="L947" t="str">
        <f>T("9791191562187")</f>
        <v>9791191562187</v>
      </c>
    </row>
    <row r="948" spans="1:12">
      <c r="A948" s="8">
        <v>44643.881550925929</v>
      </c>
      <c r="B948">
        <v>291088925</v>
      </c>
      <c r="C948" t="s">
        <v>693</v>
      </c>
      <c r="D948" t="s">
        <v>9</v>
      </c>
      <c r="E948" s="9">
        <v>2000</v>
      </c>
      <c r="F948" s="9">
        <v>2000</v>
      </c>
      <c r="G948" s="9">
        <v>1400</v>
      </c>
      <c r="I948" t="s">
        <v>694</v>
      </c>
      <c r="J948" t="s">
        <v>460</v>
      </c>
      <c r="K948" t="s">
        <v>11</v>
      </c>
      <c r="L948" t="str">
        <f>T("9791191562187")</f>
        <v>9791191562187</v>
      </c>
    </row>
    <row r="949" spans="1:12">
      <c r="A949" s="8">
        <v>44643.888379629629</v>
      </c>
      <c r="B949">
        <v>291088925</v>
      </c>
      <c r="C949" t="s">
        <v>693</v>
      </c>
      <c r="D949" t="s">
        <v>9</v>
      </c>
      <c r="E949" s="9">
        <v>2000</v>
      </c>
      <c r="F949" s="9">
        <v>2000</v>
      </c>
      <c r="G949" s="9">
        <v>1400</v>
      </c>
      <c r="I949" t="s">
        <v>694</v>
      </c>
      <c r="J949" t="s">
        <v>460</v>
      </c>
      <c r="K949" t="s">
        <v>11</v>
      </c>
      <c r="L949" t="str">
        <f>T("9791191562187")</f>
        <v>9791191562187</v>
      </c>
    </row>
    <row r="950" spans="1:12">
      <c r="A950" s="8">
        <v>44643.889884259261</v>
      </c>
      <c r="B950">
        <v>290084502</v>
      </c>
      <c r="C950" t="s">
        <v>592</v>
      </c>
      <c r="D950" t="s">
        <v>9</v>
      </c>
      <c r="E950" s="9">
        <v>2500</v>
      </c>
      <c r="F950" s="9">
        <v>2500</v>
      </c>
      <c r="G950" s="9">
        <v>1750</v>
      </c>
      <c r="I950" t="s">
        <v>593</v>
      </c>
      <c r="J950" t="s">
        <v>460</v>
      </c>
      <c r="K950" t="s">
        <v>11</v>
      </c>
      <c r="L950" t="str">
        <f>T("9791191562125")</f>
        <v>9791191562125</v>
      </c>
    </row>
    <row r="951" spans="1:12">
      <c r="A951" s="8">
        <v>44643.896423611113</v>
      </c>
      <c r="B951">
        <v>291088925</v>
      </c>
      <c r="C951" t="s">
        <v>693</v>
      </c>
      <c r="D951" t="s">
        <v>9</v>
      </c>
      <c r="E951" s="9">
        <v>2000</v>
      </c>
      <c r="F951" s="9">
        <v>2000</v>
      </c>
      <c r="G951" s="9">
        <v>1400</v>
      </c>
      <c r="I951" t="s">
        <v>694</v>
      </c>
      <c r="J951" t="s">
        <v>460</v>
      </c>
      <c r="K951" t="s">
        <v>11</v>
      </c>
      <c r="L951" t="str">
        <f>T("9791191562187")</f>
        <v>9791191562187</v>
      </c>
    </row>
    <row r="952" spans="1:12">
      <c r="A952" s="8">
        <v>44643.909456018519</v>
      </c>
      <c r="B952">
        <v>291088925</v>
      </c>
      <c r="C952" t="s">
        <v>693</v>
      </c>
      <c r="D952" t="s">
        <v>9</v>
      </c>
      <c r="E952" s="9">
        <v>2000</v>
      </c>
      <c r="F952" s="9">
        <v>2000</v>
      </c>
      <c r="G952" s="9">
        <v>1400</v>
      </c>
      <c r="I952" t="s">
        <v>694</v>
      </c>
      <c r="J952" t="s">
        <v>460</v>
      </c>
      <c r="K952" t="s">
        <v>11</v>
      </c>
      <c r="L952" t="str">
        <f>T("9791191562187")</f>
        <v>9791191562187</v>
      </c>
    </row>
    <row r="953" spans="1:12">
      <c r="A953" s="8">
        <v>44643.918310185189</v>
      </c>
      <c r="B953">
        <v>289315562</v>
      </c>
      <c r="C953" t="s">
        <v>478</v>
      </c>
      <c r="D953" t="s">
        <v>9</v>
      </c>
      <c r="E953" s="9">
        <v>3000</v>
      </c>
      <c r="F953" s="9">
        <v>3000</v>
      </c>
      <c r="G953" s="9">
        <v>2100</v>
      </c>
      <c r="I953" t="s">
        <v>454</v>
      </c>
      <c r="J953" t="s">
        <v>460</v>
      </c>
      <c r="K953" t="s">
        <v>11</v>
      </c>
      <c r="L953" t="str">
        <f>T("9791191562101")</f>
        <v>9791191562101</v>
      </c>
    </row>
    <row r="954" spans="1:12">
      <c r="A954" s="8">
        <v>44643.921793981484</v>
      </c>
      <c r="B954">
        <v>291088925</v>
      </c>
      <c r="C954" t="s">
        <v>693</v>
      </c>
      <c r="D954" t="s">
        <v>9</v>
      </c>
      <c r="E954" s="9">
        <v>2000</v>
      </c>
      <c r="F954" s="9">
        <v>2000</v>
      </c>
      <c r="G954" s="9">
        <v>1400</v>
      </c>
      <c r="I954" t="s">
        <v>694</v>
      </c>
      <c r="J954" t="s">
        <v>460</v>
      </c>
      <c r="K954" t="s">
        <v>11</v>
      </c>
      <c r="L954" t="str">
        <f>T("9791191562187")</f>
        <v>9791191562187</v>
      </c>
    </row>
    <row r="955" spans="1:12">
      <c r="A955" s="8">
        <v>44643.922662037039</v>
      </c>
      <c r="B955">
        <v>291088925</v>
      </c>
      <c r="C955" t="s">
        <v>693</v>
      </c>
      <c r="D955" t="s">
        <v>9</v>
      </c>
      <c r="E955" s="9">
        <v>2000</v>
      </c>
      <c r="F955" s="9">
        <v>2000</v>
      </c>
      <c r="G955" s="9">
        <v>1400</v>
      </c>
      <c r="I955" t="s">
        <v>694</v>
      </c>
      <c r="J955" t="s">
        <v>460</v>
      </c>
      <c r="K955" t="s">
        <v>11</v>
      </c>
      <c r="L955" t="str">
        <f>T("9791191562187")</f>
        <v>9791191562187</v>
      </c>
    </row>
    <row r="956" spans="1:12">
      <c r="A956" s="8">
        <v>44643.938217592593</v>
      </c>
      <c r="B956">
        <v>291088925</v>
      </c>
      <c r="C956" t="s">
        <v>693</v>
      </c>
      <c r="D956" t="s">
        <v>9</v>
      </c>
      <c r="E956" s="9">
        <v>2000</v>
      </c>
      <c r="F956" s="9">
        <v>2000</v>
      </c>
      <c r="G956" s="9">
        <v>1400</v>
      </c>
      <c r="I956" t="s">
        <v>694</v>
      </c>
      <c r="J956" t="s">
        <v>460</v>
      </c>
      <c r="K956" t="s">
        <v>11</v>
      </c>
      <c r="L956" t="str">
        <f>T("9791191562187")</f>
        <v>9791191562187</v>
      </c>
    </row>
    <row r="957" spans="1:12">
      <c r="A957" s="8">
        <v>44643.942870370367</v>
      </c>
      <c r="B957">
        <v>289658948</v>
      </c>
      <c r="C957" t="s">
        <v>580</v>
      </c>
      <c r="D957" t="s">
        <v>9</v>
      </c>
      <c r="E957" s="9">
        <v>3600</v>
      </c>
      <c r="F957" s="9">
        <v>3600</v>
      </c>
      <c r="G957" s="9">
        <v>2520</v>
      </c>
      <c r="I957" t="s">
        <v>455</v>
      </c>
      <c r="J957" t="s">
        <v>460</v>
      </c>
      <c r="K957" t="s">
        <v>11</v>
      </c>
      <c r="L957" t="str">
        <f>T("9791191562095")</f>
        <v>9791191562095</v>
      </c>
    </row>
    <row r="958" spans="1:12">
      <c r="A958" s="8">
        <v>44643.946099537039</v>
      </c>
      <c r="B958">
        <v>291088925</v>
      </c>
      <c r="C958" t="s">
        <v>693</v>
      </c>
      <c r="D958" t="s">
        <v>9</v>
      </c>
      <c r="E958" s="9">
        <v>2000</v>
      </c>
      <c r="F958" s="9">
        <v>2000</v>
      </c>
      <c r="G958" s="9">
        <v>1400</v>
      </c>
      <c r="I958" t="s">
        <v>694</v>
      </c>
      <c r="J958" t="s">
        <v>460</v>
      </c>
      <c r="K958" t="s">
        <v>11</v>
      </c>
      <c r="L958" t="str">
        <f>T("9791191562187")</f>
        <v>9791191562187</v>
      </c>
    </row>
    <row r="959" spans="1:12">
      <c r="A959" s="8">
        <v>44643.946435185186</v>
      </c>
      <c r="B959">
        <v>291088925</v>
      </c>
      <c r="C959" t="s">
        <v>693</v>
      </c>
      <c r="D959" t="s">
        <v>9</v>
      </c>
      <c r="E959" s="9">
        <v>2000</v>
      </c>
      <c r="F959" s="9">
        <v>2000</v>
      </c>
      <c r="G959" s="9">
        <v>1400</v>
      </c>
      <c r="I959" t="s">
        <v>694</v>
      </c>
      <c r="J959" t="s">
        <v>460</v>
      </c>
      <c r="K959" t="s">
        <v>11</v>
      </c>
      <c r="L959" t="str">
        <f>T("9791191562187")</f>
        <v>9791191562187</v>
      </c>
    </row>
    <row r="960" spans="1:12">
      <c r="A960" s="8">
        <v>44643.949363425927</v>
      </c>
      <c r="B960">
        <v>287834730</v>
      </c>
      <c r="C960" t="s">
        <v>275</v>
      </c>
      <c r="D960" t="s">
        <v>9</v>
      </c>
      <c r="E960" s="9">
        <v>2000</v>
      </c>
      <c r="F960" s="9">
        <v>2000</v>
      </c>
      <c r="G960" s="9">
        <v>1400</v>
      </c>
      <c r="I960" t="s">
        <v>169</v>
      </c>
      <c r="J960" t="s">
        <v>460</v>
      </c>
      <c r="K960" t="s">
        <v>11</v>
      </c>
      <c r="L960" t="str">
        <f>T("9791191562019")</f>
        <v>9791191562019</v>
      </c>
    </row>
    <row r="961" spans="1:12">
      <c r="A961" s="8">
        <v>44643.95045138889</v>
      </c>
      <c r="B961">
        <v>291088925</v>
      </c>
      <c r="C961" t="s">
        <v>693</v>
      </c>
      <c r="D961" t="s">
        <v>9</v>
      </c>
      <c r="E961" s="9">
        <v>2000</v>
      </c>
      <c r="F961" s="9">
        <v>2000</v>
      </c>
      <c r="G961" s="9">
        <v>1400</v>
      </c>
      <c r="I961" t="s">
        <v>694</v>
      </c>
      <c r="J961" t="s">
        <v>460</v>
      </c>
      <c r="K961" t="s">
        <v>11</v>
      </c>
      <c r="L961" t="str">
        <f t="shared" ref="L961:L966" si="10">T("9791191562187")</f>
        <v>9791191562187</v>
      </c>
    </row>
    <row r="962" spans="1:12">
      <c r="A962" s="8">
        <v>44643.950937499998</v>
      </c>
      <c r="B962">
        <v>291088925</v>
      </c>
      <c r="C962" t="s">
        <v>693</v>
      </c>
      <c r="D962" t="s">
        <v>9</v>
      </c>
      <c r="E962" s="9">
        <v>-2000</v>
      </c>
      <c r="F962" s="9">
        <v>-2000</v>
      </c>
      <c r="G962" s="9">
        <v>-1400</v>
      </c>
      <c r="H962" s="8">
        <v>44643.95045138889</v>
      </c>
      <c r="I962" t="s">
        <v>694</v>
      </c>
      <c r="J962" t="s">
        <v>460</v>
      </c>
      <c r="K962" t="s">
        <v>11</v>
      </c>
      <c r="L962" t="str">
        <f t="shared" si="10"/>
        <v>9791191562187</v>
      </c>
    </row>
    <row r="963" spans="1:12">
      <c r="A963" s="8">
        <v>44643.955081018517</v>
      </c>
      <c r="B963">
        <v>291088925</v>
      </c>
      <c r="C963" t="s">
        <v>693</v>
      </c>
      <c r="D963" t="s">
        <v>9</v>
      </c>
      <c r="E963" s="9">
        <v>2000</v>
      </c>
      <c r="F963" s="9">
        <v>2000</v>
      </c>
      <c r="G963" s="9">
        <v>1400</v>
      </c>
      <c r="I963" t="s">
        <v>694</v>
      </c>
      <c r="J963" t="s">
        <v>460</v>
      </c>
      <c r="K963" t="s">
        <v>11</v>
      </c>
      <c r="L963" t="str">
        <f t="shared" si="10"/>
        <v>9791191562187</v>
      </c>
    </row>
    <row r="964" spans="1:12">
      <c r="A964" s="8">
        <v>44643.959768518522</v>
      </c>
      <c r="B964">
        <v>291088925</v>
      </c>
      <c r="C964" t="s">
        <v>693</v>
      </c>
      <c r="D964" t="s">
        <v>9</v>
      </c>
      <c r="E964" s="9">
        <v>2000</v>
      </c>
      <c r="F964" s="9">
        <v>2000</v>
      </c>
      <c r="G964" s="9">
        <v>1400</v>
      </c>
      <c r="I964" t="s">
        <v>694</v>
      </c>
      <c r="J964" t="s">
        <v>460</v>
      </c>
      <c r="K964" t="s">
        <v>11</v>
      </c>
      <c r="L964" t="str">
        <f t="shared" si="10"/>
        <v>9791191562187</v>
      </c>
    </row>
    <row r="965" spans="1:12">
      <c r="A965" s="8">
        <v>44643.967939814815</v>
      </c>
      <c r="B965">
        <v>291088925</v>
      </c>
      <c r="C965" t="s">
        <v>693</v>
      </c>
      <c r="D965" t="s">
        <v>9</v>
      </c>
      <c r="E965" s="9">
        <v>2000</v>
      </c>
      <c r="F965" s="9">
        <v>2000</v>
      </c>
      <c r="G965" s="9">
        <v>1400</v>
      </c>
      <c r="I965" t="s">
        <v>694</v>
      </c>
      <c r="J965" t="s">
        <v>460</v>
      </c>
      <c r="K965" t="s">
        <v>11</v>
      </c>
      <c r="L965" t="str">
        <f t="shared" si="10"/>
        <v>9791191562187</v>
      </c>
    </row>
    <row r="966" spans="1:12">
      <c r="A966" s="8">
        <v>44643.969664351855</v>
      </c>
      <c r="B966">
        <v>291088925</v>
      </c>
      <c r="C966" t="s">
        <v>693</v>
      </c>
      <c r="D966" t="s">
        <v>9</v>
      </c>
      <c r="E966" s="9">
        <v>2000</v>
      </c>
      <c r="F966" s="9">
        <v>2000</v>
      </c>
      <c r="G966" s="9">
        <v>1400</v>
      </c>
      <c r="I966" t="s">
        <v>694</v>
      </c>
      <c r="J966" t="s">
        <v>460</v>
      </c>
      <c r="K966" t="s">
        <v>11</v>
      </c>
      <c r="L966" t="str">
        <f t="shared" si="10"/>
        <v>9791191562187</v>
      </c>
    </row>
    <row r="967" spans="1:12">
      <c r="A967" s="8">
        <v>44643.971053240741</v>
      </c>
      <c r="B967">
        <v>290645912</v>
      </c>
      <c r="C967" t="s">
        <v>630</v>
      </c>
      <c r="D967" t="s">
        <v>9</v>
      </c>
      <c r="E967" s="9">
        <v>2000</v>
      </c>
      <c r="F967" s="9">
        <v>2000</v>
      </c>
      <c r="G967" s="9">
        <v>1400</v>
      </c>
      <c r="I967" t="s">
        <v>631</v>
      </c>
      <c r="J967" t="s">
        <v>460</v>
      </c>
      <c r="K967" t="s">
        <v>11</v>
      </c>
      <c r="L967" t="str">
        <f>T("9791191562170")</f>
        <v>9791191562170</v>
      </c>
    </row>
    <row r="968" spans="1:12">
      <c r="A968" s="8">
        <v>44643.972060185188</v>
      </c>
      <c r="B968">
        <v>290197934</v>
      </c>
      <c r="C968" t="s">
        <v>604</v>
      </c>
      <c r="D968" t="s">
        <v>9</v>
      </c>
      <c r="E968" s="9">
        <v>2000</v>
      </c>
      <c r="F968" s="9">
        <v>2000</v>
      </c>
      <c r="G968" s="9">
        <v>1400</v>
      </c>
      <c r="I968" t="s">
        <v>605</v>
      </c>
      <c r="J968" t="s">
        <v>460</v>
      </c>
      <c r="K968" t="s">
        <v>11</v>
      </c>
      <c r="L968" t="str">
        <f>T("9791191562163")</f>
        <v>9791191562163</v>
      </c>
    </row>
    <row r="969" spans="1:12">
      <c r="A969" s="8">
        <v>44643.972256944442</v>
      </c>
      <c r="B969">
        <v>291369647</v>
      </c>
      <c r="C969" t="s">
        <v>724</v>
      </c>
      <c r="D969" t="s">
        <v>9</v>
      </c>
      <c r="E969" s="9">
        <v>2000</v>
      </c>
      <c r="F969" s="9">
        <v>2000</v>
      </c>
      <c r="G969" s="9">
        <v>1400</v>
      </c>
      <c r="I969" t="s">
        <v>725</v>
      </c>
      <c r="J969" t="s">
        <v>460</v>
      </c>
      <c r="K969" t="s">
        <v>11</v>
      </c>
      <c r="L969" t="str">
        <f>T("9791191562194")</f>
        <v>9791191562194</v>
      </c>
    </row>
    <row r="970" spans="1:12">
      <c r="A970" s="8">
        <v>44643.979027777779</v>
      </c>
      <c r="B970">
        <v>291088925</v>
      </c>
      <c r="C970" t="s">
        <v>693</v>
      </c>
      <c r="D970" t="s">
        <v>9</v>
      </c>
      <c r="E970" s="9">
        <v>2000</v>
      </c>
      <c r="F970" s="9">
        <v>2000</v>
      </c>
      <c r="G970" s="9">
        <v>1400</v>
      </c>
      <c r="I970" t="s">
        <v>694</v>
      </c>
      <c r="J970" t="s">
        <v>460</v>
      </c>
      <c r="K970" t="s">
        <v>11</v>
      </c>
      <c r="L970" t="str">
        <f>T("9791191562187")</f>
        <v>9791191562187</v>
      </c>
    </row>
    <row r="971" spans="1:12">
      <c r="A971" s="8">
        <v>44643.981562499997</v>
      </c>
      <c r="B971">
        <v>290084502</v>
      </c>
      <c r="C971" t="s">
        <v>592</v>
      </c>
      <c r="D971" t="s">
        <v>9</v>
      </c>
      <c r="E971" s="9">
        <v>2500</v>
      </c>
      <c r="F971" s="9">
        <v>2500</v>
      </c>
      <c r="G971" s="9">
        <v>1750</v>
      </c>
      <c r="I971" t="s">
        <v>593</v>
      </c>
      <c r="J971" t="s">
        <v>460</v>
      </c>
      <c r="K971" t="s">
        <v>11</v>
      </c>
      <c r="L971" t="str">
        <f>T("9791191562125")</f>
        <v>9791191562125</v>
      </c>
    </row>
    <row r="972" spans="1:12">
      <c r="A972" s="8">
        <v>44643.983182870368</v>
      </c>
      <c r="B972">
        <v>291088925</v>
      </c>
      <c r="C972" t="s">
        <v>693</v>
      </c>
      <c r="D972" t="s">
        <v>9</v>
      </c>
      <c r="E972" s="9">
        <v>2000</v>
      </c>
      <c r="F972" s="9">
        <v>2000</v>
      </c>
      <c r="G972" s="9">
        <v>1400</v>
      </c>
      <c r="I972" t="s">
        <v>694</v>
      </c>
      <c r="J972" t="s">
        <v>460</v>
      </c>
      <c r="K972" t="s">
        <v>11</v>
      </c>
      <c r="L972" t="str">
        <f>T("9791191562187")</f>
        <v>9791191562187</v>
      </c>
    </row>
    <row r="973" spans="1:12">
      <c r="A973" s="8">
        <v>44643.984016203707</v>
      </c>
      <c r="B973">
        <v>291088925</v>
      </c>
      <c r="C973" t="s">
        <v>693</v>
      </c>
      <c r="D973" t="s">
        <v>9</v>
      </c>
      <c r="E973" s="9">
        <v>2000</v>
      </c>
      <c r="F973" s="9">
        <v>2000</v>
      </c>
      <c r="G973" s="9">
        <v>1400</v>
      </c>
      <c r="I973" t="s">
        <v>694</v>
      </c>
      <c r="J973" t="s">
        <v>460</v>
      </c>
      <c r="K973" t="s">
        <v>11</v>
      </c>
      <c r="L973" t="str">
        <f>T("9791191562187")</f>
        <v>9791191562187</v>
      </c>
    </row>
    <row r="974" spans="1:12">
      <c r="A974" s="8">
        <v>44643.984270833331</v>
      </c>
      <c r="B974">
        <v>291088925</v>
      </c>
      <c r="C974" t="s">
        <v>693</v>
      </c>
      <c r="D974" t="s">
        <v>9</v>
      </c>
      <c r="E974" s="9">
        <v>2000</v>
      </c>
      <c r="F974" s="9">
        <v>2000</v>
      </c>
      <c r="G974" s="9">
        <v>1400</v>
      </c>
      <c r="I974" t="s">
        <v>694</v>
      </c>
      <c r="J974" t="s">
        <v>460</v>
      </c>
      <c r="K974" t="s">
        <v>11</v>
      </c>
      <c r="L974" t="str">
        <f>T("9791191562187")</f>
        <v>9791191562187</v>
      </c>
    </row>
    <row r="975" spans="1:12">
      <c r="A975" s="8">
        <v>44643.986458333333</v>
      </c>
      <c r="B975">
        <v>290197934</v>
      </c>
      <c r="C975" t="s">
        <v>604</v>
      </c>
      <c r="D975" t="s">
        <v>9</v>
      </c>
      <c r="E975" s="9">
        <v>2000</v>
      </c>
      <c r="F975" s="9">
        <v>2000</v>
      </c>
      <c r="G975" s="9">
        <v>1400</v>
      </c>
      <c r="I975" t="s">
        <v>605</v>
      </c>
      <c r="J975" t="s">
        <v>460</v>
      </c>
      <c r="K975" t="s">
        <v>11</v>
      </c>
      <c r="L975" t="str">
        <f>T("9791191562163")</f>
        <v>9791191562163</v>
      </c>
    </row>
    <row r="976" spans="1:12">
      <c r="A976" s="8">
        <v>44643.994085648148</v>
      </c>
      <c r="B976">
        <v>291088925</v>
      </c>
      <c r="C976" t="s">
        <v>693</v>
      </c>
      <c r="D976" t="s">
        <v>9</v>
      </c>
      <c r="E976" s="9">
        <v>2000</v>
      </c>
      <c r="F976" s="9">
        <v>2000</v>
      </c>
      <c r="G976" s="9">
        <v>1400</v>
      </c>
      <c r="I976" t="s">
        <v>694</v>
      </c>
      <c r="J976" t="s">
        <v>460</v>
      </c>
      <c r="K976" t="s">
        <v>11</v>
      </c>
      <c r="L976" t="str">
        <f>T("9791191562187")</f>
        <v>9791191562187</v>
      </c>
    </row>
    <row r="977" spans="1:12">
      <c r="A977" s="8">
        <v>44643.995555555557</v>
      </c>
      <c r="B977">
        <v>291088925</v>
      </c>
      <c r="C977" t="s">
        <v>693</v>
      </c>
      <c r="D977" t="s">
        <v>9</v>
      </c>
      <c r="E977" s="9">
        <v>2000</v>
      </c>
      <c r="F977" s="9">
        <v>2000</v>
      </c>
      <c r="G977" s="9">
        <v>1400</v>
      </c>
      <c r="I977" t="s">
        <v>694</v>
      </c>
      <c r="J977" t="s">
        <v>460</v>
      </c>
      <c r="K977" t="s">
        <v>11</v>
      </c>
      <c r="L977" t="str">
        <f>T("9791191562187")</f>
        <v>9791191562187</v>
      </c>
    </row>
    <row r="978" spans="1:12">
      <c r="A978" s="8">
        <v>44643.997025462966</v>
      </c>
      <c r="B978">
        <v>291088925</v>
      </c>
      <c r="C978" t="s">
        <v>693</v>
      </c>
      <c r="D978" t="s">
        <v>9</v>
      </c>
      <c r="E978" s="9">
        <v>2000</v>
      </c>
      <c r="F978" s="9">
        <v>2000</v>
      </c>
      <c r="G978" s="9">
        <v>1400</v>
      </c>
      <c r="I978" t="s">
        <v>694</v>
      </c>
      <c r="J978" t="s">
        <v>460</v>
      </c>
      <c r="K978" t="s">
        <v>11</v>
      </c>
      <c r="L978" t="str">
        <f>T("9791191562187")</f>
        <v>9791191562187</v>
      </c>
    </row>
    <row r="979" spans="1:12">
      <c r="A979" s="8">
        <v>44644.027256944442</v>
      </c>
      <c r="B979">
        <v>291088925</v>
      </c>
      <c r="C979" t="s">
        <v>693</v>
      </c>
      <c r="D979" t="s">
        <v>9</v>
      </c>
      <c r="E979" s="9">
        <v>2000</v>
      </c>
      <c r="F979" s="9">
        <v>2000</v>
      </c>
      <c r="G979" s="9">
        <v>1400</v>
      </c>
      <c r="I979" t="s">
        <v>694</v>
      </c>
      <c r="J979" t="s">
        <v>460</v>
      </c>
      <c r="K979" t="s">
        <v>11</v>
      </c>
      <c r="L979" t="str">
        <f>T("9791191562187")</f>
        <v>9791191562187</v>
      </c>
    </row>
    <row r="980" spans="1:12">
      <c r="A980" s="8">
        <v>44644.040821759256</v>
      </c>
      <c r="B980">
        <v>286896672</v>
      </c>
      <c r="C980" t="s">
        <v>248</v>
      </c>
      <c r="D980" t="s">
        <v>9</v>
      </c>
      <c r="E980" s="9">
        <v>2500</v>
      </c>
      <c r="F980" s="9">
        <v>2500</v>
      </c>
      <c r="G980" s="9">
        <v>1750</v>
      </c>
      <c r="I980" t="s">
        <v>158</v>
      </c>
      <c r="J980" t="s">
        <v>460</v>
      </c>
      <c r="K980" t="s">
        <v>11</v>
      </c>
      <c r="L980" t="str">
        <f>T("9791191562002")</f>
        <v>9791191562002</v>
      </c>
    </row>
    <row r="981" spans="1:12">
      <c r="A981" s="8">
        <v>44644.050347222219</v>
      </c>
      <c r="B981">
        <v>246278199</v>
      </c>
      <c r="C981" t="s">
        <v>697</v>
      </c>
      <c r="D981" t="s">
        <v>9</v>
      </c>
      <c r="E981" s="9">
        <v>3200</v>
      </c>
      <c r="F981" s="9">
        <v>3200</v>
      </c>
      <c r="G981" s="9">
        <v>2240</v>
      </c>
      <c r="I981" t="s">
        <v>14</v>
      </c>
      <c r="J981" t="s">
        <v>11</v>
      </c>
      <c r="K981" t="s">
        <v>11</v>
      </c>
      <c r="L981" t="str">
        <f>T("9791188630110")</f>
        <v>9791188630110</v>
      </c>
    </row>
    <row r="982" spans="1:12">
      <c r="A982" s="8">
        <v>44644.066331018519</v>
      </c>
      <c r="B982">
        <v>290084502</v>
      </c>
      <c r="C982" t="s">
        <v>592</v>
      </c>
      <c r="D982" t="s">
        <v>9</v>
      </c>
      <c r="E982" s="9">
        <v>2500</v>
      </c>
      <c r="F982" s="9">
        <v>2500</v>
      </c>
      <c r="G982" s="9">
        <v>1750</v>
      </c>
      <c r="I982" t="s">
        <v>593</v>
      </c>
      <c r="J982" t="s">
        <v>460</v>
      </c>
      <c r="K982" t="s">
        <v>11</v>
      </c>
      <c r="L982" t="str">
        <f>T("9791191562125")</f>
        <v>9791191562125</v>
      </c>
    </row>
    <row r="983" spans="1:12">
      <c r="A983" s="8">
        <v>44644.14230324074</v>
      </c>
      <c r="B983">
        <v>281625197</v>
      </c>
      <c r="C983" t="s">
        <v>40</v>
      </c>
      <c r="D983" t="s">
        <v>9</v>
      </c>
      <c r="E983" s="9">
        <v>3200</v>
      </c>
      <c r="F983" s="9">
        <v>3200</v>
      </c>
      <c r="G983" s="9">
        <v>2240</v>
      </c>
      <c r="I983" t="s">
        <v>14</v>
      </c>
      <c r="J983" t="s">
        <v>11</v>
      </c>
      <c r="K983" t="s">
        <v>11</v>
      </c>
      <c r="L983" t="str">
        <f>T("9791137601024")</f>
        <v>9791137601024</v>
      </c>
    </row>
    <row r="984" spans="1:12">
      <c r="A984" s="8">
        <v>44644.170671296299</v>
      </c>
      <c r="B984">
        <v>246278092</v>
      </c>
      <c r="C984" t="s">
        <v>698</v>
      </c>
      <c r="D984" t="s">
        <v>9</v>
      </c>
      <c r="E984" s="9">
        <v>3200</v>
      </c>
      <c r="F984" s="9">
        <v>3200</v>
      </c>
      <c r="G984" s="9">
        <v>2240</v>
      </c>
      <c r="I984" t="s">
        <v>14</v>
      </c>
      <c r="J984" t="s">
        <v>11</v>
      </c>
      <c r="K984" t="s">
        <v>11</v>
      </c>
      <c r="L984" t="str">
        <f>T("9791188630127")</f>
        <v>9791188630127</v>
      </c>
    </row>
    <row r="985" spans="1:12">
      <c r="A985" s="8">
        <v>44644.29855324074</v>
      </c>
      <c r="B985">
        <v>246278153</v>
      </c>
      <c r="C985" t="s">
        <v>699</v>
      </c>
      <c r="D985" t="s">
        <v>9</v>
      </c>
      <c r="E985" s="9">
        <v>3200</v>
      </c>
      <c r="F985" s="9">
        <v>3200</v>
      </c>
      <c r="G985" s="9">
        <v>2240</v>
      </c>
      <c r="I985" t="s">
        <v>14</v>
      </c>
      <c r="J985" t="s">
        <v>11</v>
      </c>
      <c r="K985" t="s">
        <v>11</v>
      </c>
      <c r="L985" t="str">
        <f>T("9791188630134")</f>
        <v>9791188630134</v>
      </c>
    </row>
    <row r="986" spans="1:12">
      <c r="A986" s="8">
        <v>44644.321006944447</v>
      </c>
      <c r="B986">
        <v>290963570</v>
      </c>
      <c r="C986" t="s">
        <v>683</v>
      </c>
      <c r="D986" t="s">
        <v>9</v>
      </c>
      <c r="E986">
        <v>0</v>
      </c>
      <c r="F986">
        <v>0</v>
      </c>
      <c r="G986">
        <v>0</v>
      </c>
      <c r="I986" t="s">
        <v>684</v>
      </c>
      <c r="J986" t="s">
        <v>11</v>
      </c>
      <c r="K986" t="s">
        <v>11</v>
      </c>
      <c r="L986" t="str">
        <f>T("9791137603332")</f>
        <v>9791137603332</v>
      </c>
    </row>
    <row r="987" spans="1:12">
      <c r="A987" s="8">
        <v>44644.321006944447</v>
      </c>
      <c r="B987">
        <v>290963632</v>
      </c>
      <c r="C987" t="s">
        <v>686</v>
      </c>
      <c r="D987" t="s">
        <v>9</v>
      </c>
      <c r="E987">
        <v>0</v>
      </c>
      <c r="F987">
        <v>0</v>
      </c>
      <c r="G987">
        <v>0</v>
      </c>
      <c r="I987" t="s">
        <v>14</v>
      </c>
      <c r="J987" t="s">
        <v>11</v>
      </c>
      <c r="K987" t="s">
        <v>11</v>
      </c>
      <c r="L987" t="str">
        <f>T("9791137602854")</f>
        <v>9791137602854</v>
      </c>
    </row>
    <row r="988" spans="1:12">
      <c r="A988" s="8">
        <v>44644.321006944447</v>
      </c>
      <c r="B988">
        <v>290829048</v>
      </c>
      <c r="C988" t="s">
        <v>645</v>
      </c>
      <c r="D988" t="s">
        <v>9</v>
      </c>
      <c r="E988">
        <v>0</v>
      </c>
      <c r="F988">
        <v>0</v>
      </c>
      <c r="G988">
        <v>0</v>
      </c>
      <c r="I988" t="s">
        <v>28</v>
      </c>
      <c r="J988" t="s">
        <v>20</v>
      </c>
      <c r="K988" t="s">
        <v>11</v>
      </c>
      <c r="L988" t="str">
        <f>T("9791164480401")</f>
        <v>9791164480401</v>
      </c>
    </row>
    <row r="989" spans="1:12">
      <c r="A989" s="8">
        <v>44644.359016203707</v>
      </c>
      <c r="B989">
        <v>291088925</v>
      </c>
      <c r="C989" t="s">
        <v>693</v>
      </c>
      <c r="D989" t="s">
        <v>9</v>
      </c>
      <c r="E989" s="9">
        <v>2000</v>
      </c>
      <c r="F989" s="9">
        <v>2000</v>
      </c>
      <c r="G989" s="9">
        <v>1400</v>
      </c>
      <c r="I989" t="s">
        <v>694</v>
      </c>
      <c r="J989" t="s">
        <v>460</v>
      </c>
      <c r="K989" t="s">
        <v>11</v>
      </c>
      <c r="L989" t="str">
        <f>T("9791191562187")</f>
        <v>9791191562187</v>
      </c>
    </row>
    <row r="990" spans="1:12">
      <c r="A990" s="8">
        <v>44644.374525462961</v>
      </c>
      <c r="B990">
        <v>289956908</v>
      </c>
      <c r="C990" t="s">
        <v>481</v>
      </c>
      <c r="D990" t="s">
        <v>9</v>
      </c>
      <c r="E990" s="9">
        <v>2000</v>
      </c>
      <c r="F990" s="9">
        <v>2000</v>
      </c>
      <c r="G990" s="9">
        <v>1400</v>
      </c>
      <c r="I990" t="s">
        <v>457</v>
      </c>
      <c r="J990" t="s">
        <v>460</v>
      </c>
      <c r="K990" t="s">
        <v>11</v>
      </c>
      <c r="L990" t="str">
        <f>T("9791191562040")</f>
        <v>9791191562040</v>
      </c>
    </row>
    <row r="991" spans="1:12">
      <c r="A991" s="8">
        <v>44644.416979166665</v>
      </c>
      <c r="B991">
        <v>246278155</v>
      </c>
      <c r="C991" t="s">
        <v>726</v>
      </c>
      <c r="D991" t="s">
        <v>9</v>
      </c>
      <c r="E991" s="9">
        <v>3200</v>
      </c>
      <c r="F991" s="9">
        <v>3200</v>
      </c>
      <c r="G991" s="9">
        <v>2240</v>
      </c>
      <c r="I991" t="s">
        <v>14</v>
      </c>
      <c r="J991" t="s">
        <v>11</v>
      </c>
      <c r="K991" t="s">
        <v>11</v>
      </c>
      <c r="L991" t="str">
        <f>T("9791188630189")</f>
        <v>9791188630189</v>
      </c>
    </row>
    <row r="992" spans="1:12">
      <c r="A992" s="8">
        <v>44644.441886574074</v>
      </c>
      <c r="B992">
        <v>246278077</v>
      </c>
      <c r="C992" t="s">
        <v>714</v>
      </c>
      <c r="D992" t="s">
        <v>9</v>
      </c>
      <c r="E992" s="9">
        <v>3200</v>
      </c>
      <c r="F992" s="9">
        <v>3200</v>
      </c>
      <c r="G992" s="9">
        <v>2240</v>
      </c>
      <c r="I992" t="s">
        <v>14</v>
      </c>
      <c r="J992" t="s">
        <v>11</v>
      </c>
      <c r="K992" t="s">
        <v>11</v>
      </c>
      <c r="L992" t="str">
        <f>T("9791188630141")</f>
        <v>9791188630141</v>
      </c>
    </row>
    <row r="993" spans="1:12">
      <c r="A993" s="8">
        <v>44644.452847222223</v>
      </c>
      <c r="B993">
        <v>291369647</v>
      </c>
      <c r="C993" t="s">
        <v>724</v>
      </c>
      <c r="D993" t="s">
        <v>9</v>
      </c>
      <c r="E993" s="9">
        <v>2000</v>
      </c>
      <c r="F993" s="9">
        <v>2000</v>
      </c>
      <c r="G993" s="9">
        <v>1400</v>
      </c>
      <c r="I993" t="s">
        <v>725</v>
      </c>
      <c r="J993" t="s">
        <v>460</v>
      </c>
      <c r="K993" t="s">
        <v>11</v>
      </c>
      <c r="L993" t="str">
        <f>T("9791191562194")</f>
        <v>9791191562194</v>
      </c>
    </row>
    <row r="994" spans="1:12">
      <c r="A994" s="8">
        <v>44644.452974537038</v>
      </c>
      <c r="B994">
        <v>48791679</v>
      </c>
      <c r="C994" t="s">
        <v>30</v>
      </c>
      <c r="D994" t="s">
        <v>9</v>
      </c>
      <c r="E994">
        <v>0</v>
      </c>
      <c r="F994">
        <v>0</v>
      </c>
      <c r="G994">
        <v>0</v>
      </c>
      <c r="I994" t="s">
        <v>10</v>
      </c>
      <c r="J994" t="s">
        <v>11</v>
      </c>
      <c r="K994" t="s">
        <v>11</v>
      </c>
      <c r="L994" t="str">
        <f>T("9791159283628")</f>
        <v>9791159283628</v>
      </c>
    </row>
    <row r="995" spans="1:12">
      <c r="A995" s="8">
        <v>44644.513969907406</v>
      </c>
      <c r="B995">
        <v>48791730</v>
      </c>
      <c r="C995" t="s">
        <v>569</v>
      </c>
      <c r="D995" t="s">
        <v>9</v>
      </c>
      <c r="E995" s="9">
        <v>3200</v>
      </c>
      <c r="F995" s="9">
        <v>3200</v>
      </c>
      <c r="G995" s="9">
        <v>2240</v>
      </c>
      <c r="I995" t="s">
        <v>10</v>
      </c>
      <c r="J995" t="s">
        <v>11</v>
      </c>
      <c r="K995" t="s">
        <v>11</v>
      </c>
      <c r="L995" t="str">
        <f>T("9791159283420")</f>
        <v>9791159283420</v>
      </c>
    </row>
    <row r="996" spans="1:12">
      <c r="A996" s="8">
        <v>44644.514664351853</v>
      </c>
      <c r="B996">
        <v>291088925</v>
      </c>
      <c r="C996" t="s">
        <v>693</v>
      </c>
      <c r="D996" t="s">
        <v>9</v>
      </c>
      <c r="E996" s="9">
        <v>2000</v>
      </c>
      <c r="F996" s="9">
        <v>2000</v>
      </c>
      <c r="G996" s="9">
        <v>1400</v>
      </c>
      <c r="I996" t="s">
        <v>694</v>
      </c>
      <c r="J996" t="s">
        <v>460</v>
      </c>
      <c r="K996" t="s">
        <v>11</v>
      </c>
      <c r="L996" t="str">
        <f>T("9791191562187")</f>
        <v>9791191562187</v>
      </c>
    </row>
    <row r="997" spans="1:12">
      <c r="A997" s="8">
        <v>44644.573993055557</v>
      </c>
      <c r="B997">
        <v>246278180</v>
      </c>
      <c r="C997" t="s">
        <v>715</v>
      </c>
      <c r="D997" t="s">
        <v>9</v>
      </c>
      <c r="E997" s="9">
        <v>3200</v>
      </c>
      <c r="F997" s="9">
        <v>3200</v>
      </c>
      <c r="G997" s="9">
        <v>2240</v>
      </c>
      <c r="I997" t="s">
        <v>14</v>
      </c>
      <c r="J997" t="s">
        <v>11</v>
      </c>
      <c r="K997" t="s">
        <v>11</v>
      </c>
      <c r="L997" t="str">
        <f>T("9791188630158")</f>
        <v>9791188630158</v>
      </c>
    </row>
    <row r="998" spans="1:12">
      <c r="A998" s="8">
        <v>44644.588310185187</v>
      </c>
      <c r="B998">
        <v>291088925</v>
      </c>
      <c r="C998" t="s">
        <v>693</v>
      </c>
      <c r="D998" t="s">
        <v>9</v>
      </c>
      <c r="E998" s="9">
        <v>2000</v>
      </c>
      <c r="F998" s="9">
        <v>2000</v>
      </c>
      <c r="G998" s="9">
        <v>1400</v>
      </c>
      <c r="I998" t="s">
        <v>694</v>
      </c>
      <c r="J998" t="s">
        <v>460</v>
      </c>
      <c r="K998" t="s">
        <v>11</v>
      </c>
      <c r="L998" t="str">
        <f>T("9791191562187")</f>
        <v>9791191562187</v>
      </c>
    </row>
    <row r="999" spans="1:12">
      <c r="A999" s="8">
        <v>44644.605173611111</v>
      </c>
      <c r="B999">
        <v>284241808</v>
      </c>
      <c r="C999" t="s">
        <v>73</v>
      </c>
      <c r="D999" t="s">
        <v>9</v>
      </c>
      <c r="E999" s="9">
        <v>3600</v>
      </c>
      <c r="F999" s="9">
        <v>3600</v>
      </c>
      <c r="G999" s="9">
        <v>2520</v>
      </c>
      <c r="I999" t="s">
        <v>34</v>
      </c>
      <c r="J999" t="s">
        <v>588</v>
      </c>
      <c r="K999" t="s">
        <v>11</v>
      </c>
      <c r="L999" t="str">
        <f>T("9791166482557")</f>
        <v>9791166482557</v>
      </c>
    </row>
    <row r="1000" spans="1:12">
      <c r="A1000" s="8">
        <v>44644.628888888888</v>
      </c>
      <c r="B1000">
        <v>281625214</v>
      </c>
      <c r="C1000" t="s">
        <v>532</v>
      </c>
      <c r="D1000" t="s">
        <v>9</v>
      </c>
      <c r="E1000" s="9">
        <v>3200</v>
      </c>
      <c r="F1000" s="9">
        <v>3200</v>
      </c>
      <c r="G1000" s="9">
        <v>2240</v>
      </c>
      <c r="I1000" t="s">
        <v>14</v>
      </c>
      <c r="J1000" t="s">
        <v>11</v>
      </c>
      <c r="K1000" t="s">
        <v>11</v>
      </c>
      <c r="L1000" t="str">
        <f>T("9791137601178")</f>
        <v>9791137601178</v>
      </c>
    </row>
    <row r="1001" spans="1:12">
      <c r="A1001" s="8">
        <v>44644.63108796296</v>
      </c>
      <c r="B1001">
        <v>281625175</v>
      </c>
      <c r="C1001" t="s">
        <v>538</v>
      </c>
      <c r="D1001" t="s">
        <v>9</v>
      </c>
      <c r="E1001" s="9">
        <v>3200</v>
      </c>
      <c r="F1001" s="9">
        <v>3200</v>
      </c>
      <c r="G1001" s="9">
        <v>2240</v>
      </c>
      <c r="I1001" t="s">
        <v>14</v>
      </c>
      <c r="J1001" t="s">
        <v>11</v>
      </c>
      <c r="K1001" t="s">
        <v>11</v>
      </c>
      <c r="L1001" t="str">
        <f>T("9791137601031")</f>
        <v>9791137601031</v>
      </c>
    </row>
    <row r="1002" spans="1:12">
      <c r="A1002" s="8">
        <v>44644.722060185188</v>
      </c>
      <c r="B1002">
        <v>246278078</v>
      </c>
      <c r="C1002" t="s">
        <v>727</v>
      </c>
      <c r="D1002" t="s">
        <v>9</v>
      </c>
      <c r="E1002" s="9">
        <v>3200</v>
      </c>
      <c r="F1002" s="9">
        <v>3200</v>
      </c>
      <c r="G1002" s="9">
        <v>2240</v>
      </c>
      <c r="I1002" t="s">
        <v>14</v>
      </c>
      <c r="J1002" t="s">
        <v>11</v>
      </c>
      <c r="K1002" t="s">
        <v>11</v>
      </c>
      <c r="L1002" t="str">
        <f>T("9791188630196")</f>
        <v>9791188630196</v>
      </c>
    </row>
    <row r="1003" spans="1:12">
      <c r="A1003" s="8">
        <v>44644.722060185188</v>
      </c>
      <c r="B1003">
        <v>246278182</v>
      </c>
      <c r="C1003" t="s">
        <v>728</v>
      </c>
      <c r="D1003" t="s">
        <v>9</v>
      </c>
      <c r="E1003" s="9">
        <v>3200</v>
      </c>
      <c r="F1003" s="9">
        <v>3200</v>
      </c>
      <c r="G1003" s="9">
        <v>2240</v>
      </c>
      <c r="I1003" t="s">
        <v>14</v>
      </c>
      <c r="J1003" t="s">
        <v>11</v>
      </c>
      <c r="K1003" t="s">
        <v>11</v>
      </c>
      <c r="L1003" t="str">
        <f>T("9791188630202")</f>
        <v>9791188630202</v>
      </c>
    </row>
    <row r="1004" spans="1:12">
      <c r="A1004" s="8">
        <v>44644.722060185188</v>
      </c>
      <c r="B1004">
        <v>246278201</v>
      </c>
      <c r="C1004" t="s">
        <v>729</v>
      </c>
      <c r="D1004" t="s">
        <v>9</v>
      </c>
      <c r="E1004" s="9">
        <v>3200</v>
      </c>
      <c r="F1004" s="9">
        <v>3200</v>
      </c>
      <c r="G1004" s="9">
        <v>2240</v>
      </c>
      <c r="I1004" t="s">
        <v>14</v>
      </c>
      <c r="J1004" t="s">
        <v>11</v>
      </c>
      <c r="K1004" t="s">
        <v>11</v>
      </c>
      <c r="L1004" t="str">
        <f>T("9791188630219")</f>
        <v>9791188630219</v>
      </c>
    </row>
    <row r="1005" spans="1:12">
      <c r="A1005" s="8">
        <v>44644.747719907406</v>
      </c>
      <c r="B1005">
        <v>291088925</v>
      </c>
      <c r="C1005" t="s">
        <v>693</v>
      </c>
      <c r="D1005" t="s">
        <v>9</v>
      </c>
      <c r="E1005" s="9">
        <v>2000</v>
      </c>
      <c r="F1005" s="9">
        <v>2000</v>
      </c>
      <c r="G1005" s="9">
        <v>1400</v>
      </c>
      <c r="I1005" t="s">
        <v>694</v>
      </c>
      <c r="J1005" t="s">
        <v>460</v>
      </c>
      <c r="K1005" t="s">
        <v>11</v>
      </c>
      <c r="L1005" t="str">
        <f>T("9791191562187")</f>
        <v>9791191562187</v>
      </c>
    </row>
    <row r="1006" spans="1:12">
      <c r="A1006" s="8">
        <v>44644.758796296293</v>
      </c>
      <c r="B1006">
        <v>291088925</v>
      </c>
      <c r="C1006" t="s">
        <v>693</v>
      </c>
      <c r="D1006" t="s">
        <v>9</v>
      </c>
      <c r="E1006" s="9">
        <v>2000</v>
      </c>
      <c r="F1006" s="9">
        <v>2000</v>
      </c>
      <c r="G1006" s="9">
        <v>1400</v>
      </c>
      <c r="I1006" t="s">
        <v>694</v>
      </c>
      <c r="J1006" t="s">
        <v>460</v>
      </c>
      <c r="K1006" t="s">
        <v>11</v>
      </c>
      <c r="L1006" t="str">
        <f>T("9791191562187")</f>
        <v>9791191562187</v>
      </c>
    </row>
    <row r="1007" spans="1:12">
      <c r="A1007" s="8">
        <v>44644.761597222219</v>
      </c>
      <c r="B1007">
        <v>290197934</v>
      </c>
      <c r="C1007" t="s">
        <v>604</v>
      </c>
      <c r="D1007" t="s">
        <v>9</v>
      </c>
      <c r="E1007" s="9">
        <v>2000</v>
      </c>
      <c r="F1007" s="9">
        <v>2000</v>
      </c>
      <c r="G1007" s="9">
        <v>1400</v>
      </c>
      <c r="I1007" t="s">
        <v>605</v>
      </c>
      <c r="J1007" t="s">
        <v>460</v>
      </c>
      <c r="K1007" t="s">
        <v>11</v>
      </c>
      <c r="L1007" t="str">
        <f>T("9791191562163")</f>
        <v>9791191562163</v>
      </c>
    </row>
    <row r="1008" spans="1:12">
      <c r="A1008" s="8">
        <v>44644.78806712963</v>
      </c>
      <c r="B1008">
        <v>263959396</v>
      </c>
      <c r="C1008" t="s">
        <v>730</v>
      </c>
      <c r="D1008" t="s">
        <v>9</v>
      </c>
      <c r="E1008" s="9">
        <v>134400</v>
      </c>
      <c r="F1008" s="9">
        <v>134400</v>
      </c>
      <c r="G1008" s="9">
        <v>94080</v>
      </c>
      <c r="I1008" t="s">
        <v>13</v>
      </c>
      <c r="J1008" t="s">
        <v>11</v>
      </c>
      <c r="K1008" t="s">
        <v>11</v>
      </c>
      <c r="L1008" t="str">
        <f>T("9791166300455")</f>
        <v>9791166300455</v>
      </c>
    </row>
    <row r="1009" spans="1:12">
      <c r="A1009" s="8">
        <v>44644.800474537034</v>
      </c>
      <c r="B1009">
        <v>290084502</v>
      </c>
      <c r="C1009" t="s">
        <v>592</v>
      </c>
      <c r="D1009" t="s">
        <v>9</v>
      </c>
      <c r="E1009" s="9">
        <v>2500</v>
      </c>
      <c r="F1009" s="9">
        <v>2500</v>
      </c>
      <c r="G1009" s="9">
        <v>1750</v>
      </c>
      <c r="I1009" t="s">
        <v>593</v>
      </c>
      <c r="J1009" t="s">
        <v>460</v>
      </c>
      <c r="K1009" t="s">
        <v>11</v>
      </c>
      <c r="L1009" t="str">
        <f>T("9791191562125")</f>
        <v>9791191562125</v>
      </c>
    </row>
    <row r="1010" spans="1:12">
      <c r="A1010" s="8">
        <v>44644.800474537034</v>
      </c>
      <c r="B1010">
        <v>291088925</v>
      </c>
      <c r="C1010" t="s">
        <v>693</v>
      </c>
      <c r="D1010" t="s">
        <v>9</v>
      </c>
      <c r="E1010" s="9">
        <v>2000</v>
      </c>
      <c r="F1010" s="9">
        <v>2000</v>
      </c>
      <c r="G1010" s="9">
        <v>1400</v>
      </c>
      <c r="I1010" t="s">
        <v>694</v>
      </c>
      <c r="J1010" t="s">
        <v>460</v>
      </c>
      <c r="K1010" t="s">
        <v>11</v>
      </c>
      <c r="L1010" t="str">
        <f>T("9791191562187")</f>
        <v>9791191562187</v>
      </c>
    </row>
    <row r="1011" spans="1:12">
      <c r="A1011" s="8">
        <v>44644.80232638889</v>
      </c>
      <c r="B1011">
        <v>291088925</v>
      </c>
      <c r="C1011" t="s">
        <v>693</v>
      </c>
      <c r="D1011" t="s">
        <v>9</v>
      </c>
      <c r="E1011" s="9">
        <v>2000</v>
      </c>
      <c r="F1011" s="9">
        <v>2000</v>
      </c>
      <c r="G1011" s="9">
        <v>1400</v>
      </c>
      <c r="I1011" t="s">
        <v>694</v>
      </c>
      <c r="J1011" t="s">
        <v>460</v>
      </c>
      <c r="K1011" t="s">
        <v>11</v>
      </c>
      <c r="L1011" t="str">
        <f>T("9791191562187")</f>
        <v>9791191562187</v>
      </c>
    </row>
    <row r="1012" spans="1:12">
      <c r="A1012" s="8">
        <v>44644.811388888891</v>
      </c>
      <c r="B1012">
        <v>290963607</v>
      </c>
      <c r="C1012" t="s">
        <v>681</v>
      </c>
      <c r="D1012" t="s">
        <v>9</v>
      </c>
      <c r="E1012" s="9">
        <v>3500</v>
      </c>
      <c r="F1012" s="9">
        <v>3500</v>
      </c>
      <c r="G1012" s="9">
        <v>2450</v>
      </c>
      <c r="I1012" t="s">
        <v>682</v>
      </c>
      <c r="J1012" t="s">
        <v>460</v>
      </c>
      <c r="K1012" t="s">
        <v>11</v>
      </c>
      <c r="L1012" t="str">
        <f>T("9791191562132")</f>
        <v>9791191562132</v>
      </c>
    </row>
    <row r="1013" spans="1:12">
      <c r="A1013" s="8">
        <v>44644.882326388892</v>
      </c>
      <c r="B1013">
        <v>290197934</v>
      </c>
      <c r="C1013" t="s">
        <v>604</v>
      </c>
      <c r="D1013" t="s">
        <v>9</v>
      </c>
      <c r="E1013" s="9">
        <v>2000</v>
      </c>
      <c r="F1013" s="9">
        <v>2000</v>
      </c>
      <c r="G1013" s="9">
        <v>1400</v>
      </c>
      <c r="I1013" t="s">
        <v>605</v>
      </c>
      <c r="J1013" t="s">
        <v>460</v>
      </c>
      <c r="K1013" t="s">
        <v>11</v>
      </c>
      <c r="L1013" t="str">
        <f>T("9791191562163")</f>
        <v>9791191562163</v>
      </c>
    </row>
    <row r="1014" spans="1:12">
      <c r="A1014" s="8">
        <v>44644.913541666669</v>
      </c>
      <c r="B1014">
        <v>290963607</v>
      </c>
      <c r="C1014" t="s">
        <v>681</v>
      </c>
      <c r="D1014" t="s">
        <v>9</v>
      </c>
      <c r="E1014" s="9">
        <v>3500</v>
      </c>
      <c r="F1014" s="9">
        <v>3500</v>
      </c>
      <c r="G1014" s="9">
        <v>2450</v>
      </c>
      <c r="I1014" t="s">
        <v>682</v>
      </c>
      <c r="J1014" t="s">
        <v>460</v>
      </c>
      <c r="K1014" t="s">
        <v>11</v>
      </c>
      <c r="L1014" t="str">
        <f>T("9791191562132")</f>
        <v>9791191562132</v>
      </c>
    </row>
    <row r="1015" spans="1:12">
      <c r="A1015" s="8">
        <v>44644.915300925924</v>
      </c>
      <c r="B1015">
        <v>291088925</v>
      </c>
      <c r="C1015" t="s">
        <v>693</v>
      </c>
      <c r="D1015" t="s">
        <v>9</v>
      </c>
      <c r="E1015" s="9">
        <v>2000</v>
      </c>
      <c r="F1015" s="9">
        <v>2000</v>
      </c>
      <c r="G1015" s="9">
        <v>1400</v>
      </c>
      <c r="I1015" t="s">
        <v>694</v>
      </c>
      <c r="J1015" t="s">
        <v>460</v>
      </c>
      <c r="K1015" t="s">
        <v>11</v>
      </c>
      <c r="L1015" t="str">
        <f>T("9791191562187")</f>
        <v>9791191562187</v>
      </c>
    </row>
    <row r="1016" spans="1:12">
      <c r="A1016" s="8">
        <v>44644.915300925924</v>
      </c>
      <c r="B1016">
        <v>289315562</v>
      </c>
      <c r="C1016" t="s">
        <v>478</v>
      </c>
      <c r="D1016" t="s">
        <v>9</v>
      </c>
      <c r="E1016" s="9">
        <v>3000</v>
      </c>
      <c r="F1016" s="9">
        <v>3000</v>
      </c>
      <c r="G1016" s="9">
        <v>2100</v>
      </c>
      <c r="I1016" t="s">
        <v>454</v>
      </c>
      <c r="J1016" t="s">
        <v>460</v>
      </c>
      <c r="K1016" t="s">
        <v>11</v>
      </c>
      <c r="L1016" t="str">
        <f>T("9791191562101")</f>
        <v>9791191562101</v>
      </c>
    </row>
    <row r="1017" spans="1:12">
      <c r="A1017" s="8">
        <v>44644.922685185185</v>
      </c>
      <c r="B1017">
        <v>251511913</v>
      </c>
      <c r="C1017" t="s">
        <v>731</v>
      </c>
      <c r="D1017" t="s">
        <v>9</v>
      </c>
      <c r="E1017" s="9">
        <v>105600</v>
      </c>
      <c r="F1017" s="9">
        <v>105600</v>
      </c>
      <c r="G1017" s="9">
        <v>73920</v>
      </c>
      <c r="I1017" t="s">
        <v>32</v>
      </c>
      <c r="J1017" t="s">
        <v>11</v>
      </c>
      <c r="K1017" t="s">
        <v>11</v>
      </c>
      <c r="L1017" t="str">
        <f>T("9791166068904")</f>
        <v>9791166068904</v>
      </c>
    </row>
    <row r="1018" spans="1:12">
      <c r="A1018" s="8">
        <v>44644.924004629633</v>
      </c>
      <c r="B1018">
        <v>290963607</v>
      </c>
      <c r="C1018" t="s">
        <v>681</v>
      </c>
      <c r="D1018" t="s">
        <v>9</v>
      </c>
      <c r="E1018" s="9">
        <v>3500</v>
      </c>
      <c r="F1018" s="9">
        <v>3500</v>
      </c>
      <c r="G1018" s="9">
        <v>2450</v>
      </c>
      <c r="I1018" t="s">
        <v>682</v>
      </c>
      <c r="J1018" t="s">
        <v>460</v>
      </c>
      <c r="K1018" t="s">
        <v>11</v>
      </c>
      <c r="L1018" t="str">
        <f>T("9791191562132")</f>
        <v>9791191562132</v>
      </c>
    </row>
    <row r="1019" spans="1:12">
      <c r="A1019" s="8">
        <v>44644.95957175926</v>
      </c>
      <c r="B1019">
        <v>290084502</v>
      </c>
      <c r="C1019" t="s">
        <v>592</v>
      </c>
      <c r="D1019" t="s">
        <v>9</v>
      </c>
      <c r="E1019" s="9">
        <v>2500</v>
      </c>
      <c r="F1019" s="9">
        <v>2500</v>
      </c>
      <c r="G1019" s="9">
        <v>1750</v>
      </c>
      <c r="I1019" t="s">
        <v>593</v>
      </c>
      <c r="J1019" t="s">
        <v>460</v>
      </c>
      <c r="K1019" t="s">
        <v>11</v>
      </c>
      <c r="L1019" t="str">
        <f>T("9791191562125")</f>
        <v>9791191562125</v>
      </c>
    </row>
    <row r="1020" spans="1:12">
      <c r="A1020" s="8">
        <v>44644.95957175926</v>
      </c>
      <c r="B1020">
        <v>286896672</v>
      </c>
      <c r="C1020" t="s">
        <v>248</v>
      </c>
      <c r="D1020" t="s">
        <v>9</v>
      </c>
      <c r="E1020" s="9">
        <v>2500</v>
      </c>
      <c r="F1020" s="9">
        <v>2500</v>
      </c>
      <c r="G1020" s="9">
        <v>1750</v>
      </c>
      <c r="I1020" t="s">
        <v>158</v>
      </c>
      <c r="J1020" t="s">
        <v>460</v>
      </c>
      <c r="K1020" t="s">
        <v>11</v>
      </c>
      <c r="L1020" t="str">
        <f>T("9791191562002")</f>
        <v>9791191562002</v>
      </c>
    </row>
    <row r="1021" spans="1:12">
      <c r="A1021" s="8">
        <v>44644.969502314816</v>
      </c>
      <c r="B1021">
        <v>290197934</v>
      </c>
      <c r="C1021" t="s">
        <v>604</v>
      </c>
      <c r="D1021" t="s">
        <v>9</v>
      </c>
      <c r="E1021" s="9">
        <v>2000</v>
      </c>
      <c r="F1021" s="9">
        <v>2000</v>
      </c>
      <c r="G1021" s="9">
        <v>1400</v>
      </c>
      <c r="I1021" t="s">
        <v>605</v>
      </c>
      <c r="J1021" t="s">
        <v>460</v>
      </c>
      <c r="K1021" t="s">
        <v>11</v>
      </c>
      <c r="L1021" t="str">
        <f>T("9791191562163")</f>
        <v>9791191562163</v>
      </c>
    </row>
    <row r="1022" spans="1:12">
      <c r="A1022" s="8">
        <v>44644.988622685189</v>
      </c>
      <c r="B1022">
        <v>291088925</v>
      </c>
      <c r="C1022" t="s">
        <v>693</v>
      </c>
      <c r="D1022" t="s">
        <v>9</v>
      </c>
      <c r="E1022" s="9">
        <v>2000</v>
      </c>
      <c r="F1022" s="9">
        <v>2000</v>
      </c>
      <c r="G1022" s="9">
        <v>1400</v>
      </c>
      <c r="I1022" t="s">
        <v>694</v>
      </c>
      <c r="J1022" t="s">
        <v>460</v>
      </c>
      <c r="K1022" t="s">
        <v>11</v>
      </c>
      <c r="L1022" t="str">
        <f>T("9791191562187")</f>
        <v>9791191562187</v>
      </c>
    </row>
    <row r="1023" spans="1:12">
      <c r="A1023" s="8">
        <v>44644.997835648152</v>
      </c>
      <c r="B1023">
        <v>291088925</v>
      </c>
      <c r="C1023" t="s">
        <v>693</v>
      </c>
      <c r="D1023" t="s">
        <v>9</v>
      </c>
      <c r="E1023" s="9">
        <v>2000</v>
      </c>
      <c r="F1023" s="9">
        <v>2000</v>
      </c>
      <c r="G1023" s="9">
        <v>1400</v>
      </c>
      <c r="I1023" t="s">
        <v>694</v>
      </c>
      <c r="J1023" t="s">
        <v>460</v>
      </c>
      <c r="K1023" t="s">
        <v>11</v>
      </c>
      <c r="L1023" t="str">
        <f>T("9791191562187")</f>
        <v>9791191562187</v>
      </c>
    </row>
    <row r="1024" spans="1:12">
      <c r="A1024" s="8">
        <v>44645.003784722219</v>
      </c>
      <c r="B1024">
        <v>291088925</v>
      </c>
      <c r="C1024" t="s">
        <v>693</v>
      </c>
      <c r="D1024" t="s">
        <v>9</v>
      </c>
      <c r="E1024" s="9">
        <v>2000</v>
      </c>
      <c r="F1024" s="9">
        <v>2000</v>
      </c>
      <c r="G1024" s="9">
        <v>1400</v>
      </c>
      <c r="I1024" t="s">
        <v>694</v>
      </c>
      <c r="J1024" t="s">
        <v>460</v>
      </c>
      <c r="K1024" t="s">
        <v>11</v>
      </c>
      <c r="L1024" t="str">
        <f>T("9791191562187")</f>
        <v>9791191562187</v>
      </c>
    </row>
    <row r="1025" spans="1:12">
      <c r="A1025" s="8">
        <v>44645.00854166667</v>
      </c>
      <c r="B1025">
        <v>286405921</v>
      </c>
      <c r="C1025" t="s">
        <v>245</v>
      </c>
      <c r="D1025" t="s">
        <v>9</v>
      </c>
      <c r="E1025" s="9">
        <v>2500</v>
      </c>
      <c r="F1025" s="9">
        <v>2500</v>
      </c>
      <c r="G1025" s="9">
        <v>1750</v>
      </c>
      <c r="I1025" t="s">
        <v>221</v>
      </c>
      <c r="J1025" t="s">
        <v>460</v>
      </c>
      <c r="K1025" t="s">
        <v>11</v>
      </c>
      <c r="L1025" t="str">
        <f>T("9791196945268")</f>
        <v>9791196945268</v>
      </c>
    </row>
    <row r="1026" spans="1:12">
      <c r="A1026" s="8">
        <v>44645.009791666664</v>
      </c>
      <c r="B1026">
        <v>291088925</v>
      </c>
      <c r="C1026" t="s">
        <v>693</v>
      </c>
      <c r="D1026" t="s">
        <v>9</v>
      </c>
      <c r="E1026" s="9">
        <v>2000</v>
      </c>
      <c r="F1026" s="9">
        <v>2000</v>
      </c>
      <c r="G1026" s="9">
        <v>1400</v>
      </c>
      <c r="I1026" t="s">
        <v>694</v>
      </c>
      <c r="J1026" t="s">
        <v>460</v>
      </c>
      <c r="K1026" t="s">
        <v>11</v>
      </c>
      <c r="L1026" t="str">
        <f>T("9791191562187")</f>
        <v>9791191562187</v>
      </c>
    </row>
    <row r="1027" spans="1:12">
      <c r="A1027" s="8">
        <v>44645.028761574074</v>
      </c>
      <c r="B1027">
        <v>246278200</v>
      </c>
      <c r="C1027" t="s">
        <v>550</v>
      </c>
      <c r="D1027" t="s">
        <v>9</v>
      </c>
      <c r="E1027" s="9">
        <v>3200</v>
      </c>
      <c r="F1027" s="9">
        <v>3200</v>
      </c>
      <c r="G1027" s="9">
        <v>2240</v>
      </c>
      <c r="I1027" t="s">
        <v>14</v>
      </c>
      <c r="J1027" t="s">
        <v>11</v>
      </c>
      <c r="K1027" t="s">
        <v>11</v>
      </c>
      <c r="L1027" t="str">
        <f>T("9791188630165")</f>
        <v>9791188630165</v>
      </c>
    </row>
    <row r="1028" spans="1:12">
      <c r="A1028" s="8">
        <v>44645.030532407407</v>
      </c>
      <c r="B1028">
        <v>291088925</v>
      </c>
      <c r="C1028" t="s">
        <v>693</v>
      </c>
      <c r="D1028" t="s">
        <v>9</v>
      </c>
      <c r="E1028" s="9">
        <v>2000</v>
      </c>
      <c r="F1028" s="9">
        <v>2000</v>
      </c>
      <c r="G1028" s="9">
        <v>1400</v>
      </c>
      <c r="I1028" t="s">
        <v>694</v>
      </c>
      <c r="J1028" t="s">
        <v>460</v>
      </c>
      <c r="K1028" t="s">
        <v>11</v>
      </c>
      <c r="L1028" t="str">
        <f>T("9791191562187")</f>
        <v>9791191562187</v>
      </c>
    </row>
    <row r="1029" spans="1:12">
      <c r="A1029" s="8">
        <v>44645.046736111108</v>
      </c>
      <c r="B1029">
        <v>271217202</v>
      </c>
      <c r="C1029" t="s">
        <v>648</v>
      </c>
      <c r="D1029" t="s">
        <v>9</v>
      </c>
      <c r="E1029" s="9">
        <v>9400</v>
      </c>
      <c r="F1029" s="9">
        <v>9400</v>
      </c>
      <c r="G1029" s="9">
        <v>6580</v>
      </c>
      <c r="I1029" t="s">
        <v>585</v>
      </c>
      <c r="J1029" t="s">
        <v>11</v>
      </c>
      <c r="K1029" t="s">
        <v>11</v>
      </c>
      <c r="L1029" t="str">
        <f>T("9791137601185")</f>
        <v>9791137601185</v>
      </c>
    </row>
    <row r="1030" spans="1:12">
      <c r="A1030" s="8">
        <v>44645.051365740743</v>
      </c>
      <c r="B1030">
        <v>290197934</v>
      </c>
      <c r="C1030" t="s">
        <v>604</v>
      </c>
      <c r="D1030" t="s">
        <v>9</v>
      </c>
      <c r="E1030" s="9">
        <v>2000</v>
      </c>
      <c r="F1030" s="9">
        <v>2000</v>
      </c>
      <c r="G1030" s="9">
        <v>1400</v>
      </c>
      <c r="I1030" t="s">
        <v>605</v>
      </c>
      <c r="J1030" t="s">
        <v>460</v>
      </c>
      <c r="K1030" t="s">
        <v>11</v>
      </c>
      <c r="L1030" t="str">
        <f>T("9791191562163")</f>
        <v>9791191562163</v>
      </c>
    </row>
    <row r="1031" spans="1:12">
      <c r="A1031" s="8">
        <v>44645.051365740743</v>
      </c>
      <c r="B1031">
        <v>291088925</v>
      </c>
      <c r="C1031" t="s">
        <v>693</v>
      </c>
      <c r="D1031" t="s">
        <v>9</v>
      </c>
      <c r="E1031" s="9">
        <v>2000</v>
      </c>
      <c r="F1031" s="9">
        <v>2000</v>
      </c>
      <c r="G1031" s="9">
        <v>1400</v>
      </c>
      <c r="I1031" t="s">
        <v>694</v>
      </c>
      <c r="J1031" t="s">
        <v>460</v>
      </c>
      <c r="K1031" t="s">
        <v>11</v>
      </c>
      <c r="L1031" t="str">
        <f>T("9791191562187")</f>
        <v>9791191562187</v>
      </c>
    </row>
    <row r="1032" spans="1:12">
      <c r="A1032" s="8">
        <v>44645.053356481483</v>
      </c>
      <c r="B1032">
        <v>290197934</v>
      </c>
      <c r="C1032" t="s">
        <v>604</v>
      </c>
      <c r="D1032" t="s">
        <v>9</v>
      </c>
      <c r="E1032" s="9">
        <v>2000</v>
      </c>
      <c r="F1032" s="9">
        <v>2000</v>
      </c>
      <c r="G1032" s="9">
        <v>1400</v>
      </c>
      <c r="I1032" t="s">
        <v>605</v>
      </c>
      <c r="J1032" t="s">
        <v>460</v>
      </c>
      <c r="K1032" t="s">
        <v>11</v>
      </c>
      <c r="L1032" t="str">
        <f>T("9791191562163")</f>
        <v>9791191562163</v>
      </c>
    </row>
    <row r="1033" spans="1:12">
      <c r="A1033" s="8">
        <v>44645.056944444441</v>
      </c>
      <c r="B1033">
        <v>291088925</v>
      </c>
      <c r="C1033" t="s">
        <v>693</v>
      </c>
      <c r="D1033" t="s">
        <v>9</v>
      </c>
      <c r="E1033" s="9">
        <v>2000</v>
      </c>
      <c r="F1033" s="9">
        <v>2000</v>
      </c>
      <c r="G1033" s="9">
        <v>1400</v>
      </c>
      <c r="I1033" t="s">
        <v>694</v>
      </c>
      <c r="J1033" t="s">
        <v>460</v>
      </c>
      <c r="K1033" t="s">
        <v>11</v>
      </c>
      <c r="L1033" t="str">
        <f>T("9791191562187")</f>
        <v>9791191562187</v>
      </c>
    </row>
    <row r="1034" spans="1:12">
      <c r="A1034" s="8">
        <v>44645.070520833331</v>
      </c>
      <c r="B1034">
        <v>291088925</v>
      </c>
      <c r="C1034" t="s">
        <v>693</v>
      </c>
      <c r="D1034" t="s">
        <v>9</v>
      </c>
      <c r="E1034" s="9">
        <v>2000</v>
      </c>
      <c r="F1034" s="9">
        <v>2000</v>
      </c>
      <c r="G1034" s="9">
        <v>1400</v>
      </c>
      <c r="I1034" t="s">
        <v>694</v>
      </c>
      <c r="J1034" t="s">
        <v>460</v>
      </c>
      <c r="K1034" t="s">
        <v>11</v>
      </c>
      <c r="L1034" t="str">
        <f>T("9791191562187")</f>
        <v>9791191562187</v>
      </c>
    </row>
    <row r="1035" spans="1:12">
      <c r="A1035" s="8">
        <v>44645.085601851853</v>
      </c>
      <c r="B1035">
        <v>291088925</v>
      </c>
      <c r="C1035" t="s">
        <v>693</v>
      </c>
      <c r="D1035" t="s">
        <v>9</v>
      </c>
      <c r="E1035" s="9">
        <v>2000</v>
      </c>
      <c r="F1035" s="9">
        <v>2000</v>
      </c>
      <c r="G1035" s="9">
        <v>1400</v>
      </c>
      <c r="I1035" t="s">
        <v>694</v>
      </c>
      <c r="J1035" t="s">
        <v>460</v>
      </c>
      <c r="K1035" t="s">
        <v>11</v>
      </c>
      <c r="L1035" t="str">
        <f>T("9791191562187")</f>
        <v>9791191562187</v>
      </c>
    </row>
    <row r="1036" spans="1:12">
      <c r="A1036" s="8">
        <v>44645.085601851853</v>
      </c>
      <c r="B1036">
        <v>290963607</v>
      </c>
      <c r="C1036" t="s">
        <v>681</v>
      </c>
      <c r="D1036" t="s">
        <v>9</v>
      </c>
      <c r="E1036" s="9">
        <v>3500</v>
      </c>
      <c r="F1036" s="9">
        <v>3500</v>
      </c>
      <c r="G1036" s="9">
        <v>2450</v>
      </c>
      <c r="I1036" t="s">
        <v>682</v>
      </c>
      <c r="J1036" t="s">
        <v>460</v>
      </c>
      <c r="K1036" t="s">
        <v>11</v>
      </c>
      <c r="L1036" t="str">
        <f>T("9791191562132")</f>
        <v>9791191562132</v>
      </c>
    </row>
    <row r="1037" spans="1:12">
      <c r="A1037" s="8">
        <v>44645.090219907404</v>
      </c>
      <c r="B1037">
        <v>281625181</v>
      </c>
      <c r="C1037" t="s">
        <v>537</v>
      </c>
      <c r="D1037" t="s">
        <v>9</v>
      </c>
      <c r="E1037" s="9">
        <v>3200</v>
      </c>
      <c r="F1037" s="9">
        <v>3200</v>
      </c>
      <c r="G1037" s="9">
        <v>2240</v>
      </c>
      <c r="I1037" t="s">
        <v>14</v>
      </c>
      <c r="J1037" t="s">
        <v>11</v>
      </c>
      <c r="K1037" t="s">
        <v>11</v>
      </c>
      <c r="L1037" t="str">
        <f>T("9791137601048")</f>
        <v>9791137601048</v>
      </c>
    </row>
    <row r="1038" spans="1:12">
      <c r="A1038" s="8">
        <v>44645.090219907404</v>
      </c>
      <c r="B1038">
        <v>281625210</v>
      </c>
      <c r="C1038" t="s">
        <v>536</v>
      </c>
      <c r="D1038" t="s">
        <v>9</v>
      </c>
      <c r="E1038" s="9">
        <v>3200</v>
      </c>
      <c r="F1038" s="9">
        <v>3200</v>
      </c>
      <c r="G1038" s="9">
        <v>2240</v>
      </c>
      <c r="I1038" t="s">
        <v>14</v>
      </c>
      <c r="J1038" t="s">
        <v>11</v>
      </c>
      <c r="K1038" t="s">
        <v>11</v>
      </c>
      <c r="L1038" t="str">
        <f>T("9791137601055")</f>
        <v>9791137601055</v>
      </c>
    </row>
    <row r="1039" spans="1:12">
      <c r="A1039" s="8">
        <v>44645.191921296297</v>
      </c>
      <c r="B1039">
        <v>291088925</v>
      </c>
      <c r="C1039" t="s">
        <v>693</v>
      </c>
      <c r="D1039" t="s">
        <v>9</v>
      </c>
      <c r="E1039" s="9">
        <v>2000</v>
      </c>
      <c r="F1039" s="9">
        <v>2000</v>
      </c>
      <c r="G1039" s="9">
        <v>1400</v>
      </c>
      <c r="I1039" t="s">
        <v>694</v>
      </c>
      <c r="J1039" t="s">
        <v>460</v>
      </c>
      <c r="K1039" t="s">
        <v>11</v>
      </c>
      <c r="L1039" t="str">
        <f>T("9791191562187")</f>
        <v>9791191562187</v>
      </c>
    </row>
    <row r="1040" spans="1:12">
      <c r="A1040" s="8">
        <v>44645.308969907404</v>
      </c>
      <c r="B1040">
        <v>291369647</v>
      </c>
      <c r="C1040" t="s">
        <v>724</v>
      </c>
      <c r="D1040" t="s">
        <v>9</v>
      </c>
      <c r="E1040" s="9">
        <v>2000</v>
      </c>
      <c r="F1040" s="9">
        <v>2000</v>
      </c>
      <c r="G1040" s="9">
        <v>1400</v>
      </c>
      <c r="I1040" t="s">
        <v>725</v>
      </c>
      <c r="J1040" t="s">
        <v>460</v>
      </c>
      <c r="K1040" t="s">
        <v>11</v>
      </c>
      <c r="L1040" t="str">
        <f>T("9791191562194")</f>
        <v>9791191562194</v>
      </c>
    </row>
    <row r="1041" spans="1:12">
      <c r="A1041" s="8">
        <v>44645.380949074075</v>
      </c>
      <c r="B1041">
        <v>291088925</v>
      </c>
      <c r="C1041" t="s">
        <v>693</v>
      </c>
      <c r="D1041" t="s">
        <v>9</v>
      </c>
      <c r="E1041" s="9">
        <v>2000</v>
      </c>
      <c r="F1041" s="9">
        <v>2000</v>
      </c>
      <c r="G1041" s="9">
        <v>1400</v>
      </c>
      <c r="I1041" t="s">
        <v>694</v>
      </c>
      <c r="J1041" t="s">
        <v>460</v>
      </c>
      <c r="K1041" t="s">
        <v>11</v>
      </c>
      <c r="L1041" t="str">
        <f t="shared" ref="L1041:L1049" si="11">T("9791191562187")</f>
        <v>9791191562187</v>
      </c>
    </row>
    <row r="1042" spans="1:12">
      <c r="A1042" s="8">
        <v>44645.398645833331</v>
      </c>
      <c r="B1042">
        <v>291088925</v>
      </c>
      <c r="C1042" t="s">
        <v>693</v>
      </c>
      <c r="D1042" t="s">
        <v>9</v>
      </c>
      <c r="E1042" s="9">
        <v>2000</v>
      </c>
      <c r="F1042" s="9">
        <v>2000</v>
      </c>
      <c r="G1042" s="9">
        <v>1400</v>
      </c>
      <c r="I1042" t="s">
        <v>694</v>
      </c>
      <c r="J1042" t="s">
        <v>460</v>
      </c>
      <c r="K1042" t="s">
        <v>11</v>
      </c>
      <c r="L1042" t="str">
        <f t="shared" si="11"/>
        <v>9791191562187</v>
      </c>
    </row>
    <row r="1043" spans="1:12">
      <c r="A1043" s="8">
        <v>44645.409942129627</v>
      </c>
      <c r="B1043">
        <v>291088925</v>
      </c>
      <c r="C1043" t="s">
        <v>693</v>
      </c>
      <c r="D1043" t="s">
        <v>9</v>
      </c>
      <c r="E1043" s="9">
        <v>2000</v>
      </c>
      <c r="F1043" s="9">
        <v>2000</v>
      </c>
      <c r="G1043" s="9">
        <v>1400</v>
      </c>
      <c r="I1043" t="s">
        <v>694</v>
      </c>
      <c r="J1043" t="s">
        <v>460</v>
      </c>
      <c r="K1043" t="s">
        <v>11</v>
      </c>
      <c r="L1043" t="str">
        <f t="shared" si="11"/>
        <v>9791191562187</v>
      </c>
    </row>
    <row r="1044" spans="1:12">
      <c r="A1044" s="8">
        <v>44645.412268518521</v>
      </c>
      <c r="B1044">
        <v>291088925</v>
      </c>
      <c r="C1044" t="s">
        <v>693</v>
      </c>
      <c r="D1044" t="s">
        <v>9</v>
      </c>
      <c r="E1044" s="9">
        <v>2000</v>
      </c>
      <c r="F1044" s="9">
        <v>2000</v>
      </c>
      <c r="G1044" s="9">
        <v>1400</v>
      </c>
      <c r="I1044" t="s">
        <v>694</v>
      </c>
      <c r="J1044" t="s">
        <v>460</v>
      </c>
      <c r="K1044" t="s">
        <v>11</v>
      </c>
      <c r="L1044" t="str">
        <f t="shared" si="11"/>
        <v>9791191562187</v>
      </c>
    </row>
    <row r="1045" spans="1:12">
      <c r="A1045" s="8">
        <v>44645.414305555554</v>
      </c>
      <c r="B1045">
        <v>291088925</v>
      </c>
      <c r="C1045" t="s">
        <v>693</v>
      </c>
      <c r="D1045" t="s">
        <v>9</v>
      </c>
      <c r="E1045" s="9">
        <v>2000</v>
      </c>
      <c r="F1045" s="9">
        <v>2000</v>
      </c>
      <c r="G1045" s="9">
        <v>1400</v>
      </c>
      <c r="I1045" t="s">
        <v>694</v>
      </c>
      <c r="J1045" t="s">
        <v>460</v>
      </c>
      <c r="K1045" t="s">
        <v>11</v>
      </c>
      <c r="L1045" t="str">
        <f t="shared" si="11"/>
        <v>9791191562187</v>
      </c>
    </row>
    <row r="1046" spans="1:12">
      <c r="A1046" s="8">
        <v>44645.42291666667</v>
      </c>
      <c r="B1046">
        <v>291088925</v>
      </c>
      <c r="C1046" t="s">
        <v>693</v>
      </c>
      <c r="D1046" t="s">
        <v>9</v>
      </c>
      <c r="E1046" s="9">
        <v>2000</v>
      </c>
      <c r="F1046" s="9">
        <v>2000</v>
      </c>
      <c r="G1046" s="9">
        <v>1400</v>
      </c>
      <c r="I1046" t="s">
        <v>694</v>
      </c>
      <c r="J1046" t="s">
        <v>460</v>
      </c>
      <c r="K1046" t="s">
        <v>11</v>
      </c>
      <c r="L1046" t="str">
        <f t="shared" si="11"/>
        <v>9791191562187</v>
      </c>
    </row>
    <row r="1047" spans="1:12">
      <c r="A1047" s="8">
        <v>44645.605254629627</v>
      </c>
      <c r="B1047">
        <v>291088925</v>
      </c>
      <c r="C1047" t="s">
        <v>693</v>
      </c>
      <c r="D1047" t="s">
        <v>9</v>
      </c>
      <c r="E1047" s="9">
        <v>-2000</v>
      </c>
      <c r="F1047" s="9">
        <v>-2000</v>
      </c>
      <c r="G1047" s="9">
        <v>-1400</v>
      </c>
      <c r="H1047" s="8">
        <v>44645.42291666667</v>
      </c>
      <c r="I1047" t="s">
        <v>694</v>
      </c>
      <c r="J1047" t="s">
        <v>460</v>
      </c>
      <c r="K1047" t="s">
        <v>11</v>
      </c>
      <c r="L1047" t="str">
        <f t="shared" si="11"/>
        <v>9791191562187</v>
      </c>
    </row>
    <row r="1048" spans="1:12">
      <c r="A1048" s="8">
        <v>44645.428807870368</v>
      </c>
      <c r="B1048">
        <v>291088925</v>
      </c>
      <c r="C1048" t="s">
        <v>693</v>
      </c>
      <c r="D1048" t="s">
        <v>9</v>
      </c>
      <c r="E1048" s="9">
        <v>2000</v>
      </c>
      <c r="F1048" s="9">
        <v>2000</v>
      </c>
      <c r="G1048" s="9">
        <v>1400</v>
      </c>
      <c r="I1048" t="s">
        <v>694</v>
      </c>
      <c r="J1048" t="s">
        <v>460</v>
      </c>
      <c r="K1048" t="s">
        <v>11</v>
      </c>
      <c r="L1048" t="str">
        <f t="shared" si="11"/>
        <v>9791191562187</v>
      </c>
    </row>
    <row r="1049" spans="1:12">
      <c r="A1049" s="8">
        <v>44645.429629629631</v>
      </c>
      <c r="B1049">
        <v>291088925</v>
      </c>
      <c r="C1049" t="s">
        <v>693</v>
      </c>
      <c r="D1049" t="s">
        <v>9</v>
      </c>
      <c r="E1049" s="9">
        <v>2000</v>
      </c>
      <c r="F1049" s="9">
        <v>2000</v>
      </c>
      <c r="G1049" s="9">
        <v>1400</v>
      </c>
      <c r="I1049" t="s">
        <v>694</v>
      </c>
      <c r="J1049" t="s">
        <v>460</v>
      </c>
      <c r="K1049" t="s">
        <v>11</v>
      </c>
      <c r="L1049" t="str">
        <f t="shared" si="11"/>
        <v>9791191562187</v>
      </c>
    </row>
    <row r="1050" spans="1:12">
      <c r="A1050" s="8">
        <v>44645.437060185184</v>
      </c>
      <c r="B1050">
        <v>290197934</v>
      </c>
      <c r="C1050" t="s">
        <v>604</v>
      </c>
      <c r="D1050" t="s">
        <v>9</v>
      </c>
      <c r="E1050" s="9">
        <v>2000</v>
      </c>
      <c r="F1050" s="9">
        <v>2000</v>
      </c>
      <c r="G1050" s="9">
        <v>1400</v>
      </c>
      <c r="I1050" t="s">
        <v>605</v>
      </c>
      <c r="J1050" t="s">
        <v>460</v>
      </c>
      <c r="K1050" t="s">
        <v>11</v>
      </c>
      <c r="L1050" t="str">
        <f>T("9791191562163")</f>
        <v>9791191562163</v>
      </c>
    </row>
    <row r="1051" spans="1:12">
      <c r="A1051" s="8">
        <v>44645.438020833331</v>
      </c>
      <c r="B1051">
        <v>291088925</v>
      </c>
      <c r="C1051" t="s">
        <v>693</v>
      </c>
      <c r="D1051" t="s">
        <v>9</v>
      </c>
      <c r="E1051" s="9">
        <v>2000</v>
      </c>
      <c r="F1051" s="9">
        <v>2000</v>
      </c>
      <c r="G1051" s="9">
        <v>1400</v>
      </c>
      <c r="I1051" t="s">
        <v>694</v>
      </c>
      <c r="J1051" t="s">
        <v>460</v>
      </c>
      <c r="K1051" t="s">
        <v>11</v>
      </c>
      <c r="L1051" t="str">
        <f t="shared" ref="L1051:L1059" si="12">T("9791191562187")</f>
        <v>9791191562187</v>
      </c>
    </row>
    <row r="1052" spans="1:12">
      <c r="A1052" s="8">
        <v>44645.438564814816</v>
      </c>
      <c r="B1052">
        <v>291088925</v>
      </c>
      <c r="C1052" t="s">
        <v>693</v>
      </c>
      <c r="D1052" t="s">
        <v>9</v>
      </c>
      <c r="E1052" s="9">
        <v>2000</v>
      </c>
      <c r="F1052" s="9">
        <v>2000</v>
      </c>
      <c r="G1052" s="9">
        <v>1400</v>
      </c>
      <c r="I1052" t="s">
        <v>694</v>
      </c>
      <c r="J1052" t="s">
        <v>460</v>
      </c>
      <c r="K1052" t="s">
        <v>11</v>
      </c>
      <c r="L1052" t="str">
        <f t="shared" si="12"/>
        <v>9791191562187</v>
      </c>
    </row>
    <row r="1053" spans="1:12">
      <c r="A1053" s="8">
        <v>44645.44703703704</v>
      </c>
      <c r="B1053">
        <v>291088925</v>
      </c>
      <c r="C1053" t="s">
        <v>693</v>
      </c>
      <c r="D1053" t="s">
        <v>9</v>
      </c>
      <c r="E1053" s="9">
        <v>2000</v>
      </c>
      <c r="F1053" s="9">
        <v>2000</v>
      </c>
      <c r="G1053" s="9">
        <v>1400</v>
      </c>
      <c r="I1053" t="s">
        <v>694</v>
      </c>
      <c r="J1053" t="s">
        <v>460</v>
      </c>
      <c r="K1053" t="s">
        <v>11</v>
      </c>
      <c r="L1053" t="str">
        <f t="shared" si="12"/>
        <v>9791191562187</v>
      </c>
    </row>
    <row r="1054" spans="1:12">
      <c r="A1054" s="8">
        <v>44645.451539351852</v>
      </c>
      <c r="B1054">
        <v>291088925</v>
      </c>
      <c r="C1054" t="s">
        <v>693</v>
      </c>
      <c r="D1054" t="s">
        <v>9</v>
      </c>
      <c r="E1054" s="9">
        <v>2000</v>
      </c>
      <c r="F1054" s="9">
        <v>2000</v>
      </c>
      <c r="G1054" s="9">
        <v>1400</v>
      </c>
      <c r="I1054" t="s">
        <v>694</v>
      </c>
      <c r="J1054" t="s">
        <v>460</v>
      </c>
      <c r="K1054" t="s">
        <v>11</v>
      </c>
      <c r="L1054" t="str">
        <f t="shared" si="12"/>
        <v>9791191562187</v>
      </c>
    </row>
    <row r="1055" spans="1:12">
      <c r="A1055" s="8">
        <v>44645.454722222225</v>
      </c>
      <c r="B1055">
        <v>291088925</v>
      </c>
      <c r="C1055" t="s">
        <v>693</v>
      </c>
      <c r="D1055" t="s">
        <v>9</v>
      </c>
      <c r="E1055" s="9">
        <v>2000</v>
      </c>
      <c r="F1055" s="9">
        <v>2000</v>
      </c>
      <c r="G1055" s="9">
        <v>1400</v>
      </c>
      <c r="I1055" t="s">
        <v>694</v>
      </c>
      <c r="J1055" t="s">
        <v>460</v>
      </c>
      <c r="K1055" t="s">
        <v>11</v>
      </c>
      <c r="L1055" t="str">
        <f t="shared" si="12"/>
        <v>9791191562187</v>
      </c>
    </row>
    <row r="1056" spans="1:12">
      <c r="A1056" s="8">
        <v>44645.468831018516</v>
      </c>
      <c r="B1056">
        <v>291088925</v>
      </c>
      <c r="C1056" t="s">
        <v>693</v>
      </c>
      <c r="D1056" t="s">
        <v>9</v>
      </c>
      <c r="E1056" s="9">
        <v>2000</v>
      </c>
      <c r="F1056" s="9">
        <v>2000</v>
      </c>
      <c r="G1056" s="9">
        <v>1400</v>
      </c>
      <c r="I1056" t="s">
        <v>694</v>
      </c>
      <c r="J1056" t="s">
        <v>460</v>
      </c>
      <c r="K1056" t="s">
        <v>11</v>
      </c>
      <c r="L1056" t="str">
        <f t="shared" si="12"/>
        <v>9791191562187</v>
      </c>
    </row>
    <row r="1057" spans="1:12">
      <c r="A1057" s="8">
        <v>44645.469351851854</v>
      </c>
      <c r="B1057">
        <v>291088925</v>
      </c>
      <c r="C1057" t="s">
        <v>693</v>
      </c>
      <c r="D1057" t="s">
        <v>9</v>
      </c>
      <c r="E1057" s="9">
        <v>2000</v>
      </c>
      <c r="F1057" s="9">
        <v>2000</v>
      </c>
      <c r="G1057" s="9">
        <v>1400</v>
      </c>
      <c r="I1057" t="s">
        <v>694</v>
      </c>
      <c r="J1057" t="s">
        <v>460</v>
      </c>
      <c r="K1057" t="s">
        <v>11</v>
      </c>
      <c r="L1057" t="str">
        <f t="shared" si="12"/>
        <v>9791191562187</v>
      </c>
    </row>
    <row r="1058" spans="1:12">
      <c r="A1058" s="8">
        <v>44645.485671296294</v>
      </c>
      <c r="B1058">
        <v>291088925</v>
      </c>
      <c r="C1058" t="s">
        <v>693</v>
      </c>
      <c r="D1058" t="s">
        <v>9</v>
      </c>
      <c r="E1058" s="9">
        <v>2000</v>
      </c>
      <c r="F1058" s="9">
        <v>2000</v>
      </c>
      <c r="G1058" s="9">
        <v>1400</v>
      </c>
      <c r="I1058" t="s">
        <v>694</v>
      </c>
      <c r="J1058" t="s">
        <v>460</v>
      </c>
      <c r="K1058" t="s">
        <v>11</v>
      </c>
      <c r="L1058" t="str">
        <f t="shared" si="12"/>
        <v>9791191562187</v>
      </c>
    </row>
    <row r="1059" spans="1:12">
      <c r="A1059" s="8">
        <v>44645.487060185187</v>
      </c>
      <c r="B1059">
        <v>291088925</v>
      </c>
      <c r="C1059" t="s">
        <v>693</v>
      </c>
      <c r="D1059" t="s">
        <v>9</v>
      </c>
      <c r="E1059" s="9">
        <v>2000</v>
      </c>
      <c r="F1059" s="9">
        <v>2000</v>
      </c>
      <c r="G1059" s="9">
        <v>1400</v>
      </c>
      <c r="I1059" t="s">
        <v>694</v>
      </c>
      <c r="J1059" t="s">
        <v>460</v>
      </c>
      <c r="K1059" t="s">
        <v>11</v>
      </c>
      <c r="L1059" t="str">
        <f t="shared" si="12"/>
        <v>9791191562187</v>
      </c>
    </row>
    <row r="1060" spans="1:12">
      <c r="A1060" s="8">
        <v>44645.490671296298</v>
      </c>
      <c r="B1060">
        <v>246278094</v>
      </c>
      <c r="C1060" t="s">
        <v>723</v>
      </c>
      <c r="D1060" t="s">
        <v>9</v>
      </c>
      <c r="E1060" s="9">
        <v>3200</v>
      </c>
      <c r="F1060" s="9">
        <v>3200</v>
      </c>
      <c r="G1060" s="9">
        <v>2240</v>
      </c>
      <c r="I1060" t="s">
        <v>14</v>
      </c>
      <c r="J1060" t="s">
        <v>11</v>
      </c>
      <c r="K1060" t="s">
        <v>11</v>
      </c>
      <c r="L1060" t="str">
        <f>T("9791188630172")</f>
        <v>9791188630172</v>
      </c>
    </row>
    <row r="1061" spans="1:12">
      <c r="A1061" s="8">
        <v>44645.497395833336</v>
      </c>
      <c r="B1061">
        <v>291088925</v>
      </c>
      <c r="C1061" t="s">
        <v>693</v>
      </c>
      <c r="D1061" t="s">
        <v>9</v>
      </c>
      <c r="E1061" s="9">
        <v>2000</v>
      </c>
      <c r="F1061" s="9">
        <v>2000</v>
      </c>
      <c r="G1061" s="9">
        <v>1400</v>
      </c>
      <c r="I1061" t="s">
        <v>694</v>
      </c>
      <c r="J1061" t="s">
        <v>460</v>
      </c>
      <c r="K1061" t="s">
        <v>11</v>
      </c>
      <c r="L1061" t="str">
        <f>T("9791191562187")</f>
        <v>9791191562187</v>
      </c>
    </row>
    <row r="1062" spans="1:12">
      <c r="A1062" s="8">
        <v>44645.508576388886</v>
      </c>
      <c r="B1062">
        <v>290084502</v>
      </c>
      <c r="C1062" t="s">
        <v>592</v>
      </c>
      <c r="D1062" t="s">
        <v>9</v>
      </c>
      <c r="E1062" s="9">
        <v>2500</v>
      </c>
      <c r="F1062" s="9">
        <v>2500</v>
      </c>
      <c r="G1062" s="9">
        <v>1750</v>
      </c>
      <c r="I1062" t="s">
        <v>593</v>
      </c>
      <c r="J1062" t="s">
        <v>460</v>
      </c>
      <c r="K1062" t="s">
        <v>11</v>
      </c>
      <c r="L1062" t="str">
        <f>T("9791191562125")</f>
        <v>9791191562125</v>
      </c>
    </row>
    <row r="1063" spans="1:12">
      <c r="A1063" s="8">
        <v>44645.518530092595</v>
      </c>
      <c r="B1063">
        <v>291088925</v>
      </c>
      <c r="C1063" t="s">
        <v>693</v>
      </c>
      <c r="D1063" t="s">
        <v>9</v>
      </c>
      <c r="E1063" s="9">
        <v>2000</v>
      </c>
      <c r="F1063" s="9">
        <v>2000</v>
      </c>
      <c r="G1063" s="9">
        <v>1400</v>
      </c>
      <c r="I1063" t="s">
        <v>694</v>
      </c>
      <c r="J1063" t="s">
        <v>460</v>
      </c>
      <c r="K1063" t="s">
        <v>11</v>
      </c>
      <c r="L1063" t="str">
        <f t="shared" ref="L1063:L1069" si="13">T("9791191562187")</f>
        <v>9791191562187</v>
      </c>
    </row>
    <row r="1064" spans="1:12">
      <c r="A1064" s="8">
        <v>44645.562939814816</v>
      </c>
      <c r="B1064">
        <v>291088925</v>
      </c>
      <c r="C1064" t="s">
        <v>693</v>
      </c>
      <c r="D1064" t="s">
        <v>9</v>
      </c>
      <c r="E1064" s="9">
        <v>2000</v>
      </c>
      <c r="F1064" s="9">
        <v>2000</v>
      </c>
      <c r="G1064" s="9">
        <v>1400</v>
      </c>
      <c r="I1064" t="s">
        <v>694</v>
      </c>
      <c r="J1064" t="s">
        <v>460</v>
      </c>
      <c r="K1064" t="s">
        <v>11</v>
      </c>
      <c r="L1064" t="str">
        <f t="shared" si="13"/>
        <v>9791191562187</v>
      </c>
    </row>
    <row r="1065" spans="1:12">
      <c r="A1065" s="8">
        <v>44645.575740740744</v>
      </c>
      <c r="B1065">
        <v>291088925</v>
      </c>
      <c r="C1065" t="s">
        <v>693</v>
      </c>
      <c r="D1065" t="s">
        <v>9</v>
      </c>
      <c r="E1065" s="9">
        <v>2000</v>
      </c>
      <c r="F1065" s="9">
        <v>2000</v>
      </c>
      <c r="G1065" s="9">
        <v>1400</v>
      </c>
      <c r="I1065" t="s">
        <v>694</v>
      </c>
      <c r="J1065" t="s">
        <v>460</v>
      </c>
      <c r="K1065" t="s">
        <v>11</v>
      </c>
      <c r="L1065" t="str">
        <f t="shared" si="13"/>
        <v>9791191562187</v>
      </c>
    </row>
    <row r="1066" spans="1:12">
      <c r="A1066" s="8">
        <v>44645.584560185183</v>
      </c>
      <c r="B1066">
        <v>291088925</v>
      </c>
      <c r="C1066" t="s">
        <v>693</v>
      </c>
      <c r="D1066" t="s">
        <v>9</v>
      </c>
      <c r="E1066" s="9">
        <v>2000</v>
      </c>
      <c r="F1066" s="9">
        <v>2000</v>
      </c>
      <c r="G1066" s="9">
        <v>1400</v>
      </c>
      <c r="I1066" t="s">
        <v>694</v>
      </c>
      <c r="J1066" t="s">
        <v>460</v>
      </c>
      <c r="K1066" t="s">
        <v>11</v>
      </c>
      <c r="L1066" t="str">
        <f t="shared" si="13"/>
        <v>9791191562187</v>
      </c>
    </row>
    <row r="1067" spans="1:12">
      <c r="A1067" s="8">
        <v>44645.599317129629</v>
      </c>
      <c r="B1067">
        <v>291088925</v>
      </c>
      <c r="C1067" t="s">
        <v>693</v>
      </c>
      <c r="D1067" t="s">
        <v>9</v>
      </c>
      <c r="E1067" s="9">
        <v>2000</v>
      </c>
      <c r="F1067" s="9">
        <v>2000</v>
      </c>
      <c r="G1067" s="9">
        <v>1400</v>
      </c>
      <c r="I1067" t="s">
        <v>694</v>
      </c>
      <c r="J1067" t="s">
        <v>460</v>
      </c>
      <c r="K1067" t="s">
        <v>11</v>
      </c>
      <c r="L1067" t="str">
        <f t="shared" si="13"/>
        <v>9791191562187</v>
      </c>
    </row>
    <row r="1068" spans="1:12">
      <c r="A1068" s="8">
        <v>44645.605532407404</v>
      </c>
      <c r="B1068">
        <v>291088925</v>
      </c>
      <c r="C1068" t="s">
        <v>693</v>
      </c>
      <c r="D1068" t="s">
        <v>9</v>
      </c>
      <c r="E1068" s="9">
        <v>2000</v>
      </c>
      <c r="F1068" s="9">
        <v>2000</v>
      </c>
      <c r="G1068" s="9">
        <v>1400</v>
      </c>
      <c r="I1068" t="s">
        <v>694</v>
      </c>
      <c r="J1068" t="s">
        <v>460</v>
      </c>
      <c r="K1068" t="s">
        <v>11</v>
      </c>
      <c r="L1068" t="str">
        <f t="shared" si="13"/>
        <v>9791191562187</v>
      </c>
    </row>
    <row r="1069" spans="1:12">
      <c r="A1069" s="8">
        <v>44645.629479166666</v>
      </c>
      <c r="B1069">
        <v>291088925</v>
      </c>
      <c r="C1069" t="s">
        <v>693</v>
      </c>
      <c r="D1069" t="s">
        <v>9</v>
      </c>
      <c r="E1069" s="9">
        <v>2000</v>
      </c>
      <c r="F1069" s="9">
        <v>2000</v>
      </c>
      <c r="G1069" s="9">
        <v>1400</v>
      </c>
      <c r="I1069" t="s">
        <v>694</v>
      </c>
      <c r="J1069" t="s">
        <v>460</v>
      </c>
      <c r="K1069" t="s">
        <v>11</v>
      </c>
      <c r="L1069" t="str">
        <f t="shared" si="13"/>
        <v>9791191562187</v>
      </c>
    </row>
    <row r="1070" spans="1:12">
      <c r="A1070" s="8">
        <v>44645.640266203707</v>
      </c>
      <c r="B1070">
        <v>281625177</v>
      </c>
      <c r="C1070" t="s">
        <v>541</v>
      </c>
      <c r="D1070" t="s">
        <v>9</v>
      </c>
      <c r="E1070" s="9">
        <v>3200</v>
      </c>
      <c r="F1070" s="9">
        <v>3200</v>
      </c>
      <c r="G1070" s="9">
        <v>2240</v>
      </c>
      <c r="I1070" t="s">
        <v>14</v>
      </c>
      <c r="J1070" t="s">
        <v>11</v>
      </c>
      <c r="K1070" t="s">
        <v>11</v>
      </c>
      <c r="L1070" t="str">
        <f>T("9791137601086")</f>
        <v>9791137601086</v>
      </c>
    </row>
    <row r="1071" spans="1:12">
      <c r="A1071" s="8">
        <v>44645.640266203707</v>
      </c>
      <c r="B1071">
        <v>281625187</v>
      </c>
      <c r="C1071" t="s">
        <v>539</v>
      </c>
      <c r="D1071" t="s">
        <v>9</v>
      </c>
      <c r="E1071" s="9">
        <v>3200</v>
      </c>
      <c r="F1071" s="9">
        <v>3200</v>
      </c>
      <c r="G1071" s="9">
        <v>2240</v>
      </c>
      <c r="I1071" t="s">
        <v>14</v>
      </c>
      <c r="J1071" t="s">
        <v>11</v>
      </c>
      <c r="K1071" t="s">
        <v>11</v>
      </c>
      <c r="L1071" t="str">
        <f>T("9791137601062")</f>
        <v>9791137601062</v>
      </c>
    </row>
    <row r="1072" spans="1:12">
      <c r="A1072" s="8">
        <v>44645.640266203707</v>
      </c>
      <c r="B1072">
        <v>281625198</v>
      </c>
      <c r="C1072" t="s">
        <v>39</v>
      </c>
      <c r="D1072" t="s">
        <v>9</v>
      </c>
      <c r="E1072" s="9">
        <v>3200</v>
      </c>
      <c r="F1072" s="9">
        <v>3200</v>
      </c>
      <c r="G1072" s="9">
        <v>2240</v>
      </c>
      <c r="I1072" t="s">
        <v>14</v>
      </c>
      <c r="J1072" t="s">
        <v>11</v>
      </c>
      <c r="K1072" t="s">
        <v>11</v>
      </c>
      <c r="L1072" t="str">
        <f>T("9791137601079")</f>
        <v>9791137601079</v>
      </c>
    </row>
    <row r="1073" spans="1:12">
      <c r="A1073" s="8">
        <v>44645.640763888892</v>
      </c>
      <c r="B1073">
        <v>291088925</v>
      </c>
      <c r="C1073" t="s">
        <v>693</v>
      </c>
      <c r="D1073" t="s">
        <v>9</v>
      </c>
      <c r="E1073" s="9">
        <v>2000</v>
      </c>
      <c r="F1073" s="9">
        <v>2000</v>
      </c>
      <c r="G1073" s="9">
        <v>1400</v>
      </c>
      <c r="I1073" t="s">
        <v>694</v>
      </c>
      <c r="J1073" t="s">
        <v>460</v>
      </c>
      <c r="K1073" t="s">
        <v>11</v>
      </c>
      <c r="L1073" t="str">
        <f>T("9791191562187")</f>
        <v>9791191562187</v>
      </c>
    </row>
    <row r="1074" spans="1:12">
      <c r="A1074" s="8">
        <v>44645.648333333331</v>
      </c>
      <c r="B1074">
        <v>290197934</v>
      </c>
      <c r="C1074" t="s">
        <v>604</v>
      </c>
      <c r="D1074" t="s">
        <v>9</v>
      </c>
      <c r="E1074" s="9">
        <v>2000</v>
      </c>
      <c r="F1074" s="9">
        <v>2000</v>
      </c>
      <c r="G1074" s="9">
        <v>1400</v>
      </c>
      <c r="I1074" t="s">
        <v>605</v>
      </c>
      <c r="J1074" t="s">
        <v>460</v>
      </c>
      <c r="K1074" t="s">
        <v>11</v>
      </c>
      <c r="L1074" t="str">
        <f>T("9791191562163")</f>
        <v>9791191562163</v>
      </c>
    </row>
    <row r="1075" spans="1:12">
      <c r="A1075" s="8">
        <v>44645.651666666665</v>
      </c>
      <c r="B1075">
        <v>290963607</v>
      </c>
      <c r="C1075" t="s">
        <v>681</v>
      </c>
      <c r="D1075" t="s">
        <v>9</v>
      </c>
      <c r="E1075" s="9">
        <v>3500</v>
      </c>
      <c r="F1075" s="9">
        <v>3500</v>
      </c>
      <c r="G1075" s="9">
        <v>2450</v>
      </c>
      <c r="I1075" t="s">
        <v>682</v>
      </c>
      <c r="J1075" t="s">
        <v>460</v>
      </c>
      <c r="K1075" t="s">
        <v>11</v>
      </c>
      <c r="L1075" t="str">
        <f>T("9791191562132")</f>
        <v>9791191562132</v>
      </c>
    </row>
    <row r="1076" spans="1:12">
      <c r="A1076" s="8">
        <v>44645.68409722222</v>
      </c>
      <c r="B1076">
        <v>291088925</v>
      </c>
      <c r="C1076" t="s">
        <v>693</v>
      </c>
      <c r="D1076" t="s">
        <v>9</v>
      </c>
      <c r="E1076" s="9">
        <v>2000</v>
      </c>
      <c r="F1076" s="9">
        <v>2000</v>
      </c>
      <c r="G1076" s="9">
        <v>1400</v>
      </c>
      <c r="I1076" t="s">
        <v>694</v>
      </c>
      <c r="J1076" t="s">
        <v>460</v>
      </c>
      <c r="K1076" t="s">
        <v>11</v>
      </c>
      <c r="L1076" t="str">
        <f>T("9791191562187")</f>
        <v>9791191562187</v>
      </c>
    </row>
    <row r="1077" spans="1:12">
      <c r="A1077" s="8">
        <v>44645.717662037037</v>
      </c>
      <c r="B1077">
        <v>287834730</v>
      </c>
      <c r="C1077" t="s">
        <v>275</v>
      </c>
      <c r="D1077" t="s">
        <v>9</v>
      </c>
      <c r="E1077" s="9">
        <v>2000</v>
      </c>
      <c r="F1077" s="9">
        <v>2000</v>
      </c>
      <c r="G1077" s="9">
        <v>1400</v>
      </c>
      <c r="I1077" t="s">
        <v>169</v>
      </c>
      <c r="J1077" t="s">
        <v>460</v>
      </c>
      <c r="K1077" t="s">
        <v>11</v>
      </c>
      <c r="L1077" t="str">
        <f>T("9791191562019")</f>
        <v>9791191562019</v>
      </c>
    </row>
    <row r="1078" spans="1:12">
      <c r="A1078" s="8">
        <v>44645.73170138889</v>
      </c>
      <c r="B1078">
        <v>291088925</v>
      </c>
      <c r="C1078" t="s">
        <v>693</v>
      </c>
      <c r="D1078" t="s">
        <v>9</v>
      </c>
      <c r="E1078" s="9">
        <v>2000</v>
      </c>
      <c r="F1078" s="9">
        <v>2000</v>
      </c>
      <c r="G1078" s="9">
        <v>1400</v>
      </c>
      <c r="I1078" t="s">
        <v>694</v>
      </c>
      <c r="J1078" t="s">
        <v>460</v>
      </c>
      <c r="K1078" t="s">
        <v>11</v>
      </c>
      <c r="L1078" t="str">
        <f>T("9791191562187")</f>
        <v>9791191562187</v>
      </c>
    </row>
    <row r="1079" spans="1:12">
      <c r="A1079" s="8">
        <v>44645.73810185185</v>
      </c>
      <c r="B1079">
        <v>246278155</v>
      </c>
      <c r="C1079" t="s">
        <v>726</v>
      </c>
      <c r="D1079" t="s">
        <v>9</v>
      </c>
      <c r="E1079" s="9">
        <v>3200</v>
      </c>
      <c r="F1079" s="9">
        <v>3200</v>
      </c>
      <c r="G1079" s="9">
        <v>2240</v>
      </c>
      <c r="I1079" t="s">
        <v>14</v>
      </c>
      <c r="J1079" t="s">
        <v>11</v>
      </c>
      <c r="K1079" t="s">
        <v>11</v>
      </c>
      <c r="L1079" t="str">
        <f>T("9791188630189")</f>
        <v>9791188630189</v>
      </c>
    </row>
    <row r="1080" spans="1:12">
      <c r="A1080" s="8">
        <v>44645.752337962964</v>
      </c>
      <c r="B1080">
        <v>291088925</v>
      </c>
      <c r="C1080" t="s">
        <v>693</v>
      </c>
      <c r="D1080" t="s">
        <v>9</v>
      </c>
      <c r="E1080" s="9">
        <v>2000</v>
      </c>
      <c r="F1080" s="9">
        <v>2000</v>
      </c>
      <c r="G1080" s="9">
        <v>1400</v>
      </c>
      <c r="I1080" t="s">
        <v>694</v>
      </c>
      <c r="J1080" t="s">
        <v>460</v>
      </c>
      <c r="K1080" t="s">
        <v>11</v>
      </c>
      <c r="L1080" t="str">
        <f>T("9791191562187")</f>
        <v>9791191562187</v>
      </c>
    </row>
    <row r="1081" spans="1:12">
      <c r="A1081" s="8">
        <v>44645.759525462963</v>
      </c>
      <c r="B1081">
        <v>282646279</v>
      </c>
      <c r="C1081" t="s">
        <v>298</v>
      </c>
      <c r="D1081" t="s">
        <v>9</v>
      </c>
      <c r="E1081" s="9">
        <v>3200</v>
      </c>
      <c r="F1081" s="9">
        <v>3200</v>
      </c>
      <c r="G1081" s="9">
        <v>2240</v>
      </c>
      <c r="I1081" t="s">
        <v>43</v>
      </c>
      <c r="J1081" t="s">
        <v>588</v>
      </c>
      <c r="K1081" t="s">
        <v>11</v>
      </c>
      <c r="L1081" t="str">
        <f>T("9791166482458")</f>
        <v>9791166482458</v>
      </c>
    </row>
    <row r="1082" spans="1:12">
      <c r="A1082" s="8">
        <v>44645.759525462963</v>
      </c>
      <c r="B1082">
        <v>282646285</v>
      </c>
      <c r="C1082" t="s">
        <v>346</v>
      </c>
      <c r="D1082" t="s">
        <v>9</v>
      </c>
      <c r="E1082" s="9">
        <v>3200</v>
      </c>
      <c r="F1082" s="9">
        <v>3200</v>
      </c>
      <c r="G1082" s="9">
        <v>2240</v>
      </c>
      <c r="I1082" t="s">
        <v>43</v>
      </c>
      <c r="J1082" t="s">
        <v>588</v>
      </c>
      <c r="K1082" t="s">
        <v>11</v>
      </c>
      <c r="L1082" t="str">
        <f>T("9791166482465")</f>
        <v>9791166482465</v>
      </c>
    </row>
    <row r="1083" spans="1:12">
      <c r="A1083" s="8">
        <v>44645.759525462963</v>
      </c>
      <c r="B1083">
        <v>282646304</v>
      </c>
      <c r="C1083" t="s">
        <v>42</v>
      </c>
      <c r="D1083" t="s">
        <v>9</v>
      </c>
      <c r="E1083" s="9">
        <v>3200</v>
      </c>
      <c r="F1083" s="9">
        <v>3200</v>
      </c>
      <c r="G1083" s="9">
        <v>2240</v>
      </c>
      <c r="I1083" t="s">
        <v>43</v>
      </c>
      <c r="J1083" t="s">
        <v>588</v>
      </c>
      <c r="K1083" t="s">
        <v>11</v>
      </c>
      <c r="L1083" t="str">
        <f>T("9791166482472")</f>
        <v>9791166482472</v>
      </c>
    </row>
    <row r="1084" spans="1:12">
      <c r="A1084" s="8">
        <v>44645.761840277781</v>
      </c>
      <c r="B1084">
        <v>291088925</v>
      </c>
      <c r="C1084" t="s">
        <v>693</v>
      </c>
      <c r="D1084" t="s">
        <v>9</v>
      </c>
      <c r="E1084" s="9">
        <v>2000</v>
      </c>
      <c r="F1084" s="9">
        <v>2000</v>
      </c>
      <c r="G1084" s="9">
        <v>1400</v>
      </c>
      <c r="I1084" t="s">
        <v>694</v>
      </c>
      <c r="J1084" t="s">
        <v>460</v>
      </c>
      <c r="K1084" t="s">
        <v>11</v>
      </c>
      <c r="L1084" t="str">
        <f>T("9791191562187")</f>
        <v>9791191562187</v>
      </c>
    </row>
    <row r="1085" spans="1:12">
      <c r="A1085" s="8">
        <v>44645.765439814815</v>
      </c>
      <c r="B1085">
        <v>291088925</v>
      </c>
      <c r="C1085" t="s">
        <v>693</v>
      </c>
      <c r="D1085" t="s">
        <v>9</v>
      </c>
      <c r="E1085" s="9">
        <v>2000</v>
      </c>
      <c r="F1085" s="9">
        <v>2000</v>
      </c>
      <c r="G1085" s="9">
        <v>1400</v>
      </c>
      <c r="I1085" t="s">
        <v>694</v>
      </c>
      <c r="J1085" t="s">
        <v>460</v>
      </c>
      <c r="K1085" t="s">
        <v>11</v>
      </c>
      <c r="L1085" t="str">
        <f>T("9791191562187")</f>
        <v>9791191562187</v>
      </c>
    </row>
    <row r="1086" spans="1:12">
      <c r="A1086" s="8">
        <v>44645.767858796295</v>
      </c>
      <c r="B1086">
        <v>290197934</v>
      </c>
      <c r="C1086" t="s">
        <v>604</v>
      </c>
      <c r="D1086" t="s">
        <v>9</v>
      </c>
      <c r="E1086" s="9">
        <v>2000</v>
      </c>
      <c r="F1086" s="9">
        <v>2000</v>
      </c>
      <c r="G1086" s="9">
        <v>1400</v>
      </c>
      <c r="I1086" t="s">
        <v>605</v>
      </c>
      <c r="J1086" t="s">
        <v>460</v>
      </c>
      <c r="K1086" t="s">
        <v>11</v>
      </c>
      <c r="L1086" t="str">
        <f>T("9791191562163")</f>
        <v>9791191562163</v>
      </c>
    </row>
    <row r="1087" spans="1:12">
      <c r="A1087" s="8">
        <v>44645.768437500003</v>
      </c>
      <c r="B1087">
        <v>291088925</v>
      </c>
      <c r="C1087" t="s">
        <v>693</v>
      </c>
      <c r="D1087" t="s">
        <v>9</v>
      </c>
      <c r="E1087" s="9">
        <v>2000</v>
      </c>
      <c r="F1087" s="9">
        <v>2000</v>
      </c>
      <c r="G1087" s="9">
        <v>1400</v>
      </c>
      <c r="I1087" t="s">
        <v>694</v>
      </c>
      <c r="J1087" t="s">
        <v>460</v>
      </c>
      <c r="K1087" t="s">
        <v>11</v>
      </c>
      <c r="L1087" t="str">
        <f>T("9791191562187")</f>
        <v>9791191562187</v>
      </c>
    </row>
    <row r="1088" spans="1:12">
      <c r="A1088" s="8">
        <v>44645.774872685186</v>
      </c>
      <c r="B1088">
        <v>289315562</v>
      </c>
      <c r="C1088" t="s">
        <v>478</v>
      </c>
      <c r="D1088" t="s">
        <v>9</v>
      </c>
      <c r="E1088" s="9">
        <v>3000</v>
      </c>
      <c r="F1088" s="9">
        <v>3000</v>
      </c>
      <c r="G1088" s="9">
        <v>2100</v>
      </c>
      <c r="I1088" t="s">
        <v>454</v>
      </c>
      <c r="J1088" t="s">
        <v>460</v>
      </c>
      <c r="K1088" t="s">
        <v>11</v>
      </c>
      <c r="L1088" t="str">
        <f>T("9791191562101")</f>
        <v>9791191562101</v>
      </c>
    </row>
    <row r="1089" spans="1:12">
      <c r="A1089" s="8">
        <v>44645.776446759257</v>
      </c>
      <c r="B1089">
        <v>284241808</v>
      </c>
      <c r="C1089" t="s">
        <v>73</v>
      </c>
      <c r="D1089" t="s">
        <v>9</v>
      </c>
      <c r="E1089" s="9">
        <v>3600</v>
      </c>
      <c r="F1089" s="9">
        <v>3600</v>
      </c>
      <c r="G1089" s="9">
        <v>2520</v>
      </c>
      <c r="I1089" t="s">
        <v>34</v>
      </c>
      <c r="J1089" t="s">
        <v>588</v>
      </c>
      <c r="K1089" t="s">
        <v>11</v>
      </c>
      <c r="L1089" t="str">
        <f>T("9791166482557")</f>
        <v>9791166482557</v>
      </c>
    </row>
    <row r="1090" spans="1:12">
      <c r="A1090" s="8">
        <v>44645.787974537037</v>
      </c>
      <c r="B1090">
        <v>291088925</v>
      </c>
      <c r="C1090" t="s">
        <v>693</v>
      </c>
      <c r="D1090" t="s">
        <v>9</v>
      </c>
      <c r="E1090" s="9">
        <v>2000</v>
      </c>
      <c r="F1090" s="9">
        <v>2000</v>
      </c>
      <c r="G1090" s="9">
        <v>1400</v>
      </c>
      <c r="I1090" t="s">
        <v>694</v>
      </c>
      <c r="J1090" t="s">
        <v>460</v>
      </c>
      <c r="K1090" t="s">
        <v>11</v>
      </c>
      <c r="L1090" t="str">
        <f>T("9791191562187")</f>
        <v>9791191562187</v>
      </c>
    </row>
    <row r="1091" spans="1:12">
      <c r="A1091" s="8">
        <v>44645.795972222222</v>
      </c>
      <c r="B1091">
        <v>291088925</v>
      </c>
      <c r="C1091" t="s">
        <v>693</v>
      </c>
      <c r="D1091" t="s">
        <v>9</v>
      </c>
      <c r="E1091" s="9">
        <v>2000</v>
      </c>
      <c r="F1091" s="9">
        <v>2000</v>
      </c>
      <c r="G1091" s="9">
        <v>1400</v>
      </c>
      <c r="I1091" t="s">
        <v>694</v>
      </c>
      <c r="J1091" t="s">
        <v>460</v>
      </c>
      <c r="K1091" t="s">
        <v>11</v>
      </c>
      <c r="L1091" t="str">
        <f>T("9791191562187")</f>
        <v>9791191562187</v>
      </c>
    </row>
    <row r="1092" spans="1:12">
      <c r="A1092" s="8">
        <v>44645.815740740742</v>
      </c>
      <c r="B1092">
        <v>287086652</v>
      </c>
      <c r="C1092" t="s">
        <v>220</v>
      </c>
      <c r="D1092" t="s">
        <v>9</v>
      </c>
      <c r="E1092" s="9">
        <v>2000</v>
      </c>
      <c r="F1092" s="9">
        <v>2000</v>
      </c>
      <c r="G1092" s="9">
        <v>1400</v>
      </c>
      <c r="I1092" t="s">
        <v>162</v>
      </c>
      <c r="J1092" t="s">
        <v>460</v>
      </c>
      <c r="K1092" t="s">
        <v>11</v>
      </c>
      <c r="L1092" t="str">
        <f>T("9791191562033")</f>
        <v>9791191562033</v>
      </c>
    </row>
    <row r="1093" spans="1:12">
      <c r="A1093" s="8">
        <v>44645.81931712963</v>
      </c>
      <c r="B1093">
        <v>291088925</v>
      </c>
      <c r="C1093" t="s">
        <v>693</v>
      </c>
      <c r="D1093" t="s">
        <v>9</v>
      </c>
      <c r="E1093" s="9">
        <v>2000</v>
      </c>
      <c r="F1093" s="9">
        <v>2000</v>
      </c>
      <c r="G1093" s="9">
        <v>1400</v>
      </c>
      <c r="I1093" t="s">
        <v>694</v>
      </c>
      <c r="J1093" t="s">
        <v>460</v>
      </c>
      <c r="K1093" t="s">
        <v>11</v>
      </c>
      <c r="L1093" t="str">
        <f>T("9791191562187")</f>
        <v>9791191562187</v>
      </c>
    </row>
    <row r="1094" spans="1:12">
      <c r="A1094" s="8">
        <v>44645.826284722221</v>
      </c>
      <c r="B1094">
        <v>291088925</v>
      </c>
      <c r="C1094" t="s">
        <v>693</v>
      </c>
      <c r="D1094" t="s">
        <v>9</v>
      </c>
      <c r="E1094" s="9">
        <v>2000</v>
      </c>
      <c r="F1094" s="9">
        <v>2000</v>
      </c>
      <c r="G1094" s="9">
        <v>1400</v>
      </c>
      <c r="I1094" t="s">
        <v>694</v>
      </c>
      <c r="J1094" t="s">
        <v>460</v>
      </c>
      <c r="K1094" t="s">
        <v>11</v>
      </c>
      <c r="L1094" t="str">
        <f>T("9791191562187")</f>
        <v>9791191562187</v>
      </c>
    </row>
    <row r="1095" spans="1:12">
      <c r="A1095" s="8">
        <v>44645.878055555557</v>
      </c>
      <c r="B1095">
        <v>291088925</v>
      </c>
      <c r="C1095" t="s">
        <v>693</v>
      </c>
      <c r="D1095" t="s">
        <v>9</v>
      </c>
      <c r="E1095" s="9">
        <v>2000</v>
      </c>
      <c r="F1095" s="9">
        <v>2000</v>
      </c>
      <c r="G1095" s="9">
        <v>1400</v>
      </c>
      <c r="I1095" t="s">
        <v>694</v>
      </c>
      <c r="J1095" t="s">
        <v>460</v>
      </c>
      <c r="K1095" t="s">
        <v>11</v>
      </c>
      <c r="L1095" t="str">
        <f>T("9791191562187")</f>
        <v>9791191562187</v>
      </c>
    </row>
    <row r="1096" spans="1:12">
      <c r="A1096" s="8">
        <v>44645.903738425928</v>
      </c>
      <c r="B1096">
        <v>291088925</v>
      </c>
      <c r="C1096" t="s">
        <v>693</v>
      </c>
      <c r="D1096" t="s">
        <v>9</v>
      </c>
      <c r="E1096" s="9">
        <v>2000</v>
      </c>
      <c r="F1096" s="9">
        <v>2000</v>
      </c>
      <c r="G1096" s="9">
        <v>1400</v>
      </c>
      <c r="I1096" t="s">
        <v>694</v>
      </c>
      <c r="J1096" t="s">
        <v>460</v>
      </c>
      <c r="K1096" t="s">
        <v>11</v>
      </c>
      <c r="L1096" t="str">
        <f>T("9791191562187")</f>
        <v>9791191562187</v>
      </c>
    </row>
    <row r="1097" spans="1:12">
      <c r="A1097" s="8">
        <v>44645.905775462961</v>
      </c>
      <c r="B1097">
        <v>290197934</v>
      </c>
      <c r="C1097" t="s">
        <v>604</v>
      </c>
      <c r="D1097" t="s">
        <v>9</v>
      </c>
      <c r="E1097" s="9">
        <v>2000</v>
      </c>
      <c r="F1097" s="9">
        <v>2000</v>
      </c>
      <c r="G1097" s="9">
        <v>1400</v>
      </c>
      <c r="I1097" t="s">
        <v>605</v>
      </c>
      <c r="J1097" t="s">
        <v>460</v>
      </c>
      <c r="K1097" t="s">
        <v>11</v>
      </c>
      <c r="L1097" t="str">
        <f>T("9791191562163")</f>
        <v>9791191562163</v>
      </c>
    </row>
    <row r="1098" spans="1:12">
      <c r="A1098" s="8">
        <v>44645.913391203707</v>
      </c>
      <c r="B1098">
        <v>291088925</v>
      </c>
      <c r="C1098" t="s">
        <v>693</v>
      </c>
      <c r="D1098" t="s">
        <v>9</v>
      </c>
      <c r="E1098" s="9">
        <v>2000</v>
      </c>
      <c r="F1098" s="9">
        <v>2000</v>
      </c>
      <c r="G1098" s="9">
        <v>1400</v>
      </c>
      <c r="I1098" t="s">
        <v>694</v>
      </c>
      <c r="J1098" t="s">
        <v>460</v>
      </c>
      <c r="K1098" t="s">
        <v>11</v>
      </c>
      <c r="L1098" t="str">
        <f>T("9791191562187")</f>
        <v>9791191562187</v>
      </c>
    </row>
    <row r="1099" spans="1:12">
      <c r="A1099" s="8">
        <v>44645.935891203706</v>
      </c>
      <c r="B1099">
        <v>291088925</v>
      </c>
      <c r="C1099" t="s">
        <v>693</v>
      </c>
      <c r="D1099" t="s">
        <v>9</v>
      </c>
      <c r="E1099" s="9">
        <v>2000</v>
      </c>
      <c r="F1099" s="9">
        <v>2000</v>
      </c>
      <c r="G1099" s="9">
        <v>1400</v>
      </c>
      <c r="I1099" t="s">
        <v>694</v>
      </c>
      <c r="J1099" t="s">
        <v>460</v>
      </c>
      <c r="K1099" t="s">
        <v>11</v>
      </c>
      <c r="L1099" t="str">
        <f>T("9791191562187")</f>
        <v>9791191562187</v>
      </c>
    </row>
    <row r="1100" spans="1:12">
      <c r="A1100" s="8">
        <v>44645.948310185187</v>
      </c>
      <c r="B1100">
        <v>291088925</v>
      </c>
      <c r="C1100" t="s">
        <v>693</v>
      </c>
      <c r="D1100" t="s">
        <v>9</v>
      </c>
      <c r="E1100" s="9">
        <v>2000</v>
      </c>
      <c r="F1100" s="9">
        <v>2000</v>
      </c>
      <c r="G1100" s="9">
        <v>1400</v>
      </c>
      <c r="I1100" t="s">
        <v>694</v>
      </c>
      <c r="J1100" t="s">
        <v>460</v>
      </c>
      <c r="K1100" t="s">
        <v>11</v>
      </c>
      <c r="L1100" t="str">
        <f>T("9791191562187")</f>
        <v>9791191562187</v>
      </c>
    </row>
    <row r="1101" spans="1:12">
      <c r="A1101" s="8">
        <v>44645.975729166668</v>
      </c>
      <c r="B1101">
        <v>291088925</v>
      </c>
      <c r="C1101" t="s">
        <v>693</v>
      </c>
      <c r="D1101" t="s">
        <v>9</v>
      </c>
      <c r="E1101" s="9">
        <v>2000</v>
      </c>
      <c r="F1101" s="9">
        <v>2000</v>
      </c>
      <c r="G1101" s="9">
        <v>1400</v>
      </c>
      <c r="I1101" t="s">
        <v>694</v>
      </c>
      <c r="J1101" t="s">
        <v>460</v>
      </c>
      <c r="K1101" t="s">
        <v>11</v>
      </c>
      <c r="L1101" t="str">
        <f>T("9791191562187")</f>
        <v>9791191562187</v>
      </c>
    </row>
    <row r="1102" spans="1:12">
      <c r="A1102" s="8">
        <v>44645.988321759258</v>
      </c>
      <c r="B1102">
        <v>291088925</v>
      </c>
      <c r="C1102" t="s">
        <v>693</v>
      </c>
      <c r="D1102" t="s">
        <v>9</v>
      </c>
      <c r="E1102" s="9">
        <v>2000</v>
      </c>
      <c r="F1102" s="9">
        <v>2000</v>
      </c>
      <c r="G1102" s="9">
        <v>1400</v>
      </c>
      <c r="I1102" t="s">
        <v>694</v>
      </c>
      <c r="J1102" t="s">
        <v>460</v>
      </c>
      <c r="K1102" t="s">
        <v>11</v>
      </c>
      <c r="L1102" t="str">
        <f>T("9791191562187")</f>
        <v>9791191562187</v>
      </c>
    </row>
    <row r="1103" spans="1:12">
      <c r="A1103" s="8">
        <v>44645.989988425928</v>
      </c>
      <c r="B1103">
        <v>290197934</v>
      </c>
      <c r="C1103" t="s">
        <v>604</v>
      </c>
      <c r="D1103" t="s">
        <v>9</v>
      </c>
      <c r="E1103" s="9">
        <v>2000</v>
      </c>
      <c r="F1103" s="9">
        <v>2000</v>
      </c>
      <c r="G1103" s="9">
        <v>1400</v>
      </c>
      <c r="I1103" t="s">
        <v>605</v>
      </c>
      <c r="J1103" t="s">
        <v>460</v>
      </c>
      <c r="K1103" t="s">
        <v>11</v>
      </c>
      <c r="L1103" t="str">
        <f>T("9791191562163")</f>
        <v>9791191562163</v>
      </c>
    </row>
    <row r="1104" spans="1:12">
      <c r="A1104" s="8">
        <v>44645.991018518522</v>
      </c>
      <c r="B1104">
        <v>291088925</v>
      </c>
      <c r="C1104" t="s">
        <v>693</v>
      </c>
      <c r="D1104" t="s">
        <v>9</v>
      </c>
      <c r="E1104" s="9">
        <v>2000</v>
      </c>
      <c r="F1104" s="9">
        <v>2000</v>
      </c>
      <c r="G1104" s="9">
        <v>1400</v>
      </c>
      <c r="I1104" t="s">
        <v>694</v>
      </c>
      <c r="J1104" t="s">
        <v>460</v>
      </c>
      <c r="K1104" t="s">
        <v>11</v>
      </c>
      <c r="L1104" t="str">
        <f>T("9791191562187")</f>
        <v>9791191562187</v>
      </c>
    </row>
    <row r="1105" spans="1:12">
      <c r="A1105" s="8">
        <v>44645.998101851852</v>
      </c>
      <c r="B1105">
        <v>291088925</v>
      </c>
      <c r="C1105" t="s">
        <v>693</v>
      </c>
      <c r="D1105" t="s">
        <v>9</v>
      </c>
      <c r="E1105" s="9">
        <v>2000</v>
      </c>
      <c r="F1105" s="9">
        <v>2000</v>
      </c>
      <c r="G1105" s="9">
        <v>1400</v>
      </c>
      <c r="I1105" t="s">
        <v>694</v>
      </c>
      <c r="J1105" t="s">
        <v>460</v>
      </c>
      <c r="K1105" t="s">
        <v>11</v>
      </c>
      <c r="L1105" t="str">
        <f>T("9791191562187")</f>
        <v>9791191562187</v>
      </c>
    </row>
    <row r="1106" spans="1:12">
      <c r="A1106" s="8">
        <v>44646.002905092595</v>
      </c>
      <c r="B1106">
        <v>289315562</v>
      </c>
      <c r="C1106" t="s">
        <v>478</v>
      </c>
      <c r="D1106" t="s">
        <v>9</v>
      </c>
      <c r="E1106" s="9">
        <v>3000</v>
      </c>
      <c r="F1106" s="9">
        <v>3000</v>
      </c>
      <c r="G1106" s="9">
        <v>2100</v>
      </c>
      <c r="I1106" t="s">
        <v>454</v>
      </c>
      <c r="J1106" t="s">
        <v>460</v>
      </c>
      <c r="K1106" t="s">
        <v>11</v>
      </c>
      <c r="L1106" t="str">
        <f>T("9791191562101")</f>
        <v>9791191562101</v>
      </c>
    </row>
    <row r="1107" spans="1:12">
      <c r="A1107" s="8">
        <v>44646.004988425928</v>
      </c>
      <c r="B1107">
        <v>291088925</v>
      </c>
      <c r="C1107" t="s">
        <v>693</v>
      </c>
      <c r="D1107" t="s">
        <v>9</v>
      </c>
      <c r="E1107" s="9">
        <v>2000</v>
      </c>
      <c r="F1107" s="9">
        <v>2000</v>
      </c>
      <c r="G1107" s="9">
        <v>1400</v>
      </c>
      <c r="I1107" t="s">
        <v>694</v>
      </c>
      <c r="J1107" t="s">
        <v>460</v>
      </c>
      <c r="K1107" t="s">
        <v>11</v>
      </c>
      <c r="L1107" t="str">
        <f>T("9791191562187")</f>
        <v>9791191562187</v>
      </c>
    </row>
    <row r="1108" spans="1:12">
      <c r="A1108" s="8">
        <v>44646.010995370372</v>
      </c>
      <c r="B1108">
        <v>291088925</v>
      </c>
      <c r="C1108" t="s">
        <v>693</v>
      </c>
      <c r="D1108" t="s">
        <v>9</v>
      </c>
      <c r="E1108" s="9">
        <v>2000</v>
      </c>
      <c r="F1108" s="9">
        <v>2000</v>
      </c>
      <c r="G1108" s="9">
        <v>1400</v>
      </c>
      <c r="I1108" t="s">
        <v>694</v>
      </c>
      <c r="J1108" t="s">
        <v>460</v>
      </c>
      <c r="K1108" t="s">
        <v>11</v>
      </c>
      <c r="L1108" t="str">
        <f>T("9791191562187")</f>
        <v>9791191562187</v>
      </c>
    </row>
    <row r="1109" spans="1:12">
      <c r="A1109" s="8">
        <v>44646.028981481482</v>
      </c>
      <c r="B1109">
        <v>291088925</v>
      </c>
      <c r="C1109" t="s">
        <v>693</v>
      </c>
      <c r="D1109" t="s">
        <v>9</v>
      </c>
      <c r="E1109" s="9">
        <v>2000</v>
      </c>
      <c r="F1109" s="9">
        <v>2000</v>
      </c>
      <c r="G1109" s="9">
        <v>1400</v>
      </c>
      <c r="I1109" t="s">
        <v>694</v>
      </c>
      <c r="J1109" t="s">
        <v>460</v>
      </c>
      <c r="K1109" t="s">
        <v>11</v>
      </c>
      <c r="L1109" t="str">
        <f>T("9791191562187")</f>
        <v>9791191562187</v>
      </c>
    </row>
    <row r="1110" spans="1:12">
      <c r="A1110" s="8">
        <v>44646.047731481478</v>
      </c>
      <c r="B1110">
        <v>287834730</v>
      </c>
      <c r="C1110" t="s">
        <v>275</v>
      </c>
      <c r="D1110" t="s">
        <v>9</v>
      </c>
      <c r="E1110" s="9">
        <v>2000</v>
      </c>
      <c r="F1110" s="9">
        <v>2000</v>
      </c>
      <c r="G1110" s="9">
        <v>1400</v>
      </c>
      <c r="I1110" t="s">
        <v>169</v>
      </c>
      <c r="J1110" t="s">
        <v>460</v>
      </c>
      <c r="K1110" t="s">
        <v>11</v>
      </c>
      <c r="L1110" t="str">
        <f>T("9791191562019")</f>
        <v>9791191562019</v>
      </c>
    </row>
    <row r="1111" spans="1:12">
      <c r="A1111" s="8">
        <v>44646.111261574071</v>
      </c>
      <c r="B1111">
        <v>246278078</v>
      </c>
      <c r="C1111" t="s">
        <v>727</v>
      </c>
      <c r="D1111" t="s">
        <v>9</v>
      </c>
      <c r="E1111" s="9">
        <v>3200</v>
      </c>
      <c r="F1111" s="9">
        <v>3200</v>
      </c>
      <c r="G1111" s="9">
        <v>2240</v>
      </c>
      <c r="I1111" t="s">
        <v>14</v>
      </c>
      <c r="J1111" t="s">
        <v>11</v>
      </c>
      <c r="K1111" t="s">
        <v>11</v>
      </c>
      <c r="L1111" t="str">
        <f>T("9791188630196")</f>
        <v>9791188630196</v>
      </c>
    </row>
    <row r="1112" spans="1:12">
      <c r="A1112" s="8">
        <v>44646.14340277778</v>
      </c>
      <c r="B1112">
        <v>291088925</v>
      </c>
      <c r="C1112" t="s">
        <v>693</v>
      </c>
      <c r="D1112" t="s">
        <v>9</v>
      </c>
      <c r="E1112" s="9">
        <v>2000</v>
      </c>
      <c r="F1112" s="9">
        <v>2000</v>
      </c>
      <c r="G1112" s="9">
        <v>1400</v>
      </c>
      <c r="I1112" t="s">
        <v>694</v>
      </c>
      <c r="J1112" t="s">
        <v>460</v>
      </c>
      <c r="K1112" t="s">
        <v>11</v>
      </c>
      <c r="L1112" t="str">
        <f>T("9791191562187")</f>
        <v>9791191562187</v>
      </c>
    </row>
    <row r="1113" spans="1:12">
      <c r="A1113" s="8">
        <v>44646.146539351852</v>
      </c>
      <c r="B1113">
        <v>287834730</v>
      </c>
      <c r="C1113" t="s">
        <v>275</v>
      </c>
      <c r="D1113" t="s">
        <v>9</v>
      </c>
      <c r="E1113" s="9">
        <v>2000</v>
      </c>
      <c r="F1113" s="9">
        <v>2000</v>
      </c>
      <c r="G1113" s="9">
        <v>1400</v>
      </c>
      <c r="I1113" t="s">
        <v>169</v>
      </c>
      <c r="J1113" t="s">
        <v>460</v>
      </c>
      <c r="K1113" t="s">
        <v>11</v>
      </c>
      <c r="L1113" t="str">
        <f>T("9791191562019")</f>
        <v>9791191562019</v>
      </c>
    </row>
    <row r="1114" spans="1:12">
      <c r="A1114" s="8">
        <v>44646.166550925926</v>
      </c>
      <c r="B1114">
        <v>287834730</v>
      </c>
      <c r="C1114" t="s">
        <v>275</v>
      </c>
      <c r="D1114" t="s">
        <v>9</v>
      </c>
      <c r="E1114" s="9">
        <v>2000</v>
      </c>
      <c r="F1114" s="9">
        <v>2000</v>
      </c>
      <c r="G1114" s="9">
        <v>1400</v>
      </c>
      <c r="I1114" t="s">
        <v>169</v>
      </c>
      <c r="J1114" t="s">
        <v>460</v>
      </c>
      <c r="K1114" t="s">
        <v>11</v>
      </c>
      <c r="L1114" t="str">
        <f>T("9791191562019")</f>
        <v>9791191562019</v>
      </c>
    </row>
    <row r="1115" spans="1:12">
      <c r="A1115" s="8">
        <v>44646.197314814817</v>
      </c>
      <c r="B1115">
        <v>291088925</v>
      </c>
      <c r="C1115" t="s">
        <v>693</v>
      </c>
      <c r="D1115" t="s">
        <v>9</v>
      </c>
      <c r="E1115" s="9">
        <v>2000</v>
      </c>
      <c r="F1115" s="9">
        <v>2000</v>
      </c>
      <c r="G1115" s="9">
        <v>1400</v>
      </c>
      <c r="I1115" t="s">
        <v>694</v>
      </c>
      <c r="J1115" t="s">
        <v>460</v>
      </c>
      <c r="K1115" t="s">
        <v>11</v>
      </c>
      <c r="L1115" t="str">
        <f>T("9791191562187")</f>
        <v>9791191562187</v>
      </c>
    </row>
    <row r="1116" spans="1:12">
      <c r="A1116" s="8">
        <v>44646.349606481483</v>
      </c>
      <c r="B1116">
        <v>246278182</v>
      </c>
      <c r="C1116" t="s">
        <v>728</v>
      </c>
      <c r="D1116" t="s">
        <v>9</v>
      </c>
      <c r="E1116" s="9">
        <v>3200</v>
      </c>
      <c r="F1116" s="9">
        <v>3200</v>
      </c>
      <c r="G1116" s="9">
        <v>2240</v>
      </c>
      <c r="I1116" t="s">
        <v>14</v>
      </c>
      <c r="J1116" t="s">
        <v>11</v>
      </c>
      <c r="K1116" t="s">
        <v>11</v>
      </c>
      <c r="L1116" t="str">
        <f>T("9791188630202")</f>
        <v>9791188630202</v>
      </c>
    </row>
    <row r="1117" spans="1:12">
      <c r="A1117" s="8">
        <v>44646.359236111108</v>
      </c>
      <c r="B1117">
        <v>291088925</v>
      </c>
      <c r="C1117" t="s">
        <v>693</v>
      </c>
      <c r="D1117" t="s">
        <v>9</v>
      </c>
      <c r="E1117" s="9">
        <v>2000</v>
      </c>
      <c r="F1117" s="9">
        <v>2000</v>
      </c>
      <c r="G1117" s="9">
        <v>1400</v>
      </c>
      <c r="I1117" t="s">
        <v>694</v>
      </c>
      <c r="J1117" t="s">
        <v>460</v>
      </c>
      <c r="K1117" t="s">
        <v>11</v>
      </c>
      <c r="L1117" t="str">
        <f t="shared" ref="L1117:L1122" si="14">T("9791191562187")</f>
        <v>9791191562187</v>
      </c>
    </row>
    <row r="1118" spans="1:12">
      <c r="A1118" s="8">
        <v>44646.366863425923</v>
      </c>
      <c r="B1118">
        <v>291088925</v>
      </c>
      <c r="C1118" t="s">
        <v>693</v>
      </c>
      <c r="D1118" t="s">
        <v>9</v>
      </c>
      <c r="E1118" s="9">
        <v>2000</v>
      </c>
      <c r="F1118" s="9">
        <v>2000</v>
      </c>
      <c r="G1118" s="9">
        <v>1400</v>
      </c>
      <c r="I1118" t="s">
        <v>694</v>
      </c>
      <c r="J1118" t="s">
        <v>460</v>
      </c>
      <c r="K1118" t="s">
        <v>11</v>
      </c>
      <c r="L1118" t="str">
        <f t="shared" si="14"/>
        <v>9791191562187</v>
      </c>
    </row>
    <row r="1119" spans="1:12">
      <c r="A1119" s="8">
        <v>44646.409780092596</v>
      </c>
      <c r="B1119">
        <v>291088925</v>
      </c>
      <c r="C1119" t="s">
        <v>693</v>
      </c>
      <c r="D1119" t="s">
        <v>9</v>
      </c>
      <c r="E1119" s="9">
        <v>2000</v>
      </c>
      <c r="F1119" s="9">
        <v>2000</v>
      </c>
      <c r="G1119" s="9">
        <v>1400</v>
      </c>
      <c r="I1119" t="s">
        <v>694</v>
      </c>
      <c r="J1119" t="s">
        <v>460</v>
      </c>
      <c r="K1119" t="s">
        <v>11</v>
      </c>
      <c r="L1119" t="str">
        <f t="shared" si="14"/>
        <v>9791191562187</v>
      </c>
    </row>
    <row r="1120" spans="1:12">
      <c r="A1120" s="8">
        <v>44646.469525462962</v>
      </c>
      <c r="B1120">
        <v>291088925</v>
      </c>
      <c r="C1120" t="s">
        <v>693</v>
      </c>
      <c r="D1120" t="s">
        <v>9</v>
      </c>
      <c r="E1120" s="9">
        <v>2000</v>
      </c>
      <c r="F1120" s="9">
        <v>2000</v>
      </c>
      <c r="G1120" s="9">
        <v>1400</v>
      </c>
      <c r="I1120" t="s">
        <v>694</v>
      </c>
      <c r="J1120" t="s">
        <v>460</v>
      </c>
      <c r="K1120" t="s">
        <v>11</v>
      </c>
      <c r="L1120" t="str">
        <f t="shared" si="14"/>
        <v>9791191562187</v>
      </c>
    </row>
    <row r="1121" spans="1:12">
      <c r="A1121" s="8">
        <v>44646.47246527778</v>
      </c>
      <c r="B1121">
        <v>291088925</v>
      </c>
      <c r="C1121" t="s">
        <v>693</v>
      </c>
      <c r="D1121" t="s">
        <v>9</v>
      </c>
      <c r="E1121" s="9">
        <v>2000</v>
      </c>
      <c r="F1121" s="9">
        <v>2000</v>
      </c>
      <c r="G1121" s="9">
        <v>1400</v>
      </c>
      <c r="I1121" t="s">
        <v>694</v>
      </c>
      <c r="J1121" t="s">
        <v>460</v>
      </c>
      <c r="K1121" t="s">
        <v>11</v>
      </c>
      <c r="L1121" t="str">
        <f t="shared" si="14"/>
        <v>9791191562187</v>
      </c>
    </row>
    <row r="1122" spans="1:12">
      <c r="A1122" s="8">
        <v>44646.50445601852</v>
      </c>
      <c r="B1122">
        <v>291088925</v>
      </c>
      <c r="C1122" t="s">
        <v>693</v>
      </c>
      <c r="D1122" t="s">
        <v>9</v>
      </c>
      <c r="E1122" s="9">
        <v>2000</v>
      </c>
      <c r="F1122" s="9">
        <v>2000</v>
      </c>
      <c r="G1122" s="9">
        <v>1400</v>
      </c>
      <c r="I1122" t="s">
        <v>694</v>
      </c>
      <c r="J1122" t="s">
        <v>460</v>
      </c>
      <c r="K1122" t="s">
        <v>11</v>
      </c>
      <c r="L1122" t="str">
        <f t="shared" si="14"/>
        <v>9791191562187</v>
      </c>
    </row>
    <row r="1123" spans="1:12">
      <c r="A1123" s="8">
        <v>44646.53261574074</v>
      </c>
      <c r="B1123">
        <v>291519446</v>
      </c>
      <c r="C1123" t="s">
        <v>732</v>
      </c>
      <c r="D1123" t="s">
        <v>9</v>
      </c>
      <c r="E1123" s="9">
        <v>2500</v>
      </c>
      <c r="F1123" s="9">
        <v>2500</v>
      </c>
      <c r="G1123" s="9">
        <v>1750</v>
      </c>
      <c r="I1123" t="s">
        <v>733</v>
      </c>
      <c r="J1123" t="s">
        <v>460</v>
      </c>
      <c r="K1123" t="s">
        <v>11</v>
      </c>
      <c r="L1123" t="str">
        <f>T("9791191562156")</f>
        <v>9791191562156</v>
      </c>
    </row>
    <row r="1124" spans="1:12">
      <c r="A1124" s="8">
        <v>44646.536620370367</v>
      </c>
      <c r="B1124">
        <v>291088925</v>
      </c>
      <c r="C1124" t="s">
        <v>693</v>
      </c>
      <c r="D1124" t="s">
        <v>9</v>
      </c>
      <c r="E1124" s="9">
        <v>2000</v>
      </c>
      <c r="F1124" s="9">
        <v>2000</v>
      </c>
      <c r="G1124" s="9">
        <v>1400</v>
      </c>
      <c r="I1124" t="s">
        <v>694</v>
      </c>
      <c r="J1124" t="s">
        <v>460</v>
      </c>
      <c r="K1124" t="s">
        <v>11</v>
      </c>
      <c r="L1124" t="str">
        <f>T("9791191562187")</f>
        <v>9791191562187</v>
      </c>
    </row>
    <row r="1125" spans="1:12">
      <c r="A1125" s="8">
        <v>44646.546469907407</v>
      </c>
      <c r="B1125">
        <v>284241886</v>
      </c>
      <c r="C1125" t="s">
        <v>62</v>
      </c>
      <c r="D1125" t="s">
        <v>9</v>
      </c>
      <c r="E1125" s="9">
        <v>3600</v>
      </c>
      <c r="F1125" s="9">
        <v>3600</v>
      </c>
      <c r="G1125" s="9">
        <v>2520</v>
      </c>
      <c r="I1125" t="s">
        <v>34</v>
      </c>
      <c r="J1125" t="s">
        <v>588</v>
      </c>
      <c r="K1125" t="s">
        <v>11</v>
      </c>
      <c r="L1125" t="str">
        <f>T("9791166482564")</f>
        <v>9791166482564</v>
      </c>
    </row>
    <row r="1126" spans="1:12">
      <c r="A1126" s="8">
        <v>44646.553518518522</v>
      </c>
      <c r="B1126">
        <v>285477725</v>
      </c>
      <c r="C1126" t="s">
        <v>81</v>
      </c>
      <c r="D1126" t="s">
        <v>9</v>
      </c>
      <c r="E1126" s="9">
        <v>2500</v>
      </c>
      <c r="F1126" s="9">
        <v>2500</v>
      </c>
      <c r="G1126" s="9">
        <v>1750</v>
      </c>
      <c r="I1126" t="s">
        <v>66</v>
      </c>
      <c r="J1126" t="s">
        <v>20</v>
      </c>
      <c r="K1126" t="s">
        <v>11</v>
      </c>
      <c r="L1126" t="str">
        <f>T("9791166004070")</f>
        <v>9791166004070</v>
      </c>
    </row>
    <row r="1127" spans="1:12">
      <c r="A1127" s="8">
        <v>44646.562743055554</v>
      </c>
      <c r="B1127">
        <v>291088925</v>
      </c>
      <c r="C1127" t="s">
        <v>693</v>
      </c>
      <c r="D1127" t="s">
        <v>9</v>
      </c>
      <c r="E1127" s="9">
        <v>2000</v>
      </c>
      <c r="F1127" s="9">
        <v>2000</v>
      </c>
      <c r="G1127" s="9">
        <v>1400</v>
      </c>
      <c r="I1127" t="s">
        <v>694</v>
      </c>
      <c r="J1127" t="s">
        <v>460</v>
      </c>
      <c r="K1127" t="s">
        <v>11</v>
      </c>
      <c r="L1127" t="str">
        <f>T("9791191562187")</f>
        <v>9791191562187</v>
      </c>
    </row>
    <row r="1128" spans="1:12">
      <c r="A1128" s="8">
        <v>44646.583379629628</v>
      </c>
      <c r="B1128">
        <v>287834730</v>
      </c>
      <c r="C1128" t="s">
        <v>275</v>
      </c>
      <c r="D1128" t="s">
        <v>9</v>
      </c>
      <c r="E1128" s="9">
        <v>2000</v>
      </c>
      <c r="F1128" s="9">
        <v>2000</v>
      </c>
      <c r="G1128" s="9">
        <v>1400</v>
      </c>
      <c r="I1128" t="s">
        <v>169</v>
      </c>
      <c r="J1128" t="s">
        <v>460</v>
      </c>
      <c r="K1128" t="s">
        <v>11</v>
      </c>
      <c r="L1128" t="str">
        <f>T("9791191562019")</f>
        <v>9791191562019</v>
      </c>
    </row>
    <row r="1129" spans="1:12">
      <c r="A1129" s="8">
        <v>44646.622893518521</v>
      </c>
      <c r="B1129">
        <v>290197934</v>
      </c>
      <c r="C1129" t="s">
        <v>604</v>
      </c>
      <c r="D1129" t="s">
        <v>9</v>
      </c>
      <c r="E1129" s="9">
        <v>2000</v>
      </c>
      <c r="F1129" s="9">
        <v>2000</v>
      </c>
      <c r="G1129" s="9">
        <v>1400</v>
      </c>
      <c r="I1129" t="s">
        <v>605</v>
      </c>
      <c r="J1129" t="s">
        <v>460</v>
      </c>
      <c r="K1129" t="s">
        <v>11</v>
      </c>
      <c r="L1129" t="str">
        <f>T("9791191562163")</f>
        <v>9791191562163</v>
      </c>
    </row>
    <row r="1130" spans="1:12">
      <c r="A1130" s="8">
        <v>44646.625023148146</v>
      </c>
      <c r="B1130">
        <v>280405078</v>
      </c>
      <c r="C1130" t="s">
        <v>734</v>
      </c>
      <c r="D1130" t="s">
        <v>9</v>
      </c>
      <c r="E1130" s="9">
        <v>2800</v>
      </c>
      <c r="F1130" s="9">
        <v>2800</v>
      </c>
      <c r="G1130" s="9">
        <v>1960</v>
      </c>
      <c r="I1130" t="s">
        <v>735</v>
      </c>
      <c r="J1130" t="s">
        <v>588</v>
      </c>
      <c r="K1130" t="s">
        <v>11</v>
      </c>
      <c r="L1130" t="str">
        <f>T("9791166482274")</f>
        <v>9791166482274</v>
      </c>
    </row>
    <row r="1131" spans="1:12">
      <c r="A1131" s="8">
        <v>44646.675868055558</v>
      </c>
      <c r="B1131">
        <v>290197934</v>
      </c>
      <c r="C1131" t="s">
        <v>604</v>
      </c>
      <c r="D1131" t="s">
        <v>9</v>
      </c>
      <c r="E1131" s="9">
        <v>2000</v>
      </c>
      <c r="F1131" s="9">
        <v>2000</v>
      </c>
      <c r="G1131" s="9">
        <v>1400</v>
      </c>
      <c r="I1131" t="s">
        <v>605</v>
      </c>
      <c r="J1131" t="s">
        <v>460</v>
      </c>
      <c r="K1131" t="s">
        <v>11</v>
      </c>
      <c r="L1131" t="str">
        <f>T("9791191562163")</f>
        <v>9791191562163</v>
      </c>
    </row>
    <row r="1132" spans="1:12">
      <c r="A1132" s="8">
        <v>44646.712291666663</v>
      </c>
      <c r="B1132">
        <v>291088925</v>
      </c>
      <c r="C1132" t="s">
        <v>693</v>
      </c>
      <c r="D1132" t="s">
        <v>9</v>
      </c>
      <c r="E1132" s="9">
        <v>2000</v>
      </c>
      <c r="F1132" s="9">
        <v>2000</v>
      </c>
      <c r="G1132" s="9">
        <v>1400</v>
      </c>
      <c r="I1132" t="s">
        <v>694</v>
      </c>
      <c r="J1132" t="s">
        <v>460</v>
      </c>
      <c r="K1132" t="s">
        <v>11</v>
      </c>
      <c r="L1132" t="str">
        <f>T("9791191562187")</f>
        <v>9791191562187</v>
      </c>
    </row>
    <row r="1133" spans="1:12">
      <c r="A1133" s="8">
        <v>44646.746238425927</v>
      </c>
      <c r="B1133">
        <v>287834730</v>
      </c>
      <c r="C1133" t="s">
        <v>275</v>
      </c>
      <c r="D1133" t="s">
        <v>9</v>
      </c>
      <c r="E1133" s="9">
        <v>2000</v>
      </c>
      <c r="F1133" s="9">
        <v>2000</v>
      </c>
      <c r="G1133" s="9">
        <v>1400</v>
      </c>
      <c r="I1133" t="s">
        <v>169</v>
      </c>
      <c r="J1133" t="s">
        <v>460</v>
      </c>
      <c r="K1133" t="s">
        <v>11</v>
      </c>
      <c r="L1133" t="str">
        <f>T("9791191562019")</f>
        <v>9791191562019</v>
      </c>
    </row>
    <row r="1134" spans="1:12">
      <c r="A1134" s="8">
        <v>44646.752789351849</v>
      </c>
      <c r="B1134">
        <v>258341074</v>
      </c>
      <c r="C1134" t="s">
        <v>640</v>
      </c>
      <c r="D1134" t="s">
        <v>9</v>
      </c>
      <c r="E1134">
        <v>0</v>
      </c>
      <c r="F1134">
        <v>0</v>
      </c>
      <c r="G1134">
        <v>0</v>
      </c>
      <c r="I1134" t="s">
        <v>641</v>
      </c>
      <c r="J1134" t="s">
        <v>11</v>
      </c>
      <c r="K1134" t="s">
        <v>11</v>
      </c>
      <c r="L1134" t="str">
        <f>T("9791166065125")</f>
        <v>9791166065125</v>
      </c>
    </row>
    <row r="1135" spans="1:12">
      <c r="A1135" s="8">
        <v>44646.758553240739</v>
      </c>
      <c r="B1135">
        <v>291088925</v>
      </c>
      <c r="C1135" t="s">
        <v>693</v>
      </c>
      <c r="D1135" t="s">
        <v>9</v>
      </c>
      <c r="E1135" s="9">
        <v>2000</v>
      </c>
      <c r="F1135" s="9">
        <v>2000</v>
      </c>
      <c r="G1135" s="9">
        <v>1400</v>
      </c>
      <c r="I1135" t="s">
        <v>694</v>
      </c>
      <c r="J1135" t="s">
        <v>460</v>
      </c>
      <c r="K1135" t="s">
        <v>11</v>
      </c>
      <c r="L1135" t="str">
        <f t="shared" ref="L1135:L1140" si="15">T("9791191562187")</f>
        <v>9791191562187</v>
      </c>
    </row>
    <row r="1136" spans="1:12">
      <c r="A1136" s="8">
        <v>44646.773240740738</v>
      </c>
      <c r="B1136">
        <v>291088925</v>
      </c>
      <c r="C1136" t="s">
        <v>693</v>
      </c>
      <c r="D1136" t="s">
        <v>9</v>
      </c>
      <c r="E1136" s="9">
        <v>2000</v>
      </c>
      <c r="F1136" s="9">
        <v>2000</v>
      </c>
      <c r="G1136" s="9">
        <v>1400</v>
      </c>
      <c r="I1136" t="s">
        <v>694</v>
      </c>
      <c r="J1136" t="s">
        <v>460</v>
      </c>
      <c r="K1136" t="s">
        <v>11</v>
      </c>
      <c r="L1136" t="str">
        <f t="shared" si="15"/>
        <v>9791191562187</v>
      </c>
    </row>
    <row r="1137" spans="1:12">
      <c r="A1137" s="8">
        <v>44646.779386574075</v>
      </c>
      <c r="B1137">
        <v>291088925</v>
      </c>
      <c r="C1137" t="s">
        <v>693</v>
      </c>
      <c r="D1137" t="s">
        <v>9</v>
      </c>
      <c r="E1137" s="9">
        <v>2000</v>
      </c>
      <c r="F1137" s="9">
        <v>2000</v>
      </c>
      <c r="G1137" s="9">
        <v>1400</v>
      </c>
      <c r="I1137" t="s">
        <v>694</v>
      </c>
      <c r="J1137" t="s">
        <v>460</v>
      </c>
      <c r="K1137" t="s">
        <v>11</v>
      </c>
      <c r="L1137" t="str">
        <f t="shared" si="15"/>
        <v>9791191562187</v>
      </c>
    </row>
    <row r="1138" spans="1:12">
      <c r="A1138" s="8">
        <v>44646.780949074076</v>
      </c>
      <c r="B1138">
        <v>291088925</v>
      </c>
      <c r="C1138" t="s">
        <v>693</v>
      </c>
      <c r="D1138" t="s">
        <v>9</v>
      </c>
      <c r="E1138" s="9">
        <v>2000</v>
      </c>
      <c r="F1138" s="9">
        <v>2000</v>
      </c>
      <c r="G1138" s="9">
        <v>1400</v>
      </c>
      <c r="I1138" t="s">
        <v>694</v>
      </c>
      <c r="J1138" t="s">
        <v>460</v>
      </c>
      <c r="K1138" t="s">
        <v>11</v>
      </c>
      <c r="L1138" t="str">
        <f t="shared" si="15"/>
        <v>9791191562187</v>
      </c>
    </row>
    <row r="1139" spans="1:12">
      <c r="A1139" s="8">
        <v>44646.800532407404</v>
      </c>
      <c r="B1139">
        <v>291088925</v>
      </c>
      <c r="C1139" t="s">
        <v>693</v>
      </c>
      <c r="D1139" t="s">
        <v>9</v>
      </c>
      <c r="E1139" s="9">
        <v>2000</v>
      </c>
      <c r="F1139" s="9">
        <v>2000</v>
      </c>
      <c r="G1139" s="9">
        <v>1400</v>
      </c>
      <c r="I1139" t="s">
        <v>694</v>
      </c>
      <c r="J1139" t="s">
        <v>460</v>
      </c>
      <c r="K1139" t="s">
        <v>11</v>
      </c>
      <c r="L1139" t="str">
        <f t="shared" si="15"/>
        <v>9791191562187</v>
      </c>
    </row>
    <row r="1140" spans="1:12">
      <c r="A1140" s="8">
        <v>44646.841527777775</v>
      </c>
      <c r="B1140">
        <v>291088925</v>
      </c>
      <c r="C1140" t="s">
        <v>693</v>
      </c>
      <c r="D1140" t="s">
        <v>9</v>
      </c>
      <c r="E1140" s="9">
        <v>2000</v>
      </c>
      <c r="F1140" s="9">
        <v>2000</v>
      </c>
      <c r="G1140" s="9">
        <v>1400</v>
      </c>
      <c r="I1140" t="s">
        <v>694</v>
      </c>
      <c r="J1140" t="s">
        <v>460</v>
      </c>
      <c r="K1140" t="s">
        <v>11</v>
      </c>
      <c r="L1140" t="str">
        <f t="shared" si="15"/>
        <v>9791191562187</v>
      </c>
    </row>
    <row r="1141" spans="1:12">
      <c r="A1141" s="8">
        <v>44646.841527777775</v>
      </c>
      <c r="B1141">
        <v>290963607</v>
      </c>
      <c r="C1141" t="s">
        <v>681</v>
      </c>
      <c r="D1141" t="s">
        <v>9</v>
      </c>
      <c r="E1141" s="9">
        <v>3500</v>
      </c>
      <c r="F1141" s="9">
        <v>3500</v>
      </c>
      <c r="G1141" s="9">
        <v>2450</v>
      </c>
      <c r="I1141" t="s">
        <v>682</v>
      </c>
      <c r="J1141" t="s">
        <v>460</v>
      </c>
      <c r="K1141" t="s">
        <v>11</v>
      </c>
      <c r="L1141" t="str">
        <f>T("9791191562132")</f>
        <v>9791191562132</v>
      </c>
    </row>
    <row r="1142" spans="1:12">
      <c r="A1142" s="8">
        <v>44646.841527777775</v>
      </c>
      <c r="B1142">
        <v>290197934</v>
      </c>
      <c r="C1142" t="s">
        <v>604</v>
      </c>
      <c r="D1142" t="s">
        <v>9</v>
      </c>
      <c r="E1142" s="9">
        <v>2000</v>
      </c>
      <c r="F1142" s="9">
        <v>2000</v>
      </c>
      <c r="G1142" s="9">
        <v>1400</v>
      </c>
      <c r="I1142" t="s">
        <v>605</v>
      </c>
      <c r="J1142" t="s">
        <v>460</v>
      </c>
      <c r="K1142" t="s">
        <v>11</v>
      </c>
      <c r="L1142" t="str">
        <f>T("9791191562163")</f>
        <v>9791191562163</v>
      </c>
    </row>
    <row r="1143" spans="1:12">
      <c r="A1143" s="8">
        <v>44646.841782407406</v>
      </c>
      <c r="B1143">
        <v>249362230</v>
      </c>
      <c r="C1143" t="s">
        <v>480</v>
      </c>
      <c r="D1143" t="s">
        <v>9</v>
      </c>
      <c r="E1143">
        <v>0</v>
      </c>
      <c r="F1143">
        <v>0</v>
      </c>
      <c r="G1143">
        <v>0</v>
      </c>
      <c r="I1143" t="s">
        <v>13</v>
      </c>
      <c r="J1143" t="s">
        <v>11</v>
      </c>
      <c r="K1143" t="s">
        <v>11</v>
      </c>
      <c r="L1143" t="str">
        <f>T("9788958317388")</f>
        <v>9788958317388</v>
      </c>
    </row>
    <row r="1144" spans="1:12">
      <c r="A1144" s="8">
        <v>44646.891527777778</v>
      </c>
      <c r="B1144">
        <v>290963607</v>
      </c>
      <c r="C1144" t="s">
        <v>681</v>
      </c>
      <c r="D1144" t="s">
        <v>9</v>
      </c>
      <c r="E1144" s="9">
        <v>3500</v>
      </c>
      <c r="F1144" s="9">
        <v>3500</v>
      </c>
      <c r="G1144" s="9">
        <v>2450</v>
      </c>
      <c r="I1144" t="s">
        <v>682</v>
      </c>
      <c r="J1144" t="s">
        <v>460</v>
      </c>
      <c r="K1144" t="s">
        <v>11</v>
      </c>
      <c r="L1144" t="str">
        <f>T("9791191562132")</f>
        <v>9791191562132</v>
      </c>
    </row>
    <row r="1145" spans="1:12">
      <c r="A1145" s="8">
        <v>44646.895520833335</v>
      </c>
      <c r="B1145">
        <v>291088925</v>
      </c>
      <c r="C1145" t="s">
        <v>693</v>
      </c>
      <c r="D1145" t="s">
        <v>9</v>
      </c>
      <c r="E1145" s="9">
        <v>2000</v>
      </c>
      <c r="F1145" s="9">
        <v>2000</v>
      </c>
      <c r="G1145" s="9">
        <v>1400</v>
      </c>
      <c r="I1145" t="s">
        <v>694</v>
      </c>
      <c r="J1145" t="s">
        <v>460</v>
      </c>
      <c r="K1145" t="s">
        <v>11</v>
      </c>
      <c r="L1145" t="str">
        <f>T("9791191562187")</f>
        <v>9791191562187</v>
      </c>
    </row>
    <row r="1146" spans="1:12">
      <c r="A1146" s="8">
        <v>44646.910810185182</v>
      </c>
      <c r="B1146">
        <v>286896672</v>
      </c>
      <c r="C1146" t="s">
        <v>248</v>
      </c>
      <c r="D1146" t="s">
        <v>9</v>
      </c>
      <c r="E1146" s="9">
        <v>2500</v>
      </c>
      <c r="F1146" s="9">
        <v>2500</v>
      </c>
      <c r="G1146" s="9">
        <v>1750</v>
      </c>
      <c r="I1146" t="s">
        <v>158</v>
      </c>
      <c r="J1146" t="s">
        <v>460</v>
      </c>
      <c r="K1146" t="s">
        <v>11</v>
      </c>
      <c r="L1146" t="str">
        <f>T("9791191562002")</f>
        <v>9791191562002</v>
      </c>
    </row>
    <row r="1147" spans="1:12">
      <c r="A1147" s="8">
        <v>44646.930972222224</v>
      </c>
      <c r="B1147">
        <v>290963607</v>
      </c>
      <c r="C1147" t="s">
        <v>681</v>
      </c>
      <c r="D1147" t="s">
        <v>9</v>
      </c>
      <c r="E1147" s="9">
        <v>3500</v>
      </c>
      <c r="F1147" s="9">
        <v>3500</v>
      </c>
      <c r="G1147" s="9">
        <v>2450</v>
      </c>
      <c r="I1147" t="s">
        <v>682</v>
      </c>
      <c r="J1147" t="s">
        <v>460</v>
      </c>
      <c r="K1147" t="s">
        <v>11</v>
      </c>
      <c r="L1147" t="str">
        <f>T("9791191562132")</f>
        <v>9791191562132</v>
      </c>
    </row>
    <row r="1148" spans="1:12">
      <c r="A1148" s="8">
        <v>44646.942557870374</v>
      </c>
      <c r="B1148">
        <v>285477730</v>
      </c>
      <c r="C1148" t="s">
        <v>255</v>
      </c>
      <c r="D1148" t="s">
        <v>9</v>
      </c>
      <c r="E1148" s="9">
        <v>2500</v>
      </c>
      <c r="F1148" s="9">
        <v>2500</v>
      </c>
      <c r="G1148" s="9">
        <v>1750</v>
      </c>
      <c r="I1148" t="s">
        <v>66</v>
      </c>
      <c r="J1148" t="s">
        <v>20</v>
      </c>
      <c r="K1148" t="s">
        <v>11</v>
      </c>
      <c r="L1148" t="str">
        <f>T("9791166004087")</f>
        <v>9791166004087</v>
      </c>
    </row>
    <row r="1149" spans="1:12">
      <c r="A1149" s="8">
        <v>44646.942557870374</v>
      </c>
      <c r="B1149">
        <v>285477740</v>
      </c>
      <c r="C1149" t="s">
        <v>736</v>
      </c>
      <c r="D1149" t="s">
        <v>9</v>
      </c>
      <c r="E1149" s="9">
        <v>2500</v>
      </c>
      <c r="F1149" s="9">
        <v>2500</v>
      </c>
      <c r="G1149" s="9">
        <v>1750</v>
      </c>
      <c r="I1149" t="s">
        <v>66</v>
      </c>
      <c r="J1149" t="s">
        <v>20</v>
      </c>
      <c r="K1149" t="s">
        <v>11</v>
      </c>
      <c r="L1149" t="str">
        <f>T("9791166004094")</f>
        <v>9791166004094</v>
      </c>
    </row>
    <row r="1150" spans="1:12">
      <c r="A1150" s="8">
        <v>44646.956701388888</v>
      </c>
      <c r="B1150">
        <v>291088925</v>
      </c>
      <c r="C1150" t="s">
        <v>693</v>
      </c>
      <c r="D1150" t="s">
        <v>9</v>
      </c>
      <c r="E1150" s="9">
        <v>2000</v>
      </c>
      <c r="F1150" s="9">
        <v>2000</v>
      </c>
      <c r="G1150" s="9">
        <v>1400</v>
      </c>
      <c r="I1150" t="s">
        <v>694</v>
      </c>
      <c r="J1150" t="s">
        <v>460</v>
      </c>
      <c r="K1150" t="s">
        <v>11</v>
      </c>
      <c r="L1150" t="str">
        <f>T("9791191562187")</f>
        <v>9791191562187</v>
      </c>
    </row>
    <row r="1151" spans="1:12">
      <c r="A1151" s="8">
        <v>44646.959710648145</v>
      </c>
      <c r="B1151">
        <v>291088925</v>
      </c>
      <c r="C1151" t="s">
        <v>693</v>
      </c>
      <c r="D1151" t="s">
        <v>9</v>
      </c>
      <c r="E1151" s="9">
        <v>2000</v>
      </c>
      <c r="F1151" s="9">
        <v>2000</v>
      </c>
      <c r="G1151" s="9">
        <v>1400</v>
      </c>
      <c r="I1151" t="s">
        <v>694</v>
      </c>
      <c r="J1151" t="s">
        <v>460</v>
      </c>
      <c r="K1151" t="s">
        <v>11</v>
      </c>
      <c r="L1151" t="str">
        <f>T("9791191562187")</f>
        <v>9791191562187</v>
      </c>
    </row>
    <row r="1152" spans="1:12">
      <c r="A1152" s="8">
        <v>44646.976030092592</v>
      </c>
      <c r="B1152">
        <v>291088925</v>
      </c>
      <c r="C1152" t="s">
        <v>693</v>
      </c>
      <c r="D1152" t="s">
        <v>9</v>
      </c>
      <c r="E1152" s="9">
        <v>2000</v>
      </c>
      <c r="F1152" s="9">
        <v>2000</v>
      </c>
      <c r="G1152" s="9">
        <v>1400</v>
      </c>
      <c r="I1152" t="s">
        <v>694</v>
      </c>
      <c r="J1152" t="s">
        <v>460</v>
      </c>
      <c r="K1152" t="s">
        <v>11</v>
      </c>
      <c r="L1152" t="str">
        <f>T("9791191562187")</f>
        <v>9791191562187</v>
      </c>
    </row>
    <row r="1153" spans="1:12">
      <c r="A1153" s="8">
        <v>44646.985532407409</v>
      </c>
      <c r="B1153">
        <v>291088925</v>
      </c>
      <c r="C1153" t="s">
        <v>693</v>
      </c>
      <c r="D1153" t="s">
        <v>9</v>
      </c>
      <c r="E1153" s="9">
        <v>2000</v>
      </c>
      <c r="F1153" s="9">
        <v>2000</v>
      </c>
      <c r="G1153" s="9">
        <v>1400</v>
      </c>
      <c r="I1153" t="s">
        <v>694</v>
      </c>
      <c r="J1153" t="s">
        <v>460</v>
      </c>
      <c r="K1153" t="s">
        <v>11</v>
      </c>
      <c r="L1153" t="str">
        <f>T("9791191562187")</f>
        <v>9791191562187</v>
      </c>
    </row>
    <row r="1154" spans="1:12">
      <c r="A1154" s="8">
        <v>44646.989074074074</v>
      </c>
      <c r="B1154">
        <v>291088925</v>
      </c>
      <c r="C1154" t="s">
        <v>693</v>
      </c>
      <c r="D1154" t="s">
        <v>9</v>
      </c>
      <c r="E1154" s="9">
        <v>2000</v>
      </c>
      <c r="F1154" s="9">
        <v>2000</v>
      </c>
      <c r="G1154" s="9">
        <v>1400</v>
      </c>
      <c r="I1154" t="s">
        <v>694</v>
      </c>
      <c r="J1154" t="s">
        <v>460</v>
      </c>
      <c r="K1154" t="s">
        <v>11</v>
      </c>
      <c r="L1154" t="str">
        <f>T("9791191562187")</f>
        <v>9791191562187</v>
      </c>
    </row>
    <row r="1155" spans="1:12">
      <c r="A1155" s="8">
        <v>44646.994328703702</v>
      </c>
      <c r="B1155">
        <v>290197934</v>
      </c>
      <c r="C1155" t="s">
        <v>604</v>
      </c>
      <c r="D1155" t="s">
        <v>9</v>
      </c>
      <c r="E1155" s="9">
        <v>2000</v>
      </c>
      <c r="F1155" s="9">
        <v>2000</v>
      </c>
      <c r="G1155" s="9">
        <v>1400</v>
      </c>
      <c r="I1155" t="s">
        <v>605</v>
      </c>
      <c r="J1155" t="s">
        <v>460</v>
      </c>
      <c r="K1155" t="s">
        <v>11</v>
      </c>
      <c r="L1155" t="str">
        <f>T("9791191562163")</f>
        <v>9791191562163</v>
      </c>
    </row>
    <row r="1156" spans="1:12">
      <c r="A1156" s="8">
        <v>44647.057245370372</v>
      </c>
      <c r="B1156">
        <v>291088925</v>
      </c>
      <c r="C1156" t="s">
        <v>693</v>
      </c>
      <c r="D1156" t="s">
        <v>9</v>
      </c>
      <c r="E1156" s="9">
        <v>-2000</v>
      </c>
      <c r="F1156" s="9">
        <v>-2000</v>
      </c>
      <c r="G1156" s="9">
        <v>-1400</v>
      </c>
      <c r="H1156" s="8">
        <v>44647.003946759258</v>
      </c>
      <c r="I1156" t="s">
        <v>694</v>
      </c>
      <c r="J1156" t="s">
        <v>460</v>
      </c>
      <c r="K1156" t="s">
        <v>11</v>
      </c>
      <c r="L1156" t="str">
        <f>T("9791191562187")</f>
        <v>9791191562187</v>
      </c>
    </row>
    <row r="1157" spans="1:12">
      <c r="A1157" s="8">
        <v>44647.003946759258</v>
      </c>
      <c r="B1157">
        <v>291088925</v>
      </c>
      <c r="C1157" t="s">
        <v>693</v>
      </c>
      <c r="D1157" t="s">
        <v>9</v>
      </c>
      <c r="E1157" s="9">
        <v>2000</v>
      </c>
      <c r="F1157" s="9">
        <v>2000</v>
      </c>
      <c r="G1157" s="9">
        <v>1400</v>
      </c>
      <c r="I1157" t="s">
        <v>694</v>
      </c>
      <c r="J1157" t="s">
        <v>460</v>
      </c>
      <c r="K1157" t="s">
        <v>11</v>
      </c>
      <c r="L1157" t="str">
        <f>T("9791191562187")</f>
        <v>9791191562187</v>
      </c>
    </row>
    <row r="1158" spans="1:12">
      <c r="A1158" s="8">
        <v>44647.005173611113</v>
      </c>
      <c r="B1158">
        <v>291369647</v>
      </c>
      <c r="C1158" t="s">
        <v>724</v>
      </c>
      <c r="D1158" t="s">
        <v>9</v>
      </c>
      <c r="E1158" s="9">
        <v>2000</v>
      </c>
      <c r="F1158" s="9">
        <v>2000</v>
      </c>
      <c r="G1158" s="9">
        <v>1400</v>
      </c>
      <c r="I1158" t="s">
        <v>725</v>
      </c>
      <c r="J1158" t="s">
        <v>460</v>
      </c>
      <c r="K1158" t="s">
        <v>11</v>
      </c>
      <c r="L1158" t="str">
        <f>T("9791191562194")</f>
        <v>9791191562194</v>
      </c>
    </row>
    <row r="1159" spans="1:12">
      <c r="A1159" s="8">
        <v>44647.00577546296</v>
      </c>
      <c r="B1159">
        <v>290197934</v>
      </c>
      <c r="C1159" t="s">
        <v>604</v>
      </c>
      <c r="D1159" t="s">
        <v>9</v>
      </c>
      <c r="E1159" s="9">
        <v>2000</v>
      </c>
      <c r="F1159" s="9">
        <v>2000</v>
      </c>
      <c r="G1159" s="9">
        <v>1400</v>
      </c>
      <c r="I1159" t="s">
        <v>605</v>
      </c>
      <c r="J1159" t="s">
        <v>460</v>
      </c>
      <c r="K1159" t="s">
        <v>11</v>
      </c>
      <c r="L1159" t="str">
        <f>T("9791191562163")</f>
        <v>9791191562163</v>
      </c>
    </row>
    <row r="1160" spans="1:12">
      <c r="A1160" s="8">
        <v>44647.007627314815</v>
      </c>
      <c r="B1160">
        <v>291088925</v>
      </c>
      <c r="C1160" t="s">
        <v>693</v>
      </c>
      <c r="D1160" t="s">
        <v>9</v>
      </c>
      <c r="E1160" s="9">
        <v>2000</v>
      </c>
      <c r="F1160" s="9">
        <v>2000</v>
      </c>
      <c r="G1160" s="9">
        <v>1400</v>
      </c>
      <c r="I1160" t="s">
        <v>694</v>
      </c>
      <c r="J1160" t="s">
        <v>460</v>
      </c>
      <c r="K1160" t="s">
        <v>11</v>
      </c>
      <c r="L1160" t="str">
        <f>T("9791191562187")</f>
        <v>9791191562187</v>
      </c>
    </row>
    <row r="1161" spans="1:12">
      <c r="A1161" s="8">
        <v>44647.021481481483</v>
      </c>
      <c r="B1161">
        <v>290197934</v>
      </c>
      <c r="C1161" t="s">
        <v>604</v>
      </c>
      <c r="D1161" t="s">
        <v>9</v>
      </c>
      <c r="E1161" s="9">
        <v>2000</v>
      </c>
      <c r="F1161" s="9">
        <v>2000</v>
      </c>
      <c r="G1161" s="9">
        <v>1400</v>
      </c>
      <c r="I1161" t="s">
        <v>605</v>
      </c>
      <c r="J1161" t="s">
        <v>460</v>
      </c>
      <c r="K1161" t="s">
        <v>11</v>
      </c>
      <c r="L1161" t="str">
        <f>T("9791191562163")</f>
        <v>9791191562163</v>
      </c>
    </row>
    <row r="1162" spans="1:12">
      <c r="A1162" s="8">
        <v>44647.036724537036</v>
      </c>
      <c r="B1162">
        <v>291088925</v>
      </c>
      <c r="C1162" t="s">
        <v>693</v>
      </c>
      <c r="D1162" t="s">
        <v>9</v>
      </c>
      <c r="E1162" s="9">
        <v>2000</v>
      </c>
      <c r="F1162" s="9">
        <v>2000</v>
      </c>
      <c r="G1162" s="9">
        <v>1400</v>
      </c>
      <c r="I1162" t="s">
        <v>694</v>
      </c>
      <c r="J1162" t="s">
        <v>460</v>
      </c>
      <c r="K1162" t="s">
        <v>11</v>
      </c>
      <c r="L1162" t="str">
        <f>T("9791191562187")</f>
        <v>9791191562187</v>
      </c>
    </row>
    <row r="1163" spans="1:12">
      <c r="A1163" s="8">
        <v>44647.062106481484</v>
      </c>
      <c r="B1163">
        <v>291088925</v>
      </c>
      <c r="C1163" t="s">
        <v>693</v>
      </c>
      <c r="D1163" t="s">
        <v>9</v>
      </c>
      <c r="E1163" s="9">
        <v>2000</v>
      </c>
      <c r="F1163" s="9">
        <v>2000</v>
      </c>
      <c r="G1163" s="9">
        <v>1400</v>
      </c>
      <c r="I1163" t="s">
        <v>694</v>
      </c>
      <c r="J1163" t="s">
        <v>460</v>
      </c>
      <c r="K1163" t="s">
        <v>11</v>
      </c>
      <c r="L1163" t="str">
        <f>T("9791191562187")</f>
        <v>9791191562187</v>
      </c>
    </row>
    <row r="1164" spans="1:12">
      <c r="A1164" s="8">
        <v>44647.066006944442</v>
      </c>
      <c r="B1164">
        <v>291088925</v>
      </c>
      <c r="C1164" t="s">
        <v>693</v>
      </c>
      <c r="D1164" t="s">
        <v>9</v>
      </c>
      <c r="E1164" s="9">
        <v>2000</v>
      </c>
      <c r="F1164" s="9">
        <v>2000</v>
      </c>
      <c r="G1164" s="9">
        <v>1400</v>
      </c>
      <c r="I1164" t="s">
        <v>694</v>
      </c>
      <c r="J1164" t="s">
        <v>460</v>
      </c>
      <c r="K1164" t="s">
        <v>11</v>
      </c>
      <c r="L1164" t="str">
        <f>T("9791191562187")</f>
        <v>9791191562187</v>
      </c>
    </row>
    <row r="1165" spans="1:12">
      <c r="A1165" s="8">
        <v>44647.077025462961</v>
      </c>
      <c r="B1165">
        <v>253098969</v>
      </c>
      <c r="C1165" t="s">
        <v>710</v>
      </c>
      <c r="D1165" t="s">
        <v>9</v>
      </c>
      <c r="E1165">
        <v>600</v>
      </c>
      <c r="F1165">
        <v>600</v>
      </c>
      <c r="G1165">
        <v>420</v>
      </c>
      <c r="I1165" t="s">
        <v>18</v>
      </c>
      <c r="J1165" t="s">
        <v>588</v>
      </c>
      <c r="K1165" t="s">
        <v>11</v>
      </c>
      <c r="L1165" t="str">
        <f>T("9791164899432")</f>
        <v>9791164899432</v>
      </c>
    </row>
    <row r="1166" spans="1:12">
      <c r="A1166" s="8">
        <v>44647.087488425925</v>
      </c>
      <c r="B1166">
        <v>291088925</v>
      </c>
      <c r="C1166" t="s">
        <v>693</v>
      </c>
      <c r="D1166" t="s">
        <v>9</v>
      </c>
      <c r="E1166" s="9">
        <v>2000</v>
      </c>
      <c r="F1166" s="9">
        <v>2000</v>
      </c>
      <c r="G1166" s="9">
        <v>1400</v>
      </c>
      <c r="I1166" t="s">
        <v>694</v>
      </c>
      <c r="J1166" t="s">
        <v>460</v>
      </c>
      <c r="K1166" t="s">
        <v>11</v>
      </c>
      <c r="L1166" t="str">
        <f>T("9791191562187")</f>
        <v>9791191562187</v>
      </c>
    </row>
    <row r="1167" spans="1:12">
      <c r="A1167" s="8">
        <v>44647.134386574071</v>
      </c>
      <c r="B1167">
        <v>290963607</v>
      </c>
      <c r="C1167" t="s">
        <v>681</v>
      </c>
      <c r="D1167" t="s">
        <v>9</v>
      </c>
      <c r="E1167" s="9">
        <v>3500</v>
      </c>
      <c r="F1167" s="9">
        <v>3500</v>
      </c>
      <c r="G1167" s="9">
        <v>2450</v>
      </c>
      <c r="I1167" t="s">
        <v>682</v>
      </c>
      <c r="J1167" t="s">
        <v>460</v>
      </c>
      <c r="K1167" t="s">
        <v>11</v>
      </c>
      <c r="L1167" t="str">
        <f>T("9791191562132")</f>
        <v>9791191562132</v>
      </c>
    </row>
    <row r="1168" spans="1:12">
      <c r="A1168" s="8">
        <v>44647.134386574071</v>
      </c>
      <c r="B1168">
        <v>287086652</v>
      </c>
      <c r="C1168" t="s">
        <v>220</v>
      </c>
      <c r="D1168" t="s">
        <v>9</v>
      </c>
      <c r="E1168" s="9">
        <v>2000</v>
      </c>
      <c r="F1168" s="9">
        <v>2000</v>
      </c>
      <c r="G1168" s="9">
        <v>1400</v>
      </c>
      <c r="I1168" t="s">
        <v>162</v>
      </c>
      <c r="J1168" t="s">
        <v>460</v>
      </c>
      <c r="K1168" t="s">
        <v>11</v>
      </c>
      <c r="L1168" t="str">
        <f>T("9791191562033")</f>
        <v>9791191562033</v>
      </c>
    </row>
    <row r="1169" spans="1:12">
      <c r="A1169" s="8">
        <v>44647.162268518521</v>
      </c>
      <c r="B1169">
        <v>281625184</v>
      </c>
      <c r="C1169" t="s">
        <v>540</v>
      </c>
      <c r="D1169" t="s">
        <v>9</v>
      </c>
      <c r="E1169" s="9">
        <v>3200</v>
      </c>
      <c r="F1169" s="9">
        <v>3200</v>
      </c>
      <c r="G1169" s="9">
        <v>2240</v>
      </c>
      <c r="I1169" t="s">
        <v>14</v>
      </c>
      <c r="J1169" t="s">
        <v>11</v>
      </c>
      <c r="K1169" t="s">
        <v>11</v>
      </c>
      <c r="L1169" t="str">
        <f>T("9791137601093")</f>
        <v>9791137601093</v>
      </c>
    </row>
    <row r="1170" spans="1:12">
      <c r="A1170" s="8">
        <v>44647.162268518521</v>
      </c>
      <c r="B1170">
        <v>281625212</v>
      </c>
      <c r="C1170" t="s">
        <v>542</v>
      </c>
      <c r="D1170" t="s">
        <v>9</v>
      </c>
      <c r="E1170" s="9">
        <v>3200</v>
      </c>
      <c r="F1170" s="9">
        <v>3200</v>
      </c>
      <c r="G1170" s="9">
        <v>2240</v>
      </c>
      <c r="I1170" t="s">
        <v>14</v>
      </c>
      <c r="J1170" t="s">
        <v>11</v>
      </c>
      <c r="K1170" t="s">
        <v>11</v>
      </c>
      <c r="L1170" t="str">
        <f>T("9791137601109")</f>
        <v>9791137601109</v>
      </c>
    </row>
    <row r="1171" spans="1:12">
      <c r="A1171" s="8">
        <v>44647.162268518521</v>
      </c>
      <c r="B1171">
        <v>281625180</v>
      </c>
      <c r="C1171" t="s">
        <v>543</v>
      </c>
      <c r="D1171" t="s">
        <v>9</v>
      </c>
      <c r="E1171" s="9">
        <v>3200</v>
      </c>
      <c r="F1171" s="9">
        <v>3200</v>
      </c>
      <c r="G1171" s="9">
        <v>2240</v>
      </c>
      <c r="I1171" t="s">
        <v>14</v>
      </c>
      <c r="J1171" t="s">
        <v>11</v>
      </c>
      <c r="K1171" t="s">
        <v>11</v>
      </c>
      <c r="L1171" t="str">
        <f>T("9791137601116")</f>
        <v>9791137601116</v>
      </c>
    </row>
    <row r="1172" spans="1:12">
      <c r="A1172" s="8">
        <v>44647.197951388887</v>
      </c>
      <c r="B1172">
        <v>246278201</v>
      </c>
      <c r="C1172" t="s">
        <v>729</v>
      </c>
      <c r="D1172" t="s">
        <v>9</v>
      </c>
      <c r="E1172" s="9">
        <v>3200</v>
      </c>
      <c r="F1172" s="9">
        <v>3200</v>
      </c>
      <c r="G1172" s="9">
        <v>2240</v>
      </c>
      <c r="I1172" t="s">
        <v>14</v>
      </c>
      <c r="J1172" t="s">
        <v>11</v>
      </c>
      <c r="K1172" t="s">
        <v>11</v>
      </c>
      <c r="L1172" t="str">
        <f>T("9791188630219")</f>
        <v>9791188630219</v>
      </c>
    </row>
    <row r="1173" spans="1:12">
      <c r="A1173" s="8">
        <v>44647.295358796298</v>
      </c>
      <c r="B1173">
        <v>290963607</v>
      </c>
      <c r="C1173" t="s">
        <v>681</v>
      </c>
      <c r="D1173" t="s">
        <v>9</v>
      </c>
      <c r="E1173" s="9">
        <v>3500</v>
      </c>
      <c r="F1173" s="9">
        <v>3500</v>
      </c>
      <c r="G1173" s="9">
        <v>2450</v>
      </c>
      <c r="I1173" t="s">
        <v>682</v>
      </c>
      <c r="J1173" t="s">
        <v>460</v>
      </c>
      <c r="K1173" t="s">
        <v>11</v>
      </c>
      <c r="L1173" t="str">
        <f>T("9791191562132")</f>
        <v>9791191562132</v>
      </c>
    </row>
    <row r="1174" spans="1:12">
      <c r="A1174" s="8">
        <v>44647.30840277778</v>
      </c>
      <c r="B1174">
        <v>291088925</v>
      </c>
      <c r="C1174" t="s">
        <v>693</v>
      </c>
      <c r="D1174" t="s">
        <v>9</v>
      </c>
      <c r="E1174" s="9">
        <v>2000</v>
      </c>
      <c r="F1174" s="9">
        <v>2000</v>
      </c>
      <c r="G1174" s="9">
        <v>1400</v>
      </c>
      <c r="I1174" t="s">
        <v>694</v>
      </c>
      <c r="J1174" t="s">
        <v>460</v>
      </c>
      <c r="K1174" t="s">
        <v>11</v>
      </c>
      <c r="L1174" t="str">
        <f>T("9791191562187")</f>
        <v>9791191562187</v>
      </c>
    </row>
    <row r="1175" spans="1:12">
      <c r="A1175" s="8">
        <v>44647.365868055553</v>
      </c>
      <c r="B1175">
        <v>290963607</v>
      </c>
      <c r="C1175" t="s">
        <v>681</v>
      </c>
      <c r="D1175" t="s">
        <v>9</v>
      </c>
      <c r="E1175" s="9">
        <v>3500</v>
      </c>
      <c r="F1175" s="9">
        <v>3500</v>
      </c>
      <c r="G1175" s="9">
        <v>2450</v>
      </c>
      <c r="I1175" t="s">
        <v>682</v>
      </c>
      <c r="J1175" t="s">
        <v>460</v>
      </c>
      <c r="K1175" t="s">
        <v>11</v>
      </c>
      <c r="L1175" t="str">
        <f>T("9791191562132")</f>
        <v>9791191562132</v>
      </c>
    </row>
    <row r="1176" spans="1:12">
      <c r="A1176" s="8">
        <v>44647.368043981478</v>
      </c>
      <c r="B1176">
        <v>287834730</v>
      </c>
      <c r="C1176" t="s">
        <v>275</v>
      </c>
      <c r="D1176" t="s">
        <v>9</v>
      </c>
      <c r="E1176" s="9">
        <v>2000</v>
      </c>
      <c r="F1176" s="9">
        <v>2000</v>
      </c>
      <c r="G1176" s="9">
        <v>1400</v>
      </c>
      <c r="I1176" t="s">
        <v>169</v>
      </c>
      <c r="J1176" t="s">
        <v>460</v>
      </c>
      <c r="K1176" t="s">
        <v>11</v>
      </c>
      <c r="L1176" t="str">
        <f>T("9791191562019")</f>
        <v>9791191562019</v>
      </c>
    </row>
    <row r="1177" spans="1:12">
      <c r="A1177" s="8">
        <v>44647.372743055559</v>
      </c>
      <c r="B1177">
        <v>291088925</v>
      </c>
      <c r="C1177" t="s">
        <v>693</v>
      </c>
      <c r="D1177" t="s">
        <v>9</v>
      </c>
      <c r="E1177" s="9">
        <v>2000</v>
      </c>
      <c r="F1177" s="9">
        <v>2000</v>
      </c>
      <c r="G1177" s="9">
        <v>1400</v>
      </c>
      <c r="I1177" t="s">
        <v>694</v>
      </c>
      <c r="J1177" t="s">
        <v>460</v>
      </c>
      <c r="K1177" t="s">
        <v>11</v>
      </c>
      <c r="L1177" t="str">
        <f t="shared" ref="L1177:L1182" si="16">T("9791191562187")</f>
        <v>9791191562187</v>
      </c>
    </row>
    <row r="1178" spans="1:12">
      <c r="A1178" s="8">
        <v>44647.375289351854</v>
      </c>
      <c r="B1178">
        <v>291088925</v>
      </c>
      <c r="C1178" t="s">
        <v>693</v>
      </c>
      <c r="D1178" t="s">
        <v>9</v>
      </c>
      <c r="E1178" s="9">
        <v>2000</v>
      </c>
      <c r="F1178" s="9">
        <v>2000</v>
      </c>
      <c r="G1178" s="9">
        <v>1400</v>
      </c>
      <c r="I1178" t="s">
        <v>694</v>
      </c>
      <c r="J1178" t="s">
        <v>460</v>
      </c>
      <c r="K1178" t="s">
        <v>11</v>
      </c>
      <c r="L1178" t="str">
        <f t="shared" si="16"/>
        <v>9791191562187</v>
      </c>
    </row>
    <row r="1179" spans="1:12">
      <c r="A1179" s="8">
        <v>44647.407592592594</v>
      </c>
      <c r="B1179">
        <v>291088925</v>
      </c>
      <c r="C1179" t="s">
        <v>693</v>
      </c>
      <c r="D1179" t="s">
        <v>9</v>
      </c>
      <c r="E1179" s="9">
        <v>2000</v>
      </c>
      <c r="F1179" s="9">
        <v>2000</v>
      </c>
      <c r="G1179" s="9">
        <v>1400</v>
      </c>
      <c r="I1179" t="s">
        <v>694</v>
      </c>
      <c r="J1179" t="s">
        <v>460</v>
      </c>
      <c r="K1179" t="s">
        <v>11</v>
      </c>
      <c r="L1179" t="str">
        <f t="shared" si="16"/>
        <v>9791191562187</v>
      </c>
    </row>
    <row r="1180" spans="1:12">
      <c r="A1180" s="8">
        <v>44647.42019675926</v>
      </c>
      <c r="B1180">
        <v>291088925</v>
      </c>
      <c r="C1180" t="s">
        <v>693</v>
      </c>
      <c r="D1180" t="s">
        <v>9</v>
      </c>
      <c r="E1180" s="9">
        <v>2000</v>
      </c>
      <c r="F1180" s="9">
        <v>2000</v>
      </c>
      <c r="G1180" s="9">
        <v>1400</v>
      </c>
      <c r="I1180" t="s">
        <v>694</v>
      </c>
      <c r="J1180" t="s">
        <v>460</v>
      </c>
      <c r="K1180" t="s">
        <v>11</v>
      </c>
      <c r="L1180" t="str">
        <f t="shared" si="16"/>
        <v>9791191562187</v>
      </c>
    </row>
    <row r="1181" spans="1:12">
      <c r="A1181" s="8">
        <v>44647.427164351851</v>
      </c>
      <c r="B1181">
        <v>291088925</v>
      </c>
      <c r="C1181" t="s">
        <v>693</v>
      </c>
      <c r="D1181" t="s">
        <v>9</v>
      </c>
      <c r="E1181" s="9">
        <v>2000</v>
      </c>
      <c r="F1181" s="9">
        <v>2000</v>
      </c>
      <c r="G1181" s="9">
        <v>1400</v>
      </c>
      <c r="I1181" t="s">
        <v>694</v>
      </c>
      <c r="J1181" t="s">
        <v>460</v>
      </c>
      <c r="K1181" t="s">
        <v>11</v>
      </c>
      <c r="L1181" t="str">
        <f t="shared" si="16"/>
        <v>9791191562187</v>
      </c>
    </row>
    <row r="1182" spans="1:12">
      <c r="A1182" s="8">
        <v>44647.427835648145</v>
      </c>
      <c r="B1182">
        <v>291088925</v>
      </c>
      <c r="C1182" t="s">
        <v>693</v>
      </c>
      <c r="D1182" t="s">
        <v>9</v>
      </c>
      <c r="E1182" s="9">
        <v>2000</v>
      </c>
      <c r="F1182" s="9">
        <v>2000</v>
      </c>
      <c r="G1182" s="9">
        <v>1400</v>
      </c>
      <c r="I1182" t="s">
        <v>694</v>
      </c>
      <c r="J1182" t="s">
        <v>460</v>
      </c>
      <c r="K1182" t="s">
        <v>11</v>
      </c>
      <c r="L1182" t="str">
        <f t="shared" si="16"/>
        <v>9791191562187</v>
      </c>
    </row>
    <row r="1183" spans="1:12">
      <c r="A1183" s="8">
        <v>44647.428287037037</v>
      </c>
      <c r="B1183">
        <v>246278095</v>
      </c>
      <c r="C1183" t="s">
        <v>737</v>
      </c>
      <c r="D1183" t="s">
        <v>9</v>
      </c>
      <c r="E1183" s="9">
        <v>3200</v>
      </c>
      <c r="F1183" s="9">
        <v>3200</v>
      </c>
      <c r="G1183" s="9">
        <v>2240</v>
      </c>
      <c r="I1183" t="s">
        <v>14</v>
      </c>
      <c r="J1183" t="s">
        <v>11</v>
      </c>
      <c r="K1183" t="s">
        <v>11</v>
      </c>
      <c r="L1183" t="str">
        <f>T("9791188630226")</f>
        <v>9791188630226</v>
      </c>
    </row>
    <row r="1184" spans="1:12">
      <c r="A1184" s="8">
        <v>44647.447523148148</v>
      </c>
      <c r="B1184">
        <v>291088925</v>
      </c>
      <c r="C1184" t="s">
        <v>693</v>
      </c>
      <c r="D1184" t="s">
        <v>9</v>
      </c>
      <c r="E1184" s="9">
        <v>2000</v>
      </c>
      <c r="F1184" s="9">
        <v>2000</v>
      </c>
      <c r="G1184" s="9">
        <v>1400</v>
      </c>
      <c r="I1184" t="s">
        <v>694</v>
      </c>
      <c r="J1184" t="s">
        <v>460</v>
      </c>
      <c r="K1184" t="s">
        <v>11</v>
      </c>
      <c r="L1184" t="str">
        <f>T("9791191562187")</f>
        <v>9791191562187</v>
      </c>
    </row>
    <row r="1185" spans="1:12">
      <c r="A1185" s="8">
        <v>44647.467083333337</v>
      </c>
      <c r="B1185">
        <v>291088925</v>
      </c>
      <c r="C1185" t="s">
        <v>693</v>
      </c>
      <c r="D1185" t="s">
        <v>9</v>
      </c>
      <c r="E1185" s="9">
        <v>2000</v>
      </c>
      <c r="F1185" s="9">
        <v>2000</v>
      </c>
      <c r="G1185" s="9">
        <v>1400</v>
      </c>
      <c r="I1185" t="s">
        <v>694</v>
      </c>
      <c r="J1185" t="s">
        <v>460</v>
      </c>
      <c r="K1185" t="s">
        <v>11</v>
      </c>
      <c r="L1185" t="str">
        <f>T("9791191562187")</f>
        <v>9791191562187</v>
      </c>
    </row>
    <row r="1186" spans="1:12">
      <c r="A1186" s="8">
        <v>44647.484618055554</v>
      </c>
      <c r="B1186">
        <v>291088925</v>
      </c>
      <c r="C1186" t="s">
        <v>693</v>
      </c>
      <c r="D1186" t="s">
        <v>9</v>
      </c>
      <c r="E1186" s="9">
        <v>2000</v>
      </c>
      <c r="F1186" s="9">
        <v>2000</v>
      </c>
      <c r="G1186" s="9">
        <v>1400</v>
      </c>
      <c r="I1186" t="s">
        <v>694</v>
      </c>
      <c r="J1186" t="s">
        <v>460</v>
      </c>
      <c r="K1186" t="s">
        <v>11</v>
      </c>
      <c r="L1186" t="str">
        <f>T("9791191562187")</f>
        <v>9791191562187</v>
      </c>
    </row>
    <row r="1187" spans="1:12">
      <c r="A1187" s="8">
        <v>44647.496898148151</v>
      </c>
      <c r="B1187">
        <v>291088925</v>
      </c>
      <c r="C1187" t="s">
        <v>693</v>
      </c>
      <c r="D1187" t="s">
        <v>9</v>
      </c>
      <c r="E1187" s="9">
        <v>2000</v>
      </c>
      <c r="F1187" s="9">
        <v>2000</v>
      </c>
      <c r="G1187" s="9">
        <v>1400</v>
      </c>
      <c r="I1187" t="s">
        <v>694</v>
      </c>
      <c r="J1187" t="s">
        <v>460</v>
      </c>
      <c r="K1187" t="s">
        <v>11</v>
      </c>
      <c r="L1187" t="str">
        <f>T("9791191562187")</f>
        <v>9791191562187</v>
      </c>
    </row>
    <row r="1188" spans="1:12">
      <c r="A1188" s="8">
        <v>44647.538425925923</v>
      </c>
      <c r="B1188">
        <v>289658948</v>
      </c>
      <c r="C1188" t="s">
        <v>580</v>
      </c>
      <c r="D1188" t="s">
        <v>9</v>
      </c>
      <c r="E1188" s="9">
        <v>3600</v>
      </c>
      <c r="F1188" s="9">
        <v>3600</v>
      </c>
      <c r="G1188" s="9">
        <v>2520</v>
      </c>
      <c r="I1188" t="s">
        <v>455</v>
      </c>
      <c r="J1188" t="s">
        <v>460</v>
      </c>
      <c r="K1188" t="s">
        <v>11</v>
      </c>
      <c r="L1188" t="str">
        <f>T("9791191562095")</f>
        <v>9791191562095</v>
      </c>
    </row>
    <row r="1189" spans="1:12">
      <c r="A1189" s="8">
        <v>44647.551064814812</v>
      </c>
      <c r="B1189">
        <v>291088925</v>
      </c>
      <c r="C1189" t="s">
        <v>693</v>
      </c>
      <c r="D1189" t="s">
        <v>9</v>
      </c>
      <c r="E1189" s="9">
        <v>2000</v>
      </c>
      <c r="F1189" s="9">
        <v>2000</v>
      </c>
      <c r="G1189" s="9">
        <v>1400</v>
      </c>
      <c r="I1189" t="s">
        <v>694</v>
      </c>
      <c r="J1189" t="s">
        <v>460</v>
      </c>
      <c r="K1189" t="s">
        <v>11</v>
      </c>
      <c r="L1189" t="str">
        <f>T("9791191562187")</f>
        <v>9791191562187</v>
      </c>
    </row>
    <row r="1190" spans="1:12">
      <c r="A1190" s="8">
        <v>44647.586053240739</v>
      </c>
      <c r="B1190">
        <v>291088925</v>
      </c>
      <c r="C1190" t="s">
        <v>693</v>
      </c>
      <c r="D1190" t="s">
        <v>9</v>
      </c>
      <c r="E1190" s="9">
        <v>2000</v>
      </c>
      <c r="F1190" s="9">
        <v>2000</v>
      </c>
      <c r="G1190" s="9">
        <v>1400</v>
      </c>
      <c r="I1190" t="s">
        <v>694</v>
      </c>
      <c r="J1190" t="s">
        <v>460</v>
      </c>
      <c r="K1190" t="s">
        <v>11</v>
      </c>
      <c r="L1190" t="str">
        <f>T("9791191562187")</f>
        <v>9791191562187</v>
      </c>
    </row>
    <row r="1191" spans="1:12">
      <c r="A1191" s="8">
        <v>44647.597685185188</v>
      </c>
      <c r="B1191">
        <v>291088925</v>
      </c>
      <c r="C1191" t="s">
        <v>693</v>
      </c>
      <c r="D1191" t="s">
        <v>9</v>
      </c>
      <c r="E1191" s="9">
        <v>2000</v>
      </c>
      <c r="F1191" s="9">
        <v>2000</v>
      </c>
      <c r="G1191" s="9">
        <v>1400</v>
      </c>
      <c r="I1191" t="s">
        <v>694</v>
      </c>
      <c r="J1191" t="s">
        <v>460</v>
      </c>
      <c r="K1191" t="s">
        <v>11</v>
      </c>
      <c r="L1191" t="str">
        <f>T("9791191562187")</f>
        <v>9791191562187</v>
      </c>
    </row>
    <row r="1192" spans="1:12">
      <c r="A1192" s="8">
        <v>44647.629236111112</v>
      </c>
      <c r="B1192">
        <v>291088925</v>
      </c>
      <c r="C1192" t="s">
        <v>693</v>
      </c>
      <c r="D1192" t="s">
        <v>9</v>
      </c>
      <c r="E1192" s="9">
        <v>2000</v>
      </c>
      <c r="F1192" s="9">
        <v>2000</v>
      </c>
      <c r="G1192" s="9">
        <v>1400</v>
      </c>
      <c r="I1192" t="s">
        <v>694</v>
      </c>
      <c r="J1192" t="s">
        <v>460</v>
      </c>
      <c r="K1192" t="s">
        <v>11</v>
      </c>
      <c r="L1192" t="str">
        <f>T("9791191562187")</f>
        <v>9791191562187</v>
      </c>
    </row>
    <row r="1193" spans="1:12">
      <c r="A1193" s="8">
        <v>44647.638483796298</v>
      </c>
      <c r="B1193">
        <v>290197934</v>
      </c>
      <c r="C1193" t="s">
        <v>604</v>
      </c>
      <c r="D1193" t="s">
        <v>9</v>
      </c>
      <c r="E1193" s="9">
        <v>2000</v>
      </c>
      <c r="F1193" s="9">
        <v>2000</v>
      </c>
      <c r="G1193" s="9">
        <v>1400</v>
      </c>
      <c r="I1193" t="s">
        <v>605</v>
      </c>
      <c r="J1193" t="s">
        <v>460</v>
      </c>
      <c r="K1193" t="s">
        <v>11</v>
      </c>
      <c r="L1193" t="str">
        <f>T("9791191562163")</f>
        <v>9791191562163</v>
      </c>
    </row>
    <row r="1194" spans="1:12">
      <c r="A1194" s="8">
        <v>44647.642129629632</v>
      </c>
      <c r="B1194">
        <v>290197934</v>
      </c>
      <c r="C1194" t="s">
        <v>604</v>
      </c>
      <c r="D1194" t="s">
        <v>9</v>
      </c>
      <c r="E1194" s="9">
        <v>2000</v>
      </c>
      <c r="F1194" s="9">
        <v>2000</v>
      </c>
      <c r="G1194" s="9">
        <v>1400</v>
      </c>
      <c r="I1194" t="s">
        <v>605</v>
      </c>
      <c r="J1194" t="s">
        <v>460</v>
      </c>
      <c r="K1194" t="s">
        <v>11</v>
      </c>
      <c r="L1194" t="str">
        <f>T("9791191562163")</f>
        <v>9791191562163</v>
      </c>
    </row>
    <row r="1195" spans="1:12">
      <c r="A1195" s="8">
        <v>44647.702141203707</v>
      </c>
      <c r="B1195">
        <v>286755913</v>
      </c>
      <c r="C1195" t="s">
        <v>222</v>
      </c>
      <c r="D1195" t="s">
        <v>9</v>
      </c>
      <c r="E1195" s="9">
        <v>2000</v>
      </c>
      <c r="F1195" s="9">
        <v>2000</v>
      </c>
      <c r="G1195" s="9">
        <v>1400</v>
      </c>
      <c r="I1195" t="s">
        <v>159</v>
      </c>
      <c r="J1195" t="s">
        <v>460</v>
      </c>
      <c r="K1195" t="s">
        <v>11</v>
      </c>
      <c r="L1195" t="str">
        <f>T("9791196945251")</f>
        <v>9791196945251</v>
      </c>
    </row>
    <row r="1196" spans="1:12">
      <c r="A1196" s="8">
        <v>44647.734988425924</v>
      </c>
      <c r="B1196">
        <v>284241868</v>
      </c>
      <c r="C1196" t="s">
        <v>738</v>
      </c>
      <c r="D1196" t="s">
        <v>9</v>
      </c>
      <c r="E1196" s="9">
        <v>3700</v>
      </c>
      <c r="F1196" s="9">
        <v>3700</v>
      </c>
      <c r="G1196" s="9">
        <v>2590</v>
      </c>
      <c r="I1196" t="s">
        <v>739</v>
      </c>
      <c r="J1196" t="s">
        <v>588</v>
      </c>
      <c r="K1196" t="s">
        <v>11</v>
      </c>
      <c r="L1196" t="str">
        <f>T("9791166482533")</f>
        <v>9791166482533</v>
      </c>
    </row>
    <row r="1197" spans="1:12">
      <c r="A1197" s="8">
        <v>44647.743634259263</v>
      </c>
      <c r="B1197">
        <v>291088925</v>
      </c>
      <c r="C1197" t="s">
        <v>693</v>
      </c>
      <c r="D1197" t="s">
        <v>9</v>
      </c>
      <c r="E1197" s="9">
        <v>2000</v>
      </c>
      <c r="F1197" s="9">
        <v>2000</v>
      </c>
      <c r="G1197" s="9">
        <v>1400</v>
      </c>
      <c r="I1197" t="s">
        <v>694</v>
      </c>
      <c r="J1197" t="s">
        <v>460</v>
      </c>
      <c r="K1197" t="s">
        <v>11</v>
      </c>
      <c r="L1197" t="str">
        <f>T("9791191562187")</f>
        <v>9791191562187</v>
      </c>
    </row>
    <row r="1198" spans="1:12">
      <c r="A1198" s="8">
        <v>44647.747233796297</v>
      </c>
      <c r="B1198">
        <v>291088925</v>
      </c>
      <c r="C1198" t="s">
        <v>693</v>
      </c>
      <c r="D1198" t="s">
        <v>9</v>
      </c>
      <c r="E1198" s="9">
        <v>2000</v>
      </c>
      <c r="F1198" s="9">
        <v>2000</v>
      </c>
      <c r="G1198" s="9">
        <v>1400</v>
      </c>
      <c r="I1198" t="s">
        <v>694</v>
      </c>
      <c r="J1198" t="s">
        <v>460</v>
      </c>
      <c r="K1198" t="s">
        <v>11</v>
      </c>
      <c r="L1198" t="str">
        <f>T("9791191562187")</f>
        <v>9791191562187</v>
      </c>
    </row>
    <row r="1199" spans="1:12">
      <c r="A1199" s="8">
        <v>44647.758923611109</v>
      </c>
      <c r="B1199">
        <v>291088925</v>
      </c>
      <c r="C1199" t="s">
        <v>693</v>
      </c>
      <c r="D1199" t="s">
        <v>9</v>
      </c>
      <c r="E1199" s="9">
        <v>2000</v>
      </c>
      <c r="F1199" s="9">
        <v>2000</v>
      </c>
      <c r="G1199" s="9">
        <v>1400</v>
      </c>
      <c r="I1199" t="s">
        <v>694</v>
      </c>
      <c r="J1199" t="s">
        <v>460</v>
      </c>
      <c r="K1199" t="s">
        <v>11</v>
      </c>
      <c r="L1199" t="str">
        <f>T("9791191562187")</f>
        <v>9791191562187</v>
      </c>
    </row>
    <row r="1200" spans="1:12">
      <c r="A1200" s="8">
        <v>44647.773113425923</v>
      </c>
      <c r="B1200">
        <v>291088925</v>
      </c>
      <c r="C1200" t="s">
        <v>693</v>
      </c>
      <c r="D1200" t="s">
        <v>9</v>
      </c>
      <c r="E1200" s="9">
        <v>2000</v>
      </c>
      <c r="F1200" s="9">
        <v>2000</v>
      </c>
      <c r="G1200" s="9">
        <v>1400</v>
      </c>
      <c r="I1200" t="s">
        <v>694</v>
      </c>
      <c r="J1200" t="s">
        <v>460</v>
      </c>
      <c r="K1200" t="s">
        <v>11</v>
      </c>
      <c r="L1200" t="str">
        <f>T("9791191562187")</f>
        <v>9791191562187</v>
      </c>
    </row>
    <row r="1201" spans="1:12">
      <c r="A1201" s="8">
        <v>44647.774872685186</v>
      </c>
      <c r="B1201">
        <v>290963607</v>
      </c>
      <c r="C1201" t="s">
        <v>681</v>
      </c>
      <c r="D1201" t="s">
        <v>9</v>
      </c>
      <c r="E1201" s="9">
        <v>3500</v>
      </c>
      <c r="F1201" s="9">
        <v>3500</v>
      </c>
      <c r="G1201" s="9">
        <v>2450</v>
      </c>
      <c r="I1201" t="s">
        <v>682</v>
      </c>
      <c r="J1201" t="s">
        <v>460</v>
      </c>
      <c r="K1201" t="s">
        <v>11</v>
      </c>
      <c r="L1201" t="str">
        <f>T("9791191562132")</f>
        <v>9791191562132</v>
      </c>
    </row>
    <row r="1202" spans="1:12">
      <c r="A1202" s="8">
        <v>44647.777777777781</v>
      </c>
      <c r="B1202">
        <v>291088925</v>
      </c>
      <c r="C1202" t="s">
        <v>693</v>
      </c>
      <c r="D1202" t="s">
        <v>9</v>
      </c>
      <c r="E1202" s="9">
        <v>2000</v>
      </c>
      <c r="F1202" s="9">
        <v>2000</v>
      </c>
      <c r="G1202" s="9">
        <v>1400</v>
      </c>
      <c r="I1202" t="s">
        <v>694</v>
      </c>
      <c r="J1202" t="s">
        <v>460</v>
      </c>
      <c r="K1202" t="s">
        <v>11</v>
      </c>
      <c r="L1202" t="str">
        <f>T("9791191562187")</f>
        <v>9791191562187</v>
      </c>
    </row>
    <row r="1203" spans="1:12">
      <c r="A1203" s="8">
        <v>44647.780740740738</v>
      </c>
      <c r="B1203">
        <v>291088925</v>
      </c>
      <c r="C1203" t="s">
        <v>693</v>
      </c>
      <c r="D1203" t="s">
        <v>9</v>
      </c>
      <c r="E1203" s="9">
        <v>2000</v>
      </c>
      <c r="F1203" s="9">
        <v>2000</v>
      </c>
      <c r="G1203" s="9">
        <v>1400</v>
      </c>
      <c r="I1203" t="s">
        <v>694</v>
      </c>
      <c r="J1203" t="s">
        <v>460</v>
      </c>
      <c r="K1203" t="s">
        <v>11</v>
      </c>
      <c r="L1203" t="str">
        <f>T("9791191562187")</f>
        <v>9791191562187</v>
      </c>
    </row>
    <row r="1204" spans="1:12">
      <c r="A1204" s="8">
        <v>44647.796782407408</v>
      </c>
      <c r="B1204">
        <v>291088925</v>
      </c>
      <c r="C1204" t="s">
        <v>693</v>
      </c>
      <c r="D1204" t="s">
        <v>9</v>
      </c>
      <c r="E1204" s="9">
        <v>2000</v>
      </c>
      <c r="F1204" s="9">
        <v>2000</v>
      </c>
      <c r="G1204" s="9">
        <v>1400</v>
      </c>
      <c r="I1204" t="s">
        <v>694</v>
      </c>
      <c r="J1204" t="s">
        <v>460</v>
      </c>
      <c r="K1204" t="s">
        <v>11</v>
      </c>
      <c r="L1204" t="str">
        <f>T("9791191562187")</f>
        <v>9791191562187</v>
      </c>
    </row>
    <row r="1205" spans="1:12">
      <c r="A1205" s="8">
        <v>44647.801817129628</v>
      </c>
      <c r="B1205">
        <v>291088925</v>
      </c>
      <c r="C1205" t="s">
        <v>693</v>
      </c>
      <c r="D1205" t="s">
        <v>9</v>
      </c>
      <c r="E1205" s="9">
        <v>2000</v>
      </c>
      <c r="F1205" s="9">
        <v>2000</v>
      </c>
      <c r="G1205" s="9">
        <v>1400</v>
      </c>
      <c r="I1205" t="s">
        <v>694</v>
      </c>
      <c r="J1205" t="s">
        <v>460</v>
      </c>
      <c r="K1205" t="s">
        <v>11</v>
      </c>
      <c r="L1205" t="str">
        <f>T("9791191562187")</f>
        <v>9791191562187</v>
      </c>
    </row>
    <row r="1206" spans="1:12">
      <c r="A1206" s="8">
        <v>44647.801886574074</v>
      </c>
      <c r="B1206">
        <v>290197934</v>
      </c>
      <c r="C1206" t="s">
        <v>604</v>
      </c>
      <c r="D1206" t="s">
        <v>9</v>
      </c>
      <c r="E1206" s="9">
        <v>2000</v>
      </c>
      <c r="F1206" s="9">
        <v>2000</v>
      </c>
      <c r="G1206" s="9">
        <v>1400</v>
      </c>
      <c r="I1206" t="s">
        <v>605</v>
      </c>
      <c r="J1206" t="s">
        <v>460</v>
      </c>
      <c r="K1206" t="s">
        <v>11</v>
      </c>
      <c r="L1206" t="str">
        <f>T("9791191562163")</f>
        <v>9791191562163</v>
      </c>
    </row>
    <row r="1207" spans="1:12">
      <c r="A1207" s="8">
        <v>44647.811921296299</v>
      </c>
      <c r="B1207">
        <v>290084502</v>
      </c>
      <c r="C1207" t="s">
        <v>592</v>
      </c>
      <c r="D1207" t="s">
        <v>9</v>
      </c>
      <c r="E1207" s="9">
        <v>2500</v>
      </c>
      <c r="F1207" s="9">
        <v>2500</v>
      </c>
      <c r="G1207" s="9">
        <v>1750</v>
      </c>
      <c r="I1207" t="s">
        <v>593</v>
      </c>
      <c r="J1207" t="s">
        <v>460</v>
      </c>
      <c r="K1207" t="s">
        <v>11</v>
      </c>
      <c r="L1207" t="str">
        <f>T("9791191562125")</f>
        <v>9791191562125</v>
      </c>
    </row>
    <row r="1208" spans="1:12">
      <c r="A1208" s="8">
        <v>44647.824930555558</v>
      </c>
      <c r="B1208">
        <v>246278158</v>
      </c>
      <c r="C1208" t="s">
        <v>740</v>
      </c>
      <c r="D1208" t="s">
        <v>9</v>
      </c>
      <c r="E1208" s="9">
        <v>3200</v>
      </c>
      <c r="F1208" s="9">
        <v>3200</v>
      </c>
      <c r="G1208" s="9">
        <v>2240</v>
      </c>
      <c r="I1208" t="s">
        <v>14</v>
      </c>
      <c r="J1208" t="s">
        <v>11</v>
      </c>
      <c r="K1208" t="s">
        <v>11</v>
      </c>
      <c r="L1208" t="str">
        <f>T("9791188630233")</f>
        <v>9791188630233</v>
      </c>
    </row>
    <row r="1209" spans="1:12">
      <c r="A1209" s="8">
        <v>44647.824930555558</v>
      </c>
      <c r="B1209">
        <v>246278095</v>
      </c>
      <c r="C1209" t="s">
        <v>737</v>
      </c>
      <c r="D1209" t="s">
        <v>9</v>
      </c>
      <c r="E1209" s="9">
        <v>3200</v>
      </c>
      <c r="F1209" s="9">
        <v>3200</v>
      </c>
      <c r="G1209" s="9">
        <v>2240</v>
      </c>
      <c r="I1209" t="s">
        <v>14</v>
      </c>
      <c r="J1209" t="s">
        <v>11</v>
      </c>
      <c r="K1209" t="s">
        <v>11</v>
      </c>
      <c r="L1209" t="str">
        <f>T("9791188630226")</f>
        <v>9791188630226</v>
      </c>
    </row>
    <row r="1210" spans="1:12">
      <c r="A1210" s="8">
        <v>44647.824930555558</v>
      </c>
      <c r="B1210">
        <v>246278079</v>
      </c>
      <c r="C1210" t="s">
        <v>741</v>
      </c>
      <c r="D1210" t="s">
        <v>9</v>
      </c>
      <c r="E1210" s="9">
        <v>3200</v>
      </c>
      <c r="F1210" s="9">
        <v>3200</v>
      </c>
      <c r="G1210" s="9">
        <v>2240</v>
      </c>
      <c r="I1210" t="s">
        <v>14</v>
      </c>
      <c r="J1210" t="s">
        <v>11</v>
      </c>
      <c r="K1210" t="s">
        <v>11</v>
      </c>
      <c r="L1210" t="str">
        <f>T("9791188630240")</f>
        <v>9791188630240</v>
      </c>
    </row>
    <row r="1211" spans="1:12">
      <c r="A1211" s="8">
        <v>44647.827662037038</v>
      </c>
      <c r="B1211">
        <v>291088925</v>
      </c>
      <c r="C1211" t="s">
        <v>693</v>
      </c>
      <c r="D1211" t="s">
        <v>9</v>
      </c>
      <c r="E1211" s="9">
        <v>2000</v>
      </c>
      <c r="F1211" s="9">
        <v>2000</v>
      </c>
      <c r="G1211" s="9">
        <v>1400</v>
      </c>
      <c r="I1211" t="s">
        <v>694</v>
      </c>
      <c r="J1211" t="s">
        <v>460</v>
      </c>
      <c r="K1211" t="s">
        <v>11</v>
      </c>
      <c r="L1211" t="str">
        <f>T("9791191562187")</f>
        <v>9791191562187</v>
      </c>
    </row>
    <row r="1212" spans="1:12">
      <c r="A1212" s="8">
        <v>44647.829386574071</v>
      </c>
      <c r="B1212">
        <v>286896672</v>
      </c>
      <c r="C1212" t="s">
        <v>248</v>
      </c>
      <c r="D1212" t="s">
        <v>9</v>
      </c>
      <c r="E1212" s="9">
        <v>2500</v>
      </c>
      <c r="F1212" s="9">
        <v>2500</v>
      </c>
      <c r="G1212" s="9">
        <v>1750</v>
      </c>
      <c r="I1212" t="s">
        <v>158</v>
      </c>
      <c r="J1212" t="s">
        <v>460</v>
      </c>
      <c r="K1212" t="s">
        <v>11</v>
      </c>
      <c r="L1212" t="str">
        <f>T("9791191562002")</f>
        <v>9791191562002</v>
      </c>
    </row>
    <row r="1213" spans="1:12">
      <c r="A1213" s="8">
        <v>44647.835219907407</v>
      </c>
      <c r="B1213">
        <v>291088925</v>
      </c>
      <c r="C1213" t="s">
        <v>693</v>
      </c>
      <c r="D1213" t="s">
        <v>9</v>
      </c>
      <c r="E1213" s="9">
        <v>2000</v>
      </c>
      <c r="F1213" s="9">
        <v>2000</v>
      </c>
      <c r="G1213" s="9">
        <v>1400</v>
      </c>
      <c r="I1213" t="s">
        <v>694</v>
      </c>
      <c r="J1213" t="s">
        <v>460</v>
      </c>
      <c r="K1213" t="s">
        <v>11</v>
      </c>
      <c r="L1213" t="str">
        <f>T("9791191562187")</f>
        <v>9791191562187</v>
      </c>
    </row>
    <row r="1214" spans="1:12">
      <c r="A1214" s="8">
        <v>44647.841979166667</v>
      </c>
      <c r="B1214">
        <v>291088925</v>
      </c>
      <c r="C1214" t="s">
        <v>693</v>
      </c>
      <c r="D1214" t="s">
        <v>9</v>
      </c>
      <c r="E1214" s="9">
        <v>2000</v>
      </c>
      <c r="F1214" s="9">
        <v>2000</v>
      </c>
      <c r="G1214" s="9">
        <v>1400</v>
      </c>
      <c r="I1214" t="s">
        <v>694</v>
      </c>
      <c r="J1214" t="s">
        <v>460</v>
      </c>
      <c r="K1214" t="s">
        <v>11</v>
      </c>
      <c r="L1214" t="str">
        <f>T("9791191562187")</f>
        <v>9791191562187</v>
      </c>
    </row>
    <row r="1215" spans="1:12">
      <c r="A1215" s="8">
        <v>44647.844618055555</v>
      </c>
      <c r="B1215">
        <v>287834730</v>
      </c>
      <c r="C1215" t="s">
        <v>275</v>
      </c>
      <c r="D1215" t="s">
        <v>9</v>
      </c>
      <c r="E1215" s="9">
        <v>2000</v>
      </c>
      <c r="F1215" s="9">
        <v>2000</v>
      </c>
      <c r="G1215" s="9">
        <v>1400</v>
      </c>
      <c r="I1215" t="s">
        <v>169</v>
      </c>
      <c r="J1215" t="s">
        <v>460</v>
      </c>
      <c r="K1215" t="s">
        <v>11</v>
      </c>
      <c r="L1215" t="str">
        <f>T("9791191562019")</f>
        <v>9791191562019</v>
      </c>
    </row>
    <row r="1216" spans="1:12">
      <c r="A1216" s="8">
        <v>44647.847581018519</v>
      </c>
      <c r="B1216">
        <v>291088925</v>
      </c>
      <c r="C1216" t="s">
        <v>693</v>
      </c>
      <c r="D1216" t="s">
        <v>9</v>
      </c>
      <c r="E1216" s="9">
        <v>2000</v>
      </c>
      <c r="F1216" s="9">
        <v>2000</v>
      </c>
      <c r="G1216" s="9">
        <v>1400</v>
      </c>
      <c r="I1216" t="s">
        <v>694</v>
      </c>
      <c r="J1216" t="s">
        <v>460</v>
      </c>
      <c r="K1216" t="s">
        <v>11</v>
      </c>
      <c r="L1216" t="str">
        <f>T("9791191562187")</f>
        <v>9791191562187</v>
      </c>
    </row>
    <row r="1217" spans="1:12">
      <c r="A1217" s="8">
        <v>44647.848668981482</v>
      </c>
      <c r="B1217">
        <v>290197934</v>
      </c>
      <c r="C1217" t="s">
        <v>604</v>
      </c>
      <c r="D1217" t="s">
        <v>9</v>
      </c>
      <c r="E1217" s="9">
        <v>2000</v>
      </c>
      <c r="F1217" s="9">
        <v>2000</v>
      </c>
      <c r="G1217" s="9">
        <v>1400</v>
      </c>
      <c r="I1217" t="s">
        <v>605</v>
      </c>
      <c r="J1217" t="s">
        <v>460</v>
      </c>
      <c r="K1217" t="s">
        <v>11</v>
      </c>
      <c r="L1217" t="str">
        <f>T("9791191562163")</f>
        <v>9791191562163</v>
      </c>
    </row>
    <row r="1218" spans="1:12">
      <c r="A1218" s="8">
        <v>44647.883449074077</v>
      </c>
      <c r="B1218">
        <v>290197934</v>
      </c>
      <c r="C1218" t="s">
        <v>604</v>
      </c>
      <c r="D1218" t="s">
        <v>9</v>
      </c>
      <c r="E1218" s="9">
        <v>2000</v>
      </c>
      <c r="F1218" s="9">
        <v>2000</v>
      </c>
      <c r="G1218" s="9">
        <v>1400</v>
      </c>
      <c r="I1218" t="s">
        <v>605</v>
      </c>
      <c r="J1218" t="s">
        <v>460</v>
      </c>
      <c r="K1218" t="s">
        <v>11</v>
      </c>
      <c r="L1218" t="str">
        <f>T("9791191562163")</f>
        <v>9791191562163</v>
      </c>
    </row>
    <row r="1219" spans="1:12">
      <c r="A1219" s="8">
        <v>44647.897314814814</v>
      </c>
      <c r="B1219">
        <v>291088925</v>
      </c>
      <c r="C1219" t="s">
        <v>693</v>
      </c>
      <c r="D1219" t="s">
        <v>9</v>
      </c>
      <c r="E1219" s="9">
        <v>2000</v>
      </c>
      <c r="F1219" s="9">
        <v>2000</v>
      </c>
      <c r="G1219" s="9">
        <v>1400</v>
      </c>
      <c r="I1219" t="s">
        <v>694</v>
      </c>
      <c r="J1219" t="s">
        <v>460</v>
      </c>
      <c r="K1219" t="s">
        <v>11</v>
      </c>
      <c r="L1219" t="str">
        <f>T("9791191562187")</f>
        <v>9791191562187</v>
      </c>
    </row>
    <row r="1220" spans="1:12">
      <c r="A1220" s="8">
        <v>44647.898923611108</v>
      </c>
      <c r="B1220">
        <v>290197934</v>
      </c>
      <c r="C1220" t="s">
        <v>604</v>
      </c>
      <c r="D1220" t="s">
        <v>9</v>
      </c>
      <c r="E1220" s="9">
        <v>2000</v>
      </c>
      <c r="F1220" s="9">
        <v>2000</v>
      </c>
      <c r="G1220" s="9">
        <v>1400</v>
      </c>
      <c r="I1220" t="s">
        <v>605</v>
      </c>
      <c r="J1220" t="s">
        <v>460</v>
      </c>
      <c r="K1220" t="s">
        <v>11</v>
      </c>
      <c r="L1220" t="str">
        <f>T("9791191562163")</f>
        <v>9791191562163</v>
      </c>
    </row>
    <row r="1221" spans="1:12">
      <c r="A1221" s="8">
        <v>44647.91034722222</v>
      </c>
      <c r="B1221">
        <v>291088925</v>
      </c>
      <c r="C1221" t="s">
        <v>693</v>
      </c>
      <c r="D1221" t="s">
        <v>9</v>
      </c>
      <c r="E1221" s="9">
        <v>2000</v>
      </c>
      <c r="F1221" s="9">
        <v>2000</v>
      </c>
      <c r="G1221" s="9">
        <v>1400</v>
      </c>
      <c r="I1221" t="s">
        <v>694</v>
      </c>
      <c r="J1221" t="s">
        <v>460</v>
      </c>
      <c r="K1221" t="s">
        <v>11</v>
      </c>
      <c r="L1221" t="str">
        <f>T("9791191562187")</f>
        <v>9791191562187</v>
      </c>
    </row>
    <row r="1222" spans="1:12">
      <c r="A1222" s="8">
        <v>44647.91265046296</v>
      </c>
      <c r="B1222">
        <v>291088925</v>
      </c>
      <c r="C1222" t="s">
        <v>693</v>
      </c>
      <c r="D1222" t="s">
        <v>9</v>
      </c>
      <c r="E1222" s="9">
        <v>2000</v>
      </c>
      <c r="F1222" s="9">
        <v>2000</v>
      </c>
      <c r="G1222" s="9">
        <v>1400</v>
      </c>
      <c r="I1222" t="s">
        <v>694</v>
      </c>
      <c r="J1222" t="s">
        <v>460</v>
      </c>
      <c r="K1222" t="s">
        <v>11</v>
      </c>
      <c r="L1222" t="str">
        <f>T("9791191562187")</f>
        <v>9791191562187</v>
      </c>
    </row>
    <row r="1223" spans="1:12">
      <c r="A1223" s="8">
        <v>44647.917280092595</v>
      </c>
      <c r="B1223">
        <v>291088925</v>
      </c>
      <c r="C1223" t="s">
        <v>693</v>
      </c>
      <c r="D1223" t="s">
        <v>9</v>
      </c>
      <c r="E1223" s="9">
        <v>2000</v>
      </c>
      <c r="F1223" s="9">
        <v>2000</v>
      </c>
      <c r="G1223" s="9">
        <v>1400</v>
      </c>
      <c r="I1223" t="s">
        <v>694</v>
      </c>
      <c r="J1223" t="s">
        <v>460</v>
      </c>
      <c r="K1223" t="s">
        <v>11</v>
      </c>
      <c r="L1223" t="str">
        <f>T("9791191562187")</f>
        <v>9791191562187</v>
      </c>
    </row>
    <row r="1224" spans="1:12">
      <c r="A1224" s="8">
        <v>44647.929849537039</v>
      </c>
      <c r="B1224">
        <v>276448997</v>
      </c>
      <c r="C1224" t="s">
        <v>22</v>
      </c>
      <c r="D1224" t="s">
        <v>9</v>
      </c>
      <c r="E1224" s="9">
        <v>2400</v>
      </c>
      <c r="F1224" s="9">
        <v>2400</v>
      </c>
      <c r="G1224" s="9">
        <v>1680</v>
      </c>
      <c r="I1224" t="s">
        <v>19</v>
      </c>
      <c r="J1224" t="s">
        <v>11</v>
      </c>
      <c r="K1224" t="s">
        <v>11</v>
      </c>
      <c r="L1224" t="str">
        <f>T("9791137600423")</f>
        <v>9791137600423</v>
      </c>
    </row>
    <row r="1225" spans="1:12">
      <c r="A1225" s="8">
        <v>44647.929976851854</v>
      </c>
      <c r="B1225">
        <v>291088925</v>
      </c>
      <c r="C1225" t="s">
        <v>693</v>
      </c>
      <c r="D1225" t="s">
        <v>9</v>
      </c>
      <c r="E1225" s="9">
        <v>2000</v>
      </c>
      <c r="F1225" s="9">
        <v>2000</v>
      </c>
      <c r="G1225" s="9">
        <v>1400</v>
      </c>
      <c r="I1225" t="s">
        <v>694</v>
      </c>
      <c r="J1225" t="s">
        <v>460</v>
      </c>
      <c r="K1225" t="s">
        <v>11</v>
      </c>
      <c r="L1225" t="str">
        <f>T("9791191562187")</f>
        <v>9791191562187</v>
      </c>
    </row>
    <row r="1226" spans="1:12">
      <c r="A1226" s="8">
        <v>44647.934930555559</v>
      </c>
      <c r="B1226">
        <v>281625185</v>
      </c>
      <c r="C1226" t="s">
        <v>38</v>
      </c>
      <c r="D1226" t="s">
        <v>9</v>
      </c>
      <c r="E1226">
        <v>0</v>
      </c>
      <c r="F1226">
        <v>0</v>
      </c>
      <c r="G1226">
        <v>0</v>
      </c>
      <c r="I1226" t="s">
        <v>14</v>
      </c>
      <c r="J1226" t="s">
        <v>11</v>
      </c>
      <c r="K1226" t="s">
        <v>11</v>
      </c>
      <c r="L1226" t="str">
        <f>T("9791137601017")</f>
        <v>9791137601017</v>
      </c>
    </row>
    <row r="1227" spans="1:12">
      <c r="A1227" s="8">
        <v>44647.935381944444</v>
      </c>
      <c r="B1227">
        <v>291088925</v>
      </c>
      <c r="C1227" t="s">
        <v>693</v>
      </c>
      <c r="D1227" t="s">
        <v>9</v>
      </c>
      <c r="E1227" s="9">
        <v>2000</v>
      </c>
      <c r="F1227" s="9">
        <v>2000</v>
      </c>
      <c r="G1227" s="9">
        <v>1400</v>
      </c>
      <c r="I1227" t="s">
        <v>694</v>
      </c>
      <c r="J1227" t="s">
        <v>460</v>
      </c>
      <c r="K1227" t="s">
        <v>11</v>
      </c>
      <c r="L1227" t="str">
        <f>T("9791191562187")</f>
        <v>9791191562187</v>
      </c>
    </row>
    <row r="1228" spans="1:12">
      <c r="A1228" s="8">
        <v>44647.938159722224</v>
      </c>
      <c r="B1228">
        <v>274772659</v>
      </c>
      <c r="C1228" t="s">
        <v>37</v>
      </c>
      <c r="D1228" t="s">
        <v>9</v>
      </c>
      <c r="E1228" s="9">
        <v>3000</v>
      </c>
      <c r="F1228" s="9">
        <v>3000</v>
      </c>
      <c r="G1228" s="9">
        <v>2100</v>
      </c>
      <c r="I1228" t="s">
        <v>34</v>
      </c>
      <c r="J1228" t="s">
        <v>588</v>
      </c>
      <c r="K1228" t="s">
        <v>11</v>
      </c>
      <c r="L1228" t="str">
        <f>T("9791166481703")</f>
        <v>9791166481703</v>
      </c>
    </row>
    <row r="1229" spans="1:12">
      <c r="A1229" s="8">
        <v>44647.939328703702</v>
      </c>
      <c r="B1229">
        <v>291088925</v>
      </c>
      <c r="C1229" t="s">
        <v>693</v>
      </c>
      <c r="D1229" t="s">
        <v>9</v>
      </c>
      <c r="E1229" s="9">
        <v>2000</v>
      </c>
      <c r="F1229" s="9">
        <v>2000</v>
      </c>
      <c r="G1229" s="9">
        <v>1400</v>
      </c>
      <c r="I1229" t="s">
        <v>694</v>
      </c>
      <c r="J1229" t="s">
        <v>460</v>
      </c>
      <c r="K1229" t="s">
        <v>11</v>
      </c>
      <c r="L1229" t="str">
        <f>T("9791191562187")</f>
        <v>9791191562187</v>
      </c>
    </row>
    <row r="1230" spans="1:12">
      <c r="A1230" s="8">
        <v>44647.944282407407</v>
      </c>
      <c r="B1230">
        <v>291088925</v>
      </c>
      <c r="C1230" t="s">
        <v>693</v>
      </c>
      <c r="D1230" t="s">
        <v>9</v>
      </c>
      <c r="E1230" s="9">
        <v>2000</v>
      </c>
      <c r="F1230" s="9">
        <v>2000</v>
      </c>
      <c r="G1230" s="9">
        <v>1400</v>
      </c>
      <c r="I1230" t="s">
        <v>694</v>
      </c>
      <c r="J1230" t="s">
        <v>460</v>
      </c>
      <c r="K1230" t="s">
        <v>11</v>
      </c>
      <c r="L1230" t="str">
        <f>T("9791191562187")</f>
        <v>9791191562187</v>
      </c>
    </row>
    <row r="1231" spans="1:12">
      <c r="A1231" s="8">
        <v>44647.953101851854</v>
      </c>
      <c r="B1231">
        <v>291088925</v>
      </c>
      <c r="C1231" t="s">
        <v>693</v>
      </c>
      <c r="D1231" t="s">
        <v>9</v>
      </c>
      <c r="E1231" s="9">
        <v>2000</v>
      </c>
      <c r="F1231" s="9">
        <v>2000</v>
      </c>
      <c r="G1231" s="9">
        <v>1400</v>
      </c>
      <c r="I1231" t="s">
        <v>694</v>
      </c>
      <c r="J1231" t="s">
        <v>460</v>
      </c>
      <c r="K1231" t="s">
        <v>11</v>
      </c>
      <c r="L1231" t="str">
        <f>T("9791191562187")</f>
        <v>9791191562187</v>
      </c>
    </row>
    <row r="1232" spans="1:12">
      <c r="A1232" s="8">
        <v>44647.9612037037</v>
      </c>
      <c r="B1232">
        <v>291088925</v>
      </c>
      <c r="C1232" t="s">
        <v>693</v>
      </c>
      <c r="D1232" t="s">
        <v>9</v>
      </c>
      <c r="E1232" s="9">
        <v>2000</v>
      </c>
      <c r="F1232" s="9">
        <v>2000</v>
      </c>
      <c r="G1232" s="9">
        <v>1400</v>
      </c>
      <c r="I1232" t="s">
        <v>694</v>
      </c>
      <c r="J1232" t="s">
        <v>460</v>
      </c>
      <c r="K1232" t="s">
        <v>11</v>
      </c>
      <c r="L1232" t="str">
        <f>T("9791191562187")</f>
        <v>9791191562187</v>
      </c>
    </row>
    <row r="1233" spans="1:12">
      <c r="A1233" s="8">
        <v>44647.967673611114</v>
      </c>
      <c r="B1233">
        <v>291088925</v>
      </c>
      <c r="C1233" t="s">
        <v>693</v>
      </c>
      <c r="D1233" t="s">
        <v>9</v>
      </c>
      <c r="E1233" s="9">
        <v>2000</v>
      </c>
      <c r="F1233" s="9">
        <v>2000</v>
      </c>
      <c r="G1233" s="9">
        <v>1400</v>
      </c>
      <c r="I1233" t="s">
        <v>694</v>
      </c>
      <c r="J1233" t="s">
        <v>460</v>
      </c>
      <c r="K1233" t="s">
        <v>11</v>
      </c>
      <c r="L1233" t="str">
        <f>T("9791191562187")</f>
        <v>9791191562187</v>
      </c>
    </row>
    <row r="1234" spans="1:12">
      <c r="A1234" s="8">
        <v>44647.970914351848</v>
      </c>
      <c r="B1234">
        <v>290197934</v>
      </c>
      <c r="C1234" t="s">
        <v>604</v>
      </c>
      <c r="D1234" t="s">
        <v>9</v>
      </c>
      <c r="E1234" s="9">
        <v>2000</v>
      </c>
      <c r="F1234" s="9">
        <v>2000</v>
      </c>
      <c r="G1234" s="9">
        <v>1400</v>
      </c>
      <c r="I1234" t="s">
        <v>605</v>
      </c>
      <c r="J1234" t="s">
        <v>460</v>
      </c>
      <c r="K1234" t="s">
        <v>11</v>
      </c>
      <c r="L1234" t="str">
        <f>T("9791191562163")</f>
        <v>9791191562163</v>
      </c>
    </row>
    <row r="1235" spans="1:12">
      <c r="A1235" s="8">
        <v>44647.972303240742</v>
      </c>
      <c r="B1235">
        <v>291519446</v>
      </c>
      <c r="C1235" t="s">
        <v>732</v>
      </c>
      <c r="D1235" t="s">
        <v>9</v>
      </c>
      <c r="E1235" s="9">
        <v>2500</v>
      </c>
      <c r="F1235" s="9">
        <v>2500</v>
      </c>
      <c r="G1235" s="9">
        <v>1750</v>
      </c>
      <c r="I1235" t="s">
        <v>733</v>
      </c>
      <c r="J1235" t="s">
        <v>460</v>
      </c>
      <c r="K1235" t="s">
        <v>11</v>
      </c>
      <c r="L1235" t="str">
        <f>T("9791191562156")</f>
        <v>9791191562156</v>
      </c>
    </row>
    <row r="1236" spans="1:12">
      <c r="A1236" s="8">
        <v>44647.975127314814</v>
      </c>
      <c r="B1236">
        <v>291088925</v>
      </c>
      <c r="C1236" t="s">
        <v>693</v>
      </c>
      <c r="D1236" t="s">
        <v>9</v>
      </c>
      <c r="E1236" s="9">
        <v>2000</v>
      </c>
      <c r="F1236" s="9">
        <v>2000</v>
      </c>
      <c r="G1236" s="9">
        <v>1400</v>
      </c>
      <c r="I1236" t="s">
        <v>694</v>
      </c>
      <c r="J1236" t="s">
        <v>460</v>
      </c>
      <c r="K1236" t="s">
        <v>11</v>
      </c>
      <c r="L1236" t="str">
        <f>T("9791191562187")</f>
        <v>9791191562187</v>
      </c>
    </row>
    <row r="1237" spans="1:12">
      <c r="A1237" s="8">
        <v>44647.975740740738</v>
      </c>
      <c r="B1237">
        <v>291088925</v>
      </c>
      <c r="C1237" t="s">
        <v>693</v>
      </c>
      <c r="D1237" t="s">
        <v>9</v>
      </c>
      <c r="E1237" s="9">
        <v>2000</v>
      </c>
      <c r="F1237" s="9">
        <v>2000</v>
      </c>
      <c r="G1237" s="9">
        <v>1400</v>
      </c>
      <c r="I1237" t="s">
        <v>694</v>
      </c>
      <c r="J1237" t="s">
        <v>460</v>
      </c>
      <c r="K1237" t="s">
        <v>11</v>
      </c>
      <c r="L1237" t="str">
        <f>T("9791191562187")</f>
        <v>9791191562187</v>
      </c>
    </row>
    <row r="1238" spans="1:12">
      <c r="A1238" s="8">
        <v>44647.977893518517</v>
      </c>
      <c r="B1238">
        <v>289956908</v>
      </c>
      <c r="C1238" t="s">
        <v>481</v>
      </c>
      <c r="D1238" t="s">
        <v>9</v>
      </c>
      <c r="E1238" s="9">
        <v>2000</v>
      </c>
      <c r="F1238" s="9">
        <v>2000</v>
      </c>
      <c r="G1238" s="9">
        <v>1400</v>
      </c>
      <c r="I1238" t="s">
        <v>457</v>
      </c>
      <c r="J1238" t="s">
        <v>460</v>
      </c>
      <c r="K1238" t="s">
        <v>11</v>
      </c>
      <c r="L1238" t="str">
        <f>T("9791191562040")</f>
        <v>9791191562040</v>
      </c>
    </row>
    <row r="1239" spans="1:12">
      <c r="A1239" s="8">
        <v>44647.983495370368</v>
      </c>
      <c r="B1239">
        <v>291088925</v>
      </c>
      <c r="C1239" t="s">
        <v>693</v>
      </c>
      <c r="D1239" t="s">
        <v>9</v>
      </c>
      <c r="E1239" s="9">
        <v>2000</v>
      </c>
      <c r="F1239" s="9">
        <v>2000</v>
      </c>
      <c r="G1239" s="9">
        <v>1400</v>
      </c>
      <c r="I1239" t="s">
        <v>694</v>
      </c>
      <c r="J1239" t="s">
        <v>460</v>
      </c>
      <c r="K1239" t="s">
        <v>11</v>
      </c>
      <c r="L1239" t="str">
        <f>T("9791191562187")</f>
        <v>9791191562187</v>
      </c>
    </row>
    <row r="1240" spans="1:12">
      <c r="A1240" s="8">
        <v>44647.994872685187</v>
      </c>
      <c r="B1240">
        <v>291519446</v>
      </c>
      <c r="C1240" t="s">
        <v>732</v>
      </c>
      <c r="D1240" t="s">
        <v>9</v>
      </c>
      <c r="E1240" s="9">
        <v>2500</v>
      </c>
      <c r="F1240" s="9">
        <v>2500</v>
      </c>
      <c r="G1240" s="9">
        <v>1750</v>
      </c>
      <c r="I1240" t="s">
        <v>733</v>
      </c>
      <c r="J1240" t="s">
        <v>460</v>
      </c>
      <c r="K1240" t="s">
        <v>11</v>
      </c>
      <c r="L1240" t="str">
        <f>T("9791191562156")</f>
        <v>9791191562156</v>
      </c>
    </row>
    <row r="1241" spans="1:12">
      <c r="A1241" s="8">
        <v>44648.005624999998</v>
      </c>
      <c r="B1241">
        <v>246278158</v>
      </c>
      <c r="C1241" t="s">
        <v>740</v>
      </c>
      <c r="D1241" t="s">
        <v>9</v>
      </c>
      <c r="E1241" s="9">
        <v>3200</v>
      </c>
      <c r="F1241" s="9">
        <v>3200</v>
      </c>
      <c r="G1241" s="9">
        <v>2240</v>
      </c>
      <c r="I1241" t="s">
        <v>14</v>
      </c>
      <c r="J1241" t="s">
        <v>11</v>
      </c>
      <c r="K1241" t="s">
        <v>11</v>
      </c>
      <c r="L1241" t="str">
        <f>T("9791188630233")</f>
        <v>9791188630233</v>
      </c>
    </row>
    <row r="1242" spans="1:12">
      <c r="A1242" s="8">
        <v>44648.087604166663</v>
      </c>
      <c r="B1242">
        <v>287834730</v>
      </c>
      <c r="C1242" t="s">
        <v>275</v>
      </c>
      <c r="D1242" t="s">
        <v>9</v>
      </c>
      <c r="E1242" s="9">
        <v>2000</v>
      </c>
      <c r="F1242" s="9">
        <v>2000</v>
      </c>
      <c r="G1242" s="9">
        <v>1400</v>
      </c>
      <c r="I1242" t="s">
        <v>169</v>
      </c>
      <c r="J1242" t="s">
        <v>460</v>
      </c>
      <c r="K1242" t="s">
        <v>11</v>
      </c>
      <c r="L1242" t="str">
        <f>T("9791191562019")</f>
        <v>9791191562019</v>
      </c>
    </row>
    <row r="1243" spans="1:12">
      <c r="A1243" s="8">
        <v>44648.222962962966</v>
      </c>
      <c r="B1243">
        <v>246278079</v>
      </c>
      <c r="C1243" t="s">
        <v>741</v>
      </c>
      <c r="D1243" t="s">
        <v>9</v>
      </c>
      <c r="E1243" s="9">
        <v>3200</v>
      </c>
      <c r="F1243" s="9">
        <v>3200</v>
      </c>
      <c r="G1243" s="9">
        <v>2240</v>
      </c>
      <c r="I1243" t="s">
        <v>14</v>
      </c>
      <c r="J1243" t="s">
        <v>11</v>
      </c>
      <c r="K1243" t="s">
        <v>11</v>
      </c>
      <c r="L1243" t="str">
        <f>T("9791188630240")</f>
        <v>9791188630240</v>
      </c>
    </row>
    <row r="1244" spans="1:12">
      <c r="A1244" s="8">
        <v>44648.257511574076</v>
      </c>
      <c r="B1244">
        <v>287086652</v>
      </c>
      <c r="C1244" t="s">
        <v>220</v>
      </c>
      <c r="D1244" t="s">
        <v>9</v>
      </c>
      <c r="E1244" s="9">
        <v>2000</v>
      </c>
      <c r="F1244" s="9">
        <v>2000</v>
      </c>
      <c r="G1244" s="9">
        <v>1400</v>
      </c>
      <c r="I1244" t="s">
        <v>162</v>
      </c>
      <c r="J1244" t="s">
        <v>460</v>
      </c>
      <c r="K1244" t="s">
        <v>11</v>
      </c>
      <c r="L1244" t="str">
        <f>T("9791191562033")</f>
        <v>9791191562033</v>
      </c>
    </row>
    <row r="1245" spans="1:12">
      <c r="A1245" s="8">
        <v>44648.318865740737</v>
      </c>
      <c r="B1245">
        <v>291088925</v>
      </c>
      <c r="C1245" t="s">
        <v>693</v>
      </c>
      <c r="D1245" t="s">
        <v>9</v>
      </c>
      <c r="E1245" s="9">
        <v>2000</v>
      </c>
      <c r="F1245" s="9">
        <v>2000</v>
      </c>
      <c r="G1245" s="9">
        <v>1400</v>
      </c>
      <c r="I1245" t="s">
        <v>694</v>
      </c>
      <c r="J1245" t="s">
        <v>460</v>
      </c>
      <c r="K1245" t="s">
        <v>11</v>
      </c>
      <c r="L1245" t="str">
        <f>T("9791191562187")</f>
        <v>9791191562187</v>
      </c>
    </row>
    <row r="1246" spans="1:12">
      <c r="A1246" s="8">
        <v>44648.426446759258</v>
      </c>
      <c r="B1246">
        <v>291681711</v>
      </c>
      <c r="C1246" t="s">
        <v>742</v>
      </c>
      <c r="D1246" t="s">
        <v>9</v>
      </c>
      <c r="E1246" s="9">
        <v>2500</v>
      </c>
      <c r="F1246" s="9">
        <v>2500</v>
      </c>
      <c r="G1246" s="9">
        <v>1750</v>
      </c>
      <c r="I1246" t="s">
        <v>743</v>
      </c>
      <c r="J1246" t="s">
        <v>617</v>
      </c>
      <c r="K1246" t="s">
        <v>11</v>
      </c>
      <c r="L1246" t="str">
        <f>T("9791166483042")</f>
        <v>9791166483042</v>
      </c>
    </row>
    <row r="1247" spans="1:12">
      <c r="A1247" s="8">
        <v>44648.451354166667</v>
      </c>
      <c r="B1247">
        <v>291519446</v>
      </c>
      <c r="C1247" t="s">
        <v>732</v>
      </c>
      <c r="D1247" t="s">
        <v>9</v>
      </c>
      <c r="E1247" s="9">
        <v>2500</v>
      </c>
      <c r="F1247" s="9">
        <v>2500</v>
      </c>
      <c r="G1247" s="9">
        <v>1750</v>
      </c>
      <c r="I1247" t="s">
        <v>733</v>
      </c>
      <c r="J1247" t="s">
        <v>460</v>
      </c>
      <c r="K1247" t="s">
        <v>11</v>
      </c>
      <c r="L1247" t="str">
        <f>T("9791191562156")</f>
        <v>9791191562156</v>
      </c>
    </row>
    <row r="1248" spans="1:12">
      <c r="A1248" s="8">
        <v>44648.470150462963</v>
      </c>
      <c r="B1248">
        <v>291088925</v>
      </c>
      <c r="C1248" t="s">
        <v>693</v>
      </c>
      <c r="D1248" t="s">
        <v>9</v>
      </c>
      <c r="E1248" s="9">
        <v>2000</v>
      </c>
      <c r="F1248" s="9">
        <v>2000</v>
      </c>
      <c r="G1248" s="9">
        <v>1400</v>
      </c>
      <c r="I1248" t="s">
        <v>694</v>
      </c>
      <c r="J1248" t="s">
        <v>460</v>
      </c>
      <c r="K1248" t="s">
        <v>11</v>
      </c>
      <c r="L1248" t="str">
        <f>T("9791191562187")</f>
        <v>9791191562187</v>
      </c>
    </row>
    <row r="1249" spans="1:12">
      <c r="A1249" s="8">
        <v>44648.476898148147</v>
      </c>
      <c r="B1249">
        <v>291681711</v>
      </c>
      <c r="C1249" t="s">
        <v>742</v>
      </c>
      <c r="D1249" t="s">
        <v>9</v>
      </c>
      <c r="E1249" s="9">
        <v>2500</v>
      </c>
      <c r="F1249" s="9">
        <v>2500</v>
      </c>
      <c r="G1249" s="9">
        <v>1750</v>
      </c>
      <c r="I1249" t="s">
        <v>743</v>
      </c>
      <c r="J1249" t="s">
        <v>617</v>
      </c>
      <c r="K1249" t="s">
        <v>11</v>
      </c>
      <c r="L1249" t="str">
        <f>T("9791166483042")</f>
        <v>9791166483042</v>
      </c>
    </row>
    <row r="1250" spans="1:12">
      <c r="A1250" s="8">
        <v>44648.506145833337</v>
      </c>
      <c r="B1250">
        <v>287834730</v>
      </c>
      <c r="C1250" t="s">
        <v>275</v>
      </c>
      <c r="D1250" t="s">
        <v>9</v>
      </c>
      <c r="E1250" s="9">
        <v>2000</v>
      </c>
      <c r="F1250" s="9">
        <v>2000</v>
      </c>
      <c r="G1250" s="9">
        <v>1400</v>
      </c>
      <c r="I1250" t="s">
        <v>169</v>
      </c>
      <c r="J1250" t="s">
        <v>460</v>
      </c>
      <c r="K1250" t="s">
        <v>11</v>
      </c>
      <c r="L1250" t="str">
        <f>T("9791191562019")</f>
        <v>9791191562019</v>
      </c>
    </row>
    <row r="1251" spans="1:12">
      <c r="A1251" s="8">
        <v>44648.537581018521</v>
      </c>
      <c r="B1251">
        <v>291088925</v>
      </c>
      <c r="C1251" t="s">
        <v>693</v>
      </c>
      <c r="D1251" t="s">
        <v>9</v>
      </c>
      <c r="E1251" s="9">
        <v>2000</v>
      </c>
      <c r="F1251" s="9">
        <v>2000</v>
      </c>
      <c r="G1251" s="9">
        <v>1400</v>
      </c>
      <c r="I1251" t="s">
        <v>694</v>
      </c>
      <c r="J1251" t="s">
        <v>460</v>
      </c>
      <c r="K1251" t="s">
        <v>11</v>
      </c>
      <c r="L1251" t="str">
        <f>T("9791191562187")</f>
        <v>9791191562187</v>
      </c>
    </row>
    <row r="1252" spans="1:12">
      <c r="A1252" s="8">
        <v>44648.549953703703</v>
      </c>
      <c r="B1252">
        <v>291681711</v>
      </c>
      <c r="C1252" t="s">
        <v>742</v>
      </c>
      <c r="D1252" t="s">
        <v>9</v>
      </c>
      <c r="E1252" s="9">
        <v>2500</v>
      </c>
      <c r="F1252" s="9">
        <v>2500</v>
      </c>
      <c r="G1252" s="9">
        <v>1750</v>
      </c>
      <c r="I1252" t="s">
        <v>743</v>
      </c>
      <c r="J1252" t="s">
        <v>617</v>
      </c>
      <c r="K1252" t="s">
        <v>11</v>
      </c>
      <c r="L1252" t="str">
        <f>T("9791166483042")</f>
        <v>9791166483042</v>
      </c>
    </row>
    <row r="1253" spans="1:12">
      <c r="A1253" s="8">
        <v>44648.578750000001</v>
      </c>
      <c r="B1253">
        <v>291088925</v>
      </c>
      <c r="C1253" t="s">
        <v>693</v>
      </c>
      <c r="D1253" t="s">
        <v>9</v>
      </c>
      <c r="E1253" s="9">
        <v>2000</v>
      </c>
      <c r="F1253" s="9">
        <v>2000</v>
      </c>
      <c r="G1253" s="9">
        <v>1400</v>
      </c>
      <c r="I1253" t="s">
        <v>694</v>
      </c>
      <c r="J1253" t="s">
        <v>460</v>
      </c>
      <c r="K1253" t="s">
        <v>11</v>
      </c>
      <c r="L1253" t="str">
        <f>T("9791191562187")</f>
        <v>9791191562187</v>
      </c>
    </row>
    <row r="1254" spans="1:12">
      <c r="A1254" s="8">
        <v>44648.619722222225</v>
      </c>
      <c r="B1254">
        <v>291681711</v>
      </c>
      <c r="C1254" t="s">
        <v>742</v>
      </c>
      <c r="D1254" t="s">
        <v>9</v>
      </c>
      <c r="E1254" s="9">
        <v>2500</v>
      </c>
      <c r="F1254" s="9">
        <v>2500</v>
      </c>
      <c r="G1254" s="9">
        <v>1750</v>
      </c>
      <c r="I1254" t="s">
        <v>743</v>
      </c>
      <c r="J1254" t="s">
        <v>617</v>
      </c>
      <c r="K1254" t="s">
        <v>11</v>
      </c>
      <c r="L1254" t="str">
        <f>T("9791166483042")</f>
        <v>9791166483042</v>
      </c>
    </row>
    <row r="1255" spans="1:12">
      <c r="A1255" s="8">
        <v>44648.641527777778</v>
      </c>
      <c r="B1255">
        <v>291088925</v>
      </c>
      <c r="C1255" t="s">
        <v>693</v>
      </c>
      <c r="D1255" t="s">
        <v>9</v>
      </c>
      <c r="E1255" s="9">
        <v>2000</v>
      </c>
      <c r="F1255" s="9">
        <v>2000</v>
      </c>
      <c r="G1255" s="9">
        <v>1400</v>
      </c>
      <c r="I1255" t="s">
        <v>694</v>
      </c>
      <c r="J1255" t="s">
        <v>460</v>
      </c>
      <c r="K1255" t="s">
        <v>11</v>
      </c>
      <c r="L1255" t="str">
        <f>T("9791191562187")</f>
        <v>9791191562187</v>
      </c>
    </row>
    <row r="1256" spans="1:12">
      <c r="A1256" s="8">
        <v>44648.665578703702</v>
      </c>
      <c r="B1256">
        <v>291088925</v>
      </c>
      <c r="C1256" t="s">
        <v>693</v>
      </c>
      <c r="D1256" t="s">
        <v>9</v>
      </c>
      <c r="E1256" s="9">
        <v>2000</v>
      </c>
      <c r="F1256" s="9">
        <v>2000</v>
      </c>
      <c r="G1256" s="9">
        <v>1400</v>
      </c>
      <c r="I1256" t="s">
        <v>694</v>
      </c>
      <c r="J1256" t="s">
        <v>460</v>
      </c>
      <c r="K1256" t="s">
        <v>11</v>
      </c>
      <c r="L1256" t="str">
        <f>T("9791191562187")</f>
        <v>9791191562187</v>
      </c>
    </row>
    <row r="1257" spans="1:12">
      <c r="A1257" s="8">
        <v>44648.701747685183</v>
      </c>
      <c r="B1257">
        <v>291088925</v>
      </c>
      <c r="C1257" t="s">
        <v>693</v>
      </c>
      <c r="D1257" t="s">
        <v>9</v>
      </c>
      <c r="E1257" s="9">
        <v>2000</v>
      </c>
      <c r="F1257" s="9">
        <v>2000</v>
      </c>
      <c r="G1257" s="9">
        <v>1400</v>
      </c>
      <c r="I1257" t="s">
        <v>694</v>
      </c>
      <c r="J1257" t="s">
        <v>460</v>
      </c>
      <c r="K1257" t="s">
        <v>11</v>
      </c>
      <c r="L1257" t="str">
        <f>T("9791191562187")</f>
        <v>9791191562187</v>
      </c>
    </row>
    <row r="1258" spans="1:12">
      <c r="A1258" s="8">
        <v>44648.718101851853</v>
      </c>
      <c r="B1258">
        <v>291088925</v>
      </c>
      <c r="C1258" t="s">
        <v>693</v>
      </c>
      <c r="D1258" t="s">
        <v>9</v>
      </c>
      <c r="E1258" s="9">
        <v>2000</v>
      </c>
      <c r="F1258" s="9">
        <v>2000</v>
      </c>
      <c r="G1258" s="9">
        <v>1400</v>
      </c>
      <c r="I1258" t="s">
        <v>694</v>
      </c>
      <c r="J1258" t="s">
        <v>460</v>
      </c>
      <c r="K1258" t="s">
        <v>11</v>
      </c>
      <c r="L1258" t="str">
        <f>T("9791191562187")</f>
        <v>9791191562187</v>
      </c>
    </row>
    <row r="1259" spans="1:12">
      <c r="A1259" s="8">
        <v>44648.718865740739</v>
      </c>
      <c r="B1259">
        <v>291088925</v>
      </c>
      <c r="C1259" t="s">
        <v>693</v>
      </c>
      <c r="D1259" t="s">
        <v>9</v>
      </c>
      <c r="E1259" s="9">
        <v>2000</v>
      </c>
      <c r="F1259" s="9">
        <v>2000</v>
      </c>
      <c r="G1259" s="9">
        <v>1400</v>
      </c>
      <c r="I1259" t="s">
        <v>694</v>
      </c>
      <c r="J1259" t="s">
        <v>460</v>
      </c>
      <c r="K1259" t="s">
        <v>11</v>
      </c>
      <c r="L1259" t="str">
        <f>T("9791191562187")</f>
        <v>9791191562187</v>
      </c>
    </row>
    <row r="1260" spans="1:12">
      <c r="A1260" s="8">
        <v>44648.722916666666</v>
      </c>
      <c r="B1260">
        <v>291681711</v>
      </c>
      <c r="C1260" t="s">
        <v>742</v>
      </c>
      <c r="D1260" t="s">
        <v>9</v>
      </c>
      <c r="E1260" s="9">
        <v>2500</v>
      </c>
      <c r="F1260" s="9">
        <v>2500</v>
      </c>
      <c r="G1260" s="9">
        <v>1750</v>
      </c>
      <c r="I1260" t="s">
        <v>743</v>
      </c>
      <c r="J1260" t="s">
        <v>617</v>
      </c>
      <c r="K1260" t="s">
        <v>11</v>
      </c>
      <c r="L1260" t="str">
        <f>T("9791166483042")</f>
        <v>9791166483042</v>
      </c>
    </row>
    <row r="1261" spans="1:12">
      <c r="A1261" s="8">
        <v>44648.760405092595</v>
      </c>
      <c r="B1261">
        <v>290963607</v>
      </c>
      <c r="C1261" t="s">
        <v>681</v>
      </c>
      <c r="D1261" t="s">
        <v>9</v>
      </c>
      <c r="E1261" s="9">
        <v>3500</v>
      </c>
      <c r="F1261" s="9">
        <v>3500</v>
      </c>
      <c r="G1261" s="9">
        <v>2450</v>
      </c>
      <c r="I1261" t="s">
        <v>682</v>
      </c>
      <c r="J1261" t="s">
        <v>460</v>
      </c>
      <c r="K1261" t="s">
        <v>11</v>
      </c>
      <c r="L1261" t="str">
        <f>T("9791191562132")</f>
        <v>9791191562132</v>
      </c>
    </row>
    <row r="1262" spans="1:12">
      <c r="A1262" s="8">
        <v>44648.760405092595</v>
      </c>
      <c r="B1262">
        <v>291088925</v>
      </c>
      <c r="C1262" t="s">
        <v>693</v>
      </c>
      <c r="D1262" t="s">
        <v>9</v>
      </c>
      <c r="E1262" s="9">
        <v>2000</v>
      </c>
      <c r="F1262" s="9">
        <v>2000</v>
      </c>
      <c r="G1262" s="9">
        <v>1400</v>
      </c>
      <c r="I1262" t="s">
        <v>694</v>
      </c>
      <c r="J1262" t="s">
        <v>460</v>
      </c>
      <c r="K1262" t="s">
        <v>11</v>
      </c>
      <c r="L1262" t="str">
        <f>T("9791191562187")</f>
        <v>9791191562187</v>
      </c>
    </row>
    <row r="1263" spans="1:12">
      <c r="A1263" s="8">
        <v>44648.793749999997</v>
      </c>
      <c r="B1263">
        <v>290197934</v>
      </c>
      <c r="C1263" t="s">
        <v>604</v>
      </c>
      <c r="D1263" t="s">
        <v>9</v>
      </c>
      <c r="E1263" s="9">
        <v>2000</v>
      </c>
      <c r="F1263" s="9">
        <v>2000</v>
      </c>
      <c r="G1263" s="9">
        <v>1400</v>
      </c>
      <c r="I1263" t="s">
        <v>605</v>
      </c>
      <c r="J1263" t="s">
        <v>460</v>
      </c>
      <c r="K1263" t="s">
        <v>11</v>
      </c>
      <c r="L1263" t="str">
        <f>T("9791191562163")</f>
        <v>9791191562163</v>
      </c>
    </row>
    <row r="1264" spans="1:12">
      <c r="A1264" s="8">
        <v>44648.818344907406</v>
      </c>
      <c r="B1264">
        <v>291088925</v>
      </c>
      <c r="C1264" t="s">
        <v>693</v>
      </c>
      <c r="D1264" t="s">
        <v>9</v>
      </c>
      <c r="E1264" s="9">
        <v>2000</v>
      </c>
      <c r="F1264" s="9">
        <v>2000</v>
      </c>
      <c r="G1264" s="9">
        <v>1400</v>
      </c>
      <c r="I1264" t="s">
        <v>694</v>
      </c>
      <c r="J1264" t="s">
        <v>460</v>
      </c>
      <c r="K1264" t="s">
        <v>11</v>
      </c>
      <c r="L1264" t="str">
        <f>T("9791191562187")</f>
        <v>9791191562187</v>
      </c>
    </row>
    <row r="1265" spans="1:12">
      <c r="A1265" s="8">
        <v>44649.742928240739</v>
      </c>
      <c r="B1265">
        <v>291088925</v>
      </c>
      <c r="C1265" t="s">
        <v>693</v>
      </c>
      <c r="D1265" t="s">
        <v>9</v>
      </c>
      <c r="E1265" s="9">
        <v>-2000</v>
      </c>
      <c r="F1265" s="9">
        <v>-2000</v>
      </c>
      <c r="G1265" s="9">
        <v>-1400</v>
      </c>
      <c r="H1265" s="8">
        <v>44648.818344907406</v>
      </c>
      <c r="I1265" t="s">
        <v>694</v>
      </c>
      <c r="J1265" t="s">
        <v>460</v>
      </c>
      <c r="K1265" t="s">
        <v>11</v>
      </c>
      <c r="L1265" t="str">
        <f>T("9791191562187")</f>
        <v>9791191562187</v>
      </c>
    </row>
    <row r="1266" spans="1:12">
      <c r="A1266" s="8">
        <v>44648.820740740739</v>
      </c>
      <c r="B1266">
        <v>291519446</v>
      </c>
      <c r="C1266" t="s">
        <v>732</v>
      </c>
      <c r="D1266" t="s">
        <v>9</v>
      </c>
      <c r="E1266" s="9">
        <v>2500</v>
      </c>
      <c r="F1266" s="9">
        <v>2500</v>
      </c>
      <c r="G1266" s="9">
        <v>1750</v>
      </c>
      <c r="I1266" t="s">
        <v>733</v>
      </c>
      <c r="J1266" t="s">
        <v>460</v>
      </c>
      <c r="K1266" t="s">
        <v>11</v>
      </c>
      <c r="L1266" t="str">
        <f>T("9791191562156")</f>
        <v>9791191562156</v>
      </c>
    </row>
    <row r="1267" spans="1:12">
      <c r="A1267" s="8">
        <v>44648.835752314815</v>
      </c>
      <c r="B1267">
        <v>291088925</v>
      </c>
      <c r="C1267" t="s">
        <v>693</v>
      </c>
      <c r="D1267" t="s">
        <v>9</v>
      </c>
      <c r="E1267" s="9">
        <v>2000</v>
      </c>
      <c r="F1267" s="9">
        <v>2000</v>
      </c>
      <c r="G1267" s="9">
        <v>1400</v>
      </c>
      <c r="I1267" t="s">
        <v>694</v>
      </c>
      <c r="J1267" t="s">
        <v>460</v>
      </c>
      <c r="K1267" t="s">
        <v>11</v>
      </c>
      <c r="L1267" t="str">
        <f>T("9791191562187")</f>
        <v>9791191562187</v>
      </c>
    </row>
    <row r="1268" spans="1:12">
      <c r="A1268" s="8">
        <v>44648.836041666669</v>
      </c>
      <c r="B1268">
        <v>291088925</v>
      </c>
      <c r="C1268" t="s">
        <v>693</v>
      </c>
      <c r="D1268" t="s">
        <v>9</v>
      </c>
      <c r="E1268" s="9">
        <v>2000</v>
      </c>
      <c r="F1268" s="9">
        <v>2000</v>
      </c>
      <c r="G1268" s="9">
        <v>1400</v>
      </c>
      <c r="I1268" t="s">
        <v>694</v>
      </c>
      <c r="J1268" t="s">
        <v>460</v>
      </c>
      <c r="K1268" t="s">
        <v>11</v>
      </c>
      <c r="L1268" t="str">
        <f>T("9791191562187")</f>
        <v>9791191562187</v>
      </c>
    </row>
    <row r="1269" spans="1:12">
      <c r="A1269" s="8">
        <v>44648.844722222224</v>
      </c>
      <c r="B1269">
        <v>291088925</v>
      </c>
      <c r="C1269" t="s">
        <v>693</v>
      </c>
      <c r="D1269" t="s">
        <v>9</v>
      </c>
      <c r="E1269" s="9">
        <v>2000</v>
      </c>
      <c r="F1269" s="9">
        <v>2000</v>
      </c>
      <c r="G1269" s="9">
        <v>1400</v>
      </c>
      <c r="I1269" t="s">
        <v>694</v>
      </c>
      <c r="J1269" t="s">
        <v>460</v>
      </c>
      <c r="K1269" t="s">
        <v>11</v>
      </c>
      <c r="L1269" t="str">
        <f>T("9791191562187")</f>
        <v>9791191562187</v>
      </c>
    </row>
    <row r="1270" spans="1:12">
      <c r="A1270" s="8">
        <v>44648.881481481483</v>
      </c>
      <c r="B1270">
        <v>291681711</v>
      </c>
      <c r="C1270" t="s">
        <v>742</v>
      </c>
      <c r="D1270" t="s">
        <v>9</v>
      </c>
      <c r="E1270" s="9">
        <v>2500</v>
      </c>
      <c r="F1270" s="9">
        <v>2500</v>
      </c>
      <c r="G1270" s="9">
        <v>1750</v>
      </c>
      <c r="I1270" t="s">
        <v>743</v>
      </c>
      <c r="J1270" t="s">
        <v>617</v>
      </c>
      <c r="K1270" t="s">
        <v>11</v>
      </c>
      <c r="L1270" t="str">
        <f>T("9791166483042")</f>
        <v>9791166483042</v>
      </c>
    </row>
    <row r="1271" spans="1:12">
      <c r="A1271" s="8">
        <v>44648.900729166664</v>
      </c>
      <c r="B1271">
        <v>48799571</v>
      </c>
      <c r="C1271" t="s">
        <v>618</v>
      </c>
      <c r="D1271" t="s">
        <v>9</v>
      </c>
      <c r="E1271">
        <v>0</v>
      </c>
      <c r="F1271">
        <v>0</v>
      </c>
      <c r="G1271">
        <v>0</v>
      </c>
      <c r="I1271" t="s">
        <v>10</v>
      </c>
      <c r="J1271" t="s">
        <v>11</v>
      </c>
      <c r="K1271" t="s">
        <v>11</v>
      </c>
      <c r="L1271" t="str">
        <f>T("9791159283796")</f>
        <v>9791159283796</v>
      </c>
    </row>
    <row r="1272" spans="1:12">
      <c r="A1272" s="8">
        <v>44648.95212962963</v>
      </c>
      <c r="B1272">
        <v>291088925</v>
      </c>
      <c r="C1272" t="s">
        <v>693</v>
      </c>
      <c r="D1272" t="s">
        <v>9</v>
      </c>
      <c r="E1272" s="9">
        <v>2000</v>
      </c>
      <c r="F1272" s="9">
        <v>2000</v>
      </c>
      <c r="G1272" s="9">
        <v>1400</v>
      </c>
      <c r="I1272" t="s">
        <v>694</v>
      </c>
      <c r="J1272" t="s">
        <v>460</v>
      </c>
      <c r="K1272" t="s">
        <v>11</v>
      </c>
      <c r="L1272" t="str">
        <f>T("9791191562187")</f>
        <v>9791191562187</v>
      </c>
    </row>
    <row r="1273" spans="1:12">
      <c r="A1273" s="8">
        <v>44648.96875</v>
      </c>
      <c r="B1273">
        <v>291088925</v>
      </c>
      <c r="C1273" t="s">
        <v>693</v>
      </c>
      <c r="D1273" t="s">
        <v>9</v>
      </c>
      <c r="E1273" s="9">
        <v>2000</v>
      </c>
      <c r="F1273" s="9">
        <v>2000</v>
      </c>
      <c r="G1273" s="9">
        <v>1400</v>
      </c>
      <c r="I1273" t="s">
        <v>694</v>
      </c>
      <c r="J1273" t="s">
        <v>460</v>
      </c>
      <c r="K1273" t="s">
        <v>11</v>
      </c>
      <c r="L1273" t="str">
        <f>T("9791191562187")</f>
        <v>9791191562187</v>
      </c>
    </row>
    <row r="1274" spans="1:12">
      <c r="A1274" s="8">
        <v>44648.977638888886</v>
      </c>
      <c r="B1274">
        <v>291088925</v>
      </c>
      <c r="C1274" t="s">
        <v>693</v>
      </c>
      <c r="D1274" t="s">
        <v>9</v>
      </c>
      <c r="E1274" s="9">
        <v>2000</v>
      </c>
      <c r="F1274" s="9">
        <v>2000</v>
      </c>
      <c r="G1274" s="9">
        <v>1400</v>
      </c>
      <c r="I1274" t="s">
        <v>694</v>
      </c>
      <c r="J1274" t="s">
        <v>460</v>
      </c>
      <c r="K1274" t="s">
        <v>11</v>
      </c>
      <c r="L1274" t="str">
        <f>T("9791191562187")</f>
        <v>9791191562187</v>
      </c>
    </row>
    <row r="1275" spans="1:12">
      <c r="A1275" s="8">
        <v>44648.978379629632</v>
      </c>
      <c r="B1275">
        <v>291088925</v>
      </c>
      <c r="C1275" t="s">
        <v>693</v>
      </c>
      <c r="D1275" t="s">
        <v>9</v>
      </c>
      <c r="E1275" s="9">
        <v>-2000</v>
      </c>
      <c r="F1275" s="9">
        <v>-2000</v>
      </c>
      <c r="G1275" s="9">
        <v>-1400</v>
      </c>
      <c r="H1275" s="8">
        <v>44648.977638888886</v>
      </c>
      <c r="I1275" t="s">
        <v>694</v>
      </c>
      <c r="J1275" t="s">
        <v>460</v>
      </c>
      <c r="K1275" t="s">
        <v>11</v>
      </c>
      <c r="L1275" t="str">
        <f>T("9791191562187")</f>
        <v>9791191562187</v>
      </c>
    </row>
    <row r="1276" spans="1:12">
      <c r="A1276" s="8">
        <v>44648.983287037037</v>
      </c>
      <c r="B1276">
        <v>48799573</v>
      </c>
      <c r="C1276" t="s">
        <v>626</v>
      </c>
      <c r="D1276" t="s">
        <v>12</v>
      </c>
      <c r="E1276">
        <v>900</v>
      </c>
      <c r="F1276">
        <v>900</v>
      </c>
      <c r="G1276">
        <v>630</v>
      </c>
      <c r="I1276" t="s">
        <v>10</v>
      </c>
      <c r="J1276" t="s">
        <v>11</v>
      </c>
      <c r="K1276" t="s">
        <v>11</v>
      </c>
      <c r="L1276" t="str">
        <f>T("9791159283802")</f>
        <v>9791159283802</v>
      </c>
    </row>
    <row r="1277" spans="1:12">
      <c r="A1277" s="8">
        <v>44648.988425925927</v>
      </c>
      <c r="B1277">
        <v>291088925</v>
      </c>
      <c r="C1277" t="s">
        <v>693</v>
      </c>
      <c r="D1277" t="s">
        <v>9</v>
      </c>
      <c r="E1277" s="9">
        <v>2000</v>
      </c>
      <c r="F1277" s="9">
        <v>2000</v>
      </c>
      <c r="G1277" s="9">
        <v>1400</v>
      </c>
      <c r="I1277" t="s">
        <v>694</v>
      </c>
      <c r="J1277" t="s">
        <v>460</v>
      </c>
      <c r="K1277" t="s">
        <v>11</v>
      </c>
      <c r="L1277" t="str">
        <f>T("9791191562187")</f>
        <v>9791191562187</v>
      </c>
    </row>
    <row r="1278" spans="1:12">
      <c r="A1278" s="8">
        <v>44648.991909722223</v>
      </c>
      <c r="B1278">
        <v>291088925</v>
      </c>
      <c r="C1278" t="s">
        <v>693</v>
      </c>
      <c r="D1278" t="s">
        <v>9</v>
      </c>
      <c r="E1278" s="9">
        <v>2000</v>
      </c>
      <c r="F1278" s="9">
        <v>2000</v>
      </c>
      <c r="G1278" s="9">
        <v>1400</v>
      </c>
      <c r="I1278" t="s">
        <v>694</v>
      </c>
      <c r="J1278" t="s">
        <v>460</v>
      </c>
      <c r="K1278" t="s">
        <v>11</v>
      </c>
      <c r="L1278" t="str">
        <f>T("9791191562187")</f>
        <v>9791191562187</v>
      </c>
    </row>
    <row r="1279" spans="1:12">
      <c r="A1279" s="8">
        <v>44649.03696759259</v>
      </c>
      <c r="B1279">
        <v>291088925</v>
      </c>
      <c r="C1279" t="s">
        <v>693</v>
      </c>
      <c r="D1279" t="s">
        <v>9</v>
      </c>
      <c r="E1279" s="9">
        <v>2000</v>
      </c>
      <c r="F1279" s="9">
        <v>2000</v>
      </c>
      <c r="G1279" s="9">
        <v>1400</v>
      </c>
      <c r="I1279" t="s">
        <v>694</v>
      </c>
      <c r="J1279" t="s">
        <v>460</v>
      </c>
      <c r="K1279" t="s">
        <v>11</v>
      </c>
      <c r="L1279" t="str">
        <f>T("9791191562187")</f>
        <v>9791191562187</v>
      </c>
    </row>
    <row r="1280" spans="1:12">
      <c r="A1280" s="8">
        <v>44649.042627314811</v>
      </c>
      <c r="B1280">
        <v>291681711</v>
      </c>
      <c r="C1280" t="s">
        <v>742</v>
      </c>
      <c r="D1280" t="s">
        <v>9</v>
      </c>
      <c r="E1280" s="9">
        <v>2500</v>
      </c>
      <c r="F1280" s="9">
        <v>2500</v>
      </c>
      <c r="G1280" s="9">
        <v>1750</v>
      </c>
      <c r="I1280" t="s">
        <v>743</v>
      </c>
      <c r="J1280" t="s">
        <v>617</v>
      </c>
      <c r="K1280" t="s">
        <v>11</v>
      </c>
      <c r="L1280" t="str">
        <f>T("9791166483042")</f>
        <v>9791166483042</v>
      </c>
    </row>
    <row r="1281" spans="1:12">
      <c r="A1281" s="8">
        <v>44649.043263888889</v>
      </c>
      <c r="B1281">
        <v>281625186</v>
      </c>
      <c r="C1281" t="s">
        <v>545</v>
      </c>
      <c r="D1281" t="s">
        <v>9</v>
      </c>
      <c r="E1281" s="9">
        <v>3200</v>
      </c>
      <c r="F1281" s="9">
        <v>3200</v>
      </c>
      <c r="G1281" s="9">
        <v>2240</v>
      </c>
      <c r="I1281" t="s">
        <v>14</v>
      </c>
      <c r="J1281" t="s">
        <v>11</v>
      </c>
      <c r="K1281" t="s">
        <v>11</v>
      </c>
      <c r="L1281" t="str">
        <f>T("9791137601123")</f>
        <v>9791137601123</v>
      </c>
    </row>
    <row r="1282" spans="1:12">
      <c r="A1282" s="8">
        <v>44649.043263888889</v>
      </c>
      <c r="B1282">
        <v>281625191</v>
      </c>
      <c r="C1282" t="s">
        <v>544</v>
      </c>
      <c r="D1282" t="s">
        <v>9</v>
      </c>
      <c r="E1282" s="9">
        <v>3200</v>
      </c>
      <c r="F1282" s="9">
        <v>3200</v>
      </c>
      <c r="G1282" s="9">
        <v>2240</v>
      </c>
      <c r="I1282" t="s">
        <v>14</v>
      </c>
      <c r="J1282" t="s">
        <v>11</v>
      </c>
      <c r="K1282" t="s">
        <v>11</v>
      </c>
      <c r="L1282" t="str">
        <f>T("9791137601130")</f>
        <v>9791137601130</v>
      </c>
    </row>
    <row r="1283" spans="1:12">
      <c r="A1283" s="8">
        <v>44649.043263888889</v>
      </c>
      <c r="B1283">
        <v>281625183</v>
      </c>
      <c r="C1283" t="s">
        <v>546</v>
      </c>
      <c r="D1283" t="s">
        <v>9</v>
      </c>
      <c r="E1283" s="9">
        <v>3200</v>
      </c>
      <c r="F1283" s="9">
        <v>3200</v>
      </c>
      <c r="G1283" s="9">
        <v>2240</v>
      </c>
      <c r="I1283" t="s">
        <v>14</v>
      </c>
      <c r="J1283" t="s">
        <v>11</v>
      </c>
      <c r="K1283" t="s">
        <v>11</v>
      </c>
      <c r="L1283" t="str">
        <f>T("9791137601161")</f>
        <v>9791137601161</v>
      </c>
    </row>
    <row r="1284" spans="1:12">
      <c r="A1284" s="8">
        <v>44649.043263888889</v>
      </c>
      <c r="B1284">
        <v>281625188</v>
      </c>
      <c r="C1284" t="s">
        <v>548</v>
      </c>
      <c r="D1284" t="s">
        <v>9</v>
      </c>
      <c r="E1284" s="9">
        <v>3200</v>
      </c>
      <c r="F1284" s="9">
        <v>3200</v>
      </c>
      <c r="G1284" s="9">
        <v>2240</v>
      </c>
      <c r="I1284" t="s">
        <v>14</v>
      </c>
      <c r="J1284" t="s">
        <v>11</v>
      </c>
      <c r="K1284" t="s">
        <v>11</v>
      </c>
      <c r="L1284" t="str">
        <f>T("9791137601147")</f>
        <v>9791137601147</v>
      </c>
    </row>
    <row r="1285" spans="1:12">
      <c r="A1285" s="8">
        <v>44649.043263888889</v>
      </c>
      <c r="B1285">
        <v>281625202</v>
      </c>
      <c r="C1285" t="s">
        <v>547</v>
      </c>
      <c r="D1285" t="s">
        <v>9</v>
      </c>
      <c r="E1285" s="9">
        <v>3200</v>
      </c>
      <c r="F1285" s="9">
        <v>3200</v>
      </c>
      <c r="G1285" s="9">
        <v>2240</v>
      </c>
      <c r="I1285" t="s">
        <v>14</v>
      </c>
      <c r="J1285" t="s">
        <v>11</v>
      </c>
      <c r="K1285" t="s">
        <v>11</v>
      </c>
      <c r="L1285" t="str">
        <f>T("9791137601154")</f>
        <v>9791137601154</v>
      </c>
    </row>
    <row r="1286" spans="1:12">
      <c r="A1286" s="8">
        <v>44649.049618055556</v>
      </c>
      <c r="B1286">
        <v>48799575</v>
      </c>
      <c r="C1286" t="s">
        <v>185</v>
      </c>
      <c r="D1286" t="s">
        <v>12</v>
      </c>
      <c r="E1286">
        <v>900</v>
      </c>
      <c r="F1286">
        <v>900</v>
      </c>
      <c r="G1286">
        <v>630</v>
      </c>
      <c r="I1286" t="s">
        <v>10</v>
      </c>
      <c r="J1286" t="s">
        <v>11</v>
      </c>
      <c r="K1286" t="s">
        <v>11</v>
      </c>
      <c r="L1286" t="str">
        <f>T("9791159283819")</f>
        <v>9791159283819</v>
      </c>
    </row>
    <row r="1287" spans="1:12">
      <c r="A1287" s="8">
        <v>44649.319027777776</v>
      </c>
      <c r="B1287">
        <v>290197934</v>
      </c>
      <c r="C1287" t="s">
        <v>604</v>
      </c>
      <c r="D1287" t="s">
        <v>9</v>
      </c>
      <c r="E1287" s="9">
        <v>2000</v>
      </c>
      <c r="F1287" s="9">
        <v>2000</v>
      </c>
      <c r="G1287" s="9">
        <v>1400</v>
      </c>
      <c r="I1287" t="s">
        <v>605</v>
      </c>
      <c r="J1287" t="s">
        <v>460</v>
      </c>
      <c r="K1287" t="s">
        <v>11</v>
      </c>
      <c r="L1287" t="str">
        <f>T("9791191562163")</f>
        <v>9791191562163</v>
      </c>
    </row>
    <row r="1288" spans="1:12">
      <c r="A1288" s="8">
        <v>44649.376932870371</v>
      </c>
      <c r="B1288">
        <v>291088925</v>
      </c>
      <c r="C1288" t="s">
        <v>693</v>
      </c>
      <c r="D1288" t="s">
        <v>9</v>
      </c>
      <c r="E1288" s="9">
        <v>2000</v>
      </c>
      <c r="F1288" s="9">
        <v>2000</v>
      </c>
      <c r="G1288" s="9">
        <v>1400</v>
      </c>
      <c r="I1288" t="s">
        <v>694</v>
      </c>
      <c r="J1288" t="s">
        <v>460</v>
      </c>
      <c r="K1288" t="s">
        <v>11</v>
      </c>
      <c r="L1288" t="str">
        <f>T("9791191562187")</f>
        <v>9791191562187</v>
      </c>
    </row>
    <row r="1289" spans="1:12">
      <c r="A1289" s="8">
        <v>44649.410474537035</v>
      </c>
      <c r="B1289">
        <v>286896672</v>
      </c>
      <c r="C1289" t="s">
        <v>248</v>
      </c>
      <c r="D1289" t="s">
        <v>9</v>
      </c>
      <c r="E1289" s="9">
        <v>2500</v>
      </c>
      <c r="F1289" s="9">
        <v>2500</v>
      </c>
      <c r="G1289" s="9">
        <v>1750</v>
      </c>
      <c r="I1289" t="s">
        <v>158</v>
      </c>
      <c r="J1289" t="s">
        <v>460</v>
      </c>
      <c r="K1289" t="s">
        <v>11</v>
      </c>
      <c r="L1289" t="str">
        <f>T("9791191562002")</f>
        <v>9791191562002</v>
      </c>
    </row>
    <row r="1290" spans="1:12">
      <c r="A1290" s="8">
        <v>44649.453506944446</v>
      </c>
      <c r="B1290">
        <v>48799577</v>
      </c>
      <c r="C1290" t="s">
        <v>192</v>
      </c>
      <c r="D1290" t="s">
        <v>12</v>
      </c>
      <c r="E1290">
        <v>900</v>
      </c>
      <c r="F1290">
        <v>900</v>
      </c>
      <c r="G1290">
        <v>630</v>
      </c>
      <c r="I1290" t="s">
        <v>10</v>
      </c>
      <c r="J1290" t="s">
        <v>11</v>
      </c>
      <c r="K1290" t="s">
        <v>11</v>
      </c>
      <c r="L1290" t="str">
        <f>T("9791159283826")</f>
        <v>9791159283826</v>
      </c>
    </row>
    <row r="1291" spans="1:12">
      <c r="A1291" s="8">
        <v>44649.568831018521</v>
      </c>
      <c r="B1291">
        <v>290963607</v>
      </c>
      <c r="C1291" t="s">
        <v>681</v>
      </c>
      <c r="D1291" t="s">
        <v>9</v>
      </c>
      <c r="E1291" s="9">
        <v>3500</v>
      </c>
      <c r="F1291" s="9">
        <v>3500</v>
      </c>
      <c r="G1291" s="9">
        <v>2450</v>
      </c>
      <c r="I1291" t="s">
        <v>682</v>
      </c>
      <c r="J1291" t="s">
        <v>460</v>
      </c>
      <c r="K1291" t="s">
        <v>11</v>
      </c>
      <c r="L1291" t="str">
        <f>T("9791191562132")</f>
        <v>9791191562132</v>
      </c>
    </row>
    <row r="1292" spans="1:12">
      <c r="A1292" s="8">
        <v>44649.619328703702</v>
      </c>
      <c r="B1292">
        <v>287086652</v>
      </c>
      <c r="C1292" t="s">
        <v>220</v>
      </c>
      <c r="D1292" t="s">
        <v>9</v>
      </c>
      <c r="E1292" s="9">
        <v>2000</v>
      </c>
      <c r="F1292" s="9">
        <v>2000</v>
      </c>
      <c r="G1292" s="9">
        <v>1400</v>
      </c>
      <c r="I1292" t="s">
        <v>162</v>
      </c>
      <c r="J1292" t="s">
        <v>460</v>
      </c>
      <c r="K1292" t="s">
        <v>11</v>
      </c>
      <c r="L1292" t="str">
        <f>T("9791191562033")</f>
        <v>9791191562033</v>
      </c>
    </row>
    <row r="1293" spans="1:12">
      <c r="A1293" s="8">
        <v>44649.630868055552</v>
      </c>
      <c r="B1293">
        <v>48799581</v>
      </c>
      <c r="C1293" t="s">
        <v>194</v>
      </c>
      <c r="D1293" t="s">
        <v>12</v>
      </c>
      <c r="E1293">
        <v>900</v>
      </c>
      <c r="F1293">
        <v>900</v>
      </c>
      <c r="G1293">
        <v>630</v>
      </c>
      <c r="I1293" t="s">
        <v>10</v>
      </c>
      <c r="J1293" t="s">
        <v>11</v>
      </c>
      <c r="K1293" t="s">
        <v>11</v>
      </c>
      <c r="L1293" t="str">
        <f>T("9791159283833")</f>
        <v>9791159283833</v>
      </c>
    </row>
    <row r="1294" spans="1:12">
      <c r="A1294" s="8">
        <v>44649.642430555556</v>
      </c>
      <c r="B1294">
        <v>290197934</v>
      </c>
      <c r="C1294" t="s">
        <v>604</v>
      </c>
      <c r="D1294" t="s">
        <v>9</v>
      </c>
      <c r="E1294" s="9">
        <v>2000</v>
      </c>
      <c r="F1294" s="9">
        <v>2000</v>
      </c>
      <c r="G1294" s="9">
        <v>1400</v>
      </c>
      <c r="I1294" t="s">
        <v>605</v>
      </c>
      <c r="J1294" t="s">
        <v>460</v>
      </c>
      <c r="K1294" t="s">
        <v>11</v>
      </c>
      <c r="L1294" t="str">
        <f>T("9791191562163")</f>
        <v>9791191562163</v>
      </c>
    </row>
    <row r="1295" spans="1:12">
      <c r="A1295" s="8">
        <v>44649.66846064815</v>
      </c>
      <c r="B1295">
        <v>48799584</v>
      </c>
      <c r="C1295" t="s">
        <v>189</v>
      </c>
      <c r="D1295" t="s">
        <v>12</v>
      </c>
      <c r="E1295">
        <v>900</v>
      </c>
      <c r="F1295">
        <v>900</v>
      </c>
      <c r="G1295">
        <v>630</v>
      </c>
      <c r="I1295" t="s">
        <v>10</v>
      </c>
      <c r="J1295" t="s">
        <v>11</v>
      </c>
      <c r="K1295" t="s">
        <v>11</v>
      </c>
      <c r="L1295" t="str">
        <f>T("9791159283840")</f>
        <v>9791159283840</v>
      </c>
    </row>
    <row r="1296" spans="1:12">
      <c r="A1296" s="8">
        <v>44649.676921296297</v>
      </c>
      <c r="B1296">
        <v>291088925</v>
      </c>
      <c r="C1296" t="s">
        <v>693</v>
      </c>
      <c r="D1296" t="s">
        <v>9</v>
      </c>
      <c r="E1296" s="9">
        <v>2000</v>
      </c>
      <c r="F1296" s="9">
        <v>2000</v>
      </c>
      <c r="G1296" s="9">
        <v>1400</v>
      </c>
      <c r="I1296" t="s">
        <v>694</v>
      </c>
      <c r="J1296" t="s">
        <v>460</v>
      </c>
      <c r="K1296" t="s">
        <v>11</v>
      </c>
      <c r="L1296" t="str">
        <f>T("9791191562187")</f>
        <v>9791191562187</v>
      </c>
    </row>
    <row r="1297" spans="1:12">
      <c r="A1297" s="8">
        <v>44649.685879629629</v>
      </c>
      <c r="B1297">
        <v>291088925</v>
      </c>
      <c r="C1297" t="s">
        <v>693</v>
      </c>
      <c r="D1297" t="s">
        <v>9</v>
      </c>
      <c r="E1297" s="9">
        <v>2000</v>
      </c>
      <c r="F1297" s="9">
        <v>2000</v>
      </c>
      <c r="G1297" s="9">
        <v>1400</v>
      </c>
      <c r="I1297" t="s">
        <v>694</v>
      </c>
      <c r="J1297" t="s">
        <v>460</v>
      </c>
      <c r="K1297" t="s">
        <v>11</v>
      </c>
      <c r="L1297" t="str">
        <f>T("9791191562187")</f>
        <v>9791191562187</v>
      </c>
    </row>
    <row r="1298" spans="1:12">
      <c r="A1298" s="8">
        <v>44649.687569444446</v>
      </c>
      <c r="B1298">
        <v>291088925</v>
      </c>
      <c r="C1298" t="s">
        <v>693</v>
      </c>
      <c r="D1298" t="s">
        <v>9</v>
      </c>
      <c r="E1298" s="9">
        <v>2000</v>
      </c>
      <c r="F1298" s="9">
        <v>2000</v>
      </c>
      <c r="G1298" s="9">
        <v>1400</v>
      </c>
      <c r="I1298" t="s">
        <v>694</v>
      </c>
      <c r="J1298" t="s">
        <v>460</v>
      </c>
      <c r="K1298" t="s">
        <v>11</v>
      </c>
      <c r="L1298" t="str">
        <f>T("9791191562187")</f>
        <v>9791191562187</v>
      </c>
    </row>
    <row r="1299" spans="1:12">
      <c r="A1299" s="8">
        <v>44649.699236111112</v>
      </c>
      <c r="B1299">
        <v>291088925</v>
      </c>
      <c r="C1299" t="s">
        <v>693</v>
      </c>
      <c r="D1299" t="s">
        <v>9</v>
      </c>
      <c r="E1299" s="9">
        <v>2000</v>
      </c>
      <c r="F1299" s="9">
        <v>2000</v>
      </c>
      <c r="G1299" s="9">
        <v>1400</v>
      </c>
      <c r="I1299" t="s">
        <v>694</v>
      </c>
      <c r="J1299" t="s">
        <v>460</v>
      </c>
      <c r="K1299" t="s">
        <v>11</v>
      </c>
      <c r="L1299" t="str">
        <f>T("9791191562187")</f>
        <v>9791191562187</v>
      </c>
    </row>
    <row r="1300" spans="1:12">
      <c r="A1300" s="8">
        <v>44649.701284722221</v>
      </c>
      <c r="B1300">
        <v>291088925</v>
      </c>
      <c r="C1300" t="s">
        <v>693</v>
      </c>
      <c r="D1300" t="s">
        <v>9</v>
      </c>
      <c r="E1300" s="9">
        <v>2000</v>
      </c>
      <c r="F1300" s="9">
        <v>2000</v>
      </c>
      <c r="G1300" s="9">
        <v>1400</v>
      </c>
      <c r="I1300" t="s">
        <v>694</v>
      </c>
      <c r="J1300" t="s">
        <v>460</v>
      </c>
      <c r="K1300" t="s">
        <v>11</v>
      </c>
      <c r="L1300" t="str">
        <f>T("9791191562187")</f>
        <v>9791191562187</v>
      </c>
    </row>
    <row r="1301" spans="1:12">
      <c r="A1301" s="8">
        <v>44649.70579861111</v>
      </c>
      <c r="B1301">
        <v>290084502</v>
      </c>
      <c r="C1301" t="s">
        <v>592</v>
      </c>
      <c r="D1301" t="s">
        <v>9</v>
      </c>
      <c r="E1301" s="9">
        <v>2500</v>
      </c>
      <c r="F1301" s="9">
        <v>2500</v>
      </c>
      <c r="G1301" s="9">
        <v>1750</v>
      </c>
      <c r="I1301" t="s">
        <v>593</v>
      </c>
      <c r="J1301" t="s">
        <v>460</v>
      </c>
      <c r="K1301" t="s">
        <v>11</v>
      </c>
      <c r="L1301" t="str">
        <f>T("9791191562125")</f>
        <v>9791191562125</v>
      </c>
    </row>
    <row r="1302" spans="1:12">
      <c r="A1302" s="8">
        <v>44649.720092592594</v>
      </c>
      <c r="B1302">
        <v>291088925</v>
      </c>
      <c r="C1302" t="s">
        <v>693</v>
      </c>
      <c r="D1302" t="s">
        <v>9</v>
      </c>
      <c r="E1302" s="9">
        <v>2000</v>
      </c>
      <c r="F1302" s="9">
        <v>2000</v>
      </c>
      <c r="G1302" s="9">
        <v>1400</v>
      </c>
      <c r="I1302" t="s">
        <v>694</v>
      </c>
      <c r="J1302" t="s">
        <v>460</v>
      </c>
      <c r="K1302" t="s">
        <v>11</v>
      </c>
      <c r="L1302" t="str">
        <f>T("9791191562187")</f>
        <v>9791191562187</v>
      </c>
    </row>
    <row r="1303" spans="1:12">
      <c r="A1303" s="8">
        <v>44649.720520833333</v>
      </c>
      <c r="B1303">
        <v>291088925</v>
      </c>
      <c r="C1303" t="s">
        <v>693</v>
      </c>
      <c r="D1303" t="s">
        <v>9</v>
      </c>
      <c r="E1303" s="9">
        <v>-2000</v>
      </c>
      <c r="F1303" s="9">
        <v>-2000</v>
      </c>
      <c r="G1303" s="9">
        <v>-1400</v>
      </c>
      <c r="H1303" s="8">
        <v>44649.720092592594</v>
      </c>
      <c r="I1303" t="s">
        <v>694</v>
      </c>
      <c r="J1303" t="s">
        <v>460</v>
      </c>
      <c r="K1303" t="s">
        <v>11</v>
      </c>
      <c r="L1303" t="str">
        <f>T("9791191562187")</f>
        <v>9791191562187</v>
      </c>
    </row>
    <row r="1304" spans="1:12">
      <c r="A1304" s="8">
        <v>44649.72074074074</v>
      </c>
      <c r="B1304">
        <v>291681711</v>
      </c>
      <c r="C1304" t="s">
        <v>742</v>
      </c>
      <c r="D1304" t="s">
        <v>9</v>
      </c>
      <c r="E1304" s="9">
        <v>2500</v>
      </c>
      <c r="F1304" s="9">
        <v>2500</v>
      </c>
      <c r="G1304" s="9">
        <v>1750</v>
      </c>
      <c r="I1304" t="s">
        <v>743</v>
      </c>
      <c r="J1304" t="s">
        <v>617</v>
      </c>
      <c r="K1304" t="s">
        <v>11</v>
      </c>
      <c r="L1304" t="str">
        <f>T("9791166483042")</f>
        <v>9791166483042</v>
      </c>
    </row>
    <row r="1305" spans="1:12">
      <c r="A1305" s="8">
        <v>44649.725590277776</v>
      </c>
      <c r="B1305">
        <v>291088925</v>
      </c>
      <c r="C1305" t="s">
        <v>693</v>
      </c>
      <c r="D1305" t="s">
        <v>9</v>
      </c>
      <c r="E1305" s="9">
        <v>2000</v>
      </c>
      <c r="F1305" s="9">
        <v>2000</v>
      </c>
      <c r="G1305" s="9">
        <v>1400</v>
      </c>
      <c r="I1305" t="s">
        <v>694</v>
      </c>
      <c r="J1305" t="s">
        <v>460</v>
      </c>
      <c r="K1305" t="s">
        <v>11</v>
      </c>
      <c r="L1305" t="str">
        <f>T("9791191562187")</f>
        <v>9791191562187</v>
      </c>
    </row>
    <row r="1306" spans="1:12">
      <c r="A1306" s="8">
        <v>44649.749525462961</v>
      </c>
      <c r="B1306">
        <v>291088925</v>
      </c>
      <c r="C1306" t="s">
        <v>693</v>
      </c>
      <c r="D1306" t="s">
        <v>9</v>
      </c>
      <c r="E1306" s="9">
        <v>2000</v>
      </c>
      <c r="F1306" s="9">
        <v>2000</v>
      </c>
      <c r="G1306" s="9">
        <v>1400</v>
      </c>
      <c r="I1306" t="s">
        <v>694</v>
      </c>
      <c r="J1306" t="s">
        <v>460</v>
      </c>
      <c r="K1306" t="s">
        <v>11</v>
      </c>
      <c r="L1306" t="str">
        <f>T("9791191562187")</f>
        <v>9791191562187</v>
      </c>
    </row>
    <row r="1307" spans="1:12">
      <c r="A1307" s="8">
        <v>44649.749525462961</v>
      </c>
      <c r="B1307">
        <v>290197934</v>
      </c>
      <c r="C1307" t="s">
        <v>604</v>
      </c>
      <c r="D1307" t="s">
        <v>9</v>
      </c>
      <c r="E1307" s="9">
        <v>2000</v>
      </c>
      <c r="F1307" s="9">
        <v>2000</v>
      </c>
      <c r="G1307" s="9">
        <v>1400</v>
      </c>
      <c r="I1307" t="s">
        <v>605</v>
      </c>
      <c r="J1307" t="s">
        <v>460</v>
      </c>
      <c r="K1307" t="s">
        <v>11</v>
      </c>
      <c r="L1307" t="str">
        <f>T("9791191562163")</f>
        <v>9791191562163</v>
      </c>
    </row>
    <row r="1308" spans="1:12">
      <c r="A1308" s="8">
        <v>44649.763194444444</v>
      </c>
      <c r="B1308">
        <v>291369647</v>
      </c>
      <c r="C1308" t="s">
        <v>724</v>
      </c>
      <c r="D1308" t="s">
        <v>9</v>
      </c>
      <c r="E1308" s="9">
        <v>2000</v>
      </c>
      <c r="F1308" s="9">
        <v>2000</v>
      </c>
      <c r="G1308" s="9">
        <v>1400</v>
      </c>
      <c r="I1308" t="s">
        <v>725</v>
      </c>
      <c r="J1308" t="s">
        <v>460</v>
      </c>
      <c r="K1308" t="s">
        <v>11</v>
      </c>
      <c r="L1308" t="str">
        <f>T("9791191562194")</f>
        <v>9791191562194</v>
      </c>
    </row>
    <row r="1309" spans="1:12">
      <c r="A1309" s="8">
        <v>44649.770127314812</v>
      </c>
      <c r="B1309">
        <v>291088925</v>
      </c>
      <c r="C1309" t="s">
        <v>693</v>
      </c>
      <c r="D1309" t="s">
        <v>9</v>
      </c>
      <c r="E1309" s="9">
        <v>2000</v>
      </c>
      <c r="F1309" s="9">
        <v>2000</v>
      </c>
      <c r="G1309" s="9">
        <v>1400</v>
      </c>
      <c r="I1309" t="s">
        <v>694</v>
      </c>
      <c r="J1309" t="s">
        <v>460</v>
      </c>
      <c r="K1309" t="s">
        <v>11</v>
      </c>
      <c r="L1309" t="str">
        <f>T("9791191562187")</f>
        <v>9791191562187</v>
      </c>
    </row>
    <row r="1310" spans="1:12">
      <c r="A1310" s="8">
        <v>44649.797465277778</v>
      </c>
      <c r="B1310">
        <v>289315562</v>
      </c>
      <c r="C1310" t="s">
        <v>478</v>
      </c>
      <c r="D1310" t="s">
        <v>9</v>
      </c>
      <c r="E1310" s="9">
        <v>3000</v>
      </c>
      <c r="F1310" s="9">
        <v>3000</v>
      </c>
      <c r="G1310" s="9">
        <v>2100</v>
      </c>
      <c r="I1310" t="s">
        <v>454</v>
      </c>
      <c r="J1310" t="s">
        <v>460</v>
      </c>
      <c r="K1310" t="s">
        <v>11</v>
      </c>
      <c r="L1310" t="str">
        <f>T("9791191562101")</f>
        <v>9791191562101</v>
      </c>
    </row>
    <row r="1311" spans="1:12">
      <c r="A1311" s="8">
        <v>44649.816851851851</v>
      </c>
      <c r="B1311">
        <v>48799502</v>
      </c>
      <c r="C1311" t="s">
        <v>234</v>
      </c>
      <c r="D1311" t="s">
        <v>9</v>
      </c>
      <c r="E1311">
        <v>0</v>
      </c>
      <c r="F1311">
        <v>0</v>
      </c>
      <c r="G1311">
        <v>0</v>
      </c>
      <c r="I1311" t="s">
        <v>10</v>
      </c>
      <c r="J1311" t="s">
        <v>11</v>
      </c>
      <c r="K1311" t="s">
        <v>11</v>
      </c>
      <c r="L1311" t="str">
        <f>T("9791159284724")</f>
        <v>9791159284724</v>
      </c>
    </row>
    <row r="1312" spans="1:12">
      <c r="A1312" s="8">
        <v>44649.81994212963</v>
      </c>
      <c r="B1312">
        <v>291088925</v>
      </c>
      <c r="C1312" t="s">
        <v>693</v>
      </c>
      <c r="D1312" t="s">
        <v>9</v>
      </c>
      <c r="E1312" s="9">
        <v>2000</v>
      </c>
      <c r="F1312" s="9">
        <v>2000</v>
      </c>
      <c r="G1312" s="9">
        <v>1400</v>
      </c>
      <c r="I1312" t="s">
        <v>694</v>
      </c>
      <c r="J1312" t="s">
        <v>460</v>
      </c>
      <c r="K1312" t="s">
        <v>11</v>
      </c>
      <c r="L1312" t="str">
        <f>T("9791191562187")</f>
        <v>9791191562187</v>
      </c>
    </row>
    <row r="1313" spans="1:12">
      <c r="A1313" s="8">
        <v>44649.825219907405</v>
      </c>
      <c r="B1313">
        <v>290197934</v>
      </c>
      <c r="C1313" t="s">
        <v>604</v>
      </c>
      <c r="D1313" t="s">
        <v>9</v>
      </c>
      <c r="E1313" s="9">
        <v>2000</v>
      </c>
      <c r="F1313" s="9">
        <v>2000</v>
      </c>
      <c r="G1313" s="9">
        <v>1400</v>
      </c>
      <c r="I1313" t="s">
        <v>605</v>
      </c>
      <c r="J1313" t="s">
        <v>460</v>
      </c>
      <c r="K1313" t="s">
        <v>11</v>
      </c>
      <c r="L1313" t="str">
        <f>T("9791191562163")</f>
        <v>9791191562163</v>
      </c>
    </row>
    <row r="1314" spans="1:12">
      <c r="A1314" s="8">
        <v>44649.83252314815</v>
      </c>
      <c r="B1314">
        <v>48799516</v>
      </c>
      <c r="C1314" t="s">
        <v>606</v>
      </c>
      <c r="D1314" t="s">
        <v>9</v>
      </c>
      <c r="E1314" s="9">
        <v>3200</v>
      </c>
      <c r="F1314" s="9">
        <v>3200</v>
      </c>
      <c r="G1314" s="9">
        <v>2240</v>
      </c>
      <c r="I1314" t="s">
        <v>10</v>
      </c>
      <c r="J1314" t="s">
        <v>11</v>
      </c>
      <c r="K1314" t="s">
        <v>11</v>
      </c>
      <c r="L1314" t="str">
        <f>T("9791159284793")</f>
        <v>9791159284793</v>
      </c>
    </row>
    <row r="1315" spans="1:12">
      <c r="A1315" s="8">
        <v>44649.83252314815</v>
      </c>
      <c r="B1315">
        <v>48799518</v>
      </c>
      <c r="C1315" t="s">
        <v>607</v>
      </c>
      <c r="D1315" t="s">
        <v>9</v>
      </c>
      <c r="E1315" s="9">
        <v>3200</v>
      </c>
      <c r="F1315" s="9">
        <v>3200</v>
      </c>
      <c r="G1315" s="9">
        <v>2240</v>
      </c>
      <c r="I1315" t="s">
        <v>10</v>
      </c>
      <c r="J1315" t="s">
        <v>11</v>
      </c>
      <c r="K1315" t="s">
        <v>11</v>
      </c>
      <c r="L1315" t="str">
        <f>T("9791159284809")</f>
        <v>9791159284809</v>
      </c>
    </row>
    <row r="1316" spans="1:12">
      <c r="A1316" s="8">
        <v>44649.83252314815</v>
      </c>
      <c r="B1316">
        <v>48799525</v>
      </c>
      <c r="C1316" t="s">
        <v>612</v>
      </c>
      <c r="D1316" t="s">
        <v>9</v>
      </c>
      <c r="E1316" s="9">
        <v>3200</v>
      </c>
      <c r="F1316" s="9">
        <v>3200</v>
      </c>
      <c r="G1316" s="9">
        <v>2240</v>
      </c>
      <c r="I1316" t="s">
        <v>10</v>
      </c>
      <c r="J1316" t="s">
        <v>11</v>
      </c>
      <c r="K1316" t="s">
        <v>11</v>
      </c>
      <c r="L1316" t="str">
        <f>T("9791159284830")</f>
        <v>9791159284830</v>
      </c>
    </row>
    <row r="1317" spans="1:12">
      <c r="A1317" s="8">
        <v>44649.83252314815</v>
      </c>
      <c r="B1317">
        <v>48799523</v>
      </c>
      <c r="C1317" t="s">
        <v>609</v>
      </c>
      <c r="D1317" t="s">
        <v>9</v>
      </c>
      <c r="E1317" s="9">
        <v>3200</v>
      </c>
      <c r="F1317" s="9">
        <v>3200</v>
      </c>
      <c r="G1317" s="9">
        <v>2240</v>
      </c>
      <c r="I1317" t="s">
        <v>10</v>
      </c>
      <c r="J1317" t="s">
        <v>11</v>
      </c>
      <c r="K1317" t="s">
        <v>11</v>
      </c>
      <c r="L1317" t="str">
        <f>T("9791159284823")</f>
        <v>9791159284823</v>
      </c>
    </row>
    <row r="1318" spans="1:12">
      <c r="A1318" s="8">
        <v>44649.83252314815</v>
      </c>
      <c r="B1318">
        <v>48799521</v>
      </c>
      <c r="C1318" t="s">
        <v>608</v>
      </c>
      <c r="D1318" t="s">
        <v>9</v>
      </c>
      <c r="E1318" s="9">
        <v>3200</v>
      </c>
      <c r="F1318" s="9">
        <v>3200</v>
      </c>
      <c r="G1318" s="9">
        <v>2240</v>
      </c>
      <c r="I1318" t="s">
        <v>10</v>
      </c>
      <c r="J1318" t="s">
        <v>11</v>
      </c>
      <c r="K1318" t="s">
        <v>11</v>
      </c>
      <c r="L1318" t="str">
        <f>T("9791159284816")</f>
        <v>9791159284816</v>
      </c>
    </row>
    <row r="1319" spans="1:12">
      <c r="A1319" s="8">
        <v>44649.833321759259</v>
      </c>
      <c r="B1319">
        <v>291088925</v>
      </c>
      <c r="C1319" t="s">
        <v>693</v>
      </c>
      <c r="D1319" t="s">
        <v>9</v>
      </c>
      <c r="E1319" s="9">
        <v>2000</v>
      </c>
      <c r="F1319" s="9">
        <v>2000</v>
      </c>
      <c r="G1319" s="9">
        <v>1400</v>
      </c>
      <c r="I1319" t="s">
        <v>694</v>
      </c>
      <c r="J1319" t="s">
        <v>460</v>
      </c>
      <c r="K1319" t="s">
        <v>11</v>
      </c>
      <c r="L1319" t="str">
        <f>T("9791191562187")</f>
        <v>9791191562187</v>
      </c>
    </row>
    <row r="1320" spans="1:12">
      <c r="A1320" s="8">
        <v>44649.92119212963</v>
      </c>
      <c r="B1320">
        <v>291681711</v>
      </c>
      <c r="C1320" t="s">
        <v>742</v>
      </c>
      <c r="D1320" t="s">
        <v>9</v>
      </c>
      <c r="E1320" s="9">
        <v>2500</v>
      </c>
      <c r="F1320" s="9">
        <v>2500</v>
      </c>
      <c r="G1320" s="9">
        <v>1750</v>
      </c>
      <c r="I1320" t="s">
        <v>743</v>
      </c>
      <c r="J1320" t="s">
        <v>617</v>
      </c>
      <c r="K1320" t="s">
        <v>11</v>
      </c>
      <c r="L1320" t="str">
        <f>T("9791166483042")</f>
        <v>9791166483042</v>
      </c>
    </row>
    <row r="1321" spans="1:12">
      <c r="A1321" s="8">
        <v>44649.94427083333</v>
      </c>
      <c r="B1321">
        <v>291088925</v>
      </c>
      <c r="C1321" t="s">
        <v>693</v>
      </c>
      <c r="D1321" t="s">
        <v>9</v>
      </c>
      <c r="E1321" s="9">
        <v>2000</v>
      </c>
      <c r="F1321" s="9">
        <v>2000</v>
      </c>
      <c r="G1321" s="9">
        <v>1400</v>
      </c>
      <c r="I1321" t="s">
        <v>694</v>
      </c>
      <c r="J1321" t="s">
        <v>460</v>
      </c>
      <c r="K1321" t="s">
        <v>11</v>
      </c>
      <c r="L1321" t="str">
        <f>T("9791191562187")</f>
        <v>9791191562187</v>
      </c>
    </row>
    <row r="1322" spans="1:12">
      <c r="A1322" s="8">
        <v>44649.945798611108</v>
      </c>
      <c r="B1322">
        <v>291088925</v>
      </c>
      <c r="C1322" t="s">
        <v>693</v>
      </c>
      <c r="D1322" t="s">
        <v>9</v>
      </c>
      <c r="E1322" s="9">
        <v>2000</v>
      </c>
      <c r="F1322" s="9">
        <v>2000</v>
      </c>
      <c r="G1322" s="9">
        <v>1400</v>
      </c>
      <c r="I1322" t="s">
        <v>694</v>
      </c>
      <c r="J1322" t="s">
        <v>460</v>
      </c>
      <c r="K1322" t="s">
        <v>11</v>
      </c>
      <c r="L1322" t="str">
        <f>T("9791191562187")</f>
        <v>9791191562187</v>
      </c>
    </row>
    <row r="1323" spans="1:12">
      <c r="A1323" s="8">
        <v>44649.951886574076</v>
      </c>
      <c r="B1323">
        <v>291088925</v>
      </c>
      <c r="C1323" t="s">
        <v>693</v>
      </c>
      <c r="D1323" t="s">
        <v>9</v>
      </c>
      <c r="E1323" s="9">
        <v>2000</v>
      </c>
      <c r="F1323" s="9">
        <v>2000</v>
      </c>
      <c r="G1323" s="9">
        <v>1400</v>
      </c>
      <c r="I1323" t="s">
        <v>694</v>
      </c>
      <c r="J1323" t="s">
        <v>460</v>
      </c>
      <c r="K1323" t="s">
        <v>11</v>
      </c>
      <c r="L1323" t="str">
        <f>T("9791191562187")</f>
        <v>9791191562187</v>
      </c>
    </row>
    <row r="1324" spans="1:12">
      <c r="A1324" s="8">
        <v>44649.959282407406</v>
      </c>
      <c r="B1324">
        <v>291088925</v>
      </c>
      <c r="C1324" t="s">
        <v>693</v>
      </c>
      <c r="D1324" t="s">
        <v>9</v>
      </c>
      <c r="E1324" s="9">
        <v>2000</v>
      </c>
      <c r="F1324" s="9">
        <v>2000</v>
      </c>
      <c r="G1324" s="9">
        <v>1400</v>
      </c>
      <c r="I1324" t="s">
        <v>694</v>
      </c>
      <c r="J1324" t="s">
        <v>460</v>
      </c>
      <c r="K1324" t="s">
        <v>11</v>
      </c>
      <c r="L1324" t="str">
        <f>T("9791191562187")</f>
        <v>9791191562187</v>
      </c>
    </row>
    <row r="1325" spans="1:12">
      <c r="A1325" s="8">
        <v>44649.967314814814</v>
      </c>
      <c r="B1325">
        <v>287834730</v>
      </c>
      <c r="C1325" t="s">
        <v>275</v>
      </c>
      <c r="D1325" t="s">
        <v>9</v>
      </c>
      <c r="E1325" s="9">
        <v>2000</v>
      </c>
      <c r="F1325" s="9">
        <v>2000</v>
      </c>
      <c r="G1325" s="9">
        <v>1400</v>
      </c>
      <c r="I1325" t="s">
        <v>169</v>
      </c>
      <c r="J1325" t="s">
        <v>460</v>
      </c>
      <c r="K1325" t="s">
        <v>11</v>
      </c>
      <c r="L1325" t="str">
        <f>T("9791191562019")</f>
        <v>9791191562019</v>
      </c>
    </row>
    <row r="1326" spans="1:12">
      <c r="A1326" s="8">
        <v>44649.971331018518</v>
      </c>
      <c r="B1326">
        <v>291088925</v>
      </c>
      <c r="C1326" t="s">
        <v>693</v>
      </c>
      <c r="D1326" t="s">
        <v>9</v>
      </c>
      <c r="E1326" s="9">
        <v>2000</v>
      </c>
      <c r="F1326" s="9">
        <v>2000</v>
      </c>
      <c r="G1326" s="9">
        <v>1400</v>
      </c>
      <c r="I1326" t="s">
        <v>694</v>
      </c>
      <c r="J1326" t="s">
        <v>460</v>
      </c>
      <c r="K1326" t="s">
        <v>11</v>
      </c>
      <c r="L1326" t="str">
        <f>T("9791191562187")</f>
        <v>9791191562187</v>
      </c>
    </row>
    <row r="1327" spans="1:12">
      <c r="A1327" s="8">
        <v>44649.975219907406</v>
      </c>
      <c r="B1327">
        <v>291088925</v>
      </c>
      <c r="C1327" t="s">
        <v>693</v>
      </c>
      <c r="D1327" t="s">
        <v>9</v>
      </c>
      <c r="E1327" s="9">
        <v>2000</v>
      </c>
      <c r="F1327" s="9">
        <v>2000</v>
      </c>
      <c r="G1327" s="9">
        <v>1400</v>
      </c>
      <c r="I1327" t="s">
        <v>694</v>
      </c>
      <c r="J1327" t="s">
        <v>460</v>
      </c>
      <c r="K1327" t="s">
        <v>11</v>
      </c>
      <c r="L1327" t="str">
        <f>T("9791191562187")</f>
        <v>9791191562187</v>
      </c>
    </row>
    <row r="1328" spans="1:12">
      <c r="A1328" s="8">
        <v>44649.975219907406</v>
      </c>
      <c r="B1328">
        <v>290645912</v>
      </c>
      <c r="C1328" t="s">
        <v>630</v>
      </c>
      <c r="D1328" t="s">
        <v>9</v>
      </c>
      <c r="E1328" s="9">
        <v>2000</v>
      </c>
      <c r="F1328" s="9">
        <v>2000</v>
      </c>
      <c r="G1328" s="9">
        <v>1400</v>
      </c>
      <c r="I1328" t="s">
        <v>631</v>
      </c>
      <c r="J1328" t="s">
        <v>460</v>
      </c>
      <c r="K1328" t="s">
        <v>11</v>
      </c>
      <c r="L1328" t="str">
        <f>T("9791191562170")</f>
        <v>9791191562170</v>
      </c>
    </row>
    <row r="1329" spans="1:12">
      <c r="A1329" s="8">
        <v>44649.992199074077</v>
      </c>
      <c r="B1329">
        <v>291088925</v>
      </c>
      <c r="C1329" t="s">
        <v>693</v>
      </c>
      <c r="D1329" t="s">
        <v>9</v>
      </c>
      <c r="E1329" s="9">
        <v>2000</v>
      </c>
      <c r="F1329" s="9">
        <v>2000</v>
      </c>
      <c r="G1329" s="9">
        <v>1400</v>
      </c>
      <c r="I1329" t="s">
        <v>694</v>
      </c>
      <c r="J1329" t="s">
        <v>460</v>
      </c>
      <c r="K1329" t="s">
        <v>11</v>
      </c>
      <c r="L1329" t="str">
        <f>T("9791191562187")</f>
        <v>9791191562187</v>
      </c>
    </row>
    <row r="1330" spans="1:12">
      <c r="A1330" s="8">
        <v>44649.993518518517</v>
      </c>
      <c r="B1330">
        <v>291088925</v>
      </c>
      <c r="C1330" t="s">
        <v>693</v>
      </c>
      <c r="D1330" t="s">
        <v>9</v>
      </c>
      <c r="E1330" s="9">
        <v>2000</v>
      </c>
      <c r="F1330" s="9">
        <v>2000</v>
      </c>
      <c r="G1330" s="9">
        <v>1400</v>
      </c>
      <c r="I1330" t="s">
        <v>694</v>
      </c>
      <c r="J1330" t="s">
        <v>460</v>
      </c>
      <c r="K1330" t="s">
        <v>11</v>
      </c>
      <c r="L1330" t="str">
        <f>T("9791191562187")</f>
        <v>9791191562187</v>
      </c>
    </row>
    <row r="1331" spans="1:12">
      <c r="A1331" s="8">
        <v>44649.997870370367</v>
      </c>
      <c r="B1331">
        <v>271216769</v>
      </c>
      <c r="C1331" t="s">
        <v>584</v>
      </c>
      <c r="D1331" t="s">
        <v>9</v>
      </c>
      <c r="E1331" s="9">
        <v>1000</v>
      </c>
      <c r="F1331" s="9">
        <v>1000</v>
      </c>
      <c r="G1331">
        <v>700</v>
      </c>
      <c r="I1331" t="s">
        <v>585</v>
      </c>
      <c r="J1331" t="s">
        <v>11</v>
      </c>
      <c r="K1331" t="s">
        <v>11</v>
      </c>
      <c r="L1331" t="str">
        <f>T("9791137600355")</f>
        <v>9791137600355</v>
      </c>
    </row>
    <row r="1332" spans="1:12">
      <c r="A1332" s="8">
        <v>44650.000972222224</v>
      </c>
      <c r="B1332">
        <v>290197934</v>
      </c>
      <c r="C1332" t="s">
        <v>604</v>
      </c>
      <c r="D1332" t="s">
        <v>9</v>
      </c>
      <c r="E1332" s="9">
        <v>2000</v>
      </c>
      <c r="F1332" s="9">
        <v>2000</v>
      </c>
      <c r="G1332" s="9">
        <v>1400</v>
      </c>
      <c r="I1332" t="s">
        <v>605</v>
      </c>
      <c r="J1332" t="s">
        <v>460</v>
      </c>
      <c r="K1332" t="s">
        <v>11</v>
      </c>
      <c r="L1332" t="str">
        <f>T("9791191562163")</f>
        <v>9791191562163</v>
      </c>
    </row>
    <row r="1333" spans="1:12">
      <c r="A1333" s="8">
        <v>44650.000972222224</v>
      </c>
      <c r="B1333">
        <v>291088925</v>
      </c>
      <c r="C1333" t="s">
        <v>693</v>
      </c>
      <c r="D1333" t="s">
        <v>9</v>
      </c>
      <c r="E1333" s="9">
        <v>2000</v>
      </c>
      <c r="F1333" s="9">
        <v>2000</v>
      </c>
      <c r="G1333" s="9">
        <v>1400</v>
      </c>
      <c r="I1333" t="s">
        <v>694</v>
      </c>
      <c r="J1333" t="s">
        <v>460</v>
      </c>
      <c r="K1333" t="s">
        <v>11</v>
      </c>
      <c r="L1333" t="str">
        <f>T("9791191562187")</f>
        <v>9791191562187</v>
      </c>
    </row>
    <row r="1334" spans="1:12">
      <c r="A1334" s="8">
        <v>44650.039039351854</v>
      </c>
      <c r="B1334">
        <v>291088925</v>
      </c>
      <c r="C1334" t="s">
        <v>693</v>
      </c>
      <c r="D1334" t="s">
        <v>9</v>
      </c>
      <c r="E1334" s="9">
        <v>2000</v>
      </c>
      <c r="F1334" s="9">
        <v>2000</v>
      </c>
      <c r="G1334" s="9">
        <v>1400</v>
      </c>
      <c r="I1334" t="s">
        <v>694</v>
      </c>
      <c r="J1334" t="s">
        <v>460</v>
      </c>
      <c r="K1334" t="s">
        <v>11</v>
      </c>
      <c r="L1334" t="str">
        <f>T("9791191562187")</f>
        <v>9791191562187</v>
      </c>
    </row>
    <row r="1335" spans="1:12">
      <c r="A1335" s="8">
        <v>44650.11347222222</v>
      </c>
      <c r="B1335">
        <v>291088925</v>
      </c>
      <c r="C1335" t="s">
        <v>693</v>
      </c>
      <c r="D1335" t="s">
        <v>9</v>
      </c>
      <c r="E1335" s="9">
        <v>2000</v>
      </c>
      <c r="F1335" s="9">
        <v>2000</v>
      </c>
      <c r="G1335" s="9">
        <v>1400</v>
      </c>
      <c r="I1335" t="s">
        <v>694</v>
      </c>
      <c r="J1335" t="s">
        <v>460</v>
      </c>
      <c r="K1335" t="s">
        <v>11</v>
      </c>
      <c r="L1335" t="str">
        <f>T("9791191562187")</f>
        <v>9791191562187</v>
      </c>
    </row>
    <row r="1336" spans="1:12">
      <c r="A1336" s="8">
        <v>44650.123645833337</v>
      </c>
      <c r="B1336">
        <v>291088925</v>
      </c>
      <c r="C1336" t="s">
        <v>693</v>
      </c>
      <c r="D1336" t="s">
        <v>9</v>
      </c>
      <c r="E1336" s="9">
        <v>2000</v>
      </c>
      <c r="F1336" s="9">
        <v>2000</v>
      </c>
      <c r="G1336" s="9">
        <v>1400</v>
      </c>
      <c r="I1336" t="s">
        <v>694</v>
      </c>
      <c r="J1336" t="s">
        <v>460</v>
      </c>
      <c r="K1336" t="s">
        <v>11</v>
      </c>
      <c r="L1336" t="str">
        <f>T("9791191562187")</f>
        <v>9791191562187</v>
      </c>
    </row>
    <row r="1337" spans="1:12">
      <c r="A1337" s="8">
        <v>44650.164629629631</v>
      </c>
      <c r="B1337">
        <v>281625197</v>
      </c>
      <c r="C1337" t="s">
        <v>40</v>
      </c>
      <c r="D1337" t="s">
        <v>9</v>
      </c>
      <c r="E1337" s="9">
        <v>3200</v>
      </c>
      <c r="F1337" s="9">
        <v>3200</v>
      </c>
      <c r="G1337" s="9">
        <v>2240</v>
      </c>
      <c r="I1337" t="s">
        <v>14</v>
      </c>
      <c r="J1337" t="s">
        <v>11</v>
      </c>
      <c r="K1337" t="s">
        <v>11</v>
      </c>
      <c r="L1337" t="str">
        <f>T("9791137601024")</f>
        <v>9791137601024</v>
      </c>
    </row>
    <row r="1338" spans="1:12">
      <c r="A1338" s="8">
        <v>44650.164629629631</v>
      </c>
      <c r="B1338">
        <v>281625210</v>
      </c>
      <c r="C1338" t="s">
        <v>536</v>
      </c>
      <c r="D1338" t="s">
        <v>9</v>
      </c>
      <c r="E1338" s="9">
        <v>3200</v>
      </c>
      <c r="F1338" s="9">
        <v>3200</v>
      </c>
      <c r="G1338" s="9">
        <v>2240</v>
      </c>
      <c r="I1338" t="s">
        <v>14</v>
      </c>
      <c r="J1338" t="s">
        <v>11</v>
      </c>
      <c r="K1338" t="s">
        <v>11</v>
      </c>
      <c r="L1338" t="str">
        <f>T("9791137601055")</f>
        <v>9791137601055</v>
      </c>
    </row>
    <row r="1339" spans="1:12">
      <c r="A1339" s="8">
        <v>44650.164629629631</v>
      </c>
      <c r="B1339">
        <v>281625175</v>
      </c>
      <c r="C1339" t="s">
        <v>538</v>
      </c>
      <c r="D1339" t="s">
        <v>9</v>
      </c>
      <c r="E1339" s="9">
        <v>3200</v>
      </c>
      <c r="F1339" s="9">
        <v>3200</v>
      </c>
      <c r="G1339" s="9">
        <v>2240</v>
      </c>
      <c r="I1339" t="s">
        <v>14</v>
      </c>
      <c r="J1339" t="s">
        <v>11</v>
      </c>
      <c r="K1339" t="s">
        <v>11</v>
      </c>
      <c r="L1339" t="str">
        <f>T("9791137601031")</f>
        <v>9791137601031</v>
      </c>
    </row>
    <row r="1340" spans="1:12">
      <c r="A1340" s="8">
        <v>44650.164629629631</v>
      </c>
      <c r="B1340">
        <v>281625181</v>
      </c>
      <c r="C1340" t="s">
        <v>537</v>
      </c>
      <c r="D1340" t="s">
        <v>9</v>
      </c>
      <c r="E1340" s="9">
        <v>3200</v>
      </c>
      <c r="F1340" s="9">
        <v>3200</v>
      </c>
      <c r="G1340" s="9">
        <v>2240</v>
      </c>
      <c r="I1340" t="s">
        <v>14</v>
      </c>
      <c r="J1340" t="s">
        <v>11</v>
      </c>
      <c r="K1340" t="s">
        <v>11</v>
      </c>
      <c r="L1340" t="str">
        <f>T("9791137601048")</f>
        <v>9791137601048</v>
      </c>
    </row>
    <row r="1341" spans="1:12">
      <c r="A1341" s="8">
        <v>44650.164629629631</v>
      </c>
      <c r="B1341">
        <v>281625191</v>
      </c>
      <c r="C1341" t="s">
        <v>544</v>
      </c>
      <c r="D1341" t="s">
        <v>9</v>
      </c>
      <c r="E1341" s="9">
        <v>3200</v>
      </c>
      <c r="F1341" s="9">
        <v>3200</v>
      </c>
      <c r="G1341" s="9">
        <v>2240</v>
      </c>
      <c r="I1341" t="s">
        <v>14</v>
      </c>
      <c r="J1341" t="s">
        <v>11</v>
      </c>
      <c r="K1341" t="s">
        <v>11</v>
      </c>
      <c r="L1341" t="str">
        <f>T("9791137601130")</f>
        <v>9791137601130</v>
      </c>
    </row>
    <row r="1342" spans="1:12">
      <c r="A1342" s="8">
        <v>44650.164629629631</v>
      </c>
      <c r="B1342">
        <v>281625188</v>
      </c>
      <c r="C1342" t="s">
        <v>548</v>
      </c>
      <c r="D1342" t="s">
        <v>9</v>
      </c>
      <c r="E1342" s="9">
        <v>3200</v>
      </c>
      <c r="F1342" s="9">
        <v>3200</v>
      </c>
      <c r="G1342" s="9">
        <v>2240</v>
      </c>
      <c r="I1342" t="s">
        <v>14</v>
      </c>
      <c r="J1342" t="s">
        <v>11</v>
      </c>
      <c r="K1342" t="s">
        <v>11</v>
      </c>
      <c r="L1342" t="str">
        <f>T("9791137601147")</f>
        <v>9791137601147</v>
      </c>
    </row>
    <row r="1343" spans="1:12">
      <c r="A1343" s="8">
        <v>44650.164629629631</v>
      </c>
      <c r="B1343">
        <v>281625186</v>
      </c>
      <c r="C1343" t="s">
        <v>545</v>
      </c>
      <c r="D1343" t="s">
        <v>9</v>
      </c>
      <c r="E1343" s="9">
        <v>3200</v>
      </c>
      <c r="F1343" s="9">
        <v>3200</v>
      </c>
      <c r="G1343" s="9">
        <v>2240</v>
      </c>
      <c r="I1343" t="s">
        <v>14</v>
      </c>
      <c r="J1343" t="s">
        <v>11</v>
      </c>
      <c r="K1343" t="s">
        <v>11</v>
      </c>
      <c r="L1343" t="str">
        <f>T("9791137601123")</f>
        <v>9791137601123</v>
      </c>
    </row>
    <row r="1344" spans="1:12">
      <c r="A1344" s="8">
        <v>44650.164629629631</v>
      </c>
      <c r="B1344">
        <v>281625180</v>
      </c>
      <c r="C1344" t="s">
        <v>543</v>
      </c>
      <c r="D1344" t="s">
        <v>9</v>
      </c>
      <c r="E1344" s="9">
        <v>3200</v>
      </c>
      <c r="F1344" s="9">
        <v>3200</v>
      </c>
      <c r="G1344" s="9">
        <v>2240</v>
      </c>
      <c r="I1344" t="s">
        <v>14</v>
      </c>
      <c r="J1344" t="s">
        <v>11</v>
      </c>
      <c r="K1344" t="s">
        <v>11</v>
      </c>
      <c r="L1344" t="str">
        <f>T("9791137601116")</f>
        <v>9791137601116</v>
      </c>
    </row>
    <row r="1345" spans="1:12">
      <c r="A1345" s="8">
        <v>44650.164629629631</v>
      </c>
      <c r="B1345">
        <v>281625212</v>
      </c>
      <c r="C1345" t="s">
        <v>542</v>
      </c>
      <c r="D1345" t="s">
        <v>9</v>
      </c>
      <c r="E1345" s="9">
        <v>3200</v>
      </c>
      <c r="F1345" s="9">
        <v>3200</v>
      </c>
      <c r="G1345" s="9">
        <v>2240</v>
      </c>
      <c r="I1345" t="s">
        <v>14</v>
      </c>
      <c r="J1345" t="s">
        <v>11</v>
      </c>
      <c r="K1345" t="s">
        <v>11</v>
      </c>
      <c r="L1345" t="str">
        <f>T("9791137601109")</f>
        <v>9791137601109</v>
      </c>
    </row>
    <row r="1346" spans="1:12">
      <c r="A1346" s="8">
        <v>44650.164629629631</v>
      </c>
      <c r="B1346">
        <v>281625198</v>
      </c>
      <c r="C1346" t="s">
        <v>39</v>
      </c>
      <c r="D1346" t="s">
        <v>9</v>
      </c>
      <c r="E1346" s="9">
        <v>3200</v>
      </c>
      <c r="F1346" s="9">
        <v>3200</v>
      </c>
      <c r="G1346" s="9">
        <v>2240</v>
      </c>
      <c r="I1346" t="s">
        <v>14</v>
      </c>
      <c r="J1346" t="s">
        <v>11</v>
      </c>
      <c r="K1346" t="s">
        <v>11</v>
      </c>
      <c r="L1346" t="str">
        <f>T("9791137601079")</f>
        <v>9791137601079</v>
      </c>
    </row>
    <row r="1347" spans="1:12">
      <c r="A1347" s="8">
        <v>44650.164629629631</v>
      </c>
      <c r="B1347">
        <v>281625177</v>
      </c>
      <c r="C1347" t="s">
        <v>541</v>
      </c>
      <c r="D1347" t="s">
        <v>9</v>
      </c>
      <c r="E1347" s="9">
        <v>3200</v>
      </c>
      <c r="F1347" s="9">
        <v>3200</v>
      </c>
      <c r="G1347" s="9">
        <v>2240</v>
      </c>
      <c r="I1347" t="s">
        <v>14</v>
      </c>
      <c r="J1347" t="s">
        <v>11</v>
      </c>
      <c r="K1347" t="s">
        <v>11</v>
      </c>
      <c r="L1347" t="str">
        <f>T("9791137601086")</f>
        <v>9791137601086</v>
      </c>
    </row>
    <row r="1348" spans="1:12">
      <c r="A1348" s="8">
        <v>44650.164629629631</v>
      </c>
      <c r="B1348">
        <v>281625184</v>
      </c>
      <c r="C1348" t="s">
        <v>540</v>
      </c>
      <c r="D1348" t="s">
        <v>9</v>
      </c>
      <c r="E1348" s="9">
        <v>3200</v>
      </c>
      <c r="F1348" s="9">
        <v>3200</v>
      </c>
      <c r="G1348" s="9">
        <v>2240</v>
      </c>
      <c r="I1348" t="s">
        <v>14</v>
      </c>
      <c r="J1348" t="s">
        <v>11</v>
      </c>
      <c r="K1348" t="s">
        <v>11</v>
      </c>
      <c r="L1348" t="str">
        <f>T("9791137601093")</f>
        <v>9791137601093</v>
      </c>
    </row>
    <row r="1349" spans="1:12">
      <c r="A1349" s="8">
        <v>44650.164629629631</v>
      </c>
      <c r="B1349">
        <v>281625187</v>
      </c>
      <c r="C1349" t="s">
        <v>539</v>
      </c>
      <c r="D1349" t="s">
        <v>9</v>
      </c>
      <c r="E1349" s="9">
        <v>3200</v>
      </c>
      <c r="F1349" s="9">
        <v>3200</v>
      </c>
      <c r="G1349" s="9">
        <v>2240</v>
      </c>
      <c r="I1349" t="s">
        <v>14</v>
      </c>
      <c r="J1349" t="s">
        <v>11</v>
      </c>
      <c r="K1349" t="s">
        <v>11</v>
      </c>
      <c r="L1349" t="str">
        <f>T("9791137601062")</f>
        <v>9791137601062</v>
      </c>
    </row>
    <row r="1350" spans="1:12">
      <c r="A1350" s="8">
        <v>44650.164629629631</v>
      </c>
      <c r="B1350">
        <v>281625183</v>
      </c>
      <c r="C1350" t="s">
        <v>546</v>
      </c>
      <c r="D1350" t="s">
        <v>9</v>
      </c>
      <c r="E1350" s="9">
        <v>3200</v>
      </c>
      <c r="F1350" s="9">
        <v>3200</v>
      </c>
      <c r="G1350" s="9">
        <v>2240</v>
      </c>
      <c r="I1350" t="s">
        <v>14</v>
      </c>
      <c r="J1350" t="s">
        <v>11</v>
      </c>
      <c r="K1350" t="s">
        <v>11</v>
      </c>
      <c r="L1350" t="str">
        <f>T("9791137601161")</f>
        <v>9791137601161</v>
      </c>
    </row>
    <row r="1351" spans="1:12">
      <c r="A1351" s="8">
        <v>44650.164629629631</v>
      </c>
      <c r="B1351">
        <v>281625202</v>
      </c>
      <c r="C1351" t="s">
        <v>547</v>
      </c>
      <c r="D1351" t="s">
        <v>9</v>
      </c>
      <c r="E1351" s="9">
        <v>3200</v>
      </c>
      <c r="F1351" s="9">
        <v>3200</v>
      </c>
      <c r="G1351" s="9">
        <v>2240</v>
      </c>
      <c r="I1351" t="s">
        <v>14</v>
      </c>
      <c r="J1351" t="s">
        <v>11</v>
      </c>
      <c r="K1351" t="s">
        <v>11</v>
      </c>
      <c r="L1351" t="str">
        <f>T("9791137601154")</f>
        <v>9791137601154</v>
      </c>
    </row>
    <row r="1352" spans="1:12">
      <c r="A1352" s="8">
        <v>44650.164629629631</v>
      </c>
      <c r="B1352">
        <v>281625214</v>
      </c>
      <c r="C1352" t="s">
        <v>532</v>
      </c>
      <c r="D1352" t="s">
        <v>9</v>
      </c>
      <c r="E1352" s="9">
        <v>3200</v>
      </c>
      <c r="F1352" s="9">
        <v>3200</v>
      </c>
      <c r="G1352" s="9">
        <v>2240</v>
      </c>
      <c r="I1352" t="s">
        <v>14</v>
      </c>
      <c r="J1352" t="s">
        <v>11</v>
      </c>
      <c r="K1352" t="s">
        <v>11</v>
      </c>
      <c r="L1352" t="str">
        <f>T("9791137601178")</f>
        <v>9791137601178</v>
      </c>
    </row>
    <row r="1353" spans="1:12">
      <c r="A1353" s="8">
        <v>44650.388171296298</v>
      </c>
      <c r="B1353">
        <v>290197934</v>
      </c>
      <c r="C1353" t="s">
        <v>604</v>
      </c>
      <c r="D1353" t="s">
        <v>9</v>
      </c>
      <c r="E1353" s="9">
        <v>2000</v>
      </c>
      <c r="F1353" s="9">
        <v>2000</v>
      </c>
      <c r="G1353" s="9">
        <v>1400</v>
      </c>
      <c r="I1353" t="s">
        <v>605</v>
      </c>
      <c r="J1353" t="s">
        <v>460</v>
      </c>
      <c r="K1353" t="s">
        <v>11</v>
      </c>
      <c r="L1353" t="str">
        <f>T("9791191562163")</f>
        <v>9791191562163</v>
      </c>
    </row>
    <row r="1354" spans="1:12">
      <c r="A1354" s="8">
        <v>44650.388171296298</v>
      </c>
      <c r="B1354">
        <v>291088925</v>
      </c>
      <c r="C1354" t="s">
        <v>693</v>
      </c>
      <c r="D1354" t="s">
        <v>9</v>
      </c>
      <c r="E1354" s="9">
        <v>2000</v>
      </c>
      <c r="F1354" s="9">
        <v>2000</v>
      </c>
      <c r="G1354" s="9">
        <v>1400</v>
      </c>
      <c r="I1354" t="s">
        <v>694</v>
      </c>
      <c r="J1354" t="s">
        <v>460</v>
      </c>
      <c r="K1354" t="s">
        <v>11</v>
      </c>
      <c r="L1354" t="str">
        <f>T("9791191562187")</f>
        <v>9791191562187</v>
      </c>
    </row>
    <row r="1355" spans="1:12">
      <c r="A1355" s="8">
        <v>44650.388414351852</v>
      </c>
      <c r="B1355">
        <v>291681711</v>
      </c>
      <c r="C1355" t="s">
        <v>742</v>
      </c>
      <c r="D1355" t="s">
        <v>9</v>
      </c>
      <c r="E1355" s="9">
        <v>2500</v>
      </c>
      <c r="F1355" s="9">
        <v>2500</v>
      </c>
      <c r="G1355" s="9">
        <v>1750</v>
      </c>
      <c r="I1355" t="s">
        <v>743</v>
      </c>
      <c r="J1355" t="s">
        <v>617</v>
      </c>
      <c r="K1355" t="s">
        <v>11</v>
      </c>
      <c r="L1355" t="str">
        <f>T("9791166483042")</f>
        <v>9791166483042</v>
      </c>
    </row>
    <row r="1356" spans="1:12">
      <c r="A1356" s="8">
        <v>44650.396655092591</v>
      </c>
      <c r="B1356">
        <v>291088925</v>
      </c>
      <c r="C1356" t="s">
        <v>693</v>
      </c>
      <c r="D1356" t="s">
        <v>9</v>
      </c>
      <c r="E1356" s="9">
        <v>2000</v>
      </c>
      <c r="F1356" s="9">
        <v>2000</v>
      </c>
      <c r="G1356" s="9">
        <v>1400</v>
      </c>
      <c r="I1356" t="s">
        <v>694</v>
      </c>
      <c r="J1356" t="s">
        <v>460</v>
      </c>
      <c r="K1356" t="s">
        <v>11</v>
      </c>
      <c r="L1356" t="str">
        <f>T("9791191562187")</f>
        <v>9791191562187</v>
      </c>
    </row>
    <row r="1357" spans="1:12">
      <c r="A1357" s="8">
        <v>44650.478148148148</v>
      </c>
      <c r="B1357">
        <v>257828600</v>
      </c>
      <c r="C1357" t="s">
        <v>278</v>
      </c>
      <c r="D1357" t="s">
        <v>9</v>
      </c>
      <c r="E1357" s="9">
        <v>51200</v>
      </c>
      <c r="F1357" s="9">
        <v>51200</v>
      </c>
      <c r="G1357" s="9">
        <v>35840</v>
      </c>
      <c r="I1357" t="s">
        <v>10</v>
      </c>
      <c r="J1357" t="s">
        <v>11</v>
      </c>
      <c r="K1357" t="s">
        <v>11</v>
      </c>
      <c r="L1357" t="str">
        <f>T("9791166068737")</f>
        <v>9791166068737</v>
      </c>
    </row>
    <row r="1358" spans="1:12">
      <c r="A1358" s="8">
        <v>44650.478148148148</v>
      </c>
      <c r="B1358">
        <v>112604334</v>
      </c>
      <c r="C1358" t="s">
        <v>744</v>
      </c>
      <c r="D1358" t="s">
        <v>9</v>
      </c>
      <c r="E1358" s="9">
        <v>44800</v>
      </c>
      <c r="F1358" s="9">
        <v>44800</v>
      </c>
      <c r="G1358" s="9">
        <v>31360</v>
      </c>
      <c r="I1358" t="s">
        <v>10</v>
      </c>
      <c r="J1358" t="s">
        <v>11</v>
      </c>
      <c r="K1358" t="s">
        <v>11</v>
      </c>
      <c r="L1358" t="str">
        <f>T("")</f>
        <v/>
      </c>
    </row>
    <row r="1359" spans="1:12">
      <c r="A1359" s="8">
        <v>44650.486886574072</v>
      </c>
      <c r="B1359">
        <v>291801915</v>
      </c>
      <c r="C1359" t="s">
        <v>745</v>
      </c>
      <c r="D1359" t="s">
        <v>9</v>
      </c>
      <c r="E1359" s="9">
        <v>2000</v>
      </c>
      <c r="F1359" s="9">
        <v>2000</v>
      </c>
      <c r="G1359" s="9">
        <v>1400</v>
      </c>
      <c r="I1359" t="s">
        <v>746</v>
      </c>
      <c r="J1359" t="s">
        <v>460</v>
      </c>
      <c r="K1359" t="s">
        <v>11</v>
      </c>
      <c r="L1359" t="str">
        <f>T("9791191562200")</f>
        <v>9791191562200</v>
      </c>
    </row>
    <row r="1360" spans="1:12">
      <c r="A1360" s="8">
        <v>44650.503819444442</v>
      </c>
      <c r="B1360">
        <v>290197934</v>
      </c>
      <c r="C1360" t="s">
        <v>604</v>
      </c>
      <c r="D1360" t="s">
        <v>9</v>
      </c>
      <c r="E1360" s="9">
        <v>2000</v>
      </c>
      <c r="F1360" s="9">
        <v>2000</v>
      </c>
      <c r="G1360" s="9">
        <v>1400</v>
      </c>
      <c r="I1360" t="s">
        <v>605</v>
      </c>
      <c r="J1360" t="s">
        <v>460</v>
      </c>
      <c r="K1360" t="s">
        <v>11</v>
      </c>
      <c r="L1360" t="str">
        <f>T("9791191562163")</f>
        <v>9791191562163</v>
      </c>
    </row>
    <row r="1361" spans="1:12">
      <c r="A1361" s="8">
        <v>44650.54451388889</v>
      </c>
      <c r="B1361">
        <v>290197934</v>
      </c>
      <c r="C1361" t="s">
        <v>604</v>
      </c>
      <c r="D1361" t="s">
        <v>9</v>
      </c>
      <c r="E1361" s="9">
        <v>2000</v>
      </c>
      <c r="F1361" s="9">
        <v>2000</v>
      </c>
      <c r="G1361" s="9">
        <v>1400</v>
      </c>
      <c r="I1361" t="s">
        <v>605</v>
      </c>
      <c r="J1361" t="s">
        <v>460</v>
      </c>
      <c r="K1361" t="s">
        <v>11</v>
      </c>
      <c r="L1361" t="str">
        <f>T("9791191562163")</f>
        <v>9791191562163</v>
      </c>
    </row>
    <row r="1362" spans="1:12">
      <c r="A1362" s="8">
        <v>44650.55096064815</v>
      </c>
      <c r="B1362">
        <v>291805580</v>
      </c>
      <c r="C1362" t="s">
        <v>747</v>
      </c>
      <c r="D1362" t="s">
        <v>9</v>
      </c>
      <c r="E1362" s="9">
        <v>2000</v>
      </c>
      <c r="F1362" s="9">
        <v>2000</v>
      </c>
      <c r="G1362" s="9">
        <v>1400</v>
      </c>
      <c r="I1362" t="s">
        <v>748</v>
      </c>
      <c r="J1362" t="s">
        <v>460</v>
      </c>
      <c r="K1362" t="s">
        <v>11</v>
      </c>
      <c r="L1362" t="str">
        <f>T("9791191562255")</f>
        <v>9791191562255</v>
      </c>
    </row>
    <row r="1363" spans="1:12">
      <c r="A1363" s="8">
        <v>44650.561898148146</v>
      </c>
      <c r="B1363">
        <v>48799591</v>
      </c>
      <c r="C1363" t="s">
        <v>26</v>
      </c>
      <c r="D1363" t="s">
        <v>9</v>
      </c>
      <c r="E1363" s="9">
        <v>3200</v>
      </c>
      <c r="F1363" s="9">
        <v>3200</v>
      </c>
      <c r="G1363" s="9">
        <v>2240</v>
      </c>
      <c r="I1363" t="s">
        <v>10</v>
      </c>
      <c r="J1363" t="s">
        <v>11</v>
      </c>
      <c r="K1363" t="s">
        <v>11</v>
      </c>
      <c r="L1363" t="str">
        <f>T("9791159283871")</f>
        <v>9791159283871</v>
      </c>
    </row>
    <row r="1364" spans="1:12">
      <c r="A1364" s="8">
        <v>44650.583923611113</v>
      </c>
      <c r="B1364">
        <v>286896672</v>
      </c>
      <c r="C1364" t="s">
        <v>248</v>
      </c>
      <c r="D1364" t="s">
        <v>9</v>
      </c>
      <c r="E1364" s="9">
        <v>2500</v>
      </c>
      <c r="F1364" s="9">
        <v>2500</v>
      </c>
      <c r="G1364" s="9">
        <v>1750</v>
      </c>
      <c r="I1364" t="s">
        <v>158</v>
      </c>
      <c r="J1364" t="s">
        <v>460</v>
      </c>
      <c r="K1364" t="s">
        <v>11</v>
      </c>
      <c r="L1364" t="str">
        <f>T("9791191562002")</f>
        <v>9791191562002</v>
      </c>
    </row>
    <row r="1365" spans="1:12">
      <c r="A1365" s="8">
        <v>44650.593101851853</v>
      </c>
      <c r="B1365">
        <v>291088925</v>
      </c>
      <c r="C1365" t="s">
        <v>693</v>
      </c>
      <c r="D1365" t="s">
        <v>9</v>
      </c>
      <c r="E1365" s="9">
        <v>2000</v>
      </c>
      <c r="F1365" s="9">
        <v>2000</v>
      </c>
      <c r="G1365" s="9">
        <v>1400</v>
      </c>
      <c r="I1365" t="s">
        <v>694</v>
      </c>
      <c r="J1365" t="s">
        <v>460</v>
      </c>
      <c r="K1365" t="s">
        <v>11</v>
      </c>
      <c r="L1365" t="str">
        <f>T("9791191562187")</f>
        <v>9791191562187</v>
      </c>
    </row>
    <row r="1366" spans="1:12">
      <c r="A1366" s="8">
        <v>44650.599618055552</v>
      </c>
      <c r="B1366">
        <v>291088925</v>
      </c>
      <c r="C1366" t="s">
        <v>693</v>
      </c>
      <c r="D1366" t="s">
        <v>9</v>
      </c>
      <c r="E1366" s="9">
        <v>2000</v>
      </c>
      <c r="F1366" s="9">
        <v>2000</v>
      </c>
      <c r="G1366" s="9">
        <v>1400</v>
      </c>
      <c r="I1366" t="s">
        <v>694</v>
      </c>
      <c r="J1366" t="s">
        <v>460</v>
      </c>
      <c r="K1366" t="s">
        <v>11</v>
      </c>
      <c r="L1366" t="str">
        <f>T("9791191562187")</f>
        <v>9791191562187</v>
      </c>
    </row>
    <row r="1367" spans="1:12">
      <c r="A1367" s="8">
        <v>44650.687754629631</v>
      </c>
      <c r="B1367">
        <v>289315562</v>
      </c>
      <c r="C1367" t="s">
        <v>478</v>
      </c>
      <c r="D1367" t="s">
        <v>9</v>
      </c>
      <c r="E1367" s="9">
        <v>3000</v>
      </c>
      <c r="F1367" s="9">
        <v>3000</v>
      </c>
      <c r="G1367" s="9">
        <v>2100</v>
      </c>
      <c r="I1367" t="s">
        <v>454</v>
      </c>
      <c r="J1367" t="s">
        <v>460</v>
      </c>
      <c r="K1367" t="s">
        <v>11</v>
      </c>
      <c r="L1367" t="str">
        <f>T("9791191562101")</f>
        <v>9791191562101</v>
      </c>
    </row>
    <row r="1368" spans="1:12">
      <c r="A1368" s="8">
        <v>44650.714861111112</v>
      </c>
      <c r="B1368">
        <v>291088925</v>
      </c>
      <c r="C1368" t="s">
        <v>693</v>
      </c>
      <c r="D1368" t="s">
        <v>9</v>
      </c>
      <c r="E1368" s="9">
        <v>2000</v>
      </c>
      <c r="F1368" s="9">
        <v>2000</v>
      </c>
      <c r="G1368" s="9">
        <v>1400</v>
      </c>
      <c r="I1368" t="s">
        <v>694</v>
      </c>
      <c r="J1368" t="s">
        <v>460</v>
      </c>
      <c r="K1368" t="s">
        <v>11</v>
      </c>
      <c r="L1368" t="str">
        <f>T("9791191562187")</f>
        <v>9791191562187</v>
      </c>
    </row>
    <row r="1369" spans="1:12">
      <c r="A1369" s="8">
        <v>44650.766145833331</v>
      </c>
      <c r="B1369">
        <v>291088925</v>
      </c>
      <c r="C1369" t="s">
        <v>693</v>
      </c>
      <c r="D1369" t="s">
        <v>9</v>
      </c>
      <c r="E1369" s="9">
        <v>2000</v>
      </c>
      <c r="F1369" s="9">
        <v>2000</v>
      </c>
      <c r="G1369" s="9">
        <v>1400</v>
      </c>
      <c r="I1369" t="s">
        <v>694</v>
      </c>
      <c r="J1369" t="s">
        <v>460</v>
      </c>
      <c r="K1369" t="s">
        <v>11</v>
      </c>
      <c r="L1369" t="str">
        <f>T("9791191562187")</f>
        <v>9791191562187</v>
      </c>
    </row>
    <row r="1370" spans="1:12">
      <c r="A1370" s="8">
        <v>44650.766145833331</v>
      </c>
      <c r="B1370">
        <v>290197934</v>
      </c>
      <c r="C1370" t="s">
        <v>604</v>
      </c>
      <c r="D1370" t="s">
        <v>9</v>
      </c>
      <c r="E1370" s="9">
        <v>2000</v>
      </c>
      <c r="F1370" s="9">
        <v>2000</v>
      </c>
      <c r="G1370" s="9">
        <v>1400</v>
      </c>
      <c r="I1370" t="s">
        <v>605</v>
      </c>
      <c r="J1370" t="s">
        <v>460</v>
      </c>
      <c r="K1370" t="s">
        <v>11</v>
      </c>
      <c r="L1370" t="str">
        <f>T("9791191562163")</f>
        <v>9791191562163</v>
      </c>
    </row>
    <row r="1371" spans="1:12">
      <c r="A1371" s="8">
        <v>44650.823680555557</v>
      </c>
      <c r="B1371">
        <v>287086652</v>
      </c>
      <c r="C1371" t="s">
        <v>220</v>
      </c>
      <c r="D1371" t="s">
        <v>9</v>
      </c>
      <c r="E1371" s="9">
        <v>2000</v>
      </c>
      <c r="F1371" s="9">
        <v>2000</v>
      </c>
      <c r="G1371" s="9">
        <v>1400</v>
      </c>
      <c r="I1371" t="s">
        <v>162</v>
      </c>
      <c r="J1371" t="s">
        <v>460</v>
      </c>
      <c r="K1371" t="s">
        <v>11</v>
      </c>
      <c r="L1371" t="str">
        <f>T("9791191562033")</f>
        <v>9791191562033</v>
      </c>
    </row>
    <row r="1372" spans="1:12">
      <c r="A1372" s="8">
        <v>44650.843171296299</v>
      </c>
      <c r="B1372">
        <v>291805580</v>
      </c>
      <c r="C1372" t="s">
        <v>747</v>
      </c>
      <c r="D1372" t="s">
        <v>9</v>
      </c>
      <c r="E1372" s="9">
        <v>2000</v>
      </c>
      <c r="F1372" s="9">
        <v>2000</v>
      </c>
      <c r="G1372" s="9">
        <v>1400</v>
      </c>
      <c r="I1372" t="s">
        <v>748</v>
      </c>
      <c r="J1372" t="s">
        <v>460</v>
      </c>
      <c r="K1372" t="s">
        <v>11</v>
      </c>
      <c r="L1372" t="str">
        <f>T("9791191562255")</f>
        <v>9791191562255</v>
      </c>
    </row>
    <row r="1373" spans="1:12">
      <c r="A1373" s="8">
        <v>44650.883113425924</v>
      </c>
      <c r="B1373">
        <v>290963607</v>
      </c>
      <c r="C1373" t="s">
        <v>681</v>
      </c>
      <c r="D1373" t="s">
        <v>9</v>
      </c>
      <c r="E1373" s="9">
        <v>3500</v>
      </c>
      <c r="F1373" s="9">
        <v>3500</v>
      </c>
      <c r="G1373" s="9">
        <v>2450</v>
      </c>
      <c r="I1373" t="s">
        <v>682</v>
      </c>
      <c r="J1373" t="s">
        <v>460</v>
      </c>
      <c r="K1373" t="s">
        <v>11</v>
      </c>
      <c r="L1373" t="str">
        <f>T("9791191562132")</f>
        <v>9791191562132</v>
      </c>
    </row>
    <row r="1374" spans="1:12">
      <c r="A1374" s="8">
        <v>44650.88890046296</v>
      </c>
      <c r="B1374">
        <v>291088925</v>
      </c>
      <c r="C1374" t="s">
        <v>693</v>
      </c>
      <c r="D1374" t="s">
        <v>9</v>
      </c>
      <c r="E1374" s="9">
        <v>2000</v>
      </c>
      <c r="F1374" s="9">
        <v>2000</v>
      </c>
      <c r="G1374" s="9">
        <v>1400</v>
      </c>
      <c r="I1374" t="s">
        <v>694</v>
      </c>
      <c r="J1374" t="s">
        <v>460</v>
      </c>
      <c r="K1374" t="s">
        <v>11</v>
      </c>
      <c r="L1374" t="str">
        <f>T("9791191562187")</f>
        <v>9791191562187</v>
      </c>
    </row>
    <row r="1375" spans="1:12">
      <c r="A1375" s="8">
        <v>44650.896921296298</v>
      </c>
      <c r="B1375">
        <v>287834730</v>
      </c>
      <c r="C1375" t="s">
        <v>275</v>
      </c>
      <c r="D1375" t="s">
        <v>9</v>
      </c>
      <c r="E1375" s="9">
        <v>2000</v>
      </c>
      <c r="F1375" s="9">
        <v>2000</v>
      </c>
      <c r="G1375" s="9">
        <v>1400</v>
      </c>
      <c r="I1375" t="s">
        <v>169</v>
      </c>
      <c r="J1375" t="s">
        <v>460</v>
      </c>
      <c r="K1375" t="s">
        <v>11</v>
      </c>
      <c r="L1375" t="str">
        <f>T("9791191562019")</f>
        <v>9791191562019</v>
      </c>
    </row>
    <row r="1376" spans="1:12">
      <c r="A1376" s="8">
        <v>44650.903240740743</v>
      </c>
      <c r="B1376">
        <v>290197934</v>
      </c>
      <c r="C1376" t="s">
        <v>604</v>
      </c>
      <c r="D1376" t="s">
        <v>9</v>
      </c>
      <c r="E1376" s="9">
        <v>2000</v>
      </c>
      <c r="F1376" s="9">
        <v>2000</v>
      </c>
      <c r="G1376" s="9">
        <v>1400</v>
      </c>
      <c r="I1376" t="s">
        <v>605</v>
      </c>
      <c r="J1376" t="s">
        <v>460</v>
      </c>
      <c r="K1376" t="s">
        <v>11</v>
      </c>
      <c r="L1376" t="str">
        <f>T("9791191562163")</f>
        <v>9791191562163</v>
      </c>
    </row>
    <row r="1377" spans="1:12">
      <c r="A1377" s="8">
        <v>44650.91443287037</v>
      </c>
      <c r="B1377">
        <v>291805580</v>
      </c>
      <c r="C1377" t="s">
        <v>747</v>
      </c>
      <c r="D1377" t="s">
        <v>9</v>
      </c>
      <c r="E1377" s="9">
        <v>2000</v>
      </c>
      <c r="F1377" s="9">
        <v>2000</v>
      </c>
      <c r="G1377" s="9">
        <v>1400</v>
      </c>
      <c r="I1377" t="s">
        <v>748</v>
      </c>
      <c r="J1377" t="s">
        <v>460</v>
      </c>
      <c r="K1377" t="s">
        <v>11</v>
      </c>
      <c r="L1377" t="str">
        <f>T("9791191562255")</f>
        <v>9791191562255</v>
      </c>
    </row>
    <row r="1378" spans="1:12">
      <c r="A1378" s="8">
        <v>44650.9372337963</v>
      </c>
      <c r="B1378">
        <v>291088925</v>
      </c>
      <c r="C1378" t="s">
        <v>693</v>
      </c>
      <c r="D1378" t="s">
        <v>9</v>
      </c>
      <c r="E1378" s="9">
        <v>2000</v>
      </c>
      <c r="F1378" s="9">
        <v>2000</v>
      </c>
      <c r="G1378" s="9">
        <v>1400</v>
      </c>
      <c r="I1378" t="s">
        <v>694</v>
      </c>
      <c r="J1378" t="s">
        <v>460</v>
      </c>
      <c r="K1378" t="s">
        <v>11</v>
      </c>
      <c r="L1378" t="str">
        <f>T("9791191562187")</f>
        <v>9791191562187</v>
      </c>
    </row>
    <row r="1379" spans="1:12">
      <c r="A1379" s="8">
        <v>44650.937881944446</v>
      </c>
      <c r="B1379">
        <v>290197934</v>
      </c>
      <c r="C1379" t="s">
        <v>604</v>
      </c>
      <c r="D1379" t="s">
        <v>9</v>
      </c>
      <c r="E1379" s="9">
        <v>2000</v>
      </c>
      <c r="F1379" s="9">
        <v>2000</v>
      </c>
      <c r="G1379" s="9">
        <v>1400</v>
      </c>
      <c r="I1379" t="s">
        <v>605</v>
      </c>
      <c r="J1379" t="s">
        <v>460</v>
      </c>
      <c r="K1379" t="s">
        <v>11</v>
      </c>
      <c r="L1379" t="str">
        <f>T("9791191562163")</f>
        <v>9791191562163</v>
      </c>
    </row>
    <row r="1380" spans="1:12">
      <c r="A1380" s="8">
        <v>44650.947083333333</v>
      </c>
      <c r="B1380">
        <v>291088925</v>
      </c>
      <c r="C1380" t="s">
        <v>693</v>
      </c>
      <c r="D1380" t="s">
        <v>9</v>
      </c>
      <c r="E1380" s="9">
        <v>2000</v>
      </c>
      <c r="F1380" s="9">
        <v>2000</v>
      </c>
      <c r="G1380" s="9">
        <v>1400</v>
      </c>
      <c r="I1380" t="s">
        <v>694</v>
      </c>
      <c r="J1380" t="s">
        <v>460</v>
      </c>
      <c r="K1380" t="s">
        <v>11</v>
      </c>
      <c r="L1380" t="str">
        <f>T("9791191562187")</f>
        <v>9791191562187</v>
      </c>
    </row>
    <row r="1381" spans="1:12">
      <c r="A1381" s="8">
        <v>44650.95585648148</v>
      </c>
      <c r="B1381">
        <v>291681711</v>
      </c>
      <c r="C1381" t="s">
        <v>742</v>
      </c>
      <c r="D1381" t="s">
        <v>9</v>
      </c>
      <c r="E1381" s="9">
        <v>2500</v>
      </c>
      <c r="F1381" s="9">
        <v>2500</v>
      </c>
      <c r="G1381" s="9">
        <v>1750</v>
      </c>
      <c r="I1381" t="s">
        <v>743</v>
      </c>
      <c r="J1381" t="s">
        <v>617</v>
      </c>
      <c r="K1381" t="s">
        <v>11</v>
      </c>
      <c r="L1381" t="str">
        <f>T("9791166483042")</f>
        <v>9791166483042</v>
      </c>
    </row>
    <row r="1382" spans="1:12">
      <c r="A1382" s="8">
        <v>44650.982488425929</v>
      </c>
      <c r="B1382">
        <v>291088925</v>
      </c>
      <c r="C1382" t="s">
        <v>693</v>
      </c>
      <c r="D1382" t="s">
        <v>9</v>
      </c>
      <c r="E1382" s="9">
        <v>2000</v>
      </c>
      <c r="F1382" s="9">
        <v>2000</v>
      </c>
      <c r="G1382" s="9">
        <v>1400</v>
      </c>
      <c r="I1382" t="s">
        <v>694</v>
      </c>
      <c r="J1382" t="s">
        <v>460</v>
      </c>
      <c r="K1382" t="s">
        <v>11</v>
      </c>
      <c r="L1382" t="str">
        <f>T("9791191562187")</f>
        <v>9791191562187</v>
      </c>
    </row>
    <row r="1383" spans="1:12">
      <c r="A1383" s="8">
        <v>44650.984467592592</v>
      </c>
      <c r="B1383">
        <v>291088925</v>
      </c>
      <c r="C1383" t="s">
        <v>693</v>
      </c>
      <c r="D1383" t="s">
        <v>9</v>
      </c>
      <c r="E1383" s="9">
        <v>2000</v>
      </c>
      <c r="F1383" s="9">
        <v>2000</v>
      </c>
      <c r="G1383" s="9">
        <v>1400</v>
      </c>
      <c r="I1383" t="s">
        <v>694</v>
      </c>
      <c r="J1383" t="s">
        <v>460</v>
      </c>
      <c r="K1383" t="s">
        <v>11</v>
      </c>
      <c r="L1383" t="str">
        <f>T("9791191562187")</f>
        <v>9791191562187</v>
      </c>
    </row>
    <row r="1384" spans="1:12">
      <c r="A1384" s="8">
        <v>44650.984467592592</v>
      </c>
      <c r="B1384">
        <v>290197934</v>
      </c>
      <c r="C1384" t="s">
        <v>604</v>
      </c>
      <c r="D1384" t="s">
        <v>9</v>
      </c>
      <c r="E1384" s="9">
        <v>2000</v>
      </c>
      <c r="F1384" s="9">
        <v>2000</v>
      </c>
      <c r="G1384" s="9">
        <v>1400</v>
      </c>
      <c r="I1384" t="s">
        <v>605</v>
      </c>
      <c r="J1384" t="s">
        <v>460</v>
      </c>
      <c r="K1384" t="s">
        <v>11</v>
      </c>
      <c r="L1384" t="str">
        <f>T("9791191562163")</f>
        <v>9791191562163</v>
      </c>
    </row>
    <row r="1385" spans="1:12">
      <c r="A1385" s="8">
        <v>44651.004074074073</v>
      </c>
      <c r="B1385">
        <v>291088925</v>
      </c>
      <c r="C1385" t="s">
        <v>693</v>
      </c>
      <c r="D1385" t="s">
        <v>9</v>
      </c>
      <c r="E1385" s="9">
        <v>2000</v>
      </c>
      <c r="F1385" s="9">
        <v>2000</v>
      </c>
      <c r="G1385" s="9">
        <v>1400</v>
      </c>
      <c r="I1385" t="s">
        <v>694</v>
      </c>
      <c r="J1385" t="s">
        <v>460</v>
      </c>
      <c r="K1385" t="s">
        <v>11</v>
      </c>
      <c r="L1385" t="str">
        <f>T("9791191562187")</f>
        <v>9791191562187</v>
      </c>
    </row>
    <row r="1386" spans="1:12">
      <c r="A1386" s="8">
        <v>44651.005706018521</v>
      </c>
      <c r="B1386">
        <v>291088925</v>
      </c>
      <c r="C1386" t="s">
        <v>693</v>
      </c>
      <c r="D1386" t="s">
        <v>9</v>
      </c>
      <c r="E1386" s="9">
        <v>2000</v>
      </c>
      <c r="F1386" s="9">
        <v>2000</v>
      </c>
      <c r="G1386" s="9">
        <v>1400</v>
      </c>
      <c r="I1386" t="s">
        <v>694</v>
      </c>
      <c r="J1386" t="s">
        <v>460</v>
      </c>
      <c r="K1386" t="s">
        <v>11</v>
      </c>
      <c r="L1386" t="str">
        <f>T("9791191562187")</f>
        <v>9791191562187</v>
      </c>
    </row>
    <row r="1387" spans="1:12">
      <c r="A1387" s="8">
        <v>44651.006863425922</v>
      </c>
      <c r="B1387">
        <v>287834730</v>
      </c>
      <c r="C1387" t="s">
        <v>275</v>
      </c>
      <c r="D1387" t="s">
        <v>9</v>
      </c>
      <c r="E1387" s="9">
        <v>2000</v>
      </c>
      <c r="F1387" s="9">
        <v>2000</v>
      </c>
      <c r="G1387" s="9">
        <v>1400</v>
      </c>
      <c r="I1387" t="s">
        <v>169</v>
      </c>
      <c r="J1387" t="s">
        <v>460</v>
      </c>
      <c r="K1387" t="s">
        <v>11</v>
      </c>
      <c r="L1387" t="str">
        <f>T("9791191562019")</f>
        <v>9791191562019</v>
      </c>
    </row>
    <row r="1388" spans="1:12">
      <c r="A1388" s="8">
        <v>44651.011041666665</v>
      </c>
      <c r="B1388">
        <v>290197934</v>
      </c>
      <c r="C1388" t="s">
        <v>604</v>
      </c>
      <c r="D1388" t="s">
        <v>9</v>
      </c>
      <c r="E1388" s="9">
        <v>2000</v>
      </c>
      <c r="F1388" s="9">
        <v>2000</v>
      </c>
      <c r="G1388" s="9">
        <v>1400</v>
      </c>
      <c r="I1388" t="s">
        <v>605</v>
      </c>
      <c r="J1388" t="s">
        <v>460</v>
      </c>
      <c r="K1388" t="s">
        <v>11</v>
      </c>
      <c r="L1388" t="str">
        <f>T("9791191562163")</f>
        <v>9791191562163</v>
      </c>
    </row>
    <row r="1389" spans="1:12">
      <c r="A1389" s="8">
        <v>44651.01189814815</v>
      </c>
      <c r="B1389">
        <v>291801915</v>
      </c>
      <c r="C1389" t="s">
        <v>745</v>
      </c>
      <c r="D1389" t="s">
        <v>9</v>
      </c>
      <c r="E1389" s="9">
        <v>2000</v>
      </c>
      <c r="F1389" s="9">
        <v>2000</v>
      </c>
      <c r="G1389" s="9">
        <v>1400</v>
      </c>
      <c r="I1389" t="s">
        <v>746</v>
      </c>
      <c r="J1389" t="s">
        <v>460</v>
      </c>
      <c r="K1389" t="s">
        <v>11</v>
      </c>
      <c r="L1389" t="str">
        <f>T("9791191562200")</f>
        <v>9791191562200</v>
      </c>
    </row>
    <row r="1390" spans="1:12">
      <c r="A1390" s="8">
        <v>44651.037418981483</v>
      </c>
      <c r="B1390">
        <v>289315562</v>
      </c>
      <c r="C1390" t="s">
        <v>478</v>
      </c>
      <c r="D1390" t="s">
        <v>9</v>
      </c>
      <c r="E1390" s="9">
        <v>3000</v>
      </c>
      <c r="F1390" s="9">
        <v>3000</v>
      </c>
      <c r="G1390" s="9">
        <v>2100</v>
      </c>
      <c r="I1390" t="s">
        <v>454</v>
      </c>
      <c r="J1390" t="s">
        <v>460</v>
      </c>
      <c r="K1390" t="s">
        <v>11</v>
      </c>
      <c r="L1390" t="str">
        <f>T("9791191562101")</f>
        <v>9791191562101</v>
      </c>
    </row>
    <row r="1391" spans="1:12">
      <c r="A1391" s="8">
        <v>44651.046064814815</v>
      </c>
      <c r="B1391">
        <v>291088925</v>
      </c>
      <c r="C1391" t="s">
        <v>693</v>
      </c>
      <c r="D1391" t="s">
        <v>9</v>
      </c>
      <c r="E1391" s="9">
        <v>2000</v>
      </c>
      <c r="F1391" s="9">
        <v>2000</v>
      </c>
      <c r="G1391" s="9">
        <v>1400</v>
      </c>
      <c r="I1391" t="s">
        <v>694</v>
      </c>
      <c r="J1391" t="s">
        <v>460</v>
      </c>
      <c r="K1391" t="s">
        <v>11</v>
      </c>
      <c r="L1391" t="str">
        <f>T("9791191562187")</f>
        <v>9791191562187</v>
      </c>
    </row>
    <row r="1392" spans="1:12">
      <c r="A1392" s="8">
        <v>44651.049884259257</v>
      </c>
      <c r="B1392">
        <v>291088925</v>
      </c>
      <c r="C1392" t="s">
        <v>693</v>
      </c>
      <c r="D1392" t="s">
        <v>9</v>
      </c>
      <c r="E1392" s="9">
        <v>2000</v>
      </c>
      <c r="F1392" s="9">
        <v>2000</v>
      </c>
      <c r="G1392" s="9">
        <v>1400</v>
      </c>
      <c r="I1392" t="s">
        <v>694</v>
      </c>
      <c r="J1392" t="s">
        <v>460</v>
      </c>
      <c r="K1392" t="s">
        <v>11</v>
      </c>
      <c r="L1392" t="str">
        <f>T("9791191562187")</f>
        <v>9791191562187</v>
      </c>
    </row>
    <row r="1393" spans="1:12">
      <c r="A1393" s="8">
        <v>44651.071886574071</v>
      </c>
      <c r="B1393">
        <v>291088925</v>
      </c>
      <c r="C1393" t="s">
        <v>693</v>
      </c>
      <c r="D1393" t="s">
        <v>9</v>
      </c>
      <c r="E1393" s="9">
        <v>2000</v>
      </c>
      <c r="F1393" s="9">
        <v>2000</v>
      </c>
      <c r="G1393" s="9">
        <v>1400</v>
      </c>
      <c r="I1393" t="s">
        <v>694</v>
      </c>
      <c r="J1393" t="s">
        <v>460</v>
      </c>
      <c r="K1393" t="s">
        <v>11</v>
      </c>
      <c r="L1393" t="str">
        <f>T("9791191562187")</f>
        <v>9791191562187</v>
      </c>
    </row>
    <row r="1394" spans="1:12">
      <c r="A1394" s="8">
        <v>44651.110717592594</v>
      </c>
      <c r="B1394">
        <v>291088925</v>
      </c>
      <c r="C1394" t="s">
        <v>693</v>
      </c>
      <c r="D1394" t="s">
        <v>9</v>
      </c>
      <c r="E1394" s="9">
        <v>2000</v>
      </c>
      <c r="F1394" s="9">
        <v>2000</v>
      </c>
      <c r="G1394" s="9">
        <v>1400</v>
      </c>
      <c r="I1394" t="s">
        <v>694</v>
      </c>
      <c r="J1394" t="s">
        <v>460</v>
      </c>
      <c r="K1394" t="s">
        <v>11</v>
      </c>
      <c r="L1394" t="str">
        <f>T("9791191562187")</f>
        <v>9791191562187</v>
      </c>
    </row>
    <row r="1395" spans="1:12">
      <c r="A1395" s="8">
        <v>44651.125034722223</v>
      </c>
      <c r="B1395">
        <v>291088925</v>
      </c>
      <c r="C1395" t="s">
        <v>693</v>
      </c>
      <c r="D1395" t="s">
        <v>9</v>
      </c>
      <c r="E1395" s="9">
        <v>2000</v>
      </c>
      <c r="F1395" s="9">
        <v>2000</v>
      </c>
      <c r="G1395" s="9">
        <v>1400</v>
      </c>
      <c r="I1395" t="s">
        <v>694</v>
      </c>
      <c r="J1395" t="s">
        <v>460</v>
      </c>
      <c r="K1395" t="s">
        <v>11</v>
      </c>
      <c r="L1395" t="str">
        <f>T("9791191562187")</f>
        <v>9791191562187</v>
      </c>
    </row>
    <row r="1396" spans="1:12">
      <c r="A1396" s="8">
        <v>44651.17800925926</v>
      </c>
      <c r="B1396">
        <v>291519446</v>
      </c>
      <c r="C1396" t="s">
        <v>732</v>
      </c>
      <c r="D1396" t="s">
        <v>9</v>
      </c>
      <c r="E1396" s="9">
        <v>2500</v>
      </c>
      <c r="F1396" s="9">
        <v>2500</v>
      </c>
      <c r="G1396" s="9">
        <v>1750</v>
      </c>
      <c r="I1396" t="s">
        <v>733</v>
      </c>
      <c r="J1396" t="s">
        <v>460</v>
      </c>
      <c r="K1396" t="s">
        <v>11</v>
      </c>
      <c r="L1396" t="str">
        <f>T("9791191562156")</f>
        <v>9791191562156</v>
      </c>
    </row>
    <row r="1397" spans="1:12">
      <c r="A1397" s="8">
        <v>44651.216168981482</v>
      </c>
      <c r="B1397">
        <v>290197934</v>
      </c>
      <c r="C1397" t="s">
        <v>604</v>
      </c>
      <c r="D1397" t="s">
        <v>9</v>
      </c>
      <c r="E1397" s="9">
        <v>2000</v>
      </c>
      <c r="F1397" s="9">
        <v>2000</v>
      </c>
      <c r="G1397" s="9">
        <v>1400</v>
      </c>
      <c r="I1397" t="s">
        <v>605</v>
      </c>
      <c r="J1397" t="s">
        <v>460</v>
      </c>
      <c r="K1397" t="s">
        <v>11</v>
      </c>
      <c r="L1397" t="str">
        <f>T("9791191562163")</f>
        <v>9791191562163</v>
      </c>
    </row>
    <row r="1398" spans="1:12">
      <c r="A1398" s="8">
        <v>44651.259629629632</v>
      </c>
      <c r="B1398">
        <v>291088925</v>
      </c>
      <c r="C1398" t="s">
        <v>693</v>
      </c>
      <c r="D1398" t="s">
        <v>9</v>
      </c>
      <c r="E1398" s="9">
        <v>2000</v>
      </c>
      <c r="F1398" s="9">
        <v>2000</v>
      </c>
      <c r="G1398" s="9">
        <v>1400</v>
      </c>
      <c r="I1398" t="s">
        <v>694</v>
      </c>
      <c r="J1398" t="s">
        <v>460</v>
      </c>
      <c r="K1398" t="s">
        <v>11</v>
      </c>
      <c r="L1398" t="str">
        <f>T("9791191562187")</f>
        <v>9791191562187</v>
      </c>
    </row>
    <row r="1399" spans="1:12">
      <c r="A1399" s="8">
        <v>44651.286134259259</v>
      </c>
      <c r="B1399">
        <v>290827241</v>
      </c>
      <c r="C1399" t="s">
        <v>646</v>
      </c>
      <c r="D1399" t="s">
        <v>9</v>
      </c>
      <c r="E1399" s="9">
        <v>2000</v>
      </c>
      <c r="F1399" s="9">
        <v>2000</v>
      </c>
      <c r="G1399" s="9">
        <v>1400</v>
      </c>
      <c r="I1399" t="s">
        <v>647</v>
      </c>
      <c r="J1399" t="s">
        <v>460</v>
      </c>
      <c r="K1399" t="s">
        <v>11</v>
      </c>
      <c r="L1399" t="str">
        <f>T("9791191562149")</f>
        <v>9791191562149</v>
      </c>
    </row>
    <row r="1400" spans="1:12">
      <c r="A1400" s="8">
        <v>44651.312569444446</v>
      </c>
      <c r="B1400">
        <v>291681711</v>
      </c>
      <c r="C1400" t="s">
        <v>742</v>
      </c>
      <c r="D1400" t="s">
        <v>9</v>
      </c>
      <c r="E1400" s="9">
        <v>2500</v>
      </c>
      <c r="F1400" s="9">
        <v>2500</v>
      </c>
      <c r="G1400" s="9">
        <v>1750</v>
      </c>
      <c r="I1400" t="s">
        <v>743</v>
      </c>
      <c r="J1400" t="s">
        <v>617</v>
      </c>
      <c r="K1400" t="s">
        <v>11</v>
      </c>
      <c r="L1400" t="str">
        <f>T("9791166483042")</f>
        <v>9791166483042</v>
      </c>
    </row>
    <row r="1401" spans="1:12">
      <c r="A1401" s="8">
        <v>44651.314710648148</v>
      </c>
      <c r="B1401">
        <v>291088925</v>
      </c>
      <c r="C1401" t="s">
        <v>693</v>
      </c>
      <c r="D1401" t="s">
        <v>9</v>
      </c>
      <c r="E1401" s="9">
        <v>2000</v>
      </c>
      <c r="F1401" s="9">
        <v>2000</v>
      </c>
      <c r="G1401" s="9">
        <v>1400</v>
      </c>
      <c r="I1401" t="s">
        <v>694</v>
      </c>
      <c r="J1401" t="s">
        <v>460</v>
      </c>
      <c r="K1401" t="s">
        <v>11</v>
      </c>
      <c r="L1401" t="str">
        <f>T("9791191562187")</f>
        <v>9791191562187</v>
      </c>
    </row>
    <row r="1402" spans="1:12">
      <c r="A1402" s="8">
        <v>44651.362685185188</v>
      </c>
      <c r="B1402">
        <v>291088925</v>
      </c>
      <c r="C1402" t="s">
        <v>693</v>
      </c>
      <c r="D1402" t="s">
        <v>9</v>
      </c>
      <c r="E1402" s="9">
        <v>2000</v>
      </c>
      <c r="F1402" s="9">
        <v>2000</v>
      </c>
      <c r="G1402" s="9">
        <v>1400</v>
      </c>
      <c r="I1402" t="s">
        <v>694</v>
      </c>
      <c r="J1402" t="s">
        <v>460</v>
      </c>
      <c r="K1402" t="s">
        <v>11</v>
      </c>
      <c r="L1402" t="str">
        <f>T("9791191562187")</f>
        <v>9791191562187</v>
      </c>
    </row>
    <row r="1403" spans="1:12">
      <c r="A1403" s="8">
        <v>44651.36278935185</v>
      </c>
      <c r="B1403">
        <v>291805580</v>
      </c>
      <c r="C1403" t="s">
        <v>747</v>
      </c>
      <c r="D1403" t="s">
        <v>9</v>
      </c>
      <c r="E1403" s="9">
        <v>2000</v>
      </c>
      <c r="F1403" s="9">
        <v>2000</v>
      </c>
      <c r="G1403" s="9">
        <v>1400</v>
      </c>
      <c r="I1403" t="s">
        <v>748</v>
      </c>
      <c r="J1403" t="s">
        <v>460</v>
      </c>
      <c r="K1403" t="s">
        <v>11</v>
      </c>
      <c r="L1403" t="str">
        <f>T("9791191562255")</f>
        <v>9791191562255</v>
      </c>
    </row>
    <row r="1404" spans="1:12">
      <c r="A1404" s="8">
        <v>44651.38789351852</v>
      </c>
      <c r="B1404">
        <v>291088925</v>
      </c>
      <c r="C1404" t="s">
        <v>693</v>
      </c>
      <c r="D1404" t="s">
        <v>9</v>
      </c>
      <c r="E1404" s="9">
        <v>2000</v>
      </c>
      <c r="F1404" s="9">
        <v>2000</v>
      </c>
      <c r="G1404" s="9">
        <v>1400</v>
      </c>
      <c r="I1404" t="s">
        <v>694</v>
      </c>
      <c r="J1404" t="s">
        <v>460</v>
      </c>
      <c r="K1404" t="s">
        <v>11</v>
      </c>
      <c r="L1404" t="str">
        <f>T("9791191562187")</f>
        <v>9791191562187</v>
      </c>
    </row>
    <row r="1405" spans="1:12">
      <c r="A1405" s="8">
        <v>44651.388981481483</v>
      </c>
      <c r="B1405">
        <v>290197934</v>
      </c>
      <c r="C1405" t="s">
        <v>604</v>
      </c>
      <c r="D1405" t="s">
        <v>9</v>
      </c>
      <c r="E1405" s="9">
        <v>2000</v>
      </c>
      <c r="F1405" s="9">
        <v>2000</v>
      </c>
      <c r="G1405" s="9">
        <v>1400</v>
      </c>
      <c r="I1405" t="s">
        <v>605</v>
      </c>
      <c r="J1405" t="s">
        <v>460</v>
      </c>
      <c r="K1405" t="s">
        <v>11</v>
      </c>
      <c r="L1405" t="str">
        <f>T("9791191562163")</f>
        <v>9791191562163</v>
      </c>
    </row>
    <row r="1406" spans="1:12">
      <c r="A1406" s="8">
        <v>44651.392384259256</v>
      </c>
      <c r="B1406">
        <v>291088925</v>
      </c>
      <c r="C1406" t="s">
        <v>693</v>
      </c>
      <c r="D1406" t="s">
        <v>9</v>
      </c>
      <c r="E1406" s="9">
        <v>-2000</v>
      </c>
      <c r="F1406" s="9">
        <v>-2000</v>
      </c>
      <c r="G1406" s="9">
        <v>-1400</v>
      </c>
      <c r="H1406" s="8">
        <v>44651.390277777777</v>
      </c>
      <c r="I1406" t="s">
        <v>694</v>
      </c>
      <c r="J1406" t="s">
        <v>460</v>
      </c>
      <c r="K1406" t="s">
        <v>11</v>
      </c>
      <c r="L1406" t="str">
        <f>T("9791191562187")</f>
        <v>9791191562187</v>
      </c>
    </row>
    <row r="1407" spans="1:12">
      <c r="A1407" s="8">
        <v>44651.390277777777</v>
      </c>
      <c r="B1407">
        <v>291088925</v>
      </c>
      <c r="C1407" t="s">
        <v>693</v>
      </c>
      <c r="D1407" t="s">
        <v>9</v>
      </c>
      <c r="E1407" s="9">
        <v>2000</v>
      </c>
      <c r="F1407" s="9">
        <v>2000</v>
      </c>
      <c r="G1407" s="9">
        <v>1400</v>
      </c>
      <c r="I1407" t="s">
        <v>694</v>
      </c>
      <c r="J1407" t="s">
        <v>460</v>
      </c>
      <c r="K1407" t="s">
        <v>11</v>
      </c>
      <c r="L1407" t="str">
        <f>T("9791191562187")</f>
        <v>9791191562187</v>
      </c>
    </row>
    <row r="1408" spans="1:12">
      <c r="A1408" s="8">
        <v>44651.392870370371</v>
      </c>
      <c r="B1408">
        <v>291088925</v>
      </c>
      <c r="C1408" t="s">
        <v>693</v>
      </c>
      <c r="D1408" t="s">
        <v>9</v>
      </c>
      <c r="E1408" s="9">
        <v>2000</v>
      </c>
      <c r="F1408" s="9">
        <v>2000</v>
      </c>
      <c r="G1408" s="9">
        <v>1400</v>
      </c>
      <c r="I1408" t="s">
        <v>694</v>
      </c>
      <c r="J1408" t="s">
        <v>460</v>
      </c>
      <c r="K1408" t="s">
        <v>11</v>
      </c>
      <c r="L1408" t="str">
        <f>T("9791191562187")</f>
        <v>9791191562187</v>
      </c>
    </row>
    <row r="1409" spans="1:12">
      <c r="A1409" s="8">
        <v>44651.415520833332</v>
      </c>
      <c r="B1409">
        <v>291805580</v>
      </c>
      <c r="C1409" t="s">
        <v>747</v>
      </c>
      <c r="D1409" t="s">
        <v>9</v>
      </c>
      <c r="E1409" s="9">
        <v>2000</v>
      </c>
      <c r="F1409" s="9">
        <v>2000</v>
      </c>
      <c r="G1409" s="9">
        <v>1400</v>
      </c>
      <c r="I1409" t="s">
        <v>748</v>
      </c>
      <c r="J1409" t="s">
        <v>460</v>
      </c>
      <c r="K1409" t="s">
        <v>11</v>
      </c>
      <c r="L1409" t="str">
        <f>T("9791191562255")</f>
        <v>9791191562255</v>
      </c>
    </row>
    <row r="1410" spans="1:12">
      <c r="A1410" s="8">
        <v>44651.416493055556</v>
      </c>
      <c r="B1410">
        <v>287834730</v>
      </c>
      <c r="C1410" t="s">
        <v>275</v>
      </c>
      <c r="D1410" t="s">
        <v>9</v>
      </c>
      <c r="E1410" s="9">
        <v>2000</v>
      </c>
      <c r="F1410" s="9">
        <v>2000</v>
      </c>
      <c r="G1410" s="9">
        <v>1400</v>
      </c>
      <c r="I1410" t="s">
        <v>169</v>
      </c>
      <c r="J1410" t="s">
        <v>460</v>
      </c>
      <c r="K1410" t="s">
        <v>11</v>
      </c>
      <c r="L1410" t="str">
        <f>T("9791191562019")</f>
        <v>9791191562019</v>
      </c>
    </row>
    <row r="1411" spans="1:12">
      <c r="A1411" s="8">
        <v>44651.423495370371</v>
      </c>
      <c r="B1411">
        <v>290197934</v>
      </c>
      <c r="C1411" t="s">
        <v>604</v>
      </c>
      <c r="D1411" t="s">
        <v>9</v>
      </c>
      <c r="E1411" s="9">
        <v>2000</v>
      </c>
      <c r="F1411" s="9">
        <v>2000</v>
      </c>
      <c r="G1411" s="9">
        <v>1400</v>
      </c>
      <c r="I1411" t="s">
        <v>605</v>
      </c>
      <c r="J1411" t="s">
        <v>460</v>
      </c>
      <c r="K1411" t="s">
        <v>11</v>
      </c>
      <c r="L1411" t="str">
        <f>T("9791191562163")</f>
        <v>9791191562163</v>
      </c>
    </row>
    <row r="1412" spans="1:12">
      <c r="A1412" s="8">
        <v>44651.428449074076</v>
      </c>
      <c r="B1412">
        <v>287834730</v>
      </c>
      <c r="C1412" t="s">
        <v>275</v>
      </c>
      <c r="D1412" t="s">
        <v>9</v>
      </c>
      <c r="E1412" s="9">
        <v>2000</v>
      </c>
      <c r="F1412" s="9">
        <v>2000</v>
      </c>
      <c r="G1412" s="9">
        <v>1400</v>
      </c>
      <c r="I1412" t="s">
        <v>169</v>
      </c>
      <c r="J1412" t="s">
        <v>460</v>
      </c>
      <c r="K1412" t="s">
        <v>11</v>
      </c>
      <c r="L1412" t="str">
        <f>T("9791191562019")</f>
        <v>9791191562019</v>
      </c>
    </row>
    <row r="1413" spans="1:12">
      <c r="A1413" s="8">
        <v>44651.429236111115</v>
      </c>
      <c r="B1413">
        <v>291805580</v>
      </c>
      <c r="C1413" t="s">
        <v>747</v>
      </c>
      <c r="D1413" t="s">
        <v>9</v>
      </c>
      <c r="E1413" s="9">
        <v>2000</v>
      </c>
      <c r="F1413" s="9">
        <v>2000</v>
      </c>
      <c r="G1413" s="9">
        <v>1400</v>
      </c>
      <c r="I1413" t="s">
        <v>748</v>
      </c>
      <c r="J1413" t="s">
        <v>460</v>
      </c>
      <c r="K1413" t="s">
        <v>11</v>
      </c>
      <c r="L1413" t="str">
        <f>T("9791191562255")</f>
        <v>9791191562255</v>
      </c>
    </row>
    <row r="1414" spans="1:12">
      <c r="A1414" s="8">
        <v>44651.441608796296</v>
      </c>
      <c r="B1414">
        <v>286896672</v>
      </c>
      <c r="C1414" t="s">
        <v>248</v>
      </c>
      <c r="D1414" t="s">
        <v>9</v>
      </c>
      <c r="E1414" s="9">
        <v>2500</v>
      </c>
      <c r="F1414" s="9">
        <v>2500</v>
      </c>
      <c r="G1414" s="9">
        <v>1750</v>
      </c>
      <c r="I1414" t="s">
        <v>158</v>
      </c>
      <c r="J1414" t="s">
        <v>460</v>
      </c>
      <c r="K1414" t="s">
        <v>11</v>
      </c>
      <c r="L1414" t="str">
        <f>T("9791191562002")</f>
        <v>9791191562002</v>
      </c>
    </row>
    <row r="1415" spans="1:12">
      <c r="A1415" s="8">
        <v>44651.444976851853</v>
      </c>
      <c r="B1415">
        <v>291088925</v>
      </c>
      <c r="C1415" t="s">
        <v>693</v>
      </c>
      <c r="D1415" t="s">
        <v>9</v>
      </c>
      <c r="E1415" s="9">
        <v>2000</v>
      </c>
      <c r="F1415" s="9">
        <v>2000</v>
      </c>
      <c r="G1415" s="9">
        <v>1400</v>
      </c>
      <c r="I1415" t="s">
        <v>694</v>
      </c>
      <c r="J1415" t="s">
        <v>460</v>
      </c>
      <c r="K1415" t="s">
        <v>11</v>
      </c>
      <c r="L1415" t="str">
        <f>T("9791191562187")</f>
        <v>9791191562187</v>
      </c>
    </row>
    <row r="1416" spans="1:12">
      <c r="A1416" s="8">
        <v>44651.460266203707</v>
      </c>
      <c r="B1416">
        <v>291088925</v>
      </c>
      <c r="C1416" t="s">
        <v>693</v>
      </c>
      <c r="D1416" t="s">
        <v>9</v>
      </c>
      <c r="E1416" s="9">
        <v>2000</v>
      </c>
      <c r="F1416" s="9">
        <v>2000</v>
      </c>
      <c r="G1416" s="9">
        <v>1400</v>
      </c>
      <c r="I1416" t="s">
        <v>694</v>
      </c>
      <c r="J1416" t="s">
        <v>460</v>
      </c>
      <c r="K1416" t="s">
        <v>11</v>
      </c>
      <c r="L1416" t="str">
        <f>T("9791191562187")</f>
        <v>9791191562187</v>
      </c>
    </row>
    <row r="1417" spans="1:12">
      <c r="A1417" s="8">
        <v>44651.468460648146</v>
      </c>
      <c r="B1417">
        <v>48799502</v>
      </c>
      <c r="C1417" t="s">
        <v>234</v>
      </c>
      <c r="D1417" t="s">
        <v>9</v>
      </c>
      <c r="E1417">
        <v>0</v>
      </c>
      <c r="F1417">
        <v>0</v>
      </c>
      <c r="G1417">
        <v>0</v>
      </c>
      <c r="I1417" t="s">
        <v>10</v>
      </c>
      <c r="J1417" t="s">
        <v>11</v>
      </c>
      <c r="K1417" t="s">
        <v>11</v>
      </c>
      <c r="L1417" t="str">
        <f>T("9791159284724")</f>
        <v>9791159284724</v>
      </c>
    </row>
    <row r="1418" spans="1:12">
      <c r="A1418" s="8">
        <v>44651.471666666665</v>
      </c>
      <c r="B1418">
        <v>291805580</v>
      </c>
      <c r="C1418" t="s">
        <v>747</v>
      </c>
      <c r="D1418" t="s">
        <v>9</v>
      </c>
      <c r="E1418" s="9">
        <v>2000</v>
      </c>
      <c r="F1418" s="9">
        <v>2000</v>
      </c>
      <c r="G1418" s="9">
        <v>1400</v>
      </c>
      <c r="I1418" t="s">
        <v>748</v>
      </c>
      <c r="J1418" t="s">
        <v>460</v>
      </c>
      <c r="K1418" t="s">
        <v>11</v>
      </c>
      <c r="L1418" t="str">
        <f>T("9791191562255")</f>
        <v>9791191562255</v>
      </c>
    </row>
    <row r="1419" spans="1:12">
      <c r="A1419" s="8">
        <v>44651.472685185188</v>
      </c>
      <c r="B1419">
        <v>290197934</v>
      </c>
      <c r="C1419" t="s">
        <v>604</v>
      </c>
      <c r="D1419" t="s">
        <v>9</v>
      </c>
      <c r="E1419" s="9">
        <v>2000</v>
      </c>
      <c r="F1419" s="9">
        <v>2000</v>
      </c>
      <c r="G1419" s="9">
        <v>1400</v>
      </c>
      <c r="I1419" t="s">
        <v>605</v>
      </c>
      <c r="J1419" t="s">
        <v>460</v>
      </c>
      <c r="K1419" t="s">
        <v>11</v>
      </c>
      <c r="L1419" t="str">
        <f>T("9791191562163")</f>
        <v>9791191562163</v>
      </c>
    </row>
    <row r="1420" spans="1:12">
      <c r="A1420" s="8">
        <v>44651.472685185188</v>
      </c>
      <c r="B1420">
        <v>290084502</v>
      </c>
      <c r="C1420" t="s">
        <v>592</v>
      </c>
      <c r="D1420" t="s">
        <v>9</v>
      </c>
      <c r="E1420" s="9">
        <v>2500</v>
      </c>
      <c r="F1420" s="9">
        <v>2500</v>
      </c>
      <c r="G1420" s="9">
        <v>1750</v>
      </c>
      <c r="I1420" t="s">
        <v>593</v>
      </c>
      <c r="J1420" t="s">
        <v>460</v>
      </c>
      <c r="K1420" t="s">
        <v>11</v>
      </c>
      <c r="L1420" t="str">
        <f>T("9791191562125")</f>
        <v>9791191562125</v>
      </c>
    </row>
    <row r="1421" spans="1:12">
      <c r="A1421" s="8">
        <v>44651.501944444448</v>
      </c>
      <c r="B1421">
        <v>291681711</v>
      </c>
      <c r="C1421" t="s">
        <v>742</v>
      </c>
      <c r="D1421" t="s">
        <v>9</v>
      </c>
      <c r="E1421" s="9">
        <v>2500</v>
      </c>
      <c r="F1421" s="9">
        <v>2500</v>
      </c>
      <c r="G1421" s="9">
        <v>1750</v>
      </c>
      <c r="I1421" t="s">
        <v>743</v>
      </c>
      <c r="J1421" t="s">
        <v>617</v>
      </c>
      <c r="K1421" t="s">
        <v>11</v>
      </c>
      <c r="L1421" t="str">
        <f>T("9791166483042")</f>
        <v>9791166483042</v>
      </c>
    </row>
    <row r="1422" spans="1:12">
      <c r="A1422" s="8">
        <v>44651.506342592591</v>
      </c>
      <c r="B1422">
        <v>290197934</v>
      </c>
      <c r="C1422" t="s">
        <v>604</v>
      </c>
      <c r="D1422" t="s">
        <v>9</v>
      </c>
      <c r="E1422" s="9">
        <v>2000</v>
      </c>
      <c r="F1422" s="9">
        <v>2000</v>
      </c>
      <c r="G1422" s="9">
        <v>1400</v>
      </c>
      <c r="I1422" t="s">
        <v>605</v>
      </c>
      <c r="J1422" t="s">
        <v>460</v>
      </c>
      <c r="K1422" t="s">
        <v>11</v>
      </c>
      <c r="L1422" t="str">
        <f>T("9791191562163")</f>
        <v>9791191562163</v>
      </c>
    </row>
    <row r="1423" spans="1:12">
      <c r="A1423" s="8">
        <v>44651.507002314815</v>
      </c>
      <c r="B1423">
        <v>291801915</v>
      </c>
      <c r="C1423" t="s">
        <v>745</v>
      </c>
      <c r="D1423" t="s">
        <v>9</v>
      </c>
      <c r="E1423" s="9">
        <v>2000</v>
      </c>
      <c r="F1423" s="9">
        <v>2000</v>
      </c>
      <c r="G1423" s="9">
        <v>1400</v>
      </c>
      <c r="I1423" t="s">
        <v>746</v>
      </c>
      <c r="J1423" t="s">
        <v>460</v>
      </c>
      <c r="K1423" t="s">
        <v>11</v>
      </c>
      <c r="L1423" t="str">
        <f>T("9791191562200")</f>
        <v>9791191562200</v>
      </c>
    </row>
    <row r="1424" spans="1:12">
      <c r="A1424" s="8">
        <v>44651.508912037039</v>
      </c>
      <c r="B1424">
        <v>291088925</v>
      </c>
      <c r="C1424" t="s">
        <v>693</v>
      </c>
      <c r="D1424" t="s">
        <v>9</v>
      </c>
      <c r="E1424" s="9">
        <v>2000</v>
      </c>
      <c r="F1424" s="9">
        <v>2000</v>
      </c>
      <c r="G1424" s="9">
        <v>1400</v>
      </c>
      <c r="I1424" t="s">
        <v>694</v>
      </c>
      <c r="J1424" t="s">
        <v>460</v>
      </c>
      <c r="K1424" t="s">
        <v>11</v>
      </c>
      <c r="L1424" t="str">
        <f>T("9791191562187")</f>
        <v>9791191562187</v>
      </c>
    </row>
    <row r="1425" spans="1:12">
      <c r="A1425" s="8">
        <v>44651.510428240741</v>
      </c>
      <c r="B1425">
        <v>48806275</v>
      </c>
      <c r="C1425" t="s">
        <v>570</v>
      </c>
      <c r="D1425" t="s">
        <v>9</v>
      </c>
      <c r="E1425" s="9">
        <v>3200</v>
      </c>
      <c r="F1425" s="9">
        <v>3200</v>
      </c>
      <c r="G1425" s="9">
        <v>2240</v>
      </c>
      <c r="I1425" t="s">
        <v>10</v>
      </c>
      <c r="J1425" t="s">
        <v>11</v>
      </c>
      <c r="K1425" t="s">
        <v>11</v>
      </c>
      <c r="L1425" t="str">
        <f>T("9791159283437")</f>
        <v>9791159283437</v>
      </c>
    </row>
    <row r="1426" spans="1:12">
      <c r="A1426" s="8">
        <v>44651.510914351849</v>
      </c>
      <c r="B1426">
        <v>291088925</v>
      </c>
      <c r="C1426" t="s">
        <v>693</v>
      </c>
      <c r="D1426" t="s">
        <v>9</v>
      </c>
      <c r="E1426" s="9">
        <v>2000</v>
      </c>
      <c r="F1426" s="9">
        <v>2000</v>
      </c>
      <c r="G1426" s="9">
        <v>1400</v>
      </c>
      <c r="I1426" t="s">
        <v>694</v>
      </c>
      <c r="J1426" t="s">
        <v>460</v>
      </c>
      <c r="K1426" t="s">
        <v>11</v>
      </c>
      <c r="L1426" t="str">
        <f>T("9791191562187")</f>
        <v>9791191562187</v>
      </c>
    </row>
    <row r="1427" spans="1:12">
      <c r="A1427" s="8">
        <v>44651.511006944442</v>
      </c>
      <c r="B1427">
        <v>290197934</v>
      </c>
      <c r="C1427" t="s">
        <v>604</v>
      </c>
      <c r="D1427" t="s">
        <v>9</v>
      </c>
      <c r="E1427" s="9">
        <v>2000</v>
      </c>
      <c r="F1427" s="9">
        <v>2000</v>
      </c>
      <c r="G1427" s="9">
        <v>1400</v>
      </c>
      <c r="I1427" t="s">
        <v>605</v>
      </c>
      <c r="J1427" t="s">
        <v>460</v>
      </c>
      <c r="K1427" t="s">
        <v>11</v>
      </c>
      <c r="L1427" t="str">
        <f>T("9791191562163")</f>
        <v>9791191562163</v>
      </c>
    </row>
    <row r="1428" spans="1:12">
      <c r="A1428" s="8">
        <v>44651.520439814813</v>
      </c>
      <c r="B1428">
        <v>287834730</v>
      </c>
      <c r="C1428" t="s">
        <v>275</v>
      </c>
      <c r="D1428" t="s">
        <v>9</v>
      </c>
      <c r="E1428" s="9">
        <v>2000</v>
      </c>
      <c r="F1428" s="9">
        <v>2000</v>
      </c>
      <c r="G1428" s="9">
        <v>1400</v>
      </c>
      <c r="I1428" t="s">
        <v>169</v>
      </c>
      <c r="J1428" t="s">
        <v>460</v>
      </c>
      <c r="K1428" t="s">
        <v>11</v>
      </c>
      <c r="L1428" t="str">
        <f>T("9791191562019")</f>
        <v>9791191562019</v>
      </c>
    </row>
    <row r="1429" spans="1:12">
      <c r="A1429" s="8">
        <v>44651.530925925923</v>
      </c>
      <c r="B1429">
        <v>291088925</v>
      </c>
      <c r="C1429" t="s">
        <v>693</v>
      </c>
      <c r="D1429" t="s">
        <v>9</v>
      </c>
      <c r="E1429" s="9">
        <v>2000</v>
      </c>
      <c r="F1429" s="9">
        <v>2000</v>
      </c>
      <c r="G1429" s="9">
        <v>1400</v>
      </c>
      <c r="I1429" t="s">
        <v>694</v>
      </c>
      <c r="J1429" t="s">
        <v>460</v>
      </c>
      <c r="K1429" t="s">
        <v>11</v>
      </c>
      <c r="L1429" t="str">
        <f>T("9791191562187")</f>
        <v>9791191562187</v>
      </c>
    </row>
    <row r="1430" spans="1:12">
      <c r="A1430" s="8">
        <v>44651.531712962962</v>
      </c>
      <c r="B1430">
        <v>291088925</v>
      </c>
      <c r="C1430" t="s">
        <v>693</v>
      </c>
      <c r="D1430" t="s">
        <v>9</v>
      </c>
      <c r="E1430" s="9">
        <v>2000</v>
      </c>
      <c r="F1430" s="9">
        <v>2000</v>
      </c>
      <c r="G1430" s="9">
        <v>1400</v>
      </c>
      <c r="I1430" t="s">
        <v>694</v>
      </c>
      <c r="J1430" t="s">
        <v>460</v>
      </c>
      <c r="K1430" t="s">
        <v>11</v>
      </c>
      <c r="L1430" t="str">
        <f>T("9791191562187")</f>
        <v>9791191562187</v>
      </c>
    </row>
    <row r="1431" spans="1:12">
      <c r="A1431" s="8">
        <v>44651.5465625</v>
      </c>
      <c r="B1431">
        <v>290197934</v>
      </c>
      <c r="C1431" t="s">
        <v>604</v>
      </c>
      <c r="D1431" t="s">
        <v>9</v>
      </c>
      <c r="E1431" s="9">
        <v>2000</v>
      </c>
      <c r="F1431" s="9">
        <v>2000</v>
      </c>
      <c r="G1431" s="9">
        <v>1400</v>
      </c>
      <c r="I1431" t="s">
        <v>605</v>
      </c>
      <c r="J1431" t="s">
        <v>460</v>
      </c>
      <c r="K1431" t="s">
        <v>11</v>
      </c>
      <c r="L1431" t="str">
        <f>T("9791191562163")</f>
        <v>9791191562163</v>
      </c>
    </row>
    <row r="1432" spans="1:12">
      <c r="A1432" s="8">
        <v>44651.551377314812</v>
      </c>
      <c r="B1432">
        <v>290197934</v>
      </c>
      <c r="C1432" t="s">
        <v>604</v>
      </c>
      <c r="D1432" t="s">
        <v>9</v>
      </c>
      <c r="E1432" s="9">
        <v>2000</v>
      </c>
      <c r="F1432" s="9">
        <v>2000</v>
      </c>
      <c r="G1432" s="9">
        <v>1400</v>
      </c>
      <c r="I1432" t="s">
        <v>605</v>
      </c>
      <c r="J1432" t="s">
        <v>460</v>
      </c>
      <c r="K1432" t="s">
        <v>11</v>
      </c>
      <c r="L1432" t="str">
        <f>T("9791191562163")</f>
        <v>9791191562163</v>
      </c>
    </row>
    <row r="1433" spans="1:12">
      <c r="A1433" s="8">
        <v>44651.551701388889</v>
      </c>
      <c r="B1433">
        <v>290197934</v>
      </c>
      <c r="C1433" t="s">
        <v>604</v>
      </c>
      <c r="D1433" t="s">
        <v>9</v>
      </c>
      <c r="E1433" s="9">
        <v>2000</v>
      </c>
      <c r="F1433" s="9">
        <v>2000</v>
      </c>
      <c r="G1433" s="9">
        <v>1400</v>
      </c>
      <c r="I1433" t="s">
        <v>605</v>
      </c>
      <c r="J1433" t="s">
        <v>460</v>
      </c>
      <c r="K1433" t="s">
        <v>11</v>
      </c>
      <c r="L1433" t="str">
        <f>T("9791191562163")</f>
        <v>9791191562163</v>
      </c>
    </row>
    <row r="1434" spans="1:12">
      <c r="A1434" s="8">
        <v>44651.555231481485</v>
      </c>
      <c r="B1434">
        <v>291088925</v>
      </c>
      <c r="C1434" t="s">
        <v>693</v>
      </c>
      <c r="D1434" t="s">
        <v>9</v>
      </c>
      <c r="E1434" s="9">
        <v>2000</v>
      </c>
      <c r="F1434" s="9">
        <v>2000</v>
      </c>
      <c r="G1434" s="9">
        <v>1400</v>
      </c>
      <c r="I1434" t="s">
        <v>694</v>
      </c>
      <c r="J1434" t="s">
        <v>460</v>
      </c>
      <c r="K1434" t="s">
        <v>11</v>
      </c>
      <c r="L1434" t="str">
        <f>T("9791191562187")</f>
        <v>9791191562187</v>
      </c>
    </row>
    <row r="1435" spans="1:12">
      <c r="A1435" s="8">
        <v>44651.569351851853</v>
      </c>
      <c r="B1435">
        <v>291088925</v>
      </c>
      <c r="C1435" t="s">
        <v>693</v>
      </c>
      <c r="D1435" t="s">
        <v>9</v>
      </c>
      <c r="E1435" s="9">
        <v>2000</v>
      </c>
      <c r="F1435" s="9">
        <v>2000</v>
      </c>
      <c r="G1435" s="9">
        <v>1400</v>
      </c>
      <c r="I1435" t="s">
        <v>694</v>
      </c>
      <c r="J1435" t="s">
        <v>460</v>
      </c>
      <c r="K1435" t="s">
        <v>11</v>
      </c>
      <c r="L1435" t="str">
        <f>T("9791191562187")</f>
        <v>9791191562187</v>
      </c>
    </row>
    <row r="1436" spans="1:12">
      <c r="A1436" s="8">
        <v>44651.570659722223</v>
      </c>
      <c r="B1436">
        <v>291805580</v>
      </c>
      <c r="C1436" t="s">
        <v>747</v>
      </c>
      <c r="D1436" t="s">
        <v>9</v>
      </c>
      <c r="E1436" s="9">
        <v>2000</v>
      </c>
      <c r="F1436" s="9">
        <v>2000</v>
      </c>
      <c r="G1436" s="9">
        <v>1400</v>
      </c>
      <c r="I1436" t="s">
        <v>748</v>
      </c>
      <c r="J1436" t="s">
        <v>460</v>
      </c>
      <c r="K1436" t="s">
        <v>11</v>
      </c>
      <c r="L1436" t="str">
        <f>T("9791191562255")</f>
        <v>9791191562255</v>
      </c>
    </row>
    <row r="1437" spans="1:12">
      <c r="A1437" s="8">
        <v>44651.573854166665</v>
      </c>
      <c r="B1437">
        <v>287834730</v>
      </c>
      <c r="C1437" t="s">
        <v>275</v>
      </c>
      <c r="D1437" t="s">
        <v>9</v>
      </c>
      <c r="E1437" s="9">
        <v>2000</v>
      </c>
      <c r="F1437" s="9">
        <v>2000</v>
      </c>
      <c r="G1437" s="9">
        <v>1400</v>
      </c>
      <c r="I1437" t="s">
        <v>169</v>
      </c>
      <c r="J1437" t="s">
        <v>460</v>
      </c>
      <c r="K1437" t="s">
        <v>11</v>
      </c>
      <c r="L1437" t="str">
        <f>T("9791191562019")</f>
        <v>9791191562019</v>
      </c>
    </row>
    <row r="1438" spans="1:12">
      <c r="A1438" s="8">
        <v>44651.582476851851</v>
      </c>
      <c r="B1438">
        <v>291088925</v>
      </c>
      <c r="C1438" t="s">
        <v>693</v>
      </c>
      <c r="D1438" t="s">
        <v>9</v>
      </c>
      <c r="E1438" s="9">
        <v>2000</v>
      </c>
      <c r="F1438" s="9">
        <v>2000</v>
      </c>
      <c r="G1438" s="9">
        <v>1400</v>
      </c>
      <c r="I1438" t="s">
        <v>694</v>
      </c>
      <c r="J1438" t="s">
        <v>460</v>
      </c>
      <c r="K1438" t="s">
        <v>11</v>
      </c>
      <c r="L1438" t="str">
        <f>T("9791191562187")</f>
        <v>9791191562187</v>
      </c>
    </row>
    <row r="1439" spans="1:12">
      <c r="A1439" s="8">
        <v>44651.582476851851</v>
      </c>
      <c r="B1439">
        <v>289315562</v>
      </c>
      <c r="C1439" t="s">
        <v>478</v>
      </c>
      <c r="D1439" t="s">
        <v>9</v>
      </c>
      <c r="E1439" s="9">
        <v>3000</v>
      </c>
      <c r="F1439" s="9">
        <v>3000</v>
      </c>
      <c r="G1439" s="9">
        <v>2100</v>
      </c>
      <c r="I1439" t="s">
        <v>454</v>
      </c>
      <c r="J1439" t="s">
        <v>460</v>
      </c>
      <c r="K1439" t="s">
        <v>11</v>
      </c>
      <c r="L1439" t="str">
        <f>T("9791191562101")</f>
        <v>9791191562101</v>
      </c>
    </row>
    <row r="1440" spans="1:12">
      <c r="A1440" s="8">
        <v>44651.582835648151</v>
      </c>
      <c r="B1440">
        <v>291088925</v>
      </c>
      <c r="C1440" t="s">
        <v>693</v>
      </c>
      <c r="D1440" t="s">
        <v>9</v>
      </c>
      <c r="E1440" s="9">
        <v>2000</v>
      </c>
      <c r="F1440" s="9">
        <v>2000</v>
      </c>
      <c r="G1440" s="9">
        <v>1400</v>
      </c>
      <c r="I1440" t="s">
        <v>694</v>
      </c>
      <c r="J1440" t="s">
        <v>460</v>
      </c>
      <c r="K1440" t="s">
        <v>11</v>
      </c>
      <c r="L1440" t="str">
        <f t="shared" ref="L1440:L1446" si="17">T("9791191562187")</f>
        <v>9791191562187</v>
      </c>
    </row>
    <row r="1441" spans="1:12">
      <c r="A1441" s="8">
        <v>44651.583333333336</v>
      </c>
      <c r="B1441">
        <v>291088925</v>
      </c>
      <c r="C1441" t="s">
        <v>693</v>
      </c>
      <c r="D1441" t="s">
        <v>9</v>
      </c>
      <c r="E1441" s="9">
        <v>-2000</v>
      </c>
      <c r="F1441" s="9">
        <v>-2000</v>
      </c>
      <c r="G1441" s="9">
        <v>-1400</v>
      </c>
      <c r="H1441" s="8">
        <v>44651.582835648151</v>
      </c>
      <c r="I1441" t="s">
        <v>694</v>
      </c>
      <c r="J1441" t="s">
        <v>460</v>
      </c>
      <c r="K1441" t="s">
        <v>11</v>
      </c>
      <c r="L1441" t="str">
        <f t="shared" si="17"/>
        <v>9791191562187</v>
      </c>
    </row>
    <row r="1442" spans="1:12">
      <c r="A1442" s="8">
        <v>44651.583171296297</v>
      </c>
      <c r="B1442">
        <v>291088925</v>
      </c>
      <c r="C1442" t="s">
        <v>693</v>
      </c>
      <c r="D1442" t="s">
        <v>9</v>
      </c>
      <c r="E1442" s="9">
        <v>2000</v>
      </c>
      <c r="F1442" s="9">
        <v>2000</v>
      </c>
      <c r="G1442" s="9">
        <v>1400</v>
      </c>
      <c r="I1442" t="s">
        <v>694</v>
      </c>
      <c r="J1442" t="s">
        <v>460</v>
      </c>
      <c r="K1442" t="s">
        <v>11</v>
      </c>
      <c r="L1442" t="str">
        <f t="shared" si="17"/>
        <v>9791191562187</v>
      </c>
    </row>
    <row r="1443" spans="1:12">
      <c r="A1443" s="8">
        <v>44651.584733796299</v>
      </c>
      <c r="B1443">
        <v>291088925</v>
      </c>
      <c r="C1443" t="s">
        <v>693</v>
      </c>
      <c r="D1443" t="s">
        <v>9</v>
      </c>
      <c r="E1443" s="9">
        <v>2000</v>
      </c>
      <c r="F1443" s="9">
        <v>2000</v>
      </c>
      <c r="G1443" s="9">
        <v>1400</v>
      </c>
      <c r="I1443" t="s">
        <v>694</v>
      </c>
      <c r="J1443" t="s">
        <v>460</v>
      </c>
      <c r="K1443" t="s">
        <v>11</v>
      </c>
      <c r="L1443" t="str">
        <f t="shared" si="17"/>
        <v>9791191562187</v>
      </c>
    </row>
    <row r="1444" spans="1:12">
      <c r="A1444" s="8">
        <v>44651.588182870371</v>
      </c>
      <c r="B1444">
        <v>291088925</v>
      </c>
      <c r="C1444" t="s">
        <v>693</v>
      </c>
      <c r="D1444" t="s">
        <v>9</v>
      </c>
      <c r="E1444" s="9">
        <v>-2000</v>
      </c>
      <c r="F1444" s="9">
        <v>-2000</v>
      </c>
      <c r="G1444" s="9">
        <v>-1400</v>
      </c>
      <c r="H1444" s="8">
        <v>44651.584733796299</v>
      </c>
      <c r="I1444" t="s">
        <v>694</v>
      </c>
      <c r="J1444" t="s">
        <v>460</v>
      </c>
      <c r="K1444" t="s">
        <v>11</v>
      </c>
      <c r="L1444" t="str">
        <f t="shared" si="17"/>
        <v>9791191562187</v>
      </c>
    </row>
    <row r="1445" spans="1:12">
      <c r="A1445" s="8">
        <v>44651.591168981482</v>
      </c>
      <c r="B1445">
        <v>291088925</v>
      </c>
      <c r="C1445" t="s">
        <v>693</v>
      </c>
      <c r="D1445" t="s">
        <v>9</v>
      </c>
      <c r="E1445" s="9">
        <v>2000</v>
      </c>
      <c r="F1445" s="9">
        <v>2000</v>
      </c>
      <c r="G1445" s="9">
        <v>1400</v>
      </c>
      <c r="I1445" t="s">
        <v>694</v>
      </c>
      <c r="J1445" t="s">
        <v>460</v>
      </c>
      <c r="K1445" t="s">
        <v>11</v>
      </c>
      <c r="L1445" t="str">
        <f t="shared" si="17"/>
        <v>9791191562187</v>
      </c>
    </row>
    <row r="1446" spans="1:12">
      <c r="A1446" s="8">
        <v>44651.597719907404</v>
      </c>
      <c r="B1446">
        <v>291088925</v>
      </c>
      <c r="C1446" t="s">
        <v>693</v>
      </c>
      <c r="D1446" t="s">
        <v>9</v>
      </c>
      <c r="E1446" s="9">
        <v>2000</v>
      </c>
      <c r="F1446" s="9">
        <v>2000</v>
      </c>
      <c r="G1446" s="9">
        <v>1400</v>
      </c>
      <c r="I1446" t="s">
        <v>694</v>
      </c>
      <c r="J1446" t="s">
        <v>460</v>
      </c>
      <c r="K1446" t="s">
        <v>11</v>
      </c>
      <c r="L1446" t="str">
        <f t="shared" si="17"/>
        <v>9791191562187</v>
      </c>
    </row>
    <row r="1447" spans="1:12">
      <c r="A1447" s="8">
        <v>44651.60083333333</v>
      </c>
      <c r="B1447">
        <v>287834730</v>
      </c>
      <c r="C1447" t="s">
        <v>275</v>
      </c>
      <c r="D1447" t="s">
        <v>9</v>
      </c>
      <c r="E1447" s="9">
        <v>2000</v>
      </c>
      <c r="F1447" s="9">
        <v>2000</v>
      </c>
      <c r="G1447" s="9">
        <v>1400</v>
      </c>
      <c r="I1447" t="s">
        <v>169</v>
      </c>
      <c r="J1447" t="s">
        <v>460</v>
      </c>
      <c r="K1447" t="s">
        <v>11</v>
      </c>
      <c r="L1447" t="str">
        <f>T("9791191562019")</f>
        <v>9791191562019</v>
      </c>
    </row>
    <row r="1448" spans="1:12">
      <c r="A1448" s="8">
        <v>44651.613275462965</v>
      </c>
      <c r="B1448">
        <v>291088925</v>
      </c>
      <c r="C1448" t="s">
        <v>693</v>
      </c>
      <c r="D1448" t="s">
        <v>9</v>
      </c>
      <c r="E1448" s="9">
        <v>2000</v>
      </c>
      <c r="F1448" s="9">
        <v>2000</v>
      </c>
      <c r="G1448" s="9">
        <v>1400</v>
      </c>
      <c r="I1448" t="s">
        <v>694</v>
      </c>
      <c r="J1448" t="s">
        <v>460</v>
      </c>
      <c r="K1448" t="s">
        <v>11</v>
      </c>
      <c r="L1448" t="str">
        <f>T("9791191562187")</f>
        <v>9791191562187</v>
      </c>
    </row>
    <row r="1449" spans="1:12">
      <c r="A1449" s="8">
        <v>44651.614849537036</v>
      </c>
      <c r="B1449">
        <v>291088925</v>
      </c>
      <c r="C1449" t="s">
        <v>693</v>
      </c>
      <c r="D1449" t="s">
        <v>9</v>
      </c>
      <c r="E1449" s="9">
        <v>2000</v>
      </c>
      <c r="F1449" s="9">
        <v>2000</v>
      </c>
      <c r="G1449" s="9">
        <v>1400</v>
      </c>
      <c r="I1449" t="s">
        <v>694</v>
      </c>
      <c r="J1449" t="s">
        <v>460</v>
      </c>
      <c r="K1449" t="s">
        <v>11</v>
      </c>
      <c r="L1449" t="str">
        <f>T("9791191562187")</f>
        <v>9791191562187</v>
      </c>
    </row>
    <row r="1450" spans="1:12">
      <c r="A1450" s="8">
        <v>44651.634270833332</v>
      </c>
      <c r="B1450">
        <v>290197934</v>
      </c>
      <c r="C1450" t="s">
        <v>604</v>
      </c>
      <c r="D1450" t="s">
        <v>9</v>
      </c>
      <c r="E1450" s="9">
        <v>2000</v>
      </c>
      <c r="F1450" s="9">
        <v>2000</v>
      </c>
      <c r="G1450" s="9">
        <v>1400</v>
      </c>
      <c r="I1450" t="s">
        <v>605</v>
      </c>
      <c r="J1450" t="s">
        <v>460</v>
      </c>
      <c r="K1450" t="s">
        <v>11</v>
      </c>
      <c r="L1450" t="str">
        <f>T("9791191562163")</f>
        <v>9791191562163</v>
      </c>
    </row>
    <row r="1451" spans="1:12">
      <c r="A1451" s="8">
        <v>44651.636064814818</v>
      </c>
      <c r="B1451">
        <v>291088925</v>
      </c>
      <c r="C1451" t="s">
        <v>693</v>
      </c>
      <c r="D1451" t="s">
        <v>9</v>
      </c>
      <c r="E1451" s="9">
        <v>2000</v>
      </c>
      <c r="F1451" s="9">
        <v>2000</v>
      </c>
      <c r="G1451" s="9">
        <v>1400</v>
      </c>
      <c r="I1451" t="s">
        <v>694</v>
      </c>
      <c r="J1451" t="s">
        <v>460</v>
      </c>
      <c r="K1451" t="s">
        <v>11</v>
      </c>
      <c r="L1451" t="str">
        <f>T("9791191562187")</f>
        <v>9791191562187</v>
      </c>
    </row>
    <row r="1452" spans="1:12">
      <c r="A1452" s="8">
        <v>44651.643206018518</v>
      </c>
      <c r="B1452">
        <v>291805580</v>
      </c>
      <c r="C1452" t="s">
        <v>747</v>
      </c>
      <c r="D1452" t="s">
        <v>9</v>
      </c>
      <c r="E1452" s="9">
        <v>2000</v>
      </c>
      <c r="F1452" s="9">
        <v>2000</v>
      </c>
      <c r="G1452" s="9">
        <v>1400</v>
      </c>
      <c r="I1452" t="s">
        <v>748</v>
      </c>
      <c r="J1452" t="s">
        <v>460</v>
      </c>
      <c r="K1452" t="s">
        <v>11</v>
      </c>
      <c r="L1452" t="str">
        <f>T("9791191562255")</f>
        <v>9791191562255</v>
      </c>
    </row>
    <row r="1453" spans="1:12">
      <c r="A1453" s="8">
        <v>44651.649548611109</v>
      </c>
      <c r="B1453">
        <v>291088925</v>
      </c>
      <c r="C1453" t="s">
        <v>693</v>
      </c>
      <c r="D1453" t="s">
        <v>9</v>
      </c>
      <c r="E1453" s="9">
        <v>2000</v>
      </c>
      <c r="F1453" s="9">
        <v>2000</v>
      </c>
      <c r="G1453" s="9">
        <v>1400</v>
      </c>
      <c r="I1453" t="s">
        <v>694</v>
      </c>
      <c r="J1453" t="s">
        <v>460</v>
      </c>
      <c r="K1453" t="s">
        <v>11</v>
      </c>
      <c r="L1453" t="str">
        <f>T("9791191562187")</f>
        <v>9791191562187</v>
      </c>
    </row>
    <row r="1454" spans="1:12">
      <c r="A1454" s="8">
        <v>44651.662916666668</v>
      </c>
      <c r="B1454">
        <v>291088925</v>
      </c>
      <c r="C1454" t="s">
        <v>693</v>
      </c>
      <c r="D1454" t="s">
        <v>9</v>
      </c>
      <c r="E1454" s="9">
        <v>2000</v>
      </c>
      <c r="F1454" s="9">
        <v>2000</v>
      </c>
      <c r="G1454" s="9">
        <v>1400</v>
      </c>
      <c r="I1454" t="s">
        <v>694</v>
      </c>
      <c r="J1454" t="s">
        <v>460</v>
      </c>
      <c r="K1454" t="s">
        <v>11</v>
      </c>
      <c r="L1454" t="str">
        <f>T("9791191562187")</f>
        <v>9791191562187</v>
      </c>
    </row>
    <row r="1455" spans="1:12">
      <c r="A1455" s="8">
        <v>44651.662916666668</v>
      </c>
      <c r="B1455">
        <v>290197934</v>
      </c>
      <c r="C1455" t="s">
        <v>604</v>
      </c>
      <c r="D1455" t="s">
        <v>9</v>
      </c>
      <c r="E1455" s="9">
        <v>2000</v>
      </c>
      <c r="F1455" s="9">
        <v>2000</v>
      </c>
      <c r="G1455" s="9">
        <v>1400</v>
      </c>
      <c r="I1455" t="s">
        <v>605</v>
      </c>
      <c r="J1455" t="s">
        <v>460</v>
      </c>
      <c r="K1455" t="s">
        <v>11</v>
      </c>
      <c r="L1455" t="str">
        <f>T("9791191562163")</f>
        <v>9791191562163</v>
      </c>
    </row>
    <row r="1456" spans="1:12">
      <c r="A1456" s="8">
        <v>44651.670115740744</v>
      </c>
      <c r="B1456">
        <v>291088925</v>
      </c>
      <c r="C1456" t="s">
        <v>693</v>
      </c>
      <c r="D1456" t="s">
        <v>9</v>
      </c>
      <c r="E1456" s="9">
        <v>2000</v>
      </c>
      <c r="F1456" s="9">
        <v>2000</v>
      </c>
      <c r="G1456" s="9">
        <v>1400</v>
      </c>
      <c r="I1456" t="s">
        <v>694</v>
      </c>
      <c r="J1456" t="s">
        <v>460</v>
      </c>
      <c r="K1456" t="s">
        <v>11</v>
      </c>
      <c r="L1456" t="str">
        <f>T("9791191562187")</f>
        <v>9791191562187</v>
      </c>
    </row>
    <row r="1457" spans="1:12">
      <c r="A1457" s="8">
        <v>44651.687199074076</v>
      </c>
      <c r="B1457">
        <v>291801915</v>
      </c>
      <c r="C1457" t="s">
        <v>745</v>
      </c>
      <c r="D1457" t="s">
        <v>9</v>
      </c>
      <c r="E1457" s="9">
        <v>2000</v>
      </c>
      <c r="F1457" s="9">
        <v>2000</v>
      </c>
      <c r="G1457" s="9">
        <v>1400</v>
      </c>
      <c r="I1457" t="s">
        <v>746</v>
      </c>
      <c r="J1457" t="s">
        <v>460</v>
      </c>
      <c r="K1457" t="s">
        <v>11</v>
      </c>
      <c r="L1457" t="str">
        <f>T("9791191562200")</f>
        <v>9791191562200</v>
      </c>
    </row>
    <row r="1458" spans="1:12">
      <c r="A1458" s="8">
        <v>44651.688090277778</v>
      </c>
      <c r="B1458">
        <v>291088925</v>
      </c>
      <c r="C1458" t="s">
        <v>693</v>
      </c>
      <c r="D1458" t="s">
        <v>9</v>
      </c>
      <c r="E1458" s="9">
        <v>2000</v>
      </c>
      <c r="F1458" s="9">
        <v>2000</v>
      </c>
      <c r="G1458" s="9">
        <v>1400</v>
      </c>
      <c r="I1458" t="s">
        <v>694</v>
      </c>
      <c r="J1458" t="s">
        <v>460</v>
      </c>
      <c r="K1458" t="s">
        <v>11</v>
      </c>
      <c r="L1458" t="str">
        <f>T("9791191562187")</f>
        <v>9791191562187</v>
      </c>
    </row>
    <row r="1459" spans="1:12">
      <c r="A1459" s="8">
        <v>44651.698738425926</v>
      </c>
      <c r="B1459">
        <v>168351639</v>
      </c>
      <c r="C1459" t="s">
        <v>288</v>
      </c>
      <c r="D1459" t="s">
        <v>9</v>
      </c>
      <c r="E1459">
        <v>0</v>
      </c>
      <c r="F1459">
        <v>0</v>
      </c>
      <c r="G1459">
        <v>0</v>
      </c>
      <c r="I1459" t="s">
        <v>35</v>
      </c>
      <c r="J1459" t="s">
        <v>588</v>
      </c>
      <c r="K1459" t="s">
        <v>11</v>
      </c>
      <c r="L1459" t="str">
        <f>T("9791164892457")</f>
        <v>9791164892457</v>
      </c>
    </row>
    <row r="1460" spans="1:12">
      <c r="A1460" s="8">
        <v>44651.698738425926</v>
      </c>
      <c r="B1460">
        <v>89200166</v>
      </c>
      <c r="C1460" t="s">
        <v>749</v>
      </c>
      <c r="D1460" t="s">
        <v>9</v>
      </c>
      <c r="E1460">
        <v>0</v>
      </c>
      <c r="F1460">
        <v>0</v>
      </c>
      <c r="G1460">
        <v>0</v>
      </c>
      <c r="I1460" t="s">
        <v>35</v>
      </c>
      <c r="J1460" t="s">
        <v>637</v>
      </c>
      <c r="K1460" t="s">
        <v>11</v>
      </c>
      <c r="L1460" t="str">
        <f>T("9791161882079")</f>
        <v>9791161882079</v>
      </c>
    </row>
    <row r="1461" spans="1:12">
      <c r="A1461" s="8">
        <v>44651.701967592591</v>
      </c>
      <c r="B1461">
        <v>287834730</v>
      </c>
      <c r="C1461" t="s">
        <v>275</v>
      </c>
      <c r="D1461" t="s">
        <v>9</v>
      </c>
      <c r="E1461" s="9">
        <v>2000</v>
      </c>
      <c r="F1461" s="9">
        <v>2000</v>
      </c>
      <c r="G1461" s="9">
        <v>1400</v>
      </c>
      <c r="I1461" t="s">
        <v>169</v>
      </c>
      <c r="J1461" t="s">
        <v>460</v>
      </c>
      <c r="K1461" t="s">
        <v>11</v>
      </c>
      <c r="L1461" t="str">
        <f>T("9791191562019")</f>
        <v>9791191562019</v>
      </c>
    </row>
    <row r="1462" spans="1:12">
      <c r="A1462" s="8">
        <v>44651.715092592596</v>
      </c>
      <c r="B1462">
        <v>291088925</v>
      </c>
      <c r="C1462" t="s">
        <v>693</v>
      </c>
      <c r="D1462" t="s">
        <v>9</v>
      </c>
      <c r="E1462" s="9">
        <v>2000</v>
      </c>
      <c r="F1462" s="9">
        <v>2000</v>
      </c>
      <c r="G1462" s="9">
        <v>1400</v>
      </c>
      <c r="I1462" t="s">
        <v>694</v>
      </c>
      <c r="J1462" t="s">
        <v>460</v>
      </c>
      <c r="K1462" t="s">
        <v>11</v>
      </c>
      <c r="L1462" t="str">
        <f>T("9791191562187")</f>
        <v>9791191562187</v>
      </c>
    </row>
    <row r="1463" spans="1:12">
      <c r="A1463" s="8">
        <v>44651.721620370372</v>
      </c>
      <c r="B1463">
        <v>287834730</v>
      </c>
      <c r="C1463" t="s">
        <v>275</v>
      </c>
      <c r="D1463" t="s">
        <v>9</v>
      </c>
      <c r="E1463" s="9">
        <v>2000</v>
      </c>
      <c r="F1463" s="9">
        <v>2000</v>
      </c>
      <c r="G1463" s="9">
        <v>1400</v>
      </c>
      <c r="I1463" t="s">
        <v>169</v>
      </c>
      <c r="J1463" t="s">
        <v>460</v>
      </c>
      <c r="K1463" t="s">
        <v>11</v>
      </c>
      <c r="L1463" t="str">
        <f>T("9791191562019")</f>
        <v>9791191562019</v>
      </c>
    </row>
    <row r="1464" spans="1:12">
      <c r="A1464" s="8">
        <v>44651.750057870369</v>
      </c>
      <c r="B1464">
        <v>286896672</v>
      </c>
      <c r="C1464" t="s">
        <v>248</v>
      </c>
      <c r="D1464" t="s">
        <v>9</v>
      </c>
      <c r="E1464" s="9">
        <v>2500</v>
      </c>
      <c r="F1464" s="9">
        <v>2500</v>
      </c>
      <c r="G1464" s="9">
        <v>1750</v>
      </c>
      <c r="I1464" t="s">
        <v>158</v>
      </c>
      <c r="J1464" t="s">
        <v>460</v>
      </c>
      <c r="K1464" t="s">
        <v>11</v>
      </c>
      <c r="L1464" t="str">
        <f>T("9791191562002")</f>
        <v>9791191562002</v>
      </c>
    </row>
    <row r="1465" spans="1:12">
      <c r="A1465" s="8">
        <v>44651.759421296294</v>
      </c>
      <c r="B1465">
        <v>291805580</v>
      </c>
      <c r="C1465" t="s">
        <v>747</v>
      </c>
      <c r="D1465" t="s">
        <v>9</v>
      </c>
      <c r="E1465" s="9">
        <v>2000</v>
      </c>
      <c r="F1465" s="9">
        <v>2000</v>
      </c>
      <c r="G1465" s="9">
        <v>1400</v>
      </c>
      <c r="I1465" t="s">
        <v>748</v>
      </c>
      <c r="J1465" t="s">
        <v>460</v>
      </c>
      <c r="K1465" t="s">
        <v>11</v>
      </c>
      <c r="L1465" t="str">
        <f>T("9791191562255")</f>
        <v>9791191562255</v>
      </c>
    </row>
    <row r="1466" spans="1:12">
      <c r="A1466" s="8">
        <v>44651.783356481479</v>
      </c>
      <c r="B1466">
        <v>291088925</v>
      </c>
      <c r="C1466" t="s">
        <v>693</v>
      </c>
      <c r="D1466" t="s">
        <v>9</v>
      </c>
      <c r="E1466" s="9">
        <v>2000</v>
      </c>
      <c r="F1466" s="9">
        <v>2000</v>
      </c>
      <c r="G1466" s="9">
        <v>1400</v>
      </c>
      <c r="I1466" t="s">
        <v>694</v>
      </c>
      <c r="J1466" t="s">
        <v>460</v>
      </c>
      <c r="K1466" t="s">
        <v>11</v>
      </c>
      <c r="L1466" t="str">
        <f>T("9791191562187")</f>
        <v>9791191562187</v>
      </c>
    </row>
    <row r="1467" spans="1:12">
      <c r="A1467" s="8">
        <v>44651.783854166664</v>
      </c>
      <c r="B1467">
        <v>291088925</v>
      </c>
      <c r="C1467" t="s">
        <v>693</v>
      </c>
      <c r="D1467" t="s">
        <v>9</v>
      </c>
      <c r="E1467" s="9">
        <v>2000</v>
      </c>
      <c r="F1467" s="9">
        <v>2000</v>
      </c>
      <c r="G1467" s="9">
        <v>1400</v>
      </c>
      <c r="I1467" t="s">
        <v>694</v>
      </c>
      <c r="J1467" t="s">
        <v>460</v>
      </c>
      <c r="K1467" t="s">
        <v>11</v>
      </c>
      <c r="L1467" t="str">
        <f>T("9791191562187")</f>
        <v>9791191562187</v>
      </c>
    </row>
    <row r="1468" spans="1:12">
      <c r="A1468" s="8">
        <v>44651.788171296299</v>
      </c>
      <c r="B1468">
        <v>291088925</v>
      </c>
      <c r="C1468" t="s">
        <v>693</v>
      </c>
      <c r="D1468" t="s">
        <v>9</v>
      </c>
      <c r="E1468" s="9">
        <v>2000</v>
      </c>
      <c r="F1468" s="9">
        <v>2000</v>
      </c>
      <c r="G1468" s="9">
        <v>1400</v>
      </c>
      <c r="I1468" t="s">
        <v>694</v>
      </c>
      <c r="J1468" t="s">
        <v>460</v>
      </c>
      <c r="K1468" t="s">
        <v>11</v>
      </c>
      <c r="L1468" t="str">
        <f>T("9791191562187")</f>
        <v>9791191562187</v>
      </c>
    </row>
    <row r="1469" spans="1:12">
      <c r="A1469" s="8">
        <v>44651.80059027778</v>
      </c>
      <c r="B1469">
        <v>289315562</v>
      </c>
      <c r="C1469" t="s">
        <v>478</v>
      </c>
      <c r="D1469" t="s">
        <v>9</v>
      </c>
      <c r="E1469" s="9">
        <v>3000</v>
      </c>
      <c r="F1469" s="9">
        <v>3000</v>
      </c>
      <c r="G1469" s="9">
        <v>2100</v>
      </c>
      <c r="I1469" t="s">
        <v>454</v>
      </c>
      <c r="J1469" t="s">
        <v>460</v>
      </c>
      <c r="K1469" t="s">
        <v>11</v>
      </c>
      <c r="L1469" t="str">
        <f>T("9791191562101")</f>
        <v>9791191562101</v>
      </c>
    </row>
    <row r="1470" spans="1:12">
      <c r="A1470" s="8">
        <v>44651.80846064815</v>
      </c>
      <c r="B1470">
        <v>291088925</v>
      </c>
      <c r="C1470" t="s">
        <v>693</v>
      </c>
      <c r="D1470" t="s">
        <v>9</v>
      </c>
      <c r="E1470" s="9">
        <v>2000</v>
      </c>
      <c r="F1470" s="9">
        <v>2000</v>
      </c>
      <c r="G1470" s="9">
        <v>1400</v>
      </c>
      <c r="I1470" t="s">
        <v>694</v>
      </c>
      <c r="J1470" t="s">
        <v>460</v>
      </c>
      <c r="K1470" t="s">
        <v>11</v>
      </c>
      <c r="L1470" t="str">
        <f>T("9791191562187")</f>
        <v>9791191562187</v>
      </c>
    </row>
    <row r="1471" spans="1:12">
      <c r="A1471" s="8">
        <v>44651.836527777778</v>
      </c>
      <c r="B1471">
        <v>291088925</v>
      </c>
      <c r="C1471" t="s">
        <v>693</v>
      </c>
      <c r="D1471" t="s">
        <v>9</v>
      </c>
      <c r="E1471" s="9">
        <v>2000</v>
      </c>
      <c r="F1471" s="9">
        <v>2000</v>
      </c>
      <c r="G1471" s="9">
        <v>1400</v>
      </c>
      <c r="I1471" t="s">
        <v>694</v>
      </c>
      <c r="J1471" t="s">
        <v>460</v>
      </c>
      <c r="K1471" t="s">
        <v>11</v>
      </c>
      <c r="L1471" t="str">
        <f>T("9791191562187")</f>
        <v>9791191562187</v>
      </c>
    </row>
    <row r="1472" spans="1:12">
      <c r="A1472" s="8">
        <v>44651.841979166667</v>
      </c>
      <c r="B1472">
        <v>291088925</v>
      </c>
      <c r="C1472" t="s">
        <v>693</v>
      </c>
      <c r="D1472" t="s">
        <v>9</v>
      </c>
      <c r="E1472" s="9">
        <v>2000</v>
      </c>
      <c r="F1472" s="9">
        <v>2000</v>
      </c>
      <c r="G1472" s="9">
        <v>1400</v>
      </c>
      <c r="I1472" t="s">
        <v>694</v>
      </c>
      <c r="J1472" t="s">
        <v>460</v>
      </c>
      <c r="K1472" t="s">
        <v>11</v>
      </c>
      <c r="L1472" t="str">
        <f>T("9791191562187")</f>
        <v>9791191562187</v>
      </c>
    </row>
    <row r="1473" spans="1:12">
      <c r="A1473" s="8">
        <v>44651.845833333333</v>
      </c>
      <c r="B1473">
        <v>291805580</v>
      </c>
      <c r="C1473" t="s">
        <v>747</v>
      </c>
      <c r="D1473" t="s">
        <v>9</v>
      </c>
      <c r="E1473" s="9">
        <v>2000</v>
      </c>
      <c r="F1473" s="9">
        <v>2000</v>
      </c>
      <c r="G1473" s="9">
        <v>1400</v>
      </c>
      <c r="I1473" t="s">
        <v>748</v>
      </c>
      <c r="J1473" t="s">
        <v>460</v>
      </c>
      <c r="K1473" t="s">
        <v>11</v>
      </c>
      <c r="L1473" t="str">
        <f>T("9791191562255")</f>
        <v>9791191562255</v>
      </c>
    </row>
    <row r="1474" spans="1:12">
      <c r="A1474" s="8">
        <v>44651.846192129633</v>
      </c>
      <c r="B1474">
        <v>291805580</v>
      </c>
      <c r="C1474" t="s">
        <v>747</v>
      </c>
      <c r="D1474" t="s">
        <v>9</v>
      </c>
      <c r="E1474" s="9">
        <v>-2000</v>
      </c>
      <c r="F1474" s="9">
        <v>-2000</v>
      </c>
      <c r="G1474" s="9">
        <v>-1400</v>
      </c>
      <c r="H1474" s="8">
        <v>44651.845833333333</v>
      </c>
      <c r="I1474" t="s">
        <v>748</v>
      </c>
      <c r="J1474" t="s">
        <v>460</v>
      </c>
      <c r="K1474" t="s">
        <v>11</v>
      </c>
      <c r="L1474" t="str">
        <f>T("9791191562255")</f>
        <v>9791191562255</v>
      </c>
    </row>
    <row r="1475" spans="1:12">
      <c r="A1475" s="8">
        <v>44651.846666666665</v>
      </c>
      <c r="B1475">
        <v>291088925</v>
      </c>
      <c r="C1475" t="s">
        <v>693</v>
      </c>
      <c r="D1475" t="s">
        <v>9</v>
      </c>
      <c r="E1475" s="9">
        <v>2000</v>
      </c>
      <c r="F1475" s="9">
        <v>2000</v>
      </c>
      <c r="G1475" s="9">
        <v>1400</v>
      </c>
      <c r="I1475" t="s">
        <v>694</v>
      </c>
      <c r="J1475" t="s">
        <v>460</v>
      </c>
      <c r="K1475" t="s">
        <v>11</v>
      </c>
      <c r="L1475" t="str">
        <f>T("9791191562187")</f>
        <v>9791191562187</v>
      </c>
    </row>
    <row r="1476" spans="1:12">
      <c r="A1476" s="8">
        <v>44651.847557870373</v>
      </c>
      <c r="B1476">
        <v>291805580</v>
      </c>
      <c r="C1476" t="s">
        <v>747</v>
      </c>
      <c r="D1476" t="s">
        <v>9</v>
      </c>
      <c r="E1476" s="9">
        <v>2000</v>
      </c>
      <c r="F1476" s="9">
        <v>2000</v>
      </c>
      <c r="G1476" s="9">
        <v>1400</v>
      </c>
      <c r="I1476" t="s">
        <v>748</v>
      </c>
      <c r="J1476" t="s">
        <v>460</v>
      </c>
      <c r="K1476" t="s">
        <v>11</v>
      </c>
      <c r="L1476" t="str">
        <f t="shared" ref="L1476:L1501" si="18">T("9791191562255")</f>
        <v>9791191562255</v>
      </c>
    </row>
    <row r="1477" spans="1:12">
      <c r="A1477" s="8">
        <v>44651.847696759258</v>
      </c>
      <c r="B1477">
        <v>291805580</v>
      </c>
      <c r="C1477" t="s">
        <v>747</v>
      </c>
      <c r="D1477" t="s">
        <v>9</v>
      </c>
      <c r="E1477" s="9">
        <v>-2000</v>
      </c>
      <c r="F1477" s="9">
        <v>-2000</v>
      </c>
      <c r="G1477" s="9">
        <v>-1400</v>
      </c>
      <c r="H1477" s="8">
        <v>44651.847557870373</v>
      </c>
      <c r="I1477" t="s">
        <v>748</v>
      </c>
      <c r="J1477" t="s">
        <v>460</v>
      </c>
      <c r="K1477" t="s">
        <v>11</v>
      </c>
      <c r="L1477" t="str">
        <f t="shared" si="18"/>
        <v>9791191562255</v>
      </c>
    </row>
    <row r="1478" spans="1:12">
      <c r="A1478" s="8">
        <v>44651.848449074074</v>
      </c>
      <c r="B1478">
        <v>291805580</v>
      </c>
      <c r="C1478" t="s">
        <v>747</v>
      </c>
      <c r="D1478" t="s">
        <v>9</v>
      </c>
      <c r="E1478" s="9">
        <v>2000</v>
      </c>
      <c r="F1478" s="9">
        <v>2000</v>
      </c>
      <c r="G1478" s="9">
        <v>1400</v>
      </c>
      <c r="I1478" t="s">
        <v>748</v>
      </c>
      <c r="J1478" t="s">
        <v>460</v>
      </c>
      <c r="K1478" t="s">
        <v>11</v>
      </c>
      <c r="L1478" t="str">
        <f t="shared" si="18"/>
        <v>9791191562255</v>
      </c>
    </row>
    <row r="1479" spans="1:12">
      <c r="A1479" s="8">
        <v>44651.849143518521</v>
      </c>
      <c r="B1479">
        <v>291805580</v>
      </c>
      <c r="C1479" t="s">
        <v>747</v>
      </c>
      <c r="D1479" t="s">
        <v>9</v>
      </c>
      <c r="E1479" s="9">
        <v>2000</v>
      </c>
      <c r="F1479" s="9">
        <v>2000</v>
      </c>
      <c r="G1479" s="9">
        <v>1400</v>
      </c>
      <c r="I1479" t="s">
        <v>748</v>
      </c>
      <c r="J1479" t="s">
        <v>460</v>
      </c>
      <c r="K1479" t="s">
        <v>11</v>
      </c>
      <c r="L1479" t="str">
        <f t="shared" si="18"/>
        <v>9791191562255</v>
      </c>
    </row>
    <row r="1480" spans="1:12">
      <c r="A1480" s="8">
        <v>44651.849293981482</v>
      </c>
      <c r="B1480">
        <v>291805580</v>
      </c>
      <c r="C1480" t="s">
        <v>747</v>
      </c>
      <c r="D1480" t="s">
        <v>9</v>
      </c>
      <c r="E1480" s="9">
        <v>-2000</v>
      </c>
      <c r="F1480" s="9">
        <v>-2000</v>
      </c>
      <c r="G1480" s="9">
        <v>-1400</v>
      </c>
      <c r="H1480" s="8">
        <v>44651.849143518521</v>
      </c>
      <c r="I1480" t="s">
        <v>748</v>
      </c>
      <c r="J1480" t="s">
        <v>460</v>
      </c>
      <c r="K1480" t="s">
        <v>11</v>
      </c>
      <c r="L1480" t="str">
        <f t="shared" si="18"/>
        <v>9791191562255</v>
      </c>
    </row>
    <row r="1481" spans="1:12">
      <c r="A1481" s="8">
        <v>44651.849826388891</v>
      </c>
      <c r="B1481">
        <v>291805580</v>
      </c>
      <c r="C1481" t="s">
        <v>747</v>
      </c>
      <c r="D1481" t="s">
        <v>9</v>
      </c>
      <c r="E1481" s="9">
        <v>2000</v>
      </c>
      <c r="F1481" s="9">
        <v>2000</v>
      </c>
      <c r="G1481" s="9">
        <v>1400</v>
      </c>
      <c r="I1481" t="s">
        <v>748</v>
      </c>
      <c r="J1481" t="s">
        <v>460</v>
      </c>
      <c r="K1481" t="s">
        <v>11</v>
      </c>
      <c r="L1481" t="str">
        <f t="shared" si="18"/>
        <v>9791191562255</v>
      </c>
    </row>
    <row r="1482" spans="1:12">
      <c r="A1482" s="8">
        <v>44651.849988425929</v>
      </c>
      <c r="B1482">
        <v>291805580</v>
      </c>
      <c r="C1482" t="s">
        <v>747</v>
      </c>
      <c r="D1482" t="s">
        <v>9</v>
      </c>
      <c r="E1482" s="9">
        <v>-2000</v>
      </c>
      <c r="F1482" s="9">
        <v>-2000</v>
      </c>
      <c r="G1482" s="9">
        <v>-1400</v>
      </c>
      <c r="H1482" s="8">
        <v>44651.849826388891</v>
      </c>
      <c r="I1482" t="s">
        <v>748</v>
      </c>
      <c r="J1482" t="s">
        <v>460</v>
      </c>
      <c r="K1482" t="s">
        <v>11</v>
      </c>
      <c r="L1482" t="str">
        <f t="shared" si="18"/>
        <v>9791191562255</v>
      </c>
    </row>
    <row r="1483" spans="1:12">
      <c r="A1483" s="8">
        <v>44651.850393518522</v>
      </c>
      <c r="B1483">
        <v>291805580</v>
      </c>
      <c r="C1483" t="s">
        <v>747</v>
      </c>
      <c r="D1483" t="s">
        <v>9</v>
      </c>
      <c r="E1483" s="9">
        <v>2000</v>
      </c>
      <c r="F1483" s="9">
        <v>2000</v>
      </c>
      <c r="G1483" s="9">
        <v>1400</v>
      </c>
      <c r="I1483" t="s">
        <v>748</v>
      </c>
      <c r="J1483" t="s">
        <v>460</v>
      </c>
      <c r="K1483" t="s">
        <v>11</v>
      </c>
      <c r="L1483" t="str">
        <f t="shared" si="18"/>
        <v>9791191562255</v>
      </c>
    </row>
    <row r="1484" spans="1:12">
      <c r="A1484" s="8">
        <v>44651.850555555553</v>
      </c>
      <c r="B1484">
        <v>291805580</v>
      </c>
      <c r="C1484" t="s">
        <v>747</v>
      </c>
      <c r="D1484" t="s">
        <v>9</v>
      </c>
      <c r="E1484" s="9">
        <v>-2000</v>
      </c>
      <c r="F1484" s="9">
        <v>-2000</v>
      </c>
      <c r="G1484" s="9">
        <v>-1400</v>
      </c>
      <c r="H1484" s="8">
        <v>44651.850393518522</v>
      </c>
      <c r="I1484" t="s">
        <v>748</v>
      </c>
      <c r="J1484" t="s">
        <v>460</v>
      </c>
      <c r="K1484" t="s">
        <v>11</v>
      </c>
      <c r="L1484" t="str">
        <f t="shared" si="18"/>
        <v>9791191562255</v>
      </c>
    </row>
    <row r="1485" spans="1:12">
      <c r="A1485" s="8">
        <v>44651.850983796299</v>
      </c>
      <c r="B1485">
        <v>291805580</v>
      </c>
      <c r="C1485" t="s">
        <v>747</v>
      </c>
      <c r="D1485" t="s">
        <v>9</v>
      </c>
      <c r="E1485" s="9">
        <v>2000</v>
      </c>
      <c r="F1485" s="9">
        <v>2000</v>
      </c>
      <c r="G1485" s="9">
        <v>1400</v>
      </c>
      <c r="I1485" t="s">
        <v>748</v>
      </c>
      <c r="J1485" t="s">
        <v>460</v>
      </c>
      <c r="K1485" t="s">
        <v>11</v>
      </c>
      <c r="L1485" t="str">
        <f t="shared" si="18"/>
        <v>9791191562255</v>
      </c>
    </row>
    <row r="1486" spans="1:12">
      <c r="A1486" s="8">
        <v>44651.851134259261</v>
      </c>
      <c r="B1486">
        <v>291805580</v>
      </c>
      <c r="C1486" t="s">
        <v>747</v>
      </c>
      <c r="D1486" t="s">
        <v>9</v>
      </c>
      <c r="E1486" s="9">
        <v>-2000</v>
      </c>
      <c r="F1486" s="9">
        <v>-2000</v>
      </c>
      <c r="G1486" s="9">
        <v>-1400</v>
      </c>
      <c r="H1486" s="8">
        <v>44651.850983796299</v>
      </c>
      <c r="I1486" t="s">
        <v>748</v>
      </c>
      <c r="J1486" t="s">
        <v>460</v>
      </c>
      <c r="K1486" t="s">
        <v>11</v>
      </c>
      <c r="L1486" t="str">
        <f t="shared" si="18"/>
        <v>9791191562255</v>
      </c>
    </row>
    <row r="1487" spans="1:12">
      <c r="A1487" s="8">
        <v>44651.851620370369</v>
      </c>
      <c r="B1487">
        <v>291805580</v>
      </c>
      <c r="C1487" t="s">
        <v>747</v>
      </c>
      <c r="D1487" t="s">
        <v>9</v>
      </c>
      <c r="E1487" s="9">
        <v>2000</v>
      </c>
      <c r="F1487" s="9">
        <v>2000</v>
      </c>
      <c r="G1487" s="9">
        <v>1400</v>
      </c>
      <c r="I1487" t="s">
        <v>748</v>
      </c>
      <c r="J1487" t="s">
        <v>460</v>
      </c>
      <c r="K1487" t="s">
        <v>11</v>
      </c>
      <c r="L1487" t="str">
        <f t="shared" si="18"/>
        <v>9791191562255</v>
      </c>
    </row>
    <row r="1488" spans="1:12">
      <c r="A1488" s="8">
        <v>44651.852048611108</v>
      </c>
      <c r="B1488">
        <v>291805580</v>
      </c>
      <c r="C1488" t="s">
        <v>747</v>
      </c>
      <c r="D1488" t="s">
        <v>9</v>
      </c>
      <c r="E1488" s="9">
        <v>-2000</v>
      </c>
      <c r="F1488" s="9">
        <v>-2000</v>
      </c>
      <c r="G1488" s="9">
        <v>-1400</v>
      </c>
      <c r="H1488" s="8">
        <v>44651.851620370369</v>
      </c>
      <c r="I1488" t="s">
        <v>748</v>
      </c>
      <c r="J1488" t="s">
        <v>460</v>
      </c>
      <c r="K1488" t="s">
        <v>11</v>
      </c>
      <c r="L1488" t="str">
        <f t="shared" si="18"/>
        <v>9791191562255</v>
      </c>
    </row>
    <row r="1489" spans="1:12">
      <c r="A1489" s="8">
        <v>44651.852488425924</v>
      </c>
      <c r="B1489">
        <v>291805580</v>
      </c>
      <c r="C1489" t="s">
        <v>747</v>
      </c>
      <c r="D1489" t="s">
        <v>9</v>
      </c>
      <c r="E1489" s="9">
        <v>2000</v>
      </c>
      <c r="F1489" s="9">
        <v>2000</v>
      </c>
      <c r="G1489" s="9">
        <v>1400</v>
      </c>
      <c r="I1489" t="s">
        <v>748</v>
      </c>
      <c r="J1489" t="s">
        <v>460</v>
      </c>
      <c r="K1489" t="s">
        <v>11</v>
      </c>
      <c r="L1489" t="str">
        <f t="shared" si="18"/>
        <v>9791191562255</v>
      </c>
    </row>
    <row r="1490" spans="1:12">
      <c r="A1490" s="8">
        <v>44651.852951388886</v>
      </c>
      <c r="B1490">
        <v>291805580</v>
      </c>
      <c r="C1490" t="s">
        <v>747</v>
      </c>
      <c r="D1490" t="s">
        <v>9</v>
      </c>
      <c r="E1490" s="9">
        <v>-2000</v>
      </c>
      <c r="F1490" s="9">
        <v>-2000</v>
      </c>
      <c r="G1490" s="9">
        <v>-1400</v>
      </c>
      <c r="H1490" s="8">
        <v>44651.852488425924</v>
      </c>
      <c r="I1490" t="s">
        <v>748</v>
      </c>
      <c r="J1490" t="s">
        <v>460</v>
      </c>
      <c r="K1490" t="s">
        <v>11</v>
      </c>
      <c r="L1490" t="str">
        <f t="shared" si="18"/>
        <v>9791191562255</v>
      </c>
    </row>
    <row r="1491" spans="1:12">
      <c r="A1491" s="8">
        <v>44651.85361111111</v>
      </c>
      <c r="B1491">
        <v>291805580</v>
      </c>
      <c r="C1491" t="s">
        <v>747</v>
      </c>
      <c r="D1491" t="s">
        <v>9</v>
      </c>
      <c r="E1491" s="9">
        <v>2000</v>
      </c>
      <c r="F1491" s="9">
        <v>2000</v>
      </c>
      <c r="G1491" s="9">
        <v>1400</v>
      </c>
      <c r="I1491" t="s">
        <v>748</v>
      </c>
      <c r="J1491" t="s">
        <v>460</v>
      </c>
      <c r="K1491" t="s">
        <v>11</v>
      </c>
      <c r="L1491" t="str">
        <f t="shared" si="18"/>
        <v>9791191562255</v>
      </c>
    </row>
    <row r="1492" spans="1:12">
      <c r="A1492" s="8">
        <v>44651.853877314818</v>
      </c>
      <c r="B1492">
        <v>291805580</v>
      </c>
      <c r="C1492" t="s">
        <v>747</v>
      </c>
      <c r="D1492" t="s">
        <v>9</v>
      </c>
      <c r="E1492" s="9">
        <v>-2000</v>
      </c>
      <c r="F1492" s="9">
        <v>-2000</v>
      </c>
      <c r="G1492" s="9">
        <v>-1400</v>
      </c>
      <c r="H1492" s="8">
        <v>44651.85361111111</v>
      </c>
      <c r="I1492" t="s">
        <v>748</v>
      </c>
      <c r="J1492" t="s">
        <v>460</v>
      </c>
      <c r="K1492" t="s">
        <v>11</v>
      </c>
      <c r="L1492" t="str">
        <f t="shared" si="18"/>
        <v>9791191562255</v>
      </c>
    </row>
    <row r="1493" spans="1:12">
      <c r="A1493" s="8">
        <v>44651.856145833335</v>
      </c>
      <c r="B1493">
        <v>291805580</v>
      </c>
      <c r="C1493" t="s">
        <v>747</v>
      </c>
      <c r="D1493" t="s">
        <v>9</v>
      </c>
      <c r="E1493" s="9">
        <v>2000</v>
      </c>
      <c r="F1493" s="9">
        <v>2000</v>
      </c>
      <c r="G1493" s="9">
        <v>1400</v>
      </c>
      <c r="I1493" t="s">
        <v>748</v>
      </c>
      <c r="J1493" t="s">
        <v>460</v>
      </c>
      <c r="K1493" t="s">
        <v>11</v>
      </c>
      <c r="L1493" t="str">
        <f t="shared" si="18"/>
        <v>9791191562255</v>
      </c>
    </row>
    <row r="1494" spans="1:12">
      <c r="A1494" s="8">
        <v>44651.85670138889</v>
      </c>
      <c r="B1494">
        <v>291805580</v>
      </c>
      <c r="C1494" t="s">
        <v>747</v>
      </c>
      <c r="D1494" t="s">
        <v>9</v>
      </c>
      <c r="E1494" s="9">
        <v>-2000</v>
      </c>
      <c r="F1494" s="9">
        <v>-2000</v>
      </c>
      <c r="G1494" s="9">
        <v>-1400</v>
      </c>
      <c r="H1494" s="8">
        <v>44651.856145833335</v>
      </c>
      <c r="I1494" t="s">
        <v>748</v>
      </c>
      <c r="J1494" t="s">
        <v>460</v>
      </c>
      <c r="K1494" t="s">
        <v>11</v>
      </c>
      <c r="L1494" t="str">
        <f t="shared" si="18"/>
        <v>9791191562255</v>
      </c>
    </row>
    <row r="1495" spans="1:12">
      <c r="A1495" s="8">
        <v>44651.857083333336</v>
      </c>
      <c r="B1495">
        <v>291805580</v>
      </c>
      <c r="C1495" t="s">
        <v>747</v>
      </c>
      <c r="D1495" t="s">
        <v>9</v>
      </c>
      <c r="E1495" s="9">
        <v>2000</v>
      </c>
      <c r="F1495" s="9">
        <v>2000</v>
      </c>
      <c r="G1495" s="9">
        <v>1400</v>
      </c>
      <c r="I1495" t="s">
        <v>748</v>
      </c>
      <c r="J1495" t="s">
        <v>460</v>
      </c>
      <c r="K1495" t="s">
        <v>11</v>
      </c>
      <c r="L1495" t="str">
        <f t="shared" si="18"/>
        <v>9791191562255</v>
      </c>
    </row>
    <row r="1496" spans="1:12">
      <c r="A1496" s="8">
        <v>44651.857187499998</v>
      </c>
      <c r="B1496">
        <v>291805580</v>
      </c>
      <c r="C1496" t="s">
        <v>747</v>
      </c>
      <c r="D1496" t="s">
        <v>9</v>
      </c>
      <c r="E1496" s="9">
        <v>-2000</v>
      </c>
      <c r="F1496" s="9">
        <v>-2000</v>
      </c>
      <c r="G1496" s="9">
        <v>-1400</v>
      </c>
      <c r="H1496" s="8">
        <v>44651.857083333336</v>
      </c>
      <c r="I1496" t="s">
        <v>748</v>
      </c>
      <c r="J1496" t="s">
        <v>460</v>
      </c>
      <c r="K1496" t="s">
        <v>11</v>
      </c>
      <c r="L1496" t="str">
        <f t="shared" si="18"/>
        <v>9791191562255</v>
      </c>
    </row>
    <row r="1497" spans="1:12">
      <c r="A1497" s="8">
        <v>44651.857627314814</v>
      </c>
      <c r="B1497">
        <v>291805580</v>
      </c>
      <c r="C1497" t="s">
        <v>747</v>
      </c>
      <c r="D1497" t="s">
        <v>9</v>
      </c>
      <c r="E1497" s="9">
        <v>2000</v>
      </c>
      <c r="F1497" s="9">
        <v>2000</v>
      </c>
      <c r="G1497" s="9">
        <v>1400</v>
      </c>
      <c r="I1497" t="s">
        <v>748</v>
      </c>
      <c r="J1497" t="s">
        <v>460</v>
      </c>
      <c r="K1497" t="s">
        <v>11</v>
      </c>
      <c r="L1497" t="str">
        <f t="shared" si="18"/>
        <v>9791191562255</v>
      </c>
    </row>
    <row r="1498" spans="1:12">
      <c r="A1498" s="8">
        <v>44651.857731481483</v>
      </c>
      <c r="B1498">
        <v>291805580</v>
      </c>
      <c r="C1498" t="s">
        <v>747</v>
      </c>
      <c r="D1498" t="s">
        <v>9</v>
      </c>
      <c r="E1498" s="9">
        <v>-2000</v>
      </c>
      <c r="F1498" s="9">
        <v>-2000</v>
      </c>
      <c r="G1498" s="9">
        <v>-1400</v>
      </c>
      <c r="H1498" s="8">
        <v>44651.857627314814</v>
      </c>
      <c r="I1498" t="s">
        <v>748</v>
      </c>
      <c r="J1498" t="s">
        <v>460</v>
      </c>
      <c r="K1498" t="s">
        <v>11</v>
      </c>
      <c r="L1498" t="str">
        <f t="shared" si="18"/>
        <v>9791191562255</v>
      </c>
    </row>
    <row r="1499" spans="1:12">
      <c r="A1499" s="8">
        <v>44651.858344907407</v>
      </c>
      <c r="B1499">
        <v>291805580</v>
      </c>
      <c r="C1499" t="s">
        <v>747</v>
      </c>
      <c r="D1499" t="s">
        <v>9</v>
      </c>
      <c r="E1499" s="9">
        <v>2000</v>
      </c>
      <c r="F1499" s="9">
        <v>2000</v>
      </c>
      <c r="G1499" s="9">
        <v>1400</v>
      </c>
      <c r="I1499" t="s">
        <v>748</v>
      </c>
      <c r="J1499" t="s">
        <v>460</v>
      </c>
      <c r="K1499" t="s">
        <v>11</v>
      </c>
      <c r="L1499" t="str">
        <f t="shared" si="18"/>
        <v>9791191562255</v>
      </c>
    </row>
    <row r="1500" spans="1:12">
      <c r="A1500" s="8">
        <v>44651.859155092592</v>
      </c>
      <c r="B1500">
        <v>291805580</v>
      </c>
      <c r="C1500" t="s">
        <v>747</v>
      </c>
      <c r="D1500" t="s">
        <v>9</v>
      </c>
      <c r="E1500" s="9">
        <v>-2000</v>
      </c>
      <c r="F1500" s="9">
        <v>-2000</v>
      </c>
      <c r="G1500" s="9">
        <v>-1400</v>
      </c>
      <c r="H1500" s="8">
        <v>44651.858344907407</v>
      </c>
      <c r="I1500" t="s">
        <v>748</v>
      </c>
      <c r="J1500" t="s">
        <v>460</v>
      </c>
      <c r="K1500" t="s">
        <v>11</v>
      </c>
      <c r="L1500" t="str">
        <f t="shared" si="18"/>
        <v>9791191562255</v>
      </c>
    </row>
    <row r="1501" spans="1:12">
      <c r="A1501" s="8">
        <v>44651.859363425923</v>
      </c>
      <c r="B1501">
        <v>291805580</v>
      </c>
      <c r="C1501" t="s">
        <v>747</v>
      </c>
      <c r="D1501" t="s">
        <v>9</v>
      </c>
      <c r="E1501" s="9">
        <v>2000</v>
      </c>
      <c r="F1501" s="9">
        <v>2000</v>
      </c>
      <c r="G1501" s="9">
        <v>1400</v>
      </c>
      <c r="I1501" t="s">
        <v>748</v>
      </c>
      <c r="J1501" t="s">
        <v>460</v>
      </c>
      <c r="K1501" t="s">
        <v>11</v>
      </c>
      <c r="L1501" t="str">
        <f t="shared" si="18"/>
        <v>9791191562255</v>
      </c>
    </row>
    <row r="1502" spans="1:12">
      <c r="A1502" s="8">
        <v>44651.864212962966</v>
      </c>
      <c r="B1502">
        <v>287834730</v>
      </c>
      <c r="C1502" t="s">
        <v>275</v>
      </c>
      <c r="D1502" t="s">
        <v>9</v>
      </c>
      <c r="E1502" s="9">
        <v>2000</v>
      </c>
      <c r="F1502" s="9">
        <v>2000</v>
      </c>
      <c r="G1502" s="9">
        <v>1400</v>
      </c>
      <c r="I1502" t="s">
        <v>169</v>
      </c>
      <c r="J1502" t="s">
        <v>460</v>
      </c>
      <c r="K1502" t="s">
        <v>11</v>
      </c>
      <c r="L1502" t="str">
        <f>T("9791191562019")</f>
        <v>9791191562019</v>
      </c>
    </row>
    <row r="1503" spans="1:12">
      <c r="A1503" s="8">
        <v>44651.871562499997</v>
      </c>
      <c r="B1503">
        <v>291519446</v>
      </c>
      <c r="C1503" t="s">
        <v>732</v>
      </c>
      <c r="D1503" t="s">
        <v>9</v>
      </c>
      <c r="E1503" s="9">
        <v>2500</v>
      </c>
      <c r="F1503" s="9">
        <v>2500</v>
      </c>
      <c r="G1503" s="9">
        <v>1750</v>
      </c>
      <c r="I1503" t="s">
        <v>733</v>
      </c>
      <c r="J1503" t="s">
        <v>460</v>
      </c>
      <c r="K1503" t="s">
        <v>11</v>
      </c>
      <c r="L1503" t="str">
        <f>T("9791191562156")</f>
        <v>9791191562156</v>
      </c>
    </row>
    <row r="1504" spans="1:12">
      <c r="A1504" s="8">
        <v>44651.871562499997</v>
      </c>
      <c r="B1504">
        <v>291805580</v>
      </c>
      <c r="C1504" t="s">
        <v>747</v>
      </c>
      <c r="D1504" t="s">
        <v>9</v>
      </c>
      <c r="E1504" s="9">
        <v>2000</v>
      </c>
      <c r="F1504" s="9">
        <v>2000</v>
      </c>
      <c r="G1504" s="9">
        <v>1400</v>
      </c>
      <c r="I1504" t="s">
        <v>748</v>
      </c>
      <c r="J1504" t="s">
        <v>460</v>
      </c>
      <c r="K1504" t="s">
        <v>11</v>
      </c>
      <c r="L1504" t="str">
        <f>T("9791191562255")</f>
        <v>9791191562255</v>
      </c>
    </row>
    <row r="1505" spans="1:12">
      <c r="A1505" s="8">
        <v>44651.881284722222</v>
      </c>
      <c r="B1505">
        <v>291088925</v>
      </c>
      <c r="C1505" t="s">
        <v>693</v>
      </c>
      <c r="D1505" t="s">
        <v>9</v>
      </c>
      <c r="E1505" s="9">
        <v>2000</v>
      </c>
      <c r="F1505" s="9">
        <v>2000</v>
      </c>
      <c r="G1505" s="9">
        <v>1400</v>
      </c>
      <c r="I1505" t="s">
        <v>694</v>
      </c>
      <c r="J1505" t="s">
        <v>460</v>
      </c>
      <c r="K1505" t="s">
        <v>11</v>
      </c>
      <c r="L1505" t="str">
        <f>T("9791191562187")</f>
        <v>9791191562187</v>
      </c>
    </row>
    <row r="1506" spans="1:12">
      <c r="A1506" s="8">
        <v>44651.893900462965</v>
      </c>
      <c r="B1506">
        <v>291088925</v>
      </c>
      <c r="C1506" t="s">
        <v>693</v>
      </c>
      <c r="D1506" t="s">
        <v>9</v>
      </c>
      <c r="E1506" s="9">
        <v>2000</v>
      </c>
      <c r="F1506" s="9">
        <v>2000</v>
      </c>
      <c r="G1506" s="9">
        <v>1400</v>
      </c>
      <c r="I1506" t="s">
        <v>694</v>
      </c>
      <c r="J1506" t="s">
        <v>460</v>
      </c>
      <c r="K1506" t="s">
        <v>11</v>
      </c>
      <c r="L1506" t="str">
        <f>T("9791191562187")</f>
        <v>9791191562187</v>
      </c>
    </row>
    <row r="1507" spans="1:12">
      <c r="A1507" s="8">
        <v>44651.920902777776</v>
      </c>
      <c r="B1507">
        <v>290197934</v>
      </c>
      <c r="C1507" t="s">
        <v>604</v>
      </c>
      <c r="D1507" t="s">
        <v>9</v>
      </c>
      <c r="E1507" s="9">
        <v>2000</v>
      </c>
      <c r="F1507" s="9">
        <v>2000</v>
      </c>
      <c r="G1507" s="9">
        <v>1400</v>
      </c>
      <c r="I1507" t="s">
        <v>605</v>
      </c>
      <c r="J1507" t="s">
        <v>460</v>
      </c>
      <c r="K1507" t="s">
        <v>11</v>
      </c>
      <c r="L1507" t="str">
        <f>T("9791191562163")</f>
        <v>9791191562163</v>
      </c>
    </row>
    <row r="1508" spans="1:12">
      <c r="A1508" s="8">
        <v>44651.922638888886</v>
      </c>
      <c r="B1508">
        <v>290197934</v>
      </c>
      <c r="C1508" t="s">
        <v>604</v>
      </c>
      <c r="D1508" t="s">
        <v>9</v>
      </c>
      <c r="E1508" s="9">
        <v>-2000</v>
      </c>
      <c r="F1508" s="9">
        <v>-2000</v>
      </c>
      <c r="G1508" s="9">
        <v>-1400</v>
      </c>
      <c r="H1508" s="8">
        <v>44651.920902777776</v>
      </c>
      <c r="I1508" t="s">
        <v>605</v>
      </c>
      <c r="J1508" t="s">
        <v>460</v>
      </c>
      <c r="K1508" t="s">
        <v>11</v>
      </c>
      <c r="L1508" t="str">
        <f>T("9791191562163")</f>
        <v>9791191562163</v>
      </c>
    </row>
    <row r="1509" spans="1:12">
      <c r="A1509" s="8">
        <v>44651.921249999999</v>
      </c>
      <c r="B1509">
        <v>291805580</v>
      </c>
      <c r="C1509" t="s">
        <v>747</v>
      </c>
      <c r="D1509" t="s">
        <v>9</v>
      </c>
      <c r="E1509" s="9">
        <v>2000</v>
      </c>
      <c r="F1509" s="9">
        <v>2000</v>
      </c>
      <c r="G1509" s="9">
        <v>1400</v>
      </c>
      <c r="I1509" t="s">
        <v>748</v>
      </c>
      <c r="J1509" t="s">
        <v>460</v>
      </c>
      <c r="K1509" t="s">
        <v>11</v>
      </c>
      <c r="L1509" t="str">
        <f>T("9791191562255")</f>
        <v>9791191562255</v>
      </c>
    </row>
    <row r="1510" spans="1:12">
      <c r="A1510" s="8">
        <v>44651.923333333332</v>
      </c>
      <c r="B1510">
        <v>290197934</v>
      </c>
      <c r="C1510" t="s">
        <v>604</v>
      </c>
      <c r="D1510" t="s">
        <v>9</v>
      </c>
      <c r="E1510" s="9">
        <v>2000</v>
      </c>
      <c r="F1510" s="9">
        <v>2000</v>
      </c>
      <c r="G1510" s="9">
        <v>1400</v>
      </c>
      <c r="I1510" t="s">
        <v>605</v>
      </c>
      <c r="J1510" t="s">
        <v>460</v>
      </c>
      <c r="K1510" t="s">
        <v>11</v>
      </c>
      <c r="L1510" t="str">
        <f>T("9791191562163")</f>
        <v>9791191562163</v>
      </c>
    </row>
    <row r="1511" spans="1:12">
      <c r="A1511" s="8">
        <v>44651.926539351851</v>
      </c>
      <c r="B1511">
        <v>291805580</v>
      </c>
      <c r="C1511" t="s">
        <v>747</v>
      </c>
      <c r="D1511" t="s">
        <v>9</v>
      </c>
      <c r="E1511" s="9">
        <v>2000</v>
      </c>
      <c r="F1511" s="9">
        <v>2000</v>
      </c>
      <c r="G1511" s="9">
        <v>1400</v>
      </c>
      <c r="I1511" t="s">
        <v>748</v>
      </c>
      <c r="J1511" t="s">
        <v>460</v>
      </c>
      <c r="K1511" t="s">
        <v>11</v>
      </c>
      <c r="L1511" t="str">
        <f>T("9791191562255")</f>
        <v>9791191562255</v>
      </c>
    </row>
    <row r="1512" spans="1:12">
      <c r="A1512" s="8">
        <v>44651.931041666663</v>
      </c>
      <c r="B1512">
        <v>274772659</v>
      </c>
      <c r="C1512" t="s">
        <v>37</v>
      </c>
      <c r="D1512" t="s">
        <v>9</v>
      </c>
      <c r="E1512" s="9">
        <v>3000</v>
      </c>
      <c r="F1512" s="9">
        <v>3000</v>
      </c>
      <c r="G1512" s="9">
        <v>2100</v>
      </c>
      <c r="I1512" t="s">
        <v>34</v>
      </c>
      <c r="J1512" t="s">
        <v>588</v>
      </c>
      <c r="K1512" t="s">
        <v>11</v>
      </c>
      <c r="L1512" t="str">
        <f>T("9791166481703")</f>
        <v>9791166481703</v>
      </c>
    </row>
    <row r="1513" spans="1:12">
      <c r="A1513" s="8">
        <v>44651.932268518518</v>
      </c>
      <c r="B1513">
        <v>291088925</v>
      </c>
      <c r="C1513" t="s">
        <v>693</v>
      </c>
      <c r="D1513" t="s">
        <v>9</v>
      </c>
      <c r="E1513" s="9">
        <v>2000</v>
      </c>
      <c r="F1513" s="9">
        <v>2000</v>
      </c>
      <c r="G1513" s="9">
        <v>1400</v>
      </c>
      <c r="I1513" t="s">
        <v>694</v>
      </c>
      <c r="J1513" t="s">
        <v>460</v>
      </c>
      <c r="K1513" t="s">
        <v>11</v>
      </c>
      <c r="L1513" t="str">
        <f>T("9791191562187")</f>
        <v>9791191562187</v>
      </c>
    </row>
    <row r="1514" spans="1:12">
      <c r="A1514" s="8">
        <v>44651.935567129629</v>
      </c>
      <c r="B1514">
        <v>291088925</v>
      </c>
      <c r="C1514" t="s">
        <v>693</v>
      </c>
      <c r="D1514" t="s">
        <v>9</v>
      </c>
      <c r="E1514" s="9">
        <v>2000</v>
      </c>
      <c r="F1514" s="9">
        <v>2000</v>
      </c>
      <c r="G1514" s="9">
        <v>1400</v>
      </c>
      <c r="I1514" t="s">
        <v>694</v>
      </c>
      <c r="J1514" t="s">
        <v>460</v>
      </c>
      <c r="K1514" t="s">
        <v>11</v>
      </c>
      <c r="L1514" t="str">
        <f>T("9791191562187")</f>
        <v>9791191562187</v>
      </c>
    </row>
    <row r="1515" spans="1:12">
      <c r="A1515" s="8">
        <v>44651.947835648149</v>
      </c>
      <c r="B1515">
        <v>290197934</v>
      </c>
      <c r="C1515" t="s">
        <v>604</v>
      </c>
      <c r="D1515" t="s">
        <v>9</v>
      </c>
      <c r="E1515" s="9">
        <v>2000</v>
      </c>
      <c r="F1515" s="9">
        <v>2000</v>
      </c>
      <c r="G1515" s="9">
        <v>1400</v>
      </c>
      <c r="I1515" t="s">
        <v>605</v>
      </c>
      <c r="J1515" t="s">
        <v>460</v>
      </c>
      <c r="K1515" t="s">
        <v>11</v>
      </c>
      <c r="L1515" t="str">
        <f>T("9791191562163")</f>
        <v>9791191562163</v>
      </c>
    </row>
    <row r="1516" spans="1:12">
      <c r="A1516" s="8">
        <v>44651.947835648149</v>
      </c>
      <c r="B1516">
        <v>289956908</v>
      </c>
      <c r="C1516" t="s">
        <v>481</v>
      </c>
      <c r="D1516" t="s">
        <v>9</v>
      </c>
      <c r="E1516" s="9">
        <v>2000</v>
      </c>
      <c r="F1516" s="9">
        <v>2000</v>
      </c>
      <c r="G1516" s="9">
        <v>1400</v>
      </c>
      <c r="I1516" t="s">
        <v>457</v>
      </c>
      <c r="J1516" t="s">
        <v>460</v>
      </c>
      <c r="K1516" t="s">
        <v>11</v>
      </c>
      <c r="L1516" t="str">
        <f>T("9791191562040")</f>
        <v>9791191562040</v>
      </c>
    </row>
    <row r="1517" spans="1:12">
      <c r="A1517" s="8">
        <v>44651.955925925926</v>
      </c>
      <c r="B1517">
        <v>289658948</v>
      </c>
      <c r="C1517" t="s">
        <v>580</v>
      </c>
      <c r="D1517" t="s">
        <v>9</v>
      </c>
      <c r="E1517" s="9">
        <v>3600</v>
      </c>
      <c r="F1517" s="9">
        <v>3600</v>
      </c>
      <c r="G1517" s="9">
        <v>2520</v>
      </c>
      <c r="I1517" t="s">
        <v>455</v>
      </c>
      <c r="J1517" t="s">
        <v>460</v>
      </c>
      <c r="K1517" t="s">
        <v>11</v>
      </c>
      <c r="L1517" t="str">
        <f>T("9791191562095")</f>
        <v>9791191562095</v>
      </c>
    </row>
    <row r="1518" spans="1:12">
      <c r="A1518" s="8">
        <v>44651.956666666665</v>
      </c>
      <c r="B1518">
        <v>290197934</v>
      </c>
      <c r="C1518" t="s">
        <v>604</v>
      </c>
      <c r="D1518" t="s">
        <v>9</v>
      </c>
      <c r="E1518" s="9">
        <v>2000</v>
      </c>
      <c r="F1518" s="9">
        <v>2000</v>
      </c>
      <c r="G1518" s="9">
        <v>1400</v>
      </c>
      <c r="I1518" t="s">
        <v>605</v>
      </c>
      <c r="J1518" t="s">
        <v>460</v>
      </c>
      <c r="K1518" t="s">
        <v>11</v>
      </c>
      <c r="L1518" t="str">
        <f>T("9791191562163")</f>
        <v>9791191562163</v>
      </c>
    </row>
    <row r="1519" spans="1:12">
      <c r="A1519" s="8">
        <v>44651.961365740739</v>
      </c>
      <c r="B1519">
        <v>290963607</v>
      </c>
      <c r="C1519" t="s">
        <v>681</v>
      </c>
      <c r="D1519" t="s">
        <v>9</v>
      </c>
      <c r="E1519" s="9">
        <v>3500</v>
      </c>
      <c r="F1519" s="9">
        <v>3500</v>
      </c>
      <c r="G1519" s="9">
        <v>2450</v>
      </c>
      <c r="I1519" t="s">
        <v>682</v>
      </c>
      <c r="J1519" t="s">
        <v>460</v>
      </c>
      <c r="K1519" t="s">
        <v>11</v>
      </c>
      <c r="L1519" t="str">
        <f>T("9791191562132")</f>
        <v>9791191562132</v>
      </c>
    </row>
    <row r="1520" spans="1:12">
      <c r="A1520" s="8">
        <v>44651.963761574072</v>
      </c>
      <c r="B1520">
        <v>291088925</v>
      </c>
      <c r="C1520" t="s">
        <v>693</v>
      </c>
      <c r="D1520" t="s">
        <v>9</v>
      </c>
      <c r="E1520" s="9">
        <v>2000</v>
      </c>
      <c r="F1520" s="9">
        <v>2000</v>
      </c>
      <c r="G1520" s="9">
        <v>1400</v>
      </c>
      <c r="I1520" t="s">
        <v>694</v>
      </c>
      <c r="J1520" t="s">
        <v>460</v>
      </c>
      <c r="K1520" t="s">
        <v>11</v>
      </c>
      <c r="L1520" t="str">
        <f>T("9791191562187")</f>
        <v>9791191562187</v>
      </c>
    </row>
    <row r="1521" spans="1:12">
      <c r="A1521" s="8">
        <v>44651.971759259257</v>
      </c>
      <c r="B1521">
        <v>290197934</v>
      </c>
      <c r="C1521" t="s">
        <v>604</v>
      </c>
      <c r="D1521" t="s">
        <v>9</v>
      </c>
      <c r="E1521" s="9">
        <v>2000</v>
      </c>
      <c r="F1521" s="9">
        <v>2000</v>
      </c>
      <c r="G1521" s="9">
        <v>1400</v>
      </c>
      <c r="I1521" t="s">
        <v>605</v>
      </c>
      <c r="J1521" t="s">
        <v>460</v>
      </c>
      <c r="K1521" t="s">
        <v>11</v>
      </c>
      <c r="L1521" t="str">
        <f>T("9791191562163")</f>
        <v>9791191562163</v>
      </c>
    </row>
    <row r="1522" spans="1:12">
      <c r="A1522" s="8">
        <v>44651.971909722219</v>
      </c>
      <c r="B1522">
        <v>291088925</v>
      </c>
      <c r="C1522" t="s">
        <v>693</v>
      </c>
      <c r="D1522" t="s">
        <v>9</v>
      </c>
      <c r="E1522" s="9">
        <v>2000</v>
      </c>
      <c r="F1522" s="9">
        <v>2000</v>
      </c>
      <c r="G1522" s="9">
        <v>1400</v>
      </c>
      <c r="I1522" t="s">
        <v>694</v>
      </c>
      <c r="J1522" t="s">
        <v>460</v>
      </c>
      <c r="K1522" t="s">
        <v>11</v>
      </c>
      <c r="L1522" t="str">
        <f>T("9791191562187")</f>
        <v>9791191562187</v>
      </c>
    </row>
    <row r="1523" spans="1:12">
      <c r="A1523" s="8">
        <v>44651.973587962966</v>
      </c>
      <c r="B1523">
        <v>291088925</v>
      </c>
      <c r="C1523" t="s">
        <v>693</v>
      </c>
      <c r="D1523" t="s">
        <v>9</v>
      </c>
      <c r="E1523" s="9">
        <v>2000</v>
      </c>
      <c r="F1523" s="9">
        <v>2000</v>
      </c>
      <c r="G1523" s="9">
        <v>1400</v>
      </c>
      <c r="I1523" t="s">
        <v>694</v>
      </c>
      <c r="J1523" t="s">
        <v>460</v>
      </c>
      <c r="K1523" t="s">
        <v>11</v>
      </c>
      <c r="L1523" t="str">
        <f>T("9791191562187")</f>
        <v>9791191562187</v>
      </c>
    </row>
    <row r="1524" spans="1:12">
      <c r="A1524" s="8">
        <v>44651.973587962966</v>
      </c>
      <c r="B1524">
        <v>290197934</v>
      </c>
      <c r="C1524" t="s">
        <v>604</v>
      </c>
      <c r="D1524" t="s">
        <v>9</v>
      </c>
      <c r="E1524" s="9">
        <v>2000</v>
      </c>
      <c r="F1524" s="9">
        <v>2000</v>
      </c>
      <c r="G1524" s="9">
        <v>1400</v>
      </c>
      <c r="I1524" t="s">
        <v>605</v>
      </c>
      <c r="J1524" t="s">
        <v>460</v>
      </c>
      <c r="K1524" t="s">
        <v>11</v>
      </c>
      <c r="L1524" t="str">
        <f>T("9791191562163")</f>
        <v>9791191562163</v>
      </c>
    </row>
    <row r="1525" spans="1:12">
      <c r="A1525" s="8">
        <v>44651.981319444443</v>
      </c>
      <c r="B1525">
        <v>291801915</v>
      </c>
      <c r="C1525" t="s">
        <v>745</v>
      </c>
      <c r="D1525" t="s">
        <v>9</v>
      </c>
      <c r="E1525" s="9">
        <v>2000</v>
      </c>
      <c r="F1525" s="9">
        <v>2000</v>
      </c>
      <c r="G1525" s="9">
        <v>1400</v>
      </c>
      <c r="I1525" t="s">
        <v>746</v>
      </c>
      <c r="J1525" t="s">
        <v>460</v>
      </c>
      <c r="K1525" t="s">
        <v>11</v>
      </c>
      <c r="L1525" t="str">
        <f>T("9791191562200")</f>
        <v>9791191562200</v>
      </c>
    </row>
    <row r="1526" spans="1:12">
      <c r="A1526" s="8">
        <v>44651.981990740744</v>
      </c>
      <c r="B1526">
        <v>291088925</v>
      </c>
      <c r="C1526" t="s">
        <v>693</v>
      </c>
      <c r="D1526" t="s">
        <v>9</v>
      </c>
      <c r="E1526" s="9">
        <v>2000</v>
      </c>
      <c r="F1526" s="9">
        <v>2000</v>
      </c>
      <c r="G1526" s="9">
        <v>1400</v>
      </c>
      <c r="I1526" t="s">
        <v>694</v>
      </c>
      <c r="J1526" t="s">
        <v>460</v>
      </c>
      <c r="K1526" t="s">
        <v>11</v>
      </c>
      <c r="L1526" t="str">
        <f>T("9791191562187")</f>
        <v>9791191562187</v>
      </c>
    </row>
    <row r="1527" spans="1:12">
      <c r="A1527" s="8">
        <v>44651.983425925922</v>
      </c>
      <c r="B1527">
        <v>291088925</v>
      </c>
      <c r="C1527" t="s">
        <v>693</v>
      </c>
      <c r="D1527" t="s">
        <v>9</v>
      </c>
      <c r="E1527" s="9">
        <v>2000</v>
      </c>
      <c r="F1527" s="9">
        <v>2000</v>
      </c>
      <c r="G1527" s="9">
        <v>1400</v>
      </c>
      <c r="I1527" t="s">
        <v>694</v>
      </c>
      <c r="J1527" t="s">
        <v>460</v>
      </c>
      <c r="K1527" t="s">
        <v>11</v>
      </c>
      <c r="L1527" t="str">
        <f>T("9791191562187")</f>
        <v>9791191562187</v>
      </c>
    </row>
    <row r="1528" spans="1:12">
      <c r="A1528" s="8">
        <v>44651.991180555553</v>
      </c>
      <c r="B1528">
        <v>291088925</v>
      </c>
      <c r="C1528" t="s">
        <v>693</v>
      </c>
      <c r="D1528" t="s">
        <v>9</v>
      </c>
      <c r="E1528" s="9">
        <v>2000</v>
      </c>
      <c r="F1528" s="9">
        <v>2000</v>
      </c>
      <c r="G1528" s="9">
        <v>1400</v>
      </c>
      <c r="I1528" t="s">
        <v>694</v>
      </c>
      <c r="J1528" t="s">
        <v>460</v>
      </c>
      <c r="K1528" t="s">
        <v>11</v>
      </c>
      <c r="L1528" t="str">
        <f>T("9791191562187")</f>
        <v>9791191562187</v>
      </c>
    </row>
    <row r="1529" spans="1:12">
      <c r="A1529" s="8">
        <v>44651.991851851853</v>
      </c>
      <c r="B1529">
        <v>274772658</v>
      </c>
      <c r="C1529" t="s">
        <v>75</v>
      </c>
      <c r="D1529" t="s">
        <v>9</v>
      </c>
      <c r="E1529" s="9">
        <v>3000</v>
      </c>
      <c r="F1529" s="9">
        <v>3000</v>
      </c>
      <c r="G1529" s="9">
        <v>2100</v>
      </c>
      <c r="I1529" t="s">
        <v>34</v>
      </c>
      <c r="J1529" t="s">
        <v>588</v>
      </c>
      <c r="K1529" t="s">
        <v>11</v>
      </c>
      <c r="L1529" t="str">
        <f>T("9791166481710")</f>
        <v>9791166481710</v>
      </c>
    </row>
    <row r="1530" spans="1:12">
      <c r="A1530" s="8">
        <v>44651.992349537039</v>
      </c>
      <c r="B1530">
        <v>291088925</v>
      </c>
      <c r="C1530" t="s">
        <v>693</v>
      </c>
      <c r="D1530" t="s">
        <v>9</v>
      </c>
      <c r="E1530" s="9">
        <v>2000</v>
      </c>
      <c r="F1530" s="9">
        <v>2000</v>
      </c>
      <c r="G1530" s="9">
        <v>1400</v>
      </c>
      <c r="I1530" t="s">
        <v>694</v>
      </c>
      <c r="J1530" t="s">
        <v>460</v>
      </c>
      <c r="K1530" t="s">
        <v>11</v>
      </c>
      <c r="L1530" t="str">
        <f>T("9791191562187")</f>
        <v>9791191562187</v>
      </c>
    </row>
    <row r="1531" spans="1:12">
      <c r="A1531" s="8">
        <v>44651.999421296299</v>
      </c>
      <c r="B1531">
        <v>287834730</v>
      </c>
      <c r="C1531" t="s">
        <v>275</v>
      </c>
      <c r="D1531" t="s">
        <v>9</v>
      </c>
      <c r="E1531" s="9">
        <v>2000</v>
      </c>
      <c r="F1531" s="9">
        <v>2000</v>
      </c>
      <c r="G1531" s="9">
        <v>1400</v>
      </c>
      <c r="I1531" t="s">
        <v>169</v>
      </c>
      <c r="J1531" t="s">
        <v>460</v>
      </c>
      <c r="K1531" t="s">
        <v>11</v>
      </c>
      <c r="L1531" t="str">
        <f>T("9791191562019")</f>
        <v>9791191562019</v>
      </c>
    </row>
    <row r="1532" spans="1:12">
      <c r="G1532" s="10">
        <f>SUM(G2:G1531)</f>
        <v>2667903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88"/>
  <sheetViews>
    <sheetView topLeftCell="A167" workbookViewId="0">
      <selection activeCell="G188" sqref="G188"/>
    </sheetView>
  </sheetViews>
  <sheetFormatPr defaultRowHeight="16.5"/>
  <cols>
    <col min="1" max="1" width="16.25" bestFit="1" customWidth="1"/>
    <col min="2" max="2" width="10.375" bestFit="1" customWidth="1"/>
    <col min="3" max="3" width="48.25" bestFit="1" customWidth="1"/>
    <col min="4" max="4" width="8.625" bestFit="1" customWidth="1"/>
    <col min="5" max="6" width="6.75" bestFit="1" customWidth="1"/>
    <col min="7" max="7" width="9.25" bestFit="1" customWidth="1"/>
    <col min="8" max="8" width="16.25" bestFit="1" customWidth="1"/>
    <col min="9" max="9" width="11.5" bestFit="1" customWidth="1"/>
    <col min="10" max="11" width="10.375" bestFit="1" customWidth="1"/>
    <col min="12" max="12" width="14.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44593.000833333332</v>
      </c>
      <c r="B2" s="4">
        <v>48791697</v>
      </c>
      <c r="C2" s="4" t="s">
        <v>508</v>
      </c>
      <c r="D2" s="4" t="s">
        <v>12</v>
      </c>
      <c r="E2" s="4">
        <v>900</v>
      </c>
      <c r="F2" s="4">
        <v>900</v>
      </c>
      <c r="G2" s="4">
        <v>630</v>
      </c>
      <c r="H2" s="4"/>
      <c r="I2" s="4" t="s">
        <v>10</v>
      </c>
      <c r="J2" s="4" t="s">
        <v>11</v>
      </c>
      <c r="K2" s="4" t="s">
        <v>11</v>
      </c>
      <c r="L2" s="4" t="s">
        <v>301</v>
      </c>
    </row>
    <row r="3" spans="1:12">
      <c r="A3" s="3">
        <v>44593.000833333332</v>
      </c>
      <c r="B3" s="4">
        <v>48791699</v>
      </c>
      <c r="C3" s="4" t="s">
        <v>509</v>
      </c>
      <c r="D3" s="4" t="s">
        <v>12</v>
      </c>
      <c r="E3" s="4">
        <v>900</v>
      </c>
      <c r="F3" s="4">
        <v>900</v>
      </c>
      <c r="G3" s="4">
        <v>630</v>
      </c>
      <c r="H3" s="4"/>
      <c r="I3" s="4" t="s">
        <v>10</v>
      </c>
      <c r="J3" s="4" t="s">
        <v>11</v>
      </c>
      <c r="K3" s="4" t="s">
        <v>11</v>
      </c>
      <c r="L3" s="4" t="s">
        <v>302</v>
      </c>
    </row>
    <row r="4" spans="1:12">
      <c r="A4" s="3">
        <v>44593.010625000003</v>
      </c>
      <c r="B4" s="4">
        <v>276845945</v>
      </c>
      <c r="C4" s="4" t="s">
        <v>484</v>
      </c>
      <c r="D4" s="4" t="s">
        <v>9</v>
      </c>
      <c r="E4" s="5">
        <v>2400</v>
      </c>
      <c r="F4" s="5">
        <v>2400</v>
      </c>
      <c r="G4" s="5">
        <v>1680</v>
      </c>
      <c r="H4" s="4"/>
      <c r="I4" s="4" t="s">
        <v>458</v>
      </c>
      <c r="J4" s="4" t="s">
        <v>11</v>
      </c>
      <c r="K4" s="4" t="s">
        <v>11</v>
      </c>
      <c r="L4" s="4" t="s">
        <v>303</v>
      </c>
    </row>
    <row r="5" spans="1:12">
      <c r="A5" s="3">
        <v>44593.010625000003</v>
      </c>
      <c r="B5" s="4">
        <v>276845976</v>
      </c>
      <c r="C5" s="4" t="s">
        <v>512</v>
      </c>
      <c r="D5" s="4" t="s">
        <v>9</v>
      </c>
      <c r="E5" s="5">
        <v>2400</v>
      </c>
      <c r="F5" s="5">
        <v>2400</v>
      </c>
      <c r="G5" s="5">
        <v>1680</v>
      </c>
      <c r="H5" s="4"/>
      <c r="I5" s="4" t="s">
        <v>458</v>
      </c>
      <c r="J5" s="4" t="s">
        <v>11</v>
      </c>
      <c r="K5" s="4" t="s">
        <v>11</v>
      </c>
      <c r="L5" s="4" t="s">
        <v>304</v>
      </c>
    </row>
    <row r="6" spans="1:12">
      <c r="A6" s="3">
        <v>44593.010625000003</v>
      </c>
      <c r="B6" s="4">
        <v>276845995</v>
      </c>
      <c r="C6" s="4" t="s">
        <v>513</v>
      </c>
      <c r="D6" s="4" t="s">
        <v>9</v>
      </c>
      <c r="E6" s="5">
        <v>2400</v>
      </c>
      <c r="F6" s="5">
        <v>2400</v>
      </c>
      <c r="G6" s="5">
        <v>1680</v>
      </c>
      <c r="H6" s="4"/>
      <c r="I6" s="4" t="s">
        <v>458</v>
      </c>
      <c r="J6" s="4" t="s">
        <v>11</v>
      </c>
      <c r="K6" s="4" t="s">
        <v>11</v>
      </c>
      <c r="L6" s="4" t="s">
        <v>305</v>
      </c>
    </row>
    <row r="7" spans="1:12">
      <c r="A7" s="3">
        <v>44593.010625000003</v>
      </c>
      <c r="B7" s="4">
        <v>276846034</v>
      </c>
      <c r="C7" s="4" t="s">
        <v>511</v>
      </c>
      <c r="D7" s="4" t="s">
        <v>9</v>
      </c>
      <c r="E7" s="5">
        <v>2400</v>
      </c>
      <c r="F7" s="5">
        <v>2400</v>
      </c>
      <c r="G7" s="5">
        <v>1680</v>
      </c>
      <c r="H7" s="4"/>
      <c r="I7" s="4" t="s">
        <v>458</v>
      </c>
      <c r="J7" s="4" t="s">
        <v>11</v>
      </c>
      <c r="K7" s="4" t="s">
        <v>11</v>
      </c>
      <c r="L7" s="4" t="s">
        <v>306</v>
      </c>
    </row>
    <row r="8" spans="1:12">
      <c r="A8" s="3">
        <v>44593.010625000003</v>
      </c>
      <c r="B8" s="4">
        <v>276846190</v>
      </c>
      <c r="C8" s="4" t="s">
        <v>510</v>
      </c>
      <c r="D8" s="4" t="s">
        <v>9</v>
      </c>
      <c r="E8" s="5">
        <v>2400</v>
      </c>
      <c r="F8" s="5">
        <v>2400</v>
      </c>
      <c r="G8" s="5">
        <v>1680</v>
      </c>
      <c r="H8" s="4"/>
      <c r="I8" s="4" t="s">
        <v>458</v>
      </c>
      <c r="J8" s="4" t="s">
        <v>11</v>
      </c>
      <c r="K8" s="4" t="s">
        <v>11</v>
      </c>
      <c r="L8" s="4" t="s">
        <v>307</v>
      </c>
    </row>
    <row r="9" spans="1:12">
      <c r="A9" s="3">
        <v>44593.015381944446</v>
      </c>
      <c r="B9" s="4">
        <v>54083054</v>
      </c>
      <c r="C9" s="4" t="s">
        <v>515</v>
      </c>
      <c r="D9" s="4" t="s">
        <v>12</v>
      </c>
      <c r="E9" s="4">
        <v>900</v>
      </c>
      <c r="F9" s="4">
        <v>900</v>
      </c>
      <c r="G9" s="4">
        <v>630</v>
      </c>
      <c r="H9" s="4"/>
      <c r="I9" s="4" t="s">
        <v>13</v>
      </c>
      <c r="J9" s="4" t="s">
        <v>11</v>
      </c>
      <c r="K9" s="4" t="s">
        <v>11</v>
      </c>
      <c r="L9" s="4" t="s">
        <v>308</v>
      </c>
    </row>
    <row r="10" spans="1:12">
      <c r="A10" s="3">
        <v>44593.04078703704</v>
      </c>
      <c r="B10" s="4">
        <v>100859758</v>
      </c>
      <c r="C10" s="4" t="s">
        <v>514</v>
      </c>
      <c r="D10" s="4" t="s">
        <v>9</v>
      </c>
      <c r="E10" s="4">
        <v>0</v>
      </c>
      <c r="F10" s="4">
        <v>0</v>
      </c>
      <c r="G10" s="4">
        <v>0</v>
      </c>
      <c r="H10" s="4"/>
      <c r="I10" s="4" t="s">
        <v>446</v>
      </c>
      <c r="J10" s="4" t="s">
        <v>11</v>
      </c>
      <c r="K10" s="4" t="s">
        <v>11</v>
      </c>
      <c r="L10" s="4" t="s">
        <v>312</v>
      </c>
    </row>
    <row r="11" spans="1:12">
      <c r="A11" s="3">
        <v>44593.060856481483</v>
      </c>
      <c r="B11" s="4">
        <v>279761158</v>
      </c>
      <c r="C11" s="4" t="s">
        <v>503</v>
      </c>
      <c r="D11" s="4" t="s">
        <v>12</v>
      </c>
      <c r="E11" s="5">
        <v>9900</v>
      </c>
      <c r="F11" s="5">
        <v>9900</v>
      </c>
      <c r="G11" s="5">
        <v>6930</v>
      </c>
      <c r="H11" s="4"/>
      <c r="I11" s="4" t="s">
        <v>10</v>
      </c>
      <c r="J11" s="4" t="s">
        <v>11</v>
      </c>
      <c r="K11" s="4" t="s">
        <v>11</v>
      </c>
      <c r="L11" s="4" t="s">
        <v>309</v>
      </c>
    </row>
    <row r="12" spans="1:12">
      <c r="A12" s="3">
        <v>44593.141724537039</v>
      </c>
      <c r="B12" s="4">
        <v>48791701</v>
      </c>
      <c r="C12" s="4" t="s">
        <v>505</v>
      </c>
      <c r="D12" s="4" t="s">
        <v>12</v>
      </c>
      <c r="E12" s="4">
        <v>900</v>
      </c>
      <c r="F12" s="4">
        <v>900</v>
      </c>
      <c r="G12" s="4">
        <v>630</v>
      </c>
      <c r="H12" s="4"/>
      <c r="I12" s="4" t="s">
        <v>10</v>
      </c>
      <c r="J12" s="4" t="s">
        <v>11</v>
      </c>
      <c r="K12" s="4" t="s">
        <v>11</v>
      </c>
      <c r="L12" s="4" t="s">
        <v>310</v>
      </c>
    </row>
    <row r="13" spans="1:12">
      <c r="A13" s="3">
        <v>44593.141724537039</v>
      </c>
      <c r="B13" s="4">
        <v>48791703</v>
      </c>
      <c r="C13" s="4" t="s">
        <v>506</v>
      </c>
      <c r="D13" s="4" t="s">
        <v>12</v>
      </c>
      <c r="E13" s="4">
        <v>900</v>
      </c>
      <c r="F13" s="4">
        <v>900</v>
      </c>
      <c r="G13" s="4">
        <v>630</v>
      </c>
      <c r="H13" s="4"/>
      <c r="I13" s="4" t="s">
        <v>10</v>
      </c>
      <c r="J13" s="4" t="s">
        <v>11</v>
      </c>
      <c r="K13" s="4" t="s">
        <v>11</v>
      </c>
      <c r="L13" s="4" t="s">
        <v>314</v>
      </c>
    </row>
    <row r="14" spans="1:12">
      <c r="A14" s="3">
        <v>44593.141724537039</v>
      </c>
      <c r="B14" s="4">
        <v>48791706</v>
      </c>
      <c r="C14" s="4" t="s">
        <v>507</v>
      </c>
      <c r="D14" s="4" t="s">
        <v>12</v>
      </c>
      <c r="E14" s="4">
        <v>900</v>
      </c>
      <c r="F14" s="4">
        <v>900</v>
      </c>
      <c r="G14" s="4">
        <v>630</v>
      </c>
      <c r="H14" s="4"/>
      <c r="I14" s="4" t="s">
        <v>10</v>
      </c>
      <c r="J14" s="4" t="s">
        <v>11</v>
      </c>
      <c r="K14" s="4" t="s">
        <v>11</v>
      </c>
      <c r="L14" s="4" t="s">
        <v>311</v>
      </c>
    </row>
    <row r="15" spans="1:12">
      <c r="A15" s="3">
        <v>44593.202731481484</v>
      </c>
      <c r="B15" s="4">
        <v>100859757</v>
      </c>
      <c r="C15" s="4" t="s">
        <v>516</v>
      </c>
      <c r="D15" s="4" t="s">
        <v>12</v>
      </c>
      <c r="E15" s="4">
        <v>900</v>
      </c>
      <c r="F15" s="4">
        <v>900</v>
      </c>
      <c r="G15" s="4">
        <v>630</v>
      </c>
      <c r="H15" s="4"/>
      <c r="I15" s="4" t="s">
        <v>446</v>
      </c>
      <c r="J15" s="4" t="s">
        <v>11</v>
      </c>
      <c r="K15" s="4" t="s">
        <v>11</v>
      </c>
      <c r="L15" s="4" t="s">
        <v>313</v>
      </c>
    </row>
    <row r="16" spans="1:12">
      <c r="A16" s="3">
        <v>44593.845381944448</v>
      </c>
      <c r="B16" s="4">
        <v>63011434</v>
      </c>
      <c r="C16" s="4" t="s">
        <v>459</v>
      </c>
      <c r="D16" s="4" t="s">
        <v>12</v>
      </c>
      <c r="E16" s="4">
        <v>0</v>
      </c>
      <c r="F16" s="4">
        <v>0</v>
      </c>
      <c r="G16" s="4">
        <v>0</v>
      </c>
      <c r="H16" s="4"/>
      <c r="I16" s="4" t="s">
        <v>16</v>
      </c>
      <c r="J16" s="4" t="s">
        <v>11</v>
      </c>
      <c r="K16" s="4" t="s">
        <v>11</v>
      </c>
      <c r="L16" s="4" t="s">
        <v>316</v>
      </c>
    </row>
    <row r="17" spans="1:12">
      <c r="A17" s="3">
        <v>44593.880266203705</v>
      </c>
      <c r="B17" s="4">
        <v>63011435</v>
      </c>
      <c r="C17" s="4" t="s">
        <v>464</v>
      </c>
      <c r="D17" s="4" t="s">
        <v>12</v>
      </c>
      <c r="E17" s="4">
        <v>900</v>
      </c>
      <c r="F17" s="4">
        <v>900</v>
      </c>
      <c r="G17" s="4">
        <v>630</v>
      </c>
      <c r="H17" s="4"/>
      <c r="I17" s="4" t="s">
        <v>16</v>
      </c>
      <c r="J17" s="4" t="s">
        <v>11</v>
      </c>
      <c r="K17" s="4" t="s">
        <v>11</v>
      </c>
      <c r="L17" s="4" t="s">
        <v>321</v>
      </c>
    </row>
    <row r="18" spans="1:12">
      <c r="A18" s="3">
        <v>44593.880266203705</v>
      </c>
      <c r="B18" s="4">
        <v>63011436</v>
      </c>
      <c r="C18" s="4" t="s">
        <v>475</v>
      </c>
      <c r="D18" s="4" t="s">
        <v>12</v>
      </c>
      <c r="E18" s="4">
        <v>900</v>
      </c>
      <c r="F18" s="4">
        <v>900</v>
      </c>
      <c r="G18" s="4">
        <v>630</v>
      </c>
      <c r="H18" s="4"/>
      <c r="I18" s="4" t="s">
        <v>16</v>
      </c>
      <c r="J18" s="4" t="s">
        <v>11</v>
      </c>
      <c r="K18" s="4" t="s">
        <v>11</v>
      </c>
      <c r="L18" s="4" t="s">
        <v>320</v>
      </c>
    </row>
    <row r="19" spans="1:12">
      <c r="A19" s="3">
        <v>44593.880266203705</v>
      </c>
      <c r="B19" s="4">
        <v>63011438</v>
      </c>
      <c r="C19" s="4" t="s">
        <v>461</v>
      </c>
      <c r="D19" s="4" t="s">
        <v>12</v>
      </c>
      <c r="E19" s="4">
        <v>900</v>
      </c>
      <c r="F19" s="4">
        <v>900</v>
      </c>
      <c r="G19" s="4">
        <v>630</v>
      </c>
      <c r="H19" s="4"/>
      <c r="I19" s="4" t="s">
        <v>16</v>
      </c>
      <c r="J19" s="4" t="s">
        <v>11</v>
      </c>
      <c r="K19" s="4" t="s">
        <v>11</v>
      </c>
      <c r="L19" s="4" t="s">
        <v>317</v>
      </c>
    </row>
    <row r="20" spans="1:12">
      <c r="A20" s="3">
        <v>44593.880266203705</v>
      </c>
      <c r="B20" s="4">
        <v>63011440</v>
      </c>
      <c r="C20" s="4" t="s">
        <v>465</v>
      </c>
      <c r="D20" s="4" t="s">
        <v>12</v>
      </c>
      <c r="E20" s="4">
        <v>900</v>
      </c>
      <c r="F20" s="4">
        <v>900</v>
      </c>
      <c r="G20" s="4">
        <v>630</v>
      </c>
      <c r="H20" s="4"/>
      <c r="I20" s="4" t="s">
        <v>16</v>
      </c>
      <c r="J20" s="4" t="s">
        <v>11</v>
      </c>
      <c r="K20" s="4" t="s">
        <v>11</v>
      </c>
      <c r="L20" s="4" t="s">
        <v>318</v>
      </c>
    </row>
    <row r="21" spans="1:12">
      <c r="A21" s="3">
        <v>44593.880266203705</v>
      </c>
      <c r="B21" s="4">
        <v>63011441</v>
      </c>
      <c r="C21" s="4" t="s">
        <v>472</v>
      </c>
      <c r="D21" s="4" t="s">
        <v>12</v>
      </c>
      <c r="E21" s="4">
        <v>900</v>
      </c>
      <c r="F21" s="4">
        <v>900</v>
      </c>
      <c r="G21" s="4">
        <v>630</v>
      </c>
      <c r="H21" s="4"/>
      <c r="I21" s="4" t="s">
        <v>16</v>
      </c>
      <c r="J21" s="4" t="s">
        <v>11</v>
      </c>
      <c r="K21" s="4" t="s">
        <v>11</v>
      </c>
      <c r="L21" s="4" t="s">
        <v>315</v>
      </c>
    </row>
    <row r="22" spans="1:12">
      <c r="A22" s="3">
        <v>44593.909502314818</v>
      </c>
      <c r="B22" s="4">
        <v>100859756</v>
      </c>
      <c r="C22" s="4" t="s">
        <v>517</v>
      </c>
      <c r="D22" s="4" t="s">
        <v>12</v>
      </c>
      <c r="E22" s="4">
        <v>900</v>
      </c>
      <c r="F22" s="4">
        <v>900</v>
      </c>
      <c r="G22" s="4">
        <v>630</v>
      </c>
      <c r="H22" s="4"/>
      <c r="I22" s="4" t="s">
        <v>446</v>
      </c>
      <c r="J22" s="4" t="s">
        <v>11</v>
      </c>
      <c r="K22" s="4" t="s">
        <v>11</v>
      </c>
      <c r="L22" s="4" t="s">
        <v>319</v>
      </c>
    </row>
    <row r="23" spans="1:12">
      <c r="A23" s="3">
        <v>44593.931851851848</v>
      </c>
      <c r="B23" s="4">
        <v>48791708</v>
      </c>
      <c r="C23" s="4" t="s">
        <v>279</v>
      </c>
      <c r="D23" s="4" t="s">
        <v>12</v>
      </c>
      <c r="E23" s="4">
        <v>900</v>
      </c>
      <c r="F23" s="4">
        <v>900</v>
      </c>
      <c r="G23" s="4">
        <v>630</v>
      </c>
      <c r="H23" s="4"/>
      <c r="I23" s="4" t="s">
        <v>10</v>
      </c>
      <c r="J23" s="4" t="s">
        <v>11</v>
      </c>
      <c r="K23" s="4" t="s">
        <v>11</v>
      </c>
      <c r="L23" s="4" t="s">
        <v>325</v>
      </c>
    </row>
    <row r="24" spans="1:12">
      <c r="A24" s="3">
        <v>44593.931851851848</v>
      </c>
      <c r="B24" s="4">
        <v>48791709</v>
      </c>
      <c r="C24" s="4" t="s">
        <v>518</v>
      </c>
      <c r="D24" s="4" t="s">
        <v>12</v>
      </c>
      <c r="E24" s="4">
        <v>900</v>
      </c>
      <c r="F24" s="4">
        <v>900</v>
      </c>
      <c r="G24" s="4">
        <v>630</v>
      </c>
      <c r="H24" s="4"/>
      <c r="I24" s="4" t="s">
        <v>10</v>
      </c>
      <c r="J24" s="4" t="s">
        <v>11</v>
      </c>
      <c r="K24" s="4" t="s">
        <v>11</v>
      </c>
      <c r="L24" s="4" t="s">
        <v>322</v>
      </c>
    </row>
    <row r="25" spans="1:12">
      <c r="A25" s="3">
        <v>44594.222754629627</v>
      </c>
      <c r="B25" s="4">
        <v>215046865</v>
      </c>
      <c r="C25" s="4" t="s">
        <v>280</v>
      </c>
      <c r="D25" s="4" t="s">
        <v>9</v>
      </c>
      <c r="E25" s="5">
        <v>3300</v>
      </c>
      <c r="F25" s="5">
        <v>3300</v>
      </c>
      <c r="G25" s="5">
        <v>2310</v>
      </c>
      <c r="H25" s="4"/>
      <c r="I25" s="4" t="s">
        <v>65</v>
      </c>
      <c r="J25" s="4" t="s">
        <v>11</v>
      </c>
      <c r="K25" s="4" t="s">
        <v>11</v>
      </c>
      <c r="L25" s="4" t="s">
        <v>328</v>
      </c>
    </row>
    <row r="26" spans="1:12">
      <c r="A26" s="3">
        <v>44594.37777777778</v>
      </c>
      <c r="B26" s="4">
        <v>100859755</v>
      </c>
      <c r="C26" s="4" t="s">
        <v>519</v>
      </c>
      <c r="D26" s="4" t="s">
        <v>12</v>
      </c>
      <c r="E26" s="4">
        <v>900</v>
      </c>
      <c r="F26" s="4">
        <v>900</v>
      </c>
      <c r="G26" s="4">
        <v>630</v>
      </c>
      <c r="H26" s="4"/>
      <c r="I26" s="4" t="s">
        <v>446</v>
      </c>
      <c r="J26" s="4" t="s">
        <v>11</v>
      </c>
      <c r="K26" s="4" t="s">
        <v>11</v>
      </c>
      <c r="L26" s="4" t="s">
        <v>329</v>
      </c>
    </row>
    <row r="27" spans="1:12">
      <c r="A27" s="3">
        <v>44594.465752314813</v>
      </c>
      <c r="B27" s="4">
        <v>100859754</v>
      </c>
      <c r="C27" s="4" t="s">
        <v>523</v>
      </c>
      <c r="D27" s="4" t="s">
        <v>12</v>
      </c>
      <c r="E27" s="4">
        <v>900</v>
      </c>
      <c r="F27" s="4">
        <v>900</v>
      </c>
      <c r="G27" s="4">
        <v>630</v>
      </c>
      <c r="H27" s="4"/>
      <c r="I27" s="4" t="s">
        <v>446</v>
      </c>
      <c r="J27" s="4" t="s">
        <v>11</v>
      </c>
      <c r="K27" s="4" t="s">
        <v>11</v>
      </c>
      <c r="L27" s="4" t="s">
        <v>330</v>
      </c>
    </row>
    <row r="28" spans="1:12">
      <c r="A28" s="3">
        <v>44594.613136574073</v>
      </c>
      <c r="B28" s="4">
        <v>215046862</v>
      </c>
      <c r="C28" s="4" t="s">
        <v>521</v>
      </c>
      <c r="D28" s="4" t="s">
        <v>9</v>
      </c>
      <c r="E28" s="4">
        <v>400</v>
      </c>
      <c r="F28" s="4">
        <v>400</v>
      </c>
      <c r="G28" s="4">
        <v>280</v>
      </c>
      <c r="H28" s="4"/>
      <c r="I28" s="4" t="s">
        <v>65</v>
      </c>
      <c r="J28" s="4" t="s">
        <v>11</v>
      </c>
      <c r="K28" s="4" t="s">
        <v>11</v>
      </c>
      <c r="L28" s="4" t="s">
        <v>326</v>
      </c>
    </row>
    <row r="29" spans="1:12">
      <c r="A29" s="3">
        <v>44594.613136574073</v>
      </c>
      <c r="B29" s="4">
        <v>215046863</v>
      </c>
      <c r="C29" s="4" t="s">
        <v>522</v>
      </c>
      <c r="D29" s="4" t="s">
        <v>9</v>
      </c>
      <c r="E29" s="5">
        <v>3300</v>
      </c>
      <c r="F29" s="5">
        <v>3300</v>
      </c>
      <c r="G29" s="5">
        <v>2310</v>
      </c>
      <c r="H29" s="4"/>
      <c r="I29" s="4" t="s">
        <v>65</v>
      </c>
      <c r="J29" s="4" t="s">
        <v>11</v>
      </c>
      <c r="K29" s="4" t="s">
        <v>11</v>
      </c>
      <c r="L29" s="4" t="s">
        <v>327</v>
      </c>
    </row>
    <row r="30" spans="1:12">
      <c r="A30" s="3">
        <v>44594.613136574073</v>
      </c>
      <c r="B30" s="4">
        <v>215046864</v>
      </c>
      <c r="C30" s="4" t="s">
        <v>281</v>
      </c>
      <c r="D30" s="4" t="s">
        <v>9</v>
      </c>
      <c r="E30" s="5">
        <v>3300</v>
      </c>
      <c r="F30" s="5">
        <v>3300</v>
      </c>
      <c r="G30" s="5">
        <v>2310</v>
      </c>
      <c r="H30" s="4"/>
      <c r="I30" s="4" t="s">
        <v>65</v>
      </c>
      <c r="J30" s="4" t="s">
        <v>11</v>
      </c>
      <c r="K30" s="4" t="s">
        <v>11</v>
      </c>
      <c r="L30" s="4" t="s">
        <v>331</v>
      </c>
    </row>
    <row r="31" spans="1:12">
      <c r="A31" s="3">
        <v>44595.263391203705</v>
      </c>
      <c r="B31" s="4">
        <v>248187260</v>
      </c>
      <c r="C31" s="4" t="s">
        <v>524</v>
      </c>
      <c r="D31" s="4" t="s">
        <v>9</v>
      </c>
      <c r="E31" s="5">
        <v>3200</v>
      </c>
      <c r="F31" s="5">
        <v>3200</v>
      </c>
      <c r="G31" s="5">
        <v>2240</v>
      </c>
      <c r="H31" s="4"/>
      <c r="I31" s="4" t="s">
        <v>15</v>
      </c>
      <c r="J31" s="4" t="s">
        <v>11</v>
      </c>
      <c r="K31" s="4" t="s">
        <v>11</v>
      </c>
      <c r="L31" s="4" t="s">
        <v>332</v>
      </c>
    </row>
    <row r="32" spans="1:12">
      <c r="A32" s="3">
        <v>44595.492129629631</v>
      </c>
      <c r="B32" s="4">
        <v>281625185</v>
      </c>
      <c r="C32" s="4" t="s">
        <v>38</v>
      </c>
      <c r="D32" s="4" t="s">
        <v>9</v>
      </c>
      <c r="E32" s="4">
        <v>0</v>
      </c>
      <c r="F32" s="4">
        <v>0</v>
      </c>
      <c r="G32" s="4">
        <v>0</v>
      </c>
      <c r="H32" s="4"/>
      <c r="I32" s="4" t="s">
        <v>14</v>
      </c>
      <c r="J32" s="4" t="s">
        <v>11</v>
      </c>
      <c r="K32" s="4" t="s">
        <v>11</v>
      </c>
      <c r="L32" s="4" t="s">
        <v>45</v>
      </c>
    </row>
    <row r="33" spans="1:12">
      <c r="A33" s="3">
        <v>44596.108761574076</v>
      </c>
      <c r="B33" s="4">
        <v>248187293</v>
      </c>
      <c r="C33" s="4" t="s">
        <v>526</v>
      </c>
      <c r="D33" s="4" t="s">
        <v>9</v>
      </c>
      <c r="E33" s="5">
        <v>3200</v>
      </c>
      <c r="F33" s="5">
        <v>3200</v>
      </c>
      <c r="G33" s="5">
        <v>2240</v>
      </c>
      <c r="H33" s="4"/>
      <c r="I33" s="4" t="s">
        <v>15</v>
      </c>
      <c r="J33" s="4" t="s">
        <v>11</v>
      </c>
      <c r="K33" s="4" t="s">
        <v>11</v>
      </c>
      <c r="L33" s="4" t="s">
        <v>335</v>
      </c>
    </row>
    <row r="34" spans="1:12">
      <c r="A34" s="3">
        <v>44596.108761574076</v>
      </c>
      <c r="B34" s="4">
        <v>248187304</v>
      </c>
      <c r="C34" s="4" t="s">
        <v>116</v>
      </c>
      <c r="D34" s="4" t="s">
        <v>9</v>
      </c>
      <c r="E34" s="5">
        <v>3200</v>
      </c>
      <c r="F34" s="5">
        <v>3200</v>
      </c>
      <c r="G34" s="5">
        <v>2240</v>
      </c>
      <c r="H34" s="4"/>
      <c r="I34" s="4" t="s">
        <v>15</v>
      </c>
      <c r="J34" s="4" t="s">
        <v>11</v>
      </c>
      <c r="K34" s="4" t="s">
        <v>11</v>
      </c>
      <c r="L34" s="4" t="s">
        <v>217</v>
      </c>
    </row>
    <row r="35" spans="1:12">
      <c r="A35" s="3">
        <v>44596.573483796295</v>
      </c>
      <c r="B35" s="4">
        <v>54081867</v>
      </c>
      <c r="C35" s="4" t="s">
        <v>470</v>
      </c>
      <c r="D35" s="4" t="s">
        <v>12</v>
      </c>
      <c r="E35" s="4">
        <v>0</v>
      </c>
      <c r="F35" s="4">
        <v>0</v>
      </c>
      <c r="G35" s="4">
        <v>0</v>
      </c>
      <c r="H35" s="4"/>
      <c r="I35" s="4" t="s">
        <v>13</v>
      </c>
      <c r="J35" s="4" t="s">
        <v>11</v>
      </c>
      <c r="K35" s="4" t="s">
        <v>11</v>
      </c>
      <c r="L35" s="4" t="s">
        <v>333</v>
      </c>
    </row>
    <row r="36" spans="1:12">
      <c r="A36" s="3">
        <v>44596.626921296294</v>
      </c>
      <c r="B36" s="4">
        <v>276526517</v>
      </c>
      <c r="C36" s="4" t="s">
        <v>463</v>
      </c>
      <c r="D36" s="4" t="s">
        <v>9</v>
      </c>
      <c r="E36" s="4">
        <v>0</v>
      </c>
      <c r="F36" s="4">
        <v>0</v>
      </c>
      <c r="G36" s="4">
        <v>0</v>
      </c>
      <c r="H36" s="4"/>
      <c r="I36" s="4" t="s">
        <v>462</v>
      </c>
      <c r="J36" s="4" t="s">
        <v>11</v>
      </c>
      <c r="K36" s="4" t="s">
        <v>11</v>
      </c>
      <c r="L36" s="4" t="s">
        <v>334</v>
      </c>
    </row>
    <row r="37" spans="1:12">
      <c r="A37" s="3">
        <v>44596.857789351852</v>
      </c>
      <c r="B37" s="4">
        <v>54081871</v>
      </c>
      <c r="C37" s="4" t="s">
        <v>468</v>
      </c>
      <c r="D37" s="4" t="s">
        <v>12</v>
      </c>
      <c r="E37" s="4">
        <v>900</v>
      </c>
      <c r="F37" s="4">
        <v>900</v>
      </c>
      <c r="G37" s="4">
        <v>630</v>
      </c>
      <c r="H37" s="4"/>
      <c r="I37" s="4" t="s">
        <v>13</v>
      </c>
      <c r="J37" s="4" t="s">
        <v>11</v>
      </c>
      <c r="K37" s="4" t="s">
        <v>11</v>
      </c>
      <c r="L37" s="4" t="s">
        <v>336</v>
      </c>
    </row>
    <row r="38" spans="1:12">
      <c r="A38" s="3">
        <v>44596.857789351852</v>
      </c>
      <c r="B38" s="4">
        <v>54081873</v>
      </c>
      <c r="C38" s="4" t="s">
        <v>473</v>
      </c>
      <c r="D38" s="4" t="s">
        <v>12</v>
      </c>
      <c r="E38" s="4">
        <v>900</v>
      </c>
      <c r="F38" s="4">
        <v>900</v>
      </c>
      <c r="G38" s="4">
        <v>630</v>
      </c>
      <c r="H38" s="4"/>
      <c r="I38" s="4" t="s">
        <v>13</v>
      </c>
      <c r="J38" s="4" t="s">
        <v>11</v>
      </c>
      <c r="K38" s="4" t="s">
        <v>11</v>
      </c>
      <c r="L38" s="4" t="s">
        <v>337</v>
      </c>
    </row>
    <row r="39" spans="1:12">
      <c r="A39" s="3">
        <v>44596.857789351852</v>
      </c>
      <c r="B39" s="4">
        <v>54083052</v>
      </c>
      <c r="C39" s="4" t="s">
        <v>230</v>
      </c>
      <c r="D39" s="4" t="s">
        <v>12</v>
      </c>
      <c r="E39" s="4">
        <v>900</v>
      </c>
      <c r="F39" s="4">
        <v>900</v>
      </c>
      <c r="G39" s="4">
        <v>630</v>
      </c>
      <c r="H39" s="4"/>
      <c r="I39" s="4" t="s">
        <v>13</v>
      </c>
      <c r="J39" s="4" t="s">
        <v>11</v>
      </c>
      <c r="K39" s="4" t="s">
        <v>11</v>
      </c>
      <c r="L39" s="4" t="s">
        <v>182</v>
      </c>
    </row>
    <row r="40" spans="1:12">
      <c r="A40" s="3">
        <v>44596.857789351852</v>
      </c>
      <c r="B40" s="4">
        <v>54083053</v>
      </c>
      <c r="C40" s="4" t="s">
        <v>228</v>
      </c>
      <c r="D40" s="4" t="s">
        <v>12</v>
      </c>
      <c r="E40" s="4">
        <v>900</v>
      </c>
      <c r="F40" s="4">
        <v>900</v>
      </c>
      <c r="G40" s="4">
        <v>630</v>
      </c>
      <c r="H40" s="4"/>
      <c r="I40" s="4" t="s">
        <v>13</v>
      </c>
      <c r="J40" s="4" t="s">
        <v>11</v>
      </c>
      <c r="K40" s="4" t="s">
        <v>11</v>
      </c>
      <c r="L40" s="4" t="s">
        <v>177</v>
      </c>
    </row>
    <row r="41" spans="1:12">
      <c r="A41" s="3">
        <v>44596.901446759257</v>
      </c>
      <c r="B41" s="4">
        <v>248187275</v>
      </c>
      <c r="C41" s="4" t="s">
        <v>528</v>
      </c>
      <c r="D41" s="4" t="s">
        <v>9</v>
      </c>
      <c r="E41" s="5">
        <v>3200</v>
      </c>
      <c r="F41" s="5">
        <v>3200</v>
      </c>
      <c r="G41" s="5">
        <v>2240</v>
      </c>
      <c r="H41" s="4"/>
      <c r="I41" s="4" t="s">
        <v>15</v>
      </c>
      <c r="J41" s="4" t="s">
        <v>11</v>
      </c>
      <c r="K41" s="4" t="s">
        <v>11</v>
      </c>
      <c r="L41" s="4" t="s">
        <v>338</v>
      </c>
    </row>
    <row r="42" spans="1:12">
      <c r="A42" s="3">
        <v>44596.901446759257</v>
      </c>
      <c r="B42" s="4">
        <v>248187283</v>
      </c>
      <c r="C42" s="4" t="s">
        <v>527</v>
      </c>
      <c r="D42" s="4" t="s">
        <v>9</v>
      </c>
      <c r="E42" s="5">
        <v>3200</v>
      </c>
      <c r="F42" s="5">
        <v>3200</v>
      </c>
      <c r="G42" s="5">
        <v>2240</v>
      </c>
      <c r="H42" s="4"/>
      <c r="I42" s="4" t="s">
        <v>15</v>
      </c>
      <c r="J42" s="4" t="s">
        <v>11</v>
      </c>
      <c r="K42" s="4" t="s">
        <v>11</v>
      </c>
      <c r="L42" s="4" t="s">
        <v>341</v>
      </c>
    </row>
    <row r="43" spans="1:12">
      <c r="A43" s="3">
        <v>44596.993923611109</v>
      </c>
      <c r="B43" s="4">
        <v>48791711</v>
      </c>
      <c r="C43" s="4" t="s">
        <v>80</v>
      </c>
      <c r="D43" s="4" t="s">
        <v>9</v>
      </c>
      <c r="E43" s="4">
        <v>0</v>
      </c>
      <c r="F43" s="4">
        <v>0</v>
      </c>
      <c r="G43" s="4">
        <v>0</v>
      </c>
      <c r="H43" s="4"/>
      <c r="I43" s="4" t="s">
        <v>10</v>
      </c>
      <c r="J43" s="4" t="s">
        <v>11</v>
      </c>
      <c r="K43" s="4" t="s">
        <v>11</v>
      </c>
      <c r="L43" s="4" t="s">
        <v>85</v>
      </c>
    </row>
    <row r="44" spans="1:12">
      <c r="A44" s="3">
        <v>44598.043888888889</v>
      </c>
      <c r="B44" s="4">
        <v>281625197</v>
      </c>
      <c r="C44" s="4" t="s">
        <v>40</v>
      </c>
      <c r="D44" s="4" t="s">
        <v>9</v>
      </c>
      <c r="E44" s="5">
        <v>3200</v>
      </c>
      <c r="F44" s="5">
        <v>3200</v>
      </c>
      <c r="G44" s="5">
        <v>2240</v>
      </c>
      <c r="H44" s="4"/>
      <c r="I44" s="4" t="s">
        <v>14</v>
      </c>
      <c r="J44" s="4" t="s">
        <v>11</v>
      </c>
      <c r="K44" s="4" t="s">
        <v>11</v>
      </c>
      <c r="L44" s="4" t="s">
        <v>41</v>
      </c>
    </row>
    <row r="45" spans="1:12">
      <c r="A45" s="3">
        <v>44598.191111111111</v>
      </c>
      <c r="B45" s="4">
        <v>281625175</v>
      </c>
      <c r="C45" s="4" t="s">
        <v>538</v>
      </c>
      <c r="D45" s="4" t="s">
        <v>9</v>
      </c>
      <c r="E45" s="5">
        <v>3200</v>
      </c>
      <c r="F45" s="5">
        <v>3200</v>
      </c>
      <c r="G45" s="5">
        <v>2240</v>
      </c>
      <c r="H45" s="4"/>
      <c r="I45" s="4" t="s">
        <v>14</v>
      </c>
      <c r="J45" s="4" t="s">
        <v>11</v>
      </c>
      <c r="K45" s="4" t="s">
        <v>11</v>
      </c>
      <c r="L45" s="4" t="s">
        <v>345</v>
      </c>
    </row>
    <row r="46" spans="1:12">
      <c r="A46" s="3">
        <v>44598.588182870371</v>
      </c>
      <c r="B46" s="4">
        <v>281625181</v>
      </c>
      <c r="C46" s="4" t="s">
        <v>537</v>
      </c>
      <c r="D46" s="4" t="s">
        <v>9</v>
      </c>
      <c r="E46" s="5">
        <v>3200</v>
      </c>
      <c r="F46" s="5">
        <v>3200</v>
      </c>
      <c r="G46" s="5">
        <v>2240</v>
      </c>
      <c r="H46" s="4"/>
      <c r="I46" s="4" t="s">
        <v>14</v>
      </c>
      <c r="J46" s="4" t="s">
        <v>11</v>
      </c>
      <c r="K46" s="4" t="s">
        <v>11</v>
      </c>
      <c r="L46" s="4" t="s">
        <v>363</v>
      </c>
    </row>
    <row r="47" spans="1:12">
      <c r="A47" s="3">
        <v>44598.699699074074</v>
      </c>
      <c r="B47" s="4">
        <v>248187260</v>
      </c>
      <c r="C47" s="4" t="s">
        <v>524</v>
      </c>
      <c r="D47" s="4" t="s">
        <v>9</v>
      </c>
      <c r="E47" s="5">
        <v>3200</v>
      </c>
      <c r="F47" s="5">
        <v>3200</v>
      </c>
      <c r="G47" s="5">
        <v>2240</v>
      </c>
      <c r="H47" s="4"/>
      <c r="I47" s="4" t="s">
        <v>15</v>
      </c>
      <c r="J47" s="4" t="s">
        <v>11</v>
      </c>
      <c r="K47" s="4" t="s">
        <v>11</v>
      </c>
      <c r="L47" s="4" t="s">
        <v>332</v>
      </c>
    </row>
    <row r="48" spans="1:12">
      <c r="A48" s="3">
        <v>44598.700949074075</v>
      </c>
      <c r="B48" s="4">
        <v>281625210</v>
      </c>
      <c r="C48" s="4" t="s">
        <v>536</v>
      </c>
      <c r="D48" s="4" t="s">
        <v>9</v>
      </c>
      <c r="E48" s="5">
        <v>3200</v>
      </c>
      <c r="F48" s="5">
        <v>3200</v>
      </c>
      <c r="G48" s="5">
        <v>2240</v>
      </c>
      <c r="H48" s="4"/>
      <c r="I48" s="4" t="s">
        <v>14</v>
      </c>
      <c r="J48" s="4" t="s">
        <v>11</v>
      </c>
      <c r="K48" s="4" t="s">
        <v>11</v>
      </c>
      <c r="L48" s="4" t="s">
        <v>364</v>
      </c>
    </row>
    <row r="49" spans="1:12">
      <c r="A49" s="3">
        <v>44598.712233796294</v>
      </c>
      <c r="B49" s="4">
        <v>54081865</v>
      </c>
      <c r="C49" s="4" t="s">
        <v>231</v>
      </c>
      <c r="D49" s="4" t="s">
        <v>12</v>
      </c>
      <c r="E49" s="4">
        <v>900</v>
      </c>
      <c r="F49" s="4">
        <v>900</v>
      </c>
      <c r="G49" s="4">
        <v>630</v>
      </c>
      <c r="H49" s="4"/>
      <c r="I49" s="4" t="s">
        <v>13</v>
      </c>
      <c r="J49" s="4" t="s">
        <v>11</v>
      </c>
      <c r="K49" s="4" t="s">
        <v>11</v>
      </c>
      <c r="L49" s="4" t="s">
        <v>179</v>
      </c>
    </row>
    <row r="50" spans="1:12">
      <c r="A50" s="3">
        <v>44598.794803240744</v>
      </c>
      <c r="B50" s="4">
        <v>281625198</v>
      </c>
      <c r="C50" s="4" t="s">
        <v>39</v>
      </c>
      <c r="D50" s="4" t="s">
        <v>9</v>
      </c>
      <c r="E50" s="5">
        <v>3200</v>
      </c>
      <c r="F50" s="5">
        <v>3200</v>
      </c>
      <c r="G50" s="5">
        <v>2240</v>
      </c>
      <c r="H50" s="4"/>
      <c r="I50" s="4" t="s">
        <v>14</v>
      </c>
      <c r="J50" s="4" t="s">
        <v>11</v>
      </c>
      <c r="K50" s="4" t="s">
        <v>11</v>
      </c>
      <c r="L50" s="4" t="s">
        <v>46</v>
      </c>
    </row>
    <row r="51" spans="1:12">
      <c r="A51" s="3">
        <v>44598.794803240744</v>
      </c>
      <c r="B51" s="4">
        <v>281625187</v>
      </c>
      <c r="C51" s="4" t="s">
        <v>539</v>
      </c>
      <c r="D51" s="4" t="s">
        <v>9</v>
      </c>
      <c r="E51" s="5">
        <v>3200</v>
      </c>
      <c r="F51" s="5">
        <v>3200</v>
      </c>
      <c r="G51" s="5">
        <v>2240</v>
      </c>
      <c r="H51" s="4"/>
      <c r="I51" s="4" t="s">
        <v>14</v>
      </c>
      <c r="J51" s="4" t="s">
        <v>11</v>
      </c>
      <c r="K51" s="4" t="s">
        <v>11</v>
      </c>
      <c r="L51" s="4" t="s">
        <v>362</v>
      </c>
    </row>
    <row r="52" spans="1:12">
      <c r="A52" s="3">
        <v>44598.794803240744</v>
      </c>
      <c r="B52" s="4">
        <v>281625177</v>
      </c>
      <c r="C52" s="4" t="s">
        <v>541</v>
      </c>
      <c r="D52" s="4" t="s">
        <v>9</v>
      </c>
      <c r="E52" s="5">
        <v>3200</v>
      </c>
      <c r="F52" s="5">
        <v>3200</v>
      </c>
      <c r="G52" s="5">
        <v>2240</v>
      </c>
      <c r="H52" s="4"/>
      <c r="I52" s="4" t="s">
        <v>14</v>
      </c>
      <c r="J52" s="4" t="s">
        <v>11</v>
      </c>
      <c r="K52" s="4" t="s">
        <v>11</v>
      </c>
      <c r="L52" s="4" t="s">
        <v>365</v>
      </c>
    </row>
    <row r="53" spans="1:12">
      <c r="A53" s="3">
        <v>44598.944560185184</v>
      </c>
      <c r="B53" s="4">
        <v>48799490</v>
      </c>
      <c r="C53" s="4" t="s">
        <v>70</v>
      </c>
      <c r="D53" s="4" t="s">
        <v>9</v>
      </c>
      <c r="E53" s="4">
        <v>0</v>
      </c>
      <c r="F53" s="4">
        <v>0</v>
      </c>
      <c r="G53" s="4">
        <v>0</v>
      </c>
      <c r="H53" s="4"/>
      <c r="I53" s="4" t="s">
        <v>10</v>
      </c>
      <c r="J53" s="4" t="s">
        <v>11</v>
      </c>
      <c r="K53" s="4" t="s">
        <v>11</v>
      </c>
      <c r="L53" s="4" t="s">
        <v>86</v>
      </c>
    </row>
    <row r="54" spans="1:12">
      <c r="A54" s="3">
        <v>44598.992106481484</v>
      </c>
      <c r="B54" s="4">
        <v>281625184</v>
      </c>
      <c r="C54" s="4" t="s">
        <v>540</v>
      </c>
      <c r="D54" s="4" t="s">
        <v>9</v>
      </c>
      <c r="E54" s="5">
        <v>3200</v>
      </c>
      <c r="F54" s="5">
        <v>3200</v>
      </c>
      <c r="G54" s="5">
        <v>2240</v>
      </c>
      <c r="H54" s="4"/>
      <c r="I54" s="4" t="s">
        <v>14</v>
      </c>
      <c r="J54" s="4" t="s">
        <v>11</v>
      </c>
      <c r="K54" s="4" t="s">
        <v>11</v>
      </c>
      <c r="L54" s="4" t="s">
        <v>366</v>
      </c>
    </row>
    <row r="55" spans="1:12">
      <c r="A55" s="3">
        <v>44598.992106481484</v>
      </c>
      <c r="B55" s="4">
        <v>281625212</v>
      </c>
      <c r="C55" s="4" t="s">
        <v>542</v>
      </c>
      <c r="D55" s="4" t="s">
        <v>9</v>
      </c>
      <c r="E55" s="5">
        <v>3200</v>
      </c>
      <c r="F55" s="5">
        <v>3200</v>
      </c>
      <c r="G55" s="5">
        <v>2240</v>
      </c>
      <c r="H55" s="4"/>
      <c r="I55" s="4" t="s">
        <v>14</v>
      </c>
      <c r="J55" s="4" t="s">
        <v>11</v>
      </c>
      <c r="K55" s="4" t="s">
        <v>11</v>
      </c>
      <c r="L55" s="4" t="s">
        <v>355</v>
      </c>
    </row>
    <row r="56" spans="1:12">
      <c r="A56" s="3">
        <v>44599.201516203706</v>
      </c>
      <c r="B56" s="4">
        <v>248187262</v>
      </c>
      <c r="C56" s="4" t="s">
        <v>530</v>
      </c>
      <c r="D56" s="4" t="s">
        <v>9</v>
      </c>
      <c r="E56" s="5">
        <v>3200</v>
      </c>
      <c r="F56" s="5">
        <v>3200</v>
      </c>
      <c r="G56" s="5">
        <v>2240</v>
      </c>
      <c r="H56" s="4"/>
      <c r="I56" s="4" t="s">
        <v>15</v>
      </c>
      <c r="J56" s="4" t="s">
        <v>11</v>
      </c>
      <c r="K56" s="4" t="s">
        <v>11</v>
      </c>
      <c r="L56" s="4" t="s">
        <v>350</v>
      </c>
    </row>
    <row r="57" spans="1:12">
      <c r="A57" s="3">
        <v>44599.376481481479</v>
      </c>
      <c r="B57" s="4">
        <v>248187294</v>
      </c>
      <c r="C57" s="4" t="s">
        <v>529</v>
      </c>
      <c r="D57" s="4" t="s">
        <v>9</v>
      </c>
      <c r="E57" s="5">
        <v>3200</v>
      </c>
      <c r="F57" s="5">
        <v>3200</v>
      </c>
      <c r="G57" s="5">
        <v>2240</v>
      </c>
      <c r="H57" s="4"/>
      <c r="I57" s="4" t="s">
        <v>15</v>
      </c>
      <c r="J57" s="4" t="s">
        <v>11</v>
      </c>
      <c r="K57" s="4" t="s">
        <v>11</v>
      </c>
      <c r="L57" s="4" t="s">
        <v>367</v>
      </c>
    </row>
    <row r="58" spans="1:12">
      <c r="A58" s="3">
        <v>44599.37804398148</v>
      </c>
      <c r="B58" s="4">
        <v>248187305</v>
      </c>
      <c r="C58" s="4" t="s">
        <v>486</v>
      </c>
      <c r="D58" s="4" t="s">
        <v>9</v>
      </c>
      <c r="E58" s="5">
        <v>3200</v>
      </c>
      <c r="F58" s="5">
        <v>3200</v>
      </c>
      <c r="G58" s="5">
        <v>2240</v>
      </c>
      <c r="H58" s="4"/>
      <c r="I58" s="4" t="s">
        <v>15</v>
      </c>
      <c r="J58" s="4" t="s">
        <v>11</v>
      </c>
      <c r="K58" s="4" t="s">
        <v>11</v>
      </c>
      <c r="L58" s="4" t="s">
        <v>361</v>
      </c>
    </row>
    <row r="59" spans="1:12">
      <c r="A59" s="3">
        <v>44599.445902777778</v>
      </c>
      <c r="B59" s="4">
        <v>281625191</v>
      </c>
      <c r="C59" s="4" t="s">
        <v>544</v>
      </c>
      <c r="D59" s="4" t="s">
        <v>9</v>
      </c>
      <c r="E59" s="5">
        <v>3200</v>
      </c>
      <c r="F59" s="5">
        <v>3200</v>
      </c>
      <c r="G59" s="5">
        <v>2240</v>
      </c>
      <c r="H59" s="4"/>
      <c r="I59" s="4" t="s">
        <v>14</v>
      </c>
      <c r="J59" s="4" t="s">
        <v>11</v>
      </c>
      <c r="K59" s="4" t="s">
        <v>11</v>
      </c>
      <c r="L59" s="4" t="s">
        <v>348</v>
      </c>
    </row>
    <row r="60" spans="1:12">
      <c r="A60" s="3">
        <v>44599.445902777778</v>
      </c>
      <c r="B60" s="4">
        <v>281625186</v>
      </c>
      <c r="C60" s="4" t="s">
        <v>545</v>
      </c>
      <c r="D60" s="4" t="s">
        <v>9</v>
      </c>
      <c r="E60" s="5">
        <v>3200</v>
      </c>
      <c r="F60" s="5">
        <v>3200</v>
      </c>
      <c r="G60" s="5">
        <v>2240</v>
      </c>
      <c r="H60" s="4"/>
      <c r="I60" s="4" t="s">
        <v>14</v>
      </c>
      <c r="J60" s="4" t="s">
        <v>11</v>
      </c>
      <c r="K60" s="4" t="s">
        <v>11</v>
      </c>
      <c r="L60" s="4" t="s">
        <v>356</v>
      </c>
    </row>
    <row r="61" spans="1:12">
      <c r="A61" s="3">
        <v>44599.445902777778</v>
      </c>
      <c r="B61" s="4">
        <v>281625180</v>
      </c>
      <c r="C61" s="4" t="s">
        <v>543</v>
      </c>
      <c r="D61" s="4" t="s">
        <v>9</v>
      </c>
      <c r="E61" s="5">
        <v>3200</v>
      </c>
      <c r="F61" s="5">
        <v>3200</v>
      </c>
      <c r="G61" s="5">
        <v>2240</v>
      </c>
      <c r="H61" s="4"/>
      <c r="I61" s="4" t="s">
        <v>14</v>
      </c>
      <c r="J61" s="4" t="s">
        <v>11</v>
      </c>
      <c r="K61" s="4" t="s">
        <v>11</v>
      </c>
      <c r="L61" s="4" t="s">
        <v>349</v>
      </c>
    </row>
    <row r="62" spans="1:12">
      <c r="A62" s="3">
        <v>44599.481180555558</v>
      </c>
      <c r="B62" s="4">
        <v>54081864</v>
      </c>
      <c r="C62" s="4" t="s">
        <v>224</v>
      </c>
      <c r="D62" s="4" t="s">
        <v>12</v>
      </c>
      <c r="E62" s="4">
        <v>900</v>
      </c>
      <c r="F62" s="4">
        <v>900</v>
      </c>
      <c r="G62" s="4">
        <v>630</v>
      </c>
      <c r="H62" s="4"/>
      <c r="I62" s="4" t="s">
        <v>13</v>
      </c>
      <c r="J62" s="4" t="s">
        <v>11</v>
      </c>
      <c r="K62" s="4" t="s">
        <v>11</v>
      </c>
      <c r="L62" s="4" t="s">
        <v>180</v>
      </c>
    </row>
    <row r="63" spans="1:12">
      <c r="A63" s="3">
        <v>44599.481180555558</v>
      </c>
      <c r="B63" s="4">
        <v>54081866</v>
      </c>
      <c r="C63" s="4" t="s">
        <v>226</v>
      </c>
      <c r="D63" s="4" t="s">
        <v>12</v>
      </c>
      <c r="E63" s="4">
        <v>900</v>
      </c>
      <c r="F63" s="4">
        <v>900</v>
      </c>
      <c r="G63" s="4">
        <v>630</v>
      </c>
      <c r="H63" s="4"/>
      <c r="I63" s="4" t="s">
        <v>13</v>
      </c>
      <c r="J63" s="4" t="s">
        <v>11</v>
      </c>
      <c r="K63" s="4" t="s">
        <v>11</v>
      </c>
      <c r="L63" s="4" t="s">
        <v>183</v>
      </c>
    </row>
    <row r="64" spans="1:12">
      <c r="A64" s="3">
        <v>44599.548530092594</v>
      </c>
      <c r="B64" s="4">
        <v>54083054</v>
      </c>
      <c r="C64" s="4" t="s">
        <v>515</v>
      </c>
      <c r="D64" s="4" t="s">
        <v>12</v>
      </c>
      <c r="E64" s="4">
        <v>900</v>
      </c>
      <c r="F64" s="4">
        <v>900</v>
      </c>
      <c r="G64" s="4">
        <v>630</v>
      </c>
      <c r="H64" s="4"/>
      <c r="I64" s="4" t="s">
        <v>13</v>
      </c>
      <c r="J64" s="4" t="s">
        <v>11</v>
      </c>
      <c r="K64" s="4" t="s">
        <v>11</v>
      </c>
      <c r="L64" s="4" t="s">
        <v>308</v>
      </c>
    </row>
    <row r="65" spans="1:12">
      <c r="A65" s="3">
        <v>44599.727314814816</v>
      </c>
      <c r="B65" s="4">
        <v>281625183</v>
      </c>
      <c r="C65" s="4" t="s">
        <v>546</v>
      </c>
      <c r="D65" s="4" t="s">
        <v>9</v>
      </c>
      <c r="E65" s="5">
        <v>3200</v>
      </c>
      <c r="F65" s="5">
        <v>3200</v>
      </c>
      <c r="G65" s="5">
        <v>2240</v>
      </c>
      <c r="H65" s="4"/>
      <c r="I65" s="4" t="s">
        <v>14</v>
      </c>
      <c r="J65" s="4" t="s">
        <v>11</v>
      </c>
      <c r="K65" s="4" t="s">
        <v>11</v>
      </c>
      <c r="L65" s="4" t="s">
        <v>351</v>
      </c>
    </row>
    <row r="66" spans="1:12">
      <c r="A66" s="3">
        <v>44599.727314814816</v>
      </c>
      <c r="B66" s="4">
        <v>281625188</v>
      </c>
      <c r="C66" s="4" t="s">
        <v>548</v>
      </c>
      <c r="D66" s="4" t="s">
        <v>9</v>
      </c>
      <c r="E66" s="5">
        <v>3200</v>
      </c>
      <c r="F66" s="5">
        <v>3200</v>
      </c>
      <c r="G66" s="5">
        <v>2240</v>
      </c>
      <c r="H66" s="4"/>
      <c r="I66" s="4" t="s">
        <v>14</v>
      </c>
      <c r="J66" s="4" t="s">
        <v>11</v>
      </c>
      <c r="K66" s="4" t="s">
        <v>11</v>
      </c>
      <c r="L66" s="4" t="s">
        <v>358</v>
      </c>
    </row>
    <row r="67" spans="1:12">
      <c r="A67" s="3">
        <v>44599.727314814816</v>
      </c>
      <c r="B67" s="4">
        <v>281625202</v>
      </c>
      <c r="C67" s="4" t="s">
        <v>547</v>
      </c>
      <c r="D67" s="4" t="s">
        <v>9</v>
      </c>
      <c r="E67" s="5">
        <v>3200</v>
      </c>
      <c r="F67" s="5">
        <v>3200</v>
      </c>
      <c r="G67" s="5">
        <v>2240</v>
      </c>
      <c r="H67" s="4"/>
      <c r="I67" s="4" t="s">
        <v>14</v>
      </c>
      <c r="J67" s="4" t="s">
        <v>11</v>
      </c>
      <c r="K67" s="4" t="s">
        <v>11</v>
      </c>
      <c r="L67" s="4" t="s">
        <v>352</v>
      </c>
    </row>
    <row r="68" spans="1:12">
      <c r="A68" s="3">
        <v>44599.727314814816</v>
      </c>
      <c r="B68" s="4">
        <v>281625214</v>
      </c>
      <c r="C68" s="4" t="s">
        <v>532</v>
      </c>
      <c r="D68" s="4" t="s">
        <v>9</v>
      </c>
      <c r="E68" s="5">
        <v>3200</v>
      </c>
      <c r="F68" s="5">
        <v>3200</v>
      </c>
      <c r="G68" s="5">
        <v>2240</v>
      </c>
      <c r="H68" s="4"/>
      <c r="I68" s="4" t="s">
        <v>14</v>
      </c>
      <c r="J68" s="4" t="s">
        <v>11</v>
      </c>
      <c r="K68" s="4" t="s">
        <v>11</v>
      </c>
      <c r="L68" s="4" t="s">
        <v>353</v>
      </c>
    </row>
    <row r="69" spans="1:12">
      <c r="A69" s="3">
        <v>44599.773622685185</v>
      </c>
      <c r="B69" s="4">
        <v>256291110</v>
      </c>
      <c r="C69" s="4" t="s">
        <v>174</v>
      </c>
      <c r="D69" s="4" t="s">
        <v>9</v>
      </c>
      <c r="E69" s="4">
        <v>0</v>
      </c>
      <c r="F69" s="4">
        <v>0</v>
      </c>
      <c r="G69" s="4">
        <v>0</v>
      </c>
      <c r="H69" s="4"/>
      <c r="I69" s="4" t="s">
        <v>168</v>
      </c>
      <c r="J69" s="4" t="s">
        <v>11</v>
      </c>
      <c r="K69" s="4" t="s">
        <v>11</v>
      </c>
      <c r="L69" s="4" t="s">
        <v>199</v>
      </c>
    </row>
    <row r="70" spans="1:12">
      <c r="A70" s="3">
        <v>44599.874502314815</v>
      </c>
      <c r="B70" s="4">
        <v>100859755</v>
      </c>
      <c r="C70" s="4" t="s">
        <v>519</v>
      </c>
      <c r="D70" s="4" t="s">
        <v>12</v>
      </c>
      <c r="E70" s="4">
        <v>900</v>
      </c>
      <c r="F70" s="4">
        <v>900</v>
      </c>
      <c r="G70" s="4">
        <v>630</v>
      </c>
      <c r="H70" s="4"/>
      <c r="I70" s="4" t="s">
        <v>446</v>
      </c>
      <c r="J70" s="4" t="s">
        <v>11</v>
      </c>
      <c r="K70" s="4" t="s">
        <v>11</v>
      </c>
      <c r="L70" s="4" t="s">
        <v>329</v>
      </c>
    </row>
    <row r="71" spans="1:12">
      <c r="A71" s="3">
        <v>44599.949247685188</v>
      </c>
      <c r="B71" s="4">
        <v>276526517</v>
      </c>
      <c r="C71" s="4" t="s">
        <v>463</v>
      </c>
      <c r="D71" s="4" t="s">
        <v>9</v>
      </c>
      <c r="E71" s="4">
        <v>0</v>
      </c>
      <c r="F71" s="4">
        <v>0</v>
      </c>
      <c r="G71" s="4">
        <v>0</v>
      </c>
      <c r="H71" s="4"/>
      <c r="I71" s="4" t="s">
        <v>462</v>
      </c>
      <c r="J71" s="4" t="s">
        <v>11</v>
      </c>
      <c r="K71" s="4" t="s">
        <v>11</v>
      </c>
      <c r="L71" s="4" t="s">
        <v>334</v>
      </c>
    </row>
    <row r="72" spans="1:12">
      <c r="A72" s="3">
        <v>44599.979872685188</v>
      </c>
      <c r="B72" s="4">
        <v>100859754</v>
      </c>
      <c r="C72" s="4" t="s">
        <v>523</v>
      </c>
      <c r="D72" s="4" t="s">
        <v>12</v>
      </c>
      <c r="E72" s="4">
        <v>900</v>
      </c>
      <c r="F72" s="4">
        <v>900</v>
      </c>
      <c r="G72" s="4">
        <v>630</v>
      </c>
      <c r="H72" s="4"/>
      <c r="I72" s="4" t="s">
        <v>446</v>
      </c>
      <c r="J72" s="4" t="s">
        <v>11</v>
      </c>
      <c r="K72" s="4" t="s">
        <v>11</v>
      </c>
      <c r="L72" s="4" t="s">
        <v>330</v>
      </c>
    </row>
    <row r="73" spans="1:12">
      <c r="A73" s="3">
        <v>44599.997650462959</v>
      </c>
      <c r="B73" s="4">
        <v>246278200</v>
      </c>
      <c r="C73" s="4" t="s">
        <v>550</v>
      </c>
      <c r="D73" s="4" t="s">
        <v>9</v>
      </c>
      <c r="E73" s="5">
        <v>3200</v>
      </c>
      <c r="F73" s="5">
        <v>3200</v>
      </c>
      <c r="G73" s="5">
        <v>2240</v>
      </c>
      <c r="H73" s="4"/>
      <c r="I73" s="4" t="s">
        <v>14</v>
      </c>
      <c r="J73" s="4" t="s">
        <v>11</v>
      </c>
      <c r="K73" s="4" t="s">
        <v>11</v>
      </c>
      <c r="L73" s="4" t="s">
        <v>354</v>
      </c>
    </row>
    <row r="74" spans="1:12">
      <c r="A74" s="3">
        <v>44600.13045138889</v>
      </c>
      <c r="B74" s="4">
        <v>256291110</v>
      </c>
      <c r="C74" s="4" t="s">
        <v>174</v>
      </c>
      <c r="D74" s="4" t="s">
        <v>9</v>
      </c>
      <c r="E74" s="4">
        <v>0</v>
      </c>
      <c r="F74" s="4">
        <v>0</v>
      </c>
      <c r="G74" s="4">
        <v>0</v>
      </c>
      <c r="H74" s="4"/>
      <c r="I74" s="4" t="s">
        <v>168</v>
      </c>
      <c r="J74" s="4" t="s">
        <v>11</v>
      </c>
      <c r="K74" s="4" t="s">
        <v>11</v>
      </c>
      <c r="L74" s="4" t="s">
        <v>199</v>
      </c>
    </row>
    <row r="75" spans="1:12">
      <c r="A75" s="3">
        <v>44600.39099537037</v>
      </c>
      <c r="B75" s="4">
        <v>100859753</v>
      </c>
      <c r="C75" s="4" t="s">
        <v>531</v>
      </c>
      <c r="D75" s="4" t="s">
        <v>12</v>
      </c>
      <c r="E75" s="4">
        <v>900</v>
      </c>
      <c r="F75" s="4">
        <v>900</v>
      </c>
      <c r="G75" s="4">
        <v>630</v>
      </c>
      <c r="H75" s="4"/>
      <c r="I75" s="4" t="s">
        <v>446</v>
      </c>
      <c r="J75" s="4" t="s">
        <v>11</v>
      </c>
      <c r="K75" s="4" t="s">
        <v>11</v>
      </c>
      <c r="L75" s="4" t="s">
        <v>359</v>
      </c>
    </row>
    <row r="76" spans="1:12">
      <c r="A76" s="3">
        <v>44600.452789351853</v>
      </c>
      <c r="B76" s="4">
        <v>256291607</v>
      </c>
      <c r="C76" s="4" t="s">
        <v>534</v>
      </c>
      <c r="D76" s="4" t="s">
        <v>9</v>
      </c>
      <c r="E76" s="5">
        <v>22400</v>
      </c>
      <c r="F76" s="5">
        <v>22400</v>
      </c>
      <c r="G76" s="5">
        <v>15680</v>
      </c>
      <c r="H76" s="4"/>
      <c r="I76" s="4" t="s">
        <v>168</v>
      </c>
      <c r="J76" s="4" t="s">
        <v>11</v>
      </c>
      <c r="K76" s="4" t="s">
        <v>11</v>
      </c>
      <c r="L76" s="4" t="s">
        <v>360</v>
      </c>
    </row>
    <row r="77" spans="1:12">
      <c r="A77" s="3">
        <v>44600.531898148147</v>
      </c>
      <c r="B77" s="4">
        <v>100859752</v>
      </c>
      <c r="C77" s="4" t="s">
        <v>525</v>
      </c>
      <c r="D77" s="4" t="s">
        <v>12</v>
      </c>
      <c r="E77" s="4">
        <v>900</v>
      </c>
      <c r="F77" s="4">
        <v>900</v>
      </c>
      <c r="G77" s="4">
        <v>630</v>
      </c>
      <c r="H77" s="4"/>
      <c r="I77" s="4" t="s">
        <v>446</v>
      </c>
      <c r="J77" s="4" t="s">
        <v>11</v>
      </c>
      <c r="K77" s="4" t="s">
        <v>11</v>
      </c>
      <c r="L77" s="4" t="s">
        <v>370</v>
      </c>
    </row>
    <row r="78" spans="1:12">
      <c r="A78" s="3">
        <v>44600.896284722221</v>
      </c>
      <c r="B78" s="4">
        <v>248187281</v>
      </c>
      <c r="C78" s="4" t="s">
        <v>25</v>
      </c>
      <c r="D78" s="4" t="s">
        <v>9</v>
      </c>
      <c r="E78" s="4">
        <v>0</v>
      </c>
      <c r="F78" s="4">
        <v>0</v>
      </c>
      <c r="G78" s="4">
        <v>0</v>
      </c>
      <c r="H78" s="4"/>
      <c r="I78" s="4" t="s">
        <v>15</v>
      </c>
      <c r="J78" s="4" t="s">
        <v>11</v>
      </c>
      <c r="K78" s="4" t="s">
        <v>11</v>
      </c>
      <c r="L78" s="4" t="s">
        <v>47</v>
      </c>
    </row>
    <row r="79" spans="1:12">
      <c r="A79" s="3">
        <v>44601.238541666666</v>
      </c>
      <c r="B79" s="4">
        <v>276526517</v>
      </c>
      <c r="C79" s="4" t="s">
        <v>463</v>
      </c>
      <c r="D79" s="4" t="s">
        <v>9</v>
      </c>
      <c r="E79" s="4">
        <v>0</v>
      </c>
      <c r="F79" s="4">
        <v>0</v>
      </c>
      <c r="G79" s="4">
        <v>0</v>
      </c>
      <c r="H79" s="4"/>
      <c r="I79" s="4" t="s">
        <v>462</v>
      </c>
      <c r="J79" s="4" t="s">
        <v>11</v>
      </c>
      <c r="K79" s="4" t="s">
        <v>11</v>
      </c>
      <c r="L79" s="4" t="s">
        <v>334</v>
      </c>
    </row>
    <row r="80" spans="1:12">
      <c r="A80" s="3">
        <v>44601.238541666666</v>
      </c>
      <c r="B80" s="4">
        <v>256291110</v>
      </c>
      <c r="C80" s="4" t="s">
        <v>174</v>
      </c>
      <c r="D80" s="4" t="s">
        <v>9</v>
      </c>
      <c r="E80" s="4">
        <v>0</v>
      </c>
      <c r="F80" s="4">
        <v>0</v>
      </c>
      <c r="G80" s="4">
        <v>0</v>
      </c>
      <c r="H80" s="4"/>
      <c r="I80" s="4" t="s">
        <v>168</v>
      </c>
      <c r="J80" s="4" t="s">
        <v>11</v>
      </c>
      <c r="K80" s="4" t="s">
        <v>11</v>
      </c>
      <c r="L80" s="4" t="s">
        <v>199</v>
      </c>
    </row>
    <row r="81" spans="1:12">
      <c r="A81" s="3">
        <v>44601.262141203704</v>
      </c>
      <c r="B81" s="4">
        <v>48799598</v>
      </c>
      <c r="C81" s="4" t="s">
        <v>24</v>
      </c>
      <c r="D81" s="4" t="s">
        <v>12</v>
      </c>
      <c r="E81" s="4">
        <v>900</v>
      </c>
      <c r="F81" s="4">
        <v>900</v>
      </c>
      <c r="G81" s="4">
        <v>630</v>
      </c>
      <c r="H81" s="4"/>
      <c r="I81" s="4" t="s">
        <v>10</v>
      </c>
      <c r="J81" s="4" t="s">
        <v>11</v>
      </c>
      <c r="K81" s="4" t="s">
        <v>11</v>
      </c>
      <c r="L81" s="4" t="s">
        <v>51</v>
      </c>
    </row>
    <row r="82" spans="1:12">
      <c r="A82" s="3">
        <v>44601.34480324074</v>
      </c>
      <c r="B82" s="4">
        <v>288284916</v>
      </c>
      <c r="C82" s="4" t="s">
        <v>488</v>
      </c>
      <c r="D82" s="4" t="s">
        <v>12</v>
      </c>
      <c r="E82" s="5">
        <v>4410</v>
      </c>
      <c r="F82" s="5">
        <v>4410</v>
      </c>
      <c r="G82" s="5">
        <v>3087</v>
      </c>
      <c r="H82" s="4"/>
      <c r="I82" s="4" t="s">
        <v>462</v>
      </c>
      <c r="J82" s="4" t="s">
        <v>11</v>
      </c>
      <c r="K82" s="4" t="s">
        <v>11</v>
      </c>
      <c r="L82" s="4" t="s">
        <v>374</v>
      </c>
    </row>
    <row r="83" spans="1:12">
      <c r="A83" s="3">
        <v>44602.591226851851</v>
      </c>
      <c r="B83" s="4">
        <v>248962257</v>
      </c>
      <c r="C83" s="4" t="s">
        <v>246</v>
      </c>
      <c r="D83" s="4" t="s">
        <v>12</v>
      </c>
      <c r="E83" s="4">
        <v>0</v>
      </c>
      <c r="F83" s="4">
        <v>0</v>
      </c>
      <c r="G83" s="4">
        <v>0</v>
      </c>
      <c r="H83" s="4"/>
      <c r="I83" s="4" t="s">
        <v>14</v>
      </c>
      <c r="J83" s="4" t="s">
        <v>11</v>
      </c>
      <c r="K83" s="4" t="s">
        <v>11</v>
      </c>
      <c r="L83" s="4" t="s">
        <v>140</v>
      </c>
    </row>
    <row r="84" spans="1:12">
      <c r="A84" s="3">
        <v>44602.94427083333</v>
      </c>
      <c r="B84" s="4">
        <v>251511495</v>
      </c>
      <c r="C84" s="4" t="s">
        <v>292</v>
      </c>
      <c r="D84" s="4" t="s">
        <v>9</v>
      </c>
      <c r="E84" s="5">
        <v>3200</v>
      </c>
      <c r="F84" s="5">
        <v>3200</v>
      </c>
      <c r="G84" s="5">
        <v>2240</v>
      </c>
      <c r="H84" s="4"/>
      <c r="I84" s="4" t="s">
        <v>32</v>
      </c>
      <c r="J84" s="4" t="s">
        <v>11</v>
      </c>
      <c r="K84" s="4" t="s">
        <v>11</v>
      </c>
      <c r="L84" s="4" t="s">
        <v>373</v>
      </c>
    </row>
    <row r="85" spans="1:12">
      <c r="A85" s="3">
        <v>44602.958935185183</v>
      </c>
      <c r="B85" s="4">
        <v>48799502</v>
      </c>
      <c r="C85" s="4" t="s">
        <v>234</v>
      </c>
      <c r="D85" s="4" t="s">
        <v>12</v>
      </c>
      <c r="E85" s="4">
        <v>0</v>
      </c>
      <c r="F85" s="4">
        <v>0</v>
      </c>
      <c r="G85" s="4">
        <v>0</v>
      </c>
      <c r="H85" s="4"/>
      <c r="I85" s="4" t="s">
        <v>10</v>
      </c>
      <c r="J85" s="4" t="s">
        <v>11</v>
      </c>
      <c r="K85" s="4" t="s">
        <v>11</v>
      </c>
      <c r="L85" s="4" t="s">
        <v>109</v>
      </c>
    </row>
    <row r="86" spans="1:12">
      <c r="A86" s="3">
        <v>44603.478634259256</v>
      </c>
      <c r="B86" s="4">
        <v>109249230</v>
      </c>
      <c r="C86" s="4" t="s">
        <v>551</v>
      </c>
      <c r="D86" s="4" t="s">
        <v>9</v>
      </c>
      <c r="E86" s="4">
        <v>0</v>
      </c>
      <c r="F86" s="4">
        <v>0</v>
      </c>
      <c r="G86" s="4">
        <v>0</v>
      </c>
      <c r="H86" s="4"/>
      <c r="I86" s="4" t="s">
        <v>10</v>
      </c>
      <c r="J86" s="4" t="s">
        <v>11</v>
      </c>
      <c r="K86" s="4" t="s">
        <v>11</v>
      </c>
      <c r="L86" s="4" t="s">
        <v>372</v>
      </c>
    </row>
    <row r="87" spans="1:12">
      <c r="A87" s="3">
        <v>44603.927361111113</v>
      </c>
      <c r="B87" s="4">
        <v>276526517</v>
      </c>
      <c r="C87" s="4" t="s">
        <v>463</v>
      </c>
      <c r="D87" s="4" t="s">
        <v>9</v>
      </c>
      <c r="E87" s="4">
        <v>0</v>
      </c>
      <c r="F87" s="4">
        <v>0</v>
      </c>
      <c r="G87" s="4">
        <v>0</v>
      </c>
      <c r="H87" s="4"/>
      <c r="I87" s="4" t="s">
        <v>462</v>
      </c>
      <c r="J87" s="4" t="s">
        <v>11</v>
      </c>
      <c r="K87" s="4" t="s">
        <v>11</v>
      </c>
      <c r="L87" s="4" t="s">
        <v>334</v>
      </c>
    </row>
    <row r="88" spans="1:12">
      <c r="A88" s="3">
        <v>44604.432060185187</v>
      </c>
      <c r="B88" s="4">
        <v>276845995</v>
      </c>
      <c r="C88" s="4" t="s">
        <v>513</v>
      </c>
      <c r="D88" s="4" t="s">
        <v>9</v>
      </c>
      <c r="E88" s="5">
        <v>2400</v>
      </c>
      <c r="F88" s="5">
        <v>2400</v>
      </c>
      <c r="G88" s="5">
        <v>1680</v>
      </c>
      <c r="H88" s="4"/>
      <c r="I88" s="4" t="s">
        <v>458</v>
      </c>
      <c r="J88" s="4" t="s">
        <v>11</v>
      </c>
      <c r="K88" s="4" t="s">
        <v>11</v>
      </c>
      <c r="L88" s="4" t="s">
        <v>305</v>
      </c>
    </row>
    <row r="89" spans="1:12">
      <c r="A89" s="3">
        <v>44604.49359953704</v>
      </c>
      <c r="B89" s="4">
        <v>48791712</v>
      </c>
      <c r="C89" s="4" t="s">
        <v>82</v>
      </c>
      <c r="D89" s="4" t="s">
        <v>12</v>
      </c>
      <c r="E89" s="4">
        <v>900</v>
      </c>
      <c r="F89" s="4">
        <v>900</v>
      </c>
      <c r="G89" s="4">
        <v>630</v>
      </c>
      <c r="H89" s="4"/>
      <c r="I89" s="4" t="s">
        <v>10</v>
      </c>
      <c r="J89" s="4" t="s">
        <v>11</v>
      </c>
      <c r="K89" s="4" t="s">
        <v>11</v>
      </c>
      <c r="L89" s="4" t="s">
        <v>87</v>
      </c>
    </row>
    <row r="90" spans="1:12">
      <c r="A90" s="3">
        <v>44604.638703703706</v>
      </c>
      <c r="B90" s="4">
        <v>276846034</v>
      </c>
      <c r="C90" s="4" t="s">
        <v>511</v>
      </c>
      <c r="D90" s="4" t="s">
        <v>9</v>
      </c>
      <c r="E90" s="5">
        <v>2400</v>
      </c>
      <c r="F90" s="5">
        <v>2400</v>
      </c>
      <c r="G90" s="5">
        <v>1680</v>
      </c>
      <c r="H90" s="4"/>
      <c r="I90" s="4" t="s">
        <v>458</v>
      </c>
      <c r="J90" s="4" t="s">
        <v>11</v>
      </c>
      <c r="K90" s="4" t="s">
        <v>11</v>
      </c>
      <c r="L90" s="4" t="s">
        <v>306</v>
      </c>
    </row>
    <row r="91" spans="1:12">
      <c r="A91" s="3">
        <v>44604.638703703706</v>
      </c>
      <c r="B91" s="4">
        <v>276846190</v>
      </c>
      <c r="C91" s="4" t="s">
        <v>510</v>
      </c>
      <c r="D91" s="4" t="s">
        <v>9</v>
      </c>
      <c r="E91" s="5">
        <v>2400</v>
      </c>
      <c r="F91" s="5">
        <v>2400</v>
      </c>
      <c r="G91" s="5">
        <v>1680</v>
      </c>
      <c r="H91" s="4"/>
      <c r="I91" s="4" t="s">
        <v>458</v>
      </c>
      <c r="J91" s="4" t="s">
        <v>11</v>
      </c>
      <c r="K91" s="4" t="s">
        <v>11</v>
      </c>
      <c r="L91" s="4" t="s">
        <v>307</v>
      </c>
    </row>
    <row r="92" spans="1:12">
      <c r="A92" s="3">
        <v>44604.638703703706</v>
      </c>
      <c r="B92" s="4">
        <v>276845945</v>
      </c>
      <c r="C92" s="4" t="s">
        <v>484</v>
      </c>
      <c r="D92" s="4" t="s">
        <v>9</v>
      </c>
      <c r="E92" s="5">
        <v>2400</v>
      </c>
      <c r="F92" s="5">
        <v>2400</v>
      </c>
      <c r="G92" s="5">
        <v>1680</v>
      </c>
      <c r="H92" s="4"/>
      <c r="I92" s="4" t="s">
        <v>458</v>
      </c>
      <c r="J92" s="4" t="s">
        <v>11</v>
      </c>
      <c r="K92" s="4" t="s">
        <v>11</v>
      </c>
      <c r="L92" s="4" t="s">
        <v>303</v>
      </c>
    </row>
    <row r="93" spans="1:12">
      <c r="A93" s="3">
        <v>44604.638703703706</v>
      </c>
      <c r="B93" s="4">
        <v>276845976</v>
      </c>
      <c r="C93" s="4" t="s">
        <v>512</v>
      </c>
      <c r="D93" s="4" t="s">
        <v>9</v>
      </c>
      <c r="E93" s="5">
        <v>2400</v>
      </c>
      <c r="F93" s="5">
        <v>2400</v>
      </c>
      <c r="G93" s="5">
        <v>1680</v>
      </c>
      <c r="H93" s="4"/>
      <c r="I93" s="4" t="s">
        <v>458</v>
      </c>
      <c r="J93" s="4" t="s">
        <v>11</v>
      </c>
      <c r="K93" s="4" t="s">
        <v>11</v>
      </c>
      <c r="L93" s="4" t="s">
        <v>304</v>
      </c>
    </row>
    <row r="94" spans="1:12">
      <c r="A94" s="3">
        <v>44604.757731481484</v>
      </c>
      <c r="B94" s="4">
        <v>48791691</v>
      </c>
      <c r="C94" s="4" t="s">
        <v>76</v>
      </c>
      <c r="D94" s="4" t="s">
        <v>9</v>
      </c>
      <c r="E94" s="5">
        <v>3200</v>
      </c>
      <c r="F94" s="5">
        <v>3200</v>
      </c>
      <c r="G94" s="5">
        <v>2240</v>
      </c>
      <c r="H94" s="4"/>
      <c r="I94" s="4" t="s">
        <v>10</v>
      </c>
      <c r="J94" s="4" t="s">
        <v>11</v>
      </c>
      <c r="K94" s="4" t="s">
        <v>11</v>
      </c>
      <c r="L94" s="4" t="s">
        <v>94</v>
      </c>
    </row>
    <row r="95" spans="1:12">
      <c r="A95" s="3">
        <v>44604.777175925927</v>
      </c>
      <c r="B95" s="4">
        <v>48791714</v>
      </c>
      <c r="C95" s="4" t="s">
        <v>243</v>
      </c>
      <c r="D95" s="4" t="s">
        <v>12</v>
      </c>
      <c r="E95" s="4">
        <v>900</v>
      </c>
      <c r="F95" s="4">
        <v>900</v>
      </c>
      <c r="G95" s="4">
        <v>630</v>
      </c>
      <c r="H95" s="4"/>
      <c r="I95" s="4" t="s">
        <v>10</v>
      </c>
      <c r="J95" s="4" t="s">
        <v>11</v>
      </c>
      <c r="K95" s="4" t="s">
        <v>11</v>
      </c>
      <c r="L95" s="4" t="s">
        <v>135</v>
      </c>
    </row>
    <row r="96" spans="1:12">
      <c r="A96" s="3">
        <v>44604.943032407406</v>
      </c>
      <c r="B96" s="4">
        <v>186276472</v>
      </c>
      <c r="C96" s="4" t="s">
        <v>29</v>
      </c>
      <c r="D96" s="4" t="s">
        <v>9</v>
      </c>
      <c r="E96" s="5">
        <v>3500</v>
      </c>
      <c r="F96" s="5">
        <v>3500</v>
      </c>
      <c r="G96" s="5">
        <v>2450</v>
      </c>
      <c r="H96" s="4"/>
      <c r="I96" s="4" t="s">
        <v>27</v>
      </c>
      <c r="J96" s="4" t="s">
        <v>11</v>
      </c>
      <c r="K96" s="4" t="s">
        <v>11</v>
      </c>
      <c r="L96" s="4" t="s">
        <v>58</v>
      </c>
    </row>
    <row r="97" spans="1:12">
      <c r="A97" s="3">
        <v>44604.943032407406</v>
      </c>
      <c r="B97" s="4">
        <v>186276474</v>
      </c>
      <c r="C97" s="4" t="s">
        <v>69</v>
      </c>
      <c r="D97" s="4" t="s">
        <v>9</v>
      </c>
      <c r="E97" s="5">
        <v>3500</v>
      </c>
      <c r="F97" s="5">
        <v>3500</v>
      </c>
      <c r="G97" s="5">
        <v>2450</v>
      </c>
      <c r="H97" s="4"/>
      <c r="I97" s="4" t="s">
        <v>27</v>
      </c>
      <c r="J97" s="4" t="s">
        <v>11</v>
      </c>
      <c r="K97" s="4" t="s">
        <v>11</v>
      </c>
      <c r="L97" s="4" t="s">
        <v>93</v>
      </c>
    </row>
    <row r="98" spans="1:12">
      <c r="A98" s="3">
        <v>44605.5781712963</v>
      </c>
      <c r="B98" s="4">
        <v>251511480</v>
      </c>
      <c r="C98" s="4" t="s">
        <v>293</v>
      </c>
      <c r="D98" s="4" t="s">
        <v>9</v>
      </c>
      <c r="E98" s="5">
        <v>3200</v>
      </c>
      <c r="F98" s="5">
        <v>3200</v>
      </c>
      <c r="G98" s="5">
        <v>2240</v>
      </c>
      <c r="H98" s="4"/>
      <c r="I98" s="4" t="s">
        <v>32</v>
      </c>
      <c r="J98" s="4" t="s">
        <v>11</v>
      </c>
      <c r="K98" s="4" t="s">
        <v>11</v>
      </c>
      <c r="L98" s="4" t="s">
        <v>376</v>
      </c>
    </row>
    <row r="99" spans="1:12">
      <c r="A99" s="3">
        <v>44605.869027777779</v>
      </c>
      <c r="B99" s="4">
        <v>48791715</v>
      </c>
      <c r="C99" s="4" t="s">
        <v>244</v>
      </c>
      <c r="D99" s="4" t="s">
        <v>12</v>
      </c>
      <c r="E99" s="4">
        <v>900</v>
      </c>
      <c r="F99" s="4">
        <v>900</v>
      </c>
      <c r="G99" s="4">
        <v>630</v>
      </c>
      <c r="H99" s="4"/>
      <c r="I99" s="4" t="s">
        <v>10</v>
      </c>
      <c r="J99" s="4" t="s">
        <v>11</v>
      </c>
      <c r="K99" s="4" t="s">
        <v>11</v>
      </c>
      <c r="L99" s="4" t="s">
        <v>134</v>
      </c>
    </row>
    <row r="100" spans="1:12">
      <c r="A100" s="3">
        <v>44606.496805555558</v>
      </c>
      <c r="B100" s="4">
        <v>48791717</v>
      </c>
      <c r="C100" s="4" t="s">
        <v>277</v>
      </c>
      <c r="D100" s="4" t="s">
        <v>12</v>
      </c>
      <c r="E100" s="4">
        <v>900</v>
      </c>
      <c r="F100" s="4">
        <v>900</v>
      </c>
      <c r="G100" s="4">
        <v>630</v>
      </c>
      <c r="H100" s="4"/>
      <c r="I100" s="4" t="s">
        <v>10</v>
      </c>
      <c r="J100" s="4" t="s">
        <v>11</v>
      </c>
      <c r="K100" s="4" t="s">
        <v>11</v>
      </c>
      <c r="L100" s="4" t="s">
        <v>215</v>
      </c>
    </row>
    <row r="101" spans="1:12">
      <c r="A101" s="3">
        <v>44606.822627314818</v>
      </c>
      <c r="B101" s="4">
        <v>48791718</v>
      </c>
      <c r="C101" s="4" t="s">
        <v>556</v>
      </c>
      <c r="D101" s="4" t="s">
        <v>12</v>
      </c>
      <c r="E101" s="4">
        <v>900</v>
      </c>
      <c r="F101" s="4">
        <v>900</v>
      </c>
      <c r="G101" s="4">
        <v>630</v>
      </c>
      <c r="H101" s="4"/>
      <c r="I101" s="4" t="s">
        <v>10</v>
      </c>
      <c r="J101" s="4" t="s">
        <v>11</v>
      </c>
      <c r="K101" s="4" t="s">
        <v>11</v>
      </c>
      <c r="L101" s="4" t="s">
        <v>382</v>
      </c>
    </row>
    <row r="102" spans="1:12">
      <c r="A102" s="3">
        <v>44606.859375</v>
      </c>
      <c r="B102" s="4">
        <v>170138826</v>
      </c>
      <c r="C102" s="4" t="s">
        <v>490</v>
      </c>
      <c r="D102" s="4" t="s">
        <v>9</v>
      </c>
      <c r="E102" s="4">
        <v>0</v>
      </c>
      <c r="F102" s="4">
        <v>0</v>
      </c>
      <c r="G102" s="4">
        <v>0</v>
      </c>
      <c r="H102" s="4"/>
      <c r="I102" s="4" t="s">
        <v>14</v>
      </c>
      <c r="J102" s="4" t="s">
        <v>11</v>
      </c>
      <c r="K102" s="4" t="s">
        <v>11</v>
      </c>
      <c r="L102" s="4" t="s">
        <v>383</v>
      </c>
    </row>
    <row r="103" spans="1:12">
      <c r="A103" s="3">
        <v>44607.077384259261</v>
      </c>
      <c r="B103" s="4">
        <v>48791721</v>
      </c>
      <c r="C103" s="4" t="s">
        <v>557</v>
      </c>
      <c r="D103" s="4" t="s">
        <v>9</v>
      </c>
      <c r="E103" s="5">
        <v>3200</v>
      </c>
      <c r="F103" s="5">
        <v>3200</v>
      </c>
      <c r="G103" s="5">
        <v>2240</v>
      </c>
      <c r="H103" s="4"/>
      <c r="I103" s="4" t="s">
        <v>10</v>
      </c>
      <c r="J103" s="4" t="s">
        <v>11</v>
      </c>
      <c r="K103" s="4" t="s">
        <v>11</v>
      </c>
      <c r="L103" s="4" t="s">
        <v>385</v>
      </c>
    </row>
    <row r="104" spans="1:12">
      <c r="A104" s="3">
        <v>44607.390046296299</v>
      </c>
      <c r="B104" s="4">
        <v>48791719</v>
      </c>
      <c r="C104" s="4" t="s">
        <v>558</v>
      </c>
      <c r="D104" s="4" t="s">
        <v>12</v>
      </c>
      <c r="E104" s="4">
        <v>900</v>
      </c>
      <c r="F104" s="4">
        <v>900</v>
      </c>
      <c r="G104" s="4">
        <v>630</v>
      </c>
      <c r="H104" s="4"/>
      <c r="I104" s="4" t="s">
        <v>10</v>
      </c>
      <c r="J104" s="4" t="s">
        <v>11</v>
      </c>
      <c r="K104" s="4" t="s">
        <v>11</v>
      </c>
      <c r="L104" s="4" t="s">
        <v>384</v>
      </c>
    </row>
    <row r="105" spans="1:12">
      <c r="A105" s="3">
        <v>44607.500196759262</v>
      </c>
      <c r="B105" s="4">
        <v>276526517</v>
      </c>
      <c r="C105" s="4" t="s">
        <v>463</v>
      </c>
      <c r="D105" s="4" t="s">
        <v>9</v>
      </c>
      <c r="E105" s="4">
        <v>0</v>
      </c>
      <c r="F105" s="4">
        <v>0</v>
      </c>
      <c r="G105" s="4">
        <v>0</v>
      </c>
      <c r="H105" s="4"/>
      <c r="I105" s="4" t="s">
        <v>462</v>
      </c>
      <c r="J105" s="4" t="s">
        <v>11</v>
      </c>
      <c r="K105" s="4" t="s">
        <v>11</v>
      </c>
      <c r="L105" s="4" t="s">
        <v>334</v>
      </c>
    </row>
    <row r="106" spans="1:12">
      <c r="A106" s="3">
        <v>44607.580567129633</v>
      </c>
      <c r="B106" s="4">
        <v>288284916</v>
      </c>
      <c r="C106" s="4" t="s">
        <v>488</v>
      </c>
      <c r="D106" s="4" t="s">
        <v>12</v>
      </c>
      <c r="E106" s="5">
        <v>4410</v>
      </c>
      <c r="F106" s="5">
        <v>4410</v>
      </c>
      <c r="G106" s="5">
        <v>3087</v>
      </c>
      <c r="H106" s="4"/>
      <c r="I106" s="4" t="s">
        <v>462</v>
      </c>
      <c r="J106" s="4" t="s">
        <v>11</v>
      </c>
      <c r="K106" s="4" t="s">
        <v>11</v>
      </c>
      <c r="L106" s="4" t="s">
        <v>374</v>
      </c>
    </row>
    <row r="107" spans="1:12">
      <c r="A107" s="3">
        <v>44607.658101851855</v>
      </c>
      <c r="B107" s="4">
        <v>48791721</v>
      </c>
      <c r="C107" s="4" t="s">
        <v>557</v>
      </c>
      <c r="D107" s="4" t="s">
        <v>12</v>
      </c>
      <c r="E107" s="4">
        <v>900</v>
      </c>
      <c r="F107" s="4">
        <v>900</v>
      </c>
      <c r="G107" s="4">
        <v>630</v>
      </c>
      <c r="H107" s="4"/>
      <c r="I107" s="4" t="s">
        <v>10</v>
      </c>
      <c r="J107" s="4" t="s">
        <v>11</v>
      </c>
      <c r="K107" s="4" t="s">
        <v>11</v>
      </c>
      <c r="L107" s="4" t="s">
        <v>385</v>
      </c>
    </row>
    <row r="108" spans="1:12">
      <c r="A108" s="3">
        <v>44607.901724537034</v>
      </c>
      <c r="B108" s="4">
        <v>281625177</v>
      </c>
      <c r="C108" s="4" t="s">
        <v>541</v>
      </c>
      <c r="D108" s="4" t="s">
        <v>9</v>
      </c>
      <c r="E108" s="5">
        <v>3200</v>
      </c>
      <c r="F108" s="5">
        <v>3200</v>
      </c>
      <c r="G108" s="5">
        <v>2240</v>
      </c>
      <c r="H108" s="4"/>
      <c r="I108" s="4" t="s">
        <v>14</v>
      </c>
      <c r="J108" s="4" t="s">
        <v>11</v>
      </c>
      <c r="K108" s="4" t="s">
        <v>11</v>
      </c>
      <c r="L108" s="4" t="s">
        <v>365</v>
      </c>
    </row>
    <row r="109" spans="1:12">
      <c r="A109" s="3">
        <v>44608.220312500001</v>
      </c>
      <c r="B109" s="4">
        <v>170138804</v>
      </c>
      <c r="C109" s="4" t="s">
        <v>487</v>
      </c>
      <c r="D109" s="4" t="s">
        <v>9</v>
      </c>
      <c r="E109" s="5">
        <v>3200</v>
      </c>
      <c r="F109" s="5">
        <v>3200</v>
      </c>
      <c r="G109" s="5">
        <v>2240</v>
      </c>
      <c r="H109" s="4"/>
      <c r="I109" s="4" t="s">
        <v>14</v>
      </c>
      <c r="J109" s="4" t="s">
        <v>11</v>
      </c>
      <c r="K109" s="4" t="s">
        <v>11</v>
      </c>
      <c r="L109" s="4" t="s">
        <v>410</v>
      </c>
    </row>
    <row r="110" spans="1:12">
      <c r="A110" s="3">
        <v>44608.358668981484</v>
      </c>
      <c r="B110" s="4">
        <v>48806274</v>
      </c>
      <c r="C110" s="4" t="s">
        <v>562</v>
      </c>
      <c r="D110" s="4" t="s">
        <v>12</v>
      </c>
      <c r="E110" s="4">
        <v>900</v>
      </c>
      <c r="F110" s="4">
        <v>900</v>
      </c>
      <c r="G110" s="4">
        <v>630</v>
      </c>
      <c r="H110" s="4"/>
      <c r="I110" s="4" t="s">
        <v>10</v>
      </c>
      <c r="J110" s="4" t="s">
        <v>11</v>
      </c>
      <c r="K110" s="4" t="s">
        <v>11</v>
      </c>
      <c r="L110" s="4" t="s">
        <v>401</v>
      </c>
    </row>
    <row r="111" spans="1:12">
      <c r="A111" s="3">
        <v>44608.496319444443</v>
      </c>
      <c r="B111" s="4">
        <v>48791724</v>
      </c>
      <c r="C111" s="4" t="s">
        <v>563</v>
      </c>
      <c r="D111" s="4" t="s">
        <v>12</v>
      </c>
      <c r="E111" s="4">
        <v>900</v>
      </c>
      <c r="F111" s="4">
        <v>900</v>
      </c>
      <c r="G111" s="4">
        <v>630</v>
      </c>
      <c r="H111" s="4"/>
      <c r="I111" s="4" t="s">
        <v>10</v>
      </c>
      <c r="J111" s="4" t="s">
        <v>11</v>
      </c>
      <c r="K111" s="4" t="s">
        <v>11</v>
      </c>
      <c r="L111" s="4" t="s">
        <v>415</v>
      </c>
    </row>
    <row r="112" spans="1:12">
      <c r="A112" s="3">
        <v>44608.8362037037</v>
      </c>
      <c r="B112" s="4">
        <v>248962257</v>
      </c>
      <c r="C112" s="4" t="s">
        <v>246</v>
      </c>
      <c r="D112" s="4" t="s">
        <v>9</v>
      </c>
      <c r="E112" s="4">
        <v>0</v>
      </c>
      <c r="F112" s="4">
        <v>0</v>
      </c>
      <c r="G112" s="4">
        <v>0</v>
      </c>
      <c r="H112" s="4"/>
      <c r="I112" s="4" t="s">
        <v>14</v>
      </c>
      <c r="J112" s="4" t="s">
        <v>11</v>
      </c>
      <c r="K112" s="4" t="s">
        <v>11</v>
      </c>
      <c r="L112" s="4" t="s">
        <v>140</v>
      </c>
    </row>
    <row r="113" spans="1:12">
      <c r="A113" s="3">
        <v>44608.836793981478</v>
      </c>
      <c r="B113" s="4">
        <v>246278178</v>
      </c>
      <c r="C113" s="4" t="s">
        <v>564</v>
      </c>
      <c r="D113" s="4" t="s">
        <v>9</v>
      </c>
      <c r="E113" s="4">
        <v>0</v>
      </c>
      <c r="F113" s="4">
        <v>0</v>
      </c>
      <c r="G113" s="4">
        <v>0</v>
      </c>
      <c r="H113" s="4"/>
      <c r="I113" s="4" t="s">
        <v>14</v>
      </c>
      <c r="J113" s="4" t="s">
        <v>11</v>
      </c>
      <c r="K113" s="4" t="s">
        <v>11</v>
      </c>
      <c r="L113" s="4" t="s">
        <v>413</v>
      </c>
    </row>
    <row r="114" spans="1:12">
      <c r="A114" s="3">
        <v>44608.937118055554</v>
      </c>
      <c r="B114" s="4">
        <v>48791726</v>
      </c>
      <c r="C114" s="4" t="s">
        <v>567</v>
      </c>
      <c r="D114" s="4" t="s">
        <v>12</v>
      </c>
      <c r="E114" s="4">
        <v>900</v>
      </c>
      <c r="F114" s="4">
        <v>900</v>
      </c>
      <c r="G114" s="4">
        <v>630</v>
      </c>
      <c r="H114" s="4"/>
      <c r="I114" s="4" t="s">
        <v>10</v>
      </c>
      <c r="J114" s="4" t="s">
        <v>11</v>
      </c>
      <c r="K114" s="4" t="s">
        <v>11</v>
      </c>
      <c r="L114" s="4" t="s">
        <v>402</v>
      </c>
    </row>
    <row r="115" spans="1:12">
      <c r="A115" s="3">
        <v>44609.543912037036</v>
      </c>
      <c r="B115" s="4">
        <v>48791730</v>
      </c>
      <c r="C115" s="4" t="s">
        <v>569</v>
      </c>
      <c r="D115" s="4" t="s">
        <v>12</v>
      </c>
      <c r="E115" s="4">
        <v>900</v>
      </c>
      <c r="F115" s="4">
        <v>900</v>
      </c>
      <c r="G115" s="4">
        <v>630</v>
      </c>
      <c r="H115" s="4"/>
      <c r="I115" s="4" t="s">
        <v>10</v>
      </c>
      <c r="J115" s="4" t="s">
        <v>11</v>
      </c>
      <c r="K115" s="4" t="s">
        <v>11</v>
      </c>
      <c r="L115" s="4" t="s">
        <v>403</v>
      </c>
    </row>
    <row r="116" spans="1:12">
      <c r="A116" s="3">
        <v>44609.854155092595</v>
      </c>
      <c r="B116" s="4">
        <v>48799549</v>
      </c>
      <c r="C116" s="4" t="s">
        <v>238</v>
      </c>
      <c r="D116" s="4" t="s">
        <v>12</v>
      </c>
      <c r="E116" s="4">
        <v>900</v>
      </c>
      <c r="F116" s="4">
        <v>900</v>
      </c>
      <c r="G116" s="4">
        <v>630</v>
      </c>
      <c r="H116" s="4"/>
      <c r="I116" s="4" t="s">
        <v>10</v>
      </c>
      <c r="J116" s="4" t="s">
        <v>11</v>
      </c>
      <c r="K116" s="4" t="s">
        <v>11</v>
      </c>
      <c r="L116" s="4" t="s">
        <v>107</v>
      </c>
    </row>
    <row r="117" spans="1:12">
      <c r="A117" s="3">
        <v>44609.974861111114</v>
      </c>
      <c r="B117" s="4">
        <v>48806275</v>
      </c>
      <c r="C117" s="4" t="s">
        <v>570</v>
      </c>
      <c r="D117" s="4" t="s">
        <v>12</v>
      </c>
      <c r="E117" s="4">
        <v>900</v>
      </c>
      <c r="F117" s="4">
        <v>900</v>
      </c>
      <c r="G117" s="4">
        <v>630</v>
      </c>
      <c r="H117" s="4"/>
      <c r="I117" s="4" t="s">
        <v>10</v>
      </c>
      <c r="J117" s="4" t="s">
        <v>11</v>
      </c>
      <c r="K117" s="4" t="s">
        <v>11</v>
      </c>
      <c r="L117" s="4" t="s">
        <v>400</v>
      </c>
    </row>
    <row r="118" spans="1:12">
      <c r="A118" s="3">
        <v>44610.287800925929</v>
      </c>
      <c r="B118" s="4">
        <v>170138826</v>
      </c>
      <c r="C118" s="4" t="s">
        <v>490</v>
      </c>
      <c r="D118" s="4" t="s">
        <v>9</v>
      </c>
      <c r="E118" s="4">
        <v>0</v>
      </c>
      <c r="F118" s="4">
        <v>0</v>
      </c>
      <c r="G118" s="4">
        <v>0</v>
      </c>
      <c r="H118" s="4"/>
      <c r="I118" s="4" t="s">
        <v>14</v>
      </c>
      <c r="J118" s="4" t="s">
        <v>11</v>
      </c>
      <c r="K118" s="4" t="s">
        <v>11</v>
      </c>
      <c r="L118" s="4" t="s">
        <v>383</v>
      </c>
    </row>
    <row r="119" spans="1:12">
      <c r="A119" s="3">
        <v>44610.79042824074</v>
      </c>
      <c r="B119" s="4">
        <v>48791732</v>
      </c>
      <c r="C119" s="4" t="s">
        <v>573</v>
      </c>
      <c r="D119" s="4" t="s">
        <v>12</v>
      </c>
      <c r="E119" s="4">
        <v>900</v>
      </c>
      <c r="F119" s="4">
        <v>900</v>
      </c>
      <c r="G119" s="4">
        <v>630</v>
      </c>
      <c r="H119" s="4"/>
      <c r="I119" s="4" t="s">
        <v>10</v>
      </c>
      <c r="J119" s="4" t="s">
        <v>11</v>
      </c>
      <c r="K119" s="4" t="s">
        <v>11</v>
      </c>
      <c r="L119" s="4" t="s">
        <v>399</v>
      </c>
    </row>
    <row r="120" spans="1:12">
      <c r="A120" s="3">
        <v>44610.896481481483</v>
      </c>
      <c r="B120" s="4">
        <v>48799551</v>
      </c>
      <c r="C120" s="4" t="s">
        <v>239</v>
      </c>
      <c r="D120" s="4" t="s">
        <v>12</v>
      </c>
      <c r="E120" s="4">
        <v>900</v>
      </c>
      <c r="F120" s="4">
        <v>900</v>
      </c>
      <c r="G120" s="4">
        <v>630</v>
      </c>
      <c r="H120" s="4"/>
      <c r="I120" s="4" t="s">
        <v>10</v>
      </c>
      <c r="J120" s="4" t="s">
        <v>11</v>
      </c>
      <c r="K120" s="4" t="s">
        <v>11</v>
      </c>
      <c r="L120" s="4" t="s">
        <v>115</v>
      </c>
    </row>
    <row r="121" spans="1:12">
      <c r="A121" s="3">
        <v>44611.082187499997</v>
      </c>
      <c r="B121" s="4">
        <v>48791735</v>
      </c>
      <c r="C121" s="4" t="s">
        <v>297</v>
      </c>
      <c r="D121" s="4" t="s">
        <v>12</v>
      </c>
      <c r="E121" s="4">
        <v>900</v>
      </c>
      <c r="F121" s="4">
        <v>900</v>
      </c>
      <c r="G121" s="4">
        <v>630</v>
      </c>
      <c r="H121" s="4"/>
      <c r="I121" s="4" t="s">
        <v>10</v>
      </c>
      <c r="J121" s="4" t="s">
        <v>11</v>
      </c>
      <c r="K121" s="4" t="s">
        <v>11</v>
      </c>
      <c r="L121" s="4" t="s">
        <v>406</v>
      </c>
    </row>
    <row r="122" spans="1:12">
      <c r="A122" s="3">
        <v>44611.363587962966</v>
      </c>
      <c r="B122" s="4">
        <v>256291102</v>
      </c>
      <c r="C122" s="4" t="s">
        <v>250</v>
      </c>
      <c r="D122" s="4" t="s">
        <v>9</v>
      </c>
      <c r="E122" s="5">
        <v>3200</v>
      </c>
      <c r="F122" s="5">
        <v>3200</v>
      </c>
      <c r="G122" s="5">
        <v>2240</v>
      </c>
      <c r="H122" s="4"/>
      <c r="I122" s="4" t="s">
        <v>161</v>
      </c>
      <c r="J122" s="4" t="s">
        <v>11</v>
      </c>
      <c r="K122" s="4" t="s">
        <v>11</v>
      </c>
      <c r="L122" s="4" t="s">
        <v>151</v>
      </c>
    </row>
    <row r="123" spans="1:12">
      <c r="A123" s="3">
        <v>44611.363587962966</v>
      </c>
      <c r="B123" s="4">
        <v>256291243</v>
      </c>
      <c r="C123" s="4" t="s">
        <v>276</v>
      </c>
      <c r="D123" s="4" t="s">
        <v>9</v>
      </c>
      <c r="E123" s="5">
        <v>3200</v>
      </c>
      <c r="F123" s="5">
        <v>3200</v>
      </c>
      <c r="G123" s="5">
        <v>2240</v>
      </c>
      <c r="H123" s="4"/>
      <c r="I123" s="4" t="s">
        <v>161</v>
      </c>
      <c r="J123" s="4" t="s">
        <v>11</v>
      </c>
      <c r="K123" s="4" t="s">
        <v>11</v>
      </c>
      <c r="L123" s="4" t="s">
        <v>216</v>
      </c>
    </row>
    <row r="124" spans="1:12">
      <c r="A124" s="3">
        <v>44611.698101851849</v>
      </c>
      <c r="B124" s="4">
        <v>48806271</v>
      </c>
      <c r="C124" s="4" t="s">
        <v>235</v>
      </c>
      <c r="D124" s="4" t="s">
        <v>12</v>
      </c>
      <c r="E124" s="4">
        <v>900</v>
      </c>
      <c r="F124" s="4">
        <v>900</v>
      </c>
      <c r="G124" s="4">
        <v>630</v>
      </c>
      <c r="H124" s="4"/>
      <c r="I124" s="4" t="s">
        <v>10</v>
      </c>
      <c r="J124" s="4" t="s">
        <v>11</v>
      </c>
      <c r="K124" s="4" t="s">
        <v>11</v>
      </c>
      <c r="L124" s="4" t="s">
        <v>111</v>
      </c>
    </row>
    <row r="125" spans="1:12">
      <c r="A125" s="3">
        <v>44611.884699074071</v>
      </c>
      <c r="B125" s="4">
        <v>48799554</v>
      </c>
      <c r="C125" s="4" t="s">
        <v>236</v>
      </c>
      <c r="D125" s="4" t="s">
        <v>12</v>
      </c>
      <c r="E125" s="4">
        <v>900</v>
      </c>
      <c r="F125" s="4">
        <v>900</v>
      </c>
      <c r="G125" s="4">
        <v>630</v>
      </c>
      <c r="H125" s="4"/>
      <c r="I125" s="4" t="s">
        <v>10</v>
      </c>
      <c r="J125" s="4" t="s">
        <v>11</v>
      </c>
      <c r="K125" s="4" t="s">
        <v>11</v>
      </c>
      <c r="L125" s="4" t="s">
        <v>106</v>
      </c>
    </row>
    <row r="126" spans="1:12">
      <c r="A126" s="3">
        <v>44612.657777777778</v>
      </c>
      <c r="B126" s="4">
        <v>48799556</v>
      </c>
      <c r="C126" s="4" t="s">
        <v>237</v>
      </c>
      <c r="D126" s="4" t="s">
        <v>12</v>
      </c>
      <c r="E126" s="4">
        <v>900</v>
      </c>
      <c r="F126" s="4">
        <v>900</v>
      </c>
      <c r="G126" s="4">
        <v>630</v>
      </c>
      <c r="H126" s="4"/>
      <c r="I126" s="4" t="s">
        <v>10</v>
      </c>
      <c r="J126" s="4" t="s">
        <v>11</v>
      </c>
      <c r="K126" s="4" t="s">
        <v>11</v>
      </c>
      <c r="L126" s="4" t="s">
        <v>110</v>
      </c>
    </row>
    <row r="127" spans="1:12">
      <c r="A127" s="3">
        <v>44612.944768518515</v>
      </c>
      <c r="B127" s="4">
        <v>48799559</v>
      </c>
      <c r="C127" s="4" t="s">
        <v>240</v>
      </c>
      <c r="D127" s="4" t="s">
        <v>12</v>
      </c>
      <c r="E127" s="4">
        <v>900</v>
      </c>
      <c r="F127" s="4">
        <v>900</v>
      </c>
      <c r="G127" s="4">
        <v>630</v>
      </c>
      <c r="H127" s="4"/>
      <c r="I127" s="4" t="s">
        <v>10</v>
      </c>
      <c r="J127" s="4" t="s">
        <v>11</v>
      </c>
      <c r="K127" s="4" t="s">
        <v>11</v>
      </c>
      <c r="L127" s="4" t="s">
        <v>105</v>
      </c>
    </row>
    <row r="128" spans="1:12">
      <c r="A128" s="3">
        <v>44613.417905092596</v>
      </c>
      <c r="B128" s="4">
        <v>48799561</v>
      </c>
      <c r="C128" s="4" t="s">
        <v>241</v>
      </c>
      <c r="D128" s="4" t="s">
        <v>12</v>
      </c>
      <c r="E128" s="4">
        <v>900</v>
      </c>
      <c r="F128" s="4">
        <v>900</v>
      </c>
      <c r="G128" s="4">
        <v>630</v>
      </c>
      <c r="H128" s="4"/>
      <c r="I128" s="4" t="s">
        <v>10</v>
      </c>
      <c r="J128" s="4" t="s">
        <v>11</v>
      </c>
      <c r="K128" s="4" t="s">
        <v>11</v>
      </c>
      <c r="L128" s="4" t="s">
        <v>114</v>
      </c>
    </row>
    <row r="129" spans="1:12">
      <c r="A129" s="3">
        <v>44613.432997685188</v>
      </c>
      <c r="B129" s="4">
        <v>256291110</v>
      </c>
      <c r="C129" s="4" t="s">
        <v>174</v>
      </c>
      <c r="D129" s="4" t="s">
        <v>9</v>
      </c>
      <c r="E129" s="4">
        <v>0</v>
      </c>
      <c r="F129" s="4">
        <v>0</v>
      </c>
      <c r="G129" s="4">
        <v>0</v>
      </c>
      <c r="H129" s="4"/>
      <c r="I129" s="4" t="s">
        <v>168</v>
      </c>
      <c r="J129" s="4" t="s">
        <v>11</v>
      </c>
      <c r="K129" s="4" t="s">
        <v>11</v>
      </c>
      <c r="L129" s="4" t="s">
        <v>199</v>
      </c>
    </row>
    <row r="130" spans="1:12">
      <c r="A130" s="3">
        <v>44613.760787037034</v>
      </c>
      <c r="B130" s="4">
        <v>48791679</v>
      </c>
      <c r="C130" s="4" t="s">
        <v>30</v>
      </c>
      <c r="D130" s="4" t="s">
        <v>12</v>
      </c>
      <c r="E130" s="4">
        <v>0</v>
      </c>
      <c r="F130" s="4">
        <v>0</v>
      </c>
      <c r="G130" s="4">
        <v>0</v>
      </c>
      <c r="H130" s="4"/>
      <c r="I130" s="4" t="s">
        <v>10</v>
      </c>
      <c r="J130" s="4" t="s">
        <v>11</v>
      </c>
      <c r="K130" s="4" t="s">
        <v>11</v>
      </c>
      <c r="L130" s="4" t="s">
        <v>52</v>
      </c>
    </row>
    <row r="131" spans="1:12">
      <c r="A131" s="3">
        <v>44613.840833333335</v>
      </c>
      <c r="B131" s="4">
        <v>273042149</v>
      </c>
      <c r="C131" s="4" t="s">
        <v>579</v>
      </c>
      <c r="D131" s="4" t="s">
        <v>9</v>
      </c>
      <c r="E131" s="4">
        <v>0</v>
      </c>
      <c r="F131" s="4">
        <v>0</v>
      </c>
      <c r="G131" s="4">
        <v>0</v>
      </c>
      <c r="H131" s="4"/>
      <c r="I131" s="4" t="s">
        <v>32</v>
      </c>
      <c r="J131" s="4" t="s">
        <v>11</v>
      </c>
      <c r="K131" s="4" t="s">
        <v>11</v>
      </c>
      <c r="L131" s="4" t="s">
        <v>426</v>
      </c>
    </row>
    <row r="132" spans="1:12">
      <c r="A132" s="3">
        <v>44613.899641203701</v>
      </c>
      <c r="B132" s="4">
        <v>48799565</v>
      </c>
      <c r="C132" s="4" t="s">
        <v>242</v>
      </c>
      <c r="D132" s="4" t="s">
        <v>12</v>
      </c>
      <c r="E132" s="4">
        <v>900</v>
      </c>
      <c r="F132" s="4">
        <v>900</v>
      </c>
      <c r="G132" s="4">
        <v>630</v>
      </c>
      <c r="H132" s="4"/>
      <c r="I132" s="4" t="s">
        <v>10</v>
      </c>
      <c r="J132" s="4" t="s">
        <v>11</v>
      </c>
      <c r="K132" s="4" t="s">
        <v>11</v>
      </c>
      <c r="L132" s="4" t="s">
        <v>108</v>
      </c>
    </row>
    <row r="133" spans="1:12">
      <c r="A133" s="3">
        <v>44613.905034722222</v>
      </c>
      <c r="B133" s="4">
        <v>48806274</v>
      </c>
      <c r="C133" s="4" t="s">
        <v>562</v>
      </c>
      <c r="D133" s="4" t="s">
        <v>9</v>
      </c>
      <c r="E133" s="5">
        <v>3200</v>
      </c>
      <c r="F133" s="5">
        <v>3200</v>
      </c>
      <c r="G133" s="5">
        <v>2240</v>
      </c>
      <c r="H133" s="4"/>
      <c r="I133" s="4" t="s">
        <v>10</v>
      </c>
      <c r="J133" s="4" t="s">
        <v>11</v>
      </c>
      <c r="K133" s="4" t="s">
        <v>11</v>
      </c>
      <c r="L133" s="4" t="s">
        <v>401</v>
      </c>
    </row>
    <row r="134" spans="1:12">
      <c r="A134" s="3">
        <v>44614.309629629628</v>
      </c>
      <c r="B134" s="4">
        <v>276526517</v>
      </c>
      <c r="C134" s="4" t="s">
        <v>463</v>
      </c>
      <c r="D134" s="4" t="s">
        <v>9</v>
      </c>
      <c r="E134" s="4">
        <v>0</v>
      </c>
      <c r="F134" s="4">
        <v>0</v>
      </c>
      <c r="G134" s="4">
        <v>0</v>
      </c>
      <c r="H134" s="4"/>
      <c r="I134" s="4" t="s">
        <v>462</v>
      </c>
      <c r="J134" s="4" t="s">
        <v>11</v>
      </c>
      <c r="K134" s="4" t="s">
        <v>11</v>
      </c>
      <c r="L134" s="4" t="s">
        <v>334</v>
      </c>
    </row>
    <row r="135" spans="1:12">
      <c r="A135" s="3">
        <v>44614.988703703704</v>
      </c>
      <c r="B135" s="4">
        <v>257828600</v>
      </c>
      <c r="C135" s="4" t="s">
        <v>278</v>
      </c>
      <c r="D135" s="4" t="s">
        <v>9</v>
      </c>
      <c r="E135" s="5">
        <v>51200</v>
      </c>
      <c r="F135" s="5">
        <v>51200</v>
      </c>
      <c r="G135" s="5">
        <v>35840</v>
      </c>
      <c r="H135" s="4"/>
      <c r="I135" s="4" t="s">
        <v>10</v>
      </c>
      <c r="J135" s="4" t="s">
        <v>11</v>
      </c>
      <c r="K135" s="4" t="s">
        <v>11</v>
      </c>
      <c r="L135" s="4" t="s">
        <v>184</v>
      </c>
    </row>
    <row r="136" spans="1:12">
      <c r="A136" s="3">
        <v>44615.374247685184</v>
      </c>
      <c r="B136" s="4">
        <v>48791711</v>
      </c>
      <c r="C136" s="4" t="s">
        <v>80</v>
      </c>
      <c r="D136" s="4" t="s">
        <v>9</v>
      </c>
      <c r="E136" s="4">
        <v>0</v>
      </c>
      <c r="F136" s="4">
        <v>0</v>
      </c>
      <c r="G136" s="4">
        <v>0</v>
      </c>
      <c r="H136" s="4"/>
      <c r="I136" s="4" t="s">
        <v>10</v>
      </c>
      <c r="J136" s="4" t="s">
        <v>11</v>
      </c>
      <c r="K136" s="4" t="s">
        <v>11</v>
      </c>
      <c r="L136" s="4" t="s">
        <v>85</v>
      </c>
    </row>
    <row r="137" spans="1:12">
      <c r="A137" s="3">
        <v>44615.386273148149</v>
      </c>
      <c r="B137" s="4">
        <v>48799527</v>
      </c>
      <c r="C137" s="4" t="s">
        <v>77</v>
      </c>
      <c r="D137" s="4" t="s">
        <v>9</v>
      </c>
      <c r="E137" s="4">
        <v>0</v>
      </c>
      <c r="F137" s="4">
        <v>0</v>
      </c>
      <c r="G137" s="4">
        <v>0</v>
      </c>
      <c r="H137" s="4"/>
      <c r="I137" s="4" t="s">
        <v>10</v>
      </c>
      <c r="J137" s="4" t="s">
        <v>11</v>
      </c>
      <c r="K137" s="4" t="s">
        <v>11</v>
      </c>
      <c r="L137" s="4" t="s">
        <v>95</v>
      </c>
    </row>
    <row r="138" spans="1:12">
      <c r="A138" s="3">
        <v>44615.507881944446</v>
      </c>
      <c r="B138" s="4">
        <v>48791712</v>
      </c>
      <c r="C138" s="4" t="s">
        <v>82</v>
      </c>
      <c r="D138" s="4" t="s">
        <v>12</v>
      </c>
      <c r="E138" s="4">
        <v>900</v>
      </c>
      <c r="F138" s="4">
        <v>900</v>
      </c>
      <c r="G138" s="4">
        <v>630</v>
      </c>
      <c r="H138" s="4"/>
      <c r="I138" s="4" t="s">
        <v>10</v>
      </c>
      <c r="J138" s="4" t="s">
        <v>11</v>
      </c>
      <c r="K138" s="4" t="s">
        <v>11</v>
      </c>
      <c r="L138" s="4" t="s">
        <v>87</v>
      </c>
    </row>
    <row r="139" spans="1:12">
      <c r="A139" s="3">
        <v>44615.538287037038</v>
      </c>
      <c r="B139" s="4">
        <v>48791714</v>
      </c>
      <c r="C139" s="4" t="s">
        <v>243</v>
      </c>
      <c r="D139" s="4" t="s">
        <v>12</v>
      </c>
      <c r="E139" s="4">
        <v>900</v>
      </c>
      <c r="F139" s="4">
        <v>900</v>
      </c>
      <c r="G139" s="4">
        <v>630</v>
      </c>
      <c r="H139" s="4"/>
      <c r="I139" s="4" t="s">
        <v>10</v>
      </c>
      <c r="J139" s="4" t="s">
        <v>11</v>
      </c>
      <c r="K139" s="4" t="s">
        <v>11</v>
      </c>
      <c r="L139" s="4" t="s">
        <v>135</v>
      </c>
    </row>
    <row r="140" spans="1:12">
      <c r="A140" s="3">
        <v>44615.943148148152</v>
      </c>
      <c r="B140" s="4">
        <v>100515196</v>
      </c>
      <c r="C140" s="4" t="s">
        <v>72</v>
      </c>
      <c r="D140" s="4" t="s">
        <v>9</v>
      </c>
      <c r="E140" s="4">
        <v>0</v>
      </c>
      <c r="F140" s="4">
        <v>0</v>
      </c>
      <c r="G140" s="4">
        <v>0</v>
      </c>
      <c r="H140" s="4"/>
      <c r="I140" s="4" t="s">
        <v>23</v>
      </c>
      <c r="J140" s="4" t="s">
        <v>11</v>
      </c>
      <c r="K140" s="4" t="s">
        <v>11</v>
      </c>
      <c r="L140" s="4" t="s">
        <v>88</v>
      </c>
    </row>
    <row r="141" spans="1:12">
      <c r="A141" s="3">
        <v>44616.511643518519</v>
      </c>
      <c r="B141" s="4">
        <v>48799575</v>
      </c>
      <c r="C141" s="4" t="s">
        <v>185</v>
      </c>
      <c r="D141" s="4" t="s">
        <v>12</v>
      </c>
      <c r="E141" s="4">
        <v>900</v>
      </c>
      <c r="F141" s="4">
        <v>900</v>
      </c>
      <c r="G141" s="4">
        <v>630</v>
      </c>
      <c r="H141" s="4"/>
      <c r="I141" s="4" t="s">
        <v>10</v>
      </c>
      <c r="J141" s="4" t="s">
        <v>11</v>
      </c>
      <c r="K141" s="4" t="s">
        <v>11</v>
      </c>
      <c r="L141" s="4" t="s">
        <v>119</v>
      </c>
    </row>
    <row r="142" spans="1:12">
      <c r="A142" s="3">
        <v>44616.648865740739</v>
      </c>
      <c r="B142" s="4">
        <v>248187295</v>
      </c>
      <c r="C142" s="4" t="s">
        <v>477</v>
      </c>
      <c r="D142" s="4" t="s">
        <v>9</v>
      </c>
      <c r="E142" s="4">
        <v>0</v>
      </c>
      <c r="F142" s="4">
        <v>0</v>
      </c>
      <c r="G142" s="4">
        <v>0</v>
      </c>
      <c r="H142" s="4"/>
      <c r="I142" s="4" t="s">
        <v>456</v>
      </c>
      <c r="J142" s="4" t="s">
        <v>11</v>
      </c>
      <c r="K142" s="4" t="s">
        <v>11</v>
      </c>
      <c r="L142" s="4" t="s">
        <v>419</v>
      </c>
    </row>
    <row r="143" spans="1:12">
      <c r="A143" s="3">
        <v>44616.756805555553</v>
      </c>
      <c r="B143" s="4">
        <v>48799577</v>
      </c>
      <c r="C143" s="4" t="s">
        <v>192</v>
      </c>
      <c r="D143" s="4" t="s">
        <v>12</v>
      </c>
      <c r="E143" s="4">
        <v>900</v>
      </c>
      <c r="F143" s="4">
        <v>900</v>
      </c>
      <c r="G143" s="4">
        <v>630</v>
      </c>
      <c r="H143" s="4"/>
      <c r="I143" s="4" t="s">
        <v>10</v>
      </c>
      <c r="J143" s="4" t="s">
        <v>11</v>
      </c>
      <c r="K143" s="4" t="s">
        <v>11</v>
      </c>
      <c r="L143" s="4" t="s">
        <v>112</v>
      </c>
    </row>
    <row r="144" spans="1:12">
      <c r="A144" s="3">
        <v>44616.964375000003</v>
      </c>
      <c r="B144" s="4">
        <v>48799581</v>
      </c>
      <c r="C144" s="4" t="s">
        <v>194</v>
      </c>
      <c r="D144" s="4" t="s">
        <v>12</v>
      </c>
      <c r="E144" s="4">
        <v>900</v>
      </c>
      <c r="F144" s="4">
        <v>900</v>
      </c>
      <c r="G144" s="4">
        <v>630</v>
      </c>
      <c r="H144" s="4"/>
      <c r="I144" s="4" t="s">
        <v>10</v>
      </c>
      <c r="J144" s="4" t="s">
        <v>11</v>
      </c>
      <c r="K144" s="4" t="s">
        <v>11</v>
      </c>
      <c r="L144" s="4" t="s">
        <v>113</v>
      </c>
    </row>
    <row r="145" spans="1:12">
      <c r="A145" s="3">
        <v>44617.051493055558</v>
      </c>
      <c r="B145" s="4">
        <v>48799584</v>
      </c>
      <c r="C145" s="4" t="s">
        <v>189</v>
      </c>
      <c r="D145" s="4" t="s">
        <v>12</v>
      </c>
      <c r="E145" s="4">
        <v>900</v>
      </c>
      <c r="F145" s="4">
        <v>900</v>
      </c>
      <c r="G145" s="4">
        <v>630</v>
      </c>
      <c r="H145" s="4"/>
      <c r="I145" s="4" t="s">
        <v>10</v>
      </c>
      <c r="J145" s="4" t="s">
        <v>11</v>
      </c>
      <c r="K145" s="4" t="s">
        <v>11</v>
      </c>
      <c r="L145" s="4" t="s">
        <v>120</v>
      </c>
    </row>
    <row r="146" spans="1:12">
      <c r="A146" s="3">
        <v>44617.249872685185</v>
      </c>
      <c r="B146" s="4">
        <v>248188643</v>
      </c>
      <c r="C146" s="4" t="s">
        <v>496</v>
      </c>
      <c r="D146" s="4" t="s">
        <v>12</v>
      </c>
      <c r="E146" s="5">
        <v>5040</v>
      </c>
      <c r="F146" s="5">
        <v>5040</v>
      </c>
      <c r="G146" s="5">
        <v>3528</v>
      </c>
      <c r="H146" s="4"/>
      <c r="I146" s="4" t="s">
        <v>456</v>
      </c>
      <c r="J146" s="4" t="s">
        <v>11</v>
      </c>
      <c r="K146" s="4" t="s">
        <v>11</v>
      </c>
      <c r="L146" s="4" t="s">
        <v>428</v>
      </c>
    </row>
    <row r="147" spans="1:12">
      <c r="A147" s="3">
        <v>44617.299131944441</v>
      </c>
      <c r="B147" s="4">
        <v>186276468</v>
      </c>
      <c r="C147" s="4" t="s">
        <v>36</v>
      </c>
      <c r="D147" s="4" t="s">
        <v>9</v>
      </c>
      <c r="E147" s="5">
        <v>3500</v>
      </c>
      <c r="F147" s="5">
        <v>3500</v>
      </c>
      <c r="G147" s="5">
        <v>2450</v>
      </c>
      <c r="H147" s="4"/>
      <c r="I147" s="4" t="s">
        <v>27</v>
      </c>
      <c r="J147" s="4" t="s">
        <v>11</v>
      </c>
      <c r="K147" s="4" t="s">
        <v>11</v>
      </c>
      <c r="L147" s="4" t="s">
        <v>54</v>
      </c>
    </row>
    <row r="148" spans="1:12">
      <c r="A148" s="3">
        <v>44617.299131944441</v>
      </c>
      <c r="B148" s="4">
        <v>186276470</v>
      </c>
      <c r="C148" s="4" t="s">
        <v>31</v>
      </c>
      <c r="D148" s="4" t="s">
        <v>9</v>
      </c>
      <c r="E148" s="5">
        <v>3500</v>
      </c>
      <c r="F148" s="5">
        <v>3500</v>
      </c>
      <c r="G148" s="5">
        <v>2450</v>
      </c>
      <c r="H148" s="4"/>
      <c r="I148" s="4" t="s">
        <v>27</v>
      </c>
      <c r="J148" s="4" t="s">
        <v>11</v>
      </c>
      <c r="K148" s="4" t="s">
        <v>11</v>
      </c>
      <c r="L148" s="4" t="s">
        <v>55</v>
      </c>
    </row>
    <row r="149" spans="1:12">
      <c r="A149" s="3">
        <v>44617.481388888889</v>
      </c>
      <c r="B149" s="4">
        <v>276448998</v>
      </c>
      <c r="C149" s="4" t="s">
        <v>491</v>
      </c>
      <c r="D149" s="4" t="s">
        <v>12</v>
      </c>
      <c r="E149" s="5">
        <v>1920</v>
      </c>
      <c r="F149" s="5">
        <v>1920</v>
      </c>
      <c r="G149" s="5">
        <v>1344</v>
      </c>
      <c r="H149" s="4"/>
      <c r="I149" s="4" t="s">
        <v>19</v>
      </c>
      <c r="J149" s="4" t="s">
        <v>11</v>
      </c>
      <c r="K149" s="4" t="s">
        <v>11</v>
      </c>
      <c r="L149" s="4" t="s">
        <v>420</v>
      </c>
    </row>
    <row r="150" spans="1:12">
      <c r="A150" s="3">
        <v>44617.481388888889</v>
      </c>
      <c r="B150" s="4">
        <v>276448997</v>
      </c>
      <c r="C150" s="4" t="s">
        <v>22</v>
      </c>
      <c r="D150" s="4" t="s">
        <v>12</v>
      </c>
      <c r="E150" s="5">
        <v>1920</v>
      </c>
      <c r="F150" s="5">
        <v>1920</v>
      </c>
      <c r="G150" s="5">
        <v>1344</v>
      </c>
      <c r="H150" s="4"/>
      <c r="I150" s="4" t="s">
        <v>19</v>
      </c>
      <c r="J150" s="4" t="s">
        <v>11</v>
      </c>
      <c r="K150" s="4" t="s">
        <v>11</v>
      </c>
      <c r="L150" s="4" t="s">
        <v>48</v>
      </c>
    </row>
    <row r="151" spans="1:12">
      <c r="A151" s="3">
        <v>44617.516817129632</v>
      </c>
      <c r="B151" s="4">
        <v>48799587</v>
      </c>
      <c r="C151" s="4" t="s">
        <v>188</v>
      </c>
      <c r="D151" s="4" t="s">
        <v>12</v>
      </c>
      <c r="E151" s="4">
        <v>900</v>
      </c>
      <c r="F151" s="4">
        <v>900</v>
      </c>
      <c r="G151" s="4">
        <v>630</v>
      </c>
      <c r="H151" s="4"/>
      <c r="I151" s="4" t="s">
        <v>10</v>
      </c>
      <c r="J151" s="4" t="s">
        <v>11</v>
      </c>
      <c r="K151" s="4" t="s">
        <v>11</v>
      </c>
      <c r="L151" s="4" t="s">
        <v>121</v>
      </c>
    </row>
    <row r="152" spans="1:12">
      <c r="A152" s="3">
        <v>44617.666805555556</v>
      </c>
      <c r="B152" s="4">
        <v>48799589</v>
      </c>
      <c r="C152" s="4" t="s">
        <v>190</v>
      </c>
      <c r="D152" s="4" t="s">
        <v>12</v>
      </c>
      <c r="E152" s="4">
        <v>900</v>
      </c>
      <c r="F152" s="4">
        <v>900</v>
      </c>
      <c r="G152" s="4">
        <v>630</v>
      </c>
      <c r="H152" s="4"/>
      <c r="I152" s="4" t="s">
        <v>10</v>
      </c>
      <c r="J152" s="4" t="s">
        <v>11</v>
      </c>
      <c r="K152" s="4" t="s">
        <v>11</v>
      </c>
      <c r="L152" s="4" t="s">
        <v>101</v>
      </c>
    </row>
    <row r="153" spans="1:12">
      <c r="A153" s="3">
        <v>44617.862905092596</v>
      </c>
      <c r="B153" s="4">
        <v>276448998</v>
      </c>
      <c r="C153" s="4" t="s">
        <v>491</v>
      </c>
      <c r="D153" s="4" t="s">
        <v>9</v>
      </c>
      <c r="E153" s="5">
        <v>2400</v>
      </c>
      <c r="F153" s="5">
        <v>2400</v>
      </c>
      <c r="G153" s="5">
        <v>1680</v>
      </c>
      <c r="H153" s="4"/>
      <c r="I153" s="4" t="s">
        <v>19</v>
      </c>
      <c r="J153" s="4" t="s">
        <v>11</v>
      </c>
      <c r="K153" s="4" t="s">
        <v>11</v>
      </c>
      <c r="L153" s="4" t="s">
        <v>420</v>
      </c>
    </row>
    <row r="154" spans="1:12">
      <c r="A154" s="3">
        <v>44620.743796296294</v>
      </c>
      <c r="B154" s="4">
        <v>276448998</v>
      </c>
      <c r="C154" s="4" t="s">
        <v>491</v>
      </c>
      <c r="D154" s="4" t="s">
        <v>9</v>
      </c>
      <c r="E154" s="5">
        <v>-2400</v>
      </c>
      <c r="F154" s="5">
        <v>-2400</v>
      </c>
      <c r="G154" s="5">
        <v>-1680</v>
      </c>
      <c r="H154" s="3">
        <v>44617.862905092596</v>
      </c>
      <c r="I154" s="4" t="s">
        <v>19</v>
      </c>
      <c r="J154" s="4" t="s">
        <v>11</v>
      </c>
      <c r="K154" s="4" t="s">
        <v>11</v>
      </c>
      <c r="L154" s="4" t="s">
        <v>420</v>
      </c>
    </row>
    <row r="155" spans="1:12">
      <c r="A155" s="3">
        <v>44617.866747685184</v>
      </c>
      <c r="B155" s="4">
        <v>48799591</v>
      </c>
      <c r="C155" s="4" t="s">
        <v>26</v>
      </c>
      <c r="D155" s="4" t="s">
        <v>12</v>
      </c>
      <c r="E155" s="4">
        <v>900</v>
      </c>
      <c r="F155" s="4">
        <v>900</v>
      </c>
      <c r="G155" s="4">
        <v>630</v>
      </c>
      <c r="H155" s="4"/>
      <c r="I155" s="4" t="s">
        <v>10</v>
      </c>
      <c r="J155" s="4" t="s">
        <v>11</v>
      </c>
      <c r="K155" s="4" t="s">
        <v>11</v>
      </c>
      <c r="L155" s="4" t="s">
        <v>53</v>
      </c>
    </row>
    <row r="156" spans="1:12">
      <c r="A156" s="3">
        <v>44617.960613425923</v>
      </c>
      <c r="B156" s="4">
        <v>48799594</v>
      </c>
      <c r="C156" s="4" t="s">
        <v>191</v>
      </c>
      <c r="D156" s="4" t="s">
        <v>12</v>
      </c>
      <c r="E156" s="4">
        <v>900</v>
      </c>
      <c r="F156" s="4">
        <v>900</v>
      </c>
      <c r="G156" s="4">
        <v>630</v>
      </c>
      <c r="H156" s="4"/>
      <c r="I156" s="4" t="s">
        <v>10</v>
      </c>
      <c r="J156" s="4" t="s">
        <v>11</v>
      </c>
      <c r="K156" s="4" t="s">
        <v>11</v>
      </c>
      <c r="L156" s="4" t="s">
        <v>102</v>
      </c>
    </row>
    <row r="157" spans="1:12">
      <c r="A157" s="3">
        <v>44618.449675925927</v>
      </c>
      <c r="B157" s="4">
        <v>48791718</v>
      </c>
      <c r="C157" s="4" t="s">
        <v>556</v>
      </c>
      <c r="D157" s="4" t="s">
        <v>9</v>
      </c>
      <c r="E157" s="5">
        <v>3200</v>
      </c>
      <c r="F157" s="5">
        <v>3200</v>
      </c>
      <c r="G157" s="5">
        <v>2240</v>
      </c>
      <c r="H157" s="4"/>
      <c r="I157" s="4" t="s">
        <v>10</v>
      </c>
      <c r="J157" s="4" t="s">
        <v>11</v>
      </c>
      <c r="K157" s="4" t="s">
        <v>11</v>
      </c>
      <c r="L157" s="4" t="s">
        <v>382</v>
      </c>
    </row>
    <row r="158" spans="1:12">
      <c r="A158" s="3">
        <v>44618.622708333336</v>
      </c>
      <c r="B158" s="4">
        <v>48799596</v>
      </c>
      <c r="C158" s="4" t="s">
        <v>193</v>
      </c>
      <c r="D158" s="4" t="s">
        <v>12</v>
      </c>
      <c r="E158" s="4">
        <v>900</v>
      </c>
      <c r="F158" s="4">
        <v>900</v>
      </c>
      <c r="G158" s="4">
        <v>630</v>
      </c>
      <c r="H158" s="4"/>
      <c r="I158" s="4" t="s">
        <v>10</v>
      </c>
      <c r="J158" s="4" t="s">
        <v>11</v>
      </c>
      <c r="K158" s="4" t="s">
        <v>11</v>
      </c>
      <c r="L158" s="4" t="s">
        <v>103</v>
      </c>
    </row>
    <row r="159" spans="1:12">
      <c r="A159" s="3">
        <v>44618.63076388889</v>
      </c>
      <c r="B159" s="4">
        <v>276845995</v>
      </c>
      <c r="C159" s="4" t="s">
        <v>513</v>
      </c>
      <c r="D159" s="4" t="s">
        <v>9</v>
      </c>
      <c r="E159" s="5">
        <v>2400</v>
      </c>
      <c r="F159" s="5">
        <v>2400</v>
      </c>
      <c r="G159" s="5">
        <v>1680</v>
      </c>
      <c r="H159" s="4"/>
      <c r="I159" s="4" t="s">
        <v>458</v>
      </c>
      <c r="J159" s="4" t="s">
        <v>11</v>
      </c>
      <c r="K159" s="4" t="s">
        <v>11</v>
      </c>
      <c r="L159" s="4" t="s">
        <v>305</v>
      </c>
    </row>
    <row r="160" spans="1:12">
      <c r="A160" s="3">
        <v>44618.63076388889</v>
      </c>
      <c r="B160" s="4">
        <v>276846034</v>
      </c>
      <c r="C160" s="4" t="s">
        <v>511</v>
      </c>
      <c r="D160" s="4" t="s">
        <v>9</v>
      </c>
      <c r="E160" s="5">
        <v>2400</v>
      </c>
      <c r="F160" s="5">
        <v>2400</v>
      </c>
      <c r="G160" s="5">
        <v>1680</v>
      </c>
      <c r="H160" s="4"/>
      <c r="I160" s="4" t="s">
        <v>458</v>
      </c>
      <c r="J160" s="4" t="s">
        <v>11</v>
      </c>
      <c r="K160" s="4" t="s">
        <v>11</v>
      </c>
      <c r="L160" s="4" t="s">
        <v>306</v>
      </c>
    </row>
    <row r="161" spans="1:12">
      <c r="A161" s="3">
        <v>44618.63076388889</v>
      </c>
      <c r="B161" s="4">
        <v>276845945</v>
      </c>
      <c r="C161" s="4" t="s">
        <v>484</v>
      </c>
      <c r="D161" s="4" t="s">
        <v>9</v>
      </c>
      <c r="E161" s="5">
        <v>2400</v>
      </c>
      <c r="F161" s="5">
        <v>2400</v>
      </c>
      <c r="G161" s="5">
        <v>1680</v>
      </c>
      <c r="H161" s="4"/>
      <c r="I161" s="4" t="s">
        <v>458</v>
      </c>
      <c r="J161" s="4" t="s">
        <v>11</v>
      </c>
      <c r="K161" s="4" t="s">
        <v>11</v>
      </c>
      <c r="L161" s="4" t="s">
        <v>303</v>
      </c>
    </row>
    <row r="162" spans="1:12">
      <c r="A162" s="3">
        <v>44618.63076388889</v>
      </c>
      <c r="B162" s="4">
        <v>276845976</v>
      </c>
      <c r="C162" s="4" t="s">
        <v>512</v>
      </c>
      <c r="D162" s="4" t="s">
        <v>9</v>
      </c>
      <c r="E162" s="5">
        <v>2400</v>
      </c>
      <c r="F162" s="5">
        <v>2400</v>
      </c>
      <c r="G162" s="5">
        <v>1680</v>
      </c>
      <c r="H162" s="4"/>
      <c r="I162" s="4" t="s">
        <v>458</v>
      </c>
      <c r="J162" s="4" t="s">
        <v>11</v>
      </c>
      <c r="K162" s="4" t="s">
        <v>11</v>
      </c>
      <c r="L162" s="4" t="s">
        <v>304</v>
      </c>
    </row>
    <row r="163" spans="1:12">
      <c r="A163" s="3">
        <v>44618.63076388889</v>
      </c>
      <c r="B163" s="4">
        <v>276846190</v>
      </c>
      <c r="C163" s="4" t="s">
        <v>510</v>
      </c>
      <c r="D163" s="4" t="s">
        <v>9</v>
      </c>
      <c r="E163" s="5">
        <v>2400</v>
      </c>
      <c r="F163" s="5">
        <v>2400</v>
      </c>
      <c r="G163" s="5">
        <v>1680</v>
      </c>
      <c r="H163" s="4"/>
      <c r="I163" s="4" t="s">
        <v>458</v>
      </c>
      <c r="J163" s="4" t="s">
        <v>11</v>
      </c>
      <c r="K163" s="4" t="s">
        <v>11</v>
      </c>
      <c r="L163" s="4" t="s">
        <v>307</v>
      </c>
    </row>
    <row r="164" spans="1:12">
      <c r="A164" s="3">
        <v>44618.87809027778</v>
      </c>
      <c r="B164" s="4">
        <v>248187271</v>
      </c>
      <c r="C164" s="4" t="s">
        <v>104</v>
      </c>
      <c r="D164" s="4" t="s">
        <v>9</v>
      </c>
      <c r="E164" s="5">
        <v>3200</v>
      </c>
      <c r="F164" s="5">
        <v>3200</v>
      </c>
      <c r="G164" s="5">
        <v>2240</v>
      </c>
      <c r="H164" s="4"/>
      <c r="I164" s="4" t="s">
        <v>15</v>
      </c>
      <c r="J164" s="4" t="s">
        <v>11</v>
      </c>
      <c r="K164" s="4" t="s">
        <v>11</v>
      </c>
      <c r="L164" s="4" t="s">
        <v>181</v>
      </c>
    </row>
    <row r="165" spans="1:12">
      <c r="A165" s="3">
        <v>44618.87809027778</v>
      </c>
      <c r="B165" s="4">
        <v>248187281</v>
      </c>
      <c r="C165" s="4" t="s">
        <v>25</v>
      </c>
      <c r="D165" s="4" t="s">
        <v>9</v>
      </c>
      <c r="E165" s="4">
        <v>0</v>
      </c>
      <c r="F165" s="4">
        <v>0</v>
      </c>
      <c r="G165" s="4">
        <v>0</v>
      </c>
      <c r="H165" s="4"/>
      <c r="I165" s="4" t="s">
        <v>15</v>
      </c>
      <c r="J165" s="4" t="s">
        <v>11</v>
      </c>
      <c r="K165" s="4" t="s">
        <v>11</v>
      </c>
      <c r="L165" s="4" t="s">
        <v>47</v>
      </c>
    </row>
    <row r="166" spans="1:12">
      <c r="A166" s="3">
        <v>44619.050486111111</v>
      </c>
      <c r="B166" s="4">
        <v>249311758</v>
      </c>
      <c r="C166" s="4" t="s">
        <v>247</v>
      </c>
      <c r="D166" s="4" t="s">
        <v>9</v>
      </c>
      <c r="E166" s="4">
        <v>0</v>
      </c>
      <c r="F166" s="4">
        <v>0</v>
      </c>
      <c r="G166" s="4">
        <v>0</v>
      </c>
      <c r="H166" s="4"/>
      <c r="I166" s="4" t="s">
        <v>160</v>
      </c>
      <c r="J166" s="4" t="s">
        <v>11</v>
      </c>
      <c r="K166" s="4" t="s">
        <v>11</v>
      </c>
      <c r="L166" s="4" t="s">
        <v>142</v>
      </c>
    </row>
    <row r="167" spans="1:12">
      <c r="A167" s="3">
        <v>44619.150717592594</v>
      </c>
      <c r="B167" s="4">
        <v>248187283</v>
      </c>
      <c r="C167" s="4" t="s">
        <v>527</v>
      </c>
      <c r="D167" s="4" t="s">
        <v>9</v>
      </c>
      <c r="E167" s="5">
        <v>3200</v>
      </c>
      <c r="F167" s="5">
        <v>3200</v>
      </c>
      <c r="G167" s="5">
        <v>2240</v>
      </c>
      <c r="H167" s="4"/>
      <c r="I167" s="4" t="s">
        <v>15</v>
      </c>
      <c r="J167" s="4" t="s">
        <v>11</v>
      </c>
      <c r="K167" s="4" t="s">
        <v>11</v>
      </c>
      <c r="L167" s="4" t="s">
        <v>341</v>
      </c>
    </row>
    <row r="168" spans="1:12">
      <c r="A168" s="3">
        <v>44619.150717592594</v>
      </c>
      <c r="B168" s="4">
        <v>248187275</v>
      </c>
      <c r="C168" s="4" t="s">
        <v>528</v>
      </c>
      <c r="D168" s="4" t="s">
        <v>9</v>
      </c>
      <c r="E168" s="5">
        <v>3200</v>
      </c>
      <c r="F168" s="5">
        <v>3200</v>
      </c>
      <c r="G168" s="5">
        <v>2240</v>
      </c>
      <c r="H168" s="4"/>
      <c r="I168" s="4" t="s">
        <v>15</v>
      </c>
      <c r="J168" s="4" t="s">
        <v>11</v>
      </c>
      <c r="K168" s="4" t="s">
        <v>11</v>
      </c>
      <c r="L168" s="4" t="s">
        <v>338</v>
      </c>
    </row>
    <row r="169" spans="1:12">
      <c r="A169" s="3">
        <v>44619.150717592594</v>
      </c>
      <c r="B169" s="4">
        <v>248187262</v>
      </c>
      <c r="C169" s="4" t="s">
        <v>530</v>
      </c>
      <c r="D169" s="4" t="s">
        <v>9</v>
      </c>
      <c r="E169" s="5">
        <v>3200</v>
      </c>
      <c r="F169" s="5">
        <v>3200</v>
      </c>
      <c r="G169" s="5">
        <v>2240</v>
      </c>
      <c r="H169" s="4"/>
      <c r="I169" s="4" t="s">
        <v>15</v>
      </c>
      <c r="J169" s="4" t="s">
        <v>11</v>
      </c>
      <c r="K169" s="4" t="s">
        <v>11</v>
      </c>
      <c r="L169" s="4" t="s">
        <v>350</v>
      </c>
    </row>
    <row r="170" spans="1:12">
      <c r="A170" s="3">
        <v>44619.578125</v>
      </c>
      <c r="B170" s="4">
        <v>48799502</v>
      </c>
      <c r="C170" s="4" t="s">
        <v>234</v>
      </c>
      <c r="D170" s="4" t="s">
        <v>12</v>
      </c>
      <c r="E170" s="4">
        <v>0</v>
      </c>
      <c r="F170" s="4">
        <v>0</v>
      </c>
      <c r="G170" s="4">
        <v>0</v>
      </c>
      <c r="H170" s="4"/>
      <c r="I170" s="4" t="s">
        <v>10</v>
      </c>
      <c r="J170" s="4" t="s">
        <v>11</v>
      </c>
      <c r="K170" s="4" t="s">
        <v>11</v>
      </c>
      <c r="L170" s="4" t="s">
        <v>109</v>
      </c>
    </row>
    <row r="171" spans="1:12">
      <c r="A171" s="3">
        <v>44619.578796296293</v>
      </c>
      <c r="B171" s="4">
        <v>48799490</v>
      </c>
      <c r="C171" s="4" t="s">
        <v>70</v>
      </c>
      <c r="D171" s="4" t="s">
        <v>9</v>
      </c>
      <c r="E171" s="4">
        <v>0</v>
      </c>
      <c r="F171" s="4">
        <v>0</v>
      </c>
      <c r="G171" s="4">
        <v>0</v>
      </c>
      <c r="H171" s="4"/>
      <c r="I171" s="4" t="s">
        <v>10</v>
      </c>
      <c r="J171" s="4" t="s">
        <v>11</v>
      </c>
      <c r="K171" s="4" t="s">
        <v>11</v>
      </c>
      <c r="L171" s="4" t="s">
        <v>86</v>
      </c>
    </row>
    <row r="172" spans="1:12">
      <c r="A172" s="3">
        <v>44619.683391203704</v>
      </c>
      <c r="B172" s="4">
        <v>251511917</v>
      </c>
      <c r="C172" s="4" t="s">
        <v>283</v>
      </c>
      <c r="D172" s="4" t="s">
        <v>12</v>
      </c>
      <c r="E172" s="5">
        <v>5040</v>
      </c>
      <c r="F172" s="5">
        <v>5040</v>
      </c>
      <c r="G172" s="5">
        <v>3528</v>
      </c>
      <c r="H172" s="4"/>
      <c r="I172" s="4" t="s">
        <v>160</v>
      </c>
      <c r="J172" s="4" t="s">
        <v>11</v>
      </c>
      <c r="K172" s="4" t="s">
        <v>11</v>
      </c>
      <c r="L172" s="4" t="s">
        <v>440</v>
      </c>
    </row>
    <row r="173" spans="1:12">
      <c r="A173" s="3">
        <v>44619.712199074071</v>
      </c>
      <c r="B173" s="4">
        <v>249362230</v>
      </c>
      <c r="C173" s="4" t="s">
        <v>480</v>
      </c>
      <c r="D173" s="4" t="s">
        <v>12</v>
      </c>
      <c r="E173" s="4">
        <v>0</v>
      </c>
      <c r="F173" s="4">
        <v>0</v>
      </c>
      <c r="G173" s="4">
        <v>0</v>
      </c>
      <c r="H173" s="4"/>
      <c r="I173" s="4" t="s">
        <v>13</v>
      </c>
      <c r="J173" s="4" t="s">
        <v>11</v>
      </c>
      <c r="K173" s="4" t="s">
        <v>11</v>
      </c>
      <c r="L173" s="4" t="s">
        <v>437</v>
      </c>
    </row>
    <row r="174" spans="1:12">
      <c r="A174" s="3">
        <v>44619.939212962963</v>
      </c>
      <c r="B174" s="4">
        <v>281625186</v>
      </c>
      <c r="C174" s="4" t="s">
        <v>545</v>
      </c>
      <c r="D174" s="4" t="s">
        <v>9</v>
      </c>
      <c r="E174" s="5">
        <v>3200</v>
      </c>
      <c r="F174" s="5">
        <v>3200</v>
      </c>
      <c r="G174" s="5">
        <v>2240</v>
      </c>
      <c r="H174" s="4"/>
      <c r="I174" s="4" t="s">
        <v>14</v>
      </c>
      <c r="J174" s="4" t="s">
        <v>11</v>
      </c>
      <c r="K174" s="4" t="s">
        <v>11</v>
      </c>
      <c r="L174" s="4" t="s">
        <v>356</v>
      </c>
    </row>
    <row r="175" spans="1:12">
      <c r="A175" s="3">
        <v>44619.956469907411</v>
      </c>
      <c r="B175" s="4">
        <v>286405999</v>
      </c>
      <c r="C175" s="4" t="s">
        <v>176</v>
      </c>
      <c r="D175" s="4" t="s">
        <v>9</v>
      </c>
      <c r="E175" s="5">
        <v>2200</v>
      </c>
      <c r="F175" s="5">
        <v>2200</v>
      </c>
      <c r="G175" s="5">
        <v>1540</v>
      </c>
      <c r="H175" s="4"/>
      <c r="I175" s="4" t="s">
        <v>229</v>
      </c>
      <c r="J175" s="4" t="s">
        <v>11</v>
      </c>
      <c r="K175" s="4" t="s">
        <v>11</v>
      </c>
      <c r="L175" s="4" t="s">
        <v>202</v>
      </c>
    </row>
    <row r="176" spans="1:12">
      <c r="A176" s="3">
        <v>44619.957939814813</v>
      </c>
      <c r="B176" s="4">
        <v>286405954</v>
      </c>
      <c r="C176" s="4" t="s">
        <v>499</v>
      </c>
      <c r="D176" s="4" t="s">
        <v>9</v>
      </c>
      <c r="E176" s="5">
        <v>2200</v>
      </c>
      <c r="F176" s="5">
        <v>2200</v>
      </c>
      <c r="G176" s="5">
        <v>1540</v>
      </c>
      <c r="H176" s="4"/>
      <c r="I176" s="4" t="s">
        <v>229</v>
      </c>
      <c r="J176" s="4" t="s">
        <v>11</v>
      </c>
      <c r="K176" s="4" t="s">
        <v>11</v>
      </c>
      <c r="L176" s="4" t="s">
        <v>444</v>
      </c>
    </row>
    <row r="177" spans="1:12">
      <c r="A177" s="3">
        <v>44619.959814814814</v>
      </c>
      <c r="B177" s="4">
        <v>286405890</v>
      </c>
      <c r="C177" s="4" t="s">
        <v>497</v>
      </c>
      <c r="D177" s="4" t="s">
        <v>9</v>
      </c>
      <c r="E177" s="5">
        <v>2200</v>
      </c>
      <c r="F177" s="5">
        <v>2200</v>
      </c>
      <c r="G177" s="5">
        <v>1540</v>
      </c>
      <c r="H177" s="4"/>
      <c r="I177" s="4" t="s">
        <v>229</v>
      </c>
      <c r="J177" s="4" t="s">
        <v>11</v>
      </c>
      <c r="K177" s="4" t="s">
        <v>11</v>
      </c>
      <c r="L177" s="4" t="s">
        <v>432</v>
      </c>
    </row>
    <row r="178" spans="1:12">
      <c r="A178" s="3">
        <v>44619.961076388892</v>
      </c>
      <c r="B178" s="4">
        <v>286406066</v>
      </c>
      <c r="C178" s="4" t="s">
        <v>500</v>
      </c>
      <c r="D178" s="4" t="s">
        <v>9</v>
      </c>
      <c r="E178" s="5">
        <v>2200</v>
      </c>
      <c r="F178" s="5">
        <v>2200</v>
      </c>
      <c r="G178" s="5">
        <v>1540</v>
      </c>
      <c r="H178" s="4"/>
      <c r="I178" s="4" t="s">
        <v>229</v>
      </c>
      <c r="J178" s="4" t="s">
        <v>11</v>
      </c>
      <c r="K178" s="4" t="s">
        <v>11</v>
      </c>
      <c r="L178" s="4" t="s">
        <v>429</v>
      </c>
    </row>
    <row r="179" spans="1:12">
      <c r="A179" s="3">
        <v>44619.962685185186</v>
      </c>
      <c r="B179" s="4">
        <v>286405957</v>
      </c>
      <c r="C179" s="4" t="s">
        <v>502</v>
      </c>
      <c r="D179" s="4" t="s">
        <v>9</v>
      </c>
      <c r="E179" s="5">
        <v>2200</v>
      </c>
      <c r="F179" s="5">
        <v>2200</v>
      </c>
      <c r="G179" s="5">
        <v>1540</v>
      </c>
      <c r="H179" s="4"/>
      <c r="I179" s="4" t="s">
        <v>229</v>
      </c>
      <c r="J179" s="4" t="s">
        <v>11</v>
      </c>
      <c r="K179" s="4" t="s">
        <v>11</v>
      </c>
      <c r="L179" s="4" t="s">
        <v>445</v>
      </c>
    </row>
    <row r="180" spans="1:12">
      <c r="A180" s="3">
        <v>44620.600254629629</v>
      </c>
      <c r="B180" s="4">
        <v>276448997</v>
      </c>
      <c r="C180" s="4" t="s">
        <v>22</v>
      </c>
      <c r="D180" s="4" t="s">
        <v>12</v>
      </c>
      <c r="E180" s="5">
        <v>1920</v>
      </c>
      <c r="F180" s="5">
        <v>1920</v>
      </c>
      <c r="G180" s="5">
        <v>1344</v>
      </c>
      <c r="H180" s="4"/>
      <c r="I180" s="4" t="s">
        <v>19</v>
      </c>
      <c r="J180" s="4" t="s">
        <v>11</v>
      </c>
      <c r="K180" s="4" t="s">
        <v>11</v>
      </c>
      <c r="L180" s="4" t="s">
        <v>48</v>
      </c>
    </row>
    <row r="181" spans="1:12">
      <c r="A181" s="3">
        <v>44620.600254629629</v>
      </c>
      <c r="B181" s="4">
        <v>276448998</v>
      </c>
      <c r="C181" s="4" t="s">
        <v>491</v>
      </c>
      <c r="D181" s="4" t="s">
        <v>12</v>
      </c>
      <c r="E181" s="5">
        <v>1920</v>
      </c>
      <c r="F181" s="5">
        <v>1920</v>
      </c>
      <c r="G181" s="5">
        <v>1344</v>
      </c>
      <c r="H181" s="4"/>
      <c r="I181" s="4" t="s">
        <v>19</v>
      </c>
      <c r="J181" s="4" t="s">
        <v>11</v>
      </c>
      <c r="K181" s="4" t="s">
        <v>11</v>
      </c>
      <c r="L181" s="4" t="s">
        <v>420</v>
      </c>
    </row>
    <row r="182" spans="1:12">
      <c r="A182" s="3">
        <v>44620.692847222221</v>
      </c>
      <c r="B182" s="4">
        <v>253019416</v>
      </c>
      <c r="C182" s="4" t="s">
        <v>501</v>
      </c>
      <c r="D182" s="4" t="s">
        <v>12</v>
      </c>
      <c r="E182" s="5">
        <v>3780</v>
      </c>
      <c r="F182" s="5">
        <v>3780</v>
      </c>
      <c r="G182" s="5">
        <v>2646</v>
      </c>
      <c r="H182" s="4"/>
      <c r="I182" s="4" t="s">
        <v>23</v>
      </c>
      <c r="J182" s="4" t="s">
        <v>11</v>
      </c>
      <c r="K182" s="4" t="s">
        <v>11</v>
      </c>
      <c r="L182" s="4" t="s">
        <v>438</v>
      </c>
    </row>
    <row r="183" spans="1:12">
      <c r="A183" s="3">
        <v>44620.706331018519</v>
      </c>
      <c r="B183" s="4">
        <v>249311758</v>
      </c>
      <c r="C183" s="4" t="s">
        <v>247</v>
      </c>
      <c r="D183" s="4" t="s">
        <v>9</v>
      </c>
      <c r="E183" s="4">
        <v>0</v>
      </c>
      <c r="F183" s="4">
        <v>0</v>
      </c>
      <c r="G183" s="4">
        <v>0</v>
      </c>
      <c r="H183" s="4"/>
      <c r="I183" s="4" t="s">
        <v>160</v>
      </c>
      <c r="J183" s="4" t="s">
        <v>11</v>
      </c>
      <c r="K183" s="4" t="s">
        <v>11</v>
      </c>
      <c r="L183" s="4" t="s">
        <v>142</v>
      </c>
    </row>
    <row r="184" spans="1:12">
      <c r="A184" s="3">
        <v>44620.805625000001</v>
      </c>
      <c r="B184" s="4">
        <v>254604241</v>
      </c>
      <c r="C184" s="4" t="s">
        <v>339</v>
      </c>
      <c r="D184" s="4" t="s">
        <v>9</v>
      </c>
      <c r="E184" s="5">
        <v>3200</v>
      </c>
      <c r="F184" s="5">
        <v>3200</v>
      </c>
      <c r="G184" s="5">
        <v>2240</v>
      </c>
      <c r="H184" s="4"/>
      <c r="I184" s="4" t="s">
        <v>13</v>
      </c>
      <c r="J184" s="4" t="s">
        <v>11</v>
      </c>
      <c r="K184" s="4" t="s">
        <v>11</v>
      </c>
      <c r="L184" s="4" t="s">
        <v>431</v>
      </c>
    </row>
    <row r="185" spans="1:12">
      <c r="A185" s="3">
        <v>44620.805625000001</v>
      </c>
      <c r="B185" s="4">
        <v>254604245</v>
      </c>
      <c r="C185" s="4" t="s">
        <v>286</v>
      </c>
      <c r="D185" s="4" t="s">
        <v>9</v>
      </c>
      <c r="E185" s="5">
        <v>3200</v>
      </c>
      <c r="F185" s="5">
        <v>3200</v>
      </c>
      <c r="G185" s="5">
        <v>2240</v>
      </c>
      <c r="H185" s="4"/>
      <c r="I185" s="4" t="s">
        <v>13</v>
      </c>
      <c r="J185" s="4" t="s">
        <v>11</v>
      </c>
      <c r="K185" s="4" t="s">
        <v>11</v>
      </c>
      <c r="L185" s="4" t="s">
        <v>441</v>
      </c>
    </row>
    <row r="186" spans="1:12">
      <c r="A186" s="3">
        <v>44620.959918981483</v>
      </c>
      <c r="B186" s="4">
        <v>48791724</v>
      </c>
      <c r="C186" s="4" t="s">
        <v>563</v>
      </c>
      <c r="D186" s="4" t="s">
        <v>9</v>
      </c>
      <c r="E186" s="5">
        <v>3200</v>
      </c>
      <c r="F186" s="5">
        <v>3200</v>
      </c>
      <c r="G186" s="5">
        <v>2240</v>
      </c>
      <c r="H186" s="4"/>
      <c r="I186" s="4" t="s">
        <v>10</v>
      </c>
      <c r="J186" s="4" t="s">
        <v>11</v>
      </c>
      <c r="K186" s="4" t="s">
        <v>11</v>
      </c>
      <c r="L186" s="4" t="s">
        <v>415</v>
      </c>
    </row>
    <row r="187" spans="1:12">
      <c r="A187" s="3">
        <v>44608.838576388887</v>
      </c>
      <c r="B187" s="4">
        <v>118734576</v>
      </c>
      <c r="C187" s="4" t="s">
        <v>63</v>
      </c>
      <c r="D187" s="4" t="s">
        <v>9</v>
      </c>
      <c r="E187" s="4">
        <v>0</v>
      </c>
      <c r="F187" s="4">
        <v>0</v>
      </c>
      <c r="G187" s="4">
        <v>0</v>
      </c>
      <c r="H187" s="4"/>
      <c r="I187" s="4" t="s">
        <v>583</v>
      </c>
      <c r="J187" s="4" t="s">
        <v>11</v>
      </c>
      <c r="K187" s="4" t="s">
        <v>11</v>
      </c>
      <c r="L187" s="4" t="s">
        <v>99</v>
      </c>
    </row>
    <row r="188" spans="1:12">
      <c r="G188" s="2">
        <f>SUM(G2:G187)</f>
        <v>267862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05"/>
  <sheetViews>
    <sheetView topLeftCell="A784" workbookViewId="0">
      <selection activeCell="G805" sqref="G805"/>
    </sheetView>
  </sheetViews>
  <sheetFormatPr defaultRowHeight="16.5"/>
  <cols>
    <col min="1" max="1" width="16.25" bestFit="1" customWidth="1"/>
    <col min="2" max="2" width="10.375" bestFit="1" customWidth="1"/>
    <col min="3" max="3" width="18.75" bestFit="1" customWidth="1"/>
    <col min="4" max="4" width="8.625" bestFit="1" customWidth="1"/>
    <col min="5" max="5" width="6.5" bestFit="1" customWidth="1"/>
    <col min="6" max="6" width="6.75" bestFit="1" customWidth="1"/>
    <col min="7" max="7" width="9.25" bestFit="1" customWidth="1"/>
    <col min="8" max="8" width="16.25" bestFit="1" customWidth="1"/>
    <col min="9" max="9" width="13.5" bestFit="1" customWidth="1"/>
    <col min="10" max="10" width="12.375" bestFit="1" customWidth="1"/>
    <col min="11" max="11" width="10.375" bestFit="1" customWidth="1"/>
    <col min="12" max="12" width="14.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44593.007141203707</v>
      </c>
      <c r="B2" s="4">
        <v>287834730</v>
      </c>
      <c r="C2" s="4" t="s">
        <v>275</v>
      </c>
      <c r="D2" s="4" t="s">
        <v>9</v>
      </c>
      <c r="E2" s="5">
        <v>2000</v>
      </c>
      <c r="F2" s="5">
        <v>2000</v>
      </c>
      <c r="G2" s="5">
        <v>1400</v>
      </c>
      <c r="H2" s="4"/>
      <c r="I2" s="4" t="s">
        <v>169</v>
      </c>
      <c r="J2" s="4" t="s">
        <v>460</v>
      </c>
      <c r="K2" s="4" t="s">
        <v>11</v>
      </c>
      <c r="L2" s="4" t="s">
        <v>206</v>
      </c>
    </row>
    <row r="3" spans="1:12">
      <c r="A3" s="3">
        <v>44593.045081018521</v>
      </c>
      <c r="B3" s="4">
        <v>287834730</v>
      </c>
      <c r="C3" s="4" t="s">
        <v>275</v>
      </c>
      <c r="D3" s="4" t="s">
        <v>9</v>
      </c>
      <c r="E3" s="5">
        <v>2000</v>
      </c>
      <c r="F3" s="5">
        <v>2000</v>
      </c>
      <c r="G3" s="5">
        <v>1400</v>
      </c>
      <c r="H3" s="4"/>
      <c r="I3" s="4" t="s">
        <v>169</v>
      </c>
      <c r="J3" s="4" t="s">
        <v>460</v>
      </c>
      <c r="K3" s="4" t="s">
        <v>11</v>
      </c>
      <c r="L3" s="4" t="s">
        <v>206</v>
      </c>
    </row>
    <row r="4" spans="1:12">
      <c r="A4" s="3">
        <v>44593.068553240744</v>
      </c>
      <c r="B4" s="4">
        <v>287086652</v>
      </c>
      <c r="C4" s="4" t="s">
        <v>220</v>
      </c>
      <c r="D4" s="4" t="s">
        <v>9</v>
      </c>
      <c r="E4" s="5">
        <v>2000</v>
      </c>
      <c r="F4" s="5">
        <v>2000</v>
      </c>
      <c r="G4" s="5">
        <v>1400</v>
      </c>
      <c r="H4" s="4"/>
      <c r="I4" s="4" t="s">
        <v>162</v>
      </c>
      <c r="J4" s="4" t="s">
        <v>460</v>
      </c>
      <c r="K4" s="4" t="s">
        <v>11</v>
      </c>
      <c r="L4" s="4" t="s">
        <v>150</v>
      </c>
    </row>
    <row r="5" spans="1:12">
      <c r="A5" s="3">
        <v>44593.078310185185</v>
      </c>
      <c r="B5" s="4">
        <v>287834730</v>
      </c>
      <c r="C5" s="4" t="s">
        <v>275</v>
      </c>
      <c r="D5" s="4" t="s">
        <v>9</v>
      </c>
      <c r="E5" s="5">
        <v>2000</v>
      </c>
      <c r="F5" s="5">
        <v>2000</v>
      </c>
      <c r="G5" s="5">
        <v>1400</v>
      </c>
      <c r="H5" s="4"/>
      <c r="I5" s="4" t="s">
        <v>169</v>
      </c>
      <c r="J5" s="4" t="s">
        <v>460</v>
      </c>
      <c r="K5" s="4" t="s">
        <v>11</v>
      </c>
      <c r="L5" s="4" t="s">
        <v>206</v>
      </c>
    </row>
    <row r="6" spans="1:12">
      <c r="A6" s="3">
        <v>44593.213206018518</v>
      </c>
      <c r="B6" s="4">
        <v>287834730</v>
      </c>
      <c r="C6" s="4" t="s">
        <v>275</v>
      </c>
      <c r="D6" s="4" t="s">
        <v>9</v>
      </c>
      <c r="E6" s="5">
        <v>2000</v>
      </c>
      <c r="F6" s="5">
        <v>2000</v>
      </c>
      <c r="G6" s="5">
        <v>1400</v>
      </c>
      <c r="H6" s="4"/>
      <c r="I6" s="4" t="s">
        <v>169</v>
      </c>
      <c r="J6" s="4" t="s">
        <v>460</v>
      </c>
      <c r="K6" s="4" t="s">
        <v>11</v>
      </c>
      <c r="L6" s="4" t="s">
        <v>206</v>
      </c>
    </row>
    <row r="7" spans="1:12">
      <c r="A7" s="3">
        <v>44593.328773148147</v>
      </c>
      <c r="B7" s="4">
        <v>286896672</v>
      </c>
      <c r="C7" s="4" t="s">
        <v>248</v>
      </c>
      <c r="D7" s="4" t="s">
        <v>9</v>
      </c>
      <c r="E7" s="5">
        <v>2500</v>
      </c>
      <c r="F7" s="5">
        <v>2500</v>
      </c>
      <c r="G7" s="5">
        <v>1750</v>
      </c>
      <c r="H7" s="4"/>
      <c r="I7" s="4" t="s">
        <v>158</v>
      </c>
      <c r="J7" s="4" t="s">
        <v>460</v>
      </c>
      <c r="K7" s="4" t="s">
        <v>11</v>
      </c>
      <c r="L7" s="4" t="s">
        <v>141</v>
      </c>
    </row>
    <row r="8" spans="1:12">
      <c r="A8" s="3">
        <v>44593.331273148149</v>
      </c>
      <c r="B8" s="4">
        <v>287086652</v>
      </c>
      <c r="C8" s="4" t="s">
        <v>220</v>
      </c>
      <c r="D8" s="4" t="s">
        <v>9</v>
      </c>
      <c r="E8" s="5">
        <v>2000</v>
      </c>
      <c r="F8" s="5">
        <v>2000</v>
      </c>
      <c r="G8" s="5">
        <v>1400</v>
      </c>
      <c r="H8" s="4"/>
      <c r="I8" s="4" t="s">
        <v>162</v>
      </c>
      <c r="J8" s="4" t="s">
        <v>460</v>
      </c>
      <c r="K8" s="4" t="s">
        <v>11</v>
      </c>
      <c r="L8" s="4" t="s">
        <v>150</v>
      </c>
    </row>
    <row r="9" spans="1:12">
      <c r="A9" s="3">
        <v>44593.34039351852</v>
      </c>
      <c r="B9" s="4">
        <v>286896672</v>
      </c>
      <c r="C9" s="4" t="s">
        <v>248</v>
      </c>
      <c r="D9" s="4" t="s">
        <v>9</v>
      </c>
      <c r="E9" s="5">
        <v>2500</v>
      </c>
      <c r="F9" s="5">
        <v>2500</v>
      </c>
      <c r="G9" s="5">
        <v>1750</v>
      </c>
      <c r="H9" s="4"/>
      <c r="I9" s="4" t="s">
        <v>158</v>
      </c>
      <c r="J9" s="4" t="s">
        <v>460</v>
      </c>
      <c r="K9" s="4" t="s">
        <v>11</v>
      </c>
      <c r="L9" s="4" t="s">
        <v>141</v>
      </c>
    </row>
    <row r="10" spans="1:12">
      <c r="A10" s="3">
        <v>44593.362453703703</v>
      </c>
      <c r="B10" s="4">
        <v>287834730</v>
      </c>
      <c r="C10" s="4" t="s">
        <v>275</v>
      </c>
      <c r="D10" s="4" t="s">
        <v>9</v>
      </c>
      <c r="E10" s="5">
        <v>2000</v>
      </c>
      <c r="F10" s="5">
        <v>2000</v>
      </c>
      <c r="G10" s="5">
        <v>1400</v>
      </c>
      <c r="H10" s="4"/>
      <c r="I10" s="4" t="s">
        <v>169</v>
      </c>
      <c r="J10" s="4" t="s">
        <v>460</v>
      </c>
      <c r="K10" s="4" t="s">
        <v>11</v>
      </c>
      <c r="L10" s="4" t="s">
        <v>206</v>
      </c>
    </row>
    <row r="11" spans="1:12">
      <c r="A11" s="3">
        <v>44593.364351851851</v>
      </c>
      <c r="B11" s="4">
        <v>287086652</v>
      </c>
      <c r="C11" s="4" t="s">
        <v>220</v>
      </c>
      <c r="D11" s="4" t="s">
        <v>9</v>
      </c>
      <c r="E11" s="5">
        <v>2000</v>
      </c>
      <c r="F11" s="5">
        <v>2000</v>
      </c>
      <c r="G11" s="5">
        <v>1400</v>
      </c>
      <c r="H11" s="4"/>
      <c r="I11" s="4" t="s">
        <v>162</v>
      </c>
      <c r="J11" s="4" t="s">
        <v>460</v>
      </c>
      <c r="K11" s="4" t="s">
        <v>11</v>
      </c>
      <c r="L11" s="4" t="s">
        <v>150</v>
      </c>
    </row>
    <row r="12" spans="1:12">
      <c r="A12" s="3">
        <v>44593.36582175926</v>
      </c>
      <c r="B12" s="4">
        <v>287834730</v>
      </c>
      <c r="C12" s="4" t="s">
        <v>275</v>
      </c>
      <c r="D12" s="4" t="s">
        <v>9</v>
      </c>
      <c r="E12" s="5">
        <v>2000</v>
      </c>
      <c r="F12" s="5">
        <v>2000</v>
      </c>
      <c r="G12" s="5">
        <v>1400</v>
      </c>
      <c r="H12" s="4"/>
      <c r="I12" s="4" t="s">
        <v>169</v>
      </c>
      <c r="J12" s="4" t="s">
        <v>460</v>
      </c>
      <c r="K12" s="4" t="s">
        <v>11</v>
      </c>
      <c r="L12" s="4" t="s">
        <v>206</v>
      </c>
    </row>
    <row r="13" spans="1:12">
      <c r="A13" s="3">
        <v>44593.402569444443</v>
      </c>
      <c r="B13" s="4">
        <v>287834730</v>
      </c>
      <c r="C13" s="4" t="s">
        <v>275</v>
      </c>
      <c r="D13" s="4" t="s">
        <v>9</v>
      </c>
      <c r="E13" s="5">
        <v>2000</v>
      </c>
      <c r="F13" s="5">
        <v>2000</v>
      </c>
      <c r="G13" s="5">
        <v>1400</v>
      </c>
      <c r="H13" s="4"/>
      <c r="I13" s="4" t="s">
        <v>169</v>
      </c>
      <c r="J13" s="4" t="s">
        <v>460</v>
      </c>
      <c r="K13" s="4" t="s">
        <v>11</v>
      </c>
      <c r="L13" s="4" t="s">
        <v>206</v>
      </c>
    </row>
    <row r="14" spans="1:12">
      <c r="A14" s="3">
        <v>44593.420543981483</v>
      </c>
      <c r="B14" s="4">
        <v>287834730</v>
      </c>
      <c r="C14" s="4" t="s">
        <v>275</v>
      </c>
      <c r="D14" s="4" t="s">
        <v>9</v>
      </c>
      <c r="E14" s="5">
        <v>2000</v>
      </c>
      <c r="F14" s="5">
        <v>2000</v>
      </c>
      <c r="G14" s="5">
        <v>1400</v>
      </c>
      <c r="H14" s="4"/>
      <c r="I14" s="4" t="s">
        <v>169</v>
      </c>
      <c r="J14" s="4" t="s">
        <v>460</v>
      </c>
      <c r="K14" s="4" t="s">
        <v>11</v>
      </c>
      <c r="L14" s="4" t="s">
        <v>206</v>
      </c>
    </row>
    <row r="15" spans="1:12">
      <c r="A15" s="3">
        <v>44593.451574074075</v>
      </c>
      <c r="B15" s="4">
        <v>287086652</v>
      </c>
      <c r="C15" s="4" t="s">
        <v>220</v>
      </c>
      <c r="D15" s="4" t="s">
        <v>9</v>
      </c>
      <c r="E15" s="5">
        <v>2000</v>
      </c>
      <c r="F15" s="5">
        <v>2000</v>
      </c>
      <c r="G15" s="5">
        <v>1400</v>
      </c>
      <c r="H15" s="4"/>
      <c r="I15" s="4" t="s">
        <v>162</v>
      </c>
      <c r="J15" s="4" t="s">
        <v>460</v>
      </c>
      <c r="K15" s="4" t="s">
        <v>11</v>
      </c>
      <c r="L15" s="4" t="s">
        <v>150</v>
      </c>
    </row>
    <row r="16" spans="1:12">
      <c r="A16" s="3">
        <v>44593.451909722222</v>
      </c>
      <c r="B16" s="4">
        <v>287834730</v>
      </c>
      <c r="C16" s="4" t="s">
        <v>275</v>
      </c>
      <c r="D16" s="4" t="s">
        <v>9</v>
      </c>
      <c r="E16" s="5">
        <v>2000</v>
      </c>
      <c r="F16" s="5">
        <v>2000</v>
      </c>
      <c r="G16" s="5">
        <v>1400</v>
      </c>
      <c r="H16" s="4"/>
      <c r="I16" s="4" t="s">
        <v>169</v>
      </c>
      <c r="J16" s="4" t="s">
        <v>460</v>
      </c>
      <c r="K16" s="4" t="s">
        <v>11</v>
      </c>
      <c r="L16" s="4" t="s">
        <v>206</v>
      </c>
    </row>
    <row r="17" spans="1:12">
      <c r="A17" s="3">
        <v>44593.465231481481</v>
      </c>
      <c r="B17" s="4">
        <v>287834730</v>
      </c>
      <c r="C17" s="4" t="s">
        <v>275</v>
      </c>
      <c r="D17" s="4" t="s">
        <v>9</v>
      </c>
      <c r="E17" s="5">
        <v>2000</v>
      </c>
      <c r="F17" s="5">
        <v>2000</v>
      </c>
      <c r="G17" s="5">
        <v>1400</v>
      </c>
      <c r="H17" s="4"/>
      <c r="I17" s="4" t="s">
        <v>169</v>
      </c>
      <c r="J17" s="4" t="s">
        <v>460</v>
      </c>
      <c r="K17" s="4" t="s">
        <v>11</v>
      </c>
      <c r="L17" s="4" t="s">
        <v>206</v>
      </c>
    </row>
    <row r="18" spans="1:12">
      <c r="A18" s="3">
        <v>44593.495856481481</v>
      </c>
      <c r="B18" s="4">
        <v>287834730</v>
      </c>
      <c r="C18" s="4" t="s">
        <v>275</v>
      </c>
      <c r="D18" s="4" t="s">
        <v>9</v>
      </c>
      <c r="E18" s="5">
        <v>2000</v>
      </c>
      <c r="F18" s="5">
        <v>2000</v>
      </c>
      <c r="G18" s="5">
        <v>1400</v>
      </c>
      <c r="H18" s="4"/>
      <c r="I18" s="4" t="s">
        <v>169</v>
      </c>
      <c r="J18" s="4" t="s">
        <v>460</v>
      </c>
      <c r="K18" s="4" t="s">
        <v>11</v>
      </c>
      <c r="L18" s="4" t="s">
        <v>206</v>
      </c>
    </row>
    <row r="19" spans="1:12">
      <c r="A19" s="3">
        <v>44593.51358796296</v>
      </c>
      <c r="B19" s="4">
        <v>287834730</v>
      </c>
      <c r="C19" s="4" t="s">
        <v>275</v>
      </c>
      <c r="D19" s="4" t="s">
        <v>9</v>
      </c>
      <c r="E19" s="5">
        <v>2000</v>
      </c>
      <c r="F19" s="5">
        <v>2000</v>
      </c>
      <c r="G19" s="5">
        <v>1400</v>
      </c>
      <c r="H19" s="4"/>
      <c r="I19" s="4" t="s">
        <v>169</v>
      </c>
      <c r="J19" s="4" t="s">
        <v>460</v>
      </c>
      <c r="K19" s="4" t="s">
        <v>11</v>
      </c>
      <c r="L19" s="4" t="s">
        <v>206</v>
      </c>
    </row>
    <row r="20" spans="1:12">
      <c r="A20" s="3">
        <v>44593.514456018522</v>
      </c>
      <c r="B20" s="4">
        <v>287834730</v>
      </c>
      <c r="C20" s="4" t="s">
        <v>275</v>
      </c>
      <c r="D20" s="4" t="s">
        <v>9</v>
      </c>
      <c r="E20" s="5">
        <v>2000</v>
      </c>
      <c r="F20" s="5">
        <v>2000</v>
      </c>
      <c r="G20" s="5">
        <v>1400</v>
      </c>
      <c r="H20" s="4"/>
      <c r="I20" s="4" t="s">
        <v>169</v>
      </c>
      <c r="J20" s="4" t="s">
        <v>460</v>
      </c>
      <c r="K20" s="4" t="s">
        <v>11</v>
      </c>
      <c r="L20" s="4" t="s">
        <v>206</v>
      </c>
    </row>
    <row r="21" spans="1:12">
      <c r="A21" s="3">
        <v>44593.521898148145</v>
      </c>
      <c r="B21" s="4">
        <v>287834730</v>
      </c>
      <c r="C21" s="4" t="s">
        <v>275</v>
      </c>
      <c r="D21" s="4" t="s">
        <v>9</v>
      </c>
      <c r="E21" s="5">
        <v>2000</v>
      </c>
      <c r="F21" s="5">
        <v>2000</v>
      </c>
      <c r="G21" s="5">
        <v>1400</v>
      </c>
      <c r="H21" s="4"/>
      <c r="I21" s="4" t="s">
        <v>169</v>
      </c>
      <c r="J21" s="4" t="s">
        <v>460</v>
      </c>
      <c r="K21" s="4" t="s">
        <v>11</v>
      </c>
      <c r="L21" s="4" t="s">
        <v>206</v>
      </c>
    </row>
    <row r="22" spans="1:12">
      <c r="A22" s="3">
        <v>44593.535613425927</v>
      </c>
      <c r="B22" s="4">
        <v>287834730</v>
      </c>
      <c r="C22" s="4" t="s">
        <v>275</v>
      </c>
      <c r="D22" s="4" t="s">
        <v>9</v>
      </c>
      <c r="E22" s="5">
        <v>2000</v>
      </c>
      <c r="F22" s="5">
        <v>2000</v>
      </c>
      <c r="G22" s="5">
        <v>1400</v>
      </c>
      <c r="H22" s="4"/>
      <c r="I22" s="4" t="s">
        <v>169</v>
      </c>
      <c r="J22" s="4" t="s">
        <v>460</v>
      </c>
      <c r="K22" s="4" t="s">
        <v>11</v>
      </c>
      <c r="L22" s="4" t="s">
        <v>206</v>
      </c>
    </row>
    <row r="23" spans="1:12">
      <c r="A23" s="3">
        <v>44593.541932870372</v>
      </c>
      <c r="B23" s="4">
        <v>287834730</v>
      </c>
      <c r="C23" s="4" t="s">
        <v>275</v>
      </c>
      <c r="D23" s="4" t="s">
        <v>9</v>
      </c>
      <c r="E23" s="5">
        <v>2000</v>
      </c>
      <c r="F23" s="5">
        <v>2000</v>
      </c>
      <c r="G23" s="5">
        <v>1400</v>
      </c>
      <c r="H23" s="4"/>
      <c r="I23" s="4" t="s">
        <v>169</v>
      </c>
      <c r="J23" s="4" t="s">
        <v>460</v>
      </c>
      <c r="K23" s="4" t="s">
        <v>11</v>
      </c>
      <c r="L23" s="4" t="s">
        <v>206</v>
      </c>
    </row>
    <row r="24" spans="1:12">
      <c r="A24" s="3">
        <v>44593.608865740738</v>
      </c>
      <c r="B24" s="4">
        <v>287834730</v>
      </c>
      <c r="C24" s="4" t="s">
        <v>275</v>
      </c>
      <c r="D24" s="4" t="s">
        <v>9</v>
      </c>
      <c r="E24" s="5">
        <v>2000</v>
      </c>
      <c r="F24" s="5">
        <v>2000</v>
      </c>
      <c r="G24" s="5">
        <v>1400</v>
      </c>
      <c r="H24" s="4"/>
      <c r="I24" s="4" t="s">
        <v>169</v>
      </c>
      <c r="J24" s="4" t="s">
        <v>460</v>
      </c>
      <c r="K24" s="4" t="s">
        <v>11</v>
      </c>
      <c r="L24" s="4" t="s">
        <v>206</v>
      </c>
    </row>
    <row r="25" spans="1:12">
      <c r="A25" s="3">
        <v>44593.612974537034</v>
      </c>
      <c r="B25" s="4">
        <v>287834730</v>
      </c>
      <c r="C25" s="4" t="s">
        <v>275</v>
      </c>
      <c r="D25" s="4" t="s">
        <v>9</v>
      </c>
      <c r="E25" s="5">
        <v>2000</v>
      </c>
      <c r="F25" s="5">
        <v>2000</v>
      </c>
      <c r="G25" s="5">
        <v>1400</v>
      </c>
      <c r="H25" s="4"/>
      <c r="I25" s="4" t="s">
        <v>169</v>
      </c>
      <c r="J25" s="4" t="s">
        <v>460</v>
      </c>
      <c r="K25" s="4" t="s">
        <v>11</v>
      </c>
      <c r="L25" s="4" t="s">
        <v>206</v>
      </c>
    </row>
    <row r="26" spans="1:12">
      <c r="A26" s="3">
        <v>44593.636840277781</v>
      </c>
      <c r="B26" s="4">
        <v>286896672</v>
      </c>
      <c r="C26" s="4" t="s">
        <v>248</v>
      </c>
      <c r="D26" s="4" t="s">
        <v>9</v>
      </c>
      <c r="E26" s="5">
        <v>2500</v>
      </c>
      <c r="F26" s="5">
        <v>2500</v>
      </c>
      <c r="G26" s="5">
        <v>1750</v>
      </c>
      <c r="H26" s="4"/>
      <c r="I26" s="4" t="s">
        <v>158</v>
      </c>
      <c r="J26" s="4" t="s">
        <v>460</v>
      </c>
      <c r="K26" s="4" t="s">
        <v>11</v>
      </c>
      <c r="L26" s="4" t="s">
        <v>141</v>
      </c>
    </row>
    <row r="27" spans="1:12">
      <c r="A27" s="3">
        <v>44593.662835648145</v>
      </c>
      <c r="B27" s="4">
        <v>287834730</v>
      </c>
      <c r="C27" s="4" t="s">
        <v>275</v>
      </c>
      <c r="D27" s="4" t="s">
        <v>9</v>
      </c>
      <c r="E27" s="5">
        <v>2000</v>
      </c>
      <c r="F27" s="5">
        <v>2000</v>
      </c>
      <c r="G27" s="5">
        <v>1400</v>
      </c>
      <c r="H27" s="4"/>
      <c r="I27" s="4" t="s">
        <v>169</v>
      </c>
      <c r="J27" s="4" t="s">
        <v>460</v>
      </c>
      <c r="K27" s="4" t="s">
        <v>11</v>
      </c>
      <c r="L27" s="4" t="s">
        <v>206</v>
      </c>
    </row>
    <row r="28" spans="1:12">
      <c r="A28" s="3">
        <v>44593.680069444446</v>
      </c>
      <c r="B28" s="4">
        <v>287834730</v>
      </c>
      <c r="C28" s="4" t="s">
        <v>275</v>
      </c>
      <c r="D28" s="4" t="s">
        <v>9</v>
      </c>
      <c r="E28" s="5">
        <v>2000</v>
      </c>
      <c r="F28" s="5">
        <v>2000</v>
      </c>
      <c r="G28" s="5">
        <v>1400</v>
      </c>
      <c r="H28" s="4"/>
      <c r="I28" s="4" t="s">
        <v>169</v>
      </c>
      <c r="J28" s="4" t="s">
        <v>460</v>
      </c>
      <c r="K28" s="4" t="s">
        <v>11</v>
      </c>
      <c r="L28" s="4" t="s">
        <v>206</v>
      </c>
    </row>
    <row r="29" spans="1:12">
      <c r="A29" s="3">
        <v>44593.684282407405</v>
      </c>
      <c r="B29" s="4">
        <v>287834730</v>
      </c>
      <c r="C29" s="4" t="s">
        <v>275</v>
      </c>
      <c r="D29" s="4" t="s">
        <v>9</v>
      </c>
      <c r="E29" s="5">
        <v>2000</v>
      </c>
      <c r="F29" s="5">
        <v>2000</v>
      </c>
      <c r="G29" s="5">
        <v>1400</v>
      </c>
      <c r="H29" s="4"/>
      <c r="I29" s="4" t="s">
        <v>169</v>
      </c>
      <c r="J29" s="4" t="s">
        <v>460</v>
      </c>
      <c r="K29" s="4" t="s">
        <v>11</v>
      </c>
      <c r="L29" s="4" t="s">
        <v>206</v>
      </c>
    </row>
    <row r="30" spans="1:12">
      <c r="A30" s="3">
        <v>44593.70480324074</v>
      </c>
      <c r="B30" s="4">
        <v>286896672</v>
      </c>
      <c r="C30" s="4" t="s">
        <v>248</v>
      </c>
      <c r="D30" s="4" t="s">
        <v>9</v>
      </c>
      <c r="E30" s="5">
        <v>2500</v>
      </c>
      <c r="F30" s="5">
        <v>2500</v>
      </c>
      <c r="G30" s="5">
        <v>1750</v>
      </c>
      <c r="H30" s="4"/>
      <c r="I30" s="4" t="s">
        <v>158</v>
      </c>
      <c r="J30" s="4" t="s">
        <v>460</v>
      </c>
      <c r="K30" s="4" t="s">
        <v>11</v>
      </c>
      <c r="L30" s="4" t="s">
        <v>141</v>
      </c>
    </row>
    <row r="31" spans="1:12">
      <c r="A31" s="3">
        <v>44593.721412037034</v>
      </c>
      <c r="B31" s="4">
        <v>287235707</v>
      </c>
      <c r="C31" s="4" t="s">
        <v>173</v>
      </c>
      <c r="D31" s="4" t="s">
        <v>9</v>
      </c>
      <c r="E31" s="5">
        <v>2000</v>
      </c>
      <c r="F31" s="5">
        <v>2000</v>
      </c>
      <c r="G31" s="5">
        <v>1400</v>
      </c>
      <c r="H31" s="4"/>
      <c r="I31" s="4" t="s">
        <v>164</v>
      </c>
      <c r="J31" s="4" t="s">
        <v>460</v>
      </c>
      <c r="K31" s="4" t="s">
        <v>11</v>
      </c>
      <c r="L31" s="4" t="s">
        <v>147</v>
      </c>
    </row>
    <row r="32" spans="1:12">
      <c r="A32" s="3">
        <v>44593.722361111111</v>
      </c>
      <c r="B32" s="4">
        <v>287834730</v>
      </c>
      <c r="C32" s="4" t="s">
        <v>275</v>
      </c>
      <c r="D32" s="4" t="s">
        <v>9</v>
      </c>
      <c r="E32" s="5">
        <v>2000</v>
      </c>
      <c r="F32" s="5">
        <v>2000</v>
      </c>
      <c r="G32" s="5">
        <v>1400</v>
      </c>
      <c r="H32" s="4"/>
      <c r="I32" s="4" t="s">
        <v>169</v>
      </c>
      <c r="J32" s="4" t="s">
        <v>460</v>
      </c>
      <c r="K32" s="4" t="s">
        <v>11</v>
      </c>
      <c r="L32" s="4" t="s">
        <v>206</v>
      </c>
    </row>
    <row r="33" spans="1:12">
      <c r="A33" s="3">
        <v>44593.73715277778</v>
      </c>
      <c r="B33" s="4">
        <v>287834730</v>
      </c>
      <c r="C33" s="4" t="s">
        <v>275</v>
      </c>
      <c r="D33" s="4" t="s">
        <v>9</v>
      </c>
      <c r="E33" s="5">
        <v>2000</v>
      </c>
      <c r="F33" s="5">
        <v>2000</v>
      </c>
      <c r="G33" s="5">
        <v>1400</v>
      </c>
      <c r="H33" s="4"/>
      <c r="I33" s="4" t="s">
        <v>169</v>
      </c>
      <c r="J33" s="4" t="s">
        <v>460</v>
      </c>
      <c r="K33" s="4" t="s">
        <v>11</v>
      </c>
      <c r="L33" s="4" t="s">
        <v>206</v>
      </c>
    </row>
    <row r="34" spans="1:12">
      <c r="A34" s="3">
        <v>44593.741550925923</v>
      </c>
      <c r="B34" s="4">
        <v>287834730</v>
      </c>
      <c r="C34" s="4" t="s">
        <v>275</v>
      </c>
      <c r="D34" s="4" t="s">
        <v>9</v>
      </c>
      <c r="E34" s="5">
        <v>2000</v>
      </c>
      <c r="F34" s="5">
        <v>2000</v>
      </c>
      <c r="G34" s="5">
        <v>1400</v>
      </c>
      <c r="H34" s="4"/>
      <c r="I34" s="4" t="s">
        <v>169</v>
      </c>
      <c r="J34" s="4" t="s">
        <v>460</v>
      </c>
      <c r="K34" s="4" t="s">
        <v>11</v>
      </c>
      <c r="L34" s="4" t="s">
        <v>206</v>
      </c>
    </row>
    <row r="35" spans="1:12">
      <c r="A35" s="3">
        <v>44593.748981481483</v>
      </c>
      <c r="B35" s="4">
        <v>286896672</v>
      </c>
      <c r="C35" s="4" t="s">
        <v>248</v>
      </c>
      <c r="D35" s="4" t="s">
        <v>9</v>
      </c>
      <c r="E35" s="5">
        <v>2500</v>
      </c>
      <c r="F35" s="5">
        <v>2500</v>
      </c>
      <c r="G35" s="5">
        <v>1750</v>
      </c>
      <c r="H35" s="4"/>
      <c r="I35" s="4" t="s">
        <v>158</v>
      </c>
      <c r="J35" s="4" t="s">
        <v>460</v>
      </c>
      <c r="K35" s="4" t="s">
        <v>11</v>
      </c>
      <c r="L35" s="4" t="s">
        <v>141</v>
      </c>
    </row>
    <row r="36" spans="1:12">
      <c r="A36" s="3">
        <v>44593.772118055553</v>
      </c>
      <c r="B36" s="4">
        <v>287834730</v>
      </c>
      <c r="C36" s="4" t="s">
        <v>275</v>
      </c>
      <c r="D36" s="4" t="s">
        <v>9</v>
      </c>
      <c r="E36" s="5">
        <v>2000</v>
      </c>
      <c r="F36" s="5">
        <v>2000</v>
      </c>
      <c r="G36" s="5">
        <v>1400</v>
      </c>
      <c r="H36" s="4"/>
      <c r="I36" s="4" t="s">
        <v>169</v>
      </c>
      <c r="J36" s="4" t="s">
        <v>460</v>
      </c>
      <c r="K36" s="4" t="s">
        <v>11</v>
      </c>
      <c r="L36" s="4" t="s">
        <v>206</v>
      </c>
    </row>
    <row r="37" spans="1:12">
      <c r="A37" s="3">
        <v>44593.823414351849</v>
      </c>
      <c r="B37" s="4">
        <v>287834730</v>
      </c>
      <c r="C37" s="4" t="s">
        <v>275</v>
      </c>
      <c r="D37" s="4" t="s">
        <v>9</v>
      </c>
      <c r="E37" s="5">
        <v>2000</v>
      </c>
      <c r="F37" s="5">
        <v>2000</v>
      </c>
      <c r="G37" s="5">
        <v>1400</v>
      </c>
      <c r="H37" s="4"/>
      <c r="I37" s="4" t="s">
        <v>169</v>
      </c>
      <c r="J37" s="4" t="s">
        <v>460</v>
      </c>
      <c r="K37" s="4" t="s">
        <v>11</v>
      </c>
      <c r="L37" s="4" t="s">
        <v>206</v>
      </c>
    </row>
    <row r="38" spans="1:12">
      <c r="A38" s="3">
        <v>44593.835289351853</v>
      </c>
      <c r="B38" s="4">
        <v>287834730</v>
      </c>
      <c r="C38" s="4" t="s">
        <v>275</v>
      </c>
      <c r="D38" s="4" t="s">
        <v>9</v>
      </c>
      <c r="E38" s="5">
        <v>2000</v>
      </c>
      <c r="F38" s="5">
        <v>2000</v>
      </c>
      <c r="G38" s="5">
        <v>1400</v>
      </c>
      <c r="H38" s="4"/>
      <c r="I38" s="4" t="s">
        <v>169</v>
      </c>
      <c r="J38" s="4" t="s">
        <v>460</v>
      </c>
      <c r="K38" s="4" t="s">
        <v>11</v>
      </c>
      <c r="L38" s="4" t="s">
        <v>206</v>
      </c>
    </row>
    <row r="39" spans="1:12">
      <c r="A39" s="3">
        <v>44593.847395833334</v>
      </c>
      <c r="B39" s="4">
        <v>287086652</v>
      </c>
      <c r="C39" s="4" t="s">
        <v>220</v>
      </c>
      <c r="D39" s="4" t="s">
        <v>9</v>
      </c>
      <c r="E39" s="5">
        <v>2000</v>
      </c>
      <c r="F39" s="5">
        <v>2000</v>
      </c>
      <c r="G39" s="5">
        <v>1400</v>
      </c>
      <c r="H39" s="4"/>
      <c r="I39" s="4" t="s">
        <v>162</v>
      </c>
      <c r="J39" s="4" t="s">
        <v>460</v>
      </c>
      <c r="K39" s="4" t="s">
        <v>11</v>
      </c>
      <c r="L39" s="4" t="s">
        <v>150</v>
      </c>
    </row>
    <row r="40" spans="1:12">
      <c r="A40" s="3">
        <v>44593.866712962961</v>
      </c>
      <c r="B40" s="4">
        <v>286405921</v>
      </c>
      <c r="C40" s="4" t="s">
        <v>245</v>
      </c>
      <c r="D40" s="4" t="s">
        <v>9</v>
      </c>
      <c r="E40" s="5">
        <v>2500</v>
      </c>
      <c r="F40" s="5">
        <v>2500</v>
      </c>
      <c r="G40" s="5">
        <v>1750</v>
      </c>
      <c r="H40" s="4"/>
      <c r="I40" s="4" t="s">
        <v>221</v>
      </c>
      <c r="J40" s="4" t="s">
        <v>460</v>
      </c>
      <c r="K40" s="4" t="s">
        <v>11</v>
      </c>
      <c r="L40" s="4" t="s">
        <v>137</v>
      </c>
    </row>
    <row r="41" spans="1:12">
      <c r="A41" s="3">
        <v>44593.870219907411</v>
      </c>
      <c r="B41" s="4">
        <v>287834730</v>
      </c>
      <c r="C41" s="4" t="s">
        <v>275</v>
      </c>
      <c r="D41" s="4" t="s">
        <v>9</v>
      </c>
      <c r="E41" s="5">
        <v>2000</v>
      </c>
      <c r="F41" s="5">
        <v>2000</v>
      </c>
      <c r="G41" s="5">
        <v>1400</v>
      </c>
      <c r="H41" s="4"/>
      <c r="I41" s="4" t="s">
        <v>169</v>
      </c>
      <c r="J41" s="4" t="s">
        <v>460</v>
      </c>
      <c r="K41" s="4" t="s">
        <v>11</v>
      </c>
      <c r="L41" s="4" t="s">
        <v>206</v>
      </c>
    </row>
    <row r="42" spans="1:12">
      <c r="A42" s="3">
        <v>44593.902141203704</v>
      </c>
      <c r="B42" s="4">
        <v>287086652</v>
      </c>
      <c r="C42" s="4" t="s">
        <v>220</v>
      </c>
      <c r="D42" s="4" t="s">
        <v>9</v>
      </c>
      <c r="E42" s="5">
        <v>2000</v>
      </c>
      <c r="F42" s="5">
        <v>2000</v>
      </c>
      <c r="G42" s="5">
        <v>1400</v>
      </c>
      <c r="H42" s="4"/>
      <c r="I42" s="4" t="s">
        <v>162</v>
      </c>
      <c r="J42" s="4" t="s">
        <v>460</v>
      </c>
      <c r="K42" s="4" t="s">
        <v>11</v>
      </c>
      <c r="L42" s="4" t="s">
        <v>150</v>
      </c>
    </row>
    <row r="43" spans="1:12">
      <c r="A43" s="3">
        <v>44593.916817129626</v>
      </c>
      <c r="B43" s="4">
        <v>287834730</v>
      </c>
      <c r="C43" s="4" t="s">
        <v>275</v>
      </c>
      <c r="D43" s="4" t="s">
        <v>9</v>
      </c>
      <c r="E43" s="5">
        <v>2000</v>
      </c>
      <c r="F43" s="5">
        <v>2000</v>
      </c>
      <c r="G43" s="5">
        <v>1400</v>
      </c>
      <c r="H43" s="4"/>
      <c r="I43" s="4" t="s">
        <v>169</v>
      </c>
      <c r="J43" s="4" t="s">
        <v>460</v>
      </c>
      <c r="K43" s="4" t="s">
        <v>11</v>
      </c>
      <c r="L43" s="4" t="s">
        <v>206</v>
      </c>
    </row>
    <row r="44" spans="1:12">
      <c r="A44" s="3">
        <v>44593.917673611111</v>
      </c>
      <c r="B44" s="4">
        <v>287834730</v>
      </c>
      <c r="C44" s="4" t="s">
        <v>275</v>
      </c>
      <c r="D44" s="4" t="s">
        <v>9</v>
      </c>
      <c r="E44" s="5">
        <v>2000</v>
      </c>
      <c r="F44" s="5">
        <v>2000</v>
      </c>
      <c r="G44" s="5">
        <v>1400</v>
      </c>
      <c r="H44" s="4"/>
      <c r="I44" s="4" t="s">
        <v>169</v>
      </c>
      <c r="J44" s="4" t="s">
        <v>460</v>
      </c>
      <c r="K44" s="4" t="s">
        <v>11</v>
      </c>
      <c r="L44" s="4" t="s">
        <v>206</v>
      </c>
    </row>
    <row r="45" spans="1:12">
      <c r="A45" s="3">
        <v>44593.921782407408</v>
      </c>
      <c r="B45" s="4">
        <v>286896672</v>
      </c>
      <c r="C45" s="4" t="s">
        <v>248</v>
      </c>
      <c r="D45" s="4" t="s">
        <v>9</v>
      </c>
      <c r="E45" s="5">
        <v>2500</v>
      </c>
      <c r="F45" s="5">
        <v>2500</v>
      </c>
      <c r="G45" s="5">
        <v>1750</v>
      </c>
      <c r="H45" s="4"/>
      <c r="I45" s="4" t="s">
        <v>158</v>
      </c>
      <c r="J45" s="4" t="s">
        <v>460</v>
      </c>
      <c r="K45" s="4" t="s">
        <v>11</v>
      </c>
      <c r="L45" s="4" t="s">
        <v>141</v>
      </c>
    </row>
    <row r="46" spans="1:12">
      <c r="A46" s="3">
        <v>44593.921956018516</v>
      </c>
      <c r="B46" s="4">
        <v>287703886</v>
      </c>
      <c r="C46" s="4" t="s">
        <v>218</v>
      </c>
      <c r="D46" s="4" t="s">
        <v>9</v>
      </c>
      <c r="E46" s="5">
        <v>2500</v>
      </c>
      <c r="F46" s="5">
        <v>2500</v>
      </c>
      <c r="G46" s="5">
        <v>1750</v>
      </c>
      <c r="H46" s="4"/>
      <c r="I46" s="4" t="s">
        <v>167</v>
      </c>
      <c r="J46" s="4" t="s">
        <v>460</v>
      </c>
      <c r="K46" s="4" t="s">
        <v>11</v>
      </c>
      <c r="L46" s="4" t="s">
        <v>195</v>
      </c>
    </row>
    <row r="47" spans="1:12">
      <c r="A47" s="3">
        <v>44593.922118055554</v>
      </c>
      <c r="B47" s="4">
        <v>287086652</v>
      </c>
      <c r="C47" s="4" t="s">
        <v>220</v>
      </c>
      <c r="D47" s="4" t="s">
        <v>9</v>
      </c>
      <c r="E47" s="5">
        <v>2000</v>
      </c>
      <c r="F47" s="5">
        <v>2000</v>
      </c>
      <c r="G47" s="5">
        <v>1400</v>
      </c>
      <c r="H47" s="4"/>
      <c r="I47" s="4" t="s">
        <v>162</v>
      </c>
      <c r="J47" s="4" t="s">
        <v>460</v>
      </c>
      <c r="K47" s="4" t="s">
        <v>11</v>
      </c>
      <c r="L47" s="4" t="s">
        <v>150</v>
      </c>
    </row>
    <row r="48" spans="1:12">
      <c r="A48" s="3">
        <v>44593.924074074072</v>
      </c>
      <c r="B48" s="4">
        <v>287834730</v>
      </c>
      <c r="C48" s="4" t="s">
        <v>275</v>
      </c>
      <c r="D48" s="4" t="s">
        <v>9</v>
      </c>
      <c r="E48" s="5">
        <v>2000</v>
      </c>
      <c r="F48" s="5">
        <v>2000</v>
      </c>
      <c r="G48" s="5">
        <v>1400</v>
      </c>
      <c r="H48" s="4"/>
      <c r="I48" s="4" t="s">
        <v>169</v>
      </c>
      <c r="J48" s="4" t="s">
        <v>460</v>
      </c>
      <c r="K48" s="4" t="s">
        <v>11</v>
      </c>
      <c r="L48" s="4" t="s">
        <v>206</v>
      </c>
    </row>
    <row r="49" spans="1:12">
      <c r="A49" s="3">
        <v>44593.935115740744</v>
      </c>
      <c r="B49" s="4">
        <v>287834730</v>
      </c>
      <c r="C49" s="4" t="s">
        <v>275</v>
      </c>
      <c r="D49" s="4" t="s">
        <v>9</v>
      </c>
      <c r="E49" s="5">
        <v>2000</v>
      </c>
      <c r="F49" s="5">
        <v>2000</v>
      </c>
      <c r="G49" s="5">
        <v>1400</v>
      </c>
      <c r="H49" s="4"/>
      <c r="I49" s="4" t="s">
        <v>169</v>
      </c>
      <c r="J49" s="4" t="s">
        <v>460</v>
      </c>
      <c r="K49" s="4" t="s">
        <v>11</v>
      </c>
      <c r="L49" s="4" t="s">
        <v>206</v>
      </c>
    </row>
    <row r="50" spans="1:12">
      <c r="A50" s="3">
        <v>44593.935243055559</v>
      </c>
      <c r="B50" s="4">
        <v>287834730</v>
      </c>
      <c r="C50" s="4" t="s">
        <v>275</v>
      </c>
      <c r="D50" s="4" t="s">
        <v>9</v>
      </c>
      <c r="E50" s="5">
        <v>2000</v>
      </c>
      <c r="F50" s="5">
        <v>2000</v>
      </c>
      <c r="G50" s="5">
        <v>1400</v>
      </c>
      <c r="H50" s="4"/>
      <c r="I50" s="4" t="s">
        <v>169</v>
      </c>
      <c r="J50" s="4" t="s">
        <v>460</v>
      </c>
      <c r="K50" s="4" t="s">
        <v>11</v>
      </c>
      <c r="L50" s="4" t="s">
        <v>206</v>
      </c>
    </row>
    <row r="51" spans="1:12">
      <c r="A51" s="3">
        <v>44593.942349537036</v>
      </c>
      <c r="B51" s="4">
        <v>286896672</v>
      </c>
      <c r="C51" s="4" t="s">
        <v>248</v>
      </c>
      <c r="D51" s="4" t="s">
        <v>9</v>
      </c>
      <c r="E51" s="5">
        <v>2500</v>
      </c>
      <c r="F51" s="5">
        <v>2500</v>
      </c>
      <c r="G51" s="5">
        <v>1750</v>
      </c>
      <c r="H51" s="4"/>
      <c r="I51" s="4" t="s">
        <v>158</v>
      </c>
      <c r="J51" s="4" t="s">
        <v>460</v>
      </c>
      <c r="K51" s="4" t="s">
        <v>11</v>
      </c>
      <c r="L51" s="4" t="s">
        <v>141</v>
      </c>
    </row>
    <row r="52" spans="1:12">
      <c r="A52" s="3">
        <v>44593.949918981481</v>
      </c>
      <c r="B52" s="4">
        <v>287834730</v>
      </c>
      <c r="C52" s="4" t="s">
        <v>275</v>
      </c>
      <c r="D52" s="4" t="s">
        <v>9</v>
      </c>
      <c r="E52" s="5">
        <v>2000</v>
      </c>
      <c r="F52" s="5">
        <v>2000</v>
      </c>
      <c r="G52" s="5">
        <v>1400</v>
      </c>
      <c r="H52" s="4"/>
      <c r="I52" s="4" t="s">
        <v>169</v>
      </c>
      <c r="J52" s="4" t="s">
        <v>460</v>
      </c>
      <c r="K52" s="4" t="s">
        <v>11</v>
      </c>
      <c r="L52" s="4" t="s">
        <v>206</v>
      </c>
    </row>
    <row r="53" spans="1:12">
      <c r="A53" s="3">
        <v>44593.952569444446</v>
      </c>
      <c r="B53" s="4">
        <v>287834730</v>
      </c>
      <c r="C53" s="4" t="s">
        <v>275</v>
      </c>
      <c r="D53" s="4" t="s">
        <v>9</v>
      </c>
      <c r="E53" s="5">
        <v>2000</v>
      </c>
      <c r="F53" s="5">
        <v>2000</v>
      </c>
      <c r="G53" s="5">
        <v>1400</v>
      </c>
      <c r="H53" s="4"/>
      <c r="I53" s="4" t="s">
        <v>169</v>
      </c>
      <c r="J53" s="4" t="s">
        <v>460</v>
      </c>
      <c r="K53" s="4" t="s">
        <v>11</v>
      </c>
      <c r="L53" s="4" t="s">
        <v>206</v>
      </c>
    </row>
    <row r="54" spans="1:12">
      <c r="A54" s="3">
        <v>44593.952997685185</v>
      </c>
      <c r="B54" s="4">
        <v>287703886</v>
      </c>
      <c r="C54" s="4" t="s">
        <v>218</v>
      </c>
      <c r="D54" s="4" t="s">
        <v>9</v>
      </c>
      <c r="E54" s="5">
        <v>2500</v>
      </c>
      <c r="F54" s="5">
        <v>2500</v>
      </c>
      <c r="G54" s="5">
        <v>1750</v>
      </c>
      <c r="H54" s="4"/>
      <c r="I54" s="4" t="s">
        <v>167</v>
      </c>
      <c r="J54" s="4" t="s">
        <v>460</v>
      </c>
      <c r="K54" s="4" t="s">
        <v>11</v>
      </c>
      <c r="L54" s="4" t="s">
        <v>195</v>
      </c>
    </row>
    <row r="55" spans="1:12">
      <c r="A55" s="3">
        <v>44593.953194444446</v>
      </c>
      <c r="B55" s="4">
        <v>287086652</v>
      </c>
      <c r="C55" s="4" t="s">
        <v>220</v>
      </c>
      <c r="D55" s="4" t="s">
        <v>9</v>
      </c>
      <c r="E55" s="5">
        <v>2000</v>
      </c>
      <c r="F55" s="5">
        <v>2000</v>
      </c>
      <c r="G55" s="5">
        <v>1400</v>
      </c>
      <c r="H55" s="4"/>
      <c r="I55" s="4" t="s">
        <v>162</v>
      </c>
      <c r="J55" s="4" t="s">
        <v>460</v>
      </c>
      <c r="K55" s="4" t="s">
        <v>11</v>
      </c>
      <c r="L55" s="4" t="s">
        <v>150</v>
      </c>
    </row>
    <row r="56" spans="1:12">
      <c r="A56" s="3">
        <v>44593.960578703707</v>
      </c>
      <c r="B56" s="4">
        <v>287834730</v>
      </c>
      <c r="C56" s="4" t="s">
        <v>275</v>
      </c>
      <c r="D56" s="4" t="s">
        <v>9</v>
      </c>
      <c r="E56" s="5">
        <v>2000</v>
      </c>
      <c r="F56" s="5">
        <v>2000</v>
      </c>
      <c r="G56" s="5">
        <v>1400</v>
      </c>
      <c r="H56" s="4"/>
      <c r="I56" s="4" t="s">
        <v>169</v>
      </c>
      <c r="J56" s="4" t="s">
        <v>460</v>
      </c>
      <c r="K56" s="4" t="s">
        <v>11</v>
      </c>
      <c r="L56" s="4" t="s">
        <v>206</v>
      </c>
    </row>
    <row r="57" spans="1:12">
      <c r="A57" s="3">
        <v>44593.999027777776</v>
      </c>
      <c r="B57" s="4">
        <v>287834730</v>
      </c>
      <c r="C57" s="4" t="s">
        <v>275</v>
      </c>
      <c r="D57" s="4" t="s">
        <v>9</v>
      </c>
      <c r="E57" s="5">
        <v>2000</v>
      </c>
      <c r="F57" s="5">
        <v>2000</v>
      </c>
      <c r="G57" s="5">
        <v>1400</v>
      </c>
      <c r="H57" s="4"/>
      <c r="I57" s="4" t="s">
        <v>169</v>
      </c>
      <c r="J57" s="4" t="s">
        <v>460</v>
      </c>
      <c r="K57" s="4" t="s">
        <v>11</v>
      </c>
      <c r="L57" s="4" t="s">
        <v>206</v>
      </c>
    </row>
    <row r="58" spans="1:12">
      <c r="A58" s="3">
        <v>44594.008055555554</v>
      </c>
      <c r="B58" s="4">
        <v>287834730</v>
      </c>
      <c r="C58" s="4" t="s">
        <v>275</v>
      </c>
      <c r="D58" s="4" t="s">
        <v>9</v>
      </c>
      <c r="E58" s="5">
        <v>2000</v>
      </c>
      <c r="F58" s="5">
        <v>2000</v>
      </c>
      <c r="G58" s="5">
        <v>1400</v>
      </c>
      <c r="H58" s="4"/>
      <c r="I58" s="4" t="s">
        <v>169</v>
      </c>
      <c r="J58" s="4" t="s">
        <v>460</v>
      </c>
      <c r="K58" s="4" t="s">
        <v>11</v>
      </c>
      <c r="L58" s="4" t="s">
        <v>206</v>
      </c>
    </row>
    <row r="59" spans="1:12">
      <c r="A59" s="3">
        <v>44594.008067129631</v>
      </c>
      <c r="B59" s="4">
        <v>287834730</v>
      </c>
      <c r="C59" s="4" t="s">
        <v>275</v>
      </c>
      <c r="D59" s="4" t="s">
        <v>9</v>
      </c>
      <c r="E59" s="5">
        <v>2000</v>
      </c>
      <c r="F59" s="5">
        <v>2000</v>
      </c>
      <c r="G59" s="5">
        <v>1400</v>
      </c>
      <c r="H59" s="4"/>
      <c r="I59" s="4" t="s">
        <v>169</v>
      </c>
      <c r="J59" s="4" t="s">
        <v>460</v>
      </c>
      <c r="K59" s="4" t="s">
        <v>11</v>
      </c>
      <c r="L59" s="4" t="s">
        <v>206</v>
      </c>
    </row>
    <row r="60" spans="1:12">
      <c r="A60" s="3">
        <v>44594.010555555556</v>
      </c>
      <c r="B60" s="4">
        <v>287086652</v>
      </c>
      <c r="C60" s="4" t="s">
        <v>220</v>
      </c>
      <c r="D60" s="4" t="s">
        <v>9</v>
      </c>
      <c r="E60" s="5">
        <v>2000</v>
      </c>
      <c r="F60" s="5">
        <v>2000</v>
      </c>
      <c r="G60" s="5">
        <v>1400</v>
      </c>
      <c r="H60" s="4"/>
      <c r="I60" s="4" t="s">
        <v>162</v>
      </c>
      <c r="J60" s="4" t="s">
        <v>460</v>
      </c>
      <c r="K60" s="4" t="s">
        <v>11</v>
      </c>
      <c r="L60" s="4" t="s">
        <v>150</v>
      </c>
    </row>
    <row r="61" spans="1:12">
      <c r="A61" s="3">
        <v>44594.02447916667</v>
      </c>
      <c r="B61" s="4">
        <v>287834730</v>
      </c>
      <c r="C61" s="4" t="s">
        <v>275</v>
      </c>
      <c r="D61" s="4" t="s">
        <v>9</v>
      </c>
      <c r="E61" s="5">
        <v>2000</v>
      </c>
      <c r="F61" s="5">
        <v>2000</v>
      </c>
      <c r="G61" s="5">
        <v>1400</v>
      </c>
      <c r="H61" s="4"/>
      <c r="I61" s="4" t="s">
        <v>169</v>
      </c>
      <c r="J61" s="4" t="s">
        <v>460</v>
      </c>
      <c r="K61" s="4" t="s">
        <v>11</v>
      </c>
      <c r="L61" s="4" t="s">
        <v>206</v>
      </c>
    </row>
    <row r="62" spans="1:12">
      <c r="A62" s="3">
        <v>44594.038182870368</v>
      </c>
      <c r="B62" s="4">
        <v>287834730</v>
      </c>
      <c r="C62" s="4" t="s">
        <v>275</v>
      </c>
      <c r="D62" s="4" t="s">
        <v>9</v>
      </c>
      <c r="E62" s="5">
        <v>2000</v>
      </c>
      <c r="F62" s="5">
        <v>2000</v>
      </c>
      <c r="G62" s="5">
        <v>1400</v>
      </c>
      <c r="H62" s="4"/>
      <c r="I62" s="4" t="s">
        <v>169</v>
      </c>
      <c r="J62" s="4" t="s">
        <v>460</v>
      </c>
      <c r="K62" s="4" t="s">
        <v>11</v>
      </c>
      <c r="L62" s="4" t="s">
        <v>206</v>
      </c>
    </row>
    <row r="63" spans="1:12">
      <c r="A63" s="3">
        <v>44594.050810185188</v>
      </c>
      <c r="B63" s="4">
        <v>287834730</v>
      </c>
      <c r="C63" s="4" t="s">
        <v>275</v>
      </c>
      <c r="D63" s="4" t="s">
        <v>9</v>
      </c>
      <c r="E63" s="5">
        <v>2000</v>
      </c>
      <c r="F63" s="5">
        <v>2000</v>
      </c>
      <c r="G63" s="5">
        <v>1400</v>
      </c>
      <c r="H63" s="4"/>
      <c r="I63" s="4" t="s">
        <v>169</v>
      </c>
      <c r="J63" s="4" t="s">
        <v>460</v>
      </c>
      <c r="K63" s="4" t="s">
        <v>11</v>
      </c>
      <c r="L63" s="4" t="s">
        <v>206</v>
      </c>
    </row>
    <row r="64" spans="1:12">
      <c r="A64" s="3">
        <v>44594.062268518515</v>
      </c>
      <c r="B64" s="4">
        <v>287834730</v>
      </c>
      <c r="C64" s="4" t="s">
        <v>275</v>
      </c>
      <c r="D64" s="4" t="s">
        <v>9</v>
      </c>
      <c r="E64" s="5">
        <v>2000</v>
      </c>
      <c r="F64" s="5">
        <v>2000</v>
      </c>
      <c r="G64" s="5">
        <v>1400</v>
      </c>
      <c r="H64" s="4"/>
      <c r="I64" s="4" t="s">
        <v>169</v>
      </c>
      <c r="J64" s="4" t="s">
        <v>460</v>
      </c>
      <c r="K64" s="4" t="s">
        <v>11</v>
      </c>
      <c r="L64" s="4" t="s">
        <v>206</v>
      </c>
    </row>
    <row r="65" spans="1:12">
      <c r="A65" s="3">
        <v>44594.062962962962</v>
      </c>
      <c r="B65" s="4">
        <v>287834730</v>
      </c>
      <c r="C65" s="4" t="s">
        <v>275</v>
      </c>
      <c r="D65" s="4" t="s">
        <v>9</v>
      </c>
      <c r="E65" s="5">
        <v>2000</v>
      </c>
      <c r="F65" s="5">
        <v>2000</v>
      </c>
      <c r="G65" s="5">
        <v>1400</v>
      </c>
      <c r="H65" s="4"/>
      <c r="I65" s="4" t="s">
        <v>169</v>
      </c>
      <c r="J65" s="4" t="s">
        <v>460</v>
      </c>
      <c r="K65" s="4" t="s">
        <v>11</v>
      </c>
      <c r="L65" s="4" t="s">
        <v>206</v>
      </c>
    </row>
    <row r="66" spans="1:12">
      <c r="A66" s="3">
        <v>44594.072002314817</v>
      </c>
      <c r="B66" s="4">
        <v>287834730</v>
      </c>
      <c r="C66" s="4" t="s">
        <v>275</v>
      </c>
      <c r="D66" s="4" t="s">
        <v>9</v>
      </c>
      <c r="E66" s="5">
        <v>2000</v>
      </c>
      <c r="F66" s="5">
        <v>2000</v>
      </c>
      <c r="G66" s="5">
        <v>1400</v>
      </c>
      <c r="H66" s="4"/>
      <c r="I66" s="4" t="s">
        <v>169</v>
      </c>
      <c r="J66" s="4" t="s">
        <v>460</v>
      </c>
      <c r="K66" s="4" t="s">
        <v>11</v>
      </c>
      <c r="L66" s="4" t="s">
        <v>206</v>
      </c>
    </row>
    <row r="67" spans="1:12">
      <c r="A67" s="3">
        <v>44594.109363425923</v>
      </c>
      <c r="B67" s="4">
        <v>287834730</v>
      </c>
      <c r="C67" s="4" t="s">
        <v>275</v>
      </c>
      <c r="D67" s="4" t="s">
        <v>9</v>
      </c>
      <c r="E67" s="5">
        <v>2000</v>
      </c>
      <c r="F67" s="5">
        <v>2000</v>
      </c>
      <c r="G67" s="5">
        <v>1400</v>
      </c>
      <c r="H67" s="4"/>
      <c r="I67" s="4" t="s">
        <v>169</v>
      </c>
      <c r="J67" s="4" t="s">
        <v>460</v>
      </c>
      <c r="K67" s="4" t="s">
        <v>11</v>
      </c>
      <c r="L67" s="4" t="s">
        <v>206</v>
      </c>
    </row>
    <row r="68" spans="1:12">
      <c r="A68" s="3">
        <v>44594.324444444443</v>
      </c>
      <c r="B68" s="4">
        <v>287086652</v>
      </c>
      <c r="C68" s="4" t="s">
        <v>220</v>
      </c>
      <c r="D68" s="4" t="s">
        <v>9</v>
      </c>
      <c r="E68" s="5">
        <v>2000</v>
      </c>
      <c r="F68" s="5">
        <v>2000</v>
      </c>
      <c r="G68" s="5">
        <v>1400</v>
      </c>
      <c r="H68" s="4"/>
      <c r="I68" s="4" t="s">
        <v>162</v>
      </c>
      <c r="J68" s="4" t="s">
        <v>460</v>
      </c>
      <c r="K68" s="4" t="s">
        <v>11</v>
      </c>
      <c r="L68" s="4" t="s">
        <v>150</v>
      </c>
    </row>
    <row r="69" spans="1:12">
      <c r="A69" s="3">
        <v>44594.329733796294</v>
      </c>
      <c r="B69" s="4">
        <v>287834730</v>
      </c>
      <c r="C69" s="4" t="s">
        <v>275</v>
      </c>
      <c r="D69" s="4" t="s">
        <v>9</v>
      </c>
      <c r="E69" s="5">
        <v>2000</v>
      </c>
      <c r="F69" s="5">
        <v>2000</v>
      </c>
      <c r="G69" s="5">
        <v>1400</v>
      </c>
      <c r="H69" s="4"/>
      <c r="I69" s="4" t="s">
        <v>169</v>
      </c>
      <c r="J69" s="4" t="s">
        <v>460</v>
      </c>
      <c r="K69" s="4" t="s">
        <v>11</v>
      </c>
      <c r="L69" s="4" t="s">
        <v>206</v>
      </c>
    </row>
    <row r="70" spans="1:12">
      <c r="A70" s="3">
        <v>44594.336076388892</v>
      </c>
      <c r="B70" s="4">
        <v>287834730</v>
      </c>
      <c r="C70" s="4" t="s">
        <v>275</v>
      </c>
      <c r="D70" s="4" t="s">
        <v>9</v>
      </c>
      <c r="E70" s="5">
        <v>2000</v>
      </c>
      <c r="F70" s="5">
        <v>2000</v>
      </c>
      <c r="G70" s="5">
        <v>1400</v>
      </c>
      <c r="H70" s="4"/>
      <c r="I70" s="4" t="s">
        <v>169</v>
      </c>
      <c r="J70" s="4" t="s">
        <v>460</v>
      </c>
      <c r="K70" s="4" t="s">
        <v>11</v>
      </c>
      <c r="L70" s="4" t="s">
        <v>206</v>
      </c>
    </row>
    <row r="71" spans="1:12">
      <c r="A71" s="3">
        <v>44594.350104166668</v>
      </c>
      <c r="B71" s="4">
        <v>287834730</v>
      </c>
      <c r="C71" s="4" t="s">
        <v>275</v>
      </c>
      <c r="D71" s="4" t="s">
        <v>9</v>
      </c>
      <c r="E71" s="5">
        <v>2000</v>
      </c>
      <c r="F71" s="5">
        <v>2000</v>
      </c>
      <c r="G71" s="5">
        <v>1400</v>
      </c>
      <c r="H71" s="4"/>
      <c r="I71" s="4" t="s">
        <v>169</v>
      </c>
      <c r="J71" s="4" t="s">
        <v>460</v>
      </c>
      <c r="K71" s="4" t="s">
        <v>11</v>
      </c>
      <c r="L71" s="4" t="s">
        <v>206</v>
      </c>
    </row>
    <row r="72" spans="1:12">
      <c r="A72" s="3">
        <v>44594.610717592594</v>
      </c>
      <c r="B72" s="4">
        <v>287834730</v>
      </c>
      <c r="C72" s="4" t="s">
        <v>275</v>
      </c>
      <c r="D72" s="4" t="s">
        <v>9</v>
      </c>
      <c r="E72" s="5">
        <v>-2000</v>
      </c>
      <c r="F72" s="5">
        <v>-2000</v>
      </c>
      <c r="G72" s="5">
        <v>-1400</v>
      </c>
      <c r="H72" s="3">
        <v>44594.350104166668</v>
      </c>
      <c r="I72" s="4" t="s">
        <v>169</v>
      </c>
      <c r="J72" s="4" t="s">
        <v>460</v>
      </c>
      <c r="K72" s="4" t="s">
        <v>11</v>
      </c>
      <c r="L72" s="4" t="s">
        <v>206</v>
      </c>
    </row>
    <row r="73" spans="1:12">
      <c r="A73" s="3">
        <v>44594.359768518516</v>
      </c>
      <c r="B73" s="4">
        <v>287834730</v>
      </c>
      <c r="C73" s="4" t="s">
        <v>275</v>
      </c>
      <c r="D73" s="4" t="s">
        <v>9</v>
      </c>
      <c r="E73" s="5">
        <v>2000</v>
      </c>
      <c r="F73" s="5">
        <v>2000</v>
      </c>
      <c r="G73" s="5">
        <v>1400</v>
      </c>
      <c r="H73" s="4"/>
      <c r="I73" s="4" t="s">
        <v>169</v>
      </c>
      <c r="J73" s="4" t="s">
        <v>460</v>
      </c>
      <c r="K73" s="4" t="s">
        <v>11</v>
      </c>
      <c r="L73" s="4" t="s">
        <v>206</v>
      </c>
    </row>
    <row r="74" spans="1:12">
      <c r="A74" s="3">
        <v>44594.416817129626</v>
      </c>
      <c r="B74" s="4">
        <v>287834730</v>
      </c>
      <c r="C74" s="4" t="s">
        <v>275</v>
      </c>
      <c r="D74" s="4" t="s">
        <v>9</v>
      </c>
      <c r="E74" s="5">
        <v>2000</v>
      </c>
      <c r="F74" s="5">
        <v>2000</v>
      </c>
      <c r="G74" s="5">
        <v>1400</v>
      </c>
      <c r="H74" s="4"/>
      <c r="I74" s="4" t="s">
        <v>169</v>
      </c>
      <c r="J74" s="4" t="s">
        <v>460</v>
      </c>
      <c r="K74" s="4" t="s">
        <v>11</v>
      </c>
      <c r="L74" s="4" t="s">
        <v>206</v>
      </c>
    </row>
    <row r="75" spans="1:12">
      <c r="A75" s="3">
        <v>44594.417268518519</v>
      </c>
      <c r="B75" s="4">
        <v>287834730</v>
      </c>
      <c r="C75" s="4" t="s">
        <v>275</v>
      </c>
      <c r="D75" s="4" t="s">
        <v>9</v>
      </c>
      <c r="E75" s="5">
        <v>2000</v>
      </c>
      <c r="F75" s="5">
        <v>2000</v>
      </c>
      <c r="G75" s="5">
        <v>1400</v>
      </c>
      <c r="H75" s="4"/>
      <c r="I75" s="4" t="s">
        <v>169</v>
      </c>
      <c r="J75" s="4" t="s">
        <v>460</v>
      </c>
      <c r="K75" s="4" t="s">
        <v>11</v>
      </c>
      <c r="L75" s="4" t="s">
        <v>206</v>
      </c>
    </row>
    <row r="76" spans="1:12">
      <c r="A76" s="3">
        <v>44594.475347222222</v>
      </c>
      <c r="B76" s="4">
        <v>287834730</v>
      </c>
      <c r="C76" s="4" t="s">
        <v>275</v>
      </c>
      <c r="D76" s="4" t="s">
        <v>9</v>
      </c>
      <c r="E76" s="5">
        <v>2000</v>
      </c>
      <c r="F76" s="5">
        <v>2000</v>
      </c>
      <c r="G76" s="5">
        <v>1400</v>
      </c>
      <c r="H76" s="4"/>
      <c r="I76" s="4" t="s">
        <v>169</v>
      </c>
      <c r="J76" s="4" t="s">
        <v>460</v>
      </c>
      <c r="K76" s="4" t="s">
        <v>11</v>
      </c>
      <c r="L76" s="4" t="s">
        <v>206</v>
      </c>
    </row>
    <row r="77" spans="1:12">
      <c r="A77" s="3">
        <v>44594.488819444443</v>
      </c>
      <c r="B77" s="4">
        <v>287834730</v>
      </c>
      <c r="C77" s="4" t="s">
        <v>275</v>
      </c>
      <c r="D77" s="4" t="s">
        <v>9</v>
      </c>
      <c r="E77" s="5">
        <v>2000</v>
      </c>
      <c r="F77" s="5">
        <v>2000</v>
      </c>
      <c r="G77" s="5">
        <v>1400</v>
      </c>
      <c r="H77" s="4"/>
      <c r="I77" s="4" t="s">
        <v>169</v>
      </c>
      <c r="J77" s="4" t="s">
        <v>460</v>
      </c>
      <c r="K77" s="4" t="s">
        <v>11</v>
      </c>
      <c r="L77" s="4" t="s">
        <v>206</v>
      </c>
    </row>
    <row r="78" spans="1:12">
      <c r="A78" s="3">
        <v>44594.538854166669</v>
      </c>
      <c r="B78" s="4">
        <v>287086652</v>
      </c>
      <c r="C78" s="4" t="s">
        <v>220</v>
      </c>
      <c r="D78" s="4" t="s">
        <v>9</v>
      </c>
      <c r="E78" s="5">
        <v>2000</v>
      </c>
      <c r="F78" s="5">
        <v>2000</v>
      </c>
      <c r="G78" s="5">
        <v>1400</v>
      </c>
      <c r="H78" s="4"/>
      <c r="I78" s="4" t="s">
        <v>162</v>
      </c>
      <c r="J78" s="4" t="s">
        <v>460</v>
      </c>
      <c r="K78" s="4" t="s">
        <v>11</v>
      </c>
      <c r="L78" s="4" t="s">
        <v>150</v>
      </c>
    </row>
    <row r="79" spans="1:12">
      <c r="A79" s="3">
        <v>44594.539814814816</v>
      </c>
      <c r="B79" s="4">
        <v>287366429</v>
      </c>
      <c r="C79" s="4" t="s">
        <v>225</v>
      </c>
      <c r="D79" s="4" t="s">
        <v>9</v>
      </c>
      <c r="E79" s="5">
        <v>2000</v>
      </c>
      <c r="F79" s="5">
        <v>2000</v>
      </c>
      <c r="G79" s="5">
        <v>1400</v>
      </c>
      <c r="H79" s="4"/>
      <c r="I79" s="4" t="s">
        <v>166</v>
      </c>
      <c r="J79" s="4" t="s">
        <v>460</v>
      </c>
      <c r="K79" s="4" t="s">
        <v>11</v>
      </c>
      <c r="L79" s="4" t="s">
        <v>152</v>
      </c>
    </row>
    <row r="80" spans="1:12">
      <c r="A80" s="3">
        <v>44594.543657407405</v>
      </c>
      <c r="B80" s="4">
        <v>286896672</v>
      </c>
      <c r="C80" s="4" t="s">
        <v>248</v>
      </c>
      <c r="D80" s="4" t="s">
        <v>9</v>
      </c>
      <c r="E80" s="5">
        <v>2500</v>
      </c>
      <c r="F80" s="5">
        <v>2500</v>
      </c>
      <c r="G80" s="5">
        <v>1750</v>
      </c>
      <c r="H80" s="4"/>
      <c r="I80" s="4" t="s">
        <v>158</v>
      </c>
      <c r="J80" s="4" t="s">
        <v>460</v>
      </c>
      <c r="K80" s="4" t="s">
        <v>11</v>
      </c>
      <c r="L80" s="4" t="s">
        <v>141</v>
      </c>
    </row>
    <row r="81" spans="1:12">
      <c r="A81" s="3">
        <v>44594.567708333336</v>
      </c>
      <c r="B81" s="4">
        <v>287834730</v>
      </c>
      <c r="C81" s="4" t="s">
        <v>275</v>
      </c>
      <c r="D81" s="4" t="s">
        <v>9</v>
      </c>
      <c r="E81" s="5">
        <v>2000</v>
      </c>
      <c r="F81" s="5">
        <v>2000</v>
      </c>
      <c r="G81" s="5">
        <v>1400</v>
      </c>
      <c r="H81" s="4"/>
      <c r="I81" s="4" t="s">
        <v>169</v>
      </c>
      <c r="J81" s="4" t="s">
        <v>460</v>
      </c>
      <c r="K81" s="4" t="s">
        <v>11</v>
      </c>
      <c r="L81" s="4" t="s">
        <v>206</v>
      </c>
    </row>
    <row r="82" spans="1:12">
      <c r="A82" s="3">
        <v>44594.577696759261</v>
      </c>
      <c r="B82" s="4">
        <v>286896672</v>
      </c>
      <c r="C82" s="4" t="s">
        <v>248</v>
      </c>
      <c r="D82" s="4" t="s">
        <v>9</v>
      </c>
      <c r="E82" s="5">
        <v>2500</v>
      </c>
      <c r="F82" s="5">
        <v>2500</v>
      </c>
      <c r="G82" s="5">
        <v>1750</v>
      </c>
      <c r="H82" s="4"/>
      <c r="I82" s="4" t="s">
        <v>158</v>
      </c>
      <c r="J82" s="4" t="s">
        <v>460</v>
      </c>
      <c r="K82" s="4" t="s">
        <v>11</v>
      </c>
      <c r="L82" s="4" t="s">
        <v>141</v>
      </c>
    </row>
    <row r="83" spans="1:12">
      <c r="A83" s="3">
        <v>44594.655335648145</v>
      </c>
      <c r="B83" s="4">
        <v>287834730</v>
      </c>
      <c r="C83" s="4" t="s">
        <v>275</v>
      </c>
      <c r="D83" s="4" t="s">
        <v>9</v>
      </c>
      <c r="E83" s="5">
        <v>2000</v>
      </c>
      <c r="F83" s="5">
        <v>2000</v>
      </c>
      <c r="G83" s="5">
        <v>1400</v>
      </c>
      <c r="H83" s="4"/>
      <c r="I83" s="4" t="s">
        <v>169</v>
      </c>
      <c r="J83" s="4" t="s">
        <v>460</v>
      </c>
      <c r="K83" s="4" t="s">
        <v>11</v>
      </c>
      <c r="L83" s="4" t="s">
        <v>206</v>
      </c>
    </row>
    <row r="84" spans="1:12">
      <c r="A84" s="3">
        <v>44594.657743055555</v>
      </c>
      <c r="B84" s="4">
        <v>287086652</v>
      </c>
      <c r="C84" s="4" t="s">
        <v>220</v>
      </c>
      <c r="D84" s="4" t="s">
        <v>9</v>
      </c>
      <c r="E84" s="5">
        <v>2000</v>
      </c>
      <c r="F84" s="5">
        <v>2000</v>
      </c>
      <c r="G84" s="5">
        <v>1400</v>
      </c>
      <c r="H84" s="4"/>
      <c r="I84" s="4" t="s">
        <v>162</v>
      </c>
      <c r="J84" s="4" t="s">
        <v>460</v>
      </c>
      <c r="K84" s="4" t="s">
        <v>11</v>
      </c>
      <c r="L84" s="4" t="s">
        <v>150</v>
      </c>
    </row>
    <row r="85" spans="1:12">
      <c r="A85" s="3">
        <v>44594.693530092591</v>
      </c>
      <c r="B85" s="4">
        <v>287834730</v>
      </c>
      <c r="C85" s="4" t="s">
        <v>275</v>
      </c>
      <c r="D85" s="4" t="s">
        <v>9</v>
      </c>
      <c r="E85" s="5">
        <v>2000</v>
      </c>
      <c r="F85" s="5">
        <v>2000</v>
      </c>
      <c r="G85" s="5">
        <v>1400</v>
      </c>
      <c r="H85" s="4"/>
      <c r="I85" s="4" t="s">
        <v>169</v>
      </c>
      <c r="J85" s="4" t="s">
        <v>460</v>
      </c>
      <c r="K85" s="4" t="s">
        <v>11</v>
      </c>
      <c r="L85" s="4" t="s">
        <v>206</v>
      </c>
    </row>
    <row r="86" spans="1:12">
      <c r="A86" s="3">
        <v>44594.694143518522</v>
      </c>
      <c r="B86" s="4">
        <v>287834730</v>
      </c>
      <c r="C86" s="4" t="s">
        <v>275</v>
      </c>
      <c r="D86" s="4" t="s">
        <v>9</v>
      </c>
      <c r="E86" s="5">
        <v>2000</v>
      </c>
      <c r="F86" s="5">
        <v>2000</v>
      </c>
      <c r="G86" s="5">
        <v>1400</v>
      </c>
      <c r="H86" s="4"/>
      <c r="I86" s="4" t="s">
        <v>169</v>
      </c>
      <c r="J86" s="4" t="s">
        <v>460</v>
      </c>
      <c r="K86" s="4" t="s">
        <v>11</v>
      </c>
      <c r="L86" s="4" t="s">
        <v>206</v>
      </c>
    </row>
    <row r="87" spans="1:12">
      <c r="A87" s="3">
        <v>44594.705196759256</v>
      </c>
      <c r="B87" s="4">
        <v>287834730</v>
      </c>
      <c r="C87" s="4" t="s">
        <v>275</v>
      </c>
      <c r="D87" s="4" t="s">
        <v>9</v>
      </c>
      <c r="E87" s="5">
        <v>2000</v>
      </c>
      <c r="F87" s="5">
        <v>2000</v>
      </c>
      <c r="G87" s="5">
        <v>1400</v>
      </c>
      <c r="H87" s="4"/>
      <c r="I87" s="4" t="s">
        <v>169</v>
      </c>
      <c r="J87" s="4" t="s">
        <v>460</v>
      </c>
      <c r="K87" s="4" t="s">
        <v>11</v>
      </c>
      <c r="L87" s="4" t="s">
        <v>206</v>
      </c>
    </row>
    <row r="88" spans="1:12">
      <c r="A88" s="3">
        <v>44594.713321759256</v>
      </c>
      <c r="B88" s="4">
        <v>287834730</v>
      </c>
      <c r="C88" s="4" t="s">
        <v>275</v>
      </c>
      <c r="D88" s="4" t="s">
        <v>9</v>
      </c>
      <c r="E88" s="5">
        <v>2000</v>
      </c>
      <c r="F88" s="5">
        <v>2000</v>
      </c>
      <c r="G88" s="5">
        <v>1400</v>
      </c>
      <c r="H88" s="4"/>
      <c r="I88" s="4" t="s">
        <v>169</v>
      </c>
      <c r="J88" s="4" t="s">
        <v>460</v>
      </c>
      <c r="K88" s="4" t="s">
        <v>11</v>
      </c>
      <c r="L88" s="4" t="s">
        <v>206</v>
      </c>
    </row>
    <row r="89" spans="1:12">
      <c r="A89" s="3">
        <v>44594.726944444446</v>
      </c>
      <c r="B89" s="4">
        <v>287086652</v>
      </c>
      <c r="C89" s="4" t="s">
        <v>220</v>
      </c>
      <c r="D89" s="4" t="s">
        <v>9</v>
      </c>
      <c r="E89" s="5">
        <v>2000</v>
      </c>
      <c r="F89" s="5">
        <v>2000</v>
      </c>
      <c r="G89" s="5">
        <v>1400</v>
      </c>
      <c r="H89" s="4"/>
      <c r="I89" s="4" t="s">
        <v>162</v>
      </c>
      <c r="J89" s="4" t="s">
        <v>460</v>
      </c>
      <c r="K89" s="4" t="s">
        <v>11</v>
      </c>
      <c r="L89" s="4" t="s">
        <v>150</v>
      </c>
    </row>
    <row r="90" spans="1:12">
      <c r="A90" s="3">
        <v>44594.748831018522</v>
      </c>
      <c r="B90" s="4">
        <v>287834730</v>
      </c>
      <c r="C90" s="4" t="s">
        <v>275</v>
      </c>
      <c r="D90" s="4" t="s">
        <v>9</v>
      </c>
      <c r="E90" s="5">
        <v>2000</v>
      </c>
      <c r="F90" s="5">
        <v>2000</v>
      </c>
      <c r="G90" s="5">
        <v>1400</v>
      </c>
      <c r="H90" s="4"/>
      <c r="I90" s="4" t="s">
        <v>169</v>
      </c>
      <c r="J90" s="4" t="s">
        <v>460</v>
      </c>
      <c r="K90" s="4" t="s">
        <v>11</v>
      </c>
      <c r="L90" s="4" t="s">
        <v>206</v>
      </c>
    </row>
    <row r="91" spans="1:12">
      <c r="A91" s="3">
        <v>44594.765659722223</v>
      </c>
      <c r="B91" s="4">
        <v>287834730</v>
      </c>
      <c r="C91" s="4" t="s">
        <v>275</v>
      </c>
      <c r="D91" s="4" t="s">
        <v>9</v>
      </c>
      <c r="E91" s="5">
        <v>2000</v>
      </c>
      <c r="F91" s="5">
        <v>2000</v>
      </c>
      <c r="G91" s="5">
        <v>1400</v>
      </c>
      <c r="H91" s="4"/>
      <c r="I91" s="4" t="s">
        <v>169</v>
      </c>
      <c r="J91" s="4" t="s">
        <v>460</v>
      </c>
      <c r="K91" s="4" t="s">
        <v>11</v>
      </c>
      <c r="L91" s="4" t="s">
        <v>206</v>
      </c>
    </row>
    <row r="92" spans="1:12">
      <c r="A92" s="3">
        <v>44594.77449074074</v>
      </c>
      <c r="B92" s="4">
        <v>287834730</v>
      </c>
      <c r="C92" s="4" t="s">
        <v>275</v>
      </c>
      <c r="D92" s="4" t="s">
        <v>9</v>
      </c>
      <c r="E92" s="5">
        <v>2000</v>
      </c>
      <c r="F92" s="5">
        <v>2000</v>
      </c>
      <c r="G92" s="5">
        <v>1400</v>
      </c>
      <c r="H92" s="4"/>
      <c r="I92" s="4" t="s">
        <v>169</v>
      </c>
      <c r="J92" s="4" t="s">
        <v>460</v>
      </c>
      <c r="K92" s="4" t="s">
        <v>11</v>
      </c>
      <c r="L92" s="4" t="s">
        <v>206</v>
      </c>
    </row>
    <row r="93" spans="1:12">
      <c r="A93" s="3">
        <v>44594.77753472222</v>
      </c>
      <c r="B93" s="4">
        <v>287834730</v>
      </c>
      <c r="C93" s="4" t="s">
        <v>275</v>
      </c>
      <c r="D93" s="4" t="s">
        <v>9</v>
      </c>
      <c r="E93" s="5">
        <v>2000</v>
      </c>
      <c r="F93" s="5">
        <v>2000</v>
      </c>
      <c r="G93" s="5">
        <v>1400</v>
      </c>
      <c r="H93" s="4"/>
      <c r="I93" s="4" t="s">
        <v>169</v>
      </c>
      <c r="J93" s="4" t="s">
        <v>460</v>
      </c>
      <c r="K93" s="4" t="s">
        <v>11</v>
      </c>
      <c r="L93" s="4" t="s">
        <v>206</v>
      </c>
    </row>
    <row r="94" spans="1:12">
      <c r="A94" s="3">
        <v>44594.789907407408</v>
      </c>
      <c r="B94" s="4">
        <v>287834730</v>
      </c>
      <c r="C94" s="4" t="s">
        <v>275</v>
      </c>
      <c r="D94" s="4" t="s">
        <v>9</v>
      </c>
      <c r="E94" s="5">
        <v>2000</v>
      </c>
      <c r="F94" s="5">
        <v>2000</v>
      </c>
      <c r="G94" s="5">
        <v>1400</v>
      </c>
      <c r="H94" s="4"/>
      <c r="I94" s="4" t="s">
        <v>169</v>
      </c>
      <c r="J94" s="4" t="s">
        <v>460</v>
      </c>
      <c r="K94" s="4" t="s">
        <v>11</v>
      </c>
      <c r="L94" s="4" t="s">
        <v>206</v>
      </c>
    </row>
    <row r="95" spans="1:12">
      <c r="A95" s="3">
        <v>44594.796840277777</v>
      </c>
      <c r="B95" s="4">
        <v>287834730</v>
      </c>
      <c r="C95" s="4" t="s">
        <v>275</v>
      </c>
      <c r="D95" s="4" t="s">
        <v>9</v>
      </c>
      <c r="E95" s="5">
        <v>2000</v>
      </c>
      <c r="F95" s="5">
        <v>2000</v>
      </c>
      <c r="G95" s="5">
        <v>1400</v>
      </c>
      <c r="H95" s="4"/>
      <c r="I95" s="4" t="s">
        <v>169</v>
      </c>
      <c r="J95" s="4" t="s">
        <v>460</v>
      </c>
      <c r="K95" s="4" t="s">
        <v>11</v>
      </c>
      <c r="L95" s="4" t="s">
        <v>206</v>
      </c>
    </row>
    <row r="96" spans="1:12">
      <c r="A96" s="3">
        <v>44594.804768518516</v>
      </c>
      <c r="B96" s="4">
        <v>287834730</v>
      </c>
      <c r="C96" s="4" t="s">
        <v>275</v>
      </c>
      <c r="D96" s="4" t="s">
        <v>9</v>
      </c>
      <c r="E96" s="5">
        <v>2000</v>
      </c>
      <c r="F96" s="5">
        <v>2000</v>
      </c>
      <c r="G96" s="5">
        <v>1400</v>
      </c>
      <c r="H96" s="4"/>
      <c r="I96" s="4" t="s">
        <v>169</v>
      </c>
      <c r="J96" s="4" t="s">
        <v>460</v>
      </c>
      <c r="K96" s="4" t="s">
        <v>11</v>
      </c>
      <c r="L96" s="4" t="s">
        <v>206</v>
      </c>
    </row>
    <row r="97" spans="1:12">
      <c r="A97" s="3">
        <v>44594.88013888889</v>
      </c>
      <c r="B97" s="4">
        <v>287834730</v>
      </c>
      <c r="C97" s="4" t="s">
        <v>275</v>
      </c>
      <c r="D97" s="4" t="s">
        <v>9</v>
      </c>
      <c r="E97" s="5">
        <v>2000</v>
      </c>
      <c r="F97" s="5">
        <v>2000</v>
      </c>
      <c r="G97" s="5">
        <v>1400</v>
      </c>
      <c r="H97" s="4"/>
      <c r="I97" s="4" t="s">
        <v>169</v>
      </c>
      <c r="J97" s="4" t="s">
        <v>460</v>
      </c>
      <c r="K97" s="4" t="s">
        <v>11</v>
      </c>
      <c r="L97" s="4" t="s">
        <v>206</v>
      </c>
    </row>
    <row r="98" spans="1:12">
      <c r="A98" s="3">
        <v>44594.888368055559</v>
      </c>
      <c r="B98" s="4">
        <v>287086652</v>
      </c>
      <c r="C98" s="4" t="s">
        <v>220</v>
      </c>
      <c r="D98" s="4" t="s">
        <v>9</v>
      </c>
      <c r="E98" s="5">
        <v>2000</v>
      </c>
      <c r="F98" s="5">
        <v>2000</v>
      </c>
      <c r="G98" s="5">
        <v>1400</v>
      </c>
      <c r="H98" s="4"/>
      <c r="I98" s="4" t="s">
        <v>162</v>
      </c>
      <c r="J98" s="4" t="s">
        <v>460</v>
      </c>
      <c r="K98" s="4" t="s">
        <v>11</v>
      </c>
      <c r="L98" s="4" t="s">
        <v>150</v>
      </c>
    </row>
    <row r="99" spans="1:12">
      <c r="A99" s="3">
        <v>44594.907870370371</v>
      </c>
      <c r="B99" s="4">
        <v>287834730</v>
      </c>
      <c r="C99" s="4" t="s">
        <v>275</v>
      </c>
      <c r="D99" s="4" t="s">
        <v>9</v>
      </c>
      <c r="E99" s="5">
        <v>2000</v>
      </c>
      <c r="F99" s="5">
        <v>2000</v>
      </c>
      <c r="G99" s="5">
        <v>1400</v>
      </c>
      <c r="H99" s="4"/>
      <c r="I99" s="4" t="s">
        <v>169</v>
      </c>
      <c r="J99" s="4" t="s">
        <v>460</v>
      </c>
      <c r="K99" s="4" t="s">
        <v>11</v>
      </c>
      <c r="L99" s="4" t="s">
        <v>206</v>
      </c>
    </row>
    <row r="100" spans="1:12">
      <c r="A100" s="3">
        <v>44594.909618055557</v>
      </c>
      <c r="B100" s="4">
        <v>287703886</v>
      </c>
      <c r="C100" s="4" t="s">
        <v>218</v>
      </c>
      <c r="D100" s="4" t="s">
        <v>9</v>
      </c>
      <c r="E100" s="5">
        <v>2500</v>
      </c>
      <c r="F100" s="5">
        <v>2500</v>
      </c>
      <c r="G100" s="5">
        <v>1750</v>
      </c>
      <c r="H100" s="4"/>
      <c r="I100" s="4" t="s">
        <v>167</v>
      </c>
      <c r="J100" s="4" t="s">
        <v>460</v>
      </c>
      <c r="K100" s="4" t="s">
        <v>11</v>
      </c>
      <c r="L100" s="4" t="s">
        <v>195</v>
      </c>
    </row>
    <row r="101" spans="1:12">
      <c r="A101" s="3">
        <v>44603.053483796299</v>
      </c>
      <c r="B101" s="4">
        <v>287703886</v>
      </c>
      <c r="C101" s="4" t="s">
        <v>218</v>
      </c>
      <c r="D101" s="4" t="s">
        <v>9</v>
      </c>
      <c r="E101" s="5">
        <v>-2500</v>
      </c>
      <c r="F101" s="5">
        <v>-2500</v>
      </c>
      <c r="G101" s="5">
        <v>-1750</v>
      </c>
      <c r="H101" s="3">
        <v>44594.909618055557</v>
      </c>
      <c r="I101" s="4" t="s">
        <v>167</v>
      </c>
      <c r="J101" s="4" t="s">
        <v>460</v>
      </c>
      <c r="K101" s="4" t="s">
        <v>11</v>
      </c>
      <c r="L101" s="4" t="s">
        <v>195</v>
      </c>
    </row>
    <row r="102" spans="1:12">
      <c r="A102" s="3">
        <v>44594.914965277778</v>
      </c>
      <c r="B102" s="4">
        <v>286896672</v>
      </c>
      <c r="C102" s="4" t="s">
        <v>248</v>
      </c>
      <c r="D102" s="4" t="s">
        <v>9</v>
      </c>
      <c r="E102" s="5">
        <v>2500</v>
      </c>
      <c r="F102" s="5">
        <v>2500</v>
      </c>
      <c r="G102" s="5">
        <v>1750</v>
      </c>
      <c r="H102" s="4"/>
      <c r="I102" s="4" t="s">
        <v>158</v>
      </c>
      <c r="J102" s="4" t="s">
        <v>460</v>
      </c>
      <c r="K102" s="4" t="s">
        <v>11</v>
      </c>
      <c r="L102" s="4" t="s">
        <v>141</v>
      </c>
    </row>
    <row r="103" spans="1:12">
      <c r="A103" s="3">
        <v>44594.918333333335</v>
      </c>
      <c r="B103" s="4">
        <v>287834730</v>
      </c>
      <c r="C103" s="4" t="s">
        <v>275</v>
      </c>
      <c r="D103" s="4" t="s">
        <v>9</v>
      </c>
      <c r="E103" s="5">
        <v>2000</v>
      </c>
      <c r="F103" s="5">
        <v>2000</v>
      </c>
      <c r="G103" s="5">
        <v>1400</v>
      </c>
      <c r="H103" s="4"/>
      <c r="I103" s="4" t="s">
        <v>169</v>
      </c>
      <c r="J103" s="4" t="s">
        <v>460</v>
      </c>
      <c r="K103" s="4" t="s">
        <v>11</v>
      </c>
      <c r="L103" s="4" t="s">
        <v>206</v>
      </c>
    </row>
    <row r="104" spans="1:12">
      <c r="A104" s="3">
        <v>44594.922731481478</v>
      </c>
      <c r="B104" s="4">
        <v>287834730</v>
      </c>
      <c r="C104" s="4" t="s">
        <v>275</v>
      </c>
      <c r="D104" s="4" t="s">
        <v>9</v>
      </c>
      <c r="E104" s="5">
        <v>2000</v>
      </c>
      <c r="F104" s="5">
        <v>2000</v>
      </c>
      <c r="G104" s="5">
        <v>1400</v>
      </c>
      <c r="H104" s="4"/>
      <c r="I104" s="4" t="s">
        <v>169</v>
      </c>
      <c r="J104" s="4" t="s">
        <v>460</v>
      </c>
      <c r="K104" s="4" t="s">
        <v>11</v>
      </c>
      <c r="L104" s="4" t="s">
        <v>206</v>
      </c>
    </row>
    <row r="105" spans="1:12">
      <c r="A105" s="3">
        <v>44594.922812500001</v>
      </c>
      <c r="B105" s="4">
        <v>287834730</v>
      </c>
      <c r="C105" s="4" t="s">
        <v>275</v>
      </c>
      <c r="D105" s="4" t="s">
        <v>9</v>
      </c>
      <c r="E105" s="5">
        <v>2000</v>
      </c>
      <c r="F105" s="5">
        <v>2000</v>
      </c>
      <c r="G105" s="5">
        <v>1400</v>
      </c>
      <c r="H105" s="4"/>
      <c r="I105" s="4" t="s">
        <v>169</v>
      </c>
      <c r="J105" s="4" t="s">
        <v>460</v>
      </c>
      <c r="K105" s="4" t="s">
        <v>11</v>
      </c>
      <c r="L105" s="4" t="s">
        <v>206</v>
      </c>
    </row>
    <row r="106" spans="1:12">
      <c r="A106" s="3">
        <v>44594.930324074077</v>
      </c>
      <c r="B106" s="4">
        <v>287834730</v>
      </c>
      <c r="C106" s="4" t="s">
        <v>275</v>
      </c>
      <c r="D106" s="4" t="s">
        <v>9</v>
      </c>
      <c r="E106" s="5">
        <v>2000</v>
      </c>
      <c r="F106" s="5">
        <v>2000</v>
      </c>
      <c r="G106" s="5">
        <v>1400</v>
      </c>
      <c r="H106" s="4"/>
      <c r="I106" s="4" t="s">
        <v>169</v>
      </c>
      <c r="J106" s="4" t="s">
        <v>460</v>
      </c>
      <c r="K106" s="4" t="s">
        <v>11</v>
      </c>
      <c r="L106" s="4" t="s">
        <v>206</v>
      </c>
    </row>
    <row r="107" spans="1:12">
      <c r="A107" s="3">
        <v>44594.933310185188</v>
      </c>
      <c r="B107" s="4">
        <v>287834730</v>
      </c>
      <c r="C107" s="4" t="s">
        <v>275</v>
      </c>
      <c r="D107" s="4" t="s">
        <v>9</v>
      </c>
      <c r="E107" s="5">
        <v>2000</v>
      </c>
      <c r="F107" s="5">
        <v>2000</v>
      </c>
      <c r="G107" s="5">
        <v>1400</v>
      </c>
      <c r="H107" s="4"/>
      <c r="I107" s="4" t="s">
        <v>169</v>
      </c>
      <c r="J107" s="4" t="s">
        <v>460</v>
      </c>
      <c r="K107" s="4" t="s">
        <v>11</v>
      </c>
      <c r="L107" s="4" t="s">
        <v>206</v>
      </c>
    </row>
    <row r="108" spans="1:12">
      <c r="A108" s="3">
        <v>44594.933518518519</v>
      </c>
      <c r="B108" s="4">
        <v>286896672</v>
      </c>
      <c r="C108" s="4" t="s">
        <v>248</v>
      </c>
      <c r="D108" s="4" t="s">
        <v>9</v>
      </c>
      <c r="E108" s="5">
        <v>2500</v>
      </c>
      <c r="F108" s="5">
        <v>2500</v>
      </c>
      <c r="G108" s="5">
        <v>1750</v>
      </c>
      <c r="H108" s="4"/>
      <c r="I108" s="4" t="s">
        <v>158</v>
      </c>
      <c r="J108" s="4" t="s">
        <v>460</v>
      </c>
      <c r="K108" s="4" t="s">
        <v>11</v>
      </c>
      <c r="L108" s="4" t="s">
        <v>141</v>
      </c>
    </row>
    <row r="109" spans="1:12">
      <c r="A109" s="3">
        <v>44594.938888888886</v>
      </c>
      <c r="B109" s="4">
        <v>287834730</v>
      </c>
      <c r="C109" s="4" t="s">
        <v>275</v>
      </c>
      <c r="D109" s="4" t="s">
        <v>9</v>
      </c>
      <c r="E109" s="5">
        <v>2000</v>
      </c>
      <c r="F109" s="5">
        <v>2000</v>
      </c>
      <c r="G109" s="5">
        <v>1400</v>
      </c>
      <c r="H109" s="4"/>
      <c r="I109" s="4" t="s">
        <v>169</v>
      </c>
      <c r="J109" s="4" t="s">
        <v>460</v>
      </c>
      <c r="K109" s="4" t="s">
        <v>11</v>
      </c>
      <c r="L109" s="4" t="s">
        <v>206</v>
      </c>
    </row>
    <row r="110" spans="1:12">
      <c r="A110" s="3">
        <v>44594.945138888892</v>
      </c>
      <c r="B110" s="4">
        <v>287086652</v>
      </c>
      <c r="C110" s="4" t="s">
        <v>220</v>
      </c>
      <c r="D110" s="4" t="s">
        <v>9</v>
      </c>
      <c r="E110" s="5">
        <v>2000</v>
      </c>
      <c r="F110" s="5">
        <v>2000</v>
      </c>
      <c r="G110" s="5">
        <v>1400</v>
      </c>
      <c r="H110" s="4"/>
      <c r="I110" s="4" t="s">
        <v>162</v>
      </c>
      <c r="J110" s="4" t="s">
        <v>460</v>
      </c>
      <c r="K110" s="4" t="s">
        <v>11</v>
      </c>
      <c r="L110" s="4" t="s">
        <v>150</v>
      </c>
    </row>
    <row r="111" spans="1:12">
      <c r="A111" s="3">
        <v>44594.969155092593</v>
      </c>
      <c r="B111" s="4">
        <v>286896672</v>
      </c>
      <c r="C111" s="4" t="s">
        <v>248</v>
      </c>
      <c r="D111" s="4" t="s">
        <v>9</v>
      </c>
      <c r="E111" s="5">
        <v>2500</v>
      </c>
      <c r="F111" s="5">
        <v>2500</v>
      </c>
      <c r="G111" s="5">
        <v>1750</v>
      </c>
      <c r="H111" s="4"/>
      <c r="I111" s="4" t="s">
        <v>158</v>
      </c>
      <c r="J111" s="4" t="s">
        <v>460</v>
      </c>
      <c r="K111" s="4" t="s">
        <v>11</v>
      </c>
      <c r="L111" s="4" t="s">
        <v>141</v>
      </c>
    </row>
    <row r="112" spans="1:12">
      <c r="A112" s="3">
        <v>44594.991284722222</v>
      </c>
      <c r="B112" s="4">
        <v>286896672</v>
      </c>
      <c r="C112" s="4" t="s">
        <v>248</v>
      </c>
      <c r="D112" s="4" t="s">
        <v>9</v>
      </c>
      <c r="E112" s="5">
        <v>2500</v>
      </c>
      <c r="F112" s="5">
        <v>2500</v>
      </c>
      <c r="G112" s="5">
        <v>1750</v>
      </c>
      <c r="H112" s="4"/>
      <c r="I112" s="4" t="s">
        <v>158</v>
      </c>
      <c r="J112" s="4" t="s">
        <v>460</v>
      </c>
      <c r="K112" s="4" t="s">
        <v>11</v>
      </c>
      <c r="L112" s="4" t="s">
        <v>141</v>
      </c>
    </row>
    <row r="113" spans="1:12">
      <c r="A113" s="3">
        <v>44594.992291666669</v>
      </c>
      <c r="B113" s="4">
        <v>287834730</v>
      </c>
      <c r="C113" s="4" t="s">
        <v>275</v>
      </c>
      <c r="D113" s="4" t="s">
        <v>9</v>
      </c>
      <c r="E113" s="5">
        <v>2000</v>
      </c>
      <c r="F113" s="5">
        <v>2000</v>
      </c>
      <c r="G113" s="5">
        <v>1400</v>
      </c>
      <c r="H113" s="4"/>
      <c r="I113" s="4" t="s">
        <v>169</v>
      </c>
      <c r="J113" s="4" t="s">
        <v>460</v>
      </c>
      <c r="K113" s="4" t="s">
        <v>11</v>
      </c>
      <c r="L113" s="4" t="s">
        <v>206</v>
      </c>
    </row>
    <row r="114" spans="1:12">
      <c r="A114" s="3">
        <v>44594.994351851848</v>
      </c>
      <c r="B114" s="4">
        <v>287834730</v>
      </c>
      <c r="C114" s="4" t="s">
        <v>275</v>
      </c>
      <c r="D114" s="4" t="s">
        <v>9</v>
      </c>
      <c r="E114" s="5">
        <v>2000</v>
      </c>
      <c r="F114" s="5">
        <v>2000</v>
      </c>
      <c r="G114" s="5">
        <v>1400</v>
      </c>
      <c r="H114" s="4"/>
      <c r="I114" s="4" t="s">
        <v>169</v>
      </c>
      <c r="J114" s="4" t="s">
        <v>460</v>
      </c>
      <c r="K114" s="4" t="s">
        <v>11</v>
      </c>
      <c r="L114" s="4" t="s">
        <v>206</v>
      </c>
    </row>
    <row r="115" spans="1:12">
      <c r="A115" s="3">
        <v>44594.998877314814</v>
      </c>
      <c r="B115" s="4">
        <v>287834730</v>
      </c>
      <c r="C115" s="4" t="s">
        <v>275</v>
      </c>
      <c r="D115" s="4" t="s">
        <v>9</v>
      </c>
      <c r="E115" s="5">
        <v>2000</v>
      </c>
      <c r="F115" s="5">
        <v>2000</v>
      </c>
      <c r="G115" s="5">
        <v>1400</v>
      </c>
      <c r="H115" s="4"/>
      <c r="I115" s="4" t="s">
        <v>169</v>
      </c>
      <c r="J115" s="4" t="s">
        <v>460</v>
      </c>
      <c r="K115" s="4" t="s">
        <v>11</v>
      </c>
      <c r="L115" s="4" t="s">
        <v>206</v>
      </c>
    </row>
    <row r="116" spans="1:12">
      <c r="A116" s="3">
        <v>44595.051249999997</v>
      </c>
      <c r="B116" s="4">
        <v>287834730</v>
      </c>
      <c r="C116" s="4" t="s">
        <v>275</v>
      </c>
      <c r="D116" s="4" t="s">
        <v>9</v>
      </c>
      <c r="E116" s="5">
        <v>2000</v>
      </c>
      <c r="F116" s="5">
        <v>2000</v>
      </c>
      <c r="G116" s="5">
        <v>1400</v>
      </c>
      <c r="H116" s="4"/>
      <c r="I116" s="4" t="s">
        <v>169</v>
      </c>
      <c r="J116" s="4" t="s">
        <v>460</v>
      </c>
      <c r="K116" s="4" t="s">
        <v>11</v>
      </c>
      <c r="L116" s="4" t="s">
        <v>206</v>
      </c>
    </row>
    <row r="117" spans="1:12">
      <c r="A117" s="3">
        <v>44595.054583333331</v>
      </c>
      <c r="B117" s="4">
        <v>287086652</v>
      </c>
      <c r="C117" s="4" t="s">
        <v>220</v>
      </c>
      <c r="D117" s="4" t="s">
        <v>9</v>
      </c>
      <c r="E117" s="5">
        <v>2000</v>
      </c>
      <c r="F117" s="5">
        <v>2000</v>
      </c>
      <c r="G117" s="5">
        <v>1400</v>
      </c>
      <c r="H117" s="4"/>
      <c r="I117" s="4" t="s">
        <v>162</v>
      </c>
      <c r="J117" s="4" t="s">
        <v>460</v>
      </c>
      <c r="K117" s="4" t="s">
        <v>11</v>
      </c>
      <c r="L117" s="4" t="s">
        <v>150</v>
      </c>
    </row>
    <row r="118" spans="1:12">
      <c r="A118" s="3">
        <v>44595.075578703705</v>
      </c>
      <c r="B118" s="4">
        <v>287834730</v>
      </c>
      <c r="C118" s="4" t="s">
        <v>275</v>
      </c>
      <c r="D118" s="4" t="s">
        <v>9</v>
      </c>
      <c r="E118" s="5">
        <v>2000</v>
      </c>
      <c r="F118" s="5">
        <v>2000</v>
      </c>
      <c r="G118" s="5">
        <v>1400</v>
      </c>
      <c r="H118" s="4"/>
      <c r="I118" s="4" t="s">
        <v>169</v>
      </c>
      <c r="J118" s="4" t="s">
        <v>460</v>
      </c>
      <c r="K118" s="4" t="s">
        <v>11</v>
      </c>
      <c r="L118" s="4" t="s">
        <v>206</v>
      </c>
    </row>
    <row r="119" spans="1:12">
      <c r="A119" s="3">
        <v>44595.097442129627</v>
      </c>
      <c r="B119" s="4">
        <v>287834730</v>
      </c>
      <c r="C119" s="4" t="s">
        <v>275</v>
      </c>
      <c r="D119" s="4" t="s">
        <v>9</v>
      </c>
      <c r="E119" s="5">
        <v>2000</v>
      </c>
      <c r="F119" s="5">
        <v>2000</v>
      </c>
      <c r="G119" s="5">
        <v>1400</v>
      </c>
      <c r="H119" s="4"/>
      <c r="I119" s="4" t="s">
        <v>169</v>
      </c>
      <c r="J119" s="4" t="s">
        <v>460</v>
      </c>
      <c r="K119" s="4" t="s">
        <v>11</v>
      </c>
      <c r="L119" s="4" t="s">
        <v>206</v>
      </c>
    </row>
    <row r="120" spans="1:12">
      <c r="A120" s="3">
        <v>44595.164687500001</v>
      </c>
      <c r="B120" s="4">
        <v>287834730</v>
      </c>
      <c r="C120" s="4" t="s">
        <v>275</v>
      </c>
      <c r="D120" s="4" t="s">
        <v>9</v>
      </c>
      <c r="E120" s="5">
        <v>2000</v>
      </c>
      <c r="F120" s="5">
        <v>2000</v>
      </c>
      <c r="G120" s="5">
        <v>1400</v>
      </c>
      <c r="H120" s="4"/>
      <c r="I120" s="4" t="s">
        <v>169</v>
      </c>
      <c r="J120" s="4" t="s">
        <v>460</v>
      </c>
      <c r="K120" s="4" t="s">
        <v>11</v>
      </c>
      <c r="L120" s="4" t="s">
        <v>206</v>
      </c>
    </row>
    <row r="121" spans="1:12">
      <c r="A121" s="3">
        <v>44595.180925925924</v>
      </c>
      <c r="B121" s="4">
        <v>286405921</v>
      </c>
      <c r="C121" s="4" t="s">
        <v>245</v>
      </c>
      <c r="D121" s="4" t="s">
        <v>9</v>
      </c>
      <c r="E121" s="5">
        <v>2500</v>
      </c>
      <c r="F121" s="5">
        <v>2500</v>
      </c>
      <c r="G121" s="5">
        <v>1750</v>
      </c>
      <c r="H121" s="4"/>
      <c r="I121" s="4" t="s">
        <v>221</v>
      </c>
      <c r="J121" s="4" t="s">
        <v>460</v>
      </c>
      <c r="K121" s="4" t="s">
        <v>11</v>
      </c>
      <c r="L121" s="4" t="s">
        <v>137</v>
      </c>
    </row>
    <row r="122" spans="1:12">
      <c r="A122" s="3">
        <v>44595.252615740741</v>
      </c>
      <c r="B122" s="4">
        <v>287834730</v>
      </c>
      <c r="C122" s="4" t="s">
        <v>275</v>
      </c>
      <c r="D122" s="4" t="s">
        <v>9</v>
      </c>
      <c r="E122" s="5">
        <v>2000</v>
      </c>
      <c r="F122" s="5">
        <v>2000</v>
      </c>
      <c r="G122" s="5">
        <v>1400</v>
      </c>
      <c r="H122" s="4"/>
      <c r="I122" s="4" t="s">
        <v>169</v>
      </c>
      <c r="J122" s="4" t="s">
        <v>460</v>
      </c>
      <c r="K122" s="4" t="s">
        <v>11</v>
      </c>
      <c r="L122" s="4" t="s">
        <v>206</v>
      </c>
    </row>
    <row r="123" spans="1:12">
      <c r="A123" s="3">
        <v>44595.287974537037</v>
      </c>
      <c r="B123" s="4">
        <v>287834730</v>
      </c>
      <c r="C123" s="4" t="s">
        <v>275</v>
      </c>
      <c r="D123" s="4" t="s">
        <v>9</v>
      </c>
      <c r="E123" s="5">
        <v>2000</v>
      </c>
      <c r="F123" s="5">
        <v>2000</v>
      </c>
      <c r="G123" s="5">
        <v>1400</v>
      </c>
      <c r="H123" s="4"/>
      <c r="I123" s="4" t="s">
        <v>169</v>
      </c>
      <c r="J123" s="4" t="s">
        <v>460</v>
      </c>
      <c r="K123" s="4" t="s">
        <v>11</v>
      </c>
      <c r="L123" s="4" t="s">
        <v>206</v>
      </c>
    </row>
    <row r="124" spans="1:12">
      <c r="A124" s="3">
        <v>44595.365243055552</v>
      </c>
      <c r="B124" s="4">
        <v>287086652</v>
      </c>
      <c r="C124" s="4" t="s">
        <v>220</v>
      </c>
      <c r="D124" s="4" t="s">
        <v>9</v>
      </c>
      <c r="E124" s="5">
        <v>2000</v>
      </c>
      <c r="F124" s="5">
        <v>2000</v>
      </c>
      <c r="G124" s="5">
        <v>1400</v>
      </c>
      <c r="H124" s="4"/>
      <c r="I124" s="4" t="s">
        <v>162</v>
      </c>
      <c r="J124" s="4" t="s">
        <v>460</v>
      </c>
      <c r="K124" s="4" t="s">
        <v>11</v>
      </c>
      <c r="L124" s="4" t="s">
        <v>150</v>
      </c>
    </row>
    <row r="125" spans="1:12">
      <c r="A125" s="3">
        <v>44595.523287037038</v>
      </c>
      <c r="B125" s="4">
        <v>287834730</v>
      </c>
      <c r="C125" s="4" t="s">
        <v>275</v>
      </c>
      <c r="D125" s="4" t="s">
        <v>9</v>
      </c>
      <c r="E125" s="5">
        <v>2000</v>
      </c>
      <c r="F125" s="5">
        <v>2000</v>
      </c>
      <c r="G125" s="5">
        <v>1400</v>
      </c>
      <c r="H125" s="4"/>
      <c r="I125" s="4" t="s">
        <v>169</v>
      </c>
      <c r="J125" s="4" t="s">
        <v>460</v>
      </c>
      <c r="K125" s="4" t="s">
        <v>11</v>
      </c>
      <c r="L125" s="4" t="s">
        <v>206</v>
      </c>
    </row>
    <row r="126" spans="1:12">
      <c r="A126" s="3">
        <v>44595.61478009259</v>
      </c>
      <c r="B126" s="4">
        <v>287834730</v>
      </c>
      <c r="C126" s="4" t="s">
        <v>275</v>
      </c>
      <c r="D126" s="4" t="s">
        <v>9</v>
      </c>
      <c r="E126" s="5">
        <v>2000</v>
      </c>
      <c r="F126" s="5">
        <v>2000</v>
      </c>
      <c r="G126" s="5">
        <v>1400</v>
      </c>
      <c r="H126" s="4"/>
      <c r="I126" s="4" t="s">
        <v>169</v>
      </c>
      <c r="J126" s="4" t="s">
        <v>460</v>
      </c>
      <c r="K126" s="4" t="s">
        <v>11</v>
      </c>
      <c r="L126" s="4" t="s">
        <v>206</v>
      </c>
    </row>
    <row r="127" spans="1:12">
      <c r="A127" s="3">
        <v>44595.659525462965</v>
      </c>
      <c r="B127" s="4">
        <v>287834730</v>
      </c>
      <c r="C127" s="4" t="s">
        <v>275</v>
      </c>
      <c r="D127" s="4" t="s">
        <v>9</v>
      </c>
      <c r="E127" s="5">
        <v>2000</v>
      </c>
      <c r="F127" s="5">
        <v>2000</v>
      </c>
      <c r="G127" s="5">
        <v>1400</v>
      </c>
      <c r="H127" s="4"/>
      <c r="I127" s="4" t="s">
        <v>169</v>
      </c>
      <c r="J127" s="4" t="s">
        <v>460</v>
      </c>
      <c r="K127" s="4" t="s">
        <v>11</v>
      </c>
      <c r="L127" s="4" t="s">
        <v>206</v>
      </c>
    </row>
    <row r="128" spans="1:12">
      <c r="A128" s="3">
        <v>44595.659525462965</v>
      </c>
      <c r="B128" s="4">
        <v>286896672</v>
      </c>
      <c r="C128" s="4" t="s">
        <v>248</v>
      </c>
      <c r="D128" s="4" t="s">
        <v>9</v>
      </c>
      <c r="E128" s="5">
        <v>2500</v>
      </c>
      <c r="F128" s="5">
        <v>2500</v>
      </c>
      <c r="G128" s="5">
        <v>1750</v>
      </c>
      <c r="H128" s="4"/>
      <c r="I128" s="4" t="s">
        <v>158</v>
      </c>
      <c r="J128" s="4" t="s">
        <v>460</v>
      </c>
      <c r="K128" s="4" t="s">
        <v>11</v>
      </c>
      <c r="L128" s="4" t="s">
        <v>141</v>
      </c>
    </row>
    <row r="129" spans="1:12">
      <c r="A129" s="3">
        <v>44595.694571759261</v>
      </c>
      <c r="B129" s="4">
        <v>287834730</v>
      </c>
      <c r="C129" s="4" t="s">
        <v>275</v>
      </c>
      <c r="D129" s="4" t="s">
        <v>9</v>
      </c>
      <c r="E129" s="5">
        <v>2000</v>
      </c>
      <c r="F129" s="5">
        <v>2000</v>
      </c>
      <c r="G129" s="5">
        <v>1400</v>
      </c>
      <c r="H129" s="4"/>
      <c r="I129" s="4" t="s">
        <v>169</v>
      </c>
      <c r="J129" s="4" t="s">
        <v>460</v>
      </c>
      <c r="K129" s="4" t="s">
        <v>11</v>
      </c>
      <c r="L129" s="4" t="s">
        <v>206</v>
      </c>
    </row>
    <row r="130" spans="1:12">
      <c r="A130" s="3">
        <v>44595.706307870372</v>
      </c>
      <c r="B130" s="4">
        <v>287834730</v>
      </c>
      <c r="C130" s="4" t="s">
        <v>275</v>
      </c>
      <c r="D130" s="4" t="s">
        <v>9</v>
      </c>
      <c r="E130" s="5">
        <v>2000</v>
      </c>
      <c r="F130" s="5">
        <v>2000</v>
      </c>
      <c r="G130" s="5">
        <v>1400</v>
      </c>
      <c r="H130" s="4"/>
      <c r="I130" s="4" t="s">
        <v>169</v>
      </c>
      <c r="J130" s="4" t="s">
        <v>460</v>
      </c>
      <c r="K130" s="4" t="s">
        <v>11</v>
      </c>
      <c r="L130" s="4" t="s">
        <v>206</v>
      </c>
    </row>
    <row r="131" spans="1:12">
      <c r="A131" s="3">
        <v>44595.726053240738</v>
      </c>
      <c r="B131" s="4">
        <v>287834730</v>
      </c>
      <c r="C131" s="4" t="s">
        <v>275</v>
      </c>
      <c r="D131" s="4" t="s">
        <v>9</v>
      </c>
      <c r="E131" s="5">
        <v>2000</v>
      </c>
      <c r="F131" s="5">
        <v>2000</v>
      </c>
      <c r="G131" s="5">
        <v>1400</v>
      </c>
      <c r="H131" s="4"/>
      <c r="I131" s="4" t="s">
        <v>169</v>
      </c>
      <c r="J131" s="4" t="s">
        <v>460</v>
      </c>
      <c r="K131" s="4" t="s">
        <v>11</v>
      </c>
      <c r="L131" s="4" t="s">
        <v>206</v>
      </c>
    </row>
    <row r="132" spans="1:12">
      <c r="A132" s="3">
        <v>44595.732534722221</v>
      </c>
      <c r="B132" s="4">
        <v>287834730</v>
      </c>
      <c r="C132" s="4" t="s">
        <v>275</v>
      </c>
      <c r="D132" s="4" t="s">
        <v>9</v>
      </c>
      <c r="E132" s="5">
        <v>2000</v>
      </c>
      <c r="F132" s="5">
        <v>2000</v>
      </c>
      <c r="G132" s="5">
        <v>1400</v>
      </c>
      <c r="H132" s="4"/>
      <c r="I132" s="4" t="s">
        <v>169</v>
      </c>
      <c r="J132" s="4" t="s">
        <v>460</v>
      </c>
      <c r="K132" s="4" t="s">
        <v>11</v>
      </c>
      <c r="L132" s="4" t="s">
        <v>206</v>
      </c>
    </row>
    <row r="133" spans="1:12">
      <c r="A133" s="3">
        <v>44595.759918981479</v>
      </c>
      <c r="B133" s="4">
        <v>287834730</v>
      </c>
      <c r="C133" s="4" t="s">
        <v>275</v>
      </c>
      <c r="D133" s="4" t="s">
        <v>9</v>
      </c>
      <c r="E133" s="5">
        <v>2000</v>
      </c>
      <c r="F133" s="5">
        <v>2000</v>
      </c>
      <c r="G133" s="5">
        <v>1400</v>
      </c>
      <c r="H133" s="4"/>
      <c r="I133" s="4" t="s">
        <v>169</v>
      </c>
      <c r="J133" s="4" t="s">
        <v>460</v>
      </c>
      <c r="K133" s="4" t="s">
        <v>11</v>
      </c>
      <c r="L133" s="4" t="s">
        <v>206</v>
      </c>
    </row>
    <row r="134" spans="1:12">
      <c r="A134" s="3">
        <v>44595.780289351853</v>
      </c>
      <c r="B134" s="4">
        <v>287834730</v>
      </c>
      <c r="C134" s="4" t="s">
        <v>275</v>
      </c>
      <c r="D134" s="4" t="s">
        <v>9</v>
      </c>
      <c r="E134" s="5">
        <v>2000</v>
      </c>
      <c r="F134" s="5">
        <v>2000</v>
      </c>
      <c r="G134" s="5">
        <v>1400</v>
      </c>
      <c r="H134" s="4"/>
      <c r="I134" s="4" t="s">
        <v>169</v>
      </c>
      <c r="J134" s="4" t="s">
        <v>460</v>
      </c>
      <c r="K134" s="4" t="s">
        <v>11</v>
      </c>
      <c r="L134" s="4" t="s">
        <v>206</v>
      </c>
    </row>
    <row r="135" spans="1:12">
      <c r="A135" s="3">
        <v>44595.841782407406</v>
      </c>
      <c r="B135" s="4">
        <v>287366429</v>
      </c>
      <c r="C135" s="4" t="s">
        <v>225</v>
      </c>
      <c r="D135" s="4" t="s">
        <v>9</v>
      </c>
      <c r="E135" s="5">
        <v>2000</v>
      </c>
      <c r="F135" s="5">
        <v>2000</v>
      </c>
      <c r="G135" s="5">
        <v>1400</v>
      </c>
      <c r="H135" s="4"/>
      <c r="I135" s="4" t="s">
        <v>166</v>
      </c>
      <c r="J135" s="4" t="s">
        <v>460</v>
      </c>
      <c r="K135" s="4" t="s">
        <v>11</v>
      </c>
      <c r="L135" s="4" t="s">
        <v>152</v>
      </c>
    </row>
    <row r="136" spans="1:12">
      <c r="A136" s="3">
        <v>44595.869872685187</v>
      </c>
      <c r="B136" s="4">
        <v>287834730</v>
      </c>
      <c r="C136" s="4" t="s">
        <v>275</v>
      </c>
      <c r="D136" s="4" t="s">
        <v>9</v>
      </c>
      <c r="E136" s="5">
        <v>2000</v>
      </c>
      <c r="F136" s="5">
        <v>2000</v>
      </c>
      <c r="G136" s="5">
        <v>1400</v>
      </c>
      <c r="H136" s="4"/>
      <c r="I136" s="4" t="s">
        <v>169</v>
      </c>
      <c r="J136" s="4" t="s">
        <v>460</v>
      </c>
      <c r="K136" s="4" t="s">
        <v>11</v>
      </c>
      <c r="L136" s="4" t="s">
        <v>206</v>
      </c>
    </row>
    <row r="137" spans="1:12">
      <c r="A137" s="3">
        <v>44595.872777777775</v>
      </c>
      <c r="B137" s="4">
        <v>287834730</v>
      </c>
      <c r="C137" s="4" t="s">
        <v>275</v>
      </c>
      <c r="D137" s="4" t="s">
        <v>9</v>
      </c>
      <c r="E137" s="5">
        <v>2000</v>
      </c>
      <c r="F137" s="5">
        <v>2000</v>
      </c>
      <c r="G137" s="5">
        <v>1400</v>
      </c>
      <c r="H137" s="4"/>
      <c r="I137" s="4" t="s">
        <v>169</v>
      </c>
      <c r="J137" s="4" t="s">
        <v>460</v>
      </c>
      <c r="K137" s="4" t="s">
        <v>11</v>
      </c>
      <c r="L137" s="4" t="s">
        <v>206</v>
      </c>
    </row>
    <row r="138" spans="1:12">
      <c r="A138" s="3">
        <v>44595.915949074071</v>
      </c>
      <c r="B138" s="4">
        <v>287834730</v>
      </c>
      <c r="C138" s="4" t="s">
        <v>275</v>
      </c>
      <c r="D138" s="4" t="s">
        <v>9</v>
      </c>
      <c r="E138" s="5">
        <v>2000</v>
      </c>
      <c r="F138" s="5">
        <v>2000</v>
      </c>
      <c r="G138" s="5">
        <v>1400</v>
      </c>
      <c r="H138" s="4"/>
      <c r="I138" s="4" t="s">
        <v>169</v>
      </c>
      <c r="J138" s="4" t="s">
        <v>460</v>
      </c>
      <c r="K138" s="4" t="s">
        <v>11</v>
      </c>
      <c r="L138" s="4" t="s">
        <v>206</v>
      </c>
    </row>
    <row r="139" spans="1:12">
      <c r="A139" s="3">
        <v>44595.928298611114</v>
      </c>
      <c r="B139" s="4">
        <v>287834730</v>
      </c>
      <c r="C139" s="4" t="s">
        <v>275</v>
      </c>
      <c r="D139" s="4" t="s">
        <v>9</v>
      </c>
      <c r="E139" s="5">
        <v>2000</v>
      </c>
      <c r="F139" s="5">
        <v>2000</v>
      </c>
      <c r="G139" s="5">
        <v>1400</v>
      </c>
      <c r="H139" s="4"/>
      <c r="I139" s="4" t="s">
        <v>169</v>
      </c>
      <c r="J139" s="4" t="s">
        <v>460</v>
      </c>
      <c r="K139" s="4" t="s">
        <v>11</v>
      </c>
      <c r="L139" s="4" t="s">
        <v>206</v>
      </c>
    </row>
    <row r="140" spans="1:12">
      <c r="A140" s="3">
        <v>44595.94153935185</v>
      </c>
      <c r="B140" s="4">
        <v>286896672</v>
      </c>
      <c r="C140" s="4" t="s">
        <v>248</v>
      </c>
      <c r="D140" s="4" t="s">
        <v>9</v>
      </c>
      <c r="E140" s="5">
        <v>2500</v>
      </c>
      <c r="F140" s="5">
        <v>2500</v>
      </c>
      <c r="G140" s="5">
        <v>1750</v>
      </c>
      <c r="H140" s="4"/>
      <c r="I140" s="4" t="s">
        <v>158</v>
      </c>
      <c r="J140" s="4" t="s">
        <v>460</v>
      </c>
      <c r="K140" s="4" t="s">
        <v>11</v>
      </c>
      <c r="L140" s="4" t="s">
        <v>141</v>
      </c>
    </row>
    <row r="141" spans="1:12">
      <c r="A141" s="3">
        <v>44595.953969907408</v>
      </c>
      <c r="B141" s="4">
        <v>287834730</v>
      </c>
      <c r="C141" s="4" t="s">
        <v>275</v>
      </c>
      <c r="D141" s="4" t="s">
        <v>9</v>
      </c>
      <c r="E141" s="5">
        <v>2000</v>
      </c>
      <c r="F141" s="5">
        <v>2000</v>
      </c>
      <c r="G141" s="5">
        <v>1400</v>
      </c>
      <c r="H141" s="4"/>
      <c r="I141" s="4" t="s">
        <v>169</v>
      </c>
      <c r="J141" s="4" t="s">
        <v>460</v>
      </c>
      <c r="K141" s="4" t="s">
        <v>11</v>
      </c>
      <c r="L141" s="4" t="s">
        <v>206</v>
      </c>
    </row>
    <row r="142" spans="1:12">
      <c r="A142" s="3">
        <v>44595.993252314816</v>
      </c>
      <c r="B142" s="4">
        <v>287834730</v>
      </c>
      <c r="C142" s="4" t="s">
        <v>275</v>
      </c>
      <c r="D142" s="4" t="s">
        <v>9</v>
      </c>
      <c r="E142" s="5">
        <v>2000</v>
      </c>
      <c r="F142" s="5">
        <v>2000</v>
      </c>
      <c r="G142" s="5">
        <v>1400</v>
      </c>
      <c r="H142" s="4"/>
      <c r="I142" s="4" t="s">
        <v>169</v>
      </c>
      <c r="J142" s="4" t="s">
        <v>460</v>
      </c>
      <c r="K142" s="4" t="s">
        <v>11</v>
      </c>
      <c r="L142" s="4" t="s">
        <v>206</v>
      </c>
    </row>
    <row r="143" spans="1:12">
      <c r="A143" s="3">
        <v>44595.993576388886</v>
      </c>
      <c r="B143" s="4">
        <v>287834730</v>
      </c>
      <c r="C143" s="4" t="s">
        <v>275</v>
      </c>
      <c r="D143" s="4" t="s">
        <v>9</v>
      </c>
      <c r="E143" s="5">
        <v>2000</v>
      </c>
      <c r="F143" s="5">
        <v>2000</v>
      </c>
      <c r="G143" s="5">
        <v>1400</v>
      </c>
      <c r="H143" s="4"/>
      <c r="I143" s="4" t="s">
        <v>169</v>
      </c>
      <c r="J143" s="4" t="s">
        <v>460</v>
      </c>
      <c r="K143" s="4" t="s">
        <v>11</v>
      </c>
      <c r="L143" s="4" t="s">
        <v>206</v>
      </c>
    </row>
    <row r="144" spans="1:12">
      <c r="A144" s="3">
        <v>44596.014270833337</v>
      </c>
      <c r="B144" s="4">
        <v>287834730</v>
      </c>
      <c r="C144" s="4" t="s">
        <v>275</v>
      </c>
      <c r="D144" s="4" t="s">
        <v>9</v>
      </c>
      <c r="E144" s="5">
        <v>2000</v>
      </c>
      <c r="F144" s="5">
        <v>2000</v>
      </c>
      <c r="G144" s="5">
        <v>1400</v>
      </c>
      <c r="H144" s="4"/>
      <c r="I144" s="4" t="s">
        <v>169</v>
      </c>
      <c r="J144" s="4" t="s">
        <v>460</v>
      </c>
      <c r="K144" s="4" t="s">
        <v>11</v>
      </c>
      <c r="L144" s="4" t="s">
        <v>206</v>
      </c>
    </row>
    <row r="145" spans="1:12">
      <c r="A145" s="3">
        <v>44596.019918981481</v>
      </c>
      <c r="B145" s="4">
        <v>287834730</v>
      </c>
      <c r="C145" s="4" t="s">
        <v>275</v>
      </c>
      <c r="D145" s="4" t="s">
        <v>9</v>
      </c>
      <c r="E145" s="5">
        <v>2000</v>
      </c>
      <c r="F145" s="5">
        <v>2000</v>
      </c>
      <c r="G145" s="5">
        <v>1400</v>
      </c>
      <c r="H145" s="4"/>
      <c r="I145" s="4" t="s">
        <v>169</v>
      </c>
      <c r="J145" s="4" t="s">
        <v>460</v>
      </c>
      <c r="K145" s="4" t="s">
        <v>11</v>
      </c>
      <c r="L145" s="4" t="s">
        <v>206</v>
      </c>
    </row>
    <row r="146" spans="1:12">
      <c r="A146" s="3">
        <v>44596.025023148148</v>
      </c>
      <c r="B146" s="4">
        <v>287086652</v>
      </c>
      <c r="C146" s="4" t="s">
        <v>220</v>
      </c>
      <c r="D146" s="4" t="s">
        <v>9</v>
      </c>
      <c r="E146" s="5">
        <v>2000</v>
      </c>
      <c r="F146" s="5">
        <v>2000</v>
      </c>
      <c r="G146" s="5">
        <v>1400</v>
      </c>
      <c r="H146" s="4"/>
      <c r="I146" s="4" t="s">
        <v>162</v>
      </c>
      <c r="J146" s="4" t="s">
        <v>460</v>
      </c>
      <c r="K146" s="4" t="s">
        <v>11</v>
      </c>
      <c r="L146" s="4" t="s">
        <v>150</v>
      </c>
    </row>
    <row r="147" spans="1:12">
      <c r="A147" s="3">
        <v>44596.031099537038</v>
      </c>
      <c r="B147" s="4">
        <v>287834730</v>
      </c>
      <c r="C147" s="4" t="s">
        <v>275</v>
      </c>
      <c r="D147" s="4" t="s">
        <v>9</v>
      </c>
      <c r="E147" s="5">
        <v>2000</v>
      </c>
      <c r="F147" s="5">
        <v>2000</v>
      </c>
      <c r="G147" s="5">
        <v>1400</v>
      </c>
      <c r="H147" s="4"/>
      <c r="I147" s="4" t="s">
        <v>169</v>
      </c>
      <c r="J147" s="4" t="s">
        <v>460</v>
      </c>
      <c r="K147" s="4" t="s">
        <v>11</v>
      </c>
      <c r="L147" s="4" t="s">
        <v>206</v>
      </c>
    </row>
    <row r="148" spans="1:12">
      <c r="A148" s="3">
        <v>44596.050185185188</v>
      </c>
      <c r="B148" s="4">
        <v>287834730</v>
      </c>
      <c r="C148" s="4" t="s">
        <v>275</v>
      </c>
      <c r="D148" s="4" t="s">
        <v>9</v>
      </c>
      <c r="E148" s="5">
        <v>2000</v>
      </c>
      <c r="F148" s="5">
        <v>2000</v>
      </c>
      <c r="G148" s="5">
        <v>1400</v>
      </c>
      <c r="H148" s="4"/>
      <c r="I148" s="4" t="s">
        <v>169</v>
      </c>
      <c r="J148" s="4" t="s">
        <v>460</v>
      </c>
      <c r="K148" s="4" t="s">
        <v>11</v>
      </c>
      <c r="L148" s="4" t="s">
        <v>206</v>
      </c>
    </row>
    <row r="149" spans="1:12">
      <c r="A149" s="3">
        <v>44596.050185185188</v>
      </c>
      <c r="B149" s="4">
        <v>286896672</v>
      </c>
      <c r="C149" s="4" t="s">
        <v>248</v>
      </c>
      <c r="D149" s="4" t="s">
        <v>9</v>
      </c>
      <c r="E149" s="5">
        <v>2500</v>
      </c>
      <c r="F149" s="5">
        <v>2500</v>
      </c>
      <c r="G149" s="5">
        <v>1750</v>
      </c>
      <c r="H149" s="4"/>
      <c r="I149" s="4" t="s">
        <v>158</v>
      </c>
      <c r="J149" s="4" t="s">
        <v>460</v>
      </c>
      <c r="K149" s="4" t="s">
        <v>11</v>
      </c>
      <c r="L149" s="4" t="s">
        <v>141</v>
      </c>
    </row>
    <row r="150" spans="1:12">
      <c r="A150" s="3">
        <v>44596.105300925927</v>
      </c>
      <c r="B150" s="4">
        <v>287834730</v>
      </c>
      <c r="C150" s="4" t="s">
        <v>275</v>
      </c>
      <c r="D150" s="4" t="s">
        <v>9</v>
      </c>
      <c r="E150" s="5">
        <v>2000</v>
      </c>
      <c r="F150" s="5">
        <v>2000</v>
      </c>
      <c r="G150" s="5">
        <v>1400</v>
      </c>
      <c r="H150" s="4"/>
      <c r="I150" s="4" t="s">
        <v>169</v>
      </c>
      <c r="J150" s="4" t="s">
        <v>460</v>
      </c>
      <c r="K150" s="4" t="s">
        <v>11</v>
      </c>
      <c r="L150" s="4" t="s">
        <v>206</v>
      </c>
    </row>
    <row r="151" spans="1:12">
      <c r="A151" s="3">
        <v>44596.233749999999</v>
      </c>
      <c r="B151" s="4">
        <v>287834730</v>
      </c>
      <c r="C151" s="4" t="s">
        <v>275</v>
      </c>
      <c r="D151" s="4" t="s">
        <v>9</v>
      </c>
      <c r="E151" s="5">
        <v>2000</v>
      </c>
      <c r="F151" s="5">
        <v>2000</v>
      </c>
      <c r="G151" s="5">
        <v>1400</v>
      </c>
      <c r="H151" s="4"/>
      <c r="I151" s="4" t="s">
        <v>169</v>
      </c>
      <c r="J151" s="4" t="s">
        <v>460</v>
      </c>
      <c r="K151" s="4" t="s">
        <v>11</v>
      </c>
      <c r="L151" s="4" t="s">
        <v>206</v>
      </c>
    </row>
    <row r="152" spans="1:12">
      <c r="A152" s="3">
        <v>44596.387662037036</v>
      </c>
      <c r="B152" s="4">
        <v>287366429</v>
      </c>
      <c r="C152" s="4" t="s">
        <v>225</v>
      </c>
      <c r="D152" s="4" t="s">
        <v>9</v>
      </c>
      <c r="E152" s="5">
        <v>2000</v>
      </c>
      <c r="F152" s="5">
        <v>2000</v>
      </c>
      <c r="G152" s="5">
        <v>1400</v>
      </c>
      <c r="H152" s="4"/>
      <c r="I152" s="4" t="s">
        <v>166</v>
      </c>
      <c r="J152" s="4" t="s">
        <v>460</v>
      </c>
      <c r="K152" s="4" t="s">
        <v>11</v>
      </c>
      <c r="L152" s="4" t="s">
        <v>152</v>
      </c>
    </row>
    <row r="153" spans="1:12">
      <c r="A153" s="3">
        <v>44596.590590277781</v>
      </c>
      <c r="B153" s="4">
        <v>286896672</v>
      </c>
      <c r="C153" s="4" t="s">
        <v>248</v>
      </c>
      <c r="D153" s="4" t="s">
        <v>9</v>
      </c>
      <c r="E153" s="5">
        <v>2500</v>
      </c>
      <c r="F153" s="5">
        <v>2500</v>
      </c>
      <c r="G153" s="5">
        <v>1750</v>
      </c>
      <c r="H153" s="4"/>
      <c r="I153" s="4" t="s">
        <v>158</v>
      </c>
      <c r="J153" s="4" t="s">
        <v>460</v>
      </c>
      <c r="K153" s="4" t="s">
        <v>11</v>
      </c>
      <c r="L153" s="4" t="s">
        <v>141</v>
      </c>
    </row>
    <row r="154" spans="1:12">
      <c r="A154" s="3">
        <v>44596.620648148149</v>
      </c>
      <c r="B154" s="4">
        <v>287834730</v>
      </c>
      <c r="C154" s="4" t="s">
        <v>275</v>
      </c>
      <c r="D154" s="4" t="s">
        <v>9</v>
      </c>
      <c r="E154" s="5">
        <v>2000</v>
      </c>
      <c r="F154" s="5">
        <v>2000</v>
      </c>
      <c r="G154" s="5">
        <v>1400</v>
      </c>
      <c r="H154" s="4"/>
      <c r="I154" s="4" t="s">
        <v>169</v>
      </c>
      <c r="J154" s="4" t="s">
        <v>460</v>
      </c>
      <c r="K154" s="4" t="s">
        <v>11</v>
      </c>
      <c r="L154" s="4" t="s">
        <v>206</v>
      </c>
    </row>
    <row r="155" spans="1:12">
      <c r="A155" s="3">
        <v>44596.678807870368</v>
      </c>
      <c r="B155" s="4">
        <v>287086652</v>
      </c>
      <c r="C155" s="4" t="s">
        <v>220</v>
      </c>
      <c r="D155" s="4" t="s">
        <v>9</v>
      </c>
      <c r="E155" s="5">
        <v>2000</v>
      </c>
      <c r="F155" s="5">
        <v>2000</v>
      </c>
      <c r="G155" s="5">
        <v>1400</v>
      </c>
      <c r="H155" s="4"/>
      <c r="I155" s="4" t="s">
        <v>162</v>
      </c>
      <c r="J155" s="4" t="s">
        <v>460</v>
      </c>
      <c r="K155" s="4" t="s">
        <v>11</v>
      </c>
      <c r="L155" s="4" t="s">
        <v>150</v>
      </c>
    </row>
    <row r="156" spans="1:12">
      <c r="A156" s="3">
        <v>44596.690925925926</v>
      </c>
      <c r="B156" s="4">
        <v>286896672</v>
      </c>
      <c r="C156" s="4" t="s">
        <v>248</v>
      </c>
      <c r="D156" s="4" t="s">
        <v>9</v>
      </c>
      <c r="E156" s="5">
        <v>2500</v>
      </c>
      <c r="F156" s="5">
        <v>2500</v>
      </c>
      <c r="G156" s="5">
        <v>1750</v>
      </c>
      <c r="H156" s="4"/>
      <c r="I156" s="4" t="s">
        <v>158</v>
      </c>
      <c r="J156" s="4" t="s">
        <v>460</v>
      </c>
      <c r="K156" s="4" t="s">
        <v>11</v>
      </c>
      <c r="L156" s="4" t="s">
        <v>141</v>
      </c>
    </row>
    <row r="157" spans="1:12">
      <c r="A157" s="3">
        <v>44596.690925925926</v>
      </c>
      <c r="B157" s="4">
        <v>287834730</v>
      </c>
      <c r="C157" s="4" t="s">
        <v>275</v>
      </c>
      <c r="D157" s="4" t="s">
        <v>9</v>
      </c>
      <c r="E157" s="5">
        <v>2000</v>
      </c>
      <c r="F157" s="5">
        <v>2000</v>
      </c>
      <c r="G157" s="5">
        <v>1400</v>
      </c>
      <c r="H157" s="4"/>
      <c r="I157" s="4" t="s">
        <v>169</v>
      </c>
      <c r="J157" s="4" t="s">
        <v>460</v>
      </c>
      <c r="K157" s="4" t="s">
        <v>11</v>
      </c>
      <c r="L157" s="4" t="s">
        <v>206</v>
      </c>
    </row>
    <row r="158" spans="1:12">
      <c r="A158" s="3">
        <v>44596.701967592591</v>
      </c>
      <c r="B158" s="4">
        <v>287834730</v>
      </c>
      <c r="C158" s="4" t="s">
        <v>275</v>
      </c>
      <c r="D158" s="4" t="s">
        <v>9</v>
      </c>
      <c r="E158" s="5">
        <v>2000</v>
      </c>
      <c r="F158" s="5">
        <v>2000</v>
      </c>
      <c r="G158" s="5">
        <v>1400</v>
      </c>
      <c r="H158" s="4"/>
      <c r="I158" s="4" t="s">
        <v>169</v>
      </c>
      <c r="J158" s="4" t="s">
        <v>460</v>
      </c>
      <c r="K158" s="4" t="s">
        <v>11</v>
      </c>
      <c r="L158" s="4" t="s">
        <v>206</v>
      </c>
    </row>
    <row r="159" spans="1:12">
      <c r="A159" s="3">
        <v>44596.72488425926</v>
      </c>
      <c r="B159" s="4">
        <v>287834730</v>
      </c>
      <c r="C159" s="4" t="s">
        <v>275</v>
      </c>
      <c r="D159" s="4" t="s">
        <v>9</v>
      </c>
      <c r="E159" s="5">
        <v>2000</v>
      </c>
      <c r="F159" s="5">
        <v>2000</v>
      </c>
      <c r="G159" s="5">
        <v>1400</v>
      </c>
      <c r="H159" s="4"/>
      <c r="I159" s="4" t="s">
        <v>169</v>
      </c>
      <c r="J159" s="4" t="s">
        <v>460</v>
      </c>
      <c r="K159" s="4" t="s">
        <v>11</v>
      </c>
      <c r="L159" s="4" t="s">
        <v>206</v>
      </c>
    </row>
    <row r="160" spans="1:12">
      <c r="A160" s="3">
        <v>44596.763645833336</v>
      </c>
      <c r="B160" s="4">
        <v>287834730</v>
      </c>
      <c r="C160" s="4" t="s">
        <v>275</v>
      </c>
      <c r="D160" s="4" t="s">
        <v>9</v>
      </c>
      <c r="E160" s="5">
        <v>2000</v>
      </c>
      <c r="F160" s="5">
        <v>2000</v>
      </c>
      <c r="G160" s="5">
        <v>1400</v>
      </c>
      <c r="H160" s="4"/>
      <c r="I160" s="4" t="s">
        <v>169</v>
      </c>
      <c r="J160" s="4" t="s">
        <v>460</v>
      </c>
      <c r="K160" s="4" t="s">
        <v>11</v>
      </c>
      <c r="L160" s="4" t="s">
        <v>206</v>
      </c>
    </row>
    <row r="161" spans="1:12">
      <c r="A161" s="3">
        <v>44596.767152777778</v>
      </c>
      <c r="B161" s="4">
        <v>287834730</v>
      </c>
      <c r="C161" s="4" t="s">
        <v>275</v>
      </c>
      <c r="D161" s="4" t="s">
        <v>9</v>
      </c>
      <c r="E161" s="5">
        <v>2000</v>
      </c>
      <c r="F161" s="5">
        <v>2000</v>
      </c>
      <c r="G161" s="5">
        <v>1400</v>
      </c>
      <c r="H161" s="4"/>
      <c r="I161" s="4" t="s">
        <v>169</v>
      </c>
      <c r="J161" s="4" t="s">
        <v>460</v>
      </c>
      <c r="K161" s="4" t="s">
        <v>11</v>
      </c>
      <c r="L161" s="4" t="s">
        <v>206</v>
      </c>
    </row>
    <row r="162" spans="1:12">
      <c r="A162" s="3">
        <v>44596.809930555559</v>
      </c>
      <c r="B162" s="4">
        <v>287834730</v>
      </c>
      <c r="C162" s="4" t="s">
        <v>275</v>
      </c>
      <c r="D162" s="4" t="s">
        <v>9</v>
      </c>
      <c r="E162" s="5">
        <v>2000</v>
      </c>
      <c r="F162" s="5">
        <v>2000</v>
      </c>
      <c r="G162" s="5">
        <v>1400</v>
      </c>
      <c r="H162" s="4"/>
      <c r="I162" s="4" t="s">
        <v>169</v>
      </c>
      <c r="J162" s="4" t="s">
        <v>460</v>
      </c>
      <c r="K162" s="4" t="s">
        <v>11</v>
      </c>
      <c r="L162" s="4" t="s">
        <v>206</v>
      </c>
    </row>
    <row r="163" spans="1:12">
      <c r="A163" s="3">
        <v>44596.816874999997</v>
      </c>
      <c r="B163" s="4">
        <v>287086652</v>
      </c>
      <c r="C163" s="4" t="s">
        <v>220</v>
      </c>
      <c r="D163" s="4" t="s">
        <v>9</v>
      </c>
      <c r="E163" s="5">
        <v>2000</v>
      </c>
      <c r="F163" s="5">
        <v>2000</v>
      </c>
      <c r="G163" s="5">
        <v>1400</v>
      </c>
      <c r="H163" s="4"/>
      <c r="I163" s="4" t="s">
        <v>162</v>
      </c>
      <c r="J163" s="4" t="s">
        <v>460</v>
      </c>
      <c r="K163" s="4" t="s">
        <v>11</v>
      </c>
      <c r="L163" s="4" t="s">
        <v>150</v>
      </c>
    </row>
    <row r="164" spans="1:12">
      <c r="A164" s="3">
        <v>44596.867743055554</v>
      </c>
      <c r="B164" s="4">
        <v>287834730</v>
      </c>
      <c r="C164" s="4" t="s">
        <v>275</v>
      </c>
      <c r="D164" s="4" t="s">
        <v>9</v>
      </c>
      <c r="E164" s="5">
        <v>2000</v>
      </c>
      <c r="F164" s="5">
        <v>2000</v>
      </c>
      <c r="G164" s="5">
        <v>1400</v>
      </c>
      <c r="H164" s="4"/>
      <c r="I164" s="4" t="s">
        <v>169</v>
      </c>
      <c r="J164" s="4" t="s">
        <v>460</v>
      </c>
      <c r="K164" s="4" t="s">
        <v>11</v>
      </c>
      <c r="L164" s="4" t="s">
        <v>206</v>
      </c>
    </row>
    <row r="165" spans="1:12">
      <c r="A165" s="3">
        <v>44596.871770833335</v>
      </c>
      <c r="B165" s="4">
        <v>287834730</v>
      </c>
      <c r="C165" s="4" t="s">
        <v>275</v>
      </c>
      <c r="D165" s="4" t="s">
        <v>9</v>
      </c>
      <c r="E165" s="5">
        <v>2000</v>
      </c>
      <c r="F165" s="5">
        <v>2000</v>
      </c>
      <c r="G165" s="5">
        <v>1400</v>
      </c>
      <c r="H165" s="4"/>
      <c r="I165" s="4" t="s">
        <v>169</v>
      </c>
      <c r="J165" s="4" t="s">
        <v>460</v>
      </c>
      <c r="K165" s="4" t="s">
        <v>11</v>
      </c>
      <c r="L165" s="4" t="s">
        <v>206</v>
      </c>
    </row>
    <row r="166" spans="1:12">
      <c r="A166" s="3">
        <v>44596.875162037039</v>
      </c>
      <c r="B166" s="4">
        <v>287086652</v>
      </c>
      <c r="C166" s="4" t="s">
        <v>220</v>
      </c>
      <c r="D166" s="4" t="s">
        <v>9</v>
      </c>
      <c r="E166" s="5">
        <v>2000</v>
      </c>
      <c r="F166" s="5">
        <v>2000</v>
      </c>
      <c r="G166" s="5">
        <v>1400</v>
      </c>
      <c r="H166" s="4"/>
      <c r="I166" s="4" t="s">
        <v>162</v>
      </c>
      <c r="J166" s="4" t="s">
        <v>460</v>
      </c>
      <c r="K166" s="4" t="s">
        <v>11</v>
      </c>
      <c r="L166" s="4" t="s">
        <v>150</v>
      </c>
    </row>
    <row r="167" spans="1:12">
      <c r="A167" s="3">
        <v>44596.908587962964</v>
      </c>
      <c r="B167" s="4">
        <v>287834730</v>
      </c>
      <c r="C167" s="4" t="s">
        <v>275</v>
      </c>
      <c r="D167" s="4" t="s">
        <v>9</v>
      </c>
      <c r="E167" s="5">
        <v>2000</v>
      </c>
      <c r="F167" s="5">
        <v>2000</v>
      </c>
      <c r="G167" s="5">
        <v>1400</v>
      </c>
      <c r="H167" s="4"/>
      <c r="I167" s="4" t="s">
        <v>169</v>
      </c>
      <c r="J167" s="4" t="s">
        <v>460</v>
      </c>
      <c r="K167" s="4" t="s">
        <v>11</v>
      </c>
      <c r="L167" s="4" t="s">
        <v>206</v>
      </c>
    </row>
    <row r="168" spans="1:12">
      <c r="A168" s="3">
        <v>44596.969849537039</v>
      </c>
      <c r="B168" s="4">
        <v>287834730</v>
      </c>
      <c r="C168" s="4" t="s">
        <v>275</v>
      </c>
      <c r="D168" s="4" t="s">
        <v>9</v>
      </c>
      <c r="E168" s="5">
        <v>2000</v>
      </c>
      <c r="F168" s="5">
        <v>2000</v>
      </c>
      <c r="G168" s="5">
        <v>1400</v>
      </c>
      <c r="H168" s="4"/>
      <c r="I168" s="4" t="s">
        <v>169</v>
      </c>
      <c r="J168" s="4" t="s">
        <v>460</v>
      </c>
      <c r="K168" s="4" t="s">
        <v>11</v>
      </c>
      <c r="L168" s="4" t="s">
        <v>206</v>
      </c>
    </row>
    <row r="169" spans="1:12">
      <c r="A169" s="3">
        <v>44597.002546296295</v>
      </c>
      <c r="B169" s="4">
        <v>287834730</v>
      </c>
      <c r="C169" s="4" t="s">
        <v>275</v>
      </c>
      <c r="D169" s="4" t="s">
        <v>9</v>
      </c>
      <c r="E169" s="5">
        <v>2000</v>
      </c>
      <c r="F169" s="5">
        <v>2000</v>
      </c>
      <c r="G169" s="5">
        <v>1400</v>
      </c>
      <c r="H169" s="4"/>
      <c r="I169" s="4" t="s">
        <v>169</v>
      </c>
      <c r="J169" s="4" t="s">
        <v>460</v>
      </c>
      <c r="K169" s="4" t="s">
        <v>11</v>
      </c>
      <c r="L169" s="4" t="s">
        <v>206</v>
      </c>
    </row>
    <row r="170" spans="1:12">
      <c r="A170" s="3">
        <v>44597.024027777778</v>
      </c>
      <c r="B170" s="4">
        <v>287834730</v>
      </c>
      <c r="C170" s="4" t="s">
        <v>275</v>
      </c>
      <c r="D170" s="4" t="s">
        <v>9</v>
      </c>
      <c r="E170" s="5">
        <v>2000</v>
      </c>
      <c r="F170" s="5">
        <v>2000</v>
      </c>
      <c r="G170" s="5">
        <v>1400</v>
      </c>
      <c r="H170" s="4"/>
      <c r="I170" s="4" t="s">
        <v>169</v>
      </c>
      <c r="J170" s="4" t="s">
        <v>460</v>
      </c>
      <c r="K170" s="4" t="s">
        <v>11</v>
      </c>
      <c r="L170" s="4" t="s">
        <v>206</v>
      </c>
    </row>
    <row r="171" spans="1:12">
      <c r="A171" s="3">
        <v>44597.024317129632</v>
      </c>
      <c r="B171" s="4">
        <v>288284536</v>
      </c>
      <c r="C171" s="4" t="s">
        <v>466</v>
      </c>
      <c r="D171" s="4" t="s">
        <v>9</v>
      </c>
      <c r="E171" s="5">
        <v>2000</v>
      </c>
      <c r="F171" s="5">
        <v>2000</v>
      </c>
      <c r="G171" s="5">
        <v>1400</v>
      </c>
      <c r="H171" s="4"/>
      <c r="I171" s="4" t="s">
        <v>448</v>
      </c>
      <c r="J171" s="4" t="s">
        <v>460</v>
      </c>
      <c r="K171" s="4" t="s">
        <v>11</v>
      </c>
      <c r="L171" s="4" t="s">
        <v>344</v>
      </c>
    </row>
    <row r="172" spans="1:12">
      <c r="A172" s="3">
        <v>44597.024571759262</v>
      </c>
      <c r="B172" s="4">
        <v>287834730</v>
      </c>
      <c r="C172" s="4" t="s">
        <v>275</v>
      </c>
      <c r="D172" s="4" t="s">
        <v>9</v>
      </c>
      <c r="E172" s="5">
        <v>2000</v>
      </c>
      <c r="F172" s="5">
        <v>2000</v>
      </c>
      <c r="G172" s="5">
        <v>1400</v>
      </c>
      <c r="H172" s="4"/>
      <c r="I172" s="4" t="s">
        <v>169</v>
      </c>
      <c r="J172" s="4" t="s">
        <v>460</v>
      </c>
      <c r="K172" s="4" t="s">
        <v>11</v>
      </c>
      <c r="L172" s="4" t="s">
        <v>206</v>
      </c>
    </row>
    <row r="173" spans="1:12">
      <c r="A173" s="3">
        <v>44597.035914351851</v>
      </c>
      <c r="B173" s="4">
        <v>287834730</v>
      </c>
      <c r="C173" s="4" t="s">
        <v>275</v>
      </c>
      <c r="D173" s="4" t="s">
        <v>9</v>
      </c>
      <c r="E173" s="5">
        <v>2000</v>
      </c>
      <c r="F173" s="5">
        <v>2000</v>
      </c>
      <c r="G173" s="5">
        <v>1400</v>
      </c>
      <c r="H173" s="4"/>
      <c r="I173" s="4" t="s">
        <v>169</v>
      </c>
      <c r="J173" s="4" t="s">
        <v>460</v>
      </c>
      <c r="K173" s="4" t="s">
        <v>11</v>
      </c>
      <c r="L173" s="4" t="s">
        <v>206</v>
      </c>
    </row>
    <row r="174" spans="1:12">
      <c r="A174" s="3">
        <v>44597.051770833335</v>
      </c>
      <c r="B174" s="4">
        <v>287834730</v>
      </c>
      <c r="C174" s="4" t="s">
        <v>275</v>
      </c>
      <c r="D174" s="4" t="s">
        <v>9</v>
      </c>
      <c r="E174" s="5">
        <v>2000</v>
      </c>
      <c r="F174" s="5">
        <v>2000</v>
      </c>
      <c r="G174" s="5">
        <v>1400</v>
      </c>
      <c r="H174" s="4"/>
      <c r="I174" s="4" t="s">
        <v>169</v>
      </c>
      <c r="J174" s="4" t="s">
        <v>460</v>
      </c>
      <c r="K174" s="4" t="s">
        <v>11</v>
      </c>
      <c r="L174" s="4" t="s">
        <v>206</v>
      </c>
    </row>
    <row r="175" spans="1:12">
      <c r="A175" s="3">
        <v>44597.220983796295</v>
      </c>
      <c r="B175" s="4">
        <v>287834730</v>
      </c>
      <c r="C175" s="4" t="s">
        <v>275</v>
      </c>
      <c r="D175" s="4" t="s">
        <v>9</v>
      </c>
      <c r="E175" s="5">
        <v>2000</v>
      </c>
      <c r="F175" s="5">
        <v>2000</v>
      </c>
      <c r="G175" s="5">
        <v>1400</v>
      </c>
      <c r="H175" s="4"/>
      <c r="I175" s="4" t="s">
        <v>169</v>
      </c>
      <c r="J175" s="4" t="s">
        <v>460</v>
      </c>
      <c r="K175" s="4" t="s">
        <v>11</v>
      </c>
      <c r="L175" s="4" t="s">
        <v>206</v>
      </c>
    </row>
    <row r="176" spans="1:12">
      <c r="A176" s="3">
        <v>44597.251655092594</v>
      </c>
      <c r="B176" s="4">
        <v>287834730</v>
      </c>
      <c r="C176" s="4" t="s">
        <v>275</v>
      </c>
      <c r="D176" s="4" t="s">
        <v>9</v>
      </c>
      <c r="E176" s="5">
        <v>2000</v>
      </c>
      <c r="F176" s="5">
        <v>2000</v>
      </c>
      <c r="G176" s="5">
        <v>1400</v>
      </c>
      <c r="H176" s="4"/>
      <c r="I176" s="4" t="s">
        <v>169</v>
      </c>
      <c r="J176" s="4" t="s">
        <v>460</v>
      </c>
      <c r="K176" s="4" t="s">
        <v>11</v>
      </c>
      <c r="L176" s="4" t="s">
        <v>206</v>
      </c>
    </row>
    <row r="177" spans="1:12">
      <c r="A177" s="3">
        <v>44597.316574074073</v>
      </c>
      <c r="B177" s="4">
        <v>287086652</v>
      </c>
      <c r="C177" s="4" t="s">
        <v>220</v>
      </c>
      <c r="D177" s="4" t="s">
        <v>9</v>
      </c>
      <c r="E177" s="5">
        <v>2000</v>
      </c>
      <c r="F177" s="5">
        <v>2000</v>
      </c>
      <c r="G177" s="5">
        <v>1400</v>
      </c>
      <c r="H177" s="4"/>
      <c r="I177" s="4" t="s">
        <v>162</v>
      </c>
      <c r="J177" s="4" t="s">
        <v>460</v>
      </c>
      <c r="K177" s="4" t="s">
        <v>11</v>
      </c>
      <c r="L177" s="4" t="s">
        <v>150</v>
      </c>
    </row>
    <row r="178" spans="1:12">
      <c r="A178" s="3">
        <v>44597.316574074073</v>
      </c>
      <c r="B178" s="4">
        <v>287703886</v>
      </c>
      <c r="C178" s="4" t="s">
        <v>218</v>
      </c>
      <c r="D178" s="4" t="s">
        <v>9</v>
      </c>
      <c r="E178" s="5">
        <v>2500</v>
      </c>
      <c r="F178" s="5">
        <v>2500</v>
      </c>
      <c r="G178" s="5">
        <v>1750</v>
      </c>
      <c r="H178" s="4"/>
      <c r="I178" s="4" t="s">
        <v>167</v>
      </c>
      <c r="J178" s="4" t="s">
        <v>460</v>
      </c>
      <c r="K178" s="4" t="s">
        <v>11</v>
      </c>
      <c r="L178" s="4" t="s">
        <v>195</v>
      </c>
    </row>
    <row r="179" spans="1:12">
      <c r="A179" s="3">
        <v>44597.467465277776</v>
      </c>
      <c r="B179" s="4">
        <v>287834730</v>
      </c>
      <c r="C179" s="4" t="s">
        <v>275</v>
      </c>
      <c r="D179" s="4" t="s">
        <v>9</v>
      </c>
      <c r="E179" s="5">
        <v>2000</v>
      </c>
      <c r="F179" s="5">
        <v>2000</v>
      </c>
      <c r="G179" s="5">
        <v>1400</v>
      </c>
      <c r="H179" s="4"/>
      <c r="I179" s="4" t="s">
        <v>169</v>
      </c>
      <c r="J179" s="4" t="s">
        <v>460</v>
      </c>
      <c r="K179" s="4" t="s">
        <v>11</v>
      </c>
      <c r="L179" s="4" t="s">
        <v>206</v>
      </c>
    </row>
    <row r="180" spans="1:12">
      <c r="A180" s="3">
        <v>44597.498113425929</v>
      </c>
      <c r="B180" s="4">
        <v>287834730</v>
      </c>
      <c r="C180" s="4" t="s">
        <v>275</v>
      </c>
      <c r="D180" s="4" t="s">
        <v>9</v>
      </c>
      <c r="E180" s="5">
        <v>2000</v>
      </c>
      <c r="F180" s="5">
        <v>2000</v>
      </c>
      <c r="G180" s="5">
        <v>1400</v>
      </c>
      <c r="H180" s="4"/>
      <c r="I180" s="4" t="s">
        <v>169</v>
      </c>
      <c r="J180" s="4" t="s">
        <v>460</v>
      </c>
      <c r="K180" s="4" t="s">
        <v>11</v>
      </c>
      <c r="L180" s="4" t="s">
        <v>206</v>
      </c>
    </row>
    <row r="181" spans="1:12">
      <c r="A181" s="3">
        <v>44597.502858796295</v>
      </c>
      <c r="B181" s="4">
        <v>287834730</v>
      </c>
      <c r="C181" s="4" t="s">
        <v>275</v>
      </c>
      <c r="D181" s="4" t="s">
        <v>9</v>
      </c>
      <c r="E181" s="5">
        <v>2000</v>
      </c>
      <c r="F181" s="5">
        <v>2000</v>
      </c>
      <c r="G181" s="5">
        <v>1400</v>
      </c>
      <c r="H181" s="4"/>
      <c r="I181" s="4" t="s">
        <v>169</v>
      </c>
      <c r="J181" s="4" t="s">
        <v>460</v>
      </c>
      <c r="K181" s="4" t="s">
        <v>11</v>
      </c>
      <c r="L181" s="4" t="s">
        <v>206</v>
      </c>
    </row>
    <row r="182" spans="1:12">
      <c r="A182" s="3">
        <v>44597.545937499999</v>
      </c>
      <c r="B182" s="4">
        <v>287703886</v>
      </c>
      <c r="C182" s="4" t="s">
        <v>218</v>
      </c>
      <c r="D182" s="4" t="s">
        <v>9</v>
      </c>
      <c r="E182" s="5">
        <v>2500</v>
      </c>
      <c r="F182" s="5">
        <v>2500</v>
      </c>
      <c r="G182" s="5">
        <v>1750</v>
      </c>
      <c r="H182" s="4"/>
      <c r="I182" s="4" t="s">
        <v>167</v>
      </c>
      <c r="J182" s="4" t="s">
        <v>460</v>
      </c>
      <c r="K182" s="4" t="s">
        <v>11</v>
      </c>
      <c r="L182" s="4" t="s">
        <v>195</v>
      </c>
    </row>
    <row r="183" spans="1:12">
      <c r="A183" s="3">
        <v>44597.54792824074</v>
      </c>
      <c r="B183" s="4">
        <v>287834730</v>
      </c>
      <c r="C183" s="4" t="s">
        <v>275</v>
      </c>
      <c r="D183" s="4" t="s">
        <v>9</v>
      </c>
      <c r="E183" s="5">
        <v>2000</v>
      </c>
      <c r="F183" s="5">
        <v>2000</v>
      </c>
      <c r="G183" s="5">
        <v>1400</v>
      </c>
      <c r="H183" s="4"/>
      <c r="I183" s="4" t="s">
        <v>169</v>
      </c>
      <c r="J183" s="4" t="s">
        <v>460</v>
      </c>
      <c r="K183" s="4" t="s">
        <v>11</v>
      </c>
      <c r="L183" s="4" t="s">
        <v>206</v>
      </c>
    </row>
    <row r="184" spans="1:12">
      <c r="A184" s="3">
        <v>44597.569537037038</v>
      </c>
      <c r="B184" s="4">
        <v>287834730</v>
      </c>
      <c r="C184" s="4" t="s">
        <v>275</v>
      </c>
      <c r="D184" s="4" t="s">
        <v>9</v>
      </c>
      <c r="E184" s="5">
        <v>2000</v>
      </c>
      <c r="F184" s="5">
        <v>2000</v>
      </c>
      <c r="G184" s="5">
        <v>1400</v>
      </c>
      <c r="H184" s="4"/>
      <c r="I184" s="4" t="s">
        <v>169</v>
      </c>
      <c r="J184" s="4" t="s">
        <v>460</v>
      </c>
      <c r="K184" s="4" t="s">
        <v>11</v>
      </c>
      <c r="L184" s="4" t="s">
        <v>206</v>
      </c>
    </row>
    <row r="185" spans="1:12">
      <c r="A185" s="3">
        <v>44597.590694444443</v>
      </c>
      <c r="B185" s="4">
        <v>286896672</v>
      </c>
      <c r="C185" s="4" t="s">
        <v>248</v>
      </c>
      <c r="D185" s="4" t="s">
        <v>9</v>
      </c>
      <c r="E185" s="5">
        <v>2500</v>
      </c>
      <c r="F185" s="5">
        <v>2500</v>
      </c>
      <c r="G185" s="5">
        <v>1750</v>
      </c>
      <c r="H185" s="4"/>
      <c r="I185" s="4" t="s">
        <v>158</v>
      </c>
      <c r="J185" s="4" t="s">
        <v>460</v>
      </c>
      <c r="K185" s="4" t="s">
        <v>11</v>
      </c>
      <c r="L185" s="4" t="s">
        <v>141</v>
      </c>
    </row>
    <row r="186" spans="1:12">
      <c r="A186" s="3">
        <v>44597.595196759263</v>
      </c>
      <c r="B186" s="4">
        <v>287834730</v>
      </c>
      <c r="C186" s="4" t="s">
        <v>275</v>
      </c>
      <c r="D186" s="4" t="s">
        <v>9</v>
      </c>
      <c r="E186" s="5">
        <v>2000</v>
      </c>
      <c r="F186" s="5">
        <v>2000</v>
      </c>
      <c r="G186" s="5">
        <v>1400</v>
      </c>
      <c r="H186" s="4"/>
      <c r="I186" s="4" t="s">
        <v>169</v>
      </c>
      <c r="J186" s="4" t="s">
        <v>460</v>
      </c>
      <c r="K186" s="4" t="s">
        <v>11</v>
      </c>
      <c r="L186" s="4" t="s">
        <v>206</v>
      </c>
    </row>
    <row r="187" spans="1:12">
      <c r="A187" s="3">
        <v>44597.670960648145</v>
      </c>
      <c r="B187" s="4">
        <v>287086652</v>
      </c>
      <c r="C187" s="4" t="s">
        <v>220</v>
      </c>
      <c r="D187" s="4" t="s">
        <v>9</v>
      </c>
      <c r="E187" s="5">
        <v>2000</v>
      </c>
      <c r="F187" s="5">
        <v>2000</v>
      </c>
      <c r="G187" s="5">
        <v>1400</v>
      </c>
      <c r="H187" s="4"/>
      <c r="I187" s="4" t="s">
        <v>162</v>
      </c>
      <c r="J187" s="4" t="s">
        <v>460</v>
      </c>
      <c r="K187" s="4" t="s">
        <v>11</v>
      </c>
      <c r="L187" s="4" t="s">
        <v>150</v>
      </c>
    </row>
    <row r="188" spans="1:12">
      <c r="A188" s="3">
        <v>44597.67114583333</v>
      </c>
      <c r="B188" s="4">
        <v>287834730</v>
      </c>
      <c r="C188" s="4" t="s">
        <v>275</v>
      </c>
      <c r="D188" s="4" t="s">
        <v>9</v>
      </c>
      <c r="E188" s="5">
        <v>2000</v>
      </c>
      <c r="F188" s="5">
        <v>2000</v>
      </c>
      <c r="G188" s="5">
        <v>1400</v>
      </c>
      <c r="H188" s="4"/>
      <c r="I188" s="4" t="s">
        <v>169</v>
      </c>
      <c r="J188" s="4" t="s">
        <v>460</v>
      </c>
      <c r="K188" s="4" t="s">
        <v>11</v>
      </c>
      <c r="L188" s="4" t="s">
        <v>206</v>
      </c>
    </row>
    <row r="189" spans="1:12">
      <c r="A189" s="3">
        <v>44597.744085648148</v>
      </c>
      <c r="B189" s="4">
        <v>287834730</v>
      </c>
      <c r="C189" s="4" t="s">
        <v>275</v>
      </c>
      <c r="D189" s="4" t="s">
        <v>9</v>
      </c>
      <c r="E189" s="5">
        <v>2000</v>
      </c>
      <c r="F189" s="5">
        <v>2000</v>
      </c>
      <c r="G189" s="5">
        <v>1400</v>
      </c>
      <c r="H189" s="4"/>
      <c r="I189" s="4" t="s">
        <v>169</v>
      </c>
      <c r="J189" s="4" t="s">
        <v>460</v>
      </c>
      <c r="K189" s="4" t="s">
        <v>11</v>
      </c>
      <c r="L189" s="4" t="s">
        <v>206</v>
      </c>
    </row>
    <row r="190" spans="1:12">
      <c r="A190" s="3">
        <v>44597.746203703704</v>
      </c>
      <c r="B190" s="4">
        <v>287834730</v>
      </c>
      <c r="C190" s="4" t="s">
        <v>275</v>
      </c>
      <c r="D190" s="4" t="s">
        <v>9</v>
      </c>
      <c r="E190" s="5">
        <v>2000</v>
      </c>
      <c r="F190" s="5">
        <v>2000</v>
      </c>
      <c r="G190" s="5">
        <v>1400</v>
      </c>
      <c r="H190" s="4"/>
      <c r="I190" s="4" t="s">
        <v>169</v>
      </c>
      <c r="J190" s="4" t="s">
        <v>460</v>
      </c>
      <c r="K190" s="4" t="s">
        <v>11</v>
      </c>
      <c r="L190" s="4" t="s">
        <v>206</v>
      </c>
    </row>
    <row r="191" spans="1:12">
      <c r="A191" s="3">
        <v>44597.763449074075</v>
      </c>
      <c r="B191" s="4">
        <v>287834730</v>
      </c>
      <c r="C191" s="4" t="s">
        <v>275</v>
      </c>
      <c r="D191" s="4" t="s">
        <v>9</v>
      </c>
      <c r="E191" s="5">
        <v>2000</v>
      </c>
      <c r="F191" s="5">
        <v>2000</v>
      </c>
      <c r="G191" s="5">
        <v>1400</v>
      </c>
      <c r="H191" s="4"/>
      <c r="I191" s="4" t="s">
        <v>169</v>
      </c>
      <c r="J191" s="4" t="s">
        <v>460</v>
      </c>
      <c r="K191" s="4" t="s">
        <v>11</v>
      </c>
      <c r="L191" s="4" t="s">
        <v>206</v>
      </c>
    </row>
    <row r="192" spans="1:12">
      <c r="A192" s="3">
        <v>44597.79178240741</v>
      </c>
      <c r="B192" s="4">
        <v>287834730</v>
      </c>
      <c r="C192" s="4" t="s">
        <v>275</v>
      </c>
      <c r="D192" s="4" t="s">
        <v>9</v>
      </c>
      <c r="E192" s="5">
        <v>2000</v>
      </c>
      <c r="F192" s="5">
        <v>2000</v>
      </c>
      <c r="G192" s="5">
        <v>1400</v>
      </c>
      <c r="H192" s="4"/>
      <c r="I192" s="4" t="s">
        <v>169</v>
      </c>
      <c r="J192" s="4" t="s">
        <v>460</v>
      </c>
      <c r="K192" s="4" t="s">
        <v>11</v>
      </c>
      <c r="L192" s="4" t="s">
        <v>206</v>
      </c>
    </row>
    <row r="193" spans="1:12">
      <c r="A193" s="3">
        <v>44597.800185185188</v>
      </c>
      <c r="B193" s="4">
        <v>287834730</v>
      </c>
      <c r="C193" s="4" t="s">
        <v>275</v>
      </c>
      <c r="D193" s="4" t="s">
        <v>9</v>
      </c>
      <c r="E193" s="5">
        <v>2000</v>
      </c>
      <c r="F193" s="5">
        <v>2000</v>
      </c>
      <c r="G193" s="5">
        <v>1400</v>
      </c>
      <c r="H193" s="4"/>
      <c r="I193" s="4" t="s">
        <v>169</v>
      </c>
      <c r="J193" s="4" t="s">
        <v>460</v>
      </c>
      <c r="K193" s="4" t="s">
        <v>11</v>
      </c>
      <c r="L193" s="4" t="s">
        <v>206</v>
      </c>
    </row>
    <row r="194" spans="1:12">
      <c r="A194" s="3">
        <v>44597.821087962962</v>
      </c>
      <c r="B194" s="4">
        <v>287834730</v>
      </c>
      <c r="C194" s="4" t="s">
        <v>275</v>
      </c>
      <c r="D194" s="4" t="s">
        <v>9</v>
      </c>
      <c r="E194" s="5">
        <v>2000</v>
      </c>
      <c r="F194" s="5">
        <v>2000</v>
      </c>
      <c r="G194" s="5">
        <v>1400</v>
      </c>
      <c r="H194" s="4"/>
      <c r="I194" s="4" t="s">
        <v>169</v>
      </c>
      <c r="J194" s="4" t="s">
        <v>460</v>
      </c>
      <c r="K194" s="4" t="s">
        <v>11</v>
      </c>
      <c r="L194" s="4" t="s">
        <v>206</v>
      </c>
    </row>
    <row r="195" spans="1:12">
      <c r="A195" s="3">
        <v>44597.827361111114</v>
      </c>
      <c r="B195" s="4">
        <v>287834730</v>
      </c>
      <c r="C195" s="4" t="s">
        <v>275</v>
      </c>
      <c r="D195" s="4" t="s">
        <v>9</v>
      </c>
      <c r="E195" s="5">
        <v>2000</v>
      </c>
      <c r="F195" s="5">
        <v>2000</v>
      </c>
      <c r="G195" s="5">
        <v>1400</v>
      </c>
      <c r="H195" s="4"/>
      <c r="I195" s="4" t="s">
        <v>169</v>
      </c>
      <c r="J195" s="4" t="s">
        <v>460</v>
      </c>
      <c r="K195" s="4" t="s">
        <v>11</v>
      </c>
      <c r="L195" s="4" t="s">
        <v>206</v>
      </c>
    </row>
    <row r="196" spans="1:12">
      <c r="A196" s="3">
        <v>44597.870092592595</v>
      </c>
      <c r="B196" s="4">
        <v>287834730</v>
      </c>
      <c r="C196" s="4" t="s">
        <v>275</v>
      </c>
      <c r="D196" s="4" t="s">
        <v>9</v>
      </c>
      <c r="E196" s="5">
        <v>2000</v>
      </c>
      <c r="F196" s="5">
        <v>2000</v>
      </c>
      <c r="G196" s="5">
        <v>1400</v>
      </c>
      <c r="H196" s="4"/>
      <c r="I196" s="4" t="s">
        <v>169</v>
      </c>
      <c r="J196" s="4" t="s">
        <v>460</v>
      </c>
      <c r="K196" s="4" t="s">
        <v>11</v>
      </c>
      <c r="L196" s="4" t="s">
        <v>206</v>
      </c>
    </row>
    <row r="197" spans="1:12">
      <c r="A197" s="3">
        <v>44597.934490740743</v>
      </c>
      <c r="B197" s="4">
        <v>287834730</v>
      </c>
      <c r="C197" s="4" t="s">
        <v>275</v>
      </c>
      <c r="D197" s="4" t="s">
        <v>9</v>
      </c>
      <c r="E197" s="5">
        <v>2000</v>
      </c>
      <c r="F197" s="5">
        <v>2000</v>
      </c>
      <c r="G197" s="5">
        <v>1400</v>
      </c>
      <c r="H197" s="4"/>
      <c r="I197" s="4" t="s">
        <v>169</v>
      </c>
      <c r="J197" s="4" t="s">
        <v>460</v>
      </c>
      <c r="K197" s="4" t="s">
        <v>11</v>
      </c>
      <c r="L197" s="4" t="s">
        <v>206</v>
      </c>
    </row>
    <row r="198" spans="1:12">
      <c r="A198" s="3">
        <v>44597.935729166667</v>
      </c>
      <c r="B198" s="4">
        <v>287834730</v>
      </c>
      <c r="C198" s="4" t="s">
        <v>275</v>
      </c>
      <c r="D198" s="4" t="s">
        <v>9</v>
      </c>
      <c r="E198" s="5">
        <v>2000</v>
      </c>
      <c r="F198" s="5">
        <v>2000</v>
      </c>
      <c r="G198" s="5">
        <v>1400</v>
      </c>
      <c r="H198" s="4"/>
      <c r="I198" s="4" t="s">
        <v>169</v>
      </c>
      <c r="J198" s="4" t="s">
        <v>460</v>
      </c>
      <c r="K198" s="4" t="s">
        <v>11</v>
      </c>
      <c r="L198" s="4" t="s">
        <v>206</v>
      </c>
    </row>
    <row r="199" spans="1:12">
      <c r="A199" s="3">
        <v>44597.938715277778</v>
      </c>
      <c r="B199" s="4">
        <v>287834730</v>
      </c>
      <c r="C199" s="4" t="s">
        <v>275</v>
      </c>
      <c r="D199" s="4" t="s">
        <v>9</v>
      </c>
      <c r="E199" s="5">
        <v>2000</v>
      </c>
      <c r="F199" s="5">
        <v>2000</v>
      </c>
      <c r="G199" s="5">
        <v>1400</v>
      </c>
      <c r="H199" s="4"/>
      <c r="I199" s="4" t="s">
        <v>169</v>
      </c>
      <c r="J199" s="4" t="s">
        <v>460</v>
      </c>
      <c r="K199" s="4" t="s">
        <v>11</v>
      </c>
      <c r="L199" s="4" t="s">
        <v>206</v>
      </c>
    </row>
    <row r="200" spans="1:12">
      <c r="A200" s="3">
        <v>44597.944282407407</v>
      </c>
      <c r="B200" s="4">
        <v>287834730</v>
      </c>
      <c r="C200" s="4" t="s">
        <v>275</v>
      </c>
      <c r="D200" s="4" t="s">
        <v>9</v>
      </c>
      <c r="E200" s="5">
        <v>2000</v>
      </c>
      <c r="F200" s="5">
        <v>2000</v>
      </c>
      <c r="G200" s="5">
        <v>1400</v>
      </c>
      <c r="H200" s="4"/>
      <c r="I200" s="4" t="s">
        <v>169</v>
      </c>
      <c r="J200" s="4" t="s">
        <v>460</v>
      </c>
      <c r="K200" s="4" t="s">
        <v>11</v>
      </c>
      <c r="L200" s="4" t="s">
        <v>206</v>
      </c>
    </row>
    <row r="201" spans="1:12">
      <c r="A201" s="3">
        <v>44597.984039351853</v>
      </c>
      <c r="B201" s="4">
        <v>287834730</v>
      </c>
      <c r="C201" s="4" t="s">
        <v>275</v>
      </c>
      <c r="D201" s="4" t="s">
        <v>9</v>
      </c>
      <c r="E201" s="5">
        <v>2000</v>
      </c>
      <c r="F201" s="5">
        <v>2000</v>
      </c>
      <c r="G201" s="5">
        <v>1400</v>
      </c>
      <c r="H201" s="4"/>
      <c r="I201" s="4" t="s">
        <v>169</v>
      </c>
      <c r="J201" s="4" t="s">
        <v>460</v>
      </c>
      <c r="K201" s="4" t="s">
        <v>11</v>
      </c>
      <c r="L201" s="4" t="s">
        <v>206</v>
      </c>
    </row>
    <row r="202" spans="1:12">
      <c r="A202" s="3">
        <v>44597.995300925926</v>
      </c>
      <c r="B202" s="4">
        <v>286755913</v>
      </c>
      <c r="C202" s="4" t="s">
        <v>222</v>
      </c>
      <c r="D202" s="4" t="s">
        <v>9</v>
      </c>
      <c r="E202" s="5">
        <v>2000</v>
      </c>
      <c r="F202" s="5">
        <v>2000</v>
      </c>
      <c r="G202" s="5">
        <v>1400</v>
      </c>
      <c r="H202" s="4"/>
      <c r="I202" s="4" t="s">
        <v>159</v>
      </c>
      <c r="J202" s="4" t="s">
        <v>460</v>
      </c>
      <c r="K202" s="4" t="s">
        <v>11</v>
      </c>
      <c r="L202" s="4" t="s">
        <v>144</v>
      </c>
    </row>
    <row r="203" spans="1:12">
      <c r="A203" s="3">
        <v>44598.027326388888</v>
      </c>
      <c r="B203" s="4">
        <v>286896672</v>
      </c>
      <c r="C203" s="4" t="s">
        <v>248</v>
      </c>
      <c r="D203" s="4" t="s">
        <v>9</v>
      </c>
      <c r="E203" s="5">
        <v>2500</v>
      </c>
      <c r="F203" s="5">
        <v>2500</v>
      </c>
      <c r="G203" s="5">
        <v>1750</v>
      </c>
      <c r="H203" s="4"/>
      <c r="I203" s="4" t="s">
        <v>158</v>
      </c>
      <c r="J203" s="4" t="s">
        <v>460</v>
      </c>
      <c r="K203" s="4" t="s">
        <v>11</v>
      </c>
      <c r="L203" s="4" t="s">
        <v>141</v>
      </c>
    </row>
    <row r="204" spans="1:12">
      <c r="A204" s="3">
        <v>44598.027326388888</v>
      </c>
      <c r="B204" s="4">
        <v>287834730</v>
      </c>
      <c r="C204" s="4" t="s">
        <v>275</v>
      </c>
      <c r="D204" s="4" t="s">
        <v>9</v>
      </c>
      <c r="E204" s="5">
        <v>2000</v>
      </c>
      <c r="F204" s="5">
        <v>2000</v>
      </c>
      <c r="G204" s="5">
        <v>1400</v>
      </c>
      <c r="H204" s="4"/>
      <c r="I204" s="4" t="s">
        <v>169</v>
      </c>
      <c r="J204" s="4" t="s">
        <v>460</v>
      </c>
      <c r="K204" s="4" t="s">
        <v>11</v>
      </c>
      <c r="L204" s="4" t="s">
        <v>206</v>
      </c>
    </row>
    <row r="205" spans="1:12">
      <c r="A205" s="3">
        <v>44598.190347222226</v>
      </c>
      <c r="B205" s="4">
        <v>287834730</v>
      </c>
      <c r="C205" s="4" t="s">
        <v>275</v>
      </c>
      <c r="D205" s="4" t="s">
        <v>9</v>
      </c>
      <c r="E205" s="5">
        <v>2000</v>
      </c>
      <c r="F205" s="5">
        <v>2000</v>
      </c>
      <c r="G205" s="5">
        <v>1400</v>
      </c>
      <c r="H205" s="4"/>
      <c r="I205" s="4" t="s">
        <v>169</v>
      </c>
      <c r="J205" s="4" t="s">
        <v>460</v>
      </c>
      <c r="K205" s="4" t="s">
        <v>11</v>
      </c>
      <c r="L205" s="4" t="s">
        <v>206</v>
      </c>
    </row>
    <row r="206" spans="1:12">
      <c r="A206" s="3">
        <v>44598.239189814813</v>
      </c>
      <c r="B206" s="4">
        <v>287086652</v>
      </c>
      <c r="C206" s="4" t="s">
        <v>220</v>
      </c>
      <c r="D206" s="4" t="s">
        <v>9</v>
      </c>
      <c r="E206" s="5">
        <v>2000</v>
      </c>
      <c r="F206" s="5">
        <v>2000</v>
      </c>
      <c r="G206" s="5">
        <v>1400</v>
      </c>
      <c r="H206" s="4"/>
      <c r="I206" s="4" t="s">
        <v>162</v>
      </c>
      <c r="J206" s="4" t="s">
        <v>460</v>
      </c>
      <c r="K206" s="4" t="s">
        <v>11</v>
      </c>
      <c r="L206" s="4" t="s">
        <v>150</v>
      </c>
    </row>
    <row r="207" spans="1:12">
      <c r="A207" s="3">
        <v>44598.344756944447</v>
      </c>
      <c r="B207" s="4">
        <v>287834730</v>
      </c>
      <c r="C207" s="4" t="s">
        <v>275</v>
      </c>
      <c r="D207" s="4" t="s">
        <v>9</v>
      </c>
      <c r="E207" s="5">
        <v>2000</v>
      </c>
      <c r="F207" s="5">
        <v>2000</v>
      </c>
      <c r="G207" s="5">
        <v>1400</v>
      </c>
      <c r="H207" s="4"/>
      <c r="I207" s="4" t="s">
        <v>169</v>
      </c>
      <c r="J207" s="4" t="s">
        <v>460</v>
      </c>
      <c r="K207" s="4" t="s">
        <v>11</v>
      </c>
      <c r="L207" s="4" t="s">
        <v>206</v>
      </c>
    </row>
    <row r="208" spans="1:12">
      <c r="A208" s="3">
        <v>44598.43513888889</v>
      </c>
      <c r="B208" s="4">
        <v>287086652</v>
      </c>
      <c r="C208" s="4" t="s">
        <v>220</v>
      </c>
      <c r="D208" s="4" t="s">
        <v>9</v>
      </c>
      <c r="E208" s="5">
        <v>2000</v>
      </c>
      <c r="F208" s="5">
        <v>2000</v>
      </c>
      <c r="G208" s="5">
        <v>1400</v>
      </c>
      <c r="H208" s="4"/>
      <c r="I208" s="4" t="s">
        <v>162</v>
      </c>
      <c r="J208" s="4" t="s">
        <v>460</v>
      </c>
      <c r="K208" s="4" t="s">
        <v>11</v>
      </c>
      <c r="L208" s="4" t="s">
        <v>150</v>
      </c>
    </row>
    <row r="209" spans="1:12">
      <c r="A209" s="3">
        <v>44598.473020833335</v>
      </c>
      <c r="B209" s="4">
        <v>287086652</v>
      </c>
      <c r="C209" s="4" t="s">
        <v>220</v>
      </c>
      <c r="D209" s="4" t="s">
        <v>9</v>
      </c>
      <c r="E209" s="5">
        <v>2000</v>
      </c>
      <c r="F209" s="5">
        <v>2000</v>
      </c>
      <c r="G209" s="5">
        <v>1400</v>
      </c>
      <c r="H209" s="4"/>
      <c r="I209" s="4" t="s">
        <v>162</v>
      </c>
      <c r="J209" s="4" t="s">
        <v>460</v>
      </c>
      <c r="K209" s="4" t="s">
        <v>11</v>
      </c>
      <c r="L209" s="4" t="s">
        <v>150</v>
      </c>
    </row>
    <row r="210" spans="1:12">
      <c r="A210" s="3">
        <v>44598.51158564815</v>
      </c>
      <c r="B210" s="4">
        <v>287834730</v>
      </c>
      <c r="C210" s="4" t="s">
        <v>275</v>
      </c>
      <c r="D210" s="4" t="s">
        <v>9</v>
      </c>
      <c r="E210" s="5">
        <v>2000</v>
      </c>
      <c r="F210" s="5">
        <v>2000</v>
      </c>
      <c r="G210" s="5">
        <v>1400</v>
      </c>
      <c r="H210" s="4"/>
      <c r="I210" s="4" t="s">
        <v>169</v>
      </c>
      <c r="J210" s="4" t="s">
        <v>460</v>
      </c>
      <c r="K210" s="4" t="s">
        <v>11</v>
      </c>
      <c r="L210" s="4" t="s">
        <v>206</v>
      </c>
    </row>
    <row r="211" spans="1:12">
      <c r="A211" s="3">
        <v>44598.556076388886</v>
      </c>
      <c r="B211" s="4">
        <v>287086652</v>
      </c>
      <c r="C211" s="4" t="s">
        <v>220</v>
      </c>
      <c r="D211" s="4" t="s">
        <v>9</v>
      </c>
      <c r="E211" s="5">
        <v>2000</v>
      </c>
      <c r="F211" s="5">
        <v>2000</v>
      </c>
      <c r="G211" s="5">
        <v>1400</v>
      </c>
      <c r="H211" s="4"/>
      <c r="I211" s="4" t="s">
        <v>162</v>
      </c>
      <c r="J211" s="4" t="s">
        <v>460</v>
      </c>
      <c r="K211" s="4" t="s">
        <v>11</v>
      </c>
      <c r="L211" s="4" t="s">
        <v>150</v>
      </c>
    </row>
    <row r="212" spans="1:12">
      <c r="A212" s="3">
        <v>44598.643194444441</v>
      </c>
      <c r="B212" s="4">
        <v>287834730</v>
      </c>
      <c r="C212" s="4" t="s">
        <v>275</v>
      </c>
      <c r="D212" s="4" t="s">
        <v>9</v>
      </c>
      <c r="E212" s="5">
        <v>2000</v>
      </c>
      <c r="F212" s="5">
        <v>2000</v>
      </c>
      <c r="G212" s="5">
        <v>1400</v>
      </c>
      <c r="H212" s="4"/>
      <c r="I212" s="4" t="s">
        <v>169</v>
      </c>
      <c r="J212" s="4" t="s">
        <v>460</v>
      </c>
      <c r="K212" s="4" t="s">
        <v>11</v>
      </c>
      <c r="L212" s="4" t="s">
        <v>206</v>
      </c>
    </row>
    <row r="213" spans="1:12">
      <c r="A213" s="3">
        <v>44598.647962962961</v>
      </c>
      <c r="B213" s="4">
        <v>287086652</v>
      </c>
      <c r="C213" s="4" t="s">
        <v>220</v>
      </c>
      <c r="D213" s="4" t="s">
        <v>9</v>
      </c>
      <c r="E213" s="5">
        <v>2000</v>
      </c>
      <c r="F213" s="5">
        <v>2000</v>
      </c>
      <c r="G213" s="5">
        <v>1400</v>
      </c>
      <c r="H213" s="4"/>
      <c r="I213" s="4" t="s">
        <v>162</v>
      </c>
      <c r="J213" s="4" t="s">
        <v>460</v>
      </c>
      <c r="K213" s="4" t="s">
        <v>11</v>
      </c>
      <c r="L213" s="4" t="s">
        <v>150</v>
      </c>
    </row>
    <row r="214" spans="1:12">
      <c r="A214" s="3">
        <v>44598.73233796296</v>
      </c>
      <c r="B214" s="4">
        <v>287834730</v>
      </c>
      <c r="C214" s="4" t="s">
        <v>275</v>
      </c>
      <c r="D214" s="4" t="s">
        <v>9</v>
      </c>
      <c r="E214" s="5">
        <v>2000</v>
      </c>
      <c r="F214" s="5">
        <v>2000</v>
      </c>
      <c r="G214" s="5">
        <v>1400</v>
      </c>
      <c r="H214" s="4"/>
      <c r="I214" s="4" t="s">
        <v>169</v>
      </c>
      <c r="J214" s="4" t="s">
        <v>460</v>
      </c>
      <c r="K214" s="4" t="s">
        <v>11</v>
      </c>
      <c r="L214" s="4" t="s">
        <v>206</v>
      </c>
    </row>
    <row r="215" spans="1:12">
      <c r="A215" s="3">
        <v>44598.736041666663</v>
      </c>
      <c r="B215" s="4">
        <v>287834730</v>
      </c>
      <c r="C215" s="4" t="s">
        <v>275</v>
      </c>
      <c r="D215" s="4" t="s">
        <v>9</v>
      </c>
      <c r="E215" s="5">
        <v>2000</v>
      </c>
      <c r="F215" s="5">
        <v>2000</v>
      </c>
      <c r="G215" s="5">
        <v>1400</v>
      </c>
      <c r="H215" s="4"/>
      <c r="I215" s="4" t="s">
        <v>169</v>
      </c>
      <c r="J215" s="4" t="s">
        <v>460</v>
      </c>
      <c r="K215" s="4" t="s">
        <v>11</v>
      </c>
      <c r="L215" s="4" t="s">
        <v>206</v>
      </c>
    </row>
    <row r="216" spans="1:12">
      <c r="A216" s="3">
        <v>44598.748368055552</v>
      </c>
      <c r="B216" s="4">
        <v>287834730</v>
      </c>
      <c r="C216" s="4" t="s">
        <v>275</v>
      </c>
      <c r="D216" s="4" t="s">
        <v>9</v>
      </c>
      <c r="E216" s="5">
        <v>2000</v>
      </c>
      <c r="F216" s="5">
        <v>2000</v>
      </c>
      <c r="G216" s="5">
        <v>1400</v>
      </c>
      <c r="H216" s="4"/>
      <c r="I216" s="4" t="s">
        <v>169</v>
      </c>
      <c r="J216" s="4" t="s">
        <v>460</v>
      </c>
      <c r="K216" s="4" t="s">
        <v>11</v>
      </c>
      <c r="L216" s="4" t="s">
        <v>206</v>
      </c>
    </row>
    <row r="217" spans="1:12">
      <c r="A217" s="3">
        <v>44598.748368055552</v>
      </c>
      <c r="B217" s="4">
        <v>286896672</v>
      </c>
      <c r="C217" s="4" t="s">
        <v>248</v>
      </c>
      <c r="D217" s="4" t="s">
        <v>9</v>
      </c>
      <c r="E217" s="5">
        <v>2500</v>
      </c>
      <c r="F217" s="5">
        <v>2500</v>
      </c>
      <c r="G217" s="5">
        <v>1750</v>
      </c>
      <c r="H217" s="4"/>
      <c r="I217" s="4" t="s">
        <v>158</v>
      </c>
      <c r="J217" s="4" t="s">
        <v>460</v>
      </c>
      <c r="K217" s="4" t="s">
        <v>11</v>
      </c>
      <c r="L217" s="4" t="s">
        <v>141</v>
      </c>
    </row>
    <row r="218" spans="1:12">
      <c r="A218" s="3">
        <v>44598.864328703705</v>
      </c>
      <c r="B218" s="4">
        <v>287834730</v>
      </c>
      <c r="C218" s="4" t="s">
        <v>275</v>
      </c>
      <c r="D218" s="4" t="s">
        <v>9</v>
      </c>
      <c r="E218" s="5">
        <v>2000</v>
      </c>
      <c r="F218" s="5">
        <v>2000</v>
      </c>
      <c r="G218" s="5">
        <v>1400</v>
      </c>
      <c r="H218" s="4"/>
      <c r="I218" s="4" t="s">
        <v>169</v>
      </c>
      <c r="J218" s="4" t="s">
        <v>460</v>
      </c>
      <c r="K218" s="4" t="s">
        <v>11</v>
      </c>
      <c r="L218" s="4" t="s">
        <v>206</v>
      </c>
    </row>
    <row r="219" spans="1:12">
      <c r="A219" s="3">
        <v>44598.904305555552</v>
      </c>
      <c r="B219" s="4">
        <v>287086652</v>
      </c>
      <c r="C219" s="4" t="s">
        <v>220</v>
      </c>
      <c r="D219" s="4" t="s">
        <v>9</v>
      </c>
      <c r="E219" s="5">
        <v>2000</v>
      </c>
      <c r="F219" s="5">
        <v>2000</v>
      </c>
      <c r="G219" s="5">
        <v>1400</v>
      </c>
      <c r="H219" s="4"/>
      <c r="I219" s="4" t="s">
        <v>162</v>
      </c>
      <c r="J219" s="4" t="s">
        <v>460</v>
      </c>
      <c r="K219" s="4" t="s">
        <v>11</v>
      </c>
      <c r="L219" s="4" t="s">
        <v>150</v>
      </c>
    </row>
    <row r="220" spans="1:12">
      <c r="A220" s="3">
        <v>44598.911666666667</v>
      </c>
      <c r="B220" s="4">
        <v>287086652</v>
      </c>
      <c r="C220" s="4" t="s">
        <v>220</v>
      </c>
      <c r="D220" s="4" t="s">
        <v>9</v>
      </c>
      <c r="E220" s="5">
        <v>2000</v>
      </c>
      <c r="F220" s="5">
        <v>2000</v>
      </c>
      <c r="G220" s="5">
        <v>1400</v>
      </c>
      <c r="H220" s="4"/>
      <c r="I220" s="4" t="s">
        <v>162</v>
      </c>
      <c r="J220" s="4" t="s">
        <v>460</v>
      </c>
      <c r="K220" s="4" t="s">
        <v>11</v>
      </c>
      <c r="L220" s="4" t="s">
        <v>150</v>
      </c>
    </row>
    <row r="221" spans="1:12">
      <c r="A221" s="3">
        <v>44598.915937500002</v>
      </c>
      <c r="B221" s="4">
        <v>286755913</v>
      </c>
      <c r="C221" s="4" t="s">
        <v>222</v>
      </c>
      <c r="D221" s="4" t="s">
        <v>9</v>
      </c>
      <c r="E221" s="5">
        <v>2000</v>
      </c>
      <c r="F221" s="5">
        <v>2000</v>
      </c>
      <c r="G221" s="5">
        <v>1400</v>
      </c>
      <c r="H221" s="4"/>
      <c r="I221" s="4" t="s">
        <v>159</v>
      </c>
      <c r="J221" s="4" t="s">
        <v>460</v>
      </c>
      <c r="K221" s="4" t="s">
        <v>11</v>
      </c>
      <c r="L221" s="4" t="s">
        <v>144</v>
      </c>
    </row>
    <row r="222" spans="1:12">
      <c r="A222" s="3">
        <v>44598.920405092591</v>
      </c>
      <c r="B222" s="4">
        <v>287834730</v>
      </c>
      <c r="C222" s="4" t="s">
        <v>275</v>
      </c>
      <c r="D222" s="4" t="s">
        <v>9</v>
      </c>
      <c r="E222" s="5">
        <v>2000</v>
      </c>
      <c r="F222" s="5">
        <v>2000</v>
      </c>
      <c r="G222" s="5">
        <v>1400</v>
      </c>
      <c r="H222" s="4"/>
      <c r="I222" s="4" t="s">
        <v>169</v>
      </c>
      <c r="J222" s="4" t="s">
        <v>460</v>
      </c>
      <c r="K222" s="4" t="s">
        <v>11</v>
      </c>
      <c r="L222" s="4" t="s">
        <v>206</v>
      </c>
    </row>
    <row r="223" spans="1:12">
      <c r="A223" s="3">
        <v>44598.926111111112</v>
      </c>
      <c r="B223" s="4">
        <v>287834730</v>
      </c>
      <c r="C223" s="4" t="s">
        <v>275</v>
      </c>
      <c r="D223" s="4" t="s">
        <v>9</v>
      </c>
      <c r="E223" s="5">
        <v>2000</v>
      </c>
      <c r="F223" s="5">
        <v>2000</v>
      </c>
      <c r="G223" s="5">
        <v>1400</v>
      </c>
      <c r="H223" s="4"/>
      <c r="I223" s="4" t="s">
        <v>169</v>
      </c>
      <c r="J223" s="4" t="s">
        <v>460</v>
      </c>
      <c r="K223" s="4" t="s">
        <v>11</v>
      </c>
      <c r="L223" s="4" t="s">
        <v>206</v>
      </c>
    </row>
    <row r="224" spans="1:12">
      <c r="A224" s="3">
        <v>44598.935879629629</v>
      </c>
      <c r="B224" s="4">
        <v>287366429</v>
      </c>
      <c r="C224" s="4" t="s">
        <v>225</v>
      </c>
      <c r="D224" s="4" t="s">
        <v>9</v>
      </c>
      <c r="E224" s="5">
        <v>2000</v>
      </c>
      <c r="F224" s="5">
        <v>2000</v>
      </c>
      <c r="G224" s="5">
        <v>1400</v>
      </c>
      <c r="H224" s="4"/>
      <c r="I224" s="4" t="s">
        <v>166</v>
      </c>
      <c r="J224" s="4" t="s">
        <v>460</v>
      </c>
      <c r="K224" s="4" t="s">
        <v>11</v>
      </c>
      <c r="L224" s="4" t="s">
        <v>152</v>
      </c>
    </row>
    <row r="225" spans="1:12">
      <c r="A225" s="3">
        <v>44598.951469907406</v>
      </c>
      <c r="B225" s="4">
        <v>287834730</v>
      </c>
      <c r="C225" s="4" t="s">
        <v>275</v>
      </c>
      <c r="D225" s="4" t="s">
        <v>9</v>
      </c>
      <c r="E225" s="5">
        <v>2000</v>
      </c>
      <c r="F225" s="5">
        <v>2000</v>
      </c>
      <c r="G225" s="5">
        <v>1400</v>
      </c>
      <c r="H225" s="4"/>
      <c r="I225" s="4" t="s">
        <v>169</v>
      </c>
      <c r="J225" s="4" t="s">
        <v>460</v>
      </c>
      <c r="K225" s="4" t="s">
        <v>11</v>
      </c>
      <c r="L225" s="4" t="s">
        <v>206</v>
      </c>
    </row>
    <row r="226" spans="1:12">
      <c r="A226" s="3">
        <v>44598.963495370372</v>
      </c>
      <c r="B226" s="4">
        <v>287086652</v>
      </c>
      <c r="C226" s="4" t="s">
        <v>220</v>
      </c>
      <c r="D226" s="4" t="s">
        <v>9</v>
      </c>
      <c r="E226" s="5">
        <v>2000</v>
      </c>
      <c r="F226" s="5">
        <v>2000</v>
      </c>
      <c r="G226" s="5">
        <v>1400</v>
      </c>
      <c r="H226" s="4"/>
      <c r="I226" s="4" t="s">
        <v>162</v>
      </c>
      <c r="J226" s="4" t="s">
        <v>460</v>
      </c>
      <c r="K226" s="4" t="s">
        <v>11</v>
      </c>
      <c r="L226" s="4" t="s">
        <v>150</v>
      </c>
    </row>
    <row r="227" spans="1:12">
      <c r="A227" s="3">
        <v>44598.998055555552</v>
      </c>
      <c r="B227" s="4">
        <v>287834730</v>
      </c>
      <c r="C227" s="4" t="s">
        <v>275</v>
      </c>
      <c r="D227" s="4" t="s">
        <v>9</v>
      </c>
      <c r="E227" s="5">
        <v>2000</v>
      </c>
      <c r="F227" s="5">
        <v>2000</v>
      </c>
      <c r="G227" s="5">
        <v>1400</v>
      </c>
      <c r="H227" s="4"/>
      <c r="I227" s="4" t="s">
        <v>169</v>
      </c>
      <c r="J227" s="4" t="s">
        <v>460</v>
      </c>
      <c r="K227" s="4" t="s">
        <v>11</v>
      </c>
      <c r="L227" s="4" t="s">
        <v>206</v>
      </c>
    </row>
    <row r="228" spans="1:12">
      <c r="A228" s="3">
        <v>44599.004247685189</v>
      </c>
      <c r="B228" s="4">
        <v>287834730</v>
      </c>
      <c r="C228" s="4" t="s">
        <v>275</v>
      </c>
      <c r="D228" s="4" t="s">
        <v>9</v>
      </c>
      <c r="E228" s="5">
        <v>2000</v>
      </c>
      <c r="F228" s="5">
        <v>2000</v>
      </c>
      <c r="G228" s="5">
        <v>1400</v>
      </c>
      <c r="H228" s="4"/>
      <c r="I228" s="4" t="s">
        <v>169</v>
      </c>
      <c r="J228" s="4" t="s">
        <v>460</v>
      </c>
      <c r="K228" s="4" t="s">
        <v>11</v>
      </c>
      <c r="L228" s="4" t="s">
        <v>206</v>
      </c>
    </row>
    <row r="229" spans="1:12">
      <c r="A229" s="3">
        <v>44599.065000000002</v>
      </c>
      <c r="B229" s="4">
        <v>287834730</v>
      </c>
      <c r="C229" s="4" t="s">
        <v>275</v>
      </c>
      <c r="D229" s="4" t="s">
        <v>9</v>
      </c>
      <c r="E229" s="5">
        <v>2000</v>
      </c>
      <c r="F229" s="5">
        <v>2000</v>
      </c>
      <c r="G229" s="5">
        <v>1400</v>
      </c>
      <c r="H229" s="4"/>
      <c r="I229" s="4" t="s">
        <v>169</v>
      </c>
      <c r="J229" s="4" t="s">
        <v>460</v>
      </c>
      <c r="K229" s="4" t="s">
        <v>11</v>
      </c>
      <c r="L229" s="4" t="s">
        <v>206</v>
      </c>
    </row>
    <row r="230" spans="1:12">
      <c r="A230" s="3">
        <v>44599.083877314813</v>
      </c>
      <c r="B230" s="4">
        <v>287834730</v>
      </c>
      <c r="C230" s="4" t="s">
        <v>275</v>
      </c>
      <c r="D230" s="4" t="s">
        <v>9</v>
      </c>
      <c r="E230" s="5">
        <v>2000</v>
      </c>
      <c r="F230" s="5">
        <v>2000</v>
      </c>
      <c r="G230" s="5">
        <v>1400</v>
      </c>
      <c r="H230" s="4"/>
      <c r="I230" s="4" t="s">
        <v>169</v>
      </c>
      <c r="J230" s="4" t="s">
        <v>460</v>
      </c>
      <c r="K230" s="4" t="s">
        <v>11</v>
      </c>
      <c r="L230" s="4" t="s">
        <v>206</v>
      </c>
    </row>
    <row r="231" spans="1:12">
      <c r="A231" s="3">
        <v>44599.090775462966</v>
      </c>
      <c r="B231" s="4">
        <v>287086652</v>
      </c>
      <c r="C231" s="4" t="s">
        <v>220</v>
      </c>
      <c r="D231" s="4" t="s">
        <v>9</v>
      </c>
      <c r="E231" s="5">
        <v>2000</v>
      </c>
      <c r="F231" s="5">
        <v>2000</v>
      </c>
      <c r="G231" s="5">
        <v>1400</v>
      </c>
      <c r="H231" s="4"/>
      <c r="I231" s="4" t="s">
        <v>162</v>
      </c>
      <c r="J231" s="4" t="s">
        <v>460</v>
      </c>
      <c r="K231" s="4" t="s">
        <v>11</v>
      </c>
      <c r="L231" s="4" t="s">
        <v>150</v>
      </c>
    </row>
    <row r="232" spans="1:12">
      <c r="A232" s="3">
        <v>44599.298946759256</v>
      </c>
      <c r="B232" s="4">
        <v>287834730</v>
      </c>
      <c r="C232" s="4" t="s">
        <v>275</v>
      </c>
      <c r="D232" s="4" t="s">
        <v>9</v>
      </c>
      <c r="E232" s="5">
        <v>2000</v>
      </c>
      <c r="F232" s="5">
        <v>2000</v>
      </c>
      <c r="G232" s="5">
        <v>1400</v>
      </c>
      <c r="H232" s="4"/>
      <c r="I232" s="4" t="s">
        <v>169</v>
      </c>
      <c r="J232" s="4" t="s">
        <v>460</v>
      </c>
      <c r="K232" s="4" t="s">
        <v>11</v>
      </c>
      <c r="L232" s="4" t="s">
        <v>206</v>
      </c>
    </row>
    <row r="233" spans="1:12">
      <c r="A233" s="3">
        <v>44599.308483796296</v>
      </c>
      <c r="B233" s="4">
        <v>287834730</v>
      </c>
      <c r="C233" s="4" t="s">
        <v>275</v>
      </c>
      <c r="D233" s="4" t="s">
        <v>9</v>
      </c>
      <c r="E233" s="5">
        <v>2000</v>
      </c>
      <c r="F233" s="5">
        <v>2000</v>
      </c>
      <c r="G233" s="5">
        <v>1400</v>
      </c>
      <c r="H233" s="4"/>
      <c r="I233" s="4" t="s">
        <v>169</v>
      </c>
      <c r="J233" s="4" t="s">
        <v>460</v>
      </c>
      <c r="K233" s="4" t="s">
        <v>11</v>
      </c>
      <c r="L233" s="4" t="s">
        <v>206</v>
      </c>
    </row>
    <row r="234" spans="1:12">
      <c r="A234" s="3">
        <v>44599.349814814814</v>
      </c>
      <c r="B234" s="4">
        <v>287834730</v>
      </c>
      <c r="C234" s="4" t="s">
        <v>275</v>
      </c>
      <c r="D234" s="4" t="s">
        <v>9</v>
      </c>
      <c r="E234" s="5">
        <v>2000</v>
      </c>
      <c r="F234" s="5">
        <v>2000</v>
      </c>
      <c r="G234" s="5">
        <v>1400</v>
      </c>
      <c r="H234" s="4"/>
      <c r="I234" s="4" t="s">
        <v>169</v>
      </c>
      <c r="J234" s="4" t="s">
        <v>460</v>
      </c>
      <c r="K234" s="4" t="s">
        <v>11</v>
      </c>
      <c r="L234" s="4" t="s">
        <v>206</v>
      </c>
    </row>
    <row r="235" spans="1:12">
      <c r="A235" s="3">
        <v>44599.413645833331</v>
      </c>
      <c r="B235" s="4">
        <v>287834730</v>
      </c>
      <c r="C235" s="4" t="s">
        <v>275</v>
      </c>
      <c r="D235" s="4" t="s">
        <v>9</v>
      </c>
      <c r="E235" s="5">
        <v>2000</v>
      </c>
      <c r="F235" s="5">
        <v>2000</v>
      </c>
      <c r="G235" s="5">
        <v>1400</v>
      </c>
      <c r="H235" s="4"/>
      <c r="I235" s="4" t="s">
        <v>169</v>
      </c>
      <c r="J235" s="4" t="s">
        <v>460</v>
      </c>
      <c r="K235" s="4" t="s">
        <v>11</v>
      </c>
      <c r="L235" s="4" t="s">
        <v>206</v>
      </c>
    </row>
    <row r="236" spans="1:12">
      <c r="A236" s="3">
        <v>44599.424722222226</v>
      </c>
      <c r="B236" s="4">
        <v>287834730</v>
      </c>
      <c r="C236" s="4" t="s">
        <v>275</v>
      </c>
      <c r="D236" s="4" t="s">
        <v>9</v>
      </c>
      <c r="E236" s="5">
        <v>2000</v>
      </c>
      <c r="F236" s="5">
        <v>2000</v>
      </c>
      <c r="G236" s="5">
        <v>1400</v>
      </c>
      <c r="H236" s="4"/>
      <c r="I236" s="4" t="s">
        <v>169</v>
      </c>
      <c r="J236" s="4" t="s">
        <v>460</v>
      </c>
      <c r="K236" s="4" t="s">
        <v>11</v>
      </c>
      <c r="L236" s="4" t="s">
        <v>206</v>
      </c>
    </row>
    <row r="237" spans="1:12">
      <c r="A237" s="3">
        <v>44599.477685185186</v>
      </c>
      <c r="B237" s="4">
        <v>287086652</v>
      </c>
      <c r="C237" s="4" t="s">
        <v>220</v>
      </c>
      <c r="D237" s="4" t="s">
        <v>9</v>
      </c>
      <c r="E237" s="5">
        <v>2000</v>
      </c>
      <c r="F237" s="5">
        <v>2000</v>
      </c>
      <c r="G237" s="5">
        <v>1400</v>
      </c>
      <c r="H237" s="4"/>
      <c r="I237" s="4" t="s">
        <v>162</v>
      </c>
      <c r="J237" s="4" t="s">
        <v>460</v>
      </c>
      <c r="K237" s="4" t="s">
        <v>11</v>
      </c>
      <c r="L237" s="4" t="s">
        <v>150</v>
      </c>
    </row>
    <row r="238" spans="1:12">
      <c r="A238" s="3">
        <v>44599.57271990741</v>
      </c>
      <c r="B238" s="4">
        <v>287834730</v>
      </c>
      <c r="C238" s="4" t="s">
        <v>275</v>
      </c>
      <c r="D238" s="4" t="s">
        <v>9</v>
      </c>
      <c r="E238" s="5">
        <v>2000</v>
      </c>
      <c r="F238" s="5">
        <v>2000</v>
      </c>
      <c r="G238" s="5">
        <v>1400</v>
      </c>
      <c r="H238" s="4"/>
      <c r="I238" s="4" t="s">
        <v>169</v>
      </c>
      <c r="J238" s="4" t="s">
        <v>460</v>
      </c>
      <c r="K238" s="4" t="s">
        <v>11</v>
      </c>
      <c r="L238" s="4" t="s">
        <v>206</v>
      </c>
    </row>
    <row r="239" spans="1:12">
      <c r="A239" s="3">
        <v>44599.635289351849</v>
      </c>
      <c r="B239" s="4">
        <v>287834730</v>
      </c>
      <c r="C239" s="4" t="s">
        <v>275</v>
      </c>
      <c r="D239" s="4" t="s">
        <v>9</v>
      </c>
      <c r="E239" s="5">
        <v>2000</v>
      </c>
      <c r="F239" s="5">
        <v>2000</v>
      </c>
      <c r="G239" s="5">
        <v>1400</v>
      </c>
      <c r="H239" s="4"/>
      <c r="I239" s="4" t="s">
        <v>169</v>
      </c>
      <c r="J239" s="4" t="s">
        <v>460</v>
      </c>
      <c r="K239" s="4" t="s">
        <v>11</v>
      </c>
      <c r="L239" s="4" t="s">
        <v>206</v>
      </c>
    </row>
    <row r="240" spans="1:12">
      <c r="A240" s="3">
        <v>44599.650312500002</v>
      </c>
      <c r="B240" s="4">
        <v>287086652</v>
      </c>
      <c r="C240" s="4" t="s">
        <v>220</v>
      </c>
      <c r="D240" s="4" t="s">
        <v>9</v>
      </c>
      <c r="E240" s="5">
        <v>2000</v>
      </c>
      <c r="F240" s="5">
        <v>2000</v>
      </c>
      <c r="G240" s="5">
        <v>1400</v>
      </c>
      <c r="H240" s="4"/>
      <c r="I240" s="4" t="s">
        <v>162</v>
      </c>
      <c r="J240" s="4" t="s">
        <v>460</v>
      </c>
      <c r="K240" s="4" t="s">
        <v>11</v>
      </c>
      <c r="L240" s="4" t="s">
        <v>150</v>
      </c>
    </row>
    <row r="241" spans="1:12">
      <c r="A241" s="3">
        <v>44599.709722222222</v>
      </c>
      <c r="B241" s="4">
        <v>287834730</v>
      </c>
      <c r="C241" s="4" t="s">
        <v>275</v>
      </c>
      <c r="D241" s="4" t="s">
        <v>9</v>
      </c>
      <c r="E241" s="5">
        <v>2000</v>
      </c>
      <c r="F241" s="5">
        <v>2000</v>
      </c>
      <c r="G241" s="5">
        <v>1400</v>
      </c>
      <c r="H241" s="4"/>
      <c r="I241" s="4" t="s">
        <v>169</v>
      </c>
      <c r="J241" s="4" t="s">
        <v>460</v>
      </c>
      <c r="K241" s="4" t="s">
        <v>11</v>
      </c>
      <c r="L241" s="4" t="s">
        <v>206</v>
      </c>
    </row>
    <row r="242" spans="1:12">
      <c r="A242" s="3">
        <v>44599.725983796299</v>
      </c>
      <c r="B242" s="4">
        <v>287834730</v>
      </c>
      <c r="C242" s="4" t="s">
        <v>275</v>
      </c>
      <c r="D242" s="4" t="s">
        <v>9</v>
      </c>
      <c r="E242" s="5">
        <v>2000</v>
      </c>
      <c r="F242" s="5">
        <v>2000</v>
      </c>
      <c r="G242" s="5">
        <v>1400</v>
      </c>
      <c r="H242" s="4"/>
      <c r="I242" s="4" t="s">
        <v>169</v>
      </c>
      <c r="J242" s="4" t="s">
        <v>460</v>
      </c>
      <c r="K242" s="4" t="s">
        <v>11</v>
      </c>
      <c r="L242" s="4" t="s">
        <v>206</v>
      </c>
    </row>
    <row r="243" spans="1:12">
      <c r="A243" s="3">
        <v>44599.740381944444</v>
      </c>
      <c r="B243" s="4">
        <v>287834730</v>
      </c>
      <c r="C243" s="4" t="s">
        <v>275</v>
      </c>
      <c r="D243" s="4" t="s">
        <v>9</v>
      </c>
      <c r="E243" s="5">
        <v>2000</v>
      </c>
      <c r="F243" s="5">
        <v>2000</v>
      </c>
      <c r="G243" s="5">
        <v>1400</v>
      </c>
      <c r="H243" s="4"/>
      <c r="I243" s="4" t="s">
        <v>169</v>
      </c>
      <c r="J243" s="4" t="s">
        <v>460</v>
      </c>
      <c r="K243" s="4" t="s">
        <v>11</v>
      </c>
      <c r="L243" s="4" t="s">
        <v>206</v>
      </c>
    </row>
    <row r="244" spans="1:12">
      <c r="A244" s="3">
        <v>44599.789618055554</v>
      </c>
      <c r="B244" s="4">
        <v>287834730</v>
      </c>
      <c r="C244" s="4" t="s">
        <v>275</v>
      </c>
      <c r="D244" s="4" t="s">
        <v>9</v>
      </c>
      <c r="E244" s="5">
        <v>2000</v>
      </c>
      <c r="F244" s="5">
        <v>2000</v>
      </c>
      <c r="G244" s="5">
        <v>1400</v>
      </c>
      <c r="H244" s="4"/>
      <c r="I244" s="4" t="s">
        <v>169</v>
      </c>
      <c r="J244" s="4" t="s">
        <v>460</v>
      </c>
      <c r="K244" s="4" t="s">
        <v>11</v>
      </c>
      <c r="L244" s="4" t="s">
        <v>206</v>
      </c>
    </row>
    <row r="245" spans="1:12">
      <c r="A245" s="3">
        <v>44599.816620370373</v>
      </c>
      <c r="B245" s="4">
        <v>287834730</v>
      </c>
      <c r="C245" s="4" t="s">
        <v>275</v>
      </c>
      <c r="D245" s="4" t="s">
        <v>9</v>
      </c>
      <c r="E245" s="5">
        <v>2000</v>
      </c>
      <c r="F245" s="5">
        <v>2000</v>
      </c>
      <c r="G245" s="5">
        <v>1400</v>
      </c>
      <c r="H245" s="4"/>
      <c r="I245" s="4" t="s">
        <v>169</v>
      </c>
      <c r="J245" s="4" t="s">
        <v>460</v>
      </c>
      <c r="K245" s="4" t="s">
        <v>11</v>
      </c>
      <c r="L245" s="4" t="s">
        <v>206</v>
      </c>
    </row>
    <row r="246" spans="1:12">
      <c r="A246" s="3">
        <v>44599.820891203701</v>
      </c>
      <c r="B246" s="4">
        <v>287834730</v>
      </c>
      <c r="C246" s="4" t="s">
        <v>275</v>
      </c>
      <c r="D246" s="4" t="s">
        <v>9</v>
      </c>
      <c r="E246" s="5">
        <v>2000</v>
      </c>
      <c r="F246" s="5">
        <v>2000</v>
      </c>
      <c r="G246" s="5">
        <v>1400</v>
      </c>
      <c r="H246" s="4"/>
      <c r="I246" s="4" t="s">
        <v>169</v>
      </c>
      <c r="J246" s="4" t="s">
        <v>460</v>
      </c>
      <c r="K246" s="4" t="s">
        <v>11</v>
      </c>
      <c r="L246" s="4" t="s">
        <v>206</v>
      </c>
    </row>
    <row r="247" spans="1:12">
      <c r="A247" s="3">
        <v>44599.906157407408</v>
      </c>
      <c r="B247" s="4">
        <v>287834730</v>
      </c>
      <c r="C247" s="4" t="s">
        <v>275</v>
      </c>
      <c r="D247" s="4" t="s">
        <v>9</v>
      </c>
      <c r="E247" s="5">
        <v>-2000</v>
      </c>
      <c r="F247" s="5">
        <v>-2000</v>
      </c>
      <c r="G247" s="5">
        <v>-1400</v>
      </c>
      <c r="H247" s="3">
        <v>44599.820891203701</v>
      </c>
      <c r="I247" s="4" t="s">
        <v>169</v>
      </c>
      <c r="J247" s="4" t="s">
        <v>460</v>
      </c>
      <c r="K247" s="4" t="s">
        <v>11</v>
      </c>
      <c r="L247" s="4" t="s">
        <v>206</v>
      </c>
    </row>
    <row r="248" spans="1:12">
      <c r="A248" s="3">
        <v>44599.826574074075</v>
      </c>
      <c r="B248" s="4">
        <v>287834730</v>
      </c>
      <c r="C248" s="4" t="s">
        <v>275</v>
      </c>
      <c r="D248" s="4" t="s">
        <v>9</v>
      </c>
      <c r="E248" s="5">
        <v>2000</v>
      </c>
      <c r="F248" s="5">
        <v>2000</v>
      </c>
      <c r="G248" s="5">
        <v>1400</v>
      </c>
      <c r="H248" s="4"/>
      <c r="I248" s="4" t="s">
        <v>169</v>
      </c>
      <c r="J248" s="4" t="s">
        <v>460</v>
      </c>
      <c r="K248" s="4" t="s">
        <v>11</v>
      </c>
      <c r="L248" s="4" t="s">
        <v>206</v>
      </c>
    </row>
    <row r="249" spans="1:12">
      <c r="A249" s="3">
        <v>44599.827685185184</v>
      </c>
      <c r="B249" s="4">
        <v>287834730</v>
      </c>
      <c r="C249" s="4" t="s">
        <v>275</v>
      </c>
      <c r="D249" s="4" t="s">
        <v>9</v>
      </c>
      <c r="E249" s="5">
        <v>2000</v>
      </c>
      <c r="F249" s="5">
        <v>2000</v>
      </c>
      <c r="G249" s="5">
        <v>1400</v>
      </c>
      <c r="H249" s="4"/>
      <c r="I249" s="4" t="s">
        <v>169</v>
      </c>
      <c r="J249" s="4" t="s">
        <v>460</v>
      </c>
      <c r="K249" s="4" t="s">
        <v>11</v>
      </c>
      <c r="L249" s="4" t="s">
        <v>206</v>
      </c>
    </row>
    <row r="250" spans="1:12">
      <c r="A250" s="3">
        <v>44599.843321759261</v>
      </c>
      <c r="B250" s="4">
        <v>286405921</v>
      </c>
      <c r="C250" s="4" t="s">
        <v>245</v>
      </c>
      <c r="D250" s="4" t="s">
        <v>9</v>
      </c>
      <c r="E250" s="5">
        <v>2500</v>
      </c>
      <c r="F250" s="5">
        <v>2500</v>
      </c>
      <c r="G250" s="5">
        <v>1750</v>
      </c>
      <c r="H250" s="4"/>
      <c r="I250" s="4" t="s">
        <v>221</v>
      </c>
      <c r="J250" s="4" t="s">
        <v>460</v>
      </c>
      <c r="K250" s="4" t="s">
        <v>11</v>
      </c>
      <c r="L250" s="4" t="s">
        <v>137</v>
      </c>
    </row>
    <row r="251" spans="1:12">
      <c r="A251" s="3">
        <v>44599.876064814816</v>
      </c>
      <c r="B251" s="4">
        <v>287834730</v>
      </c>
      <c r="C251" s="4" t="s">
        <v>275</v>
      </c>
      <c r="D251" s="4" t="s">
        <v>9</v>
      </c>
      <c r="E251" s="5">
        <v>2000</v>
      </c>
      <c r="F251" s="5">
        <v>2000</v>
      </c>
      <c r="G251" s="5">
        <v>1400</v>
      </c>
      <c r="H251" s="4"/>
      <c r="I251" s="4" t="s">
        <v>169</v>
      </c>
      <c r="J251" s="4" t="s">
        <v>460</v>
      </c>
      <c r="K251" s="4" t="s">
        <v>11</v>
      </c>
      <c r="L251" s="4" t="s">
        <v>206</v>
      </c>
    </row>
    <row r="252" spans="1:12">
      <c r="A252" s="3">
        <v>44599.888032407405</v>
      </c>
      <c r="B252" s="4">
        <v>287834730</v>
      </c>
      <c r="C252" s="4" t="s">
        <v>275</v>
      </c>
      <c r="D252" s="4" t="s">
        <v>9</v>
      </c>
      <c r="E252" s="5">
        <v>2000</v>
      </c>
      <c r="F252" s="5">
        <v>2000</v>
      </c>
      <c r="G252" s="5">
        <v>1400</v>
      </c>
      <c r="H252" s="4"/>
      <c r="I252" s="4" t="s">
        <v>169</v>
      </c>
      <c r="J252" s="4" t="s">
        <v>460</v>
      </c>
      <c r="K252" s="4" t="s">
        <v>11</v>
      </c>
      <c r="L252" s="4" t="s">
        <v>206</v>
      </c>
    </row>
    <row r="253" spans="1:12">
      <c r="A253" s="3">
        <v>44599.904166666667</v>
      </c>
      <c r="B253" s="4">
        <v>287834730</v>
      </c>
      <c r="C253" s="4" t="s">
        <v>275</v>
      </c>
      <c r="D253" s="4" t="s">
        <v>9</v>
      </c>
      <c r="E253" s="5">
        <v>2000</v>
      </c>
      <c r="F253" s="5">
        <v>2000</v>
      </c>
      <c r="G253" s="5">
        <v>1400</v>
      </c>
      <c r="H253" s="4"/>
      <c r="I253" s="4" t="s">
        <v>169</v>
      </c>
      <c r="J253" s="4" t="s">
        <v>460</v>
      </c>
      <c r="K253" s="4" t="s">
        <v>11</v>
      </c>
      <c r="L253" s="4" t="s">
        <v>206</v>
      </c>
    </row>
    <row r="254" spans="1:12">
      <c r="A254" s="3">
        <v>44599.936111111114</v>
      </c>
      <c r="B254" s="4">
        <v>287834730</v>
      </c>
      <c r="C254" s="4" t="s">
        <v>275</v>
      </c>
      <c r="D254" s="4" t="s">
        <v>9</v>
      </c>
      <c r="E254" s="5">
        <v>2000</v>
      </c>
      <c r="F254" s="5">
        <v>2000</v>
      </c>
      <c r="G254" s="5">
        <v>1400</v>
      </c>
      <c r="H254" s="4"/>
      <c r="I254" s="4" t="s">
        <v>169</v>
      </c>
      <c r="J254" s="4" t="s">
        <v>460</v>
      </c>
      <c r="K254" s="4" t="s">
        <v>11</v>
      </c>
      <c r="L254" s="4" t="s">
        <v>206</v>
      </c>
    </row>
    <row r="255" spans="1:12">
      <c r="A255" s="3">
        <v>44599.937488425923</v>
      </c>
      <c r="B255" s="4">
        <v>287834730</v>
      </c>
      <c r="C255" s="4" t="s">
        <v>275</v>
      </c>
      <c r="D255" s="4" t="s">
        <v>9</v>
      </c>
      <c r="E255" s="5">
        <v>2000</v>
      </c>
      <c r="F255" s="5">
        <v>2000</v>
      </c>
      <c r="G255" s="5">
        <v>1400</v>
      </c>
      <c r="H255" s="4"/>
      <c r="I255" s="4" t="s">
        <v>169</v>
      </c>
      <c r="J255" s="4" t="s">
        <v>460</v>
      </c>
      <c r="K255" s="4" t="s">
        <v>11</v>
      </c>
      <c r="L255" s="4" t="s">
        <v>206</v>
      </c>
    </row>
    <row r="256" spans="1:12">
      <c r="A256" s="3">
        <v>44599.941782407404</v>
      </c>
      <c r="B256" s="4">
        <v>287834730</v>
      </c>
      <c r="C256" s="4" t="s">
        <v>275</v>
      </c>
      <c r="D256" s="4" t="s">
        <v>9</v>
      </c>
      <c r="E256" s="5">
        <v>2000</v>
      </c>
      <c r="F256" s="5">
        <v>2000</v>
      </c>
      <c r="G256" s="5">
        <v>1400</v>
      </c>
      <c r="H256" s="4"/>
      <c r="I256" s="4" t="s">
        <v>169</v>
      </c>
      <c r="J256" s="4" t="s">
        <v>460</v>
      </c>
      <c r="K256" s="4" t="s">
        <v>11</v>
      </c>
      <c r="L256" s="4" t="s">
        <v>206</v>
      </c>
    </row>
    <row r="257" spans="1:12">
      <c r="A257" s="3">
        <v>44599.96334490741</v>
      </c>
      <c r="B257" s="4">
        <v>286896672</v>
      </c>
      <c r="C257" s="4" t="s">
        <v>248</v>
      </c>
      <c r="D257" s="4" t="s">
        <v>9</v>
      </c>
      <c r="E257" s="5">
        <v>2500</v>
      </c>
      <c r="F257" s="5">
        <v>2500</v>
      </c>
      <c r="G257" s="5">
        <v>1750</v>
      </c>
      <c r="H257" s="4"/>
      <c r="I257" s="4" t="s">
        <v>158</v>
      </c>
      <c r="J257" s="4" t="s">
        <v>460</v>
      </c>
      <c r="K257" s="4" t="s">
        <v>11</v>
      </c>
      <c r="L257" s="4" t="s">
        <v>141</v>
      </c>
    </row>
    <row r="258" spans="1:12">
      <c r="A258" s="3">
        <v>44599.96466435185</v>
      </c>
      <c r="B258" s="4">
        <v>287834730</v>
      </c>
      <c r="C258" s="4" t="s">
        <v>275</v>
      </c>
      <c r="D258" s="4" t="s">
        <v>9</v>
      </c>
      <c r="E258" s="5">
        <v>2000</v>
      </c>
      <c r="F258" s="5">
        <v>2000</v>
      </c>
      <c r="G258" s="5">
        <v>1400</v>
      </c>
      <c r="H258" s="4"/>
      <c r="I258" s="4" t="s">
        <v>169</v>
      </c>
      <c r="J258" s="4" t="s">
        <v>460</v>
      </c>
      <c r="K258" s="4" t="s">
        <v>11</v>
      </c>
      <c r="L258" s="4" t="s">
        <v>206</v>
      </c>
    </row>
    <row r="259" spans="1:12">
      <c r="A259" s="3">
        <v>44599.967499999999</v>
      </c>
      <c r="B259" s="4">
        <v>287834730</v>
      </c>
      <c r="C259" s="4" t="s">
        <v>275</v>
      </c>
      <c r="D259" s="4" t="s">
        <v>9</v>
      </c>
      <c r="E259" s="5">
        <v>2000</v>
      </c>
      <c r="F259" s="5">
        <v>2000</v>
      </c>
      <c r="G259" s="5">
        <v>1400</v>
      </c>
      <c r="H259" s="4"/>
      <c r="I259" s="4" t="s">
        <v>169</v>
      </c>
      <c r="J259" s="4" t="s">
        <v>460</v>
      </c>
      <c r="K259" s="4" t="s">
        <v>11</v>
      </c>
      <c r="L259" s="4" t="s">
        <v>206</v>
      </c>
    </row>
    <row r="260" spans="1:12">
      <c r="A260" s="3">
        <v>44599.971400462964</v>
      </c>
      <c r="B260" s="4">
        <v>287086652</v>
      </c>
      <c r="C260" s="4" t="s">
        <v>220</v>
      </c>
      <c r="D260" s="4" t="s">
        <v>9</v>
      </c>
      <c r="E260" s="5">
        <v>2000</v>
      </c>
      <c r="F260" s="5">
        <v>2000</v>
      </c>
      <c r="G260" s="5">
        <v>1400</v>
      </c>
      <c r="H260" s="4"/>
      <c r="I260" s="4" t="s">
        <v>162</v>
      </c>
      <c r="J260" s="4" t="s">
        <v>460</v>
      </c>
      <c r="K260" s="4" t="s">
        <v>11</v>
      </c>
      <c r="L260" s="4" t="s">
        <v>150</v>
      </c>
    </row>
    <row r="261" spans="1:12">
      <c r="A261" s="3">
        <v>44599.971886574072</v>
      </c>
      <c r="B261" s="4">
        <v>287834730</v>
      </c>
      <c r="C261" s="4" t="s">
        <v>275</v>
      </c>
      <c r="D261" s="4" t="s">
        <v>9</v>
      </c>
      <c r="E261" s="5">
        <v>2000</v>
      </c>
      <c r="F261" s="5">
        <v>2000</v>
      </c>
      <c r="G261" s="5">
        <v>1400</v>
      </c>
      <c r="H261" s="4"/>
      <c r="I261" s="4" t="s">
        <v>169</v>
      </c>
      <c r="J261" s="4" t="s">
        <v>460</v>
      </c>
      <c r="K261" s="4" t="s">
        <v>11</v>
      </c>
      <c r="L261" s="4" t="s">
        <v>206</v>
      </c>
    </row>
    <row r="262" spans="1:12">
      <c r="A262" s="3">
        <v>44599.973900462966</v>
      </c>
      <c r="B262" s="4">
        <v>287834730</v>
      </c>
      <c r="C262" s="4" t="s">
        <v>275</v>
      </c>
      <c r="D262" s="4" t="s">
        <v>9</v>
      </c>
      <c r="E262" s="5">
        <v>2000</v>
      </c>
      <c r="F262" s="5">
        <v>2000</v>
      </c>
      <c r="G262" s="5">
        <v>1400</v>
      </c>
      <c r="H262" s="4"/>
      <c r="I262" s="4" t="s">
        <v>169</v>
      </c>
      <c r="J262" s="4" t="s">
        <v>460</v>
      </c>
      <c r="K262" s="4" t="s">
        <v>11</v>
      </c>
      <c r="L262" s="4" t="s">
        <v>206</v>
      </c>
    </row>
    <row r="263" spans="1:12">
      <c r="A263" s="3">
        <v>44599.98337962963</v>
      </c>
      <c r="B263" s="4">
        <v>287834730</v>
      </c>
      <c r="C263" s="4" t="s">
        <v>275</v>
      </c>
      <c r="D263" s="4" t="s">
        <v>9</v>
      </c>
      <c r="E263" s="5">
        <v>2000</v>
      </c>
      <c r="F263" s="5">
        <v>2000</v>
      </c>
      <c r="G263" s="5">
        <v>1400</v>
      </c>
      <c r="H263" s="4"/>
      <c r="I263" s="4" t="s">
        <v>169</v>
      </c>
      <c r="J263" s="4" t="s">
        <v>460</v>
      </c>
      <c r="K263" s="4" t="s">
        <v>11</v>
      </c>
      <c r="L263" s="4" t="s">
        <v>206</v>
      </c>
    </row>
    <row r="264" spans="1:12">
      <c r="A264" s="3">
        <v>44599.989444444444</v>
      </c>
      <c r="B264" s="4">
        <v>287834730</v>
      </c>
      <c r="C264" s="4" t="s">
        <v>275</v>
      </c>
      <c r="D264" s="4" t="s">
        <v>9</v>
      </c>
      <c r="E264" s="5">
        <v>2000</v>
      </c>
      <c r="F264" s="5">
        <v>2000</v>
      </c>
      <c r="G264" s="5">
        <v>1400</v>
      </c>
      <c r="H264" s="4"/>
      <c r="I264" s="4" t="s">
        <v>169</v>
      </c>
      <c r="J264" s="4" t="s">
        <v>460</v>
      </c>
      <c r="K264" s="4" t="s">
        <v>11</v>
      </c>
      <c r="L264" s="4" t="s">
        <v>206</v>
      </c>
    </row>
    <row r="265" spans="1:12">
      <c r="A265" s="3">
        <v>44599.995798611111</v>
      </c>
      <c r="B265" s="4">
        <v>287086652</v>
      </c>
      <c r="C265" s="4" t="s">
        <v>220</v>
      </c>
      <c r="D265" s="4" t="s">
        <v>9</v>
      </c>
      <c r="E265" s="5">
        <v>2000</v>
      </c>
      <c r="F265" s="5">
        <v>2000</v>
      </c>
      <c r="G265" s="5">
        <v>1400</v>
      </c>
      <c r="H265" s="4"/>
      <c r="I265" s="4" t="s">
        <v>162</v>
      </c>
      <c r="J265" s="4" t="s">
        <v>460</v>
      </c>
      <c r="K265" s="4" t="s">
        <v>11</v>
      </c>
      <c r="L265" s="4" t="s">
        <v>150</v>
      </c>
    </row>
    <row r="266" spans="1:12">
      <c r="A266" s="3">
        <v>44599.999606481484</v>
      </c>
      <c r="B266" s="4">
        <v>287834730</v>
      </c>
      <c r="C266" s="4" t="s">
        <v>275</v>
      </c>
      <c r="D266" s="4" t="s">
        <v>9</v>
      </c>
      <c r="E266" s="5">
        <v>2000</v>
      </c>
      <c r="F266" s="5">
        <v>2000</v>
      </c>
      <c r="G266" s="5">
        <v>1400</v>
      </c>
      <c r="H266" s="4"/>
      <c r="I266" s="4" t="s">
        <v>169</v>
      </c>
      <c r="J266" s="4" t="s">
        <v>460</v>
      </c>
      <c r="K266" s="4" t="s">
        <v>11</v>
      </c>
      <c r="L266" s="4" t="s">
        <v>206</v>
      </c>
    </row>
    <row r="267" spans="1:12">
      <c r="A267" s="3">
        <v>44600.006307870368</v>
      </c>
      <c r="B267" s="4">
        <v>287834730</v>
      </c>
      <c r="C267" s="4" t="s">
        <v>275</v>
      </c>
      <c r="D267" s="4" t="s">
        <v>9</v>
      </c>
      <c r="E267" s="5">
        <v>2000</v>
      </c>
      <c r="F267" s="5">
        <v>2000</v>
      </c>
      <c r="G267" s="5">
        <v>1400</v>
      </c>
      <c r="H267" s="4"/>
      <c r="I267" s="4" t="s">
        <v>169</v>
      </c>
      <c r="J267" s="4" t="s">
        <v>460</v>
      </c>
      <c r="K267" s="4" t="s">
        <v>11</v>
      </c>
      <c r="L267" s="4" t="s">
        <v>206</v>
      </c>
    </row>
    <row r="268" spans="1:12">
      <c r="A268" s="3">
        <v>44600.016319444447</v>
      </c>
      <c r="B268" s="4">
        <v>287834730</v>
      </c>
      <c r="C268" s="4" t="s">
        <v>275</v>
      </c>
      <c r="D268" s="4" t="s">
        <v>9</v>
      </c>
      <c r="E268" s="5">
        <v>2000</v>
      </c>
      <c r="F268" s="5">
        <v>2000</v>
      </c>
      <c r="G268" s="5">
        <v>1400</v>
      </c>
      <c r="H268" s="4"/>
      <c r="I268" s="4" t="s">
        <v>169</v>
      </c>
      <c r="J268" s="4" t="s">
        <v>460</v>
      </c>
      <c r="K268" s="4" t="s">
        <v>11</v>
      </c>
      <c r="L268" s="4" t="s">
        <v>206</v>
      </c>
    </row>
    <row r="269" spans="1:12">
      <c r="A269" s="3">
        <v>44600.026886574073</v>
      </c>
      <c r="B269" s="4">
        <v>287834730</v>
      </c>
      <c r="C269" s="4" t="s">
        <v>275</v>
      </c>
      <c r="D269" s="4" t="s">
        <v>9</v>
      </c>
      <c r="E269" s="5">
        <v>2000</v>
      </c>
      <c r="F269" s="5">
        <v>2000</v>
      </c>
      <c r="G269" s="5">
        <v>1400</v>
      </c>
      <c r="H269" s="4"/>
      <c r="I269" s="4" t="s">
        <v>169</v>
      </c>
      <c r="J269" s="4" t="s">
        <v>460</v>
      </c>
      <c r="K269" s="4" t="s">
        <v>11</v>
      </c>
      <c r="L269" s="4" t="s">
        <v>206</v>
      </c>
    </row>
    <row r="270" spans="1:12">
      <c r="A270" s="3">
        <v>44600.128888888888</v>
      </c>
      <c r="B270" s="4">
        <v>287086652</v>
      </c>
      <c r="C270" s="4" t="s">
        <v>220</v>
      </c>
      <c r="D270" s="4" t="s">
        <v>9</v>
      </c>
      <c r="E270" s="5">
        <v>2000</v>
      </c>
      <c r="F270" s="5">
        <v>2000</v>
      </c>
      <c r="G270" s="5">
        <v>1400</v>
      </c>
      <c r="H270" s="4"/>
      <c r="I270" s="4" t="s">
        <v>162</v>
      </c>
      <c r="J270" s="4" t="s">
        <v>460</v>
      </c>
      <c r="K270" s="4" t="s">
        <v>11</v>
      </c>
      <c r="L270" s="4" t="s">
        <v>150</v>
      </c>
    </row>
    <row r="271" spans="1:12">
      <c r="A271" s="3">
        <v>44600.182083333333</v>
      </c>
      <c r="B271" s="4">
        <v>287834730</v>
      </c>
      <c r="C271" s="4" t="s">
        <v>275</v>
      </c>
      <c r="D271" s="4" t="s">
        <v>9</v>
      </c>
      <c r="E271" s="5">
        <v>2000</v>
      </c>
      <c r="F271" s="5">
        <v>2000</v>
      </c>
      <c r="G271" s="5">
        <v>1400</v>
      </c>
      <c r="H271" s="4"/>
      <c r="I271" s="4" t="s">
        <v>169</v>
      </c>
      <c r="J271" s="4" t="s">
        <v>460</v>
      </c>
      <c r="K271" s="4" t="s">
        <v>11</v>
      </c>
      <c r="L271" s="4" t="s">
        <v>206</v>
      </c>
    </row>
    <row r="272" spans="1:12">
      <c r="A272" s="3">
        <v>44600.341215277775</v>
      </c>
      <c r="B272" s="4">
        <v>287834730</v>
      </c>
      <c r="C272" s="4" t="s">
        <v>275</v>
      </c>
      <c r="D272" s="4" t="s">
        <v>9</v>
      </c>
      <c r="E272" s="5">
        <v>2000</v>
      </c>
      <c r="F272" s="5">
        <v>2000</v>
      </c>
      <c r="G272" s="5">
        <v>1400</v>
      </c>
      <c r="H272" s="4"/>
      <c r="I272" s="4" t="s">
        <v>169</v>
      </c>
      <c r="J272" s="4" t="s">
        <v>460</v>
      </c>
      <c r="K272" s="4" t="s">
        <v>11</v>
      </c>
      <c r="L272" s="4" t="s">
        <v>206</v>
      </c>
    </row>
    <row r="273" spans="1:12">
      <c r="A273" s="3">
        <v>44600.363483796296</v>
      </c>
      <c r="B273" s="4">
        <v>287834730</v>
      </c>
      <c r="C273" s="4" t="s">
        <v>275</v>
      </c>
      <c r="D273" s="4" t="s">
        <v>9</v>
      </c>
      <c r="E273" s="5">
        <v>2000</v>
      </c>
      <c r="F273" s="5">
        <v>2000</v>
      </c>
      <c r="G273" s="5">
        <v>1400</v>
      </c>
      <c r="H273" s="4"/>
      <c r="I273" s="4" t="s">
        <v>169</v>
      </c>
      <c r="J273" s="4" t="s">
        <v>460</v>
      </c>
      <c r="K273" s="4" t="s">
        <v>11</v>
      </c>
      <c r="L273" s="4" t="s">
        <v>206</v>
      </c>
    </row>
    <row r="274" spans="1:12">
      <c r="A274" s="3">
        <v>44600.40898148148</v>
      </c>
      <c r="B274" s="4">
        <v>287834730</v>
      </c>
      <c r="C274" s="4" t="s">
        <v>275</v>
      </c>
      <c r="D274" s="4" t="s">
        <v>9</v>
      </c>
      <c r="E274" s="5">
        <v>2000</v>
      </c>
      <c r="F274" s="5">
        <v>2000</v>
      </c>
      <c r="G274" s="5">
        <v>1400</v>
      </c>
      <c r="H274" s="4"/>
      <c r="I274" s="4" t="s">
        <v>169</v>
      </c>
      <c r="J274" s="4" t="s">
        <v>460</v>
      </c>
      <c r="K274" s="4" t="s">
        <v>11</v>
      </c>
      <c r="L274" s="4" t="s">
        <v>206</v>
      </c>
    </row>
    <row r="275" spans="1:12">
      <c r="A275" s="3">
        <v>44600.409872685188</v>
      </c>
      <c r="B275" s="4">
        <v>287834730</v>
      </c>
      <c r="C275" s="4" t="s">
        <v>275</v>
      </c>
      <c r="D275" s="4" t="s">
        <v>9</v>
      </c>
      <c r="E275" s="5">
        <v>2000</v>
      </c>
      <c r="F275" s="5">
        <v>2000</v>
      </c>
      <c r="G275" s="5">
        <v>1400</v>
      </c>
      <c r="H275" s="4"/>
      <c r="I275" s="4" t="s">
        <v>169</v>
      </c>
      <c r="J275" s="4" t="s">
        <v>460</v>
      </c>
      <c r="K275" s="4" t="s">
        <v>11</v>
      </c>
      <c r="L275" s="4" t="s">
        <v>206</v>
      </c>
    </row>
    <row r="276" spans="1:12">
      <c r="A276" s="3">
        <v>44600.471180555556</v>
      </c>
      <c r="B276" s="4">
        <v>287834730</v>
      </c>
      <c r="C276" s="4" t="s">
        <v>275</v>
      </c>
      <c r="D276" s="4" t="s">
        <v>9</v>
      </c>
      <c r="E276" s="5">
        <v>2000</v>
      </c>
      <c r="F276" s="5">
        <v>2000</v>
      </c>
      <c r="G276" s="5">
        <v>1400</v>
      </c>
      <c r="H276" s="4"/>
      <c r="I276" s="4" t="s">
        <v>169</v>
      </c>
      <c r="J276" s="4" t="s">
        <v>460</v>
      </c>
      <c r="K276" s="4" t="s">
        <v>11</v>
      </c>
      <c r="L276" s="4" t="s">
        <v>206</v>
      </c>
    </row>
    <row r="277" spans="1:12">
      <c r="A277" s="3">
        <v>44600.515879629631</v>
      </c>
      <c r="B277" s="4">
        <v>287834730</v>
      </c>
      <c r="C277" s="4" t="s">
        <v>275</v>
      </c>
      <c r="D277" s="4" t="s">
        <v>9</v>
      </c>
      <c r="E277" s="5">
        <v>2000</v>
      </c>
      <c r="F277" s="5">
        <v>2000</v>
      </c>
      <c r="G277" s="5">
        <v>1400</v>
      </c>
      <c r="H277" s="4"/>
      <c r="I277" s="4" t="s">
        <v>169</v>
      </c>
      <c r="J277" s="4" t="s">
        <v>460</v>
      </c>
      <c r="K277" s="4" t="s">
        <v>11</v>
      </c>
      <c r="L277" s="4" t="s">
        <v>206</v>
      </c>
    </row>
    <row r="278" spans="1:12">
      <c r="A278" s="3">
        <v>44600.684050925927</v>
      </c>
      <c r="B278" s="4">
        <v>287834730</v>
      </c>
      <c r="C278" s="4" t="s">
        <v>275</v>
      </c>
      <c r="D278" s="4" t="s">
        <v>9</v>
      </c>
      <c r="E278" s="5">
        <v>2000</v>
      </c>
      <c r="F278" s="5">
        <v>2000</v>
      </c>
      <c r="G278" s="5">
        <v>1400</v>
      </c>
      <c r="H278" s="4"/>
      <c r="I278" s="4" t="s">
        <v>169</v>
      </c>
      <c r="J278" s="4" t="s">
        <v>460</v>
      </c>
      <c r="K278" s="4" t="s">
        <v>11</v>
      </c>
      <c r="L278" s="4" t="s">
        <v>206</v>
      </c>
    </row>
    <row r="279" spans="1:12">
      <c r="A279" s="3">
        <v>44600.685995370368</v>
      </c>
      <c r="B279" s="4">
        <v>287834730</v>
      </c>
      <c r="C279" s="4" t="s">
        <v>275</v>
      </c>
      <c r="D279" s="4" t="s">
        <v>9</v>
      </c>
      <c r="E279" s="5">
        <v>2000</v>
      </c>
      <c r="F279" s="5">
        <v>2000</v>
      </c>
      <c r="G279" s="5">
        <v>1400</v>
      </c>
      <c r="H279" s="4"/>
      <c r="I279" s="4" t="s">
        <v>169</v>
      </c>
      <c r="J279" s="4" t="s">
        <v>460</v>
      </c>
      <c r="K279" s="4" t="s">
        <v>11</v>
      </c>
      <c r="L279" s="4" t="s">
        <v>206</v>
      </c>
    </row>
    <row r="280" spans="1:12">
      <c r="A280" s="3">
        <v>44600.692314814813</v>
      </c>
      <c r="B280" s="4">
        <v>287834730</v>
      </c>
      <c r="C280" s="4" t="s">
        <v>275</v>
      </c>
      <c r="D280" s="4" t="s">
        <v>9</v>
      </c>
      <c r="E280" s="5">
        <v>2000</v>
      </c>
      <c r="F280" s="5">
        <v>2000</v>
      </c>
      <c r="G280" s="5">
        <v>1400</v>
      </c>
      <c r="H280" s="4"/>
      <c r="I280" s="4" t="s">
        <v>169</v>
      </c>
      <c r="J280" s="4" t="s">
        <v>460</v>
      </c>
      <c r="K280" s="4" t="s">
        <v>11</v>
      </c>
      <c r="L280" s="4" t="s">
        <v>206</v>
      </c>
    </row>
    <row r="281" spans="1:12">
      <c r="A281" s="3">
        <v>44600.711412037039</v>
      </c>
      <c r="B281" s="4">
        <v>286896672</v>
      </c>
      <c r="C281" s="4" t="s">
        <v>248</v>
      </c>
      <c r="D281" s="4" t="s">
        <v>9</v>
      </c>
      <c r="E281" s="5">
        <v>2500</v>
      </c>
      <c r="F281" s="5">
        <v>2500</v>
      </c>
      <c r="G281" s="5">
        <v>1750</v>
      </c>
      <c r="H281" s="4"/>
      <c r="I281" s="4" t="s">
        <v>158</v>
      </c>
      <c r="J281" s="4" t="s">
        <v>460</v>
      </c>
      <c r="K281" s="4" t="s">
        <v>11</v>
      </c>
      <c r="L281" s="4" t="s">
        <v>141</v>
      </c>
    </row>
    <row r="282" spans="1:12">
      <c r="A282" s="3">
        <v>44600.727303240739</v>
      </c>
      <c r="B282" s="4">
        <v>287834730</v>
      </c>
      <c r="C282" s="4" t="s">
        <v>275</v>
      </c>
      <c r="D282" s="4" t="s">
        <v>9</v>
      </c>
      <c r="E282" s="5">
        <v>2000</v>
      </c>
      <c r="F282" s="5">
        <v>2000</v>
      </c>
      <c r="G282" s="5">
        <v>1400</v>
      </c>
      <c r="H282" s="4"/>
      <c r="I282" s="4" t="s">
        <v>169</v>
      </c>
      <c r="J282" s="4" t="s">
        <v>460</v>
      </c>
      <c r="K282" s="4" t="s">
        <v>11</v>
      </c>
      <c r="L282" s="4" t="s">
        <v>206</v>
      </c>
    </row>
    <row r="283" spans="1:12">
      <c r="A283" s="3">
        <v>44600.755972222221</v>
      </c>
      <c r="B283" s="4">
        <v>287834730</v>
      </c>
      <c r="C283" s="4" t="s">
        <v>275</v>
      </c>
      <c r="D283" s="4" t="s">
        <v>9</v>
      </c>
      <c r="E283" s="5">
        <v>2000</v>
      </c>
      <c r="F283" s="5">
        <v>2000</v>
      </c>
      <c r="G283" s="5">
        <v>1400</v>
      </c>
      <c r="H283" s="4"/>
      <c r="I283" s="4" t="s">
        <v>169</v>
      </c>
      <c r="J283" s="4" t="s">
        <v>460</v>
      </c>
      <c r="K283" s="4" t="s">
        <v>11</v>
      </c>
      <c r="L283" s="4" t="s">
        <v>206</v>
      </c>
    </row>
    <row r="284" spans="1:12">
      <c r="A284" s="3">
        <v>44600.840740740743</v>
      </c>
      <c r="B284" s="4">
        <v>287834730</v>
      </c>
      <c r="C284" s="4" t="s">
        <v>275</v>
      </c>
      <c r="D284" s="4" t="s">
        <v>9</v>
      </c>
      <c r="E284" s="5">
        <v>2000</v>
      </c>
      <c r="F284" s="5">
        <v>2000</v>
      </c>
      <c r="G284" s="5">
        <v>1400</v>
      </c>
      <c r="H284" s="4"/>
      <c r="I284" s="4" t="s">
        <v>169</v>
      </c>
      <c r="J284" s="4" t="s">
        <v>460</v>
      </c>
      <c r="K284" s="4" t="s">
        <v>11</v>
      </c>
      <c r="L284" s="4" t="s">
        <v>206</v>
      </c>
    </row>
    <row r="285" spans="1:12">
      <c r="A285" s="3">
        <v>44600.877314814818</v>
      </c>
      <c r="B285" s="4">
        <v>286896672</v>
      </c>
      <c r="C285" s="4" t="s">
        <v>248</v>
      </c>
      <c r="D285" s="4" t="s">
        <v>9</v>
      </c>
      <c r="E285" s="5">
        <v>2500</v>
      </c>
      <c r="F285" s="5">
        <v>2500</v>
      </c>
      <c r="G285" s="5">
        <v>1750</v>
      </c>
      <c r="H285" s="4"/>
      <c r="I285" s="4" t="s">
        <v>158</v>
      </c>
      <c r="J285" s="4" t="s">
        <v>460</v>
      </c>
      <c r="K285" s="4" t="s">
        <v>11</v>
      </c>
      <c r="L285" s="4" t="s">
        <v>141</v>
      </c>
    </row>
    <row r="286" spans="1:12">
      <c r="A286" s="3">
        <v>44609.611921296295</v>
      </c>
      <c r="B286" s="4">
        <v>286896672</v>
      </c>
      <c r="C286" s="4" t="s">
        <v>248</v>
      </c>
      <c r="D286" s="4" t="s">
        <v>9</v>
      </c>
      <c r="E286" s="5">
        <v>-2500</v>
      </c>
      <c r="F286" s="5">
        <v>-2500</v>
      </c>
      <c r="G286" s="5">
        <v>-1750</v>
      </c>
      <c r="H286" s="3">
        <v>44600.877314814818</v>
      </c>
      <c r="I286" s="4" t="s">
        <v>158</v>
      </c>
      <c r="J286" s="4" t="s">
        <v>460</v>
      </c>
      <c r="K286" s="4" t="s">
        <v>11</v>
      </c>
      <c r="L286" s="4" t="s">
        <v>141</v>
      </c>
    </row>
    <row r="287" spans="1:12">
      <c r="A287" s="3">
        <v>44600.87972222222</v>
      </c>
      <c r="B287" s="4">
        <v>287834730</v>
      </c>
      <c r="C287" s="4" t="s">
        <v>275</v>
      </c>
      <c r="D287" s="4" t="s">
        <v>9</v>
      </c>
      <c r="E287" s="5">
        <v>2000</v>
      </c>
      <c r="F287" s="5">
        <v>2000</v>
      </c>
      <c r="G287" s="5">
        <v>1400</v>
      </c>
      <c r="H287" s="4"/>
      <c r="I287" s="4" t="s">
        <v>169</v>
      </c>
      <c r="J287" s="4" t="s">
        <v>460</v>
      </c>
      <c r="K287" s="4" t="s">
        <v>11</v>
      </c>
      <c r="L287" s="4" t="s">
        <v>206</v>
      </c>
    </row>
    <row r="288" spans="1:12">
      <c r="A288" s="3">
        <v>44600.889872685184</v>
      </c>
      <c r="B288" s="4">
        <v>287834730</v>
      </c>
      <c r="C288" s="4" t="s">
        <v>275</v>
      </c>
      <c r="D288" s="4" t="s">
        <v>9</v>
      </c>
      <c r="E288" s="5">
        <v>2000</v>
      </c>
      <c r="F288" s="5">
        <v>2000</v>
      </c>
      <c r="G288" s="5">
        <v>1400</v>
      </c>
      <c r="H288" s="4"/>
      <c r="I288" s="4" t="s">
        <v>169</v>
      </c>
      <c r="J288" s="4" t="s">
        <v>460</v>
      </c>
      <c r="K288" s="4" t="s">
        <v>11</v>
      </c>
      <c r="L288" s="4" t="s">
        <v>206</v>
      </c>
    </row>
    <row r="289" spans="1:12">
      <c r="A289" s="3">
        <v>44600.895856481482</v>
      </c>
      <c r="B289" s="4">
        <v>286896672</v>
      </c>
      <c r="C289" s="4" t="s">
        <v>248</v>
      </c>
      <c r="D289" s="4" t="s">
        <v>9</v>
      </c>
      <c r="E289" s="5">
        <v>2500</v>
      </c>
      <c r="F289" s="5">
        <v>2500</v>
      </c>
      <c r="G289" s="5">
        <v>1750</v>
      </c>
      <c r="H289" s="4"/>
      <c r="I289" s="4" t="s">
        <v>158</v>
      </c>
      <c r="J289" s="4" t="s">
        <v>460</v>
      </c>
      <c r="K289" s="4" t="s">
        <v>11</v>
      </c>
      <c r="L289" s="4" t="s">
        <v>141</v>
      </c>
    </row>
    <row r="290" spans="1:12">
      <c r="A290" s="3">
        <v>44600.896620370368</v>
      </c>
      <c r="B290" s="4">
        <v>287834730</v>
      </c>
      <c r="C290" s="4" t="s">
        <v>275</v>
      </c>
      <c r="D290" s="4" t="s">
        <v>9</v>
      </c>
      <c r="E290" s="5">
        <v>2000</v>
      </c>
      <c r="F290" s="5">
        <v>2000</v>
      </c>
      <c r="G290" s="5">
        <v>1400</v>
      </c>
      <c r="H290" s="4"/>
      <c r="I290" s="4" t="s">
        <v>169</v>
      </c>
      <c r="J290" s="4" t="s">
        <v>460</v>
      </c>
      <c r="K290" s="4" t="s">
        <v>11</v>
      </c>
      <c r="L290" s="4" t="s">
        <v>206</v>
      </c>
    </row>
    <row r="291" spans="1:12">
      <c r="A291" s="3">
        <v>44600.921238425923</v>
      </c>
      <c r="B291" s="4">
        <v>287834730</v>
      </c>
      <c r="C291" s="4" t="s">
        <v>275</v>
      </c>
      <c r="D291" s="4" t="s">
        <v>9</v>
      </c>
      <c r="E291" s="5">
        <v>2000</v>
      </c>
      <c r="F291" s="5">
        <v>2000</v>
      </c>
      <c r="G291" s="5">
        <v>1400</v>
      </c>
      <c r="H291" s="4"/>
      <c r="I291" s="4" t="s">
        <v>169</v>
      </c>
      <c r="J291" s="4" t="s">
        <v>460</v>
      </c>
      <c r="K291" s="4" t="s">
        <v>11</v>
      </c>
      <c r="L291" s="4" t="s">
        <v>206</v>
      </c>
    </row>
    <row r="292" spans="1:12">
      <c r="A292" s="3">
        <v>44600.921886574077</v>
      </c>
      <c r="B292" s="4">
        <v>287834730</v>
      </c>
      <c r="C292" s="4" t="s">
        <v>275</v>
      </c>
      <c r="D292" s="4" t="s">
        <v>9</v>
      </c>
      <c r="E292" s="5">
        <v>2000</v>
      </c>
      <c r="F292" s="5">
        <v>2000</v>
      </c>
      <c r="G292" s="5">
        <v>1400</v>
      </c>
      <c r="H292" s="4"/>
      <c r="I292" s="4" t="s">
        <v>169</v>
      </c>
      <c r="J292" s="4" t="s">
        <v>460</v>
      </c>
      <c r="K292" s="4" t="s">
        <v>11</v>
      </c>
      <c r="L292" s="4" t="s">
        <v>206</v>
      </c>
    </row>
    <row r="293" spans="1:12">
      <c r="A293" s="3">
        <v>44600.923668981479</v>
      </c>
      <c r="B293" s="4">
        <v>287834730</v>
      </c>
      <c r="C293" s="4" t="s">
        <v>275</v>
      </c>
      <c r="D293" s="4" t="s">
        <v>9</v>
      </c>
      <c r="E293" s="5">
        <v>2000</v>
      </c>
      <c r="F293" s="5">
        <v>2000</v>
      </c>
      <c r="G293" s="5">
        <v>1400</v>
      </c>
      <c r="H293" s="4"/>
      <c r="I293" s="4" t="s">
        <v>169</v>
      </c>
      <c r="J293" s="4" t="s">
        <v>460</v>
      </c>
      <c r="K293" s="4" t="s">
        <v>11</v>
      </c>
      <c r="L293" s="4" t="s">
        <v>206</v>
      </c>
    </row>
    <row r="294" spans="1:12">
      <c r="A294" s="3">
        <v>44600.924710648149</v>
      </c>
      <c r="B294" s="4">
        <v>287834730</v>
      </c>
      <c r="C294" s="4" t="s">
        <v>275</v>
      </c>
      <c r="D294" s="4" t="s">
        <v>9</v>
      </c>
      <c r="E294" s="5">
        <v>2000</v>
      </c>
      <c r="F294" s="5">
        <v>2000</v>
      </c>
      <c r="G294" s="5">
        <v>1400</v>
      </c>
      <c r="H294" s="4"/>
      <c r="I294" s="4" t="s">
        <v>169</v>
      </c>
      <c r="J294" s="4" t="s">
        <v>460</v>
      </c>
      <c r="K294" s="4" t="s">
        <v>11</v>
      </c>
      <c r="L294" s="4" t="s">
        <v>206</v>
      </c>
    </row>
    <row r="295" spans="1:12">
      <c r="A295" s="3">
        <v>44600.939479166664</v>
      </c>
      <c r="B295" s="4">
        <v>287834730</v>
      </c>
      <c r="C295" s="4" t="s">
        <v>275</v>
      </c>
      <c r="D295" s="4" t="s">
        <v>9</v>
      </c>
      <c r="E295" s="5">
        <v>2000</v>
      </c>
      <c r="F295" s="5">
        <v>2000</v>
      </c>
      <c r="G295" s="5">
        <v>1400</v>
      </c>
      <c r="H295" s="4"/>
      <c r="I295" s="4" t="s">
        <v>169</v>
      </c>
      <c r="J295" s="4" t="s">
        <v>460</v>
      </c>
      <c r="K295" s="4" t="s">
        <v>11</v>
      </c>
      <c r="L295" s="4" t="s">
        <v>206</v>
      </c>
    </row>
    <row r="296" spans="1:12">
      <c r="A296" s="3">
        <v>44600.943171296298</v>
      </c>
      <c r="B296" s="4">
        <v>287834730</v>
      </c>
      <c r="C296" s="4" t="s">
        <v>275</v>
      </c>
      <c r="D296" s="4" t="s">
        <v>9</v>
      </c>
      <c r="E296" s="5">
        <v>2000</v>
      </c>
      <c r="F296" s="5">
        <v>2000</v>
      </c>
      <c r="G296" s="5">
        <v>1400</v>
      </c>
      <c r="H296" s="4"/>
      <c r="I296" s="4" t="s">
        <v>169</v>
      </c>
      <c r="J296" s="4" t="s">
        <v>460</v>
      </c>
      <c r="K296" s="4" t="s">
        <v>11</v>
      </c>
      <c r="L296" s="4" t="s">
        <v>206</v>
      </c>
    </row>
    <row r="297" spans="1:12">
      <c r="A297" s="3">
        <v>44600.946793981479</v>
      </c>
      <c r="B297" s="4">
        <v>287235707</v>
      </c>
      <c r="C297" s="4" t="s">
        <v>173</v>
      </c>
      <c r="D297" s="4" t="s">
        <v>9</v>
      </c>
      <c r="E297" s="5">
        <v>2000</v>
      </c>
      <c r="F297" s="5">
        <v>2000</v>
      </c>
      <c r="G297" s="5">
        <v>1400</v>
      </c>
      <c r="H297" s="4"/>
      <c r="I297" s="4" t="s">
        <v>164</v>
      </c>
      <c r="J297" s="4" t="s">
        <v>460</v>
      </c>
      <c r="K297" s="4" t="s">
        <v>11</v>
      </c>
      <c r="L297" s="4" t="s">
        <v>147</v>
      </c>
    </row>
    <row r="298" spans="1:12">
      <c r="A298" s="3">
        <v>44600.960335648146</v>
      </c>
      <c r="B298" s="4">
        <v>287834730</v>
      </c>
      <c r="C298" s="4" t="s">
        <v>275</v>
      </c>
      <c r="D298" s="4" t="s">
        <v>9</v>
      </c>
      <c r="E298" s="5">
        <v>2000</v>
      </c>
      <c r="F298" s="5">
        <v>2000</v>
      </c>
      <c r="G298" s="5">
        <v>1400</v>
      </c>
      <c r="H298" s="4"/>
      <c r="I298" s="4" t="s">
        <v>169</v>
      </c>
      <c r="J298" s="4" t="s">
        <v>460</v>
      </c>
      <c r="K298" s="4" t="s">
        <v>11</v>
      </c>
      <c r="L298" s="4" t="s">
        <v>206</v>
      </c>
    </row>
    <row r="299" spans="1:12">
      <c r="A299" s="3">
        <v>44600.98541666667</v>
      </c>
      <c r="B299" s="4">
        <v>287834730</v>
      </c>
      <c r="C299" s="4" t="s">
        <v>275</v>
      </c>
      <c r="D299" s="4" t="s">
        <v>9</v>
      </c>
      <c r="E299" s="5">
        <v>2000</v>
      </c>
      <c r="F299" s="5">
        <v>2000</v>
      </c>
      <c r="G299" s="5">
        <v>1400</v>
      </c>
      <c r="H299" s="4"/>
      <c r="I299" s="4" t="s">
        <v>169</v>
      </c>
      <c r="J299" s="4" t="s">
        <v>460</v>
      </c>
      <c r="K299" s="4" t="s">
        <v>11</v>
      </c>
      <c r="L299" s="4" t="s">
        <v>206</v>
      </c>
    </row>
    <row r="300" spans="1:12">
      <c r="A300" s="3">
        <v>44601.009305555555</v>
      </c>
      <c r="B300" s="4">
        <v>286405921</v>
      </c>
      <c r="C300" s="4" t="s">
        <v>245</v>
      </c>
      <c r="D300" s="4" t="s">
        <v>9</v>
      </c>
      <c r="E300" s="5">
        <v>2500</v>
      </c>
      <c r="F300" s="5">
        <v>2500</v>
      </c>
      <c r="G300" s="5">
        <v>1750</v>
      </c>
      <c r="H300" s="4"/>
      <c r="I300" s="4" t="s">
        <v>221</v>
      </c>
      <c r="J300" s="4" t="s">
        <v>460</v>
      </c>
      <c r="K300" s="4" t="s">
        <v>11</v>
      </c>
      <c r="L300" s="4" t="s">
        <v>137</v>
      </c>
    </row>
    <row r="301" spans="1:12">
      <c r="A301" s="3">
        <v>44601.051354166666</v>
      </c>
      <c r="B301" s="4">
        <v>287834730</v>
      </c>
      <c r="C301" s="4" t="s">
        <v>275</v>
      </c>
      <c r="D301" s="4" t="s">
        <v>9</v>
      </c>
      <c r="E301" s="5">
        <v>2000</v>
      </c>
      <c r="F301" s="5">
        <v>2000</v>
      </c>
      <c r="G301" s="5">
        <v>1400</v>
      </c>
      <c r="H301" s="4"/>
      <c r="I301" s="4" t="s">
        <v>169</v>
      </c>
      <c r="J301" s="4" t="s">
        <v>460</v>
      </c>
      <c r="K301" s="4" t="s">
        <v>11</v>
      </c>
      <c r="L301" s="4" t="s">
        <v>206</v>
      </c>
    </row>
    <row r="302" spans="1:12">
      <c r="A302" s="3">
        <v>44601.148506944446</v>
      </c>
      <c r="B302" s="4">
        <v>286896672</v>
      </c>
      <c r="C302" s="4" t="s">
        <v>248</v>
      </c>
      <c r="D302" s="4" t="s">
        <v>9</v>
      </c>
      <c r="E302" s="5">
        <v>2500</v>
      </c>
      <c r="F302" s="5">
        <v>2500</v>
      </c>
      <c r="G302" s="5">
        <v>1750</v>
      </c>
      <c r="H302" s="4"/>
      <c r="I302" s="4" t="s">
        <v>158</v>
      </c>
      <c r="J302" s="4" t="s">
        <v>460</v>
      </c>
      <c r="K302" s="4" t="s">
        <v>11</v>
      </c>
      <c r="L302" s="4" t="s">
        <v>141</v>
      </c>
    </row>
    <row r="303" spans="1:12">
      <c r="A303" s="3">
        <v>44601.207395833335</v>
      </c>
      <c r="B303" s="4">
        <v>287834730</v>
      </c>
      <c r="C303" s="4" t="s">
        <v>275</v>
      </c>
      <c r="D303" s="4" t="s">
        <v>9</v>
      </c>
      <c r="E303" s="5">
        <v>2000</v>
      </c>
      <c r="F303" s="5">
        <v>2000</v>
      </c>
      <c r="G303" s="5">
        <v>1400</v>
      </c>
      <c r="H303" s="4"/>
      <c r="I303" s="4" t="s">
        <v>169</v>
      </c>
      <c r="J303" s="4" t="s">
        <v>460</v>
      </c>
      <c r="K303" s="4" t="s">
        <v>11</v>
      </c>
      <c r="L303" s="4" t="s">
        <v>206</v>
      </c>
    </row>
    <row r="304" spans="1:12">
      <c r="A304" s="3">
        <v>44601.225474537037</v>
      </c>
      <c r="B304" s="4">
        <v>287834730</v>
      </c>
      <c r="C304" s="4" t="s">
        <v>275</v>
      </c>
      <c r="D304" s="4" t="s">
        <v>9</v>
      </c>
      <c r="E304" s="5">
        <v>2000</v>
      </c>
      <c r="F304" s="5">
        <v>2000</v>
      </c>
      <c r="G304" s="5">
        <v>1400</v>
      </c>
      <c r="H304" s="4"/>
      <c r="I304" s="4" t="s">
        <v>169</v>
      </c>
      <c r="J304" s="4" t="s">
        <v>460</v>
      </c>
      <c r="K304" s="4" t="s">
        <v>11</v>
      </c>
      <c r="L304" s="4" t="s">
        <v>206</v>
      </c>
    </row>
    <row r="305" spans="1:12">
      <c r="A305" s="3">
        <v>44601.363136574073</v>
      </c>
      <c r="B305" s="4">
        <v>287834730</v>
      </c>
      <c r="C305" s="4" t="s">
        <v>275</v>
      </c>
      <c r="D305" s="4" t="s">
        <v>9</v>
      </c>
      <c r="E305" s="5">
        <v>2000</v>
      </c>
      <c r="F305" s="5">
        <v>2000</v>
      </c>
      <c r="G305" s="5">
        <v>1400</v>
      </c>
      <c r="H305" s="4"/>
      <c r="I305" s="4" t="s">
        <v>169</v>
      </c>
      <c r="J305" s="4" t="s">
        <v>460</v>
      </c>
      <c r="K305" s="4" t="s">
        <v>11</v>
      </c>
      <c r="L305" s="4" t="s">
        <v>206</v>
      </c>
    </row>
    <row r="306" spans="1:12">
      <c r="A306" s="3">
        <v>44601.464768518519</v>
      </c>
      <c r="B306" s="4">
        <v>288676933</v>
      </c>
      <c r="C306" s="4" t="s">
        <v>451</v>
      </c>
      <c r="D306" s="4" t="s">
        <v>9</v>
      </c>
      <c r="E306" s="5">
        <v>2500</v>
      </c>
      <c r="F306" s="5">
        <v>2500</v>
      </c>
      <c r="G306" s="5">
        <v>1750</v>
      </c>
      <c r="H306" s="4"/>
      <c r="I306" s="4" t="s">
        <v>450</v>
      </c>
      <c r="J306" s="4" t="s">
        <v>460</v>
      </c>
      <c r="K306" s="4" t="s">
        <v>11</v>
      </c>
      <c r="L306" s="4" t="s">
        <v>371</v>
      </c>
    </row>
    <row r="307" spans="1:12">
      <c r="A307" s="3">
        <v>44601.59815972222</v>
      </c>
      <c r="B307" s="4">
        <v>287834730</v>
      </c>
      <c r="C307" s="4" t="s">
        <v>275</v>
      </c>
      <c r="D307" s="4" t="s">
        <v>9</v>
      </c>
      <c r="E307" s="5">
        <v>2000</v>
      </c>
      <c r="F307" s="5">
        <v>2000</v>
      </c>
      <c r="G307" s="5">
        <v>1400</v>
      </c>
      <c r="H307" s="4"/>
      <c r="I307" s="4" t="s">
        <v>169</v>
      </c>
      <c r="J307" s="4" t="s">
        <v>460</v>
      </c>
      <c r="K307" s="4" t="s">
        <v>11</v>
      </c>
      <c r="L307" s="4" t="s">
        <v>206</v>
      </c>
    </row>
    <row r="308" spans="1:12">
      <c r="A308" s="3">
        <v>44601.678738425922</v>
      </c>
      <c r="B308" s="4">
        <v>287834730</v>
      </c>
      <c r="C308" s="4" t="s">
        <v>275</v>
      </c>
      <c r="D308" s="4" t="s">
        <v>9</v>
      </c>
      <c r="E308" s="5">
        <v>2000</v>
      </c>
      <c r="F308" s="5">
        <v>2000</v>
      </c>
      <c r="G308" s="5">
        <v>1400</v>
      </c>
      <c r="H308" s="4"/>
      <c r="I308" s="4" t="s">
        <v>169</v>
      </c>
      <c r="J308" s="4" t="s">
        <v>460</v>
      </c>
      <c r="K308" s="4" t="s">
        <v>11</v>
      </c>
      <c r="L308" s="4" t="s">
        <v>206</v>
      </c>
    </row>
    <row r="309" spans="1:12">
      <c r="A309" s="3">
        <v>44601.699224537035</v>
      </c>
      <c r="B309" s="4">
        <v>286405921</v>
      </c>
      <c r="C309" s="4" t="s">
        <v>245</v>
      </c>
      <c r="D309" s="4" t="s">
        <v>9</v>
      </c>
      <c r="E309" s="5">
        <v>2500</v>
      </c>
      <c r="F309" s="5">
        <v>2500</v>
      </c>
      <c r="G309" s="5">
        <v>1750</v>
      </c>
      <c r="H309" s="4"/>
      <c r="I309" s="4" t="s">
        <v>221</v>
      </c>
      <c r="J309" s="4" t="s">
        <v>460</v>
      </c>
      <c r="K309" s="4" t="s">
        <v>11</v>
      </c>
      <c r="L309" s="4" t="s">
        <v>137</v>
      </c>
    </row>
    <row r="310" spans="1:12">
      <c r="A310" s="3">
        <v>44601.708715277775</v>
      </c>
      <c r="B310" s="4">
        <v>287834730</v>
      </c>
      <c r="C310" s="4" t="s">
        <v>275</v>
      </c>
      <c r="D310" s="4" t="s">
        <v>9</v>
      </c>
      <c r="E310" s="5">
        <v>2000</v>
      </c>
      <c r="F310" s="5">
        <v>2000</v>
      </c>
      <c r="G310" s="5">
        <v>1400</v>
      </c>
      <c r="H310" s="4"/>
      <c r="I310" s="4" t="s">
        <v>169</v>
      </c>
      <c r="J310" s="4" t="s">
        <v>460</v>
      </c>
      <c r="K310" s="4" t="s">
        <v>11</v>
      </c>
      <c r="L310" s="4" t="s">
        <v>206</v>
      </c>
    </row>
    <row r="311" spans="1:12">
      <c r="A311" s="3">
        <v>44601.827581018515</v>
      </c>
      <c r="B311" s="4">
        <v>287086652</v>
      </c>
      <c r="C311" s="4" t="s">
        <v>220</v>
      </c>
      <c r="D311" s="4" t="s">
        <v>9</v>
      </c>
      <c r="E311" s="5">
        <v>2000</v>
      </c>
      <c r="F311" s="5">
        <v>2000</v>
      </c>
      <c r="G311" s="5">
        <v>1400</v>
      </c>
      <c r="H311" s="4"/>
      <c r="I311" s="4" t="s">
        <v>162</v>
      </c>
      <c r="J311" s="4" t="s">
        <v>460</v>
      </c>
      <c r="K311" s="4" t="s">
        <v>11</v>
      </c>
      <c r="L311" s="4" t="s">
        <v>150</v>
      </c>
    </row>
    <row r="312" spans="1:12">
      <c r="A312" s="3">
        <v>44601.835532407407</v>
      </c>
      <c r="B312" s="4">
        <v>287834730</v>
      </c>
      <c r="C312" s="4" t="s">
        <v>275</v>
      </c>
      <c r="D312" s="4" t="s">
        <v>9</v>
      </c>
      <c r="E312" s="5">
        <v>2000</v>
      </c>
      <c r="F312" s="5">
        <v>2000</v>
      </c>
      <c r="G312" s="5">
        <v>1400</v>
      </c>
      <c r="H312" s="4"/>
      <c r="I312" s="4" t="s">
        <v>169</v>
      </c>
      <c r="J312" s="4" t="s">
        <v>460</v>
      </c>
      <c r="K312" s="4" t="s">
        <v>11</v>
      </c>
      <c r="L312" s="4" t="s">
        <v>206</v>
      </c>
    </row>
    <row r="313" spans="1:12">
      <c r="A313" s="3">
        <v>44601.850752314815</v>
      </c>
      <c r="B313" s="4">
        <v>286755913</v>
      </c>
      <c r="C313" s="4" t="s">
        <v>222</v>
      </c>
      <c r="D313" s="4" t="s">
        <v>9</v>
      </c>
      <c r="E313" s="5">
        <v>2000</v>
      </c>
      <c r="F313" s="5">
        <v>2000</v>
      </c>
      <c r="G313" s="5">
        <v>1400</v>
      </c>
      <c r="H313" s="4"/>
      <c r="I313" s="4" t="s">
        <v>159</v>
      </c>
      <c r="J313" s="4" t="s">
        <v>460</v>
      </c>
      <c r="K313" s="4" t="s">
        <v>11</v>
      </c>
      <c r="L313" s="4" t="s">
        <v>144</v>
      </c>
    </row>
    <row r="314" spans="1:12">
      <c r="A314" s="3">
        <v>44601.859293981484</v>
      </c>
      <c r="B314" s="4">
        <v>287834730</v>
      </c>
      <c r="C314" s="4" t="s">
        <v>275</v>
      </c>
      <c r="D314" s="4" t="s">
        <v>9</v>
      </c>
      <c r="E314" s="5">
        <v>2000</v>
      </c>
      <c r="F314" s="5">
        <v>2000</v>
      </c>
      <c r="G314" s="5">
        <v>1400</v>
      </c>
      <c r="H314" s="4"/>
      <c r="I314" s="4" t="s">
        <v>169</v>
      </c>
      <c r="J314" s="4" t="s">
        <v>460</v>
      </c>
      <c r="K314" s="4" t="s">
        <v>11</v>
      </c>
      <c r="L314" s="4" t="s">
        <v>206</v>
      </c>
    </row>
    <row r="315" spans="1:12">
      <c r="A315" s="3">
        <v>44601.907500000001</v>
      </c>
      <c r="B315" s="4">
        <v>287834730</v>
      </c>
      <c r="C315" s="4" t="s">
        <v>275</v>
      </c>
      <c r="D315" s="4" t="s">
        <v>9</v>
      </c>
      <c r="E315" s="5">
        <v>2000</v>
      </c>
      <c r="F315" s="5">
        <v>2000</v>
      </c>
      <c r="G315" s="5">
        <v>1400</v>
      </c>
      <c r="H315" s="4"/>
      <c r="I315" s="4" t="s">
        <v>169</v>
      </c>
      <c r="J315" s="4" t="s">
        <v>460</v>
      </c>
      <c r="K315" s="4" t="s">
        <v>11</v>
      </c>
      <c r="L315" s="4" t="s">
        <v>206</v>
      </c>
    </row>
    <row r="316" spans="1:12">
      <c r="A316" s="3">
        <v>44601.915486111109</v>
      </c>
      <c r="B316" s="4">
        <v>287834730</v>
      </c>
      <c r="C316" s="4" t="s">
        <v>275</v>
      </c>
      <c r="D316" s="4" t="s">
        <v>9</v>
      </c>
      <c r="E316" s="5">
        <v>2000</v>
      </c>
      <c r="F316" s="5">
        <v>2000</v>
      </c>
      <c r="G316" s="5">
        <v>1400</v>
      </c>
      <c r="H316" s="4"/>
      <c r="I316" s="4" t="s">
        <v>169</v>
      </c>
      <c r="J316" s="4" t="s">
        <v>460</v>
      </c>
      <c r="K316" s="4" t="s">
        <v>11</v>
      </c>
      <c r="L316" s="4" t="s">
        <v>206</v>
      </c>
    </row>
    <row r="317" spans="1:12">
      <c r="A317" s="3">
        <v>44601.926585648151</v>
      </c>
      <c r="B317" s="4">
        <v>287834730</v>
      </c>
      <c r="C317" s="4" t="s">
        <v>275</v>
      </c>
      <c r="D317" s="4" t="s">
        <v>9</v>
      </c>
      <c r="E317" s="5">
        <v>2000</v>
      </c>
      <c r="F317" s="5">
        <v>2000</v>
      </c>
      <c r="G317" s="5">
        <v>1400</v>
      </c>
      <c r="H317" s="4"/>
      <c r="I317" s="4" t="s">
        <v>169</v>
      </c>
      <c r="J317" s="4" t="s">
        <v>460</v>
      </c>
      <c r="K317" s="4" t="s">
        <v>11</v>
      </c>
      <c r="L317" s="4" t="s">
        <v>206</v>
      </c>
    </row>
    <row r="318" spans="1:12">
      <c r="A318" s="3">
        <v>44601.943622685183</v>
      </c>
      <c r="B318" s="4">
        <v>288676933</v>
      </c>
      <c r="C318" s="4" t="s">
        <v>451</v>
      </c>
      <c r="D318" s="4" t="s">
        <v>9</v>
      </c>
      <c r="E318" s="5">
        <v>2500</v>
      </c>
      <c r="F318" s="5">
        <v>2500</v>
      </c>
      <c r="G318" s="5">
        <v>1750</v>
      </c>
      <c r="H318" s="4"/>
      <c r="I318" s="4" t="s">
        <v>450</v>
      </c>
      <c r="J318" s="4" t="s">
        <v>460</v>
      </c>
      <c r="K318" s="4" t="s">
        <v>11</v>
      </c>
      <c r="L318" s="4" t="s">
        <v>371</v>
      </c>
    </row>
    <row r="319" spans="1:12">
      <c r="A319" s="3">
        <v>44601.947083333333</v>
      </c>
      <c r="B319" s="4">
        <v>286755913</v>
      </c>
      <c r="C319" s="4" t="s">
        <v>222</v>
      </c>
      <c r="D319" s="4" t="s">
        <v>9</v>
      </c>
      <c r="E319" s="5">
        <v>2000</v>
      </c>
      <c r="F319" s="5">
        <v>2000</v>
      </c>
      <c r="G319" s="5">
        <v>1400</v>
      </c>
      <c r="H319" s="4"/>
      <c r="I319" s="4" t="s">
        <v>159</v>
      </c>
      <c r="J319" s="4" t="s">
        <v>460</v>
      </c>
      <c r="K319" s="4" t="s">
        <v>11</v>
      </c>
      <c r="L319" s="4" t="s">
        <v>144</v>
      </c>
    </row>
    <row r="320" spans="1:12">
      <c r="A320" s="3">
        <v>44601.958773148152</v>
      </c>
      <c r="B320" s="4">
        <v>288284536</v>
      </c>
      <c r="C320" s="4" t="s">
        <v>466</v>
      </c>
      <c r="D320" s="4" t="s">
        <v>9</v>
      </c>
      <c r="E320" s="5">
        <v>2000</v>
      </c>
      <c r="F320" s="5">
        <v>2000</v>
      </c>
      <c r="G320" s="5">
        <v>1400</v>
      </c>
      <c r="H320" s="4"/>
      <c r="I320" s="4" t="s">
        <v>448</v>
      </c>
      <c r="J320" s="4" t="s">
        <v>460</v>
      </c>
      <c r="K320" s="4" t="s">
        <v>11</v>
      </c>
      <c r="L320" s="4" t="s">
        <v>344</v>
      </c>
    </row>
    <row r="321" spans="1:12">
      <c r="A321" s="3">
        <v>44601.983414351853</v>
      </c>
      <c r="B321" s="4">
        <v>287834730</v>
      </c>
      <c r="C321" s="4" t="s">
        <v>275</v>
      </c>
      <c r="D321" s="4" t="s">
        <v>9</v>
      </c>
      <c r="E321" s="5">
        <v>2000</v>
      </c>
      <c r="F321" s="5">
        <v>2000</v>
      </c>
      <c r="G321" s="5">
        <v>1400</v>
      </c>
      <c r="H321" s="4"/>
      <c r="I321" s="4" t="s">
        <v>169</v>
      </c>
      <c r="J321" s="4" t="s">
        <v>460</v>
      </c>
      <c r="K321" s="4" t="s">
        <v>11</v>
      </c>
      <c r="L321" s="4" t="s">
        <v>206</v>
      </c>
    </row>
    <row r="322" spans="1:12">
      <c r="A322" s="3">
        <v>44601.988425925927</v>
      </c>
      <c r="B322" s="4">
        <v>287834730</v>
      </c>
      <c r="C322" s="4" t="s">
        <v>275</v>
      </c>
      <c r="D322" s="4" t="s">
        <v>9</v>
      </c>
      <c r="E322" s="5">
        <v>2000</v>
      </c>
      <c r="F322" s="5">
        <v>2000</v>
      </c>
      <c r="G322" s="5">
        <v>1400</v>
      </c>
      <c r="H322" s="4"/>
      <c r="I322" s="4" t="s">
        <v>169</v>
      </c>
      <c r="J322" s="4" t="s">
        <v>460</v>
      </c>
      <c r="K322" s="4" t="s">
        <v>11</v>
      </c>
      <c r="L322" s="4" t="s">
        <v>206</v>
      </c>
    </row>
    <row r="323" spans="1:12">
      <c r="A323" s="3">
        <v>44601.98847222222</v>
      </c>
      <c r="B323" s="4">
        <v>287086652</v>
      </c>
      <c r="C323" s="4" t="s">
        <v>220</v>
      </c>
      <c r="D323" s="4" t="s">
        <v>9</v>
      </c>
      <c r="E323" s="5">
        <v>2000</v>
      </c>
      <c r="F323" s="5">
        <v>2000</v>
      </c>
      <c r="G323" s="5">
        <v>1400</v>
      </c>
      <c r="H323" s="4"/>
      <c r="I323" s="4" t="s">
        <v>162</v>
      </c>
      <c r="J323" s="4" t="s">
        <v>460</v>
      </c>
      <c r="K323" s="4" t="s">
        <v>11</v>
      </c>
      <c r="L323" s="4" t="s">
        <v>150</v>
      </c>
    </row>
    <row r="324" spans="1:12">
      <c r="A324" s="3">
        <v>44601.994351851848</v>
      </c>
      <c r="B324" s="4">
        <v>287086652</v>
      </c>
      <c r="C324" s="4" t="s">
        <v>220</v>
      </c>
      <c r="D324" s="4" t="s">
        <v>9</v>
      </c>
      <c r="E324" s="5">
        <v>2000</v>
      </c>
      <c r="F324" s="5">
        <v>2000</v>
      </c>
      <c r="G324" s="5">
        <v>1400</v>
      </c>
      <c r="H324" s="4"/>
      <c r="I324" s="4" t="s">
        <v>162</v>
      </c>
      <c r="J324" s="4" t="s">
        <v>460</v>
      </c>
      <c r="K324" s="4" t="s">
        <v>11</v>
      </c>
      <c r="L324" s="4" t="s">
        <v>150</v>
      </c>
    </row>
    <row r="325" spans="1:12">
      <c r="A325" s="3">
        <v>44602.007534722223</v>
      </c>
      <c r="B325" s="4">
        <v>287834730</v>
      </c>
      <c r="C325" s="4" t="s">
        <v>275</v>
      </c>
      <c r="D325" s="4" t="s">
        <v>9</v>
      </c>
      <c r="E325" s="5">
        <v>2000</v>
      </c>
      <c r="F325" s="5">
        <v>2000</v>
      </c>
      <c r="G325" s="5">
        <v>1400</v>
      </c>
      <c r="H325" s="4"/>
      <c r="I325" s="4" t="s">
        <v>169</v>
      </c>
      <c r="J325" s="4" t="s">
        <v>460</v>
      </c>
      <c r="K325" s="4" t="s">
        <v>11</v>
      </c>
      <c r="L325" s="4" t="s">
        <v>206</v>
      </c>
    </row>
    <row r="326" spans="1:12">
      <c r="A326" s="3">
        <v>44602.060115740744</v>
      </c>
      <c r="B326" s="4">
        <v>287834730</v>
      </c>
      <c r="C326" s="4" t="s">
        <v>275</v>
      </c>
      <c r="D326" s="4" t="s">
        <v>9</v>
      </c>
      <c r="E326" s="5">
        <v>2000</v>
      </c>
      <c r="F326" s="5">
        <v>2000</v>
      </c>
      <c r="G326" s="5">
        <v>1400</v>
      </c>
      <c r="H326" s="4"/>
      <c r="I326" s="4" t="s">
        <v>169</v>
      </c>
      <c r="J326" s="4" t="s">
        <v>460</v>
      </c>
      <c r="K326" s="4" t="s">
        <v>11</v>
      </c>
      <c r="L326" s="4" t="s">
        <v>206</v>
      </c>
    </row>
    <row r="327" spans="1:12">
      <c r="A327" s="3">
        <v>44602.410578703704</v>
      </c>
      <c r="B327" s="4">
        <v>287834730</v>
      </c>
      <c r="C327" s="4" t="s">
        <v>275</v>
      </c>
      <c r="D327" s="4" t="s">
        <v>9</v>
      </c>
      <c r="E327" s="5">
        <v>2000</v>
      </c>
      <c r="F327" s="5">
        <v>2000</v>
      </c>
      <c r="G327" s="5">
        <v>1400</v>
      </c>
      <c r="H327" s="4"/>
      <c r="I327" s="4" t="s">
        <v>169</v>
      </c>
      <c r="J327" s="4" t="s">
        <v>460</v>
      </c>
      <c r="K327" s="4" t="s">
        <v>11</v>
      </c>
      <c r="L327" s="4" t="s">
        <v>206</v>
      </c>
    </row>
    <row r="328" spans="1:12">
      <c r="A328" s="3">
        <v>44602.473796296297</v>
      </c>
      <c r="B328" s="4">
        <v>287834730</v>
      </c>
      <c r="C328" s="4" t="s">
        <v>275</v>
      </c>
      <c r="D328" s="4" t="s">
        <v>9</v>
      </c>
      <c r="E328" s="5">
        <v>2000</v>
      </c>
      <c r="F328" s="5">
        <v>2000</v>
      </c>
      <c r="G328" s="5">
        <v>1400</v>
      </c>
      <c r="H328" s="4"/>
      <c r="I328" s="4" t="s">
        <v>169</v>
      </c>
      <c r="J328" s="4" t="s">
        <v>460</v>
      </c>
      <c r="K328" s="4" t="s">
        <v>11</v>
      </c>
      <c r="L328" s="4" t="s">
        <v>206</v>
      </c>
    </row>
    <row r="329" spans="1:12">
      <c r="A329" s="3">
        <v>44602.531469907408</v>
      </c>
      <c r="B329" s="4">
        <v>287834730</v>
      </c>
      <c r="C329" s="4" t="s">
        <v>275</v>
      </c>
      <c r="D329" s="4" t="s">
        <v>9</v>
      </c>
      <c r="E329" s="5">
        <v>2000</v>
      </c>
      <c r="F329" s="5">
        <v>2000</v>
      </c>
      <c r="G329" s="5">
        <v>1400</v>
      </c>
      <c r="H329" s="4"/>
      <c r="I329" s="4" t="s">
        <v>169</v>
      </c>
      <c r="J329" s="4" t="s">
        <v>460</v>
      </c>
      <c r="K329" s="4" t="s">
        <v>11</v>
      </c>
      <c r="L329" s="4" t="s">
        <v>206</v>
      </c>
    </row>
    <row r="330" spans="1:12">
      <c r="A330" s="3">
        <v>44602.531469907408</v>
      </c>
      <c r="B330" s="4">
        <v>286896672</v>
      </c>
      <c r="C330" s="4" t="s">
        <v>248</v>
      </c>
      <c r="D330" s="4" t="s">
        <v>9</v>
      </c>
      <c r="E330" s="5">
        <v>2500</v>
      </c>
      <c r="F330" s="5">
        <v>2500</v>
      </c>
      <c r="G330" s="5">
        <v>1750</v>
      </c>
      <c r="H330" s="4"/>
      <c r="I330" s="4" t="s">
        <v>158</v>
      </c>
      <c r="J330" s="4" t="s">
        <v>460</v>
      </c>
      <c r="K330" s="4" t="s">
        <v>11</v>
      </c>
      <c r="L330" s="4" t="s">
        <v>141</v>
      </c>
    </row>
    <row r="331" spans="1:12">
      <c r="A331" s="3">
        <v>44602.639074074075</v>
      </c>
      <c r="B331" s="4">
        <v>286896672</v>
      </c>
      <c r="C331" s="4" t="s">
        <v>248</v>
      </c>
      <c r="D331" s="4" t="s">
        <v>9</v>
      </c>
      <c r="E331" s="5">
        <v>2500</v>
      </c>
      <c r="F331" s="5">
        <v>2500</v>
      </c>
      <c r="G331" s="5">
        <v>1750</v>
      </c>
      <c r="H331" s="4"/>
      <c r="I331" s="4" t="s">
        <v>158</v>
      </c>
      <c r="J331" s="4" t="s">
        <v>460</v>
      </c>
      <c r="K331" s="4" t="s">
        <v>11</v>
      </c>
      <c r="L331" s="4" t="s">
        <v>141</v>
      </c>
    </row>
    <row r="332" spans="1:12">
      <c r="A332" s="3">
        <v>44602.654849537037</v>
      </c>
      <c r="B332" s="4">
        <v>288676933</v>
      </c>
      <c r="C332" s="4" t="s">
        <v>451</v>
      </c>
      <c r="D332" s="4" t="s">
        <v>9</v>
      </c>
      <c r="E332" s="5">
        <v>2500</v>
      </c>
      <c r="F332" s="5">
        <v>2500</v>
      </c>
      <c r="G332" s="5">
        <v>1750</v>
      </c>
      <c r="H332" s="4"/>
      <c r="I332" s="4" t="s">
        <v>450</v>
      </c>
      <c r="J332" s="4" t="s">
        <v>460</v>
      </c>
      <c r="K332" s="4" t="s">
        <v>11</v>
      </c>
      <c r="L332" s="4" t="s">
        <v>371</v>
      </c>
    </row>
    <row r="333" spans="1:12">
      <c r="A333" s="3">
        <v>44602.764953703707</v>
      </c>
      <c r="B333" s="4">
        <v>287834730</v>
      </c>
      <c r="C333" s="4" t="s">
        <v>275</v>
      </c>
      <c r="D333" s="4" t="s">
        <v>9</v>
      </c>
      <c r="E333" s="5">
        <v>2000</v>
      </c>
      <c r="F333" s="5">
        <v>2000</v>
      </c>
      <c r="G333" s="5">
        <v>1400</v>
      </c>
      <c r="H333" s="4"/>
      <c r="I333" s="4" t="s">
        <v>169</v>
      </c>
      <c r="J333" s="4" t="s">
        <v>460</v>
      </c>
      <c r="K333" s="4" t="s">
        <v>11</v>
      </c>
      <c r="L333" s="4" t="s">
        <v>206</v>
      </c>
    </row>
    <row r="334" spans="1:12">
      <c r="A334" s="3">
        <v>44602.871064814812</v>
      </c>
      <c r="B334" s="4">
        <v>287366429</v>
      </c>
      <c r="C334" s="4" t="s">
        <v>225</v>
      </c>
      <c r="D334" s="4" t="s">
        <v>9</v>
      </c>
      <c r="E334" s="5">
        <v>2000</v>
      </c>
      <c r="F334" s="5">
        <v>2000</v>
      </c>
      <c r="G334" s="5">
        <v>1400</v>
      </c>
      <c r="H334" s="4"/>
      <c r="I334" s="4" t="s">
        <v>166</v>
      </c>
      <c r="J334" s="4" t="s">
        <v>460</v>
      </c>
      <c r="K334" s="4" t="s">
        <v>11</v>
      </c>
      <c r="L334" s="4" t="s">
        <v>152</v>
      </c>
    </row>
    <row r="335" spans="1:12">
      <c r="A335" s="3">
        <v>44602.875833333332</v>
      </c>
      <c r="B335" s="4">
        <v>287834730</v>
      </c>
      <c r="C335" s="4" t="s">
        <v>275</v>
      </c>
      <c r="D335" s="4" t="s">
        <v>9</v>
      </c>
      <c r="E335" s="5">
        <v>2000</v>
      </c>
      <c r="F335" s="5">
        <v>2000</v>
      </c>
      <c r="G335" s="5">
        <v>1400</v>
      </c>
      <c r="H335" s="4"/>
      <c r="I335" s="4" t="s">
        <v>169</v>
      </c>
      <c r="J335" s="4" t="s">
        <v>460</v>
      </c>
      <c r="K335" s="4" t="s">
        <v>11</v>
      </c>
      <c r="L335" s="4" t="s">
        <v>206</v>
      </c>
    </row>
    <row r="336" spans="1:12">
      <c r="A336" s="3">
        <v>44602.876851851855</v>
      </c>
      <c r="B336" s="4">
        <v>287834730</v>
      </c>
      <c r="C336" s="4" t="s">
        <v>275</v>
      </c>
      <c r="D336" s="4" t="s">
        <v>9</v>
      </c>
      <c r="E336" s="5">
        <v>-2000</v>
      </c>
      <c r="F336" s="5">
        <v>-2000</v>
      </c>
      <c r="G336" s="5">
        <v>-1400</v>
      </c>
      <c r="H336" s="3">
        <v>44602.875833333332</v>
      </c>
      <c r="I336" s="4" t="s">
        <v>169</v>
      </c>
      <c r="J336" s="4" t="s">
        <v>460</v>
      </c>
      <c r="K336" s="4" t="s">
        <v>11</v>
      </c>
      <c r="L336" s="4" t="s">
        <v>206</v>
      </c>
    </row>
    <row r="337" spans="1:12">
      <c r="A337" s="3">
        <v>44602.877662037034</v>
      </c>
      <c r="B337" s="4">
        <v>287834730</v>
      </c>
      <c r="C337" s="4" t="s">
        <v>275</v>
      </c>
      <c r="D337" s="4" t="s">
        <v>9</v>
      </c>
      <c r="E337" s="5">
        <v>2000</v>
      </c>
      <c r="F337" s="5">
        <v>2000</v>
      </c>
      <c r="G337" s="5">
        <v>1400</v>
      </c>
      <c r="H337" s="4"/>
      <c r="I337" s="4" t="s">
        <v>169</v>
      </c>
      <c r="J337" s="4" t="s">
        <v>460</v>
      </c>
      <c r="K337" s="4" t="s">
        <v>11</v>
      </c>
      <c r="L337" s="4" t="s">
        <v>206</v>
      </c>
    </row>
    <row r="338" spans="1:12">
      <c r="A338" s="3">
        <v>44602.916898148149</v>
      </c>
      <c r="B338" s="4">
        <v>287834730</v>
      </c>
      <c r="C338" s="4" t="s">
        <v>275</v>
      </c>
      <c r="D338" s="4" t="s">
        <v>9</v>
      </c>
      <c r="E338" s="5">
        <v>2000</v>
      </c>
      <c r="F338" s="5">
        <v>2000</v>
      </c>
      <c r="G338" s="5">
        <v>1400</v>
      </c>
      <c r="H338" s="4"/>
      <c r="I338" s="4" t="s">
        <v>169</v>
      </c>
      <c r="J338" s="4" t="s">
        <v>460</v>
      </c>
      <c r="K338" s="4" t="s">
        <v>11</v>
      </c>
      <c r="L338" s="4" t="s">
        <v>206</v>
      </c>
    </row>
    <row r="339" spans="1:12">
      <c r="A339" s="3">
        <v>44602.928888888891</v>
      </c>
      <c r="B339" s="4">
        <v>287834730</v>
      </c>
      <c r="C339" s="4" t="s">
        <v>275</v>
      </c>
      <c r="D339" s="4" t="s">
        <v>9</v>
      </c>
      <c r="E339" s="5">
        <v>2000</v>
      </c>
      <c r="F339" s="5">
        <v>2000</v>
      </c>
      <c r="G339" s="5">
        <v>1400</v>
      </c>
      <c r="H339" s="4"/>
      <c r="I339" s="4" t="s">
        <v>169</v>
      </c>
      <c r="J339" s="4" t="s">
        <v>460</v>
      </c>
      <c r="K339" s="4" t="s">
        <v>11</v>
      </c>
      <c r="L339" s="4" t="s">
        <v>206</v>
      </c>
    </row>
    <row r="340" spans="1:12">
      <c r="A340" s="3">
        <v>44602.928888888891</v>
      </c>
      <c r="B340" s="4">
        <v>288676933</v>
      </c>
      <c r="C340" s="4" t="s">
        <v>451</v>
      </c>
      <c r="D340" s="4" t="s">
        <v>9</v>
      </c>
      <c r="E340" s="5">
        <v>2500</v>
      </c>
      <c r="F340" s="5">
        <v>2500</v>
      </c>
      <c r="G340" s="5">
        <v>1750</v>
      </c>
      <c r="H340" s="4"/>
      <c r="I340" s="4" t="s">
        <v>450</v>
      </c>
      <c r="J340" s="4" t="s">
        <v>460</v>
      </c>
      <c r="K340" s="4" t="s">
        <v>11</v>
      </c>
      <c r="L340" s="4" t="s">
        <v>371</v>
      </c>
    </row>
    <row r="341" spans="1:12">
      <c r="A341" s="3">
        <v>44602.945810185185</v>
      </c>
      <c r="B341" s="4">
        <v>287834730</v>
      </c>
      <c r="C341" s="4" t="s">
        <v>275</v>
      </c>
      <c r="D341" s="4" t="s">
        <v>9</v>
      </c>
      <c r="E341" s="5">
        <v>2000</v>
      </c>
      <c r="F341" s="5">
        <v>2000</v>
      </c>
      <c r="G341" s="5">
        <v>1400</v>
      </c>
      <c r="H341" s="4"/>
      <c r="I341" s="4" t="s">
        <v>169</v>
      </c>
      <c r="J341" s="4" t="s">
        <v>460</v>
      </c>
      <c r="K341" s="4" t="s">
        <v>11</v>
      </c>
      <c r="L341" s="4" t="s">
        <v>206</v>
      </c>
    </row>
    <row r="342" spans="1:12">
      <c r="A342" s="3">
        <v>44602.992372685185</v>
      </c>
      <c r="B342" s="4">
        <v>287834730</v>
      </c>
      <c r="C342" s="4" t="s">
        <v>275</v>
      </c>
      <c r="D342" s="4" t="s">
        <v>9</v>
      </c>
      <c r="E342" s="5">
        <v>2000</v>
      </c>
      <c r="F342" s="5">
        <v>2000</v>
      </c>
      <c r="G342" s="5">
        <v>1400</v>
      </c>
      <c r="H342" s="4"/>
      <c r="I342" s="4" t="s">
        <v>169</v>
      </c>
      <c r="J342" s="4" t="s">
        <v>460</v>
      </c>
      <c r="K342" s="4" t="s">
        <v>11</v>
      </c>
      <c r="L342" s="4" t="s">
        <v>206</v>
      </c>
    </row>
    <row r="343" spans="1:12">
      <c r="A343" s="3">
        <v>44603.0309375</v>
      </c>
      <c r="B343" s="4">
        <v>287834730</v>
      </c>
      <c r="C343" s="4" t="s">
        <v>275</v>
      </c>
      <c r="D343" s="4" t="s">
        <v>9</v>
      </c>
      <c r="E343" s="5">
        <v>2000</v>
      </c>
      <c r="F343" s="5">
        <v>2000</v>
      </c>
      <c r="G343" s="5">
        <v>1400</v>
      </c>
      <c r="H343" s="4"/>
      <c r="I343" s="4" t="s">
        <v>169</v>
      </c>
      <c r="J343" s="4" t="s">
        <v>460</v>
      </c>
      <c r="K343" s="4" t="s">
        <v>11</v>
      </c>
      <c r="L343" s="4" t="s">
        <v>206</v>
      </c>
    </row>
    <row r="344" spans="1:12">
      <c r="A344" s="3">
        <v>44603.132256944446</v>
      </c>
      <c r="B344" s="4">
        <v>287834730</v>
      </c>
      <c r="C344" s="4" t="s">
        <v>275</v>
      </c>
      <c r="D344" s="4" t="s">
        <v>9</v>
      </c>
      <c r="E344" s="5">
        <v>2000</v>
      </c>
      <c r="F344" s="5">
        <v>2000</v>
      </c>
      <c r="G344" s="5">
        <v>1400</v>
      </c>
      <c r="H344" s="4"/>
      <c r="I344" s="4" t="s">
        <v>169</v>
      </c>
      <c r="J344" s="4" t="s">
        <v>460</v>
      </c>
      <c r="K344" s="4" t="s">
        <v>11</v>
      </c>
      <c r="L344" s="4" t="s">
        <v>206</v>
      </c>
    </row>
    <row r="345" spans="1:12">
      <c r="A345" s="3">
        <v>44603.404745370368</v>
      </c>
      <c r="B345" s="4">
        <v>287834730</v>
      </c>
      <c r="C345" s="4" t="s">
        <v>275</v>
      </c>
      <c r="D345" s="4" t="s">
        <v>9</v>
      </c>
      <c r="E345" s="5">
        <v>2000</v>
      </c>
      <c r="F345" s="5">
        <v>2000</v>
      </c>
      <c r="G345" s="5">
        <v>1400</v>
      </c>
      <c r="H345" s="4"/>
      <c r="I345" s="4" t="s">
        <v>169</v>
      </c>
      <c r="J345" s="4" t="s">
        <v>460</v>
      </c>
      <c r="K345" s="4" t="s">
        <v>11</v>
      </c>
      <c r="L345" s="4" t="s">
        <v>206</v>
      </c>
    </row>
    <row r="346" spans="1:12">
      <c r="A346" s="3">
        <v>44603.425868055558</v>
      </c>
      <c r="B346" s="4">
        <v>286896672</v>
      </c>
      <c r="C346" s="4" t="s">
        <v>248</v>
      </c>
      <c r="D346" s="4" t="s">
        <v>9</v>
      </c>
      <c r="E346" s="5">
        <v>2500</v>
      </c>
      <c r="F346" s="5">
        <v>2500</v>
      </c>
      <c r="G346" s="5">
        <v>1750</v>
      </c>
      <c r="H346" s="4"/>
      <c r="I346" s="4" t="s">
        <v>158</v>
      </c>
      <c r="J346" s="4" t="s">
        <v>460</v>
      </c>
      <c r="K346" s="4" t="s">
        <v>11</v>
      </c>
      <c r="L346" s="4" t="s">
        <v>141</v>
      </c>
    </row>
    <row r="347" spans="1:12">
      <c r="A347" s="3">
        <v>44603.431666666664</v>
      </c>
      <c r="B347" s="4">
        <v>286896672</v>
      </c>
      <c r="C347" s="4" t="s">
        <v>248</v>
      </c>
      <c r="D347" s="4" t="s">
        <v>9</v>
      </c>
      <c r="E347" s="5">
        <v>2500</v>
      </c>
      <c r="F347" s="5">
        <v>2500</v>
      </c>
      <c r="G347" s="5">
        <v>1750</v>
      </c>
      <c r="H347" s="4"/>
      <c r="I347" s="4" t="s">
        <v>158</v>
      </c>
      <c r="J347" s="4" t="s">
        <v>460</v>
      </c>
      <c r="K347" s="4" t="s">
        <v>11</v>
      </c>
      <c r="L347" s="4" t="s">
        <v>141</v>
      </c>
    </row>
    <row r="348" spans="1:12">
      <c r="A348" s="3">
        <v>44603.48505787037</v>
      </c>
      <c r="B348" s="4">
        <v>287834730</v>
      </c>
      <c r="C348" s="4" t="s">
        <v>275</v>
      </c>
      <c r="D348" s="4" t="s">
        <v>9</v>
      </c>
      <c r="E348" s="5">
        <v>2000</v>
      </c>
      <c r="F348" s="5">
        <v>2000</v>
      </c>
      <c r="G348" s="5">
        <v>1400</v>
      </c>
      <c r="H348" s="4"/>
      <c r="I348" s="4" t="s">
        <v>169</v>
      </c>
      <c r="J348" s="4" t="s">
        <v>460</v>
      </c>
      <c r="K348" s="4" t="s">
        <v>11</v>
      </c>
      <c r="L348" s="4" t="s">
        <v>206</v>
      </c>
    </row>
    <row r="349" spans="1:12">
      <c r="A349" s="3">
        <v>44603.580393518518</v>
      </c>
      <c r="B349" s="4">
        <v>287086652</v>
      </c>
      <c r="C349" s="4" t="s">
        <v>220</v>
      </c>
      <c r="D349" s="4" t="s">
        <v>9</v>
      </c>
      <c r="E349" s="5">
        <v>2000</v>
      </c>
      <c r="F349" s="5">
        <v>2000</v>
      </c>
      <c r="G349" s="5">
        <v>1400</v>
      </c>
      <c r="H349" s="4"/>
      <c r="I349" s="4" t="s">
        <v>162</v>
      </c>
      <c r="J349" s="4" t="s">
        <v>460</v>
      </c>
      <c r="K349" s="4" t="s">
        <v>11</v>
      </c>
      <c r="L349" s="4" t="s">
        <v>150</v>
      </c>
    </row>
    <row r="350" spans="1:12">
      <c r="A350" s="3">
        <v>44603.884502314817</v>
      </c>
      <c r="B350" s="4">
        <v>287086652</v>
      </c>
      <c r="C350" s="4" t="s">
        <v>220</v>
      </c>
      <c r="D350" s="4" t="s">
        <v>9</v>
      </c>
      <c r="E350" s="5">
        <v>2000</v>
      </c>
      <c r="F350" s="5">
        <v>2000</v>
      </c>
      <c r="G350" s="5">
        <v>1400</v>
      </c>
      <c r="H350" s="4"/>
      <c r="I350" s="4" t="s">
        <v>162</v>
      </c>
      <c r="J350" s="4" t="s">
        <v>460</v>
      </c>
      <c r="K350" s="4" t="s">
        <v>11</v>
      </c>
      <c r="L350" s="4" t="s">
        <v>150</v>
      </c>
    </row>
    <row r="351" spans="1:12">
      <c r="A351" s="3">
        <v>44603.940358796295</v>
      </c>
      <c r="B351" s="4">
        <v>287834730</v>
      </c>
      <c r="C351" s="4" t="s">
        <v>275</v>
      </c>
      <c r="D351" s="4" t="s">
        <v>9</v>
      </c>
      <c r="E351" s="5">
        <v>2000</v>
      </c>
      <c r="F351" s="5">
        <v>2000</v>
      </c>
      <c r="G351" s="5">
        <v>1400</v>
      </c>
      <c r="H351" s="4"/>
      <c r="I351" s="4" t="s">
        <v>169</v>
      </c>
      <c r="J351" s="4" t="s">
        <v>460</v>
      </c>
      <c r="K351" s="4" t="s">
        <v>11</v>
      </c>
      <c r="L351" s="4" t="s">
        <v>206</v>
      </c>
    </row>
    <row r="352" spans="1:12">
      <c r="A352" s="3">
        <v>44603.944050925929</v>
      </c>
      <c r="B352" s="4">
        <v>287086652</v>
      </c>
      <c r="C352" s="4" t="s">
        <v>220</v>
      </c>
      <c r="D352" s="4" t="s">
        <v>9</v>
      </c>
      <c r="E352" s="5">
        <v>2000</v>
      </c>
      <c r="F352" s="5">
        <v>2000</v>
      </c>
      <c r="G352" s="5">
        <v>1400</v>
      </c>
      <c r="H352" s="4"/>
      <c r="I352" s="4" t="s">
        <v>162</v>
      </c>
      <c r="J352" s="4" t="s">
        <v>460</v>
      </c>
      <c r="K352" s="4" t="s">
        <v>11</v>
      </c>
      <c r="L352" s="4" t="s">
        <v>150</v>
      </c>
    </row>
    <row r="353" spans="1:12">
      <c r="A353" s="3">
        <v>44603.951550925929</v>
      </c>
      <c r="B353" s="4">
        <v>287834730</v>
      </c>
      <c r="C353" s="4" t="s">
        <v>275</v>
      </c>
      <c r="D353" s="4" t="s">
        <v>9</v>
      </c>
      <c r="E353" s="5">
        <v>2000</v>
      </c>
      <c r="F353" s="5">
        <v>2000</v>
      </c>
      <c r="G353" s="5">
        <v>1400</v>
      </c>
      <c r="H353" s="4"/>
      <c r="I353" s="4" t="s">
        <v>169</v>
      </c>
      <c r="J353" s="4" t="s">
        <v>460</v>
      </c>
      <c r="K353" s="4" t="s">
        <v>11</v>
      </c>
      <c r="L353" s="4" t="s">
        <v>206</v>
      </c>
    </row>
    <row r="354" spans="1:12">
      <c r="A354" s="3">
        <v>44603.960578703707</v>
      </c>
      <c r="B354" s="4">
        <v>287834730</v>
      </c>
      <c r="C354" s="4" t="s">
        <v>275</v>
      </c>
      <c r="D354" s="4" t="s">
        <v>9</v>
      </c>
      <c r="E354" s="5">
        <v>2000</v>
      </c>
      <c r="F354" s="5">
        <v>2000</v>
      </c>
      <c r="G354" s="5">
        <v>1400</v>
      </c>
      <c r="H354" s="4"/>
      <c r="I354" s="4" t="s">
        <v>169</v>
      </c>
      <c r="J354" s="4" t="s">
        <v>460</v>
      </c>
      <c r="K354" s="4" t="s">
        <v>11</v>
      </c>
      <c r="L354" s="4" t="s">
        <v>206</v>
      </c>
    </row>
    <row r="355" spans="1:12">
      <c r="A355" s="3">
        <v>44603.977719907409</v>
      </c>
      <c r="B355" s="4">
        <v>287834730</v>
      </c>
      <c r="C355" s="4" t="s">
        <v>275</v>
      </c>
      <c r="D355" s="4" t="s">
        <v>9</v>
      </c>
      <c r="E355" s="5">
        <v>2000</v>
      </c>
      <c r="F355" s="5">
        <v>2000</v>
      </c>
      <c r="G355" s="5">
        <v>1400</v>
      </c>
      <c r="H355" s="4"/>
      <c r="I355" s="4" t="s">
        <v>169</v>
      </c>
      <c r="J355" s="4" t="s">
        <v>460</v>
      </c>
      <c r="K355" s="4" t="s">
        <v>11</v>
      </c>
      <c r="L355" s="4" t="s">
        <v>206</v>
      </c>
    </row>
    <row r="356" spans="1:12">
      <c r="A356" s="3">
        <v>44603.985532407409</v>
      </c>
      <c r="B356" s="4">
        <v>287834730</v>
      </c>
      <c r="C356" s="4" t="s">
        <v>275</v>
      </c>
      <c r="D356" s="4" t="s">
        <v>9</v>
      </c>
      <c r="E356" s="5">
        <v>2000</v>
      </c>
      <c r="F356" s="5">
        <v>2000</v>
      </c>
      <c r="G356" s="5">
        <v>1400</v>
      </c>
      <c r="H356" s="4"/>
      <c r="I356" s="4" t="s">
        <v>169</v>
      </c>
      <c r="J356" s="4" t="s">
        <v>460</v>
      </c>
      <c r="K356" s="4" t="s">
        <v>11</v>
      </c>
      <c r="L356" s="4" t="s">
        <v>206</v>
      </c>
    </row>
    <row r="357" spans="1:12">
      <c r="A357" s="3">
        <v>44604.021747685183</v>
      </c>
      <c r="B357" s="4">
        <v>287834730</v>
      </c>
      <c r="C357" s="4" t="s">
        <v>275</v>
      </c>
      <c r="D357" s="4" t="s">
        <v>9</v>
      </c>
      <c r="E357" s="5">
        <v>2000</v>
      </c>
      <c r="F357" s="5">
        <v>2000</v>
      </c>
      <c r="G357" s="5">
        <v>1400</v>
      </c>
      <c r="H357" s="4"/>
      <c r="I357" s="4" t="s">
        <v>169</v>
      </c>
      <c r="J357" s="4" t="s">
        <v>460</v>
      </c>
      <c r="K357" s="4" t="s">
        <v>11</v>
      </c>
      <c r="L357" s="4" t="s">
        <v>206</v>
      </c>
    </row>
    <row r="358" spans="1:12">
      <c r="A358" s="3">
        <v>44604.158715277779</v>
      </c>
      <c r="B358" s="4">
        <v>286896672</v>
      </c>
      <c r="C358" s="4" t="s">
        <v>248</v>
      </c>
      <c r="D358" s="4" t="s">
        <v>9</v>
      </c>
      <c r="E358" s="5">
        <v>2500</v>
      </c>
      <c r="F358" s="5">
        <v>2500</v>
      </c>
      <c r="G358" s="5">
        <v>1750</v>
      </c>
      <c r="H358" s="4"/>
      <c r="I358" s="4" t="s">
        <v>158</v>
      </c>
      <c r="J358" s="4" t="s">
        <v>460</v>
      </c>
      <c r="K358" s="4" t="s">
        <v>11</v>
      </c>
      <c r="L358" s="4" t="s">
        <v>141</v>
      </c>
    </row>
    <row r="359" spans="1:12">
      <c r="A359" s="3">
        <v>44604.327928240738</v>
      </c>
      <c r="B359" s="4">
        <v>288676933</v>
      </c>
      <c r="C359" s="4" t="s">
        <v>451</v>
      </c>
      <c r="D359" s="4" t="s">
        <v>9</v>
      </c>
      <c r="E359" s="5">
        <v>2500</v>
      </c>
      <c r="F359" s="5">
        <v>2500</v>
      </c>
      <c r="G359" s="5">
        <v>1750</v>
      </c>
      <c r="H359" s="4"/>
      <c r="I359" s="4" t="s">
        <v>450</v>
      </c>
      <c r="J359" s="4" t="s">
        <v>460</v>
      </c>
      <c r="K359" s="4" t="s">
        <v>11</v>
      </c>
      <c r="L359" s="4" t="s">
        <v>371</v>
      </c>
    </row>
    <row r="360" spans="1:12">
      <c r="A360" s="3">
        <v>44604.363055555557</v>
      </c>
      <c r="B360" s="4">
        <v>287834730</v>
      </c>
      <c r="C360" s="4" t="s">
        <v>275</v>
      </c>
      <c r="D360" s="4" t="s">
        <v>9</v>
      </c>
      <c r="E360" s="5">
        <v>2000</v>
      </c>
      <c r="F360" s="5">
        <v>2000</v>
      </c>
      <c r="G360" s="5">
        <v>1400</v>
      </c>
      <c r="H360" s="4"/>
      <c r="I360" s="4" t="s">
        <v>169</v>
      </c>
      <c r="J360" s="4" t="s">
        <v>460</v>
      </c>
      <c r="K360" s="4" t="s">
        <v>11</v>
      </c>
      <c r="L360" s="4" t="s">
        <v>206</v>
      </c>
    </row>
    <row r="361" spans="1:12">
      <c r="A361" s="3">
        <v>44604.384340277778</v>
      </c>
      <c r="B361" s="4">
        <v>287086652</v>
      </c>
      <c r="C361" s="4" t="s">
        <v>220</v>
      </c>
      <c r="D361" s="4" t="s">
        <v>9</v>
      </c>
      <c r="E361" s="5">
        <v>2000</v>
      </c>
      <c r="F361" s="5">
        <v>2000</v>
      </c>
      <c r="G361" s="5">
        <v>1400</v>
      </c>
      <c r="H361" s="4"/>
      <c r="I361" s="4" t="s">
        <v>162</v>
      </c>
      <c r="J361" s="4" t="s">
        <v>460</v>
      </c>
      <c r="K361" s="4" t="s">
        <v>11</v>
      </c>
      <c r="L361" s="4" t="s">
        <v>150</v>
      </c>
    </row>
    <row r="362" spans="1:12">
      <c r="A362" s="3">
        <v>44604.409363425926</v>
      </c>
      <c r="B362" s="4">
        <v>287834730</v>
      </c>
      <c r="C362" s="4" t="s">
        <v>275</v>
      </c>
      <c r="D362" s="4" t="s">
        <v>9</v>
      </c>
      <c r="E362" s="5">
        <v>2000</v>
      </c>
      <c r="F362" s="5">
        <v>2000</v>
      </c>
      <c r="G362" s="5">
        <v>1400</v>
      </c>
      <c r="H362" s="4"/>
      <c r="I362" s="4" t="s">
        <v>169</v>
      </c>
      <c r="J362" s="4" t="s">
        <v>460</v>
      </c>
      <c r="K362" s="4" t="s">
        <v>11</v>
      </c>
      <c r="L362" s="4" t="s">
        <v>206</v>
      </c>
    </row>
    <row r="363" spans="1:12">
      <c r="A363" s="3">
        <v>44604.412083333336</v>
      </c>
      <c r="B363" s="4">
        <v>286896672</v>
      </c>
      <c r="C363" s="4" t="s">
        <v>248</v>
      </c>
      <c r="D363" s="4" t="s">
        <v>9</v>
      </c>
      <c r="E363" s="5">
        <v>2500</v>
      </c>
      <c r="F363" s="5">
        <v>2500</v>
      </c>
      <c r="G363" s="5">
        <v>1750</v>
      </c>
      <c r="H363" s="4"/>
      <c r="I363" s="4" t="s">
        <v>158</v>
      </c>
      <c r="J363" s="4" t="s">
        <v>460</v>
      </c>
      <c r="K363" s="4" t="s">
        <v>11</v>
      </c>
      <c r="L363" s="4" t="s">
        <v>141</v>
      </c>
    </row>
    <row r="364" spans="1:12">
      <c r="A364" s="3">
        <v>44604.576342592591</v>
      </c>
      <c r="B364" s="4">
        <v>287086652</v>
      </c>
      <c r="C364" s="4" t="s">
        <v>220</v>
      </c>
      <c r="D364" s="4" t="s">
        <v>9</v>
      </c>
      <c r="E364" s="5">
        <v>2000</v>
      </c>
      <c r="F364" s="5">
        <v>2000</v>
      </c>
      <c r="G364" s="5">
        <v>1400</v>
      </c>
      <c r="H364" s="4"/>
      <c r="I364" s="4" t="s">
        <v>162</v>
      </c>
      <c r="J364" s="4" t="s">
        <v>460</v>
      </c>
      <c r="K364" s="4" t="s">
        <v>11</v>
      </c>
      <c r="L364" s="4" t="s">
        <v>150</v>
      </c>
    </row>
    <row r="365" spans="1:12">
      <c r="A365" s="3">
        <v>44604.588020833333</v>
      </c>
      <c r="B365" s="4">
        <v>286896672</v>
      </c>
      <c r="C365" s="4" t="s">
        <v>248</v>
      </c>
      <c r="D365" s="4" t="s">
        <v>9</v>
      </c>
      <c r="E365" s="5">
        <v>2500</v>
      </c>
      <c r="F365" s="5">
        <v>2500</v>
      </c>
      <c r="G365" s="5">
        <v>1750</v>
      </c>
      <c r="H365" s="4"/>
      <c r="I365" s="4" t="s">
        <v>158</v>
      </c>
      <c r="J365" s="4" t="s">
        <v>460</v>
      </c>
      <c r="K365" s="4" t="s">
        <v>11</v>
      </c>
      <c r="L365" s="4" t="s">
        <v>141</v>
      </c>
    </row>
    <row r="366" spans="1:12">
      <c r="A366" s="3">
        <v>44604.650405092594</v>
      </c>
      <c r="B366" s="4">
        <v>287834730</v>
      </c>
      <c r="C366" s="4" t="s">
        <v>275</v>
      </c>
      <c r="D366" s="4" t="s">
        <v>9</v>
      </c>
      <c r="E366" s="5">
        <v>2000</v>
      </c>
      <c r="F366" s="5">
        <v>2000</v>
      </c>
      <c r="G366" s="5">
        <v>1400</v>
      </c>
      <c r="H366" s="4"/>
      <c r="I366" s="4" t="s">
        <v>169</v>
      </c>
      <c r="J366" s="4" t="s">
        <v>460</v>
      </c>
      <c r="K366" s="4" t="s">
        <v>11</v>
      </c>
      <c r="L366" s="4" t="s">
        <v>206</v>
      </c>
    </row>
    <row r="367" spans="1:12">
      <c r="A367" s="3">
        <v>44604.667743055557</v>
      </c>
      <c r="B367" s="4">
        <v>288676933</v>
      </c>
      <c r="C367" s="4" t="s">
        <v>451</v>
      </c>
      <c r="D367" s="4" t="s">
        <v>9</v>
      </c>
      <c r="E367" s="5">
        <v>2500</v>
      </c>
      <c r="F367" s="5">
        <v>2500</v>
      </c>
      <c r="G367" s="5">
        <v>1750</v>
      </c>
      <c r="H367" s="4"/>
      <c r="I367" s="4" t="s">
        <v>450</v>
      </c>
      <c r="J367" s="4" t="s">
        <v>460</v>
      </c>
      <c r="K367" s="4" t="s">
        <v>11</v>
      </c>
      <c r="L367" s="4" t="s">
        <v>371</v>
      </c>
    </row>
    <row r="368" spans="1:12">
      <c r="A368" s="3">
        <v>44604.725902777776</v>
      </c>
      <c r="B368" s="4">
        <v>287834730</v>
      </c>
      <c r="C368" s="4" t="s">
        <v>275</v>
      </c>
      <c r="D368" s="4" t="s">
        <v>9</v>
      </c>
      <c r="E368" s="5">
        <v>2000</v>
      </c>
      <c r="F368" s="5">
        <v>2000</v>
      </c>
      <c r="G368" s="5">
        <v>1400</v>
      </c>
      <c r="H368" s="4"/>
      <c r="I368" s="4" t="s">
        <v>169</v>
      </c>
      <c r="J368" s="4" t="s">
        <v>460</v>
      </c>
      <c r="K368" s="4" t="s">
        <v>11</v>
      </c>
      <c r="L368" s="4" t="s">
        <v>206</v>
      </c>
    </row>
    <row r="369" spans="1:12">
      <c r="A369" s="3">
        <v>44604.781886574077</v>
      </c>
      <c r="B369" s="4">
        <v>287834730</v>
      </c>
      <c r="C369" s="4" t="s">
        <v>275</v>
      </c>
      <c r="D369" s="4" t="s">
        <v>9</v>
      </c>
      <c r="E369" s="5">
        <v>2000</v>
      </c>
      <c r="F369" s="5">
        <v>2000</v>
      </c>
      <c r="G369" s="5">
        <v>1400</v>
      </c>
      <c r="H369" s="4"/>
      <c r="I369" s="4" t="s">
        <v>169</v>
      </c>
      <c r="J369" s="4" t="s">
        <v>460</v>
      </c>
      <c r="K369" s="4" t="s">
        <v>11</v>
      </c>
      <c r="L369" s="4" t="s">
        <v>206</v>
      </c>
    </row>
    <row r="370" spans="1:12">
      <c r="A370" s="3">
        <v>44604.785787037035</v>
      </c>
      <c r="B370" s="4">
        <v>287834730</v>
      </c>
      <c r="C370" s="4" t="s">
        <v>275</v>
      </c>
      <c r="D370" s="4" t="s">
        <v>9</v>
      </c>
      <c r="E370" s="5">
        <v>2000</v>
      </c>
      <c r="F370" s="5">
        <v>2000</v>
      </c>
      <c r="G370" s="5">
        <v>1400</v>
      </c>
      <c r="H370" s="4"/>
      <c r="I370" s="4" t="s">
        <v>169</v>
      </c>
      <c r="J370" s="4" t="s">
        <v>460</v>
      </c>
      <c r="K370" s="4" t="s">
        <v>11</v>
      </c>
      <c r="L370" s="4" t="s">
        <v>206</v>
      </c>
    </row>
    <row r="371" spans="1:12">
      <c r="A371" s="3">
        <v>44604.816064814811</v>
      </c>
      <c r="B371" s="4">
        <v>288676933</v>
      </c>
      <c r="C371" s="4" t="s">
        <v>451</v>
      </c>
      <c r="D371" s="4" t="s">
        <v>9</v>
      </c>
      <c r="E371" s="5">
        <v>2500</v>
      </c>
      <c r="F371" s="5">
        <v>2500</v>
      </c>
      <c r="G371" s="5">
        <v>1750</v>
      </c>
      <c r="H371" s="4"/>
      <c r="I371" s="4" t="s">
        <v>450</v>
      </c>
      <c r="J371" s="4" t="s">
        <v>460</v>
      </c>
      <c r="K371" s="4" t="s">
        <v>11</v>
      </c>
      <c r="L371" s="4" t="s">
        <v>371</v>
      </c>
    </row>
    <row r="372" spans="1:12">
      <c r="A372" s="3">
        <v>44604.864004629628</v>
      </c>
      <c r="B372" s="4">
        <v>287834730</v>
      </c>
      <c r="C372" s="4" t="s">
        <v>275</v>
      </c>
      <c r="D372" s="4" t="s">
        <v>9</v>
      </c>
      <c r="E372" s="5">
        <v>2000</v>
      </c>
      <c r="F372" s="5">
        <v>2000</v>
      </c>
      <c r="G372" s="5">
        <v>1400</v>
      </c>
      <c r="H372" s="4"/>
      <c r="I372" s="4" t="s">
        <v>169</v>
      </c>
      <c r="J372" s="4" t="s">
        <v>460</v>
      </c>
      <c r="K372" s="4" t="s">
        <v>11</v>
      </c>
      <c r="L372" s="4" t="s">
        <v>206</v>
      </c>
    </row>
    <row r="373" spans="1:12">
      <c r="A373" s="3">
        <v>44604.878611111111</v>
      </c>
      <c r="B373" s="4">
        <v>287834730</v>
      </c>
      <c r="C373" s="4" t="s">
        <v>275</v>
      </c>
      <c r="D373" s="4" t="s">
        <v>9</v>
      </c>
      <c r="E373" s="5">
        <v>2000</v>
      </c>
      <c r="F373" s="5">
        <v>2000</v>
      </c>
      <c r="G373" s="5">
        <v>1400</v>
      </c>
      <c r="H373" s="4"/>
      <c r="I373" s="4" t="s">
        <v>169</v>
      </c>
      <c r="J373" s="4" t="s">
        <v>460</v>
      </c>
      <c r="K373" s="4" t="s">
        <v>11</v>
      </c>
      <c r="L373" s="4" t="s">
        <v>206</v>
      </c>
    </row>
    <row r="374" spans="1:12">
      <c r="A374" s="3">
        <v>44604.890787037039</v>
      </c>
      <c r="B374" s="4">
        <v>287148991</v>
      </c>
      <c r="C374" s="4" t="s">
        <v>223</v>
      </c>
      <c r="D374" s="4" t="s">
        <v>9</v>
      </c>
      <c r="E374" s="5">
        <v>2000</v>
      </c>
      <c r="F374" s="5">
        <v>2000</v>
      </c>
      <c r="G374" s="5">
        <v>1400</v>
      </c>
      <c r="H374" s="4"/>
      <c r="I374" s="4" t="s">
        <v>163</v>
      </c>
      <c r="J374" s="4" t="s">
        <v>460</v>
      </c>
      <c r="K374" s="4" t="s">
        <v>11</v>
      </c>
      <c r="L374" s="4" t="s">
        <v>146</v>
      </c>
    </row>
    <row r="375" spans="1:12">
      <c r="A375" s="3">
        <v>44604.920995370368</v>
      </c>
      <c r="B375" s="4">
        <v>287834730</v>
      </c>
      <c r="C375" s="4" t="s">
        <v>275</v>
      </c>
      <c r="D375" s="4" t="s">
        <v>9</v>
      </c>
      <c r="E375" s="5">
        <v>2000</v>
      </c>
      <c r="F375" s="5">
        <v>2000</v>
      </c>
      <c r="G375" s="5">
        <v>1400</v>
      </c>
      <c r="H375" s="4"/>
      <c r="I375" s="4" t="s">
        <v>169</v>
      </c>
      <c r="J375" s="4" t="s">
        <v>460</v>
      </c>
      <c r="K375" s="4" t="s">
        <v>11</v>
      </c>
      <c r="L375" s="4" t="s">
        <v>206</v>
      </c>
    </row>
    <row r="376" spans="1:12">
      <c r="A376" s="3">
        <v>44604.949456018519</v>
      </c>
      <c r="B376" s="4">
        <v>287834730</v>
      </c>
      <c r="C376" s="4" t="s">
        <v>275</v>
      </c>
      <c r="D376" s="4" t="s">
        <v>9</v>
      </c>
      <c r="E376" s="5">
        <v>2000</v>
      </c>
      <c r="F376" s="5">
        <v>2000</v>
      </c>
      <c r="G376" s="5">
        <v>1400</v>
      </c>
      <c r="H376" s="4"/>
      <c r="I376" s="4" t="s">
        <v>169</v>
      </c>
      <c r="J376" s="4" t="s">
        <v>460</v>
      </c>
      <c r="K376" s="4" t="s">
        <v>11</v>
      </c>
      <c r="L376" s="4" t="s">
        <v>206</v>
      </c>
    </row>
    <row r="377" spans="1:12">
      <c r="A377" s="3">
        <v>44605.008773148147</v>
      </c>
      <c r="B377" s="4">
        <v>287703886</v>
      </c>
      <c r="C377" s="4" t="s">
        <v>218</v>
      </c>
      <c r="D377" s="4" t="s">
        <v>9</v>
      </c>
      <c r="E377" s="5">
        <v>2500</v>
      </c>
      <c r="F377" s="5">
        <v>2500</v>
      </c>
      <c r="G377" s="5">
        <v>1750</v>
      </c>
      <c r="H377" s="4"/>
      <c r="I377" s="4" t="s">
        <v>167</v>
      </c>
      <c r="J377" s="4" t="s">
        <v>460</v>
      </c>
      <c r="K377" s="4" t="s">
        <v>11</v>
      </c>
      <c r="L377" s="4" t="s">
        <v>195</v>
      </c>
    </row>
    <row r="378" spans="1:12">
      <c r="A378" s="3">
        <v>44605.008773148147</v>
      </c>
      <c r="B378" s="4">
        <v>286896672</v>
      </c>
      <c r="C378" s="4" t="s">
        <v>248</v>
      </c>
      <c r="D378" s="4" t="s">
        <v>9</v>
      </c>
      <c r="E378" s="5">
        <v>2500</v>
      </c>
      <c r="F378" s="5">
        <v>2500</v>
      </c>
      <c r="G378" s="5">
        <v>1750</v>
      </c>
      <c r="H378" s="4"/>
      <c r="I378" s="4" t="s">
        <v>158</v>
      </c>
      <c r="J378" s="4" t="s">
        <v>460</v>
      </c>
      <c r="K378" s="4" t="s">
        <v>11</v>
      </c>
      <c r="L378" s="4" t="s">
        <v>141</v>
      </c>
    </row>
    <row r="379" spans="1:12">
      <c r="A379" s="3">
        <v>44605.008773148147</v>
      </c>
      <c r="B379" s="4">
        <v>287834730</v>
      </c>
      <c r="C379" s="4" t="s">
        <v>275</v>
      </c>
      <c r="D379" s="4" t="s">
        <v>9</v>
      </c>
      <c r="E379" s="5">
        <v>2000</v>
      </c>
      <c r="F379" s="5">
        <v>2000</v>
      </c>
      <c r="G379" s="5">
        <v>1400</v>
      </c>
      <c r="H379" s="4"/>
      <c r="I379" s="4" t="s">
        <v>169</v>
      </c>
      <c r="J379" s="4" t="s">
        <v>460</v>
      </c>
      <c r="K379" s="4" t="s">
        <v>11</v>
      </c>
      <c r="L379" s="4" t="s">
        <v>206</v>
      </c>
    </row>
    <row r="380" spans="1:12">
      <c r="A380" s="3">
        <v>44605.021562499998</v>
      </c>
      <c r="B380" s="4">
        <v>288676933</v>
      </c>
      <c r="C380" s="4" t="s">
        <v>451</v>
      </c>
      <c r="D380" s="4" t="s">
        <v>9</v>
      </c>
      <c r="E380" s="5">
        <v>2500</v>
      </c>
      <c r="F380" s="5">
        <v>2500</v>
      </c>
      <c r="G380" s="5">
        <v>1750</v>
      </c>
      <c r="H380" s="4"/>
      <c r="I380" s="4" t="s">
        <v>450</v>
      </c>
      <c r="J380" s="4" t="s">
        <v>460</v>
      </c>
      <c r="K380" s="4" t="s">
        <v>11</v>
      </c>
      <c r="L380" s="4" t="s">
        <v>371</v>
      </c>
    </row>
    <row r="381" spans="1:12">
      <c r="A381" s="3">
        <v>44605.024189814816</v>
      </c>
      <c r="B381" s="4">
        <v>287834730</v>
      </c>
      <c r="C381" s="4" t="s">
        <v>275</v>
      </c>
      <c r="D381" s="4" t="s">
        <v>9</v>
      </c>
      <c r="E381" s="5">
        <v>2000</v>
      </c>
      <c r="F381" s="5">
        <v>2000</v>
      </c>
      <c r="G381" s="5">
        <v>1400</v>
      </c>
      <c r="H381" s="4"/>
      <c r="I381" s="4" t="s">
        <v>169</v>
      </c>
      <c r="J381" s="4" t="s">
        <v>460</v>
      </c>
      <c r="K381" s="4" t="s">
        <v>11</v>
      </c>
      <c r="L381" s="4" t="s">
        <v>206</v>
      </c>
    </row>
    <row r="382" spans="1:12">
      <c r="A382" s="3">
        <v>44605.054409722223</v>
      </c>
      <c r="B382" s="4">
        <v>287086652</v>
      </c>
      <c r="C382" s="4" t="s">
        <v>220</v>
      </c>
      <c r="D382" s="4" t="s">
        <v>9</v>
      </c>
      <c r="E382" s="5">
        <v>2000</v>
      </c>
      <c r="F382" s="5">
        <v>2000</v>
      </c>
      <c r="G382" s="5">
        <v>1400</v>
      </c>
      <c r="H382" s="4"/>
      <c r="I382" s="4" t="s">
        <v>162</v>
      </c>
      <c r="J382" s="4" t="s">
        <v>460</v>
      </c>
      <c r="K382" s="4" t="s">
        <v>11</v>
      </c>
      <c r="L382" s="4" t="s">
        <v>150</v>
      </c>
    </row>
    <row r="383" spans="1:12">
      <c r="A383" s="3">
        <v>44605.16134259259</v>
      </c>
      <c r="B383" s="4">
        <v>287834730</v>
      </c>
      <c r="C383" s="4" t="s">
        <v>275</v>
      </c>
      <c r="D383" s="4" t="s">
        <v>9</v>
      </c>
      <c r="E383" s="5">
        <v>2000</v>
      </c>
      <c r="F383" s="5">
        <v>2000</v>
      </c>
      <c r="G383" s="5">
        <v>1400</v>
      </c>
      <c r="H383" s="4"/>
      <c r="I383" s="4" t="s">
        <v>169</v>
      </c>
      <c r="J383" s="4" t="s">
        <v>460</v>
      </c>
      <c r="K383" s="4" t="s">
        <v>11</v>
      </c>
      <c r="L383" s="4" t="s">
        <v>206</v>
      </c>
    </row>
    <row r="384" spans="1:12">
      <c r="A384" s="3">
        <v>44605.167361111111</v>
      </c>
      <c r="B384" s="4">
        <v>287834730</v>
      </c>
      <c r="C384" s="4" t="s">
        <v>275</v>
      </c>
      <c r="D384" s="4" t="s">
        <v>9</v>
      </c>
      <c r="E384" s="5">
        <v>2000</v>
      </c>
      <c r="F384" s="5">
        <v>2000</v>
      </c>
      <c r="G384" s="5">
        <v>1400</v>
      </c>
      <c r="H384" s="4"/>
      <c r="I384" s="4" t="s">
        <v>169</v>
      </c>
      <c r="J384" s="4" t="s">
        <v>460</v>
      </c>
      <c r="K384" s="4" t="s">
        <v>11</v>
      </c>
      <c r="L384" s="4" t="s">
        <v>206</v>
      </c>
    </row>
    <row r="385" spans="1:12">
      <c r="A385" s="3">
        <v>44605.555879629632</v>
      </c>
      <c r="B385" s="4">
        <v>287834730</v>
      </c>
      <c r="C385" s="4" t="s">
        <v>275</v>
      </c>
      <c r="D385" s="4" t="s">
        <v>9</v>
      </c>
      <c r="E385" s="5">
        <v>2000</v>
      </c>
      <c r="F385" s="5">
        <v>2000</v>
      </c>
      <c r="G385" s="5">
        <v>1400</v>
      </c>
      <c r="H385" s="4"/>
      <c r="I385" s="4" t="s">
        <v>169</v>
      </c>
      <c r="J385" s="4" t="s">
        <v>460</v>
      </c>
      <c r="K385" s="4" t="s">
        <v>11</v>
      </c>
      <c r="L385" s="4" t="s">
        <v>206</v>
      </c>
    </row>
    <row r="386" spans="1:12">
      <c r="A386" s="3">
        <v>44605.571076388886</v>
      </c>
      <c r="B386" s="4">
        <v>287834730</v>
      </c>
      <c r="C386" s="4" t="s">
        <v>275</v>
      </c>
      <c r="D386" s="4" t="s">
        <v>9</v>
      </c>
      <c r="E386" s="5">
        <v>2000</v>
      </c>
      <c r="F386" s="5">
        <v>2000</v>
      </c>
      <c r="G386" s="5">
        <v>1400</v>
      </c>
      <c r="H386" s="4"/>
      <c r="I386" s="4" t="s">
        <v>169</v>
      </c>
      <c r="J386" s="4" t="s">
        <v>460</v>
      </c>
      <c r="K386" s="4" t="s">
        <v>11</v>
      </c>
      <c r="L386" s="4" t="s">
        <v>206</v>
      </c>
    </row>
    <row r="387" spans="1:12">
      <c r="A387" s="3">
        <v>44605.58971064815</v>
      </c>
      <c r="B387" s="4">
        <v>287834730</v>
      </c>
      <c r="C387" s="4" t="s">
        <v>275</v>
      </c>
      <c r="D387" s="4" t="s">
        <v>9</v>
      </c>
      <c r="E387" s="5">
        <v>2000</v>
      </c>
      <c r="F387" s="5">
        <v>2000</v>
      </c>
      <c r="G387" s="5">
        <v>1400</v>
      </c>
      <c r="H387" s="4"/>
      <c r="I387" s="4" t="s">
        <v>169</v>
      </c>
      <c r="J387" s="4" t="s">
        <v>460</v>
      </c>
      <c r="K387" s="4" t="s">
        <v>11</v>
      </c>
      <c r="L387" s="4" t="s">
        <v>206</v>
      </c>
    </row>
    <row r="388" spans="1:12">
      <c r="A388" s="3">
        <v>44605.597743055558</v>
      </c>
      <c r="B388" s="4">
        <v>286755913</v>
      </c>
      <c r="C388" s="4" t="s">
        <v>222</v>
      </c>
      <c r="D388" s="4" t="s">
        <v>9</v>
      </c>
      <c r="E388" s="5">
        <v>2000</v>
      </c>
      <c r="F388" s="5">
        <v>2000</v>
      </c>
      <c r="G388" s="5">
        <v>1400</v>
      </c>
      <c r="H388" s="4"/>
      <c r="I388" s="4" t="s">
        <v>159</v>
      </c>
      <c r="J388" s="4" t="s">
        <v>460</v>
      </c>
      <c r="K388" s="4" t="s">
        <v>11</v>
      </c>
      <c r="L388" s="4" t="s">
        <v>144</v>
      </c>
    </row>
    <row r="389" spans="1:12">
      <c r="A389" s="3">
        <v>44605.601724537039</v>
      </c>
      <c r="B389" s="4">
        <v>286755913</v>
      </c>
      <c r="C389" s="4" t="s">
        <v>222</v>
      </c>
      <c r="D389" s="4" t="s">
        <v>9</v>
      </c>
      <c r="E389" s="5">
        <v>-2000</v>
      </c>
      <c r="F389" s="5">
        <v>-2000</v>
      </c>
      <c r="G389" s="5">
        <v>-1400</v>
      </c>
      <c r="H389" s="3">
        <v>44605.597743055558</v>
      </c>
      <c r="I389" s="4" t="s">
        <v>159</v>
      </c>
      <c r="J389" s="4" t="s">
        <v>460</v>
      </c>
      <c r="K389" s="4" t="s">
        <v>11</v>
      </c>
      <c r="L389" s="4" t="s">
        <v>144</v>
      </c>
    </row>
    <row r="390" spans="1:12">
      <c r="A390" s="3">
        <v>44605.647974537038</v>
      </c>
      <c r="B390" s="4">
        <v>287834730</v>
      </c>
      <c r="C390" s="4" t="s">
        <v>275</v>
      </c>
      <c r="D390" s="4" t="s">
        <v>9</v>
      </c>
      <c r="E390" s="5">
        <v>2000</v>
      </c>
      <c r="F390" s="5">
        <v>2000</v>
      </c>
      <c r="G390" s="5">
        <v>1400</v>
      </c>
      <c r="H390" s="4"/>
      <c r="I390" s="4" t="s">
        <v>169</v>
      </c>
      <c r="J390" s="4" t="s">
        <v>460</v>
      </c>
      <c r="K390" s="4" t="s">
        <v>11</v>
      </c>
      <c r="L390" s="4" t="s">
        <v>206</v>
      </c>
    </row>
    <row r="391" spans="1:12">
      <c r="A391" s="3">
        <v>44605.662569444445</v>
      </c>
      <c r="B391" s="4">
        <v>287834730</v>
      </c>
      <c r="C391" s="4" t="s">
        <v>275</v>
      </c>
      <c r="D391" s="4" t="s">
        <v>9</v>
      </c>
      <c r="E391" s="5">
        <v>2000</v>
      </c>
      <c r="F391" s="5">
        <v>2000</v>
      </c>
      <c r="G391" s="5">
        <v>1400</v>
      </c>
      <c r="H391" s="4"/>
      <c r="I391" s="4" t="s">
        <v>169</v>
      </c>
      <c r="J391" s="4" t="s">
        <v>460</v>
      </c>
      <c r="K391" s="4" t="s">
        <v>11</v>
      </c>
      <c r="L391" s="4" t="s">
        <v>206</v>
      </c>
    </row>
    <row r="392" spans="1:12">
      <c r="A392" s="3">
        <v>44605.694884259261</v>
      </c>
      <c r="B392" s="4">
        <v>287086652</v>
      </c>
      <c r="C392" s="4" t="s">
        <v>220</v>
      </c>
      <c r="D392" s="4" t="s">
        <v>9</v>
      </c>
      <c r="E392" s="5">
        <v>2000</v>
      </c>
      <c r="F392" s="5">
        <v>2000</v>
      </c>
      <c r="G392" s="5">
        <v>1400</v>
      </c>
      <c r="H392" s="4"/>
      <c r="I392" s="4" t="s">
        <v>162</v>
      </c>
      <c r="J392" s="4" t="s">
        <v>460</v>
      </c>
      <c r="K392" s="4" t="s">
        <v>11</v>
      </c>
      <c r="L392" s="4" t="s">
        <v>150</v>
      </c>
    </row>
    <row r="393" spans="1:12">
      <c r="A393" s="3">
        <v>44605.761041666665</v>
      </c>
      <c r="B393" s="4">
        <v>288829883</v>
      </c>
      <c r="C393" s="4" t="s">
        <v>476</v>
      </c>
      <c r="D393" s="4" t="s">
        <v>9</v>
      </c>
      <c r="E393" s="5">
        <v>2000</v>
      </c>
      <c r="F393" s="5">
        <v>2000</v>
      </c>
      <c r="G393" s="5">
        <v>1400</v>
      </c>
      <c r="H393" s="4"/>
      <c r="I393" s="4" t="s">
        <v>552</v>
      </c>
      <c r="J393" s="4" t="s">
        <v>460</v>
      </c>
      <c r="K393" s="4" t="s">
        <v>11</v>
      </c>
      <c r="L393" s="4" t="s">
        <v>378</v>
      </c>
    </row>
    <row r="394" spans="1:12">
      <c r="A394" s="3">
        <v>44605.767141203702</v>
      </c>
      <c r="B394" s="4">
        <v>287834730</v>
      </c>
      <c r="C394" s="4" t="s">
        <v>275</v>
      </c>
      <c r="D394" s="4" t="s">
        <v>9</v>
      </c>
      <c r="E394" s="5">
        <v>2000</v>
      </c>
      <c r="F394" s="5">
        <v>2000</v>
      </c>
      <c r="G394" s="5">
        <v>1400</v>
      </c>
      <c r="H394" s="4"/>
      <c r="I394" s="4" t="s">
        <v>169</v>
      </c>
      <c r="J394" s="4" t="s">
        <v>460</v>
      </c>
      <c r="K394" s="4" t="s">
        <v>11</v>
      </c>
      <c r="L394" s="4" t="s">
        <v>206</v>
      </c>
    </row>
    <row r="395" spans="1:12">
      <c r="A395" s="3">
        <v>44605.77815972222</v>
      </c>
      <c r="B395" s="4">
        <v>287086652</v>
      </c>
      <c r="C395" s="4" t="s">
        <v>220</v>
      </c>
      <c r="D395" s="4" t="s">
        <v>9</v>
      </c>
      <c r="E395" s="5">
        <v>2000</v>
      </c>
      <c r="F395" s="5">
        <v>2000</v>
      </c>
      <c r="G395" s="5">
        <v>1400</v>
      </c>
      <c r="H395" s="4"/>
      <c r="I395" s="4" t="s">
        <v>162</v>
      </c>
      <c r="J395" s="4" t="s">
        <v>460</v>
      </c>
      <c r="K395" s="4" t="s">
        <v>11</v>
      </c>
      <c r="L395" s="4" t="s">
        <v>150</v>
      </c>
    </row>
    <row r="396" spans="1:12">
      <c r="A396" s="3">
        <v>44605.827557870369</v>
      </c>
      <c r="B396" s="4">
        <v>287834730</v>
      </c>
      <c r="C396" s="4" t="s">
        <v>275</v>
      </c>
      <c r="D396" s="4" t="s">
        <v>9</v>
      </c>
      <c r="E396" s="5">
        <v>2000</v>
      </c>
      <c r="F396" s="5">
        <v>2000</v>
      </c>
      <c r="G396" s="5">
        <v>1400</v>
      </c>
      <c r="H396" s="4"/>
      <c r="I396" s="4" t="s">
        <v>169</v>
      </c>
      <c r="J396" s="4" t="s">
        <v>460</v>
      </c>
      <c r="K396" s="4" t="s">
        <v>11</v>
      </c>
      <c r="L396" s="4" t="s">
        <v>206</v>
      </c>
    </row>
    <row r="397" spans="1:12">
      <c r="A397" s="3">
        <v>44605.834537037037</v>
      </c>
      <c r="B397" s="4">
        <v>287834730</v>
      </c>
      <c r="C397" s="4" t="s">
        <v>275</v>
      </c>
      <c r="D397" s="4" t="s">
        <v>9</v>
      </c>
      <c r="E397" s="5">
        <v>2000</v>
      </c>
      <c r="F397" s="5">
        <v>2000</v>
      </c>
      <c r="G397" s="5">
        <v>1400</v>
      </c>
      <c r="H397" s="4"/>
      <c r="I397" s="4" t="s">
        <v>169</v>
      </c>
      <c r="J397" s="4" t="s">
        <v>460</v>
      </c>
      <c r="K397" s="4" t="s">
        <v>11</v>
      </c>
      <c r="L397" s="4" t="s">
        <v>206</v>
      </c>
    </row>
    <row r="398" spans="1:12">
      <c r="A398" s="3">
        <v>44605.84171296296</v>
      </c>
      <c r="B398" s="4">
        <v>287703886</v>
      </c>
      <c r="C398" s="4" t="s">
        <v>218</v>
      </c>
      <c r="D398" s="4" t="s">
        <v>9</v>
      </c>
      <c r="E398" s="5">
        <v>2500</v>
      </c>
      <c r="F398" s="5">
        <v>2500</v>
      </c>
      <c r="G398" s="5">
        <v>1750</v>
      </c>
      <c r="H398" s="4"/>
      <c r="I398" s="4" t="s">
        <v>167</v>
      </c>
      <c r="J398" s="4" t="s">
        <v>460</v>
      </c>
      <c r="K398" s="4" t="s">
        <v>11</v>
      </c>
      <c r="L398" s="4" t="s">
        <v>195</v>
      </c>
    </row>
    <row r="399" spans="1:12">
      <c r="A399" s="3">
        <v>44605.891712962963</v>
      </c>
      <c r="B399" s="4">
        <v>287086652</v>
      </c>
      <c r="C399" s="4" t="s">
        <v>220</v>
      </c>
      <c r="D399" s="4" t="s">
        <v>9</v>
      </c>
      <c r="E399" s="5">
        <v>2000</v>
      </c>
      <c r="F399" s="5">
        <v>2000</v>
      </c>
      <c r="G399" s="5">
        <v>1400</v>
      </c>
      <c r="H399" s="4"/>
      <c r="I399" s="4" t="s">
        <v>162</v>
      </c>
      <c r="J399" s="4" t="s">
        <v>460</v>
      </c>
      <c r="K399" s="4" t="s">
        <v>11</v>
      </c>
      <c r="L399" s="4" t="s">
        <v>150</v>
      </c>
    </row>
    <row r="400" spans="1:12">
      <c r="A400" s="3">
        <v>44605.900682870371</v>
      </c>
      <c r="B400" s="4">
        <v>287834730</v>
      </c>
      <c r="C400" s="4" t="s">
        <v>275</v>
      </c>
      <c r="D400" s="4" t="s">
        <v>9</v>
      </c>
      <c r="E400" s="5">
        <v>2000</v>
      </c>
      <c r="F400" s="5">
        <v>2000</v>
      </c>
      <c r="G400" s="5">
        <v>1400</v>
      </c>
      <c r="H400" s="4"/>
      <c r="I400" s="4" t="s">
        <v>169</v>
      </c>
      <c r="J400" s="4" t="s">
        <v>460</v>
      </c>
      <c r="K400" s="4" t="s">
        <v>11</v>
      </c>
      <c r="L400" s="4" t="s">
        <v>206</v>
      </c>
    </row>
    <row r="401" spans="1:12">
      <c r="A401" s="3">
        <v>44605.915891203702</v>
      </c>
      <c r="B401" s="4">
        <v>287834730</v>
      </c>
      <c r="C401" s="4" t="s">
        <v>275</v>
      </c>
      <c r="D401" s="4" t="s">
        <v>9</v>
      </c>
      <c r="E401" s="5">
        <v>-2000</v>
      </c>
      <c r="F401" s="5">
        <v>-2000</v>
      </c>
      <c r="G401" s="5">
        <v>-1400</v>
      </c>
      <c r="H401" s="3">
        <v>44605.900682870371</v>
      </c>
      <c r="I401" s="4" t="s">
        <v>169</v>
      </c>
      <c r="J401" s="4" t="s">
        <v>460</v>
      </c>
      <c r="K401" s="4" t="s">
        <v>11</v>
      </c>
      <c r="L401" s="4" t="s">
        <v>206</v>
      </c>
    </row>
    <row r="402" spans="1:12">
      <c r="A402" s="3">
        <v>44605.905729166669</v>
      </c>
      <c r="B402" s="4">
        <v>287834730</v>
      </c>
      <c r="C402" s="4" t="s">
        <v>275</v>
      </c>
      <c r="D402" s="4" t="s">
        <v>9</v>
      </c>
      <c r="E402" s="5">
        <v>2000</v>
      </c>
      <c r="F402" s="5">
        <v>2000</v>
      </c>
      <c r="G402" s="5">
        <v>1400</v>
      </c>
      <c r="H402" s="4"/>
      <c r="I402" s="4" t="s">
        <v>169</v>
      </c>
      <c r="J402" s="4" t="s">
        <v>460</v>
      </c>
      <c r="K402" s="4" t="s">
        <v>11</v>
      </c>
      <c r="L402" s="4" t="s">
        <v>206</v>
      </c>
    </row>
    <row r="403" spans="1:12">
      <c r="A403" s="3">
        <v>44605.921249999999</v>
      </c>
      <c r="B403" s="4">
        <v>287834730</v>
      </c>
      <c r="C403" s="4" t="s">
        <v>275</v>
      </c>
      <c r="D403" s="4" t="s">
        <v>9</v>
      </c>
      <c r="E403" s="5">
        <v>2000</v>
      </c>
      <c r="F403" s="5">
        <v>2000</v>
      </c>
      <c r="G403" s="5">
        <v>1400</v>
      </c>
      <c r="H403" s="4"/>
      <c r="I403" s="4" t="s">
        <v>169</v>
      </c>
      <c r="J403" s="4" t="s">
        <v>460</v>
      </c>
      <c r="K403" s="4" t="s">
        <v>11</v>
      </c>
      <c r="L403" s="4" t="s">
        <v>206</v>
      </c>
    </row>
    <row r="404" spans="1:12">
      <c r="A404" s="3">
        <v>44605.924351851849</v>
      </c>
      <c r="B404" s="4">
        <v>287834730</v>
      </c>
      <c r="C404" s="4" t="s">
        <v>275</v>
      </c>
      <c r="D404" s="4" t="s">
        <v>9</v>
      </c>
      <c r="E404" s="5">
        <v>2000</v>
      </c>
      <c r="F404" s="5">
        <v>2000</v>
      </c>
      <c r="G404" s="5">
        <v>1400</v>
      </c>
      <c r="H404" s="4"/>
      <c r="I404" s="4" t="s">
        <v>169</v>
      </c>
      <c r="J404" s="4" t="s">
        <v>460</v>
      </c>
      <c r="K404" s="4" t="s">
        <v>11</v>
      </c>
      <c r="L404" s="4" t="s">
        <v>206</v>
      </c>
    </row>
    <row r="405" spans="1:12">
      <c r="A405" s="3">
        <v>44605.926342592589</v>
      </c>
      <c r="B405" s="4">
        <v>287086652</v>
      </c>
      <c r="C405" s="4" t="s">
        <v>220</v>
      </c>
      <c r="D405" s="4" t="s">
        <v>9</v>
      </c>
      <c r="E405" s="5">
        <v>2000</v>
      </c>
      <c r="F405" s="5">
        <v>2000</v>
      </c>
      <c r="G405" s="5">
        <v>1400</v>
      </c>
      <c r="H405" s="4"/>
      <c r="I405" s="4" t="s">
        <v>162</v>
      </c>
      <c r="J405" s="4" t="s">
        <v>460</v>
      </c>
      <c r="K405" s="4" t="s">
        <v>11</v>
      </c>
      <c r="L405" s="4" t="s">
        <v>150</v>
      </c>
    </row>
    <row r="406" spans="1:12">
      <c r="A406" s="3">
        <v>44605.934699074074</v>
      </c>
      <c r="B406" s="4">
        <v>286896672</v>
      </c>
      <c r="C406" s="4" t="s">
        <v>248</v>
      </c>
      <c r="D406" s="4" t="s">
        <v>9</v>
      </c>
      <c r="E406" s="5">
        <v>2500</v>
      </c>
      <c r="F406" s="5">
        <v>2500</v>
      </c>
      <c r="G406" s="5">
        <v>1750</v>
      </c>
      <c r="H406" s="4"/>
      <c r="I406" s="4" t="s">
        <v>158</v>
      </c>
      <c r="J406" s="4" t="s">
        <v>460</v>
      </c>
      <c r="K406" s="4" t="s">
        <v>11</v>
      </c>
      <c r="L406" s="4" t="s">
        <v>141</v>
      </c>
    </row>
    <row r="407" spans="1:12">
      <c r="A407" s="3">
        <v>44605.93478009259</v>
      </c>
      <c r="B407" s="4">
        <v>287834730</v>
      </c>
      <c r="C407" s="4" t="s">
        <v>275</v>
      </c>
      <c r="D407" s="4" t="s">
        <v>9</v>
      </c>
      <c r="E407" s="5">
        <v>2000</v>
      </c>
      <c r="F407" s="5">
        <v>2000</v>
      </c>
      <c r="G407" s="5">
        <v>1400</v>
      </c>
      <c r="H407" s="4"/>
      <c r="I407" s="4" t="s">
        <v>169</v>
      </c>
      <c r="J407" s="4" t="s">
        <v>460</v>
      </c>
      <c r="K407" s="4" t="s">
        <v>11</v>
      </c>
      <c r="L407" s="4" t="s">
        <v>206</v>
      </c>
    </row>
    <row r="408" spans="1:12">
      <c r="A408" s="3">
        <v>44605.961747685185</v>
      </c>
      <c r="B408" s="4">
        <v>287834730</v>
      </c>
      <c r="C408" s="4" t="s">
        <v>275</v>
      </c>
      <c r="D408" s="4" t="s">
        <v>9</v>
      </c>
      <c r="E408" s="5">
        <v>2000</v>
      </c>
      <c r="F408" s="5">
        <v>2000</v>
      </c>
      <c r="G408" s="5">
        <v>1400</v>
      </c>
      <c r="H408" s="4"/>
      <c r="I408" s="4" t="s">
        <v>169</v>
      </c>
      <c r="J408" s="4" t="s">
        <v>460</v>
      </c>
      <c r="K408" s="4" t="s">
        <v>11</v>
      </c>
      <c r="L408" s="4" t="s">
        <v>206</v>
      </c>
    </row>
    <row r="409" spans="1:12">
      <c r="A409" s="3">
        <v>44605.965486111112</v>
      </c>
      <c r="B409" s="4">
        <v>287834730</v>
      </c>
      <c r="C409" s="4" t="s">
        <v>275</v>
      </c>
      <c r="D409" s="4" t="s">
        <v>9</v>
      </c>
      <c r="E409" s="5">
        <v>2000</v>
      </c>
      <c r="F409" s="5">
        <v>2000</v>
      </c>
      <c r="G409" s="5">
        <v>1400</v>
      </c>
      <c r="H409" s="4"/>
      <c r="I409" s="4" t="s">
        <v>169</v>
      </c>
      <c r="J409" s="4" t="s">
        <v>460</v>
      </c>
      <c r="K409" s="4" t="s">
        <v>11</v>
      </c>
      <c r="L409" s="4" t="s">
        <v>206</v>
      </c>
    </row>
    <row r="410" spans="1:12">
      <c r="A410" s="3">
        <v>44605.978958333333</v>
      </c>
      <c r="B410" s="4">
        <v>287086652</v>
      </c>
      <c r="C410" s="4" t="s">
        <v>220</v>
      </c>
      <c r="D410" s="4" t="s">
        <v>9</v>
      </c>
      <c r="E410" s="5">
        <v>2000</v>
      </c>
      <c r="F410" s="5">
        <v>2000</v>
      </c>
      <c r="G410" s="5">
        <v>1400</v>
      </c>
      <c r="H410" s="4"/>
      <c r="I410" s="4" t="s">
        <v>162</v>
      </c>
      <c r="J410" s="4" t="s">
        <v>460</v>
      </c>
      <c r="K410" s="4" t="s">
        <v>11</v>
      </c>
      <c r="L410" s="4" t="s">
        <v>150</v>
      </c>
    </row>
    <row r="411" spans="1:12">
      <c r="A411" s="3">
        <v>44606.023136574076</v>
      </c>
      <c r="B411" s="4">
        <v>287834730</v>
      </c>
      <c r="C411" s="4" t="s">
        <v>275</v>
      </c>
      <c r="D411" s="4" t="s">
        <v>9</v>
      </c>
      <c r="E411" s="5">
        <v>2000</v>
      </c>
      <c r="F411" s="5">
        <v>2000</v>
      </c>
      <c r="G411" s="5">
        <v>1400</v>
      </c>
      <c r="H411" s="4"/>
      <c r="I411" s="4" t="s">
        <v>169</v>
      </c>
      <c r="J411" s="4" t="s">
        <v>460</v>
      </c>
      <c r="K411" s="4" t="s">
        <v>11</v>
      </c>
      <c r="L411" s="4" t="s">
        <v>206</v>
      </c>
    </row>
    <row r="412" spans="1:12">
      <c r="A412" s="3">
        <v>44606.061238425929</v>
      </c>
      <c r="B412" s="4">
        <v>288676933</v>
      </c>
      <c r="C412" s="4" t="s">
        <v>451</v>
      </c>
      <c r="D412" s="4" t="s">
        <v>9</v>
      </c>
      <c r="E412" s="5">
        <v>2500</v>
      </c>
      <c r="F412" s="5">
        <v>2500</v>
      </c>
      <c r="G412" s="5">
        <v>1750</v>
      </c>
      <c r="H412" s="4"/>
      <c r="I412" s="4" t="s">
        <v>450</v>
      </c>
      <c r="J412" s="4" t="s">
        <v>460</v>
      </c>
      <c r="K412" s="4" t="s">
        <v>11</v>
      </c>
      <c r="L412" s="4" t="s">
        <v>371</v>
      </c>
    </row>
    <row r="413" spans="1:12">
      <c r="A413" s="3">
        <v>44606.305833333332</v>
      </c>
      <c r="B413" s="4">
        <v>287834730</v>
      </c>
      <c r="C413" s="4" t="s">
        <v>275</v>
      </c>
      <c r="D413" s="4" t="s">
        <v>9</v>
      </c>
      <c r="E413" s="5">
        <v>2000</v>
      </c>
      <c r="F413" s="5">
        <v>2000</v>
      </c>
      <c r="G413" s="5">
        <v>1400</v>
      </c>
      <c r="H413" s="4"/>
      <c r="I413" s="4" t="s">
        <v>169</v>
      </c>
      <c r="J413" s="4" t="s">
        <v>460</v>
      </c>
      <c r="K413" s="4" t="s">
        <v>11</v>
      </c>
      <c r="L413" s="4" t="s">
        <v>206</v>
      </c>
    </row>
    <row r="414" spans="1:12">
      <c r="A414" s="3">
        <v>44606.502569444441</v>
      </c>
      <c r="B414" s="4">
        <v>287834730</v>
      </c>
      <c r="C414" s="4" t="s">
        <v>275</v>
      </c>
      <c r="D414" s="4" t="s">
        <v>9</v>
      </c>
      <c r="E414" s="5">
        <v>2000</v>
      </c>
      <c r="F414" s="5">
        <v>2000</v>
      </c>
      <c r="G414" s="5">
        <v>1400</v>
      </c>
      <c r="H414" s="4"/>
      <c r="I414" s="4" t="s">
        <v>169</v>
      </c>
      <c r="J414" s="4" t="s">
        <v>460</v>
      </c>
      <c r="K414" s="4" t="s">
        <v>11</v>
      </c>
      <c r="L414" s="4" t="s">
        <v>206</v>
      </c>
    </row>
    <row r="415" spans="1:12">
      <c r="A415" s="3">
        <v>44606.590104166666</v>
      </c>
      <c r="B415" s="4">
        <v>287834730</v>
      </c>
      <c r="C415" s="4" t="s">
        <v>275</v>
      </c>
      <c r="D415" s="4" t="s">
        <v>9</v>
      </c>
      <c r="E415" s="5">
        <v>2000</v>
      </c>
      <c r="F415" s="5">
        <v>2000</v>
      </c>
      <c r="G415" s="5">
        <v>1400</v>
      </c>
      <c r="H415" s="4"/>
      <c r="I415" s="4" t="s">
        <v>169</v>
      </c>
      <c r="J415" s="4" t="s">
        <v>460</v>
      </c>
      <c r="K415" s="4" t="s">
        <v>11</v>
      </c>
      <c r="L415" s="4" t="s">
        <v>206</v>
      </c>
    </row>
    <row r="416" spans="1:12">
      <c r="A416" s="3">
        <v>44606.65865740741</v>
      </c>
      <c r="B416" s="4">
        <v>287834730</v>
      </c>
      <c r="C416" s="4" t="s">
        <v>275</v>
      </c>
      <c r="D416" s="4" t="s">
        <v>9</v>
      </c>
      <c r="E416" s="5">
        <v>2000</v>
      </c>
      <c r="F416" s="5">
        <v>2000</v>
      </c>
      <c r="G416" s="5">
        <v>1400</v>
      </c>
      <c r="H416" s="4"/>
      <c r="I416" s="4" t="s">
        <v>169</v>
      </c>
      <c r="J416" s="4" t="s">
        <v>460</v>
      </c>
      <c r="K416" s="4" t="s">
        <v>11</v>
      </c>
      <c r="L416" s="4" t="s">
        <v>206</v>
      </c>
    </row>
    <row r="417" spans="1:12">
      <c r="A417" s="3">
        <v>44606.723368055558</v>
      </c>
      <c r="B417" s="4">
        <v>287086652</v>
      </c>
      <c r="C417" s="4" t="s">
        <v>220</v>
      </c>
      <c r="D417" s="4" t="s">
        <v>9</v>
      </c>
      <c r="E417" s="5">
        <v>2000</v>
      </c>
      <c r="F417" s="5">
        <v>2000</v>
      </c>
      <c r="G417" s="5">
        <v>1400</v>
      </c>
      <c r="H417" s="4"/>
      <c r="I417" s="4" t="s">
        <v>162</v>
      </c>
      <c r="J417" s="4" t="s">
        <v>460</v>
      </c>
      <c r="K417" s="4" t="s">
        <v>11</v>
      </c>
      <c r="L417" s="4" t="s">
        <v>150</v>
      </c>
    </row>
    <row r="418" spans="1:12">
      <c r="A418" s="3">
        <v>44606.775520833333</v>
      </c>
      <c r="B418" s="4">
        <v>287086652</v>
      </c>
      <c r="C418" s="4" t="s">
        <v>220</v>
      </c>
      <c r="D418" s="4" t="s">
        <v>9</v>
      </c>
      <c r="E418" s="5">
        <v>2000</v>
      </c>
      <c r="F418" s="5">
        <v>2000</v>
      </c>
      <c r="G418" s="5">
        <v>1400</v>
      </c>
      <c r="H418" s="4"/>
      <c r="I418" s="4" t="s">
        <v>162</v>
      </c>
      <c r="J418" s="4" t="s">
        <v>460</v>
      </c>
      <c r="K418" s="4" t="s">
        <v>11</v>
      </c>
      <c r="L418" s="4" t="s">
        <v>150</v>
      </c>
    </row>
    <row r="419" spans="1:12">
      <c r="A419" s="3">
        <v>44606.954363425924</v>
      </c>
      <c r="B419" s="4">
        <v>287834730</v>
      </c>
      <c r="C419" s="4" t="s">
        <v>275</v>
      </c>
      <c r="D419" s="4" t="s">
        <v>9</v>
      </c>
      <c r="E419" s="5">
        <v>2000</v>
      </c>
      <c r="F419" s="5">
        <v>2000</v>
      </c>
      <c r="G419" s="5">
        <v>1400</v>
      </c>
      <c r="H419" s="4"/>
      <c r="I419" s="4" t="s">
        <v>169</v>
      </c>
      <c r="J419" s="4" t="s">
        <v>460</v>
      </c>
      <c r="K419" s="4" t="s">
        <v>11</v>
      </c>
      <c r="L419" s="4" t="s">
        <v>206</v>
      </c>
    </row>
    <row r="420" spans="1:12">
      <c r="A420" s="3">
        <v>44606.986261574071</v>
      </c>
      <c r="B420" s="4">
        <v>287834730</v>
      </c>
      <c r="C420" s="4" t="s">
        <v>275</v>
      </c>
      <c r="D420" s="4" t="s">
        <v>9</v>
      </c>
      <c r="E420" s="5">
        <v>2000</v>
      </c>
      <c r="F420" s="5">
        <v>2000</v>
      </c>
      <c r="G420" s="5">
        <v>1400</v>
      </c>
      <c r="H420" s="4"/>
      <c r="I420" s="4" t="s">
        <v>169</v>
      </c>
      <c r="J420" s="4" t="s">
        <v>460</v>
      </c>
      <c r="K420" s="4" t="s">
        <v>11</v>
      </c>
      <c r="L420" s="4" t="s">
        <v>206</v>
      </c>
    </row>
    <row r="421" spans="1:12">
      <c r="A421" s="3">
        <v>44607.538437499999</v>
      </c>
      <c r="B421" s="4">
        <v>287834730</v>
      </c>
      <c r="C421" s="4" t="s">
        <v>275</v>
      </c>
      <c r="D421" s="4" t="s">
        <v>9</v>
      </c>
      <c r="E421" s="5">
        <v>2000</v>
      </c>
      <c r="F421" s="5">
        <v>2000</v>
      </c>
      <c r="G421" s="5">
        <v>1400</v>
      </c>
      <c r="H421" s="4"/>
      <c r="I421" s="4" t="s">
        <v>169</v>
      </c>
      <c r="J421" s="4" t="s">
        <v>460</v>
      </c>
      <c r="K421" s="4" t="s">
        <v>11</v>
      </c>
      <c r="L421" s="4" t="s">
        <v>206</v>
      </c>
    </row>
    <row r="422" spans="1:12">
      <c r="A422" s="3">
        <v>44607.623553240737</v>
      </c>
      <c r="B422" s="4">
        <v>288829883</v>
      </c>
      <c r="C422" s="4" t="s">
        <v>476</v>
      </c>
      <c r="D422" s="4" t="s">
        <v>9</v>
      </c>
      <c r="E422" s="5">
        <v>2000</v>
      </c>
      <c r="F422" s="5">
        <v>2000</v>
      </c>
      <c r="G422" s="5">
        <v>1400</v>
      </c>
      <c r="H422" s="4"/>
      <c r="I422" s="4" t="s">
        <v>552</v>
      </c>
      <c r="J422" s="4" t="s">
        <v>460</v>
      </c>
      <c r="K422" s="4" t="s">
        <v>11</v>
      </c>
      <c r="L422" s="4" t="s">
        <v>378</v>
      </c>
    </row>
    <row r="423" spans="1:12">
      <c r="A423" s="3">
        <v>44607.657824074071</v>
      </c>
      <c r="B423" s="4">
        <v>287834730</v>
      </c>
      <c r="C423" s="4" t="s">
        <v>275</v>
      </c>
      <c r="D423" s="4" t="s">
        <v>9</v>
      </c>
      <c r="E423" s="5">
        <v>2000</v>
      </c>
      <c r="F423" s="5">
        <v>2000</v>
      </c>
      <c r="G423" s="5">
        <v>1400</v>
      </c>
      <c r="H423" s="4"/>
      <c r="I423" s="4" t="s">
        <v>169</v>
      </c>
      <c r="J423" s="4" t="s">
        <v>460</v>
      </c>
      <c r="K423" s="4" t="s">
        <v>11</v>
      </c>
      <c r="L423" s="4" t="s">
        <v>206</v>
      </c>
    </row>
    <row r="424" spans="1:12">
      <c r="A424" s="3">
        <v>44607.657824074071</v>
      </c>
      <c r="B424" s="4">
        <v>286896672</v>
      </c>
      <c r="C424" s="4" t="s">
        <v>248</v>
      </c>
      <c r="D424" s="4" t="s">
        <v>9</v>
      </c>
      <c r="E424" s="5">
        <v>2500</v>
      </c>
      <c r="F424" s="5">
        <v>2500</v>
      </c>
      <c r="G424" s="5">
        <v>1750</v>
      </c>
      <c r="H424" s="4"/>
      <c r="I424" s="4" t="s">
        <v>158</v>
      </c>
      <c r="J424" s="4" t="s">
        <v>460</v>
      </c>
      <c r="K424" s="4" t="s">
        <v>11</v>
      </c>
      <c r="L424" s="4" t="s">
        <v>141</v>
      </c>
    </row>
    <row r="425" spans="1:12">
      <c r="A425" s="3">
        <v>44607.729467592595</v>
      </c>
      <c r="B425" s="4">
        <v>287834730</v>
      </c>
      <c r="C425" s="4" t="s">
        <v>275</v>
      </c>
      <c r="D425" s="4" t="s">
        <v>9</v>
      </c>
      <c r="E425" s="5">
        <v>2000</v>
      </c>
      <c r="F425" s="5">
        <v>2000</v>
      </c>
      <c r="G425" s="5">
        <v>1400</v>
      </c>
      <c r="H425" s="4"/>
      <c r="I425" s="4" t="s">
        <v>169</v>
      </c>
      <c r="J425" s="4" t="s">
        <v>460</v>
      </c>
      <c r="K425" s="4" t="s">
        <v>11</v>
      </c>
      <c r="L425" s="4" t="s">
        <v>206</v>
      </c>
    </row>
    <row r="426" spans="1:12">
      <c r="A426" s="3">
        <v>44607.78162037037</v>
      </c>
      <c r="B426" s="4">
        <v>287834730</v>
      </c>
      <c r="C426" s="4" t="s">
        <v>275</v>
      </c>
      <c r="D426" s="4" t="s">
        <v>9</v>
      </c>
      <c r="E426" s="5">
        <v>2000</v>
      </c>
      <c r="F426" s="5">
        <v>2000</v>
      </c>
      <c r="G426" s="5">
        <v>1400</v>
      </c>
      <c r="H426" s="4"/>
      <c r="I426" s="4" t="s">
        <v>169</v>
      </c>
      <c r="J426" s="4" t="s">
        <v>460</v>
      </c>
      <c r="K426" s="4" t="s">
        <v>11</v>
      </c>
      <c r="L426" s="4" t="s">
        <v>206</v>
      </c>
    </row>
    <row r="427" spans="1:12">
      <c r="A427" s="3">
        <v>44607.791400462964</v>
      </c>
      <c r="B427" s="4">
        <v>287086652</v>
      </c>
      <c r="C427" s="4" t="s">
        <v>220</v>
      </c>
      <c r="D427" s="4" t="s">
        <v>9</v>
      </c>
      <c r="E427" s="5">
        <v>2000</v>
      </c>
      <c r="F427" s="5">
        <v>2000</v>
      </c>
      <c r="G427" s="5">
        <v>1400</v>
      </c>
      <c r="H427" s="4"/>
      <c r="I427" s="4" t="s">
        <v>162</v>
      </c>
      <c r="J427" s="4" t="s">
        <v>460</v>
      </c>
      <c r="K427" s="4" t="s">
        <v>11</v>
      </c>
      <c r="L427" s="4" t="s">
        <v>150</v>
      </c>
    </row>
    <row r="428" spans="1:12">
      <c r="A428" s="3">
        <v>44607.87699074074</v>
      </c>
      <c r="B428" s="4">
        <v>287086652</v>
      </c>
      <c r="C428" s="4" t="s">
        <v>220</v>
      </c>
      <c r="D428" s="4" t="s">
        <v>9</v>
      </c>
      <c r="E428" s="5">
        <v>2000</v>
      </c>
      <c r="F428" s="5">
        <v>2000</v>
      </c>
      <c r="G428" s="5">
        <v>1400</v>
      </c>
      <c r="H428" s="4"/>
      <c r="I428" s="4" t="s">
        <v>162</v>
      </c>
      <c r="J428" s="4" t="s">
        <v>460</v>
      </c>
      <c r="K428" s="4" t="s">
        <v>11</v>
      </c>
      <c r="L428" s="4" t="s">
        <v>150</v>
      </c>
    </row>
    <row r="429" spans="1:12">
      <c r="A429" s="3">
        <v>44607.912094907406</v>
      </c>
      <c r="B429" s="4">
        <v>287703886</v>
      </c>
      <c r="C429" s="4" t="s">
        <v>218</v>
      </c>
      <c r="D429" s="4" t="s">
        <v>9</v>
      </c>
      <c r="E429" s="5">
        <v>2500</v>
      </c>
      <c r="F429" s="5">
        <v>2500</v>
      </c>
      <c r="G429" s="5">
        <v>1750</v>
      </c>
      <c r="H429" s="4"/>
      <c r="I429" s="4" t="s">
        <v>167</v>
      </c>
      <c r="J429" s="4" t="s">
        <v>460</v>
      </c>
      <c r="K429" s="4" t="s">
        <v>11</v>
      </c>
      <c r="L429" s="4" t="s">
        <v>195</v>
      </c>
    </row>
    <row r="430" spans="1:12">
      <c r="A430" s="3">
        <v>44607.912094907406</v>
      </c>
      <c r="B430" s="4">
        <v>287834730</v>
      </c>
      <c r="C430" s="4" t="s">
        <v>275</v>
      </c>
      <c r="D430" s="4" t="s">
        <v>9</v>
      </c>
      <c r="E430" s="5">
        <v>2000</v>
      </c>
      <c r="F430" s="5">
        <v>2000</v>
      </c>
      <c r="G430" s="5">
        <v>1400</v>
      </c>
      <c r="H430" s="4"/>
      <c r="I430" s="4" t="s">
        <v>169</v>
      </c>
      <c r="J430" s="4" t="s">
        <v>460</v>
      </c>
      <c r="K430" s="4" t="s">
        <v>11</v>
      </c>
      <c r="L430" s="4" t="s">
        <v>206</v>
      </c>
    </row>
    <row r="431" spans="1:12">
      <c r="A431" s="3">
        <v>44608.045092592591</v>
      </c>
      <c r="B431" s="4">
        <v>287834730</v>
      </c>
      <c r="C431" s="4" t="s">
        <v>275</v>
      </c>
      <c r="D431" s="4" t="s">
        <v>9</v>
      </c>
      <c r="E431" s="5">
        <v>2000</v>
      </c>
      <c r="F431" s="5">
        <v>2000</v>
      </c>
      <c r="G431" s="5">
        <v>1400</v>
      </c>
      <c r="H431" s="4"/>
      <c r="I431" s="4" t="s">
        <v>169</v>
      </c>
      <c r="J431" s="4" t="s">
        <v>460</v>
      </c>
      <c r="K431" s="4" t="s">
        <v>11</v>
      </c>
      <c r="L431" s="4" t="s">
        <v>206</v>
      </c>
    </row>
    <row r="432" spans="1:12">
      <c r="A432" s="3">
        <v>44608.050254629627</v>
      </c>
      <c r="B432" s="4">
        <v>287834730</v>
      </c>
      <c r="C432" s="4" t="s">
        <v>275</v>
      </c>
      <c r="D432" s="4" t="s">
        <v>9</v>
      </c>
      <c r="E432" s="5">
        <v>2000</v>
      </c>
      <c r="F432" s="5">
        <v>2000</v>
      </c>
      <c r="G432" s="5">
        <v>1400</v>
      </c>
      <c r="H432" s="4"/>
      <c r="I432" s="4" t="s">
        <v>169</v>
      </c>
      <c r="J432" s="4" t="s">
        <v>460</v>
      </c>
      <c r="K432" s="4" t="s">
        <v>11</v>
      </c>
      <c r="L432" s="4" t="s">
        <v>206</v>
      </c>
    </row>
    <row r="433" spans="1:12">
      <c r="A433" s="3">
        <v>44608.258842592593</v>
      </c>
      <c r="B433" s="4">
        <v>287834730</v>
      </c>
      <c r="C433" s="4" t="s">
        <v>275</v>
      </c>
      <c r="D433" s="4" t="s">
        <v>9</v>
      </c>
      <c r="E433" s="5">
        <v>2000</v>
      </c>
      <c r="F433" s="5">
        <v>2000</v>
      </c>
      <c r="G433" s="5">
        <v>1400</v>
      </c>
      <c r="H433" s="4"/>
      <c r="I433" s="4" t="s">
        <v>169</v>
      </c>
      <c r="J433" s="4" t="s">
        <v>460</v>
      </c>
      <c r="K433" s="4" t="s">
        <v>11</v>
      </c>
      <c r="L433" s="4" t="s">
        <v>206</v>
      </c>
    </row>
    <row r="434" spans="1:12">
      <c r="A434" s="3">
        <v>44608.425185185188</v>
      </c>
      <c r="B434" s="4">
        <v>289172019</v>
      </c>
      <c r="C434" s="4" t="s">
        <v>479</v>
      </c>
      <c r="D434" s="4" t="s">
        <v>9</v>
      </c>
      <c r="E434" s="5">
        <v>3000</v>
      </c>
      <c r="F434" s="5">
        <v>3000</v>
      </c>
      <c r="G434" s="5">
        <v>2100</v>
      </c>
      <c r="H434" s="4"/>
      <c r="I434" s="4" t="s">
        <v>452</v>
      </c>
      <c r="J434" s="4" t="s">
        <v>460</v>
      </c>
      <c r="K434" s="4" t="s">
        <v>11</v>
      </c>
      <c r="L434" s="4" t="s">
        <v>411</v>
      </c>
    </row>
    <row r="435" spans="1:12">
      <c r="A435" s="3">
        <v>44608.489421296297</v>
      </c>
      <c r="B435" s="4">
        <v>288829883</v>
      </c>
      <c r="C435" s="4" t="s">
        <v>476</v>
      </c>
      <c r="D435" s="4" t="s">
        <v>9</v>
      </c>
      <c r="E435" s="5">
        <v>2000</v>
      </c>
      <c r="F435" s="5">
        <v>2000</v>
      </c>
      <c r="G435" s="5">
        <v>1400</v>
      </c>
      <c r="H435" s="4"/>
      <c r="I435" s="4" t="s">
        <v>552</v>
      </c>
      <c r="J435" s="4" t="s">
        <v>460</v>
      </c>
      <c r="K435" s="4" t="s">
        <v>11</v>
      </c>
      <c r="L435" s="4" t="s">
        <v>378</v>
      </c>
    </row>
    <row r="436" spans="1:12">
      <c r="A436" s="3">
        <v>44608.670254629629</v>
      </c>
      <c r="B436" s="4">
        <v>287834730</v>
      </c>
      <c r="C436" s="4" t="s">
        <v>275</v>
      </c>
      <c r="D436" s="4" t="s">
        <v>9</v>
      </c>
      <c r="E436" s="5">
        <v>2000</v>
      </c>
      <c r="F436" s="5">
        <v>2000</v>
      </c>
      <c r="G436" s="5">
        <v>1400</v>
      </c>
      <c r="H436" s="4"/>
      <c r="I436" s="4" t="s">
        <v>169</v>
      </c>
      <c r="J436" s="4" t="s">
        <v>460</v>
      </c>
      <c r="K436" s="4" t="s">
        <v>11</v>
      </c>
      <c r="L436" s="4" t="s">
        <v>206</v>
      </c>
    </row>
    <row r="437" spans="1:12">
      <c r="A437" s="3">
        <v>44608.710717592592</v>
      </c>
      <c r="B437" s="4">
        <v>287834730</v>
      </c>
      <c r="C437" s="4" t="s">
        <v>275</v>
      </c>
      <c r="D437" s="4" t="s">
        <v>9</v>
      </c>
      <c r="E437" s="5">
        <v>2000</v>
      </c>
      <c r="F437" s="5">
        <v>2000</v>
      </c>
      <c r="G437" s="5">
        <v>1400</v>
      </c>
      <c r="H437" s="4"/>
      <c r="I437" s="4" t="s">
        <v>169</v>
      </c>
      <c r="J437" s="4" t="s">
        <v>460</v>
      </c>
      <c r="K437" s="4" t="s">
        <v>11</v>
      </c>
      <c r="L437" s="4" t="s">
        <v>206</v>
      </c>
    </row>
    <row r="438" spans="1:12">
      <c r="A438" s="3">
        <v>44608.724166666667</v>
      </c>
      <c r="B438" s="4">
        <v>287834730</v>
      </c>
      <c r="C438" s="4" t="s">
        <v>275</v>
      </c>
      <c r="D438" s="4" t="s">
        <v>9</v>
      </c>
      <c r="E438" s="5">
        <v>2000</v>
      </c>
      <c r="F438" s="5">
        <v>2000</v>
      </c>
      <c r="G438" s="5">
        <v>1400</v>
      </c>
      <c r="H438" s="4"/>
      <c r="I438" s="4" t="s">
        <v>169</v>
      </c>
      <c r="J438" s="4" t="s">
        <v>460</v>
      </c>
      <c r="K438" s="4" t="s">
        <v>11</v>
      </c>
      <c r="L438" s="4" t="s">
        <v>206</v>
      </c>
    </row>
    <row r="439" spans="1:12">
      <c r="A439" s="3">
        <v>44608.884166666663</v>
      </c>
      <c r="B439" s="4">
        <v>287834730</v>
      </c>
      <c r="C439" s="4" t="s">
        <v>275</v>
      </c>
      <c r="D439" s="4" t="s">
        <v>9</v>
      </c>
      <c r="E439" s="5">
        <v>2000</v>
      </c>
      <c r="F439" s="5">
        <v>2000</v>
      </c>
      <c r="G439" s="5">
        <v>1400</v>
      </c>
      <c r="H439" s="4"/>
      <c r="I439" s="4" t="s">
        <v>169</v>
      </c>
      <c r="J439" s="4" t="s">
        <v>460</v>
      </c>
      <c r="K439" s="4" t="s">
        <v>11</v>
      </c>
      <c r="L439" s="4" t="s">
        <v>206</v>
      </c>
    </row>
    <row r="440" spans="1:12">
      <c r="A440" s="3">
        <v>44608.909270833334</v>
      </c>
      <c r="B440" s="4">
        <v>287834730</v>
      </c>
      <c r="C440" s="4" t="s">
        <v>275</v>
      </c>
      <c r="D440" s="4" t="s">
        <v>9</v>
      </c>
      <c r="E440" s="5">
        <v>2000</v>
      </c>
      <c r="F440" s="5">
        <v>2000</v>
      </c>
      <c r="G440" s="5">
        <v>1400</v>
      </c>
      <c r="H440" s="4"/>
      <c r="I440" s="4" t="s">
        <v>169</v>
      </c>
      <c r="J440" s="4" t="s">
        <v>460</v>
      </c>
      <c r="K440" s="4" t="s">
        <v>11</v>
      </c>
      <c r="L440" s="4" t="s">
        <v>206</v>
      </c>
    </row>
    <row r="441" spans="1:12">
      <c r="A441" s="3">
        <v>44608.917280092595</v>
      </c>
      <c r="B441" s="4">
        <v>288284536</v>
      </c>
      <c r="C441" s="4" t="s">
        <v>466</v>
      </c>
      <c r="D441" s="4" t="s">
        <v>9</v>
      </c>
      <c r="E441" s="5">
        <v>2000</v>
      </c>
      <c r="F441" s="5">
        <v>2000</v>
      </c>
      <c r="G441" s="5">
        <v>1400</v>
      </c>
      <c r="H441" s="4"/>
      <c r="I441" s="4" t="s">
        <v>448</v>
      </c>
      <c r="J441" s="4" t="s">
        <v>460</v>
      </c>
      <c r="K441" s="4" t="s">
        <v>11</v>
      </c>
      <c r="L441" s="4" t="s">
        <v>344</v>
      </c>
    </row>
    <row r="442" spans="1:12">
      <c r="A442" s="3">
        <v>44608.956458333334</v>
      </c>
      <c r="B442" s="4">
        <v>287086652</v>
      </c>
      <c r="C442" s="4" t="s">
        <v>220</v>
      </c>
      <c r="D442" s="4" t="s">
        <v>9</v>
      </c>
      <c r="E442" s="5">
        <v>2000</v>
      </c>
      <c r="F442" s="5">
        <v>2000</v>
      </c>
      <c r="G442" s="5">
        <v>1400</v>
      </c>
      <c r="H442" s="4"/>
      <c r="I442" s="4" t="s">
        <v>162</v>
      </c>
      <c r="J442" s="4" t="s">
        <v>460</v>
      </c>
      <c r="K442" s="4" t="s">
        <v>11</v>
      </c>
      <c r="L442" s="4" t="s">
        <v>150</v>
      </c>
    </row>
    <row r="443" spans="1:12">
      <c r="A443" s="3">
        <v>44608.97184027778</v>
      </c>
      <c r="B443" s="4">
        <v>288284536</v>
      </c>
      <c r="C443" s="4" t="s">
        <v>466</v>
      </c>
      <c r="D443" s="4" t="s">
        <v>9</v>
      </c>
      <c r="E443" s="5">
        <v>2000</v>
      </c>
      <c r="F443" s="5">
        <v>2000</v>
      </c>
      <c r="G443" s="5">
        <v>1400</v>
      </c>
      <c r="H443" s="4"/>
      <c r="I443" s="4" t="s">
        <v>448</v>
      </c>
      <c r="J443" s="4" t="s">
        <v>460</v>
      </c>
      <c r="K443" s="4" t="s">
        <v>11</v>
      </c>
      <c r="L443" s="4" t="s">
        <v>344</v>
      </c>
    </row>
    <row r="444" spans="1:12">
      <c r="A444" s="3">
        <v>44608.986643518518</v>
      </c>
      <c r="B444" s="4">
        <v>287834730</v>
      </c>
      <c r="C444" s="4" t="s">
        <v>275</v>
      </c>
      <c r="D444" s="4" t="s">
        <v>9</v>
      </c>
      <c r="E444" s="5">
        <v>2000</v>
      </c>
      <c r="F444" s="5">
        <v>2000</v>
      </c>
      <c r="G444" s="5">
        <v>1400</v>
      </c>
      <c r="H444" s="4"/>
      <c r="I444" s="4" t="s">
        <v>169</v>
      </c>
      <c r="J444" s="4" t="s">
        <v>460</v>
      </c>
      <c r="K444" s="4" t="s">
        <v>11</v>
      </c>
      <c r="L444" s="4" t="s">
        <v>206</v>
      </c>
    </row>
    <row r="445" spans="1:12">
      <c r="A445" s="3">
        <v>44608.993877314817</v>
      </c>
      <c r="B445" s="4">
        <v>287834730</v>
      </c>
      <c r="C445" s="4" t="s">
        <v>275</v>
      </c>
      <c r="D445" s="4" t="s">
        <v>9</v>
      </c>
      <c r="E445" s="5">
        <v>2000</v>
      </c>
      <c r="F445" s="5">
        <v>2000</v>
      </c>
      <c r="G445" s="5">
        <v>1400</v>
      </c>
      <c r="H445" s="4"/>
      <c r="I445" s="4" t="s">
        <v>169</v>
      </c>
      <c r="J445" s="4" t="s">
        <v>460</v>
      </c>
      <c r="K445" s="4" t="s">
        <v>11</v>
      </c>
      <c r="L445" s="4" t="s">
        <v>206</v>
      </c>
    </row>
    <row r="446" spans="1:12">
      <c r="A446" s="3">
        <v>44609.02952546296</v>
      </c>
      <c r="B446" s="4">
        <v>287834730</v>
      </c>
      <c r="C446" s="4" t="s">
        <v>275</v>
      </c>
      <c r="D446" s="4" t="s">
        <v>9</v>
      </c>
      <c r="E446" s="5">
        <v>2000</v>
      </c>
      <c r="F446" s="5">
        <v>2000</v>
      </c>
      <c r="G446" s="5">
        <v>1400</v>
      </c>
      <c r="H446" s="4"/>
      <c r="I446" s="4" t="s">
        <v>169</v>
      </c>
      <c r="J446" s="4" t="s">
        <v>460</v>
      </c>
      <c r="K446" s="4" t="s">
        <v>11</v>
      </c>
      <c r="L446" s="4" t="s">
        <v>206</v>
      </c>
    </row>
    <row r="447" spans="1:12">
      <c r="A447" s="3">
        <v>44609.042569444442</v>
      </c>
      <c r="B447" s="4">
        <v>287086652</v>
      </c>
      <c r="C447" s="4" t="s">
        <v>220</v>
      </c>
      <c r="D447" s="4" t="s">
        <v>9</v>
      </c>
      <c r="E447" s="5">
        <v>2000</v>
      </c>
      <c r="F447" s="5">
        <v>2000</v>
      </c>
      <c r="G447" s="5">
        <v>1400</v>
      </c>
      <c r="H447" s="4"/>
      <c r="I447" s="4" t="s">
        <v>162</v>
      </c>
      <c r="J447" s="4" t="s">
        <v>460</v>
      </c>
      <c r="K447" s="4" t="s">
        <v>11</v>
      </c>
      <c r="L447" s="4" t="s">
        <v>150</v>
      </c>
    </row>
    <row r="448" spans="1:12">
      <c r="A448" s="3">
        <v>44609.152824074074</v>
      </c>
      <c r="B448" s="4">
        <v>287834730</v>
      </c>
      <c r="C448" s="4" t="s">
        <v>275</v>
      </c>
      <c r="D448" s="4" t="s">
        <v>9</v>
      </c>
      <c r="E448" s="5">
        <v>2000</v>
      </c>
      <c r="F448" s="5">
        <v>2000</v>
      </c>
      <c r="G448" s="5">
        <v>1400</v>
      </c>
      <c r="H448" s="4"/>
      <c r="I448" s="4" t="s">
        <v>169</v>
      </c>
      <c r="J448" s="4" t="s">
        <v>460</v>
      </c>
      <c r="K448" s="4" t="s">
        <v>11</v>
      </c>
      <c r="L448" s="4" t="s">
        <v>206</v>
      </c>
    </row>
    <row r="449" spans="1:12">
      <c r="A449" s="3">
        <v>44609.169293981482</v>
      </c>
      <c r="B449" s="4">
        <v>287086652</v>
      </c>
      <c r="C449" s="4" t="s">
        <v>220</v>
      </c>
      <c r="D449" s="4" t="s">
        <v>9</v>
      </c>
      <c r="E449" s="5">
        <v>2000</v>
      </c>
      <c r="F449" s="5">
        <v>2000</v>
      </c>
      <c r="G449" s="5">
        <v>1400</v>
      </c>
      <c r="H449" s="4"/>
      <c r="I449" s="4" t="s">
        <v>162</v>
      </c>
      <c r="J449" s="4" t="s">
        <v>460</v>
      </c>
      <c r="K449" s="4" t="s">
        <v>11</v>
      </c>
      <c r="L449" s="4" t="s">
        <v>150</v>
      </c>
    </row>
    <row r="450" spans="1:12">
      <c r="A450" s="3">
        <v>44609.265300925923</v>
      </c>
      <c r="B450" s="4">
        <v>289172019</v>
      </c>
      <c r="C450" s="4" t="s">
        <v>479</v>
      </c>
      <c r="D450" s="4" t="s">
        <v>9</v>
      </c>
      <c r="E450" s="5">
        <v>3000</v>
      </c>
      <c r="F450" s="5">
        <v>3000</v>
      </c>
      <c r="G450" s="5">
        <v>2100</v>
      </c>
      <c r="H450" s="4"/>
      <c r="I450" s="4" t="s">
        <v>452</v>
      </c>
      <c r="J450" s="4" t="s">
        <v>460</v>
      </c>
      <c r="K450" s="4" t="s">
        <v>11</v>
      </c>
      <c r="L450" s="4" t="s">
        <v>411</v>
      </c>
    </row>
    <row r="451" spans="1:12">
      <c r="A451" s="3">
        <v>44609.545555555553</v>
      </c>
      <c r="B451" s="4">
        <v>287834730</v>
      </c>
      <c r="C451" s="4" t="s">
        <v>275</v>
      </c>
      <c r="D451" s="4" t="s">
        <v>9</v>
      </c>
      <c r="E451" s="5">
        <v>2000</v>
      </c>
      <c r="F451" s="5">
        <v>2000</v>
      </c>
      <c r="G451" s="5">
        <v>1400</v>
      </c>
      <c r="H451" s="4"/>
      <c r="I451" s="4" t="s">
        <v>169</v>
      </c>
      <c r="J451" s="4" t="s">
        <v>460</v>
      </c>
      <c r="K451" s="4" t="s">
        <v>11</v>
      </c>
      <c r="L451" s="4" t="s">
        <v>206</v>
      </c>
    </row>
    <row r="452" spans="1:12">
      <c r="A452" s="3">
        <v>44609.674560185187</v>
      </c>
      <c r="B452" s="4">
        <v>287834730</v>
      </c>
      <c r="C452" s="4" t="s">
        <v>275</v>
      </c>
      <c r="D452" s="4" t="s">
        <v>9</v>
      </c>
      <c r="E452" s="5">
        <v>2000</v>
      </c>
      <c r="F452" s="5">
        <v>2000</v>
      </c>
      <c r="G452" s="5">
        <v>1400</v>
      </c>
      <c r="H452" s="4"/>
      <c r="I452" s="4" t="s">
        <v>169</v>
      </c>
      <c r="J452" s="4" t="s">
        <v>460</v>
      </c>
      <c r="K452" s="4" t="s">
        <v>11</v>
      </c>
      <c r="L452" s="4" t="s">
        <v>206</v>
      </c>
    </row>
    <row r="453" spans="1:12">
      <c r="A453" s="3">
        <v>44609.727395833332</v>
      </c>
      <c r="B453" s="4">
        <v>287834730</v>
      </c>
      <c r="C453" s="4" t="s">
        <v>275</v>
      </c>
      <c r="D453" s="4" t="s">
        <v>9</v>
      </c>
      <c r="E453" s="5">
        <v>2000</v>
      </c>
      <c r="F453" s="5">
        <v>2000</v>
      </c>
      <c r="G453" s="5">
        <v>1400</v>
      </c>
      <c r="H453" s="4"/>
      <c r="I453" s="4" t="s">
        <v>169</v>
      </c>
      <c r="J453" s="4" t="s">
        <v>460</v>
      </c>
      <c r="K453" s="4" t="s">
        <v>11</v>
      </c>
      <c r="L453" s="4" t="s">
        <v>206</v>
      </c>
    </row>
    <row r="454" spans="1:12">
      <c r="A454" s="3">
        <v>44609.744722222225</v>
      </c>
      <c r="B454" s="4">
        <v>289172019</v>
      </c>
      <c r="C454" s="4" t="s">
        <v>479</v>
      </c>
      <c r="D454" s="4" t="s">
        <v>9</v>
      </c>
      <c r="E454" s="5">
        <v>3000</v>
      </c>
      <c r="F454" s="5">
        <v>3000</v>
      </c>
      <c r="G454" s="5">
        <v>2100</v>
      </c>
      <c r="H454" s="4"/>
      <c r="I454" s="4" t="s">
        <v>452</v>
      </c>
      <c r="J454" s="4" t="s">
        <v>460</v>
      </c>
      <c r="K454" s="4" t="s">
        <v>11</v>
      </c>
      <c r="L454" s="4" t="s">
        <v>411</v>
      </c>
    </row>
    <row r="455" spans="1:12">
      <c r="A455" s="3">
        <v>44609.760104166664</v>
      </c>
      <c r="B455" s="4">
        <v>289172019</v>
      </c>
      <c r="C455" s="4" t="s">
        <v>479</v>
      </c>
      <c r="D455" s="4" t="s">
        <v>9</v>
      </c>
      <c r="E455" s="5">
        <v>3000</v>
      </c>
      <c r="F455" s="5">
        <v>3000</v>
      </c>
      <c r="G455" s="5">
        <v>2100</v>
      </c>
      <c r="H455" s="4"/>
      <c r="I455" s="4" t="s">
        <v>452</v>
      </c>
      <c r="J455" s="4" t="s">
        <v>460</v>
      </c>
      <c r="K455" s="4" t="s">
        <v>11</v>
      </c>
      <c r="L455" s="4" t="s">
        <v>411</v>
      </c>
    </row>
    <row r="456" spans="1:12">
      <c r="A456" s="3">
        <v>44609.809178240743</v>
      </c>
      <c r="B456" s="4">
        <v>287834730</v>
      </c>
      <c r="C456" s="4" t="s">
        <v>275</v>
      </c>
      <c r="D456" s="4" t="s">
        <v>9</v>
      </c>
      <c r="E456" s="5">
        <v>2000</v>
      </c>
      <c r="F456" s="5">
        <v>2000</v>
      </c>
      <c r="G456" s="5">
        <v>1400</v>
      </c>
      <c r="H456" s="4"/>
      <c r="I456" s="4" t="s">
        <v>169</v>
      </c>
      <c r="J456" s="4" t="s">
        <v>460</v>
      </c>
      <c r="K456" s="4" t="s">
        <v>11</v>
      </c>
      <c r="L456" s="4" t="s">
        <v>206</v>
      </c>
    </row>
    <row r="457" spans="1:12">
      <c r="A457" s="3">
        <v>44609.844456018516</v>
      </c>
      <c r="B457" s="4">
        <v>286896672</v>
      </c>
      <c r="C457" s="4" t="s">
        <v>248</v>
      </c>
      <c r="D457" s="4" t="s">
        <v>9</v>
      </c>
      <c r="E457" s="5">
        <v>2500</v>
      </c>
      <c r="F457" s="5">
        <v>2500</v>
      </c>
      <c r="G457" s="5">
        <v>1750</v>
      </c>
      <c r="H457" s="4"/>
      <c r="I457" s="4" t="s">
        <v>158</v>
      </c>
      <c r="J457" s="4" t="s">
        <v>460</v>
      </c>
      <c r="K457" s="4" t="s">
        <v>11</v>
      </c>
      <c r="L457" s="4" t="s">
        <v>141</v>
      </c>
    </row>
    <row r="458" spans="1:12">
      <c r="A458" s="3">
        <v>44609.845821759256</v>
      </c>
      <c r="B458" s="4">
        <v>287834730</v>
      </c>
      <c r="C458" s="4" t="s">
        <v>275</v>
      </c>
      <c r="D458" s="4" t="s">
        <v>9</v>
      </c>
      <c r="E458" s="5">
        <v>2000</v>
      </c>
      <c r="F458" s="5">
        <v>2000</v>
      </c>
      <c r="G458" s="5">
        <v>1400</v>
      </c>
      <c r="H458" s="4"/>
      <c r="I458" s="4" t="s">
        <v>169</v>
      </c>
      <c r="J458" s="4" t="s">
        <v>460</v>
      </c>
      <c r="K458" s="4" t="s">
        <v>11</v>
      </c>
      <c r="L458" s="4" t="s">
        <v>206</v>
      </c>
    </row>
    <row r="459" spans="1:12">
      <c r="A459" s="3">
        <v>44610.019907407404</v>
      </c>
      <c r="B459" s="4">
        <v>286896672</v>
      </c>
      <c r="C459" s="4" t="s">
        <v>248</v>
      </c>
      <c r="D459" s="4" t="s">
        <v>9</v>
      </c>
      <c r="E459" s="5">
        <v>2500</v>
      </c>
      <c r="F459" s="5">
        <v>2500</v>
      </c>
      <c r="G459" s="5">
        <v>1750</v>
      </c>
      <c r="H459" s="4"/>
      <c r="I459" s="4" t="s">
        <v>158</v>
      </c>
      <c r="J459" s="4" t="s">
        <v>460</v>
      </c>
      <c r="K459" s="4" t="s">
        <v>11</v>
      </c>
      <c r="L459" s="4" t="s">
        <v>141</v>
      </c>
    </row>
    <row r="460" spans="1:12">
      <c r="A460" s="3">
        <v>44610.023287037038</v>
      </c>
      <c r="B460" s="4">
        <v>286896672</v>
      </c>
      <c r="C460" s="4" t="s">
        <v>248</v>
      </c>
      <c r="D460" s="4" t="s">
        <v>9</v>
      </c>
      <c r="E460" s="5">
        <v>2500</v>
      </c>
      <c r="F460" s="5">
        <v>2500</v>
      </c>
      <c r="G460" s="5">
        <v>1750</v>
      </c>
      <c r="H460" s="4"/>
      <c r="I460" s="4" t="s">
        <v>158</v>
      </c>
      <c r="J460" s="4" t="s">
        <v>460</v>
      </c>
      <c r="K460" s="4" t="s">
        <v>11</v>
      </c>
      <c r="L460" s="4" t="s">
        <v>141</v>
      </c>
    </row>
    <row r="461" spans="1:12">
      <c r="A461" s="3">
        <v>44610.083287037036</v>
      </c>
      <c r="B461" s="4">
        <v>287834730</v>
      </c>
      <c r="C461" s="4" t="s">
        <v>275</v>
      </c>
      <c r="D461" s="4" t="s">
        <v>9</v>
      </c>
      <c r="E461" s="5">
        <v>2000</v>
      </c>
      <c r="F461" s="5">
        <v>2000</v>
      </c>
      <c r="G461" s="5">
        <v>1400</v>
      </c>
      <c r="H461" s="4"/>
      <c r="I461" s="4" t="s">
        <v>169</v>
      </c>
      <c r="J461" s="4" t="s">
        <v>460</v>
      </c>
      <c r="K461" s="4" t="s">
        <v>11</v>
      </c>
      <c r="L461" s="4" t="s">
        <v>206</v>
      </c>
    </row>
    <row r="462" spans="1:12">
      <c r="A462" s="3">
        <v>44610.489490740743</v>
      </c>
      <c r="B462" s="4">
        <v>287834730</v>
      </c>
      <c r="C462" s="4" t="s">
        <v>275</v>
      </c>
      <c r="D462" s="4" t="s">
        <v>9</v>
      </c>
      <c r="E462" s="5">
        <v>-2000</v>
      </c>
      <c r="F462" s="5">
        <v>-2000</v>
      </c>
      <c r="G462" s="5">
        <v>-1400</v>
      </c>
      <c r="H462" s="3">
        <v>44610.083287037036</v>
      </c>
      <c r="I462" s="4" t="s">
        <v>169</v>
      </c>
      <c r="J462" s="4" t="s">
        <v>460</v>
      </c>
      <c r="K462" s="4" t="s">
        <v>11</v>
      </c>
      <c r="L462" s="4" t="s">
        <v>206</v>
      </c>
    </row>
    <row r="463" spans="1:12">
      <c r="A463" s="3">
        <v>44610.283217592594</v>
      </c>
      <c r="B463" s="4">
        <v>288829883</v>
      </c>
      <c r="C463" s="4" t="s">
        <v>476</v>
      </c>
      <c r="D463" s="4" t="s">
        <v>9</v>
      </c>
      <c r="E463" s="5">
        <v>2000</v>
      </c>
      <c r="F463" s="5">
        <v>2000</v>
      </c>
      <c r="G463" s="5">
        <v>1400</v>
      </c>
      <c r="H463" s="4"/>
      <c r="I463" s="4" t="s">
        <v>552</v>
      </c>
      <c r="J463" s="4" t="s">
        <v>460</v>
      </c>
      <c r="K463" s="4" t="s">
        <v>11</v>
      </c>
      <c r="L463" s="4" t="s">
        <v>378</v>
      </c>
    </row>
    <row r="464" spans="1:12">
      <c r="A464" s="3">
        <v>44610.402627314812</v>
      </c>
      <c r="B464" s="4">
        <v>288676933</v>
      </c>
      <c r="C464" s="4" t="s">
        <v>451</v>
      </c>
      <c r="D464" s="4" t="s">
        <v>9</v>
      </c>
      <c r="E464" s="5">
        <v>2500</v>
      </c>
      <c r="F464" s="5">
        <v>2500</v>
      </c>
      <c r="G464" s="5">
        <v>1750</v>
      </c>
      <c r="H464" s="4"/>
      <c r="I464" s="4" t="s">
        <v>450</v>
      </c>
      <c r="J464" s="4" t="s">
        <v>460</v>
      </c>
      <c r="K464" s="4" t="s">
        <v>11</v>
      </c>
      <c r="L464" s="4" t="s">
        <v>371</v>
      </c>
    </row>
    <row r="465" spans="1:12">
      <c r="A465" s="3">
        <v>44610.437430555554</v>
      </c>
      <c r="B465" s="4">
        <v>287834730</v>
      </c>
      <c r="C465" s="4" t="s">
        <v>275</v>
      </c>
      <c r="D465" s="4" t="s">
        <v>9</v>
      </c>
      <c r="E465" s="5">
        <v>2000</v>
      </c>
      <c r="F465" s="5">
        <v>2000</v>
      </c>
      <c r="G465" s="5">
        <v>1400</v>
      </c>
      <c r="H465" s="4"/>
      <c r="I465" s="4" t="s">
        <v>169</v>
      </c>
      <c r="J465" s="4" t="s">
        <v>460</v>
      </c>
      <c r="K465" s="4" t="s">
        <v>11</v>
      </c>
      <c r="L465" s="4" t="s">
        <v>206</v>
      </c>
    </row>
    <row r="466" spans="1:12">
      <c r="A466" s="3">
        <v>44610.440185185187</v>
      </c>
      <c r="B466" s="4">
        <v>289315562</v>
      </c>
      <c r="C466" s="4" t="s">
        <v>478</v>
      </c>
      <c r="D466" s="4" t="s">
        <v>9</v>
      </c>
      <c r="E466" s="5">
        <v>3000</v>
      </c>
      <c r="F466" s="5">
        <v>3000</v>
      </c>
      <c r="G466" s="5">
        <v>2100</v>
      </c>
      <c r="H466" s="4"/>
      <c r="I466" s="4" t="s">
        <v>454</v>
      </c>
      <c r="J466" s="4" t="s">
        <v>460</v>
      </c>
      <c r="K466" s="4" t="s">
        <v>11</v>
      </c>
      <c r="L466" s="4" t="s">
        <v>397</v>
      </c>
    </row>
    <row r="467" spans="1:12">
      <c r="A467" s="3">
        <v>44610.449282407404</v>
      </c>
      <c r="B467" s="4">
        <v>289315562</v>
      </c>
      <c r="C467" s="4" t="s">
        <v>478</v>
      </c>
      <c r="D467" s="4" t="s">
        <v>9</v>
      </c>
      <c r="E467" s="5">
        <v>3000</v>
      </c>
      <c r="F467" s="5">
        <v>3000</v>
      </c>
      <c r="G467" s="5">
        <v>2100</v>
      </c>
      <c r="H467" s="4"/>
      <c r="I467" s="4" t="s">
        <v>454</v>
      </c>
      <c r="J467" s="4" t="s">
        <v>460</v>
      </c>
      <c r="K467" s="4" t="s">
        <v>11</v>
      </c>
      <c r="L467" s="4" t="s">
        <v>397</v>
      </c>
    </row>
    <row r="468" spans="1:12">
      <c r="A468" s="3">
        <v>44610.464999999997</v>
      </c>
      <c r="B468" s="4">
        <v>289315562</v>
      </c>
      <c r="C468" s="4" t="s">
        <v>478</v>
      </c>
      <c r="D468" s="4" t="s">
        <v>9</v>
      </c>
      <c r="E468" s="5">
        <v>3000</v>
      </c>
      <c r="F468" s="5">
        <v>3000</v>
      </c>
      <c r="G468" s="5">
        <v>2100</v>
      </c>
      <c r="H468" s="4"/>
      <c r="I468" s="4" t="s">
        <v>454</v>
      </c>
      <c r="J468" s="4" t="s">
        <v>460</v>
      </c>
      <c r="K468" s="4" t="s">
        <v>11</v>
      </c>
      <c r="L468" s="4" t="s">
        <v>397</v>
      </c>
    </row>
    <row r="469" spans="1:12">
      <c r="A469" s="3">
        <v>44610.488159722219</v>
      </c>
      <c r="B469" s="4">
        <v>289315562</v>
      </c>
      <c r="C469" s="4" t="s">
        <v>478</v>
      </c>
      <c r="D469" s="4" t="s">
        <v>9</v>
      </c>
      <c r="E469" s="5">
        <v>3000</v>
      </c>
      <c r="F469" s="5">
        <v>3000</v>
      </c>
      <c r="G469" s="5">
        <v>2100</v>
      </c>
      <c r="H469" s="4"/>
      <c r="I469" s="4" t="s">
        <v>454</v>
      </c>
      <c r="J469" s="4" t="s">
        <v>460</v>
      </c>
      <c r="K469" s="4" t="s">
        <v>11</v>
      </c>
      <c r="L469" s="4" t="s">
        <v>397</v>
      </c>
    </row>
    <row r="470" spans="1:12">
      <c r="A470" s="3">
        <v>44610.488391203704</v>
      </c>
      <c r="B470" s="4">
        <v>286896672</v>
      </c>
      <c r="C470" s="4" t="s">
        <v>248</v>
      </c>
      <c r="D470" s="4" t="s">
        <v>9</v>
      </c>
      <c r="E470" s="5">
        <v>2500</v>
      </c>
      <c r="F470" s="5">
        <v>2500</v>
      </c>
      <c r="G470" s="5">
        <v>1750</v>
      </c>
      <c r="H470" s="4"/>
      <c r="I470" s="4" t="s">
        <v>158</v>
      </c>
      <c r="J470" s="4" t="s">
        <v>460</v>
      </c>
      <c r="K470" s="4" t="s">
        <v>11</v>
      </c>
      <c r="L470" s="4" t="s">
        <v>141</v>
      </c>
    </row>
    <row r="471" spans="1:12">
      <c r="A471" s="3">
        <v>44610.501111111109</v>
      </c>
      <c r="B471" s="4">
        <v>287834730</v>
      </c>
      <c r="C471" s="4" t="s">
        <v>275</v>
      </c>
      <c r="D471" s="4" t="s">
        <v>9</v>
      </c>
      <c r="E471" s="5">
        <v>2000</v>
      </c>
      <c r="F471" s="5">
        <v>2000</v>
      </c>
      <c r="G471" s="5">
        <v>1400</v>
      </c>
      <c r="H471" s="4"/>
      <c r="I471" s="4" t="s">
        <v>169</v>
      </c>
      <c r="J471" s="4" t="s">
        <v>460</v>
      </c>
      <c r="K471" s="4" t="s">
        <v>11</v>
      </c>
      <c r="L471" s="4" t="s">
        <v>206</v>
      </c>
    </row>
    <row r="472" spans="1:12">
      <c r="A472" s="3">
        <v>44610.538136574076</v>
      </c>
      <c r="B472" s="4">
        <v>289315562</v>
      </c>
      <c r="C472" s="4" t="s">
        <v>478</v>
      </c>
      <c r="D472" s="4" t="s">
        <v>9</v>
      </c>
      <c r="E472" s="5">
        <v>3000</v>
      </c>
      <c r="F472" s="5">
        <v>3000</v>
      </c>
      <c r="G472" s="5">
        <v>2100</v>
      </c>
      <c r="H472" s="4"/>
      <c r="I472" s="4" t="s">
        <v>454</v>
      </c>
      <c r="J472" s="4" t="s">
        <v>460</v>
      </c>
      <c r="K472" s="4" t="s">
        <v>11</v>
      </c>
      <c r="L472" s="4" t="s">
        <v>397</v>
      </c>
    </row>
    <row r="473" spans="1:12">
      <c r="A473" s="3">
        <v>44610.539560185185</v>
      </c>
      <c r="B473" s="4">
        <v>289315562</v>
      </c>
      <c r="C473" s="4" t="s">
        <v>478</v>
      </c>
      <c r="D473" s="4" t="s">
        <v>9</v>
      </c>
      <c r="E473" s="5">
        <v>3000</v>
      </c>
      <c r="F473" s="5">
        <v>3000</v>
      </c>
      <c r="G473" s="5">
        <v>2100</v>
      </c>
      <c r="H473" s="4"/>
      <c r="I473" s="4" t="s">
        <v>454</v>
      </c>
      <c r="J473" s="4" t="s">
        <v>460</v>
      </c>
      <c r="K473" s="4" t="s">
        <v>11</v>
      </c>
      <c r="L473" s="4" t="s">
        <v>397</v>
      </c>
    </row>
    <row r="474" spans="1:12">
      <c r="A474" s="3">
        <v>44610.54824074074</v>
      </c>
      <c r="B474" s="4">
        <v>289315562</v>
      </c>
      <c r="C474" s="4" t="s">
        <v>478</v>
      </c>
      <c r="D474" s="4" t="s">
        <v>9</v>
      </c>
      <c r="E474" s="5">
        <v>3000</v>
      </c>
      <c r="F474" s="5">
        <v>3000</v>
      </c>
      <c r="G474" s="5">
        <v>2100</v>
      </c>
      <c r="H474" s="4"/>
      <c r="I474" s="4" t="s">
        <v>454</v>
      </c>
      <c r="J474" s="4" t="s">
        <v>460</v>
      </c>
      <c r="K474" s="4" t="s">
        <v>11</v>
      </c>
      <c r="L474" s="4" t="s">
        <v>397</v>
      </c>
    </row>
    <row r="475" spans="1:12">
      <c r="A475" s="3">
        <v>44610.565879629627</v>
      </c>
      <c r="B475" s="4">
        <v>287834730</v>
      </c>
      <c r="C475" s="4" t="s">
        <v>275</v>
      </c>
      <c r="D475" s="4" t="s">
        <v>9</v>
      </c>
      <c r="E475" s="5">
        <v>2000</v>
      </c>
      <c r="F475" s="5">
        <v>2000</v>
      </c>
      <c r="G475" s="5">
        <v>1400</v>
      </c>
      <c r="H475" s="4"/>
      <c r="I475" s="4" t="s">
        <v>169</v>
      </c>
      <c r="J475" s="4" t="s">
        <v>460</v>
      </c>
      <c r="K475" s="4" t="s">
        <v>11</v>
      </c>
      <c r="L475" s="4" t="s">
        <v>206</v>
      </c>
    </row>
    <row r="476" spans="1:12">
      <c r="A476" s="3">
        <v>44610.612546296295</v>
      </c>
      <c r="B476" s="4">
        <v>287834730</v>
      </c>
      <c r="C476" s="4" t="s">
        <v>275</v>
      </c>
      <c r="D476" s="4" t="s">
        <v>9</v>
      </c>
      <c r="E476" s="5">
        <v>2000</v>
      </c>
      <c r="F476" s="5">
        <v>2000</v>
      </c>
      <c r="G476" s="5">
        <v>1400</v>
      </c>
      <c r="H476" s="4"/>
      <c r="I476" s="4" t="s">
        <v>169</v>
      </c>
      <c r="J476" s="4" t="s">
        <v>460</v>
      </c>
      <c r="K476" s="4" t="s">
        <v>11</v>
      </c>
      <c r="L476" s="4" t="s">
        <v>206</v>
      </c>
    </row>
    <row r="477" spans="1:12">
      <c r="A477" s="3">
        <v>44610.618622685186</v>
      </c>
      <c r="B477" s="4">
        <v>287834730</v>
      </c>
      <c r="C477" s="4" t="s">
        <v>275</v>
      </c>
      <c r="D477" s="4" t="s">
        <v>9</v>
      </c>
      <c r="E477" s="5">
        <v>2000</v>
      </c>
      <c r="F477" s="5">
        <v>2000</v>
      </c>
      <c r="G477" s="5">
        <v>1400</v>
      </c>
      <c r="H477" s="4"/>
      <c r="I477" s="4" t="s">
        <v>169</v>
      </c>
      <c r="J477" s="4" t="s">
        <v>460</v>
      </c>
      <c r="K477" s="4" t="s">
        <v>11</v>
      </c>
      <c r="L477" s="4" t="s">
        <v>206</v>
      </c>
    </row>
    <row r="478" spans="1:12">
      <c r="A478" s="3">
        <v>44610.692060185182</v>
      </c>
      <c r="B478" s="4">
        <v>287086652</v>
      </c>
      <c r="C478" s="4" t="s">
        <v>220</v>
      </c>
      <c r="D478" s="4" t="s">
        <v>9</v>
      </c>
      <c r="E478" s="5">
        <v>2000</v>
      </c>
      <c r="F478" s="5">
        <v>2000</v>
      </c>
      <c r="G478" s="5">
        <v>1400</v>
      </c>
      <c r="H478" s="4"/>
      <c r="I478" s="4" t="s">
        <v>162</v>
      </c>
      <c r="J478" s="4" t="s">
        <v>460</v>
      </c>
      <c r="K478" s="4" t="s">
        <v>11</v>
      </c>
      <c r="L478" s="4" t="s">
        <v>150</v>
      </c>
    </row>
    <row r="479" spans="1:12">
      <c r="A479" s="3">
        <v>44610.709467592591</v>
      </c>
      <c r="B479" s="4">
        <v>289315562</v>
      </c>
      <c r="C479" s="4" t="s">
        <v>478</v>
      </c>
      <c r="D479" s="4" t="s">
        <v>9</v>
      </c>
      <c r="E479" s="5">
        <v>3000</v>
      </c>
      <c r="F479" s="5">
        <v>3000</v>
      </c>
      <c r="G479" s="5">
        <v>2100</v>
      </c>
      <c r="H479" s="4"/>
      <c r="I479" s="4" t="s">
        <v>454</v>
      </c>
      <c r="J479" s="4" t="s">
        <v>460</v>
      </c>
      <c r="K479" s="4" t="s">
        <v>11</v>
      </c>
      <c r="L479" s="4" t="s">
        <v>397</v>
      </c>
    </row>
    <row r="480" spans="1:12">
      <c r="A480" s="3">
        <v>44610.791608796295</v>
      </c>
      <c r="B480" s="4">
        <v>287834730</v>
      </c>
      <c r="C480" s="4" t="s">
        <v>275</v>
      </c>
      <c r="D480" s="4" t="s">
        <v>9</v>
      </c>
      <c r="E480" s="5">
        <v>2000</v>
      </c>
      <c r="F480" s="5">
        <v>2000</v>
      </c>
      <c r="G480" s="5">
        <v>1400</v>
      </c>
      <c r="H480" s="4"/>
      <c r="I480" s="4" t="s">
        <v>169</v>
      </c>
      <c r="J480" s="4" t="s">
        <v>460</v>
      </c>
      <c r="K480" s="4" t="s">
        <v>11</v>
      </c>
      <c r="L480" s="4" t="s">
        <v>206</v>
      </c>
    </row>
    <row r="481" spans="1:12">
      <c r="A481" s="3">
        <v>44610.806944444441</v>
      </c>
      <c r="B481" s="4">
        <v>289315562</v>
      </c>
      <c r="C481" s="4" t="s">
        <v>478</v>
      </c>
      <c r="D481" s="4" t="s">
        <v>9</v>
      </c>
      <c r="E481" s="5">
        <v>3000</v>
      </c>
      <c r="F481" s="5">
        <v>3000</v>
      </c>
      <c r="G481" s="5">
        <v>2100</v>
      </c>
      <c r="H481" s="4"/>
      <c r="I481" s="4" t="s">
        <v>454</v>
      </c>
      <c r="J481" s="4" t="s">
        <v>460</v>
      </c>
      <c r="K481" s="4" t="s">
        <v>11</v>
      </c>
      <c r="L481" s="4" t="s">
        <v>397</v>
      </c>
    </row>
    <row r="482" spans="1:12">
      <c r="A482" s="3">
        <v>44610.851006944446</v>
      </c>
      <c r="B482" s="4">
        <v>287086652</v>
      </c>
      <c r="C482" s="4" t="s">
        <v>220</v>
      </c>
      <c r="D482" s="4" t="s">
        <v>9</v>
      </c>
      <c r="E482" s="5">
        <v>2000</v>
      </c>
      <c r="F482" s="5">
        <v>2000</v>
      </c>
      <c r="G482" s="5">
        <v>1400</v>
      </c>
      <c r="H482" s="4"/>
      <c r="I482" s="4" t="s">
        <v>162</v>
      </c>
      <c r="J482" s="4" t="s">
        <v>460</v>
      </c>
      <c r="K482" s="4" t="s">
        <v>11</v>
      </c>
      <c r="L482" s="4" t="s">
        <v>150</v>
      </c>
    </row>
    <row r="483" spans="1:12">
      <c r="A483" s="3">
        <v>44610.866331018522</v>
      </c>
      <c r="B483" s="4">
        <v>289315562</v>
      </c>
      <c r="C483" s="4" t="s">
        <v>478</v>
      </c>
      <c r="D483" s="4" t="s">
        <v>9</v>
      </c>
      <c r="E483" s="5">
        <v>3000</v>
      </c>
      <c r="F483" s="5">
        <v>3000</v>
      </c>
      <c r="G483" s="5">
        <v>2100</v>
      </c>
      <c r="H483" s="4"/>
      <c r="I483" s="4" t="s">
        <v>454</v>
      </c>
      <c r="J483" s="4" t="s">
        <v>460</v>
      </c>
      <c r="K483" s="4" t="s">
        <v>11</v>
      </c>
      <c r="L483" s="4" t="s">
        <v>397</v>
      </c>
    </row>
    <row r="484" spans="1:12">
      <c r="A484" s="3">
        <v>44610.871203703704</v>
      </c>
      <c r="B484" s="4">
        <v>289315562</v>
      </c>
      <c r="C484" s="4" t="s">
        <v>478</v>
      </c>
      <c r="D484" s="4" t="s">
        <v>9</v>
      </c>
      <c r="E484" s="5">
        <v>3000</v>
      </c>
      <c r="F484" s="5">
        <v>3000</v>
      </c>
      <c r="G484" s="5">
        <v>2100</v>
      </c>
      <c r="H484" s="4"/>
      <c r="I484" s="4" t="s">
        <v>454</v>
      </c>
      <c r="J484" s="4" t="s">
        <v>460</v>
      </c>
      <c r="K484" s="4" t="s">
        <v>11</v>
      </c>
      <c r="L484" s="4" t="s">
        <v>397</v>
      </c>
    </row>
    <row r="485" spans="1:12">
      <c r="A485" s="3">
        <v>44610.88690972222</v>
      </c>
      <c r="B485" s="4">
        <v>289315562</v>
      </c>
      <c r="C485" s="4" t="s">
        <v>478</v>
      </c>
      <c r="D485" s="4" t="s">
        <v>9</v>
      </c>
      <c r="E485" s="5">
        <v>3000</v>
      </c>
      <c r="F485" s="5">
        <v>3000</v>
      </c>
      <c r="G485" s="5">
        <v>2100</v>
      </c>
      <c r="H485" s="4"/>
      <c r="I485" s="4" t="s">
        <v>454</v>
      </c>
      <c r="J485" s="4" t="s">
        <v>460</v>
      </c>
      <c r="K485" s="4" t="s">
        <v>11</v>
      </c>
      <c r="L485" s="4" t="s">
        <v>397</v>
      </c>
    </row>
    <row r="486" spans="1:12">
      <c r="A486" s="3">
        <v>44610.901493055557</v>
      </c>
      <c r="B486" s="4">
        <v>289315562</v>
      </c>
      <c r="C486" s="4" t="s">
        <v>478</v>
      </c>
      <c r="D486" s="4" t="s">
        <v>9</v>
      </c>
      <c r="E486" s="5">
        <v>3000</v>
      </c>
      <c r="F486" s="5">
        <v>3000</v>
      </c>
      <c r="G486" s="5">
        <v>2100</v>
      </c>
      <c r="H486" s="4"/>
      <c r="I486" s="4" t="s">
        <v>454</v>
      </c>
      <c r="J486" s="4" t="s">
        <v>460</v>
      </c>
      <c r="K486" s="4" t="s">
        <v>11</v>
      </c>
      <c r="L486" s="4" t="s">
        <v>397</v>
      </c>
    </row>
    <row r="487" spans="1:12">
      <c r="A487" s="3">
        <v>44610.923402777778</v>
      </c>
      <c r="B487" s="4">
        <v>286405921</v>
      </c>
      <c r="C487" s="4" t="s">
        <v>245</v>
      </c>
      <c r="D487" s="4" t="s">
        <v>9</v>
      </c>
      <c r="E487" s="5">
        <v>2500</v>
      </c>
      <c r="F487" s="5">
        <v>2500</v>
      </c>
      <c r="G487" s="5">
        <v>1750</v>
      </c>
      <c r="H487" s="4"/>
      <c r="I487" s="4" t="s">
        <v>221</v>
      </c>
      <c r="J487" s="4" t="s">
        <v>460</v>
      </c>
      <c r="K487" s="4" t="s">
        <v>11</v>
      </c>
      <c r="L487" s="4" t="s">
        <v>137</v>
      </c>
    </row>
    <row r="488" spans="1:12">
      <c r="A488" s="3">
        <v>44610.935289351852</v>
      </c>
      <c r="B488" s="4">
        <v>287834730</v>
      </c>
      <c r="C488" s="4" t="s">
        <v>275</v>
      </c>
      <c r="D488" s="4" t="s">
        <v>9</v>
      </c>
      <c r="E488" s="5">
        <v>2000</v>
      </c>
      <c r="F488" s="5">
        <v>2000</v>
      </c>
      <c r="G488" s="5">
        <v>1400</v>
      </c>
      <c r="H488" s="4"/>
      <c r="I488" s="4" t="s">
        <v>169</v>
      </c>
      <c r="J488" s="4" t="s">
        <v>460</v>
      </c>
      <c r="K488" s="4" t="s">
        <v>11</v>
      </c>
      <c r="L488" s="4" t="s">
        <v>206</v>
      </c>
    </row>
    <row r="489" spans="1:12">
      <c r="A489" s="3">
        <v>44610.944328703707</v>
      </c>
      <c r="B489" s="4">
        <v>287834730</v>
      </c>
      <c r="C489" s="4" t="s">
        <v>275</v>
      </c>
      <c r="D489" s="4" t="s">
        <v>9</v>
      </c>
      <c r="E489" s="5">
        <v>2000</v>
      </c>
      <c r="F489" s="5">
        <v>2000</v>
      </c>
      <c r="G489" s="5">
        <v>1400</v>
      </c>
      <c r="H489" s="4"/>
      <c r="I489" s="4" t="s">
        <v>169</v>
      </c>
      <c r="J489" s="4" t="s">
        <v>460</v>
      </c>
      <c r="K489" s="4" t="s">
        <v>11</v>
      </c>
      <c r="L489" s="4" t="s">
        <v>206</v>
      </c>
    </row>
    <row r="490" spans="1:12">
      <c r="A490" s="3">
        <v>44610.952916666669</v>
      </c>
      <c r="B490" s="4">
        <v>289315562</v>
      </c>
      <c r="C490" s="4" t="s">
        <v>478</v>
      </c>
      <c r="D490" s="4" t="s">
        <v>9</v>
      </c>
      <c r="E490" s="5">
        <v>3000</v>
      </c>
      <c r="F490" s="5">
        <v>3000</v>
      </c>
      <c r="G490" s="5">
        <v>2100</v>
      </c>
      <c r="H490" s="4"/>
      <c r="I490" s="4" t="s">
        <v>454</v>
      </c>
      <c r="J490" s="4" t="s">
        <v>460</v>
      </c>
      <c r="K490" s="4" t="s">
        <v>11</v>
      </c>
      <c r="L490" s="4" t="s">
        <v>397</v>
      </c>
    </row>
    <row r="491" spans="1:12">
      <c r="A491" s="3">
        <v>44610.95857638889</v>
      </c>
      <c r="B491" s="4">
        <v>287834730</v>
      </c>
      <c r="C491" s="4" t="s">
        <v>275</v>
      </c>
      <c r="D491" s="4" t="s">
        <v>9</v>
      </c>
      <c r="E491" s="5">
        <v>2000</v>
      </c>
      <c r="F491" s="5">
        <v>2000</v>
      </c>
      <c r="G491" s="5">
        <v>1400</v>
      </c>
      <c r="H491" s="4"/>
      <c r="I491" s="4" t="s">
        <v>169</v>
      </c>
      <c r="J491" s="4" t="s">
        <v>460</v>
      </c>
      <c r="K491" s="4" t="s">
        <v>11</v>
      </c>
      <c r="L491" s="4" t="s">
        <v>206</v>
      </c>
    </row>
    <row r="492" spans="1:12">
      <c r="A492" s="3">
        <v>44610.97115740741</v>
      </c>
      <c r="B492" s="4">
        <v>287086652</v>
      </c>
      <c r="C492" s="4" t="s">
        <v>220</v>
      </c>
      <c r="D492" s="4" t="s">
        <v>9</v>
      </c>
      <c r="E492" s="5">
        <v>2000</v>
      </c>
      <c r="F492" s="5">
        <v>2000</v>
      </c>
      <c r="G492" s="5">
        <v>1400</v>
      </c>
      <c r="H492" s="4"/>
      <c r="I492" s="4" t="s">
        <v>162</v>
      </c>
      <c r="J492" s="4" t="s">
        <v>460</v>
      </c>
      <c r="K492" s="4" t="s">
        <v>11</v>
      </c>
      <c r="L492" s="4" t="s">
        <v>150</v>
      </c>
    </row>
    <row r="493" spans="1:12">
      <c r="A493" s="3">
        <v>44610.973993055559</v>
      </c>
      <c r="B493" s="4">
        <v>286896672</v>
      </c>
      <c r="C493" s="4" t="s">
        <v>248</v>
      </c>
      <c r="D493" s="4" t="s">
        <v>9</v>
      </c>
      <c r="E493" s="5">
        <v>2500</v>
      </c>
      <c r="F493" s="5">
        <v>2500</v>
      </c>
      <c r="G493" s="5">
        <v>1750</v>
      </c>
      <c r="H493" s="4"/>
      <c r="I493" s="4" t="s">
        <v>158</v>
      </c>
      <c r="J493" s="4" t="s">
        <v>460</v>
      </c>
      <c r="K493" s="4" t="s">
        <v>11</v>
      </c>
      <c r="L493" s="4" t="s">
        <v>141</v>
      </c>
    </row>
    <row r="494" spans="1:12">
      <c r="A494" s="3">
        <v>44610.994745370372</v>
      </c>
      <c r="B494" s="4">
        <v>287834730</v>
      </c>
      <c r="C494" s="4" t="s">
        <v>275</v>
      </c>
      <c r="D494" s="4" t="s">
        <v>9</v>
      </c>
      <c r="E494" s="5">
        <v>2000</v>
      </c>
      <c r="F494" s="5">
        <v>2000</v>
      </c>
      <c r="G494" s="5">
        <v>1400</v>
      </c>
      <c r="H494" s="4"/>
      <c r="I494" s="4" t="s">
        <v>169</v>
      </c>
      <c r="J494" s="4" t="s">
        <v>460</v>
      </c>
      <c r="K494" s="4" t="s">
        <v>11</v>
      </c>
      <c r="L494" s="4" t="s">
        <v>206</v>
      </c>
    </row>
    <row r="495" spans="1:12">
      <c r="A495" s="3">
        <v>44611.134618055556</v>
      </c>
      <c r="B495" s="4">
        <v>286896672</v>
      </c>
      <c r="C495" s="4" t="s">
        <v>248</v>
      </c>
      <c r="D495" s="4" t="s">
        <v>9</v>
      </c>
      <c r="E495" s="5">
        <v>2500</v>
      </c>
      <c r="F495" s="5">
        <v>2500</v>
      </c>
      <c r="G495" s="5">
        <v>1750</v>
      </c>
      <c r="H495" s="4"/>
      <c r="I495" s="4" t="s">
        <v>158</v>
      </c>
      <c r="J495" s="4" t="s">
        <v>460</v>
      </c>
      <c r="K495" s="4" t="s">
        <v>11</v>
      </c>
      <c r="L495" s="4" t="s">
        <v>141</v>
      </c>
    </row>
    <row r="496" spans="1:12">
      <c r="A496" s="3">
        <v>44611.134618055556</v>
      </c>
      <c r="B496" s="4">
        <v>289315562</v>
      </c>
      <c r="C496" s="4" t="s">
        <v>478</v>
      </c>
      <c r="D496" s="4" t="s">
        <v>9</v>
      </c>
      <c r="E496" s="5">
        <v>3000</v>
      </c>
      <c r="F496" s="5">
        <v>3000</v>
      </c>
      <c r="G496" s="5">
        <v>2100</v>
      </c>
      <c r="H496" s="4"/>
      <c r="I496" s="4" t="s">
        <v>454</v>
      </c>
      <c r="J496" s="4" t="s">
        <v>460</v>
      </c>
      <c r="K496" s="4" t="s">
        <v>11</v>
      </c>
      <c r="L496" s="4" t="s">
        <v>397</v>
      </c>
    </row>
    <row r="497" spans="1:12">
      <c r="A497" s="3">
        <v>44611.140509259261</v>
      </c>
      <c r="B497" s="4">
        <v>288676933</v>
      </c>
      <c r="C497" s="4" t="s">
        <v>451</v>
      </c>
      <c r="D497" s="4" t="s">
        <v>9</v>
      </c>
      <c r="E497" s="5">
        <v>2500</v>
      </c>
      <c r="F497" s="5">
        <v>2500</v>
      </c>
      <c r="G497" s="5">
        <v>1750</v>
      </c>
      <c r="H497" s="4"/>
      <c r="I497" s="4" t="s">
        <v>450</v>
      </c>
      <c r="J497" s="4" t="s">
        <v>460</v>
      </c>
      <c r="K497" s="4" t="s">
        <v>11</v>
      </c>
      <c r="L497" s="4" t="s">
        <v>371</v>
      </c>
    </row>
    <row r="498" spans="1:12">
      <c r="A498" s="3">
        <v>44611.140648148146</v>
      </c>
      <c r="B498" s="4">
        <v>286896672</v>
      </c>
      <c r="C498" s="4" t="s">
        <v>248</v>
      </c>
      <c r="D498" s="4" t="s">
        <v>9</v>
      </c>
      <c r="E498" s="5">
        <v>2500</v>
      </c>
      <c r="F498" s="5">
        <v>2500</v>
      </c>
      <c r="G498" s="5">
        <v>1750</v>
      </c>
      <c r="H498" s="4"/>
      <c r="I498" s="4" t="s">
        <v>158</v>
      </c>
      <c r="J498" s="4" t="s">
        <v>460</v>
      </c>
      <c r="K498" s="4" t="s">
        <v>11</v>
      </c>
      <c r="L498" s="4" t="s">
        <v>141</v>
      </c>
    </row>
    <row r="499" spans="1:12">
      <c r="A499" s="3">
        <v>44611.1408912037</v>
      </c>
      <c r="B499" s="4">
        <v>289315562</v>
      </c>
      <c r="C499" s="4" t="s">
        <v>478</v>
      </c>
      <c r="D499" s="4" t="s">
        <v>9</v>
      </c>
      <c r="E499" s="5">
        <v>3000</v>
      </c>
      <c r="F499" s="5">
        <v>3000</v>
      </c>
      <c r="G499" s="5">
        <v>2100</v>
      </c>
      <c r="H499" s="4"/>
      <c r="I499" s="4" t="s">
        <v>454</v>
      </c>
      <c r="J499" s="4" t="s">
        <v>460</v>
      </c>
      <c r="K499" s="4" t="s">
        <v>11</v>
      </c>
      <c r="L499" s="4" t="s">
        <v>397</v>
      </c>
    </row>
    <row r="500" spans="1:12">
      <c r="A500" s="3">
        <v>44611.299432870372</v>
      </c>
      <c r="B500" s="4">
        <v>289315562</v>
      </c>
      <c r="C500" s="4" t="s">
        <v>478</v>
      </c>
      <c r="D500" s="4" t="s">
        <v>9</v>
      </c>
      <c r="E500" s="5">
        <v>3000</v>
      </c>
      <c r="F500" s="5">
        <v>3000</v>
      </c>
      <c r="G500" s="5">
        <v>2100</v>
      </c>
      <c r="H500" s="4"/>
      <c r="I500" s="4" t="s">
        <v>454</v>
      </c>
      <c r="J500" s="4" t="s">
        <v>460</v>
      </c>
      <c r="K500" s="4" t="s">
        <v>11</v>
      </c>
      <c r="L500" s="4" t="s">
        <v>397</v>
      </c>
    </row>
    <row r="501" spans="1:12">
      <c r="A501" s="3">
        <v>44611.318518518521</v>
      </c>
      <c r="B501" s="4">
        <v>289315562</v>
      </c>
      <c r="C501" s="4" t="s">
        <v>478</v>
      </c>
      <c r="D501" s="4" t="s">
        <v>9</v>
      </c>
      <c r="E501" s="5">
        <v>3000</v>
      </c>
      <c r="F501" s="5">
        <v>3000</v>
      </c>
      <c r="G501" s="5">
        <v>2100</v>
      </c>
      <c r="H501" s="4"/>
      <c r="I501" s="4" t="s">
        <v>454</v>
      </c>
      <c r="J501" s="4" t="s">
        <v>460</v>
      </c>
      <c r="K501" s="4" t="s">
        <v>11</v>
      </c>
      <c r="L501" s="4" t="s">
        <v>397</v>
      </c>
    </row>
    <row r="502" spans="1:12">
      <c r="A502" s="3">
        <v>44611.402106481481</v>
      </c>
      <c r="B502" s="4">
        <v>289315562</v>
      </c>
      <c r="C502" s="4" t="s">
        <v>478</v>
      </c>
      <c r="D502" s="4" t="s">
        <v>9</v>
      </c>
      <c r="E502" s="5">
        <v>3000</v>
      </c>
      <c r="F502" s="5">
        <v>3000</v>
      </c>
      <c r="G502" s="5">
        <v>2100</v>
      </c>
      <c r="H502" s="4"/>
      <c r="I502" s="4" t="s">
        <v>454</v>
      </c>
      <c r="J502" s="4" t="s">
        <v>460</v>
      </c>
      <c r="K502" s="4" t="s">
        <v>11</v>
      </c>
      <c r="L502" s="4" t="s">
        <v>397</v>
      </c>
    </row>
    <row r="503" spans="1:12">
      <c r="A503" s="3">
        <v>44611.491215277776</v>
      </c>
      <c r="B503" s="4">
        <v>289315562</v>
      </c>
      <c r="C503" s="4" t="s">
        <v>478</v>
      </c>
      <c r="D503" s="4" t="s">
        <v>9</v>
      </c>
      <c r="E503" s="5">
        <v>3000</v>
      </c>
      <c r="F503" s="5">
        <v>3000</v>
      </c>
      <c r="G503" s="5">
        <v>2100</v>
      </c>
      <c r="H503" s="4"/>
      <c r="I503" s="4" t="s">
        <v>454</v>
      </c>
      <c r="J503" s="4" t="s">
        <v>460</v>
      </c>
      <c r="K503" s="4" t="s">
        <v>11</v>
      </c>
      <c r="L503" s="4" t="s">
        <v>397</v>
      </c>
    </row>
    <row r="504" spans="1:12">
      <c r="A504" s="3">
        <v>44611.532384259262</v>
      </c>
      <c r="B504" s="4">
        <v>289315562</v>
      </c>
      <c r="C504" s="4" t="s">
        <v>478</v>
      </c>
      <c r="D504" s="4" t="s">
        <v>9</v>
      </c>
      <c r="E504" s="5">
        <v>3000</v>
      </c>
      <c r="F504" s="5">
        <v>3000</v>
      </c>
      <c r="G504" s="5">
        <v>2100</v>
      </c>
      <c r="H504" s="4"/>
      <c r="I504" s="4" t="s">
        <v>454</v>
      </c>
      <c r="J504" s="4" t="s">
        <v>460</v>
      </c>
      <c r="K504" s="4" t="s">
        <v>11</v>
      </c>
      <c r="L504" s="4" t="s">
        <v>397</v>
      </c>
    </row>
    <row r="505" spans="1:12">
      <c r="A505" s="3">
        <v>44611.620358796295</v>
      </c>
      <c r="B505" s="4">
        <v>287834730</v>
      </c>
      <c r="C505" s="4" t="s">
        <v>275</v>
      </c>
      <c r="D505" s="4" t="s">
        <v>9</v>
      </c>
      <c r="E505" s="5">
        <v>2000</v>
      </c>
      <c r="F505" s="5">
        <v>2000</v>
      </c>
      <c r="G505" s="5">
        <v>1400</v>
      </c>
      <c r="H505" s="4"/>
      <c r="I505" s="4" t="s">
        <v>169</v>
      </c>
      <c r="J505" s="4" t="s">
        <v>460</v>
      </c>
      <c r="K505" s="4" t="s">
        <v>11</v>
      </c>
      <c r="L505" s="4" t="s">
        <v>206</v>
      </c>
    </row>
    <row r="506" spans="1:12">
      <c r="A506" s="3">
        <v>44611.64439814815</v>
      </c>
      <c r="B506" s="4">
        <v>289315562</v>
      </c>
      <c r="C506" s="4" t="s">
        <v>478</v>
      </c>
      <c r="D506" s="4" t="s">
        <v>9</v>
      </c>
      <c r="E506" s="5">
        <v>3000</v>
      </c>
      <c r="F506" s="5">
        <v>3000</v>
      </c>
      <c r="G506" s="5">
        <v>2100</v>
      </c>
      <c r="H506" s="4"/>
      <c r="I506" s="4" t="s">
        <v>454</v>
      </c>
      <c r="J506" s="4" t="s">
        <v>460</v>
      </c>
      <c r="K506" s="4" t="s">
        <v>11</v>
      </c>
      <c r="L506" s="4" t="s">
        <v>397</v>
      </c>
    </row>
    <row r="507" spans="1:12">
      <c r="A507" s="3">
        <v>44611.684178240743</v>
      </c>
      <c r="B507" s="4">
        <v>287834730</v>
      </c>
      <c r="C507" s="4" t="s">
        <v>275</v>
      </c>
      <c r="D507" s="4" t="s">
        <v>9</v>
      </c>
      <c r="E507" s="5">
        <v>2000</v>
      </c>
      <c r="F507" s="5">
        <v>2000</v>
      </c>
      <c r="G507" s="5">
        <v>1400</v>
      </c>
      <c r="H507" s="4"/>
      <c r="I507" s="4" t="s">
        <v>169</v>
      </c>
      <c r="J507" s="4" t="s">
        <v>460</v>
      </c>
      <c r="K507" s="4" t="s">
        <v>11</v>
      </c>
      <c r="L507" s="4" t="s">
        <v>206</v>
      </c>
    </row>
    <row r="508" spans="1:12">
      <c r="A508" s="3">
        <v>44611.722534722219</v>
      </c>
      <c r="B508" s="4">
        <v>286896672</v>
      </c>
      <c r="C508" s="4" t="s">
        <v>248</v>
      </c>
      <c r="D508" s="4" t="s">
        <v>9</v>
      </c>
      <c r="E508" s="5">
        <v>2500</v>
      </c>
      <c r="F508" s="5">
        <v>2500</v>
      </c>
      <c r="G508" s="5">
        <v>1750</v>
      </c>
      <c r="H508" s="4"/>
      <c r="I508" s="4" t="s">
        <v>158</v>
      </c>
      <c r="J508" s="4" t="s">
        <v>460</v>
      </c>
      <c r="K508" s="4" t="s">
        <v>11</v>
      </c>
      <c r="L508" s="4" t="s">
        <v>141</v>
      </c>
    </row>
    <row r="509" spans="1:12">
      <c r="A509" s="3">
        <v>44611.75885416667</v>
      </c>
      <c r="B509" s="4">
        <v>287834730</v>
      </c>
      <c r="C509" s="4" t="s">
        <v>275</v>
      </c>
      <c r="D509" s="4" t="s">
        <v>9</v>
      </c>
      <c r="E509" s="5">
        <v>2000</v>
      </c>
      <c r="F509" s="5">
        <v>2000</v>
      </c>
      <c r="G509" s="5">
        <v>1400</v>
      </c>
      <c r="H509" s="4"/>
      <c r="I509" s="4" t="s">
        <v>169</v>
      </c>
      <c r="J509" s="4" t="s">
        <v>460</v>
      </c>
      <c r="K509" s="4" t="s">
        <v>11</v>
      </c>
      <c r="L509" s="4" t="s">
        <v>206</v>
      </c>
    </row>
    <row r="510" spans="1:12">
      <c r="A510" s="3">
        <v>44611.816932870373</v>
      </c>
      <c r="B510" s="4">
        <v>287834730</v>
      </c>
      <c r="C510" s="4" t="s">
        <v>275</v>
      </c>
      <c r="D510" s="4" t="s">
        <v>9</v>
      </c>
      <c r="E510" s="5">
        <v>2000</v>
      </c>
      <c r="F510" s="5">
        <v>2000</v>
      </c>
      <c r="G510" s="5">
        <v>1400</v>
      </c>
      <c r="H510" s="4"/>
      <c r="I510" s="4" t="s">
        <v>169</v>
      </c>
      <c r="J510" s="4" t="s">
        <v>460</v>
      </c>
      <c r="K510" s="4" t="s">
        <v>11</v>
      </c>
      <c r="L510" s="4" t="s">
        <v>206</v>
      </c>
    </row>
    <row r="511" spans="1:12">
      <c r="A511" s="3">
        <v>44611.859571759262</v>
      </c>
      <c r="B511" s="4">
        <v>289315562</v>
      </c>
      <c r="C511" s="4" t="s">
        <v>478</v>
      </c>
      <c r="D511" s="4" t="s">
        <v>9</v>
      </c>
      <c r="E511" s="5">
        <v>3000</v>
      </c>
      <c r="F511" s="5">
        <v>3000</v>
      </c>
      <c r="G511" s="5">
        <v>2100</v>
      </c>
      <c r="H511" s="4"/>
      <c r="I511" s="4" t="s">
        <v>454</v>
      </c>
      <c r="J511" s="4" t="s">
        <v>460</v>
      </c>
      <c r="K511" s="4" t="s">
        <v>11</v>
      </c>
      <c r="L511" s="4" t="s">
        <v>397</v>
      </c>
    </row>
    <row r="512" spans="1:12">
      <c r="A512" s="3">
        <v>44611.892754629633</v>
      </c>
      <c r="B512" s="4">
        <v>287834730</v>
      </c>
      <c r="C512" s="4" t="s">
        <v>275</v>
      </c>
      <c r="D512" s="4" t="s">
        <v>9</v>
      </c>
      <c r="E512" s="5">
        <v>2000</v>
      </c>
      <c r="F512" s="5">
        <v>2000</v>
      </c>
      <c r="G512" s="5">
        <v>1400</v>
      </c>
      <c r="H512" s="4"/>
      <c r="I512" s="4" t="s">
        <v>169</v>
      </c>
      <c r="J512" s="4" t="s">
        <v>460</v>
      </c>
      <c r="K512" s="4" t="s">
        <v>11</v>
      </c>
      <c r="L512" s="4" t="s">
        <v>206</v>
      </c>
    </row>
    <row r="513" spans="1:12">
      <c r="A513" s="3">
        <v>44611.944386574076</v>
      </c>
      <c r="B513" s="4">
        <v>287834730</v>
      </c>
      <c r="C513" s="4" t="s">
        <v>275</v>
      </c>
      <c r="D513" s="4" t="s">
        <v>9</v>
      </c>
      <c r="E513" s="5">
        <v>2000</v>
      </c>
      <c r="F513" s="5">
        <v>2000</v>
      </c>
      <c r="G513" s="5">
        <v>1400</v>
      </c>
      <c r="H513" s="4"/>
      <c r="I513" s="4" t="s">
        <v>169</v>
      </c>
      <c r="J513" s="4" t="s">
        <v>460</v>
      </c>
      <c r="K513" s="4" t="s">
        <v>11</v>
      </c>
      <c r="L513" s="4" t="s">
        <v>206</v>
      </c>
    </row>
    <row r="514" spans="1:12">
      <c r="A514" s="3">
        <v>44614.910162037035</v>
      </c>
      <c r="B514" s="4">
        <v>287834730</v>
      </c>
      <c r="C514" s="4" t="s">
        <v>275</v>
      </c>
      <c r="D514" s="4" t="s">
        <v>9</v>
      </c>
      <c r="E514" s="5">
        <v>-2000</v>
      </c>
      <c r="F514" s="5">
        <v>-2000</v>
      </c>
      <c r="G514" s="5">
        <v>-1400</v>
      </c>
      <c r="H514" s="3">
        <v>44611.944386574076</v>
      </c>
      <c r="I514" s="4" t="s">
        <v>169</v>
      </c>
      <c r="J514" s="4" t="s">
        <v>460</v>
      </c>
      <c r="K514" s="4" t="s">
        <v>11</v>
      </c>
      <c r="L514" s="4" t="s">
        <v>206</v>
      </c>
    </row>
    <row r="515" spans="1:12">
      <c r="A515" s="3">
        <v>44611.981180555558</v>
      </c>
      <c r="B515" s="4">
        <v>287834730</v>
      </c>
      <c r="C515" s="4" t="s">
        <v>275</v>
      </c>
      <c r="D515" s="4" t="s">
        <v>9</v>
      </c>
      <c r="E515" s="5">
        <v>2000</v>
      </c>
      <c r="F515" s="5">
        <v>2000</v>
      </c>
      <c r="G515" s="5">
        <v>1400</v>
      </c>
      <c r="H515" s="4"/>
      <c r="I515" s="4" t="s">
        <v>169</v>
      </c>
      <c r="J515" s="4" t="s">
        <v>460</v>
      </c>
      <c r="K515" s="4" t="s">
        <v>11</v>
      </c>
      <c r="L515" s="4" t="s">
        <v>206</v>
      </c>
    </row>
    <row r="516" spans="1:12">
      <c r="A516" s="3">
        <v>44612.004074074073</v>
      </c>
      <c r="B516" s="4">
        <v>289315562</v>
      </c>
      <c r="C516" s="4" t="s">
        <v>478</v>
      </c>
      <c r="D516" s="4" t="s">
        <v>9</v>
      </c>
      <c r="E516" s="5">
        <v>3000</v>
      </c>
      <c r="F516" s="5">
        <v>3000</v>
      </c>
      <c r="G516" s="5">
        <v>2100</v>
      </c>
      <c r="H516" s="4"/>
      <c r="I516" s="4" t="s">
        <v>454</v>
      </c>
      <c r="J516" s="4" t="s">
        <v>460</v>
      </c>
      <c r="K516" s="4" t="s">
        <v>11</v>
      </c>
      <c r="L516" s="4" t="s">
        <v>397</v>
      </c>
    </row>
    <row r="517" spans="1:12">
      <c r="A517" s="3">
        <v>44612.009305555555</v>
      </c>
      <c r="B517" s="4">
        <v>286896672</v>
      </c>
      <c r="C517" s="4" t="s">
        <v>248</v>
      </c>
      <c r="D517" s="4" t="s">
        <v>9</v>
      </c>
      <c r="E517" s="5">
        <v>2500</v>
      </c>
      <c r="F517" s="5">
        <v>2500</v>
      </c>
      <c r="G517" s="5">
        <v>1750</v>
      </c>
      <c r="H517" s="4"/>
      <c r="I517" s="4" t="s">
        <v>158</v>
      </c>
      <c r="J517" s="4" t="s">
        <v>460</v>
      </c>
      <c r="K517" s="4" t="s">
        <v>11</v>
      </c>
      <c r="L517" s="4" t="s">
        <v>141</v>
      </c>
    </row>
    <row r="518" spans="1:12">
      <c r="A518" s="3">
        <v>44612.135439814818</v>
      </c>
      <c r="B518" s="4">
        <v>287834730</v>
      </c>
      <c r="C518" s="4" t="s">
        <v>275</v>
      </c>
      <c r="D518" s="4" t="s">
        <v>9</v>
      </c>
      <c r="E518" s="5">
        <v>2000</v>
      </c>
      <c r="F518" s="5">
        <v>2000</v>
      </c>
      <c r="G518" s="5">
        <v>1400</v>
      </c>
      <c r="H518" s="4"/>
      <c r="I518" s="4" t="s">
        <v>169</v>
      </c>
      <c r="J518" s="4" t="s">
        <v>460</v>
      </c>
      <c r="K518" s="4" t="s">
        <v>11</v>
      </c>
      <c r="L518" s="4" t="s">
        <v>206</v>
      </c>
    </row>
    <row r="519" spans="1:12">
      <c r="A519" s="3">
        <v>44612.451458333337</v>
      </c>
      <c r="B519" s="4">
        <v>289315562</v>
      </c>
      <c r="C519" s="4" t="s">
        <v>478</v>
      </c>
      <c r="D519" s="4" t="s">
        <v>9</v>
      </c>
      <c r="E519" s="5">
        <v>3000</v>
      </c>
      <c r="F519" s="5">
        <v>3000</v>
      </c>
      <c r="G519" s="5">
        <v>2100</v>
      </c>
      <c r="H519" s="4"/>
      <c r="I519" s="4" t="s">
        <v>454</v>
      </c>
      <c r="J519" s="4" t="s">
        <v>460</v>
      </c>
      <c r="K519" s="4" t="s">
        <v>11</v>
      </c>
      <c r="L519" s="4" t="s">
        <v>397</v>
      </c>
    </row>
    <row r="520" spans="1:12">
      <c r="A520" s="3">
        <v>44612.46980324074</v>
      </c>
      <c r="B520" s="4">
        <v>289315562</v>
      </c>
      <c r="C520" s="4" t="s">
        <v>478</v>
      </c>
      <c r="D520" s="4" t="s">
        <v>9</v>
      </c>
      <c r="E520" s="5">
        <v>3000</v>
      </c>
      <c r="F520" s="5">
        <v>3000</v>
      </c>
      <c r="G520" s="5">
        <v>2100</v>
      </c>
      <c r="H520" s="4"/>
      <c r="I520" s="4" t="s">
        <v>454</v>
      </c>
      <c r="J520" s="4" t="s">
        <v>460</v>
      </c>
      <c r="K520" s="4" t="s">
        <v>11</v>
      </c>
      <c r="L520" s="4" t="s">
        <v>397</v>
      </c>
    </row>
    <row r="521" spans="1:12">
      <c r="A521" s="3">
        <v>44612.507384259261</v>
      </c>
      <c r="B521" s="4">
        <v>289315562</v>
      </c>
      <c r="C521" s="4" t="s">
        <v>478</v>
      </c>
      <c r="D521" s="4" t="s">
        <v>9</v>
      </c>
      <c r="E521" s="5">
        <v>3000</v>
      </c>
      <c r="F521" s="5">
        <v>3000</v>
      </c>
      <c r="G521" s="5">
        <v>2100</v>
      </c>
      <c r="H521" s="4"/>
      <c r="I521" s="4" t="s">
        <v>454</v>
      </c>
      <c r="J521" s="4" t="s">
        <v>460</v>
      </c>
      <c r="K521" s="4" t="s">
        <v>11</v>
      </c>
      <c r="L521" s="4" t="s">
        <v>397</v>
      </c>
    </row>
    <row r="522" spans="1:12">
      <c r="A522" s="3">
        <v>44612.594189814816</v>
      </c>
      <c r="B522" s="4">
        <v>289315562</v>
      </c>
      <c r="C522" s="4" t="s">
        <v>478</v>
      </c>
      <c r="D522" s="4" t="s">
        <v>9</v>
      </c>
      <c r="E522" s="5">
        <v>3000</v>
      </c>
      <c r="F522" s="5">
        <v>3000</v>
      </c>
      <c r="G522" s="5">
        <v>2100</v>
      </c>
      <c r="H522" s="4"/>
      <c r="I522" s="4" t="s">
        <v>454</v>
      </c>
      <c r="J522" s="4" t="s">
        <v>460</v>
      </c>
      <c r="K522" s="4" t="s">
        <v>11</v>
      </c>
      <c r="L522" s="4" t="s">
        <v>397</v>
      </c>
    </row>
    <row r="523" spans="1:12">
      <c r="A523" s="3">
        <v>44612.616342592592</v>
      </c>
      <c r="B523" s="4">
        <v>287834730</v>
      </c>
      <c r="C523" s="4" t="s">
        <v>275</v>
      </c>
      <c r="D523" s="4" t="s">
        <v>9</v>
      </c>
      <c r="E523" s="5">
        <v>2000</v>
      </c>
      <c r="F523" s="5">
        <v>2000</v>
      </c>
      <c r="G523" s="5">
        <v>1400</v>
      </c>
      <c r="H523" s="4"/>
      <c r="I523" s="4" t="s">
        <v>169</v>
      </c>
      <c r="J523" s="4" t="s">
        <v>460</v>
      </c>
      <c r="K523" s="4" t="s">
        <v>11</v>
      </c>
      <c r="L523" s="4" t="s">
        <v>206</v>
      </c>
    </row>
    <row r="524" spans="1:12">
      <c r="A524" s="3">
        <v>44612.62835648148</v>
      </c>
      <c r="B524" s="4">
        <v>287834730</v>
      </c>
      <c r="C524" s="4" t="s">
        <v>275</v>
      </c>
      <c r="D524" s="4" t="s">
        <v>9</v>
      </c>
      <c r="E524" s="5">
        <v>2000</v>
      </c>
      <c r="F524" s="5">
        <v>2000</v>
      </c>
      <c r="G524" s="5">
        <v>1400</v>
      </c>
      <c r="H524" s="4"/>
      <c r="I524" s="4" t="s">
        <v>169</v>
      </c>
      <c r="J524" s="4" t="s">
        <v>460</v>
      </c>
      <c r="K524" s="4" t="s">
        <v>11</v>
      </c>
      <c r="L524" s="4" t="s">
        <v>206</v>
      </c>
    </row>
    <row r="525" spans="1:12">
      <c r="A525" s="3">
        <v>44612.677662037036</v>
      </c>
      <c r="B525" s="4">
        <v>287703886</v>
      </c>
      <c r="C525" s="4" t="s">
        <v>218</v>
      </c>
      <c r="D525" s="4" t="s">
        <v>9</v>
      </c>
      <c r="E525" s="5">
        <v>2500</v>
      </c>
      <c r="F525" s="5">
        <v>2500</v>
      </c>
      <c r="G525" s="5">
        <v>1750</v>
      </c>
      <c r="H525" s="4"/>
      <c r="I525" s="4" t="s">
        <v>167</v>
      </c>
      <c r="J525" s="4" t="s">
        <v>460</v>
      </c>
      <c r="K525" s="4" t="s">
        <v>11</v>
      </c>
      <c r="L525" s="4" t="s">
        <v>195</v>
      </c>
    </row>
    <row r="526" spans="1:12">
      <c r="A526" s="3">
        <v>44612.694745370369</v>
      </c>
      <c r="B526" s="4">
        <v>287834730</v>
      </c>
      <c r="C526" s="4" t="s">
        <v>275</v>
      </c>
      <c r="D526" s="4" t="s">
        <v>9</v>
      </c>
      <c r="E526" s="5">
        <v>2000</v>
      </c>
      <c r="F526" s="5">
        <v>2000</v>
      </c>
      <c r="G526" s="5">
        <v>1400</v>
      </c>
      <c r="H526" s="4"/>
      <c r="I526" s="4" t="s">
        <v>169</v>
      </c>
      <c r="J526" s="4" t="s">
        <v>460</v>
      </c>
      <c r="K526" s="4" t="s">
        <v>11</v>
      </c>
      <c r="L526" s="4" t="s">
        <v>206</v>
      </c>
    </row>
    <row r="527" spans="1:12">
      <c r="A527" s="3">
        <v>44612.805625000001</v>
      </c>
      <c r="B527" s="4">
        <v>289315562</v>
      </c>
      <c r="C527" s="4" t="s">
        <v>478</v>
      </c>
      <c r="D527" s="4" t="s">
        <v>9</v>
      </c>
      <c r="E527" s="5">
        <v>3000</v>
      </c>
      <c r="F527" s="5">
        <v>3000</v>
      </c>
      <c r="G527" s="5">
        <v>2100</v>
      </c>
      <c r="H527" s="4"/>
      <c r="I527" s="4" t="s">
        <v>454</v>
      </c>
      <c r="J527" s="4" t="s">
        <v>460</v>
      </c>
      <c r="K527" s="4" t="s">
        <v>11</v>
      </c>
      <c r="L527" s="4" t="s">
        <v>397</v>
      </c>
    </row>
    <row r="528" spans="1:12">
      <c r="A528" s="3">
        <v>44612.808298611111</v>
      </c>
      <c r="B528" s="4">
        <v>289315562</v>
      </c>
      <c r="C528" s="4" t="s">
        <v>478</v>
      </c>
      <c r="D528" s="4" t="s">
        <v>9</v>
      </c>
      <c r="E528" s="5">
        <v>3000</v>
      </c>
      <c r="F528" s="5">
        <v>3000</v>
      </c>
      <c r="G528" s="5">
        <v>2100</v>
      </c>
      <c r="H528" s="4"/>
      <c r="I528" s="4" t="s">
        <v>454</v>
      </c>
      <c r="J528" s="4" t="s">
        <v>460</v>
      </c>
      <c r="K528" s="4" t="s">
        <v>11</v>
      </c>
      <c r="L528" s="4" t="s">
        <v>397</v>
      </c>
    </row>
    <row r="529" spans="1:12">
      <c r="A529" s="3">
        <v>44612.855127314811</v>
      </c>
      <c r="B529" s="4">
        <v>286896672</v>
      </c>
      <c r="C529" s="4" t="s">
        <v>248</v>
      </c>
      <c r="D529" s="4" t="s">
        <v>9</v>
      </c>
      <c r="E529" s="5">
        <v>2500</v>
      </c>
      <c r="F529" s="5">
        <v>2500</v>
      </c>
      <c r="G529" s="5">
        <v>1750</v>
      </c>
      <c r="H529" s="4"/>
      <c r="I529" s="4" t="s">
        <v>158</v>
      </c>
      <c r="J529" s="4" t="s">
        <v>460</v>
      </c>
      <c r="K529" s="4" t="s">
        <v>11</v>
      </c>
      <c r="L529" s="4" t="s">
        <v>141</v>
      </c>
    </row>
    <row r="530" spans="1:12">
      <c r="A530" s="3">
        <v>44612.865347222221</v>
      </c>
      <c r="B530" s="4">
        <v>289315562</v>
      </c>
      <c r="C530" s="4" t="s">
        <v>478</v>
      </c>
      <c r="D530" s="4" t="s">
        <v>9</v>
      </c>
      <c r="E530" s="5">
        <v>3000</v>
      </c>
      <c r="F530" s="5">
        <v>3000</v>
      </c>
      <c r="G530" s="5">
        <v>2100</v>
      </c>
      <c r="H530" s="4"/>
      <c r="I530" s="4" t="s">
        <v>454</v>
      </c>
      <c r="J530" s="4" t="s">
        <v>460</v>
      </c>
      <c r="K530" s="4" t="s">
        <v>11</v>
      </c>
      <c r="L530" s="4" t="s">
        <v>397</v>
      </c>
    </row>
    <row r="531" spans="1:12">
      <c r="A531" s="3">
        <v>44612.885104166664</v>
      </c>
      <c r="B531" s="4">
        <v>289315562</v>
      </c>
      <c r="C531" s="4" t="s">
        <v>478</v>
      </c>
      <c r="D531" s="4" t="s">
        <v>9</v>
      </c>
      <c r="E531" s="5">
        <v>3000</v>
      </c>
      <c r="F531" s="5">
        <v>3000</v>
      </c>
      <c r="G531" s="5">
        <v>2100</v>
      </c>
      <c r="H531" s="4"/>
      <c r="I531" s="4" t="s">
        <v>454</v>
      </c>
      <c r="J531" s="4" t="s">
        <v>460</v>
      </c>
      <c r="K531" s="4" t="s">
        <v>11</v>
      </c>
      <c r="L531" s="4" t="s">
        <v>397</v>
      </c>
    </row>
    <row r="532" spans="1:12">
      <c r="A532" s="3">
        <v>44612.896597222221</v>
      </c>
      <c r="B532" s="4">
        <v>289315562</v>
      </c>
      <c r="C532" s="4" t="s">
        <v>478</v>
      </c>
      <c r="D532" s="4" t="s">
        <v>9</v>
      </c>
      <c r="E532" s="5">
        <v>3000</v>
      </c>
      <c r="F532" s="5">
        <v>3000</v>
      </c>
      <c r="G532" s="5">
        <v>2100</v>
      </c>
      <c r="H532" s="4"/>
      <c r="I532" s="4" t="s">
        <v>454</v>
      </c>
      <c r="J532" s="4" t="s">
        <v>460</v>
      </c>
      <c r="K532" s="4" t="s">
        <v>11</v>
      </c>
      <c r="L532" s="4" t="s">
        <v>397</v>
      </c>
    </row>
    <row r="533" spans="1:12">
      <c r="A533" s="3">
        <v>44612.936550925922</v>
      </c>
      <c r="B533" s="4">
        <v>289315562</v>
      </c>
      <c r="C533" s="4" t="s">
        <v>478</v>
      </c>
      <c r="D533" s="4" t="s">
        <v>9</v>
      </c>
      <c r="E533" s="5">
        <v>3000</v>
      </c>
      <c r="F533" s="5">
        <v>3000</v>
      </c>
      <c r="G533" s="5">
        <v>2100</v>
      </c>
      <c r="H533" s="4"/>
      <c r="I533" s="4" t="s">
        <v>454</v>
      </c>
      <c r="J533" s="4" t="s">
        <v>460</v>
      </c>
      <c r="K533" s="4" t="s">
        <v>11</v>
      </c>
      <c r="L533" s="4" t="s">
        <v>397</v>
      </c>
    </row>
    <row r="534" spans="1:12">
      <c r="A534" s="3">
        <v>44612.936550925922</v>
      </c>
      <c r="B534" s="4">
        <v>286405921</v>
      </c>
      <c r="C534" s="4" t="s">
        <v>245</v>
      </c>
      <c r="D534" s="4" t="s">
        <v>9</v>
      </c>
      <c r="E534" s="5">
        <v>2500</v>
      </c>
      <c r="F534" s="5">
        <v>2500</v>
      </c>
      <c r="G534" s="5">
        <v>1750</v>
      </c>
      <c r="H534" s="4"/>
      <c r="I534" s="4" t="s">
        <v>221</v>
      </c>
      <c r="J534" s="4" t="s">
        <v>460</v>
      </c>
      <c r="K534" s="4" t="s">
        <v>11</v>
      </c>
      <c r="L534" s="4" t="s">
        <v>137</v>
      </c>
    </row>
    <row r="535" spans="1:12">
      <c r="A535" s="3">
        <v>44612.94840277778</v>
      </c>
      <c r="B535" s="4">
        <v>289315562</v>
      </c>
      <c r="C535" s="4" t="s">
        <v>478</v>
      </c>
      <c r="D535" s="4" t="s">
        <v>9</v>
      </c>
      <c r="E535" s="5">
        <v>3000</v>
      </c>
      <c r="F535" s="5">
        <v>3000</v>
      </c>
      <c r="G535" s="5">
        <v>2100</v>
      </c>
      <c r="H535" s="4"/>
      <c r="I535" s="4" t="s">
        <v>454</v>
      </c>
      <c r="J535" s="4" t="s">
        <v>460</v>
      </c>
      <c r="K535" s="4" t="s">
        <v>11</v>
      </c>
      <c r="L535" s="4" t="s">
        <v>397</v>
      </c>
    </row>
    <row r="536" spans="1:12">
      <c r="A536" s="3">
        <v>44612.961458333331</v>
      </c>
      <c r="B536" s="4">
        <v>289315562</v>
      </c>
      <c r="C536" s="4" t="s">
        <v>478</v>
      </c>
      <c r="D536" s="4" t="s">
        <v>9</v>
      </c>
      <c r="E536" s="5">
        <v>3000</v>
      </c>
      <c r="F536" s="5">
        <v>3000</v>
      </c>
      <c r="G536" s="5">
        <v>2100</v>
      </c>
      <c r="H536" s="4"/>
      <c r="I536" s="4" t="s">
        <v>454</v>
      </c>
      <c r="J536" s="4" t="s">
        <v>460</v>
      </c>
      <c r="K536" s="4" t="s">
        <v>11</v>
      </c>
      <c r="L536" s="4" t="s">
        <v>397</v>
      </c>
    </row>
    <row r="537" spans="1:12">
      <c r="A537" s="3">
        <v>44612.970416666663</v>
      </c>
      <c r="B537" s="4">
        <v>289315562</v>
      </c>
      <c r="C537" s="4" t="s">
        <v>478</v>
      </c>
      <c r="D537" s="4" t="s">
        <v>9</v>
      </c>
      <c r="E537" s="5">
        <v>3000</v>
      </c>
      <c r="F537" s="5">
        <v>3000</v>
      </c>
      <c r="G537" s="5">
        <v>2100</v>
      </c>
      <c r="H537" s="4"/>
      <c r="I537" s="4" t="s">
        <v>454</v>
      </c>
      <c r="J537" s="4" t="s">
        <v>460</v>
      </c>
      <c r="K537" s="4" t="s">
        <v>11</v>
      </c>
      <c r="L537" s="4" t="s">
        <v>397</v>
      </c>
    </row>
    <row r="538" spans="1:12">
      <c r="A538" s="3">
        <v>44612.974085648151</v>
      </c>
      <c r="B538" s="4">
        <v>289315562</v>
      </c>
      <c r="C538" s="4" t="s">
        <v>478</v>
      </c>
      <c r="D538" s="4" t="s">
        <v>9</v>
      </c>
      <c r="E538" s="5">
        <v>3000</v>
      </c>
      <c r="F538" s="5">
        <v>3000</v>
      </c>
      <c r="G538" s="5">
        <v>2100</v>
      </c>
      <c r="H538" s="4"/>
      <c r="I538" s="4" t="s">
        <v>454</v>
      </c>
      <c r="J538" s="4" t="s">
        <v>460</v>
      </c>
      <c r="K538" s="4" t="s">
        <v>11</v>
      </c>
      <c r="L538" s="4" t="s">
        <v>397</v>
      </c>
    </row>
    <row r="539" spans="1:12">
      <c r="A539" s="3">
        <v>44612.978090277778</v>
      </c>
      <c r="B539" s="4">
        <v>289315562</v>
      </c>
      <c r="C539" s="4" t="s">
        <v>478</v>
      </c>
      <c r="D539" s="4" t="s">
        <v>9</v>
      </c>
      <c r="E539" s="5">
        <v>3000</v>
      </c>
      <c r="F539" s="5">
        <v>3000</v>
      </c>
      <c r="G539" s="5">
        <v>2100</v>
      </c>
      <c r="H539" s="4"/>
      <c r="I539" s="4" t="s">
        <v>454</v>
      </c>
      <c r="J539" s="4" t="s">
        <v>460</v>
      </c>
      <c r="K539" s="4" t="s">
        <v>11</v>
      </c>
      <c r="L539" s="4" t="s">
        <v>397</v>
      </c>
    </row>
    <row r="540" spans="1:12">
      <c r="A540" s="3">
        <v>44612.982002314813</v>
      </c>
      <c r="B540" s="4">
        <v>287834730</v>
      </c>
      <c r="C540" s="4" t="s">
        <v>275</v>
      </c>
      <c r="D540" s="4" t="s">
        <v>9</v>
      </c>
      <c r="E540" s="5">
        <v>2000</v>
      </c>
      <c r="F540" s="5">
        <v>2000</v>
      </c>
      <c r="G540" s="5">
        <v>1400</v>
      </c>
      <c r="H540" s="4"/>
      <c r="I540" s="4" t="s">
        <v>169</v>
      </c>
      <c r="J540" s="4" t="s">
        <v>460</v>
      </c>
      <c r="K540" s="4" t="s">
        <v>11</v>
      </c>
      <c r="L540" s="4" t="s">
        <v>206</v>
      </c>
    </row>
    <row r="541" spans="1:12">
      <c r="A541" s="3">
        <v>44612.986944444441</v>
      </c>
      <c r="B541" s="4">
        <v>287834730</v>
      </c>
      <c r="C541" s="4" t="s">
        <v>275</v>
      </c>
      <c r="D541" s="4" t="s">
        <v>9</v>
      </c>
      <c r="E541" s="5">
        <v>2000</v>
      </c>
      <c r="F541" s="5">
        <v>2000</v>
      </c>
      <c r="G541" s="5">
        <v>1400</v>
      </c>
      <c r="H541" s="4"/>
      <c r="I541" s="4" t="s">
        <v>169</v>
      </c>
      <c r="J541" s="4" t="s">
        <v>460</v>
      </c>
      <c r="K541" s="4" t="s">
        <v>11</v>
      </c>
      <c r="L541" s="4" t="s">
        <v>206</v>
      </c>
    </row>
    <row r="542" spans="1:12">
      <c r="A542" s="3">
        <v>44612.995092592595</v>
      </c>
      <c r="B542" s="4">
        <v>288284536</v>
      </c>
      <c r="C542" s="4" t="s">
        <v>466</v>
      </c>
      <c r="D542" s="4" t="s">
        <v>9</v>
      </c>
      <c r="E542" s="5">
        <v>2000</v>
      </c>
      <c r="F542" s="5">
        <v>2000</v>
      </c>
      <c r="G542" s="5">
        <v>1400</v>
      </c>
      <c r="H542" s="4"/>
      <c r="I542" s="4" t="s">
        <v>448</v>
      </c>
      <c r="J542" s="4" t="s">
        <v>460</v>
      </c>
      <c r="K542" s="4" t="s">
        <v>11</v>
      </c>
      <c r="L542" s="4" t="s">
        <v>344</v>
      </c>
    </row>
    <row r="543" spans="1:12">
      <c r="A543" s="3">
        <v>44613.059328703705</v>
      </c>
      <c r="B543" s="4">
        <v>286755913</v>
      </c>
      <c r="C543" s="4" t="s">
        <v>222</v>
      </c>
      <c r="D543" s="4" t="s">
        <v>9</v>
      </c>
      <c r="E543" s="5">
        <v>2000</v>
      </c>
      <c r="F543" s="5">
        <v>2000</v>
      </c>
      <c r="G543" s="5">
        <v>1400</v>
      </c>
      <c r="H543" s="4"/>
      <c r="I543" s="4" t="s">
        <v>159</v>
      </c>
      <c r="J543" s="4" t="s">
        <v>460</v>
      </c>
      <c r="K543" s="4" t="s">
        <v>11</v>
      </c>
      <c r="L543" s="4" t="s">
        <v>144</v>
      </c>
    </row>
    <row r="544" spans="1:12">
      <c r="A544" s="3">
        <v>44613.19494212963</v>
      </c>
      <c r="B544" s="4">
        <v>289315562</v>
      </c>
      <c r="C544" s="4" t="s">
        <v>478</v>
      </c>
      <c r="D544" s="4" t="s">
        <v>9</v>
      </c>
      <c r="E544" s="5">
        <v>3000</v>
      </c>
      <c r="F544" s="5">
        <v>3000</v>
      </c>
      <c r="G544" s="5">
        <v>2100</v>
      </c>
      <c r="H544" s="4"/>
      <c r="I544" s="4" t="s">
        <v>454</v>
      </c>
      <c r="J544" s="4" t="s">
        <v>460</v>
      </c>
      <c r="K544" s="4" t="s">
        <v>11</v>
      </c>
      <c r="L544" s="4" t="s">
        <v>397</v>
      </c>
    </row>
    <row r="545" spans="1:12">
      <c r="A545" s="3">
        <v>44613.385115740741</v>
      </c>
      <c r="B545" s="4">
        <v>289315562</v>
      </c>
      <c r="C545" s="4" t="s">
        <v>478</v>
      </c>
      <c r="D545" s="4" t="s">
        <v>9</v>
      </c>
      <c r="E545" s="5">
        <v>3000</v>
      </c>
      <c r="F545" s="5">
        <v>3000</v>
      </c>
      <c r="G545" s="5">
        <v>2100</v>
      </c>
      <c r="H545" s="4"/>
      <c r="I545" s="4" t="s">
        <v>454</v>
      </c>
      <c r="J545" s="4" t="s">
        <v>460</v>
      </c>
      <c r="K545" s="4" t="s">
        <v>11</v>
      </c>
      <c r="L545" s="4" t="s">
        <v>397</v>
      </c>
    </row>
    <row r="546" spans="1:12">
      <c r="A546" s="3">
        <v>44613.403043981481</v>
      </c>
      <c r="B546" s="4">
        <v>287086652</v>
      </c>
      <c r="C546" s="4" t="s">
        <v>220</v>
      </c>
      <c r="D546" s="4" t="s">
        <v>9</v>
      </c>
      <c r="E546" s="5">
        <v>2000</v>
      </c>
      <c r="F546" s="5">
        <v>2000</v>
      </c>
      <c r="G546" s="5">
        <v>1400</v>
      </c>
      <c r="H546" s="4"/>
      <c r="I546" s="4" t="s">
        <v>162</v>
      </c>
      <c r="J546" s="4" t="s">
        <v>460</v>
      </c>
      <c r="K546" s="4" t="s">
        <v>11</v>
      </c>
      <c r="L546" s="4" t="s">
        <v>150</v>
      </c>
    </row>
    <row r="547" spans="1:12">
      <c r="A547" s="3">
        <v>44613.432187500002</v>
      </c>
      <c r="B547" s="4">
        <v>286896672</v>
      </c>
      <c r="C547" s="4" t="s">
        <v>248</v>
      </c>
      <c r="D547" s="4" t="s">
        <v>9</v>
      </c>
      <c r="E547" s="5">
        <v>2500</v>
      </c>
      <c r="F547" s="5">
        <v>2500</v>
      </c>
      <c r="G547" s="5">
        <v>1750</v>
      </c>
      <c r="H547" s="4"/>
      <c r="I547" s="4" t="s">
        <v>158</v>
      </c>
      <c r="J547" s="4" t="s">
        <v>460</v>
      </c>
      <c r="K547" s="4" t="s">
        <v>11</v>
      </c>
      <c r="L547" s="4" t="s">
        <v>141</v>
      </c>
    </row>
    <row r="548" spans="1:12">
      <c r="A548" s="3">
        <v>44613.486030092594</v>
      </c>
      <c r="B548" s="4">
        <v>286755913</v>
      </c>
      <c r="C548" s="4" t="s">
        <v>222</v>
      </c>
      <c r="D548" s="4" t="s">
        <v>9</v>
      </c>
      <c r="E548" s="5">
        <v>2000</v>
      </c>
      <c r="F548" s="5">
        <v>2000</v>
      </c>
      <c r="G548" s="5">
        <v>1400</v>
      </c>
      <c r="H548" s="4"/>
      <c r="I548" s="4" t="s">
        <v>159</v>
      </c>
      <c r="J548" s="4" t="s">
        <v>460</v>
      </c>
      <c r="K548" s="4" t="s">
        <v>11</v>
      </c>
      <c r="L548" s="4" t="s">
        <v>144</v>
      </c>
    </row>
    <row r="549" spans="1:12">
      <c r="A549" s="3">
        <v>44613.495000000003</v>
      </c>
      <c r="B549" s="4">
        <v>289315562</v>
      </c>
      <c r="C549" s="4" t="s">
        <v>478</v>
      </c>
      <c r="D549" s="4" t="s">
        <v>9</v>
      </c>
      <c r="E549" s="5">
        <v>3000</v>
      </c>
      <c r="F549" s="5">
        <v>3000</v>
      </c>
      <c r="G549" s="5">
        <v>2100</v>
      </c>
      <c r="H549" s="4"/>
      <c r="I549" s="4" t="s">
        <v>454</v>
      </c>
      <c r="J549" s="4" t="s">
        <v>460</v>
      </c>
      <c r="K549" s="4" t="s">
        <v>11</v>
      </c>
      <c r="L549" s="4" t="s">
        <v>397</v>
      </c>
    </row>
    <row r="550" spans="1:12">
      <c r="A550" s="3">
        <v>44613.51667824074</v>
      </c>
      <c r="B550" s="4">
        <v>289315562</v>
      </c>
      <c r="C550" s="4" t="s">
        <v>478</v>
      </c>
      <c r="D550" s="4" t="s">
        <v>9</v>
      </c>
      <c r="E550" s="5">
        <v>3000</v>
      </c>
      <c r="F550" s="5">
        <v>3000</v>
      </c>
      <c r="G550" s="5">
        <v>2100</v>
      </c>
      <c r="H550" s="4"/>
      <c r="I550" s="4" t="s">
        <v>454</v>
      </c>
      <c r="J550" s="4" t="s">
        <v>460</v>
      </c>
      <c r="K550" s="4" t="s">
        <v>11</v>
      </c>
      <c r="L550" s="4" t="s">
        <v>397</v>
      </c>
    </row>
    <row r="551" spans="1:12">
      <c r="A551" s="3">
        <v>44613.648692129631</v>
      </c>
      <c r="B551" s="4">
        <v>289315562</v>
      </c>
      <c r="C551" s="4" t="s">
        <v>478</v>
      </c>
      <c r="D551" s="4" t="s">
        <v>9</v>
      </c>
      <c r="E551" s="5">
        <v>3000</v>
      </c>
      <c r="F551" s="5">
        <v>3000</v>
      </c>
      <c r="G551" s="5">
        <v>2100</v>
      </c>
      <c r="H551" s="4"/>
      <c r="I551" s="4" t="s">
        <v>454</v>
      </c>
      <c r="J551" s="4" t="s">
        <v>460</v>
      </c>
      <c r="K551" s="4" t="s">
        <v>11</v>
      </c>
      <c r="L551" s="4" t="s">
        <v>397</v>
      </c>
    </row>
    <row r="552" spans="1:12">
      <c r="A552" s="3">
        <v>44613.671018518522</v>
      </c>
      <c r="B552" s="4">
        <v>289315562</v>
      </c>
      <c r="C552" s="4" t="s">
        <v>478</v>
      </c>
      <c r="D552" s="4" t="s">
        <v>9</v>
      </c>
      <c r="E552" s="5">
        <v>3000</v>
      </c>
      <c r="F552" s="5">
        <v>3000</v>
      </c>
      <c r="G552" s="5">
        <v>2100</v>
      </c>
      <c r="H552" s="4"/>
      <c r="I552" s="4" t="s">
        <v>454</v>
      </c>
      <c r="J552" s="4" t="s">
        <v>460</v>
      </c>
      <c r="K552" s="4" t="s">
        <v>11</v>
      </c>
      <c r="L552" s="4" t="s">
        <v>397</v>
      </c>
    </row>
    <row r="553" spans="1:12">
      <c r="A553" s="3">
        <v>44613.727083333331</v>
      </c>
      <c r="B553" s="4">
        <v>289315562</v>
      </c>
      <c r="C553" s="4" t="s">
        <v>478</v>
      </c>
      <c r="D553" s="4" t="s">
        <v>9</v>
      </c>
      <c r="E553" s="5">
        <v>3000</v>
      </c>
      <c r="F553" s="5">
        <v>3000</v>
      </c>
      <c r="G553" s="5">
        <v>2100</v>
      </c>
      <c r="H553" s="4"/>
      <c r="I553" s="4" t="s">
        <v>454</v>
      </c>
      <c r="J553" s="4" t="s">
        <v>460</v>
      </c>
      <c r="K553" s="4" t="s">
        <v>11</v>
      </c>
      <c r="L553" s="4" t="s">
        <v>397</v>
      </c>
    </row>
    <row r="554" spans="1:12">
      <c r="A554" s="3">
        <v>44613.79928240741</v>
      </c>
      <c r="B554" s="4">
        <v>289315562</v>
      </c>
      <c r="C554" s="4" t="s">
        <v>478</v>
      </c>
      <c r="D554" s="4" t="s">
        <v>9</v>
      </c>
      <c r="E554" s="5">
        <v>3000</v>
      </c>
      <c r="F554" s="5">
        <v>3000</v>
      </c>
      <c r="G554" s="5">
        <v>2100</v>
      </c>
      <c r="H554" s="4"/>
      <c r="I554" s="4" t="s">
        <v>454</v>
      </c>
      <c r="J554" s="4" t="s">
        <v>460</v>
      </c>
      <c r="K554" s="4" t="s">
        <v>11</v>
      </c>
      <c r="L554" s="4" t="s">
        <v>397</v>
      </c>
    </row>
    <row r="555" spans="1:12">
      <c r="A555" s="3">
        <v>44613.801446759258</v>
      </c>
      <c r="B555" s="4">
        <v>289315562</v>
      </c>
      <c r="C555" s="4" t="s">
        <v>478</v>
      </c>
      <c r="D555" s="4" t="s">
        <v>9</v>
      </c>
      <c r="E555" s="5">
        <v>3000</v>
      </c>
      <c r="F555" s="5">
        <v>3000</v>
      </c>
      <c r="G555" s="5">
        <v>2100</v>
      </c>
      <c r="H555" s="4"/>
      <c r="I555" s="4" t="s">
        <v>454</v>
      </c>
      <c r="J555" s="4" t="s">
        <v>460</v>
      </c>
      <c r="K555" s="4" t="s">
        <v>11</v>
      </c>
      <c r="L555" s="4" t="s">
        <v>397</v>
      </c>
    </row>
    <row r="556" spans="1:12">
      <c r="A556" s="3">
        <v>44613.823483796295</v>
      </c>
      <c r="B556" s="4">
        <v>289315562</v>
      </c>
      <c r="C556" s="4" t="s">
        <v>478</v>
      </c>
      <c r="D556" s="4" t="s">
        <v>9</v>
      </c>
      <c r="E556" s="5">
        <v>3000</v>
      </c>
      <c r="F556" s="5">
        <v>3000</v>
      </c>
      <c r="G556" s="5">
        <v>2100</v>
      </c>
      <c r="H556" s="4"/>
      <c r="I556" s="4" t="s">
        <v>454</v>
      </c>
      <c r="J556" s="4" t="s">
        <v>460</v>
      </c>
      <c r="K556" s="4" t="s">
        <v>11</v>
      </c>
      <c r="L556" s="4" t="s">
        <v>397</v>
      </c>
    </row>
    <row r="557" spans="1:12">
      <c r="A557" s="3">
        <v>44613.828784722224</v>
      </c>
      <c r="B557" s="4">
        <v>289315562</v>
      </c>
      <c r="C557" s="4" t="s">
        <v>478</v>
      </c>
      <c r="D557" s="4" t="s">
        <v>9</v>
      </c>
      <c r="E557" s="5">
        <v>3000</v>
      </c>
      <c r="F557" s="5">
        <v>3000</v>
      </c>
      <c r="G557" s="5">
        <v>2100</v>
      </c>
      <c r="H557" s="4"/>
      <c r="I557" s="4" t="s">
        <v>454</v>
      </c>
      <c r="J557" s="4" t="s">
        <v>460</v>
      </c>
      <c r="K557" s="4" t="s">
        <v>11</v>
      </c>
      <c r="L557" s="4" t="s">
        <v>397</v>
      </c>
    </row>
    <row r="558" spans="1:12">
      <c r="A558" s="3">
        <v>44613.870451388888</v>
      </c>
      <c r="B558" s="4">
        <v>286755913</v>
      </c>
      <c r="C558" s="4" t="s">
        <v>222</v>
      </c>
      <c r="D558" s="4" t="s">
        <v>9</v>
      </c>
      <c r="E558" s="5">
        <v>2000</v>
      </c>
      <c r="F558" s="5">
        <v>2000</v>
      </c>
      <c r="G558" s="5">
        <v>1400</v>
      </c>
      <c r="H558" s="4"/>
      <c r="I558" s="4" t="s">
        <v>159</v>
      </c>
      <c r="J558" s="4" t="s">
        <v>460</v>
      </c>
      <c r="K558" s="4" t="s">
        <v>11</v>
      </c>
      <c r="L558" s="4" t="s">
        <v>144</v>
      </c>
    </row>
    <row r="559" spans="1:12">
      <c r="A559" s="3">
        <v>44613.872453703705</v>
      </c>
      <c r="B559" s="4">
        <v>286755913</v>
      </c>
      <c r="C559" s="4" t="s">
        <v>222</v>
      </c>
      <c r="D559" s="4" t="s">
        <v>9</v>
      </c>
      <c r="E559" s="5">
        <v>-2000</v>
      </c>
      <c r="F559" s="5">
        <v>-2000</v>
      </c>
      <c r="G559" s="5">
        <v>-1400</v>
      </c>
      <c r="H559" s="3">
        <v>44613.870451388888</v>
      </c>
      <c r="I559" s="4" t="s">
        <v>159</v>
      </c>
      <c r="J559" s="4" t="s">
        <v>460</v>
      </c>
      <c r="K559" s="4" t="s">
        <v>11</v>
      </c>
      <c r="L559" s="4" t="s">
        <v>144</v>
      </c>
    </row>
    <row r="560" spans="1:12">
      <c r="A560" s="3">
        <v>44613.88009259259</v>
      </c>
      <c r="B560" s="4">
        <v>287834730</v>
      </c>
      <c r="C560" s="4" t="s">
        <v>275</v>
      </c>
      <c r="D560" s="4" t="s">
        <v>9</v>
      </c>
      <c r="E560" s="5">
        <v>2000</v>
      </c>
      <c r="F560" s="5">
        <v>2000</v>
      </c>
      <c r="G560" s="5">
        <v>1400</v>
      </c>
      <c r="H560" s="4"/>
      <c r="I560" s="4" t="s">
        <v>169</v>
      </c>
      <c r="J560" s="4" t="s">
        <v>460</v>
      </c>
      <c r="K560" s="4" t="s">
        <v>11</v>
      </c>
      <c r="L560" s="4" t="s">
        <v>206</v>
      </c>
    </row>
    <row r="561" spans="1:12">
      <c r="A561" s="3">
        <v>44613.913449074076</v>
      </c>
      <c r="B561" s="4">
        <v>286896672</v>
      </c>
      <c r="C561" s="4" t="s">
        <v>248</v>
      </c>
      <c r="D561" s="4" t="s">
        <v>9</v>
      </c>
      <c r="E561" s="5">
        <v>2500</v>
      </c>
      <c r="F561" s="5">
        <v>2500</v>
      </c>
      <c r="G561" s="5">
        <v>1750</v>
      </c>
      <c r="H561" s="4"/>
      <c r="I561" s="4" t="s">
        <v>158</v>
      </c>
      <c r="J561" s="4" t="s">
        <v>460</v>
      </c>
      <c r="K561" s="4" t="s">
        <v>11</v>
      </c>
      <c r="L561" s="4" t="s">
        <v>141</v>
      </c>
    </row>
    <row r="562" spans="1:12">
      <c r="A562" s="3">
        <v>44613.915289351855</v>
      </c>
      <c r="B562" s="4">
        <v>289315562</v>
      </c>
      <c r="C562" s="4" t="s">
        <v>478</v>
      </c>
      <c r="D562" s="4" t="s">
        <v>9</v>
      </c>
      <c r="E562" s="5">
        <v>3000</v>
      </c>
      <c r="F562" s="5">
        <v>3000</v>
      </c>
      <c r="G562" s="5">
        <v>2100</v>
      </c>
      <c r="H562" s="4"/>
      <c r="I562" s="4" t="s">
        <v>454</v>
      </c>
      <c r="J562" s="4" t="s">
        <v>460</v>
      </c>
      <c r="K562" s="4" t="s">
        <v>11</v>
      </c>
      <c r="L562" s="4" t="s">
        <v>397</v>
      </c>
    </row>
    <row r="563" spans="1:12">
      <c r="A563" s="3">
        <v>44613.918032407404</v>
      </c>
      <c r="B563" s="4">
        <v>289315562</v>
      </c>
      <c r="C563" s="4" t="s">
        <v>478</v>
      </c>
      <c r="D563" s="4" t="s">
        <v>9</v>
      </c>
      <c r="E563" s="5">
        <v>3000</v>
      </c>
      <c r="F563" s="5">
        <v>3000</v>
      </c>
      <c r="G563" s="5">
        <v>2100</v>
      </c>
      <c r="H563" s="4"/>
      <c r="I563" s="4" t="s">
        <v>454</v>
      </c>
      <c r="J563" s="4" t="s">
        <v>460</v>
      </c>
      <c r="K563" s="4" t="s">
        <v>11</v>
      </c>
      <c r="L563" s="4" t="s">
        <v>397</v>
      </c>
    </row>
    <row r="564" spans="1:12">
      <c r="A564" s="3">
        <v>44613.920428240737</v>
      </c>
      <c r="B564" s="4">
        <v>286405921</v>
      </c>
      <c r="C564" s="4" t="s">
        <v>245</v>
      </c>
      <c r="D564" s="4" t="s">
        <v>9</v>
      </c>
      <c r="E564" s="5">
        <v>2500</v>
      </c>
      <c r="F564" s="5">
        <v>2500</v>
      </c>
      <c r="G564" s="5">
        <v>1750</v>
      </c>
      <c r="H564" s="4"/>
      <c r="I564" s="4" t="s">
        <v>221</v>
      </c>
      <c r="J564" s="4" t="s">
        <v>460</v>
      </c>
      <c r="K564" s="4" t="s">
        <v>11</v>
      </c>
      <c r="L564" s="4" t="s">
        <v>137</v>
      </c>
    </row>
    <row r="565" spans="1:12">
      <c r="A565" s="3">
        <v>44613.921851851854</v>
      </c>
      <c r="B565" s="4">
        <v>287834730</v>
      </c>
      <c r="C565" s="4" t="s">
        <v>275</v>
      </c>
      <c r="D565" s="4" t="s">
        <v>9</v>
      </c>
      <c r="E565" s="5">
        <v>2000</v>
      </c>
      <c r="F565" s="5">
        <v>2000</v>
      </c>
      <c r="G565" s="5">
        <v>1400</v>
      </c>
      <c r="H565" s="4"/>
      <c r="I565" s="4" t="s">
        <v>169</v>
      </c>
      <c r="J565" s="4" t="s">
        <v>460</v>
      </c>
      <c r="K565" s="4" t="s">
        <v>11</v>
      </c>
      <c r="L565" s="4" t="s">
        <v>206</v>
      </c>
    </row>
    <row r="566" spans="1:12">
      <c r="A566" s="3">
        <v>44613.9296412037</v>
      </c>
      <c r="B566" s="4">
        <v>289315562</v>
      </c>
      <c r="C566" s="4" t="s">
        <v>478</v>
      </c>
      <c r="D566" s="4" t="s">
        <v>9</v>
      </c>
      <c r="E566" s="5">
        <v>3000</v>
      </c>
      <c r="F566" s="5">
        <v>3000</v>
      </c>
      <c r="G566" s="5">
        <v>2100</v>
      </c>
      <c r="H566" s="4"/>
      <c r="I566" s="4" t="s">
        <v>454</v>
      </c>
      <c r="J566" s="4" t="s">
        <v>460</v>
      </c>
      <c r="K566" s="4" t="s">
        <v>11</v>
      </c>
      <c r="L566" s="4" t="s">
        <v>397</v>
      </c>
    </row>
    <row r="567" spans="1:12">
      <c r="A567" s="3">
        <v>44613.931400462963</v>
      </c>
      <c r="B567" s="4">
        <v>289315562</v>
      </c>
      <c r="C567" s="4" t="s">
        <v>478</v>
      </c>
      <c r="D567" s="4" t="s">
        <v>9</v>
      </c>
      <c r="E567" s="5">
        <v>3000</v>
      </c>
      <c r="F567" s="5">
        <v>3000</v>
      </c>
      <c r="G567" s="5">
        <v>2100</v>
      </c>
      <c r="H567" s="4"/>
      <c r="I567" s="4" t="s">
        <v>454</v>
      </c>
      <c r="J567" s="4" t="s">
        <v>460</v>
      </c>
      <c r="K567" s="4" t="s">
        <v>11</v>
      </c>
      <c r="L567" s="4" t="s">
        <v>397</v>
      </c>
    </row>
    <row r="568" spans="1:12">
      <c r="A568" s="3">
        <v>44613.976446759261</v>
      </c>
      <c r="B568" s="4">
        <v>289315562</v>
      </c>
      <c r="C568" s="4" t="s">
        <v>478</v>
      </c>
      <c r="D568" s="4" t="s">
        <v>9</v>
      </c>
      <c r="E568" s="5">
        <v>3000</v>
      </c>
      <c r="F568" s="5">
        <v>3000</v>
      </c>
      <c r="G568" s="5">
        <v>2100</v>
      </c>
      <c r="H568" s="4"/>
      <c r="I568" s="4" t="s">
        <v>454</v>
      </c>
      <c r="J568" s="4" t="s">
        <v>460</v>
      </c>
      <c r="K568" s="4" t="s">
        <v>11</v>
      </c>
      <c r="L568" s="4" t="s">
        <v>397</v>
      </c>
    </row>
    <row r="569" spans="1:12">
      <c r="A569" s="3">
        <v>44613.980439814812</v>
      </c>
      <c r="B569" s="4">
        <v>289315562</v>
      </c>
      <c r="C569" s="4" t="s">
        <v>478</v>
      </c>
      <c r="D569" s="4" t="s">
        <v>9</v>
      </c>
      <c r="E569" s="5">
        <v>3000</v>
      </c>
      <c r="F569" s="5">
        <v>3000</v>
      </c>
      <c r="G569" s="5">
        <v>2100</v>
      </c>
      <c r="H569" s="4"/>
      <c r="I569" s="4" t="s">
        <v>454</v>
      </c>
      <c r="J569" s="4" t="s">
        <v>460</v>
      </c>
      <c r="K569" s="4" t="s">
        <v>11</v>
      </c>
      <c r="L569" s="4" t="s">
        <v>397</v>
      </c>
    </row>
    <row r="570" spans="1:12">
      <c r="A570" s="3">
        <v>44613.983622685184</v>
      </c>
      <c r="B570" s="4">
        <v>289315562</v>
      </c>
      <c r="C570" s="4" t="s">
        <v>478</v>
      </c>
      <c r="D570" s="4" t="s">
        <v>9</v>
      </c>
      <c r="E570" s="5">
        <v>3000</v>
      </c>
      <c r="F570" s="5">
        <v>3000</v>
      </c>
      <c r="G570" s="5">
        <v>2100</v>
      </c>
      <c r="H570" s="4"/>
      <c r="I570" s="4" t="s">
        <v>454</v>
      </c>
      <c r="J570" s="4" t="s">
        <v>460</v>
      </c>
      <c r="K570" s="4" t="s">
        <v>11</v>
      </c>
      <c r="L570" s="4" t="s">
        <v>397</v>
      </c>
    </row>
    <row r="571" spans="1:12">
      <c r="A571" s="3">
        <v>44613.986898148149</v>
      </c>
      <c r="B571" s="4">
        <v>287834730</v>
      </c>
      <c r="C571" s="4" t="s">
        <v>275</v>
      </c>
      <c r="D571" s="4" t="s">
        <v>9</v>
      </c>
      <c r="E571" s="5">
        <v>2000</v>
      </c>
      <c r="F571" s="5">
        <v>2000</v>
      </c>
      <c r="G571" s="5">
        <v>1400</v>
      </c>
      <c r="H571" s="4"/>
      <c r="I571" s="4" t="s">
        <v>169</v>
      </c>
      <c r="J571" s="4" t="s">
        <v>460</v>
      </c>
      <c r="K571" s="4" t="s">
        <v>11</v>
      </c>
      <c r="L571" s="4" t="s">
        <v>206</v>
      </c>
    </row>
    <row r="572" spans="1:12">
      <c r="A572" s="3">
        <v>44613.996840277781</v>
      </c>
      <c r="B572" s="4">
        <v>289315562</v>
      </c>
      <c r="C572" s="4" t="s">
        <v>478</v>
      </c>
      <c r="D572" s="4" t="s">
        <v>9</v>
      </c>
      <c r="E572" s="5">
        <v>3000</v>
      </c>
      <c r="F572" s="5">
        <v>3000</v>
      </c>
      <c r="G572" s="5">
        <v>2100</v>
      </c>
      <c r="H572" s="4"/>
      <c r="I572" s="4" t="s">
        <v>454</v>
      </c>
      <c r="J572" s="4" t="s">
        <v>460</v>
      </c>
      <c r="K572" s="4" t="s">
        <v>11</v>
      </c>
      <c r="L572" s="4" t="s">
        <v>397</v>
      </c>
    </row>
    <row r="573" spans="1:12">
      <c r="A573" s="3">
        <v>44614.003946759258</v>
      </c>
      <c r="B573" s="4">
        <v>289315562</v>
      </c>
      <c r="C573" s="4" t="s">
        <v>478</v>
      </c>
      <c r="D573" s="4" t="s">
        <v>9</v>
      </c>
      <c r="E573" s="5">
        <v>3000</v>
      </c>
      <c r="F573" s="5">
        <v>3000</v>
      </c>
      <c r="G573" s="5">
        <v>2100</v>
      </c>
      <c r="H573" s="4"/>
      <c r="I573" s="4" t="s">
        <v>454</v>
      </c>
      <c r="J573" s="4" t="s">
        <v>460</v>
      </c>
      <c r="K573" s="4" t="s">
        <v>11</v>
      </c>
      <c r="L573" s="4" t="s">
        <v>397</v>
      </c>
    </row>
    <row r="574" spans="1:12">
      <c r="A574" s="3">
        <v>44614.090208333335</v>
      </c>
      <c r="B574" s="4">
        <v>287834730</v>
      </c>
      <c r="C574" s="4" t="s">
        <v>275</v>
      </c>
      <c r="D574" s="4" t="s">
        <v>9</v>
      </c>
      <c r="E574" s="5">
        <v>2000</v>
      </c>
      <c r="F574" s="5">
        <v>2000</v>
      </c>
      <c r="G574" s="5">
        <v>1400</v>
      </c>
      <c r="H574" s="4"/>
      <c r="I574" s="4" t="s">
        <v>169</v>
      </c>
      <c r="J574" s="4" t="s">
        <v>460</v>
      </c>
      <c r="K574" s="4" t="s">
        <v>11</v>
      </c>
      <c r="L574" s="4" t="s">
        <v>206</v>
      </c>
    </row>
    <row r="575" spans="1:12">
      <c r="A575" s="3">
        <v>44614.110254629632</v>
      </c>
      <c r="B575" s="4">
        <v>289315562</v>
      </c>
      <c r="C575" s="4" t="s">
        <v>478</v>
      </c>
      <c r="D575" s="4" t="s">
        <v>9</v>
      </c>
      <c r="E575" s="5">
        <v>3000</v>
      </c>
      <c r="F575" s="5">
        <v>3000</v>
      </c>
      <c r="G575" s="5">
        <v>2100</v>
      </c>
      <c r="H575" s="4"/>
      <c r="I575" s="4" t="s">
        <v>454</v>
      </c>
      <c r="J575" s="4" t="s">
        <v>460</v>
      </c>
      <c r="K575" s="4" t="s">
        <v>11</v>
      </c>
      <c r="L575" s="4" t="s">
        <v>397</v>
      </c>
    </row>
    <row r="576" spans="1:12">
      <c r="A576" s="3">
        <v>44614.160925925928</v>
      </c>
      <c r="B576" s="4">
        <v>286896672</v>
      </c>
      <c r="C576" s="4" t="s">
        <v>248</v>
      </c>
      <c r="D576" s="4" t="s">
        <v>9</v>
      </c>
      <c r="E576" s="5">
        <v>2500</v>
      </c>
      <c r="F576" s="5">
        <v>2500</v>
      </c>
      <c r="G576" s="5">
        <v>1750</v>
      </c>
      <c r="H576" s="4"/>
      <c r="I576" s="4" t="s">
        <v>158</v>
      </c>
      <c r="J576" s="4" t="s">
        <v>460</v>
      </c>
      <c r="K576" s="4" t="s">
        <v>11</v>
      </c>
      <c r="L576" s="4" t="s">
        <v>141</v>
      </c>
    </row>
    <row r="577" spans="1:12">
      <c r="A577" s="3">
        <v>44614.294282407405</v>
      </c>
      <c r="B577" s="4">
        <v>287834730</v>
      </c>
      <c r="C577" s="4" t="s">
        <v>275</v>
      </c>
      <c r="D577" s="4" t="s">
        <v>9</v>
      </c>
      <c r="E577" s="5">
        <v>2000</v>
      </c>
      <c r="F577" s="5">
        <v>2000</v>
      </c>
      <c r="G577" s="5">
        <v>1400</v>
      </c>
      <c r="H577" s="4"/>
      <c r="I577" s="4" t="s">
        <v>169</v>
      </c>
      <c r="J577" s="4" t="s">
        <v>460</v>
      </c>
      <c r="K577" s="4" t="s">
        <v>11</v>
      </c>
      <c r="L577" s="4" t="s">
        <v>206</v>
      </c>
    </row>
    <row r="578" spans="1:12">
      <c r="A578" s="3">
        <v>44614.295729166668</v>
      </c>
      <c r="B578" s="4">
        <v>287834730</v>
      </c>
      <c r="C578" s="4" t="s">
        <v>275</v>
      </c>
      <c r="D578" s="4" t="s">
        <v>9</v>
      </c>
      <c r="E578" s="5">
        <v>2000</v>
      </c>
      <c r="F578" s="5">
        <v>2000</v>
      </c>
      <c r="G578" s="5">
        <v>1400</v>
      </c>
      <c r="H578" s="4"/>
      <c r="I578" s="4" t="s">
        <v>169</v>
      </c>
      <c r="J578" s="4" t="s">
        <v>460</v>
      </c>
      <c r="K578" s="4" t="s">
        <v>11</v>
      </c>
      <c r="L578" s="4" t="s">
        <v>206</v>
      </c>
    </row>
    <row r="579" spans="1:12">
      <c r="A579" s="3">
        <v>44614.405034722222</v>
      </c>
      <c r="B579" s="4">
        <v>289315562</v>
      </c>
      <c r="C579" s="4" t="s">
        <v>478</v>
      </c>
      <c r="D579" s="4" t="s">
        <v>9</v>
      </c>
      <c r="E579" s="5">
        <v>3000</v>
      </c>
      <c r="F579" s="5">
        <v>3000</v>
      </c>
      <c r="G579" s="5">
        <v>2100</v>
      </c>
      <c r="H579" s="4"/>
      <c r="I579" s="4" t="s">
        <v>454</v>
      </c>
      <c r="J579" s="4" t="s">
        <v>460</v>
      </c>
      <c r="K579" s="4" t="s">
        <v>11</v>
      </c>
      <c r="L579" s="4" t="s">
        <v>397</v>
      </c>
    </row>
    <row r="580" spans="1:12">
      <c r="A580" s="3">
        <v>44614.417743055557</v>
      </c>
      <c r="B580" s="4">
        <v>287834730</v>
      </c>
      <c r="C580" s="4" t="s">
        <v>275</v>
      </c>
      <c r="D580" s="4" t="s">
        <v>9</v>
      </c>
      <c r="E580" s="5">
        <v>2000</v>
      </c>
      <c r="F580" s="5">
        <v>2000</v>
      </c>
      <c r="G580" s="5">
        <v>1400</v>
      </c>
      <c r="H580" s="4"/>
      <c r="I580" s="4" t="s">
        <v>169</v>
      </c>
      <c r="J580" s="4" t="s">
        <v>460</v>
      </c>
      <c r="K580" s="4" t="s">
        <v>11</v>
      </c>
      <c r="L580" s="4" t="s">
        <v>206</v>
      </c>
    </row>
    <row r="581" spans="1:12">
      <c r="A581" s="3">
        <v>44614.424062500002</v>
      </c>
      <c r="B581" s="4">
        <v>287834730</v>
      </c>
      <c r="C581" s="4" t="s">
        <v>275</v>
      </c>
      <c r="D581" s="4" t="s">
        <v>9</v>
      </c>
      <c r="E581" s="5">
        <v>-2000</v>
      </c>
      <c r="F581" s="5">
        <v>-2000</v>
      </c>
      <c r="G581" s="5">
        <v>-1400</v>
      </c>
      <c r="H581" s="3">
        <v>44614.417743055557</v>
      </c>
      <c r="I581" s="4" t="s">
        <v>169</v>
      </c>
      <c r="J581" s="4" t="s">
        <v>460</v>
      </c>
      <c r="K581" s="4" t="s">
        <v>11</v>
      </c>
      <c r="L581" s="4" t="s">
        <v>206</v>
      </c>
    </row>
    <row r="582" spans="1:12">
      <c r="A582" s="3">
        <v>44614.433958333335</v>
      </c>
      <c r="B582" s="4">
        <v>289315562</v>
      </c>
      <c r="C582" s="4" t="s">
        <v>478</v>
      </c>
      <c r="D582" s="4" t="s">
        <v>9</v>
      </c>
      <c r="E582" s="5">
        <v>3000</v>
      </c>
      <c r="F582" s="5">
        <v>3000</v>
      </c>
      <c r="G582" s="5">
        <v>2100</v>
      </c>
      <c r="H582" s="4"/>
      <c r="I582" s="4" t="s">
        <v>454</v>
      </c>
      <c r="J582" s="4" t="s">
        <v>460</v>
      </c>
      <c r="K582" s="4" t="s">
        <v>11</v>
      </c>
      <c r="L582" s="4" t="s">
        <v>397</v>
      </c>
    </row>
    <row r="583" spans="1:12">
      <c r="A583" s="3">
        <v>44614.434988425928</v>
      </c>
      <c r="B583" s="4">
        <v>289315562</v>
      </c>
      <c r="C583" s="4" t="s">
        <v>478</v>
      </c>
      <c r="D583" s="4" t="s">
        <v>9</v>
      </c>
      <c r="E583" s="5">
        <v>3000</v>
      </c>
      <c r="F583" s="5">
        <v>3000</v>
      </c>
      <c r="G583" s="5">
        <v>2100</v>
      </c>
      <c r="H583" s="4"/>
      <c r="I583" s="4" t="s">
        <v>454</v>
      </c>
      <c r="J583" s="4" t="s">
        <v>460</v>
      </c>
      <c r="K583" s="4" t="s">
        <v>11</v>
      </c>
      <c r="L583" s="4" t="s">
        <v>397</v>
      </c>
    </row>
    <row r="584" spans="1:12">
      <c r="A584" s="3">
        <v>44614.437789351854</v>
      </c>
      <c r="B584" s="4">
        <v>287366429</v>
      </c>
      <c r="C584" s="4" t="s">
        <v>225</v>
      </c>
      <c r="D584" s="4" t="s">
        <v>9</v>
      </c>
      <c r="E584" s="5">
        <v>2000</v>
      </c>
      <c r="F584" s="5">
        <v>2000</v>
      </c>
      <c r="G584" s="5">
        <v>1400</v>
      </c>
      <c r="H584" s="4"/>
      <c r="I584" s="4" t="s">
        <v>166</v>
      </c>
      <c r="J584" s="4" t="s">
        <v>460</v>
      </c>
      <c r="K584" s="4" t="s">
        <v>11</v>
      </c>
      <c r="L584" s="4" t="s">
        <v>152</v>
      </c>
    </row>
    <row r="585" spans="1:12">
      <c r="A585" s="3">
        <v>44614.449953703705</v>
      </c>
      <c r="B585" s="4">
        <v>287834730</v>
      </c>
      <c r="C585" s="4" t="s">
        <v>275</v>
      </c>
      <c r="D585" s="4" t="s">
        <v>9</v>
      </c>
      <c r="E585" s="5">
        <v>2000</v>
      </c>
      <c r="F585" s="5">
        <v>2000</v>
      </c>
      <c r="G585" s="5">
        <v>1400</v>
      </c>
      <c r="H585" s="4"/>
      <c r="I585" s="4" t="s">
        <v>169</v>
      </c>
      <c r="J585" s="4" t="s">
        <v>460</v>
      </c>
      <c r="K585" s="4" t="s">
        <v>11</v>
      </c>
      <c r="L585" s="4" t="s">
        <v>206</v>
      </c>
    </row>
    <row r="586" spans="1:12">
      <c r="A586" s="3">
        <v>44614.512141203704</v>
      </c>
      <c r="B586" s="4">
        <v>288829883</v>
      </c>
      <c r="C586" s="4" t="s">
        <v>476</v>
      </c>
      <c r="D586" s="4" t="s">
        <v>9</v>
      </c>
      <c r="E586" s="5">
        <v>2000</v>
      </c>
      <c r="F586" s="5">
        <v>2000</v>
      </c>
      <c r="G586" s="5">
        <v>1400</v>
      </c>
      <c r="H586" s="4"/>
      <c r="I586" s="4" t="s">
        <v>552</v>
      </c>
      <c r="J586" s="4" t="s">
        <v>460</v>
      </c>
      <c r="K586" s="4" t="s">
        <v>11</v>
      </c>
      <c r="L586" s="4" t="s">
        <v>378</v>
      </c>
    </row>
    <row r="587" spans="1:12">
      <c r="A587" s="3">
        <v>44614.534594907411</v>
      </c>
      <c r="B587" s="4">
        <v>287834730</v>
      </c>
      <c r="C587" s="4" t="s">
        <v>275</v>
      </c>
      <c r="D587" s="4" t="s">
        <v>9</v>
      </c>
      <c r="E587" s="5">
        <v>2000</v>
      </c>
      <c r="F587" s="5">
        <v>2000</v>
      </c>
      <c r="G587" s="5">
        <v>1400</v>
      </c>
      <c r="H587" s="4"/>
      <c r="I587" s="4" t="s">
        <v>169</v>
      </c>
      <c r="J587" s="4" t="s">
        <v>460</v>
      </c>
      <c r="K587" s="4" t="s">
        <v>11</v>
      </c>
      <c r="L587" s="4" t="s">
        <v>206</v>
      </c>
    </row>
    <row r="588" spans="1:12">
      <c r="A588" s="3">
        <v>44614.556956018518</v>
      </c>
      <c r="B588" s="4">
        <v>287834730</v>
      </c>
      <c r="C588" s="4" t="s">
        <v>275</v>
      </c>
      <c r="D588" s="4" t="s">
        <v>9</v>
      </c>
      <c r="E588" s="5">
        <v>2000</v>
      </c>
      <c r="F588" s="5">
        <v>2000</v>
      </c>
      <c r="G588" s="5">
        <v>1400</v>
      </c>
      <c r="H588" s="4"/>
      <c r="I588" s="4" t="s">
        <v>169</v>
      </c>
      <c r="J588" s="4" t="s">
        <v>460</v>
      </c>
      <c r="K588" s="4" t="s">
        <v>11</v>
      </c>
      <c r="L588" s="4" t="s">
        <v>206</v>
      </c>
    </row>
    <row r="589" spans="1:12">
      <c r="A589" s="3">
        <v>44614.596412037034</v>
      </c>
      <c r="B589" s="4">
        <v>289315562</v>
      </c>
      <c r="C589" s="4" t="s">
        <v>478</v>
      </c>
      <c r="D589" s="4" t="s">
        <v>9</v>
      </c>
      <c r="E589" s="5">
        <v>3000</v>
      </c>
      <c r="F589" s="5">
        <v>3000</v>
      </c>
      <c r="G589" s="5">
        <v>2100</v>
      </c>
      <c r="H589" s="4"/>
      <c r="I589" s="4" t="s">
        <v>454</v>
      </c>
      <c r="J589" s="4" t="s">
        <v>460</v>
      </c>
      <c r="K589" s="4" t="s">
        <v>11</v>
      </c>
      <c r="L589" s="4" t="s">
        <v>397</v>
      </c>
    </row>
    <row r="590" spans="1:12">
      <c r="A590" s="3">
        <v>44614.603009259263</v>
      </c>
      <c r="B590" s="4">
        <v>287834730</v>
      </c>
      <c r="C590" s="4" t="s">
        <v>275</v>
      </c>
      <c r="D590" s="4" t="s">
        <v>9</v>
      </c>
      <c r="E590" s="5">
        <v>2000</v>
      </c>
      <c r="F590" s="5">
        <v>2000</v>
      </c>
      <c r="G590" s="5">
        <v>1400</v>
      </c>
      <c r="H590" s="4"/>
      <c r="I590" s="4" t="s">
        <v>169</v>
      </c>
      <c r="J590" s="4" t="s">
        <v>460</v>
      </c>
      <c r="K590" s="4" t="s">
        <v>11</v>
      </c>
      <c r="L590" s="4" t="s">
        <v>206</v>
      </c>
    </row>
    <row r="591" spans="1:12">
      <c r="A591" s="3">
        <v>44614.629791666666</v>
      </c>
      <c r="B591" s="4">
        <v>289315562</v>
      </c>
      <c r="C591" s="4" t="s">
        <v>478</v>
      </c>
      <c r="D591" s="4" t="s">
        <v>9</v>
      </c>
      <c r="E591" s="5">
        <v>3000</v>
      </c>
      <c r="F591" s="5">
        <v>3000</v>
      </c>
      <c r="G591" s="5">
        <v>2100</v>
      </c>
      <c r="H591" s="4"/>
      <c r="I591" s="4" t="s">
        <v>454</v>
      </c>
      <c r="J591" s="4" t="s">
        <v>460</v>
      </c>
      <c r="K591" s="4" t="s">
        <v>11</v>
      </c>
      <c r="L591" s="4" t="s">
        <v>397</v>
      </c>
    </row>
    <row r="592" spans="1:12">
      <c r="A592" s="3">
        <v>44614.630277777775</v>
      </c>
      <c r="B592" s="4">
        <v>287834730</v>
      </c>
      <c r="C592" s="4" t="s">
        <v>275</v>
      </c>
      <c r="D592" s="4" t="s">
        <v>9</v>
      </c>
      <c r="E592" s="5">
        <v>2000</v>
      </c>
      <c r="F592" s="5">
        <v>2000</v>
      </c>
      <c r="G592" s="5">
        <v>1400</v>
      </c>
      <c r="H592" s="4"/>
      <c r="I592" s="4" t="s">
        <v>169</v>
      </c>
      <c r="J592" s="4" t="s">
        <v>460</v>
      </c>
      <c r="K592" s="4" t="s">
        <v>11</v>
      </c>
      <c r="L592" s="4" t="s">
        <v>206</v>
      </c>
    </row>
    <row r="593" spans="1:12">
      <c r="A593" s="3">
        <v>44614.645219907405</v>
      </c>
      <c r="B593" s="4">
        <v>286896672</v>
      </c>
      <c r="C593" s="4" t="s">
        <v>248</v>
      </c>
      <c r="D593" s="4" t="s">
        <v>9</v>
      </c>
      <c r="E593" s="5">
        <v>2500</v>
      </c>
      <c r="F593" s="5">
        <v>2500</v>
      </c>
      <c r="G593" s="5">
        <v>1750</v>
      </c>
      <c r="H593" s="4"/>
      <c r="I593" s="4" t="s">
        <v>158</v>
      </c>
      <c r="J593" s="4" t="s">
        <v>460</v>
      </c>
      <c r="K593" s="4" t="s">
        <v>11</v>
      </c>
      <c r="L593" s="4" t="s">
        <v>141</v>
      </c>
    </row>
    <row r="594" spans="1:12">
      <c r="A594" s="3">
        <v>44614.67765046296</v>
      </c>
      <c r="B594" s="4">
        <v>289315562</v>
      </c>
      <c r="C594" s="4" t="s">
        <v>478</v>
      </c>
      <c r="D594" s="4" t="s">
        <v>9</v>
      </c>
      <c r="E594" s="5">
        <v>3000</v>
      </c>
      <c r="F594" s="5">
        <v>3000</v>
      </c>
      <c r="G594" s="5">
        <v>2100</v>
      </c>
      <c r="H594" s="4"/>
      <c r="I594" s="4" t="s">
        <v>454</v>
      </c>
      <c r="J594" s="4" t="s">
        <v>460</v>
      </c>
      <c r="K594" s="4" t="s">
        <v>11</v>
      </c>
      <c r="L594" s="4" t="s">
        <v>397</v>
      </c>
    </row>
    <row r="595" spans="1:12">
      <c r="A595" s="3">
        <v>44614.678379629629</v>
      </c>
      <c r="B595" s="4">
        <v>289315562</v>
      </c>
      <c r="C595" s="4" t="s">
        <v>478</v>
      </c>
      <c r="D595" s="4" t="s">
        <v>9</v>
      </c>
      <c r="E595" s="5">
        <v>3000</v>
      </c>
      <c r="F595" s="5">
        <v>3000</v>
      </c>
      <c r="G595" s="5">
        <v>2100</v>
      </c>
      <c r="H595" s="4"/>
      <c r="I595" s="4" t="s">
        <v>454</v>
      </c>
      <c r="J595" s="4" t="s">
        <v>460</v>
      </c>
      <c r="K595" s="4" t="s">
        <v>11</v>
      </c>
      <c r="L595" s="4" t="s">
        <v>397</v>
      </c>
    </row>
    <row r="596" spans="1:12">
      <c r="A596" s="3">
        <v>44614.690868055557</v>
      </c>
      <c r="B596" s="4">
        <v>289315562</v>
      </c>
      <c r="C596" s="4" t="s">
        <v>478</v>
      </c>
      <c r="D596" s="4" t="s">
        <v>9</v>
      </c>
      <c r="E596" s="5">
        <v>3000</v>
      </c>
      <c r="F596" s="5">
        <v>3000</v>
      </c>
      <c r="G596" s="5">
        <v>2100</v>
      </c>
      <c r="H596" s="4"/>
      <c r="I596" s="4" t="s">
        <v>454</v>
      </c>
      <c r="J596" s="4" t="s">
        <v>460</v>
      </c>
      <c r="K596" s="4" t="s">
        <v>11</v>
      </c>
      <c r="L596" s="4" t="s">
        <v>397</v>
      </c>
    </row>
    <row r="597" spans="1:12">
      <c r="A597" s="3">
        <v>44614.793020833335</v>
      </c>
      <c r="B597" s="4">
        <v>286896672</v>
      </c>
      <c r="C597" s="4" t="s">
        <v>248</v>
      </c>
      <c r="D597" s="4" t="s">
        <v>9</v>
      </c>
      <c r="E597" s="5">
        <v>2500</v>
      </c>
      <c r="F597" s="5">
        <v>2500</v>
      </c>
      <c r="G597" s="5">
        <v>1750</v>
      </c>
      <c r="H597" s="4"/>
      <c r="I597" s="4" t="s">
        <v>158</v>
      </c>
      <c r="J597" s="4" t="s">
        <v>460</v>
      </c>
      <c r="K597" s="4" t="s">
        <v>11</v>
      </c>
      <c r="L597" s="4" t="s">
        <v>141</v>
      </c>
    </row>
    <row r="598" spans="1:12">
      <c r="A598" s="3">
        <v>44614.80263888889</v>
      </c>
      <c r="B598" s="4">
        <v>286896672</v>
      </c>
      <c r="C598" s="4" t="s">
        <v>248</v>
      </c>
      <c r="D598" s="4" t="s">
        <v>9</v>
      </c>
      <c r="E598" s="5">
        <v>2500</v>
      </c>
      <c r="F598" s="5">
        <v>2500</v>
      </c>
      <c r="G598" s="5">
        <v>1750</v>
      </c>
      <c r="H598" s="4"/>
      <c r="I598" s="4" t="s">
        <v>158</v>
      </c>
      <c r="J598" s="4" t="s">
        <v>460</v>
      </c>
      <c r="K598" s="4" t="s">
        <v>11</v>
      </c>
      <c r="L598" s="4" t="s">
        <v>141</v>
      </c>
    </row>
    <row r="599" spans="1:12">
      <c r="A599" s="3">
        <v>44614.818668981483</v>
      </c>
      <c r="B599" s="4">
        <v>288284536</v>
      </c>
      <c r="C599" s="4" t="s">
        <v>466</v>
      </c>
      <c r="D599" s="4" t="s">
        <v>9</v>
      </c>
      <c r="E599" s="5">
        <v>2000</v>
      </c>
      <c r="F599" s="5">
        <v>2000</v>
      </c>
      <c r="G599" s="5">
        <v>1400</v>
      </c>
      <c r="H599" s="4"/>
      <c r="I599" s="4" t="s">
        <v>448</v>
      </c>
      <c r="J599" s="4" t="s">
        <v>460</v>
      </c>
      <c r="K599" s="4" t="s">
        <v>11</v>
      </c>
      <c r="L599" s="4" t="s">
        <v>344</v>
      </c>
    </row>
    <row r="600" spans="1:12">
      <c r="A600" s="3">
        <v>44614.823391203703</v>
      </c>
      <c r="B600" s="4">
        <v>287834730</v>
      </c>
      <c r="C600" s="4" t="s">
        <v>275</v>
      </c>
      <c r="D600" s="4" t="s">
        <v>9</v>
      </c>
      <c r="E600" s="5">
        <v>2000</v>
      </c>
      <c r="F600" s="5">
        <v>2000</v>
      </c>
      <c r="G600" s="5">
        <v>1400</v>
      </c>
      <c r="H600" s="4"/>
      <c r="I600" s="4" t="s">
        <v>169</v>
      </c>
      <c r="J600" s="4" t="s">
        <v>460</v>
      </c>
      <c r="K600" s="4" t="s">
        <v>11</v>
      </c>
      <c r="L600" s="4" t="s">
        <v>206</v>
      </c>
    </row>
    <row r="601" spans="1:12">
      <c r="A601" s="3">
        <v>44614.823680555557</v>
      </c>
      <c r="B601" s="4">
        <v>289315562</v>
      </c>
      <c r="C601" s="4" t="s">
        <v>478</v>
      </c>
      <c r="D601" s="4" t="s">
        <v>9</v>
      </c>
      <c r="E601" s="5">
        <v>3000</v>
      </c>
      <c r="F601" s="5">
        <v>3000</v>
      </c>
      <c r="G601" s="5">
        <v>2100</v>
      </c>
      <c r="H601" s="4"/>
      <c r="I601" s="4" t="s">
        <v>454</v>
      </c>
      <c r="J601" s="4" t="s">
        <v>460</v>
      </c>
      <c r="K601" s="4" t="s">
        <v>11</v>
      </c>
      <c r="L601" s="4" t="s">
        <v>397</v>
      </c>
    </row>
    <row r="602" spans="1:12">
      <c r="A602" s="3">
        <v>44614.844618055555</v>
      </c>
      <c r="B602" s="4">
        <v>287834730</v>
      </c>
      <c r="C602" s="4" t="s">
        <v>275</v>
      </c>
      <c r="D602" s="4" t="s">
        <v>9</v>
      </c>
      <c r="E602" s="5">
        <v>2000</v>
      </c>
      <c r="F602" s="5">
        <v>2000</v>
      </c>
      <c r="G602" s="5">
        <v>1400</v>
      </c>
      <c r="H602" s="4"/>
      <c r="I602" s="4" t="s">
        <v>169</v>
      </c>
      <c r="J602" s="4" t="s">
        <v>460</v>
      </c>
      <c r="K602" s="4" t="s">
        <v>11</v>
      </c>
      <c r="L602" s="4" t="s">
        <v>206</v>
      </c>
    </row>
    <row r="603" spans="1:12">
      <c r="A603" s="3">
        <v>44614.888703703706</v>
      </c>
      <c r="B603" s="4">
        <v>289315562</v>
      </c>
      <c r="C603" s="4" t="s">
        <v>478</v>
      </c>
      <c r="D603" s="4" t="s">
        <v>9</v>
      </c>
      <c r="E603" s="5">
        <v>3000</v>
      </c>
      <c r="F603" s="5">
        <v>3000</v>
      </c>
      <c r="G603" s="5">
        <v>2100</v>
      </c>
      <c r="H603" s="4"/>
      <c r="I603" s="4" t="s">
        <v>454</v>
      </c>
      <c r="J603" s="4" t="s">
        <v>460</v>
      </c>
      <c r="K603" s="4" t="s">
        <v>11</v>
      </c>
      <c r="L603" s="4" t="s">
        <v>397</v>
      </c>
    </row>
    <row r="604" spans="1:12">
      <c r="A604" s="3">
        <v>44614.892546296294</v>
      </c>
      <c r="B604" s="4">
        <v>289315562</v>
      </c>
      <c r="C604" s="4" t="s">
        <v>478</v>
      </c>
      <c r="D604" s="4" t="s">
        <v>9</v>
      </c>
      <c r="E604" s="5">
        <v>3000</v>
      </c>
      <c r="F604" s="5">
        <v>3000</v>
      </c>
      <c r="G604" s="5">
        <v>2100</v>
      </c>
      <c r="H604" s="4"/>
      <c r="I604" s="4" t="s">
        <v>454</v>
      </c>
      <c r="J604" s="4" t="s">
        <v>460</v>
      </c>
      <c r="K604" s="4" t="s">
        <v>11</v>
      </c>
      <c r="L604" s="4" t="s">
        <v>397</v>
      </c>
    </row>
    <row r="605" spans="1:12">
      <c r="A605" s="3">
        <v>44614.893136574072</v>
      </c>
      <c r="B605" s="4">
        <v>289315562</v>
      </c>
      <c r="C605" s="4" t="s">
        <v>478</v>
      </c>
      <c r="D605" s="4" t="s">
        <v>9</v>
      </c>
      <c r="E605" s="5">
        <v>-3000</v>
      </c>
      <c r="F605" s="5">
        <v>-3000</v>
      </c>
      <c r="G605" s="5">
        <v>-2100</v>
      </c>
      <c r="H605" s="3">
        <v>44614.892546296294</v>
      </c>
      <c r="I605" s="4" t="s">
        <v>454</v>
      </c>
      <c r="J605" s="4" t="s">
        <v>460</v>
      </c>
      <c r="K605" s="4" t="s">
        <v>11</v>
      </c>
      <c r="L605" s="4" t="s">
        <v>397</v>
      </c>
    </row>
    <row r="606" spans="1:12">
      <c r="A606" s="3">
        <v>44614.893564814818</v>
      </c>
      <c r="B606" s="4">
        <v>289315562</v>
      </c>
      <c r="C606" s="4" t="s">
        <v>478</v>
      </c>
      <c r="D606" s="4" t="s">
        <v>9</v>
      </c>
      <c r="E606" s="5">
        <v>3000</v>
      </c>
      <c r="F606" s="5">
        <v>3000</v>
      </c>
      <c r="G606" s="5">
        <v>2100</v>
      </c>
      <c r="H606" s="4"/>
      <c r="I606" s="4" t="s">
        <v>454</v>
      </c>
      <c r="J606" s="4" t="s">
        <v>460</v>
      </c>
      <c r="K606" s="4" t="s">
        <v>11</v>
      </c>
      <c r="L606" s="4" t="s">
        <v>397</v>
      </c>
    </row>
    <row r="607" spans="1:12">
      <c r="A607" s="3">
        <v>44614.909791666665</v>
      </c>
      <c r="B607" s="4">
        <v>287834730</v>
      </c>
      <c r="C607" s="4" t="s">
        <v>275</v>
      </c>
      <c r="D607" s="4" t="s">
        <v>9</v>
      </c>
      <c r="E607" s="5">
        <v>2000</v>
      </c>
      <c r="F607" s="5">
        <v>2000</v>
      </c>
      <c r="G607" s="5">
        <v>1400</v>
      </c>
      <c r="H607" s="4"/>
      <c r="I607" s="4" t="s">
        <v>169</v>
      </c>
      <c r="J607" s="4" t="s">
        <v>460</v>
      </c>
      <c r="K607" s="4" t="s">
        <v>11</v>
      </c>
      <c r="L607" s="4" t="s">
        <v>206</v>
      </c>
    </row>
    <row r="608" spans="1:12">
      <c r="A608" s="3">
        <v>44614.919664351852</v>
      </c>
      <c r="B608" s="4">
        <v>289315562</v>
      </c>
      <c r="C608" s="4" t="s">
        <v>478</v>
      </c>
      <c r="D608" s="4" t="s">
        <v>9</v>
      </c>
      <c r="E608" s="5">
        <v>3000</v>
      </c>
      <c r="F608" s="5">
        <v>3000</v>
      </c>
      <c r="G608" s="5">
        <v>2100</v>
      </c>
      <c r="H608" s="4"/>
      <c r="I608" s="4" t="s">
        <v>454</v>
      </c>
      <c r="J608" s="4" t="s">
        <v>460</v>
      </c>
      <c r="K608" s="4" t="s">
        <v>11</v>
      </c>
      <c r="L608" s="4" t="s">
        <v>397</v>
      </c>
    </row>
    <row r="609" spans="1:12">
      <c r="A609" s="3">
        <v>44614.922615740739</v>
      </c>
      <c r="B609" s="4">
        <v>287834730</v>
      </c>
      <c r="C609" s="4" t="s">
        <v>275</v>
      </c>
      <c r="D609" s="4" t="s">
        <v>9</v>
      </c>
      <c r="E609" s="5">
        <v>2000</v>
      </c>
      <c r="F609" s="5">
        <v>2000</v>
      </c>
      <c r="G609" s="5">
        <v>1400</v>
      </c>
      <c r="H609" s="4"/>
      <c r="I609" s="4" t="s">
        <v>169</v>
      </c>
      <c r="J609" s="4" t="s">
        <v>460</v>
      </c>
      <c r="K609" s="4" t="s">
        <v>11</v>
      </c>
      <c r="L609" s="4" t="s">
        <v>206</v>
      </c>
    </row>
    <row r="610" spans="1:12">
      <c r="A610" s="3">
        <v>44614.932106481479</v>
      </c>
      <c r="B610" s="4">
        <v>286896672</v>
      </c>
      <c r="C610" s="4" t="s">
        <v>248</v>
      </c>
      <c r="D610" s="4" t="s">
        <v>9</v>
      </c>
      <c r="E610" s="5">
        <v>2500</v>
      </c>
      <c r="F610" s="5">
        <v>2500</v>
      </c>
      <c r="G610" s="5">
        <v>1750</v>
      </c>
      <c r="H610" s="4"/>
      <c r="I610" s="4" t="s">
        <v>158</v>
      </c>
      <c r="J610" s="4" t="s">
        <v>460</v>
      </c>
      <c r="K610" s="4" t="s">
        <v>11</v>
      </c>
      <c r="L610" s="4" t="s">
        <v>141</v>
      </c>
    </row>
    <row r="611" spans="1:12">
      <c r="A611" s="3">
        <v>44614.936412037037</v>
      </c>
      <c r="B611" s="4">
        <v>289315562</v>
      </c>
      <c r="C611" s="4" t="s">
        <v>478</v>
      </c>
      <c r="D611" s="4" t="s">
        <v>9</v>
      </c>
      <c r="E611" s="5">
        <v>3000</v>
      </c>
      <c r="F611" s="5">
        <v>3000</v>
      </c>
      <c r="G611" s="5">
        <v>2100</v>
      </c>
      <c r="H611" s="4"/>
      <c r="I611" s="4" t="s">
        <v>454</v>
      </c>
      <c r="J611" s="4" t="s">
        <v>460</v>
      </c>
      <c r="K611" s="4" t="s">
        <v>11</v>
      </c>
      <c r="L611" s="4" t="s">
        <v>397</v>
      </c>
    </row>
    <row r="612" spans="1:12">
      <c r="A612" s="3">
        <v>44614.942326388889</v>
      </c>
      <c r="B612" s="4">
        <v>289315562</v>
      </c>
      <c r="C612" s="4" t="s">
        <v>478</v>
      </c>
      <c r="D612" s="4" t="s">
        <v>9</v>
      </c>
      <c r="E612" s="5">
        <v>3000</v>
      </c>
      <c r="F612" s="5">
        <v>3000</v>
      </c>
      <c r="G612" s="5">
        <v>2100</v>
      </c>
      <c r="H612" s="4"/>
      <c r="I612" s="4" t="s">
        <v>454</v>
      </c>
      <c r="J612" s="4" t="s">
        <v>460</v>
      </c>
      <c r="K612" s="4" t="s">
        <v>11</v>
      </c>
      <c r="L612" s="4" t="s">
        <v>397</v>
      </c>
    </row>
    <row r="613" spans="1:12">
      <c r="A613" s="3">
        <v>44614.952939814815</v>
      </c>
      <c r="B613" s="4">
        <v>286755913</v>
      </c>
      <c r="C613" s="4" t="s">
        <v>222</v>
      </c>
      <c r="D613" s="4" t="s">
        <v>9</v>
      </c>
      <c r="E613" s="5">
        <v>2000</v>
      </c>
      <c r="F613" s="5">
        <v>2000</v>
      </c>
      <c r="G613" s="5">
        <v>1400</v>
      </c>
      <c r="H613" s="4"/>
      <c r="I613" s="4" t="s">
        <v>159</v>
      </c>
      <c r="J613" s="4" t="s">
        <v>460</v>
      </c>
      <c r="K613" s="4" t="s">
        <v>11</v>
      </c>
      <c r="L613" s="4" t="s">
        <v>144</v>
      </c>
    </row>
    <row r="614" spans="1:12">
      <c r="A614" s="3">
        <v>44614.959166666667</v>
      </c>
      <c r="B614" s="4">
        <v>289315562</v>
      </c>
      <c r="C614" s="4" t="s">
        <v>478</v>
      </c>
      <c r="D614" s="4" t="s">
        <v>9</v>
      </c>
      <c r="E614" s="5">
        <v>3000</v>
      </c>
      <c r="F614" s="5">
        <v>3000</v>
      </c>
      <c r="G614" s="5">
        <v>2100</v>
      </c>
      <c r="H614" s="4"/>
      <c r="I614" s="4" t="s">
        <v>454</v>
      </c>
      <c r="J614" s="4" t="s">
        <v>460</v>
      </c>
      <c r="K614" s="4" t="s">
        <v>11</v>
      </c>
      <c r="L614" s="4" t="s">
        <v>397</v>
      </c>
    </row>
    <row r="615" spans="1:12">
      <c r="A615" s="3">
        <v>44614.964386574073</v>
      </c>
      <c r="B615" s="4">
        <v>287834730</v>
      </c>
      <c r="C615" s="4" t="s">
        <v>275</v>
      </c>
      <c r="D615" s="4" t="s">
        <v>9</v>
      </c>
      <c r="E615" s="5">
        <v>2000</v>
      </c>
      <c r="F615" s="5">
        <v>2000</v>
      </c>
      <c r="G615" s="5">
        <v>1400</v>
      </c>
      <c r="H615" s="4"/>
      <c r="I615" s="4" t="s">
        <v>169</v>
      </c>
      <c r="J615" s="4" t="s">
        <v>460</v>
      </c>
      <c r="K615" s="4" t="s">
        <v>11</v>
      </c>
      <c r="L615" s="4" t="s">
        <v>206</v>
      </c>
    </row>
    <row r="616" spans="1:12">
      <c r="A616" s="3">
        <v>44614.978148148148</v>
      </c>
      <c r="B616" s="4">
        <v>287834730</v>
      </c>
      <c r="C616" s="4" t="s">
        <v>275</v>
      </c>
      <c r="D616" s="4" t="s">
        <v>9</v>
      </c>
      <c r="E616" s="5">
        <v>2000</v>
      </c>
      <c r="F616" s="5">
        <v>2000</v>
      </c>
      <c r="G616" s="5">
        <v>1400</v>
      </c>
      <c r="H616" s="4"/>
      <c r="I616" s="4" t="s">
        <v>169</v>
      </c>
      <c r="J616" s="4" t="s">
        <v>460</v>
      </c>
      <c r="K616" s="4" t="s">
        <v>11</v>
      </c>
      <c r="L616" s="4" t="s">
        <v>206</v>
      </c>
    </row>
    <row r="617" spans="1:12">
      <c r="A617" s="3">
        <v>44614.987199074072</v>
      </c>
      <c r="B617" s="4">
        <v>288676933</v>
      </c>
      <c r="C617" s="4" t="s">
        <v>451</v>
      </c>
      <c r="D617" s="4" t="s">
        <v>9</v>
      </c>
      <c r="E617" s="5">
        <v>2500</v>
      </c>
      <c r="F617" s="5">
        <v>2500</v>
      </c>
      <c r="G617" s="5">
        <v>1750</v>
      </c>
      <c r="H617" s="4"/>
      <c r="I617" s="4" t="s">
        <v>450</v>
      </c>
      <c r="J617" s="4" t="s">
        <v>460</v>
      </c>
      <c r="K617" s="4" t="s">
        <v>11</v>
      </c>
      <c r="L617" s="4" t="s">
        <v>371</v>
      </c>
    </row>
    <row r="618" spans="1:12">
      <c r="A618" s="3">
        <v>44614.989363425928</v>
      </c>
      <c r="B618" s="4">
        <v>288829883</v>
      </c>
      <c r="C618" s="4" t="s">
        <v>476</v>
      </c>
      <c r="D618" s="4" t="s">
        <v>9</v>
      </c>
      <c r="E618" s="5">
        <v>2000</v>
      </c>
      <c r="F618" s="5">
        <v>2000</v>
      </c>
      <c r="G618" s="5">
        <v>1400</v>
      </c>
      <c r="H618" s="4"/>
      <c r="I618" s="4" t="s">
        <v>552</v>
      </c>
      <c r="J618" s="4" t="s">
        <v>460</v>
      </c>
      <c r="K618" s="4" t="s">
        <v>11</v>
      </c>
      <c r="L618" s="4" t="s">
        <v>378</v>
      </c>
    </row>
    <row r="619" spans="1:12">
      <c r="A619" s="3">
        <v>44614.998611111114</v>
      </c>
      <c r="B619" s="4">
        <v>289315562</v>
      </c>
      <c r="C619" s="4" t="s">
        <v>478</v>
      </c>
      <c r="D619" s="4" t="s">
        <v>9</v>
      </c>
      <c r="E619" s="5">
        <v>3000</v>
      </c>
      <c r="F619" s="5">
        <v>3000</v>
      </c>
      <c r="G619" s="5">
        <v>2100</v>
      </c>
      <c r="H619" s="4"/>
      <c r="I619" s="4" t="s">
        <v>454</v>
      </c>
      <c r="J619" s="4" t="s">
        <v>460</v>
      </c>
      <c r="K619" s="4" t="s">
        <v>11</v>
      </c>
      <c r="L619" s="4" t="s">
        <v>397</v>
      </c>
    </row>
    <row r="620" spans="1:12">
      <c r="A620" s="3">
        <v>44615.011956018519</v>
      </c>
      <c r="B620" s="4">
        <v>287834730</v>
      </c>
      <c r="C620" s="4" t="s">
        <v>275</v>
      </c>
      <c r="D620" s="4" t="s">
        <v>9</v>
      </c>
      <c r="E620" s="5">
        <v>2000</v>
      </c>
      <c r="F620" s="5">
        <v>2000</v>
      </c>
      <c r="G620" s="5">
        <v>1400</v>
      </c>
      <c r="H620" s="4"/>
      <c r="I620" s="4" t="s">
        <v>169</v>
      </c>
      <c r="J620" s="4" t="s">
        <v>460</v>
      </c>
      <c r="K620" s="4" t="s">
        <v>11</v>
      </c>
      <c r="L620" s="4" t="s">
        <v>206</v>
      </c>
    </row>
    <row r="621" spans="1:12">
      <c r="A621" s="3">
        <v>44615.019537037035</v>
      </c>
      <c r="B621" s="4">
        <v>289315562</v>
      </c>
      <c r="C621" s="4" t="s">
        <v>478</v>
      </c>
      <c r="D621" s="4" t="s">
        <v>9</v>
      </c>
      <c r="E621" s="5">
        <v>3000</v>
      </c>
      <c r="F621" s="5">
        <v>3000</v>
      </c>
      <c r="G621" s="5">
        <v>2100</v>
      </c>
      <c r="H621" s="4"/>
      <c r="I621" s="4" t="s">
        <v>454</v>
      </c>
      <c r="J621" s="4" t="s">
        <v>460</v>
      </c>
      <c r="K621" s="4" t="s">
        <v>11</v>
      </c>
      <c r="L621" s="4" t="s">
        <v>397</v>
      </c>
    </row>
    <row r="622" spans="1:12">
      <c r="A622" s="3">
        <v>44615.026377314818</v>
      </c>
      <c r="B622" s="4">
        <v>289315562</v>
      </c>
      <c r="C622" s="4" t="s">
        <v>478</v>
      </c>
      <c r="D622" s="4" t="s">
        <v>9</v>
      </c>
      <c r="E622" s="5">
        <v>3000</v>
      </c>
      <c r="F622" s="5">
        <v>3000</v>
      </c>
      <c r="G622" s="5">
        <v>2100</v>
      </c>
      <c r="H622" s="4"/>
      <c r="I622" s="4" t="s">
        <v>454</v>
      </c>
      <c r="J622" s="4" t="s">
        <v>460</v>
      </c>
      <c r="K622" s="4" t="s">
        <v>11</v>
      </c>
      <c r="L622" s="4" t="s">
        <v>397</v>
      </c>
    </row>
    <row r="623" spans="1:12">
      <c r="A623" s="3">
        <v>44615.060844907406</v>
      </c>
      <c r="B623" s="4">
        <v>289315562</v>
      </c>
      <c r="C623" s="4" t="s">
        <v>478</v>
      </c>
      <c r="D623" s="4" t="s">
        <v>9</v>
      </c>
      <c r="E623" s="5">
        <v>3000</v>
      </c>
      <c r="F623" s="5">
        <v>3000</v>
      </c>
      <c r="G623" s="5">
        <v>2100</v>
      </c>
      <c r="H623" s="4"/>
      <c r="I623" s="4" t="s">
        <v>454</v>
      </c>
      <c r="J623" s="4" t="s">
        <v>460</v>
      </c>
      <c r="K623" s="4" t="s">
        <v>11</v>
      </c>
      <c r="L623" s="4" t="s">
        <v>397</v>
      </c>
    </row>
    <row r="624" spans="1:12">
      <c r="A624" s="3">
        <v>44615.090856481482</v>
      </c>
      <c r="B624" s="4">
        <v>287834730</v>
      </c>
      <c r="C624" s="4" t="s">
        <v>275</v>
      </c>
      <c r="D624" s="4" t="s">
        <v>9</v>
      </c>
      <c r="E624" s="5">
        <v>2000</v>
      </c>
      <c r="F624" s="5">
        <v>2000</v>
      </c>
      <c r="G624" s="5">
        <v>1400</v>
      </c>
      <c r="H624" s="4"/>
      <c r="I624" s="4" t="s">
        <v>169</v>
      </c>
      <c r="J624" s="4" t="s">
        <v>460</v>
      </c>
      <c r="K624" s="4" t="s">
        <v>11</v>
      </c>
      <c r="L624" s="4" t="s">
        <v>206</v>
      </c>
    </row>
    <row r="625" spans="1:12">
      <c r="A625" s="3">
        <v>44615.090902777774</v>
      </c>
      <c r="B625" s="4">
        <v>289315562</v>
      </c>
      <c r="C625" s="4" t="s">
        <v>478</v>
      </c>
      <c r="D625" s="4" t="s">
        <v>9</v>
      </c>
      <c r="E625" s="5">
        <v>3000</v>
      </c>
      <c r="F625" s="5">
        <v>3000</v>
      </c>
      <c r="G625" s="5">
        <v>2100</v>
      </c>
      <c r="H625" s="4"/>
      <c r="I625" s="4" t="s">
        <v>454</v>
      </c>
      <c r="J625" s="4" t="s">
        <v>460</v>
      </c>
      <c r="K625" s="4" t="s">
        <v>11</v>
      </c>
      <c r="L625" s="4" t="s">
        <v>397</v>
      </c>
    </row>
    <row r="626" spans="1:12">
      <c r="A626" s="3">
        <v>44615.207094907404</v>
      </c>
      <c r="B626" s="4">
        <v>287834730</v>
      </c>
      <c r="C626" s="4" t="s">
        <v>275</v>
      </c>
      <c r="D626" s="4" t="s">
        <v>9</v>
      </c>
      <c r="E626" s="5">
        <v>2000</v>
      </c>
      <c r="F626" s="5">
        <v>2000</v>
      </c>
      <c r="G626" s="5">
        <v>1400</v>
      </c>
      <c r="H626" s="4"/>
      <c r="I626" s="4" t="s">
        <v>169</v>
      </c>
      <c r="J626" s="4" t="s">
        <v>460</v>
      </c>
      <c r="K626" s="4" t="s">
        <v>11</v>
      </c>
      <c r="L626" s="4" t="s">
        <v>206</v>
      </c>
    </row>
    <row r="627" spans="1:12">
      <c r="A627" s="3">
        <v>44615.329918981479</v>
      </c>
      <c r="B627" s="4">
        <v>287834730</v>
      </c>
      <c r="C627" s="4" t="s">
        <v>275</v>
      </c>
      <c r="D627" s="4" t="s">
        <v>9</v>
      </c>
      <c r="E627" s="5">
        <v>2000</v>
      </c>
      <c r="F627" s="5">
        <v>2000</v>
      </c>
      <c r="G627" s="5">
        <v>1400</v>
      </c>
      <c r="H627" s="4"/>
      <c r="I627" s="4" t="s">
        <v>169</v>
      </c>
      <c r="J627" s="4" t="s">
        <v>460</v>
      </c>
      <c r="K627" s="4" t="s">
        <v>11</v>
      </c>
      <c r="L627" s="4" t="s">
        <v>206</v>
      </c>
    </row>
    <row r="628" spans="1:12">
      <c r="A628" s="3">
        <v>44615.344537037039</v>
      </c>
      <c r="B628" s="4">
        <v>289315562</v>
      </c>
      <c r="C628" s="4" t="s">
        <v>478</v>
      </c>
      <c r="D628" s="4" t="s">
        <v>9</v>
      </c>
      <c r="E628" s="5">
        <v>3000</v>
      </c>
      <c r="F628" s="5">
        <v>3000</v>
      </c>
      <c r="G628" s="5">
        <v>2100</v>
      </c>
      <c r="H628" s="4"/>
      <c r="I628" s="4" t="s">
        <v>454</v>
      </c>
      <c r="J628" s="4" t="s">
        <v>460</v>
      </c>
      <c r="K628" s="4" t="s">
        <v>11</v>
      </c>
      <c r="L628" s="4" t="s">
        <v>397</v>
      </c>
    </row>
    <row r="629" spans="1:12">
      <c r="A629" s="3">
        <v>44615.380162037036</v>
      </c>
      <c r="B629" s="4">
        <v>289315562</v>
      </c>
      <c r="C629" s="4" t="s">
        <v>478</v>
      </c>
      <c r="D629" s="4" t="s">
        <v>9</v>
      </c>
      <c r="E629" s="5">
        <v>3000</v>
      </c>
      <c r="F629" s="5">
        <v>3000</v>
      </c>
      <c r="G629" s="5">
        <v>2100</v>
      </c>
      <c r="H629" s="4"/>
      <c r="I629" s="4" t="s">
        <v>454</v>
      </c>
      <c r="J629" s="4" t="s">
        <v>460</v>
      </c>
      <c r="K629" s="4" t="s">
        <v>11</v>
      </c>
      <c r="L629" s="4" t="s">
        <v>397</v>
      </c>
    </row>
    <row r="630" spans="1:12">
      <c r="A630" s="3">
        <v>44615.390381944446</v>
      </c>
      <c r="B630" s="4">
        <v>287834730</v>
      </c>
      <c r="C630" s="4" t="s">
        <v>275</v>
      </c>
      <c r="D630" s="4" t="s">
        <v>9</v>
      </c>
      <c r="E630" s="5">
        <v>2000</v>
      </c>
      <c r="F630" s="5">
        <v>2000</v>
      </c>
      <c r="G630" s="5">
        <v>1400</v>
      </c>
      <c r="H630" s="4"/>
      <c r="I630" s="4" t="s">
        <v>169</v>
      </c>
      <c r="J630" s="4" t="s">
        <v>460</v>
      </c>
      <c r="K630" s="4" t="s">
        <v>11</v>
      </c>
      <c r="L630" s="4" t="s">
        <v>206</v>
      </c>
    </row>
    <row r="631" spans="1:12">
      <c r="A631" s="3">
        <v>44615.390381944446</v>
      </c>
      <c r="B631" s="4">
        <v>287086652</v>
      </c>
      <c r="C631" s="4" t="s">
        <v>220</v>
      </c>
      <c r="D631" s="4" t="s">
        <v>9</v>
      </c>
      <c r="E631" s="5">
        <v>2000</v>
      </c>
      <c r="F631" s="5">
        <v>2000</v>
      </c>
      <c r="G631" s="5">
        <v>1400</v>
      </c>
      <c r="H631" s="4"/>
      <c r="I631" s="4" t="s">
        <v>162</v>
      </c>
      <c r="J631" s="4" t="s">
        <v>460</v>
      </c>
      <c r="K631" s="4" t="s">
        <v>11</v>
      </c>
      <c r="L631" s="4" t="s">
        <v>150</v>
      </c>
    </row>
    <row r="632" spans="1:12">
      <c r="A632" s="3">
        <v>44615.477812500001</v>
      </c>
      <c r="B632" s="4">
        <v>287834730</v>
      </c>
      <c r="C632" s="4" t="s">
        <v>275</v>
      </c>
      <c r="D632" s="4" t="s">
        <v>9</v>
      </c>
      <c r="E632" s="5">
        <v>2000</v>
      </c>
      <c r="F632" s="5">
        <v>2000</v>
      </c>
      <c r="G632" s="5">
        <v>1400</v>
      </c>
      <c r="H632" s="4"/>
      <c r="I632" s="4" t="s">
        <v>169</v>
      </c>
      <c r="J632" s="4" t="s">
        <v>460</v>
      </c>
      <c r="K632" s="4" t="s">
        <v>11</v>
      </c>
      <c r="L632" s="4" t="s">
        <v>206</v>
      </c>
    </row>
    <row r="633" spans="1:12">
      <c r="A633" s="3">
        <v>44615.510115740741</v>
      </c>
      <c r="B633" s="4">
        <v>287834730</v>
      </c>
      <c r="C633" s="4" t="s">
        <v>275</v>
      </c>
      <c r="D633" s="4" t="s">
        <v>9</v>
      </c>
      <c r="E633" s="5">
        <v>-2000</v>
      </c>
      <c r="F633" s="5">
        <v>-2000</v>
      </c>
      <c r="G633" s="5">
        <v>-1400</v>
      </c>
      <c r="H633" s="3">
        <v>44615.477812500001</v>
      </c>
      <c r="I633" s="4" t="s">
        <v>169</v>
      </c>
      <c r="J633" s="4" t="s">
        <v>460</v>
      </c>
      <c r="K633" s="4" t="s">
        <v>11</v>
      </c>
      <c r="L633" s="4" t="s">
        <v>206</v>
      </c>
    </row>
    <row r="634" spans="1:12">
      <c r="A634" s="3">
        <v>44615.539687500001</v>
      </c>
      <c r="B634" s="4">
        <v>289315562</v>
      </c>
      <c r="C634" s="4" t="s">
        <v>478</v>
      </c>
      <c r="D634" s="4" t="s">
        <v>9</v>
      </c>
      <c r="E634" s="5">
        <v>3000</v>
      </c>
      <c r="F634" s="5">
        <v>3000</v>
      </c>
      <c r="G634" s="5">
        <v>2100</v>
      </c>
      <c r="H634" s="4"/>
      <c r="I634" s="4" t="s">
        <v>454</v>
      </c>
      <c r="J634" s="4" t="s">
        <v>460</v>
      </c>
      <c r="K634" s="4" t="s">
        <v>11</v>
      </c>
      <c r="L634" s="4" t="s">
        <v>397</v>
      </c>
    </row>
    <row r="635" spans="1:12">
      <c r="A635" s="3">
        <v>44615.544259259259</v>
      </c>
      <c r="B635" s="4">
        <v>287086652</v>
      </c>
      <c r="C635" s="4" t="s">
        <v>220</v>
      </c>
      <c r="D635" s="4" t="s">
        <v>9</v>
      </c>
      <c r="E635" s="5">
        <v>2000</v>
      </c>
      <c r="F635" s="5">
        <v>2000</v>
      </c>
      <c r="G635" s="5">
        <v>1400</v>
      </c>
      <c r="H635" s="4"/>
      <c r="I635" s="4" t="s">
        <v>162</v>
      </c>
      <c r="J635" s="4" t="s">
        <v>460</v>
      </c>
      <c r="K635" s="4" t="s">
        <v>11</v>
      </c>
      <c r="L635" s="4" t="s">
        <v>150</v>
      </c>
    </row>
    <row r="636" spans="1:12">
      <c r="A636" s="3">
        <v>44615.553067129629</v>
      </c>
      <c r="B636" s="4">
        <v>289315562</v>
      </c>
      <c r="C636" s="4" t="s">
        <v>478</v>
      </c>
      <c r="D636" s="4" t="s">
        <v>9</v>
      </c>
      <c r="E636" s="5">
        <v>3000</v>
      </c>
      <c r="F636" s="5">
        <v>3000</v>
      </c>
      <c r="G636" s="5">
        <v>2100</v>
      </c>
      <c r="H636" s="4"/>
      <c r="I636" s="4" t="s">
        <v>454</v>
      </c>
      <c r="J636" s="4" t="s">
        <v>460</v>
      </c>
      <c r="K636" s="4" t="s">
        <v>11</v>
      </c>
      <c r="L636" s="4" t="s">
        <v>397</v>
      </c>
    </row>
    <row r="637" spans="1:12">
      <c r="A637" s="3">
        <v>44615.598333333335</v>
      </c>
      <c r="B637" s="4">
        <v>289315562</v>
      </c>
      <c r="C637" s="4" t="s">
        <v>478</v>
      </c>
      <c r="D637" s="4" t="s">
        <v>9</v>
      </c>
      <c r="E637" s="5">
        <v>3000</v>
      </c>
      <c r="F637" s="5">
        <v>3000</v>
      </c>
      <c r="G637" s="5">
        <v>2100</v>
      </c>
      <c r="H637" s="4"/>
      <c r="I637" s="4" t="s">
        <v>454</v>
      </c>
      <c r="J637" s="4" t="s">
        <v>460</v>
      </c>
      <c r="K637" s="4" t="s">
        <v>11</v>
      </c>
      <c r="L637" s="4" t="s">
        <v>397</v>
      </c>
    </row>
    <row r="638" spans="1:12">
      <c r="A638" s="3">
        <v>44615.604305555556</v>
      </c>
      <c r="B638" s="4">
        <v>289315562</v>
      </c>
      <c r="C638" s="4" t="s">
        <v>478</v>
      </c>
      <c r="D638" s="4" t="s">
        <v>9</v>
      </c>
      <c r="E638" s="5">
        <v>3000</v>
      </c>
      <c r="F638" s="5">
        <v>3000</v>
      </c>
      <c r="G638" s="5">
        <v>2100</v>
      </c>
      <c r="H638" s="4"/>
      <c r="I638" s="4" t="s">
        <v>454</v>
      </c>
      <c r="J638" s="4" t="s">
        <v>460</v>
      </c>
      <c r="K638" s="4" t="s">
        <v>11</v>
      </c>
      <c r="L638" s="4" t="s">
        <v>397</v>
      </c>
    </row>
    <row r="639" spans="1:12">
      <c r="A639" s="3">
        <v>44615.606377314813</v>
      </c>
      <c r="B639" s="4">
        <v>287834730</v>
      </c>
      <c r="C639" s="4" t="s">
        <v>275</v>
      </c>
      <c r="D639" s="4" t="s">
        <v>9</v>
      </c>
      <c r="E639" s="5">
        <v>2000</v>
      </c>
      <c r="F639" s="5">
        <v>2000</v>
      </c>
      <c r="G639" s="5">
        <v>1400</v>
      </c>
      <c r="H639" s="4"/>
      <c r="I639" s="4" t="s">
        <v>169</v>
      </c>
      <c r="J639" s="4" t="s">
        <v>460</v>
      </c>
      <c r="K639" s="4" t="s">
        <v>11</v>
      </c>
      <c r="L639" s="4" t="s">
        <v>206</v>
      </c>
    </row>
    <row r="640" spans="1:12">
      <c r="A640" s="3">
        <v>44615.606562499997</v>
      </c>
      <c r="B640" s="4">
        <v>286405921</v>
      </c>
      <c r="C640" s="4" t="s">
        <v>245</v>
      </c>
      <c r="D640" s="4" t="s">
        <v>9</v>
      </c>
      <c r="E640" s="5">
        <v>2500</v>
      </c>
      <c r="F640" s="5">
        <v>2500</v>
      </c>
      <c r="G640" s="5">
        <v>1750</v>
      </c>
      <c r="H640" s="4"/>
      <c r="I640" s="4" t="s">
        <v>221</v>
      </c>
      <c r="J640" s="4" t="s">
        <v>460</v>
      </c>
      <c r="K640" s="4" t="s">
        <v>11</v>
      </c>
      <c r="L640" s="4" t="s">
        <v>137</v>
      </c>
    </row>
    <row r="641" spans="1:12">
      <c r="A641" s="3">
        <v>44615.619027777779</v>
      </c>
      <c r="B641" s="4">
        <v>289315562</v>
      </c>
      <c r="C641" s="4" t="s">
        <v>478</v>
      </c>
      <c r="D641" s="4" t="s">
        <v>9</v>
      </c>
      <c r="E641" s="5">
        <v>3000</v>
      </c>
      <c r="F641" s="5">
        <v>3000</v>
      </c>
      <c r="G641" s="5">
        <v>2100</v>
      </c>
      <c r="H641" s="4"/>
      <c r="I641" s="4" t="s">
        <v>454</v>
      </c>
      <c r="J641" s="4" t="s">
        <v>460</v>
      </c>
      <c r="K641" s="4" t="s">
        <v>11</v>
      </c>
      <c r="L641" s="4" t="s">
        <v>397</v>
      </c>
    </row>
    <row r="642" spans="1:12">
      <c r="A642" s="3">
        <v>44615.625162037039</v>
      </c>
      <c r="B642" s="4">
        <v>287834730</v>
      </c>
      <c r="C642" s="4" t="s">
        <v>275</v>
      </c>
      <c r="D642" s="4" t="s">
        <v>9</v>
      </c>
      <c r="E642" s="5">
        <v>2000</v>
      </c>
      <c r="F642" s="5">
        <v>2000</v>
      </c>
      <c r="G642" s="5">
        <v>1400</v>
      </c>
      <c r="H642" s="4"/>
      <c r="I642" s="4" t="s">
        <v>169</v>
      </c>
      <c r="J642" s="4" t="s">
        <v>460</v>
      </c>
      <c r="K642" s="4" t="s">
        <v>11</v>
      </c>
      <c r="L642" s="4" t="s">
        <v>206</v>
      </c>
    </row>
    <row r="643" spans="1:12">
      <c r="A643" s="3">
        <v>44615.692280092589</v>
      </c>
      <c r="B643" s="4">
        <v>289315562</v>
      </c>
      <c r="C643" s="4" t="s">
        <v>478</v>
      </c>
      <c r="D643" s="4" t="s">
        <v>9</v>
      </c>
      <c r="E643" s="5">
        <v>3000</v>
      </c>
      <c r="F643" s="5">
        <v>3000</v>
      </c>
      <c r="G643" s="5">
        <v>2100</v>
      </c>
      <c r="H643" s="4"/>
      <c r="I643" s="4" t="s">
        <v>454</v>
      </c>
      <c r="J643" s="4" t="s">
        <v>460</v>
      </c>
      <c r="K643" s="4" t="s">
        <v>11</v>
      </c>
      <c r="L643" s="4" t="s">
        <v>397</v>
      </c>
    </row>
    <row r="644" spans="1:12">
      <c r="A644" s="3">
        <v>44615.706145833334</v>
      </c>
      <c r="B644" s="4">
        <v>287834730</v>
      </c>
      <c r="C644" s="4" t="s">
        <v>275</v>
      </c>
      <c r="D644" s="4" t="s">
        <v>9</v>
      </c>
      <c r="E644" s="5">
        <v>2000</v>
      </c>
      <c r="F644" s="5">
        <v>2000</v>
      </c>
      <c r="G644" s="5">
        <v>1400</v>
      </c>
      <c r="H644" s="4"/>
      <c r="I644" s="4" t="s">
        <v>169</v>
      </c>
      <c r="J644" s="4" t="s">
        <v>460</v>
      </c>
      <c r="K644" s="4" t="s">
        <v>11</v>
      </c>
      <c r="L644" s="4" t="s">
        <v>206</v>
      </c>
    </row>
    <row r="645" spans="1:12">
      <c r="A645" s="3">
        <v>44615.745625000003</v>
      </c>
      <c r="B645" s="4">
        <v>289315562</v>
      </c>
      <c r="C645" s="4" t="s">
        <v>478</v>
      </c>
      <c r="D645" s="4" t="s">
        <v>9</v>
      </c>
      <c r="E645" s="5">
        <v>3000</v>
      </c>
      <c r="F645" s="5">
        <v>3000</v>
      </c>
      <c r="G645" s="5">
        <v>2100</v>
      </c>
      <c r="H645" s="4"/>
      <c r="I645" s="4" t="s">
        <v>454</v>
      </c>
      <c r="J645" s="4" t="s">
        <v>460</v>
      </c>
      <c r="K645" s="4" t="s">
        <v>11</v>
      </c>
      <c r="L645" s="4" t="s">
        <v>397</v>
      </c>
    </row>
    <row r="646" spans="1:12">
      <c r="A646" s="3">
        <v>44615.753460648149</v>
      </c>
      <c r="B646" s="4">
        <v>289315562</v>
      </c>
      <c r="C646" s="4" t="s">
        <v>478</v>
      </c>
      <c r="D646" s="4" t="s">
        <v>9</v>
      </c>
      <c r="E646" s="5">
        <v>3000</v>
      </c>
      <c r="F646" s="5">
        <v>3000</v>
      </c>
      <c r="G646" s="5">
        <v>2100</v>
      </c>
      <c r="H646" s="4"/>
      <c r="I646" s="4" t="s">
        <v>454</v>
      </c>
      <c r="J646" s="4" t="s">
        <v>460</v>
      </c>
      <c r="K646" s="4" t="s">
        <v>11</v>
      </c>
      <c r="L646" s="4" t="s">
        <v>397</v>
      </c>
    </row>
    <row r="647" spans="1:12">
      <c r="A647" s="3">
        <v>44615.758217592593</v>
      </c>
      <c r="B647" s="4">
        <v>289315562</v>
      </c>
      <c r="C647" s="4" t="s">
        <v>478</v>
      </c>
      <c r="D647" s="4" t="s">
        <v>9</v>
      </c>
      <c r="E647" s="5">
        <v>3000</v>
      </c>
      <c r="F647" s="5">
        <v>3000</v>
      </c>
      <c r="G647" s="5">
        <v>2100</v>
      </c>
      <c r="H647" s="4"/>
      <c r="I647" s="4" t="s">
        <v>454</v>
      </c>
      <c r="J647" s="4" t="s">
        <v>460</v>
      </c>
      <c r="K647" s="4" t="s">
        <v>11</v>
      </c>
      <c r="L647" s="4" t="s">
        <v>397</v>
      </c>
    </row>
    <row r="648" spans="1:12">
      <c r="A648" s="3">
        <v>44615.780752314815</v>
      </c>
      <c r="B648" s="4">
        <v>289315562</v>
      </c>
      <c r="C648" s="4" t="s">
        <v>478</v>
      </c>
      <c r="D648" s="4" t="s">
        <v>9</v>
      </c>
      <c r="E648" s="5">
        <v>3000</v>
      </c>
      <c r="F648" s="5">
        <v>3000</v>
      </c>
      <c r="G648" s="5">
        <v>2100</v>
      </c>
      <c r="H648" s="4"/>
      <c r="I648" s="4" t="s">
        <v>454</v>
      </c>
      <c r="J648" s="4" t="s">
        <v>460</v>
      </c>
      <c r="K648" s="4" t="s">
        <v>11</v>
      </c>
      <c r="L648" s="4" t="s">
        <v>397</v>
      </c>
    </row>
    <row r="649" spans="1:12">
      <c r="A649" s="3">
        <v>44615.811574074076</v>
      </c>
      <c r="B649" s="4">
        <v>289315562</v>
      </c>
      <c r="C649" s="4" t="s">
        <v>478</v>
      </c>
      <c r="D649" s="4" t="s">
        <v>9</v>
      </c>
      <c r="E649" s="5">
        <v>3000</v>
      </c>
      <c r="F649" s="5">
        <v>3000</v>
      </c>
      <c r="G649" s="5">
        <v>2100</v>
      </c>
      <c r="H649" s="4"/>
      <c r="I649" s="4" t="s">
        <v>454</v>
      </c>
      <c r="J649" s="4" t="s">
        <v>460</v>
      </c>
      <c r="K649" s="4" t="s">
        <v>11</v>
      </c>
      <c r="L649" s="4" t="s">
        <v>397</v>
      </c>
    </row>
    <row r="650" spans="1:12">
      <c r="A650" s="3">
        <v>44615.831516203703</v>
      </c>
      <c r="B650" s="4">
        <v>289315562</v>
      </c>
      <c r="C650" s="4" t="s">
        <v>478</v>
      </c>
      <c r="D650" s="4" t="s">
        <v>9</v>
      </c>
      <c r="E650" s="5">
        <v>3000</v>
      </c>
      <c r="F650" s="5">
        <v>3000</v>
      </c>
      <c r="G650" s="5">
        <v>2100</v>
      </c>
      <c r="H650" s="4"/>
      <c r="I650" s="4" t="s">
        <v>454</v>
      </c>
      <c r="J650" s="4" t="s">
        <v>460</v>
      </c>
      <c r="K650" s="4" t="s">
        <v>11</v>
      </c>
      <c r="L650" s="4" t="s">
        <v>397</v>
      </c>
    </row>
    <row r="651" spans="1:12">
      <c r="A651" s="3">
        <v>44615.843333333331</v>
      </c>
      <c r="B651" s="4">
        <v>287834730</v>
      </c>
      <c r="C651" s="4" t="s">
        <v>275</v>
      </c>
      <c r="D651" s="4" t="s">
        <v>9</v>
      </c>
      <c r="E651" s="5">
        <v>2000</v>
      </c>
      <c r="F651" s="5">
        <v>2000</v>
      </c>
      <c r="G651" s="5">
        <v>1400</v>
      </c>
      <c r="H651" s="4"/>
      <c r="I651" s="4" t="s">
        <v>169</v>
      </c>
      <c r="J651" s="4" t="s">
        <v>460</v>
      </c>
      <c r="K651" s="4" t="s">
        <v>11</v>
      </c>
      <c r="L651" s="4" t="s">
        <v>206</v>
      </c>
    </row>
    <row r="652" spans="1:12">
      <c r="A652" s="3">
        <v>44615.846747685187</v>
      </c>
      <c r="B652" s="4">
        <v>289315562</v>
      </c>
      <c r="C652" s="4" t="s">
        <v>478</v>
      </c>
      <c r="D652" s="4" t="s">
        <v>9</v>
      </c>
      <c r="E652" s="5">
        <v>3000</v>
      </c>
      <c r="F652" s="5">
        <v>3000</v>
      </c>
      <c r="G652" s="5">
        <v>2100</v>
      </c>
      <c r="H652" s="4"/>
      <c r="I652" s="4" t="s">
        <v>454</v>
      </c>
      <c r="J652" s="4" t="s">
        <v>460</v>
      </c>
      <c r="K652" s="4" t="s">
        <v>11</v>
      </c>
      <c r="L652" s="4" t="s">
        <v>397</v>
      </c>
    </row>
    <row r="653" spans="1:12">
      <c r="A653" s="3">
        <v>44615.853622685187</v>
      </c>
      <c r="B653" s="4">
        <v>289315562</v>
      </c>
      <c r="C653" s="4" t="s">
        <v>478</v>
      </c>
      <c r="D653" s="4" t="s">
        <v>9</v>
      </c>
      <c r="E653" s="5">
        <v>3000</v>
      </c>
      <c r="F653" s="5">
        <v>3000</v>
      </c>
      <c r="G653" s="5">
        <v>2100</v>
      </c>
      <c r="H653" s="4"/>
      <c r="I653" s="4" t="s">
        <v>454</v>
      </c>
      <c r="J653" s="4" t="s">
        <v>460</v>
      </c>
      <c r="K653" s="4" t="s">
        <v>11</v>
      </c>
      <c r="L653" s="4" t="s">
        <v>397</v>
      </c>
    </row>
    <row r="654" spans="1:12">
      <c r="A654" s="3">
        <v>44615.857534722221</v>
      </c>
      <c r="B654" s="4">
        <v>289315562</v>
      </c>
      <c r="C654" s="4" t="s">
        <v>478</v>
      </c>
      <c r="D654" s="4" t="s">
        <v>9</v>
      </c>
      <c r="E654" s="5">
        <v>3000</v>
      </c>
      <c r="F654" s="5">
        <v>3000</v>
      </c>
      <c r="G654" s="5">
        <v>2100</v>
      </c>
      <c r="H654" s="4"/>
      <c r="I654" s="4" t="s">
        <v>454</v>
      </c>
      <c r="J654" s="4" t="s">
        <v>460</v>
      </c>
      <c r="K654" s="4" t="s">
        <v>11</v>
      </c>
      <c r="L654" s="4" t="s">
        <v>397</v>
      </c>
    </row>
    <row r="655" spans="1:12">
      <c r="A655" s="3">
        <v>44615.86</v>
      </c>
      <c r="B655" s="4">
        <v>289315562</v>
      </c>
      <c r="C655" s="4" t="s">
        <v>478</v>
      </c>
      <c r="D655" s="4" t="s">
        <v>9</v>
      </c>
      <c r="E655" s="5">
        <v>3000</v>
      </c>
      <c r="F655" s="5">
        <v>3000</v>
      </c>
      <c r="G655" s="5">
        <v>2100</v>
      </c>
      <c r="H655" s="4"/>
      <c r="I655" s="4" t="s">
        <v>454</v>
      </c>
      <c r="J655" s="4" t="s">
        <v>460</v>
      </c>
      <c r="K655" s="4" t="s">
        <v>11</v>
      </c>
      <c r="L655" s="4" t="s">
        <v>397</v>
      </c>
    </row>
    <row r="656" spans="1:12">
      <c r="A656" s="3">
        <v>44615.862187500003</v>
      </c>
      <c r="B656" s="4">
        <v>289658948</v>
      </c>
      <c r="C656" s="4" t="s">
        <v>580</v>
      </c>
      <c r="D656" s="4" t="s">
        <v>9</v>
      </c>
      <c r="E656" s="5">
        <v>3600</v>
      </c>
      <c r="F656" s="5">
        <v>3600</v>
      </c>
      <c r="G656" s="5">
        <v>2520</v>
      </c>
      <c r="H656" s="4"/>
      <c r="I656" s="4" t="s">
        <v>455</v>
      </c>
      <c r="J656" s="4" t="s">
        <v>460</v>
      </c>
      <c r="K656" s="4" t="s">
        <v>11</v>
      </c>
      <c r="L656" s="4" t="s">
        <v>417</v>
      </c>
    </row>
    <row r="657" spans="1:12">
      <c r="A657" s="3">
        <v>44615.880185185182</v>
      </c>
      <c r="B657" s="4">
        <v>288829883</v>
      </c>
      <c r="C657" s="4" t="s">
        <v>476</v>
      </c>
      <c r="D657" s="4" t="s">
        <v>9</v>
      </c>
      <c r="E657" s="5">
        <v>2000</v>
      </c>
      <c r="F657" s="5">
        <v>2000</v>
      </c>
      <c r="G657" s="5">
        <v>1400</v>
      </c>
      <c r="H657" s="4"/>
      <c r="I657" s="4" t="s">
        <v>552</v>
      </c>
      <c r="J657" s="4" t="s">
        <v>460</v>
      </c>
      <c r="K657" s="4" t="s">
        <v>11</v>
      </c>
      <c r="L657" s="4" t="s">
        <v>378</v>
      </c>
    </row>
    <row r="658" spans="1:12">
      <c r="A658" s="3">
        <v>44615.894074074073</v>
      </c>
      <c r="B658" s="4">
        <v>287834730</v>
      </c>
      <c r="C658" s="4" t="s">
        <v>275</v>
      </c>
      <c r="D658" s="4" t="s">
        <v>9</v>
      </c>
      <c r="E658" s="5">
        <v>2000</v>
      </c>
      <c r="F658" s="5">
        <v>2000</v>
      </c>
      <c r="G658" s="5">
        <v>1400</v>
      </c>
      <c r="H658" s="4"/>
      <c r="I658" s="4" t="s">
        <v>169</v>
      </c>
      <c r="J658" s="4" t="s">
        <v>460</v>
      </c>
      <c r="K658" s="4" t="s">
        <v>11</v>
      </c>
      <c r="L658" s="4" t="s">
        <v>206</v>
      </c>
    </row>
    <row r="659" spans="1:12">
      <c r="A659" s="3">
        <v>44615.896284722221</v>
      </c>
      <c r="B659" s="4">
        <v>289315562</v>
      </c>
      <c r="C659" s="4" t="s">
        <v>478</v>
      </c>
      <c r="D659" s="4" t="s">
        <v>9</v>
      </c>
      <c r="E659" s="5">
        <v>3000</v>
      </c>
      <c r="F659" s="5">
        <v>3000</v>
      </c>
      <c r="G659" s="5">
        <v>2100</v>
      </c>
      <c r="H659" s="4"/>
      <c r="I659" s="4" t="s">
        <v>454</v>
      </c>
      <c r="J659" s="4" t="s">
        <v>460</v>
      </c>
      <c r="K659" s="4" t="s">
        <v>11</v>
      </c>
      <c r="L659" s="4" t="s">
        <v>397</v>
      </c>
    </row>
    <row r="660" spans="1:12">
      <c r="A660" s="3">
        <v>44615.933807870373</v>
      </c>
      <c r="B660" s="4">
        <v>287148991</v>
      </c>
      <c r="C660" s="4" t="s">
        <v>223</v>
      </c>
      <c r="D660" s="4" t="s">
        <v>9</v>
      </c>
      <c r="E660" s="5">
        <v>2000</v>
      </c>
      <c r="F660" s="5">
        <v>2000</v>
      </c>
      <c r="G660" s="5">
        <v>1400</v>
      </c>
      <c r="H660" s="4"/>
      <c r="I660" s="4" t="s">
        <v>163</v>
      </c>
      <c r="J660" s="4" t="s">
        <v>460</v>
      </c>
      <c r="K660" s="4" t="s">
        <v>11</v>
      </c>
      <c r="L660" s="4" t="s">
        <v>146</v>
      </c>
    </row>
    <row r="661" spans="1:12">
      <c r="A661" s="3">
        <v>44615.942384259259</v>
      </c>
      <c r="B661" s="4">
        <v>289315562</v>
      </c>
      <c r="C661" s="4" t="s">
        <v>478</v>
      </c>
      <c r="D661" s="4" t="s">
        <v>9</v>
      </c>
      <c r="E661" s="5">
        <v>3000</v>
      </c>
      <c r="F661" s="5">
        <v>3000</v>
      </c>
      <c r="G661" s="5">
        <v>2100</v>
      </c>
      <c r="H661" s="4"/>
      <c r="I661" s="4" t="s">
        <v>454</v>
      </c>
      <c r="J661" s="4" t="s">
        <v>460</v>
      </c>
      <c r="K661" s="4" t="s">
        <v>11</v>
      </c>
      <c r="L661" s="4" t="s">
        <v>397</v>
      </c>
    </row>
    <row r="662" spans="1:12">
      <c r="A662" s="3">
        <v>44615.953344907408</v>
      </c>
      <c r="B662" s="4">
        <v>289315562</v>
      </c>
      <c r="C662" s="4" t="s">
        <v>478</v>
      </c>
      <c r="D662" s="4" t="s">
        <v>9</v>
      </c>
      <c r="E662" s="5">
        <v>3000</v>
      </c>
      <c r="F662" s="5">
        <v>3000</v>
      </c>
      <c r="G662" s="5">
        <v>2100</v>
      </c>
      <c r="H662" s="4"/>
      <c r="I662" s="4" t="s">
        <v>454</v>
      </c>
      <c r="J662" s="4" t="s">
        <v>460</v>
      </c>
      <c r="K662" s="4" t="s">
        <v>11</v>
      </c>
      <c r="L662" s="4" t="s">
        <v>397</v>
      </c>
    </row>
    <row r="663" spans="1:12">
      <c r="A663" s="3">
        <v>44615.958078703705</v>
      </c>
      <c r="B663" s="4">
        <v>289315562</v>
      </c>
      <c r="C663" s="4" t="s">
        <v>478</v>
      </c>
      <c r="D663" s="4" t="s">
        <v>9</v>
      </c>
      <c r="E663" s="5">
        <v>3000</v>
      </c>
      <c r="F663" s="5">
        <v>3000</v>
      </c>
      <c r="G663" s="5">
        <v>2100</v>
      </c>
      <c r="H663" s="4"/>
      <c r="I663" s="4" t="s">
        <v>454</v>
      </c>
      <c r="J663" s="4" t="s">
        <v>460</v>
      </c>
      <c r="K663" s="4" t="s">
        <v>11</v>
      </c>
      <c r="L663" s="4" t="s">
        <v>397</v>
      </c>
    </row>
    <row r="664" spans="1:12">
      <c r="A664" s="3">
        <v>44615.958668981482</v>
      </c>
      <c r="B664" s="4">
        <v>289315562</v>
      </c>
      <c r="C664" s="4" t="s">
        <v>478</v>
      </c>
      <c r="D664" s="4" t="s">
        <v>9</v>
      </c>
      <c r="E664" s="5">
        <v>3000</v>
      </c>
      <c r="F664" s="5">
        <v>3000</v>
      </c>
      <c r="G664" s="5">
        <v>2100</v>
      </c>
      <c r="H664" s="4"/>
      <c r="I664" s="4" t="s">
        <v>454</v>
      </c>
      <c r="J664" s="4" t="s">
        <v>460</v>
      </c>
      <c r="K664" s="4" t="s">
        <v>11</v>
      </c>
      <c r="L664" s="4" t="s">
        <v>397</v>
      </c>
    </row>
    <row r="665" spans="1:12">
      <c r="A665" s="3">
        <v>44615.958831018521</v>
      </c>
      <c r="B665" s="4">
        <v>289315562</v>
      </c>
      <c r="C665" s="4" t="s">
        <v>478</v>
      </c>
      <c r="D665" s="4" t="s">
        <v>9</v>
      </c>
      <c r="E665" s="5">
        <v>3000</v>
      </c>
      <c r="F665" s="5">
        <v>3000</v>
      </c>
      <c r="G665" s="5">
        <v>2100</v>
      </c>
      <c r="H665" s="4"/>
      <c r="I665" s="4" t="s">
        <v>454</v>
      </c>
      <c r="J665" s="4" t="s">
        <v>460</v>
      </c>
      <c r="K665" s="4" t="s">
        <v>11</v>
      </c>
      <c r="L665" s="4" t="s">
        <v>397</v>
      </c>
    </row>
    <row r="666" spans="1:12">
      <c r="A666" s="3">
        <v>44615.961388888885</v>
      </c>
      <c r="B666" s="4">
        <v>287834730</v>
      </c>
      <c r="C666" s="4" t="s">
        <v>275</v>
      </c>
      <c r="D666" s="4" t="s">
        <v>9</v>
      </c>
      <c r="E666" s="5">
        <v>2000</v>
      </c>
      <c r="F666" s="5">
        <v>2000</v>
      </c>
      <c r="G666" s="5">
        <v>1400</v>
      </c>
      <c r="H666" s="4"/>
      <c r="I666" s="4" t="s">
        <v>169</v>
      </c>
      <c r="J666" s="4" t="s">
        <v>460</v>
      </c>
      <c r="K666" s="4" t="s">
        <v>11</v>
      </c>
      <c r="L666" s="4" t="s">
        <v>206</v>
      </c>
    </row>
    <row r="667" spans="1:12">
      <c r="A667" s="3">
        <v>44615.986909722225</v>
      </c>
      <c r="B667" s="4">
        <v>288829883</v>
      </c>
      <c r="C667" s="4" t="s">
        <v>476</v>
      </c>
      <c r="D667" s="4" t="s">
        <v>9</v>
      </c>
      <c r="E667" s="5">
        <v>2000</v>
      </c>
      <c r="F667" s="5">
        <v>2000</v>
      </c>
      <c r="G667" s="5">
        <v>1400</v>
      </c>
      <c r="H667" s="4"/>
      <c r="I667" s="4" t="s">
        <v>552</v>
      </c>
      <c r="J667" s="4" t="s">
        <v>460</v>
      </c>
      <c r="K667" s="4" t="s">
        <v>11</v>
      </c>
      <c r="L667" s="4" t="s">
        <v>378</v>
      </c>
    </row>
    <row r="668" spans="1:12">
      <c r="A668" s="3">
        <v>44616.059212962966</v>
      </c>
      <c r="B668" s="4">
        <v>287086652</v>
      </c>
      <c r="C668" s="4" t="s">
        <v>220</v>
      </c>
      <c r="D668" s="4" t="s">
        <v>9</v>
      </c>
      <c r="E668" s="5">
        <v>2000</v>
      </c>
      <c r="F668" s="5">
        <v>2000</v>
      </c>
      <c r="G668" s="5">
        <v>1400</v>
      </c>
      <c r="H668" s="4"/>
      <c r="I668" s="4" t="s">
        <v>162</v>
      </c>
      <c r="J668" s="4" t="s">
        <v>460</v>
      </c>
      <c r="K668" s="4" t="s">
        <v>11</v>
      </c>
      <c r="L668" s="4" t="s">
        <v>150</v>
      </c>
    </row>
    <row r="669" spans="1:12">
      <c r="A669" s="3">
        <v>44616.122418981482</v>
      </c>
      <c r="B669" s="4">
        <v>289315562</v>
      </c>
      <c r="C669" s="4" t="s">
        <v>478</v>
      </c>
      <c r="D669" s="4" t="s">
        <v>9</v>
      </c>
      <c r="E669" s="5">
        <v>3000</v>
      </c>
      <c r="F669" s="5">
        <v>3000</v>
      </c>
      <c r="G669" s="5">
        <v>2100</v>
      </c>
      <c r="H669" s="4"/>
      <c r="I669" s="4" t="s">
        <v>454</v>
      </c>
      <c r="J669" s="4" t="s">
        <v>460</v>
      </c>
      <c r="K669" s="4" t="s">
        <v>11</v>
      </c>
      <c r="L669" s="4" t="s">
        <v>397</v>
      </c>
    </row>
    <row r="670" spans="1:12">
      <c r="A670" s="3">
        <v>44616.129548611112</v>
      </c>
      <c r="B670" s="4">
        <v>289315562</v>
      </c>
      <c r="C670" s="4" t="s">
        <v>478</v>
      </c>
      <c r="D670" s="4" t="s">
        <v>9</v>
      </c>
      <c r="E670" s="5">
        <v>3000</v>
      </c>
      <c r="F670" s="5">
        <v>3000</v>
      </c>
      <c r="G670" s="5">
        <v>2100</v>
      </c>
      <c r="H670" s="4"/>
      <c r="I670" s="4" t="s">
        <v>454</v>
      </c>
      <c r="J670" s="4" t="s">
        <v>460</v>
      </c>
      <c r="K670" s="4" t="s">
        <v>11</v>
      </c>
      <c r="L670" s="4" t="s">
        <v>397</v>
      </c>
    </row>
    <row r="671" spans="1:12">
      <c r="A671" s="3">
        <v>44616.14738425926</v>
      </c>
      <c r="B671" s="4">
        <v>289658948</v>
      </c>
      <c r="C671" s="4" t="s">
        <v>580</v>
      </c>
      <c r="D671" s="4" t="s">
        <v>9</v>
      </c>
      <c r="E671" s="5">
        <v>3600</v>
      </c>
      <c r="F671" s="5">
        <v>3600</v>
      </c>
      <c r="G671" s="5">
        <v>2520</v>
      </c>
      <c r="H671" s="4"/>
      <c r="I671" s="4" t="s">
        <v>455</v>
      </c>
      <c r="J671" s="4" t="s">
        <v>460</v>
      </c>
      <c r="K671" s="4" t="s">
        <v>11</v>
      </c>
      <c r="L671" s="4" t="s">
        <v>417</v>
      </c>
    </row>
    <row r="672" spans="1:12">
      <c r="A672" s="3">
        <v>44616.179050925923</v>
      </c>
      <c r="B672" s="4">
        <v>287834730</v>
      </c>
      <c r="C672" s="4" t="s">
        <v>275</v>
      </c>
      <c r="D672" s="4" t="s">
        <v>9</v>
      </c>
      <c r="E672" s="5">
        <v>2000</v>
      </c>
      <c r="F672" s="5">
        <v>2000</v>
      </c>
      <c r="G672" s="5">
        <v>1400</v>
      </c>
      <c r="H672" s="4"/>
      <c r="I672" s="4" t="s">
        <v>169</v>
      </c>
      <c r="J672" s="4" t="s">
        <v>460</v>
      </c>
      <c r="K672" s="4" t="s">
        <v>11</v>
      </c>
      <c r="L672" s="4" t="s">
        <v>206</v>
      </c>
    </row>
    <row r="673" spans="1:12">
      <c r="A673" s="3">
        <v>44616.457662037035</v>
      </c>
      <c r="B673" s="4">
        <v>289315562</v>
      </c>
      <c r="C673" s="4" t="s">
        <v>478</v>
      </c>
      <c r="D673" s="4" t="s">
        <v>9</v>
      </c>
      <c r="E673" s="5">
        <v>3000</v>
      </c>
      <c r="F673" s="5">
        <v>3000</v>
      </c>
      <c r="G673" s="5">
        <v>2100</v>
      </c>
      <c r="H673" s="4"/>
      <c r="I673" s="4" t="s">
        <v>454</v>
      </c>
      <c r="J673" s="4" t="s">
        <v>460</v>
      </c>
      <c r="K673" s="4" t="s">
        <v>11</v>
      </c>
      <c r="L673" s="4" t="s">
        <v>397</v>
      </c>
    </row>
    <row r="674" spans="1:12">
      <c r="A674" s="3">
        <v>44616.466122685182</v>
      </c>
      <c r="B674" s="4">
        <v>287834730</v>
      </c>
      <c r="C674" s="4" t="s">
        <v>275</v>
      </c>
      <c r="D674" s="4" t="s">
        <v>9</v>
      </c>
      <c r="E674" s="5">
        <v>2000</v>
      </c>
      <c r="F674" s="5">
        <v>2000</v>
      </c>
      <c r="G674" s="5">
        <v>1400</v>
      </c>
      <c r="H674" s="4"/>
      <c r="I674" s="4" t="s">
        <v>169</v>
      </c>
      <c r="J674" s="4" t="s">
        <v>460</v>
      </c>
      <c r="K674" s="4" t="s">
        <v>11</v>
      </c>
      <c r="L674" s="4" t="s">
        <v>206</v>
      </c>
    </row>
    <row r="675" spans="1:12">
      <c r="A675" s="3">
        <v>44616.683553240742</v>
      </c>
      <c r="B675" s="4">
        <v>286896672</v>
      </c>
      <c r="C675" s="4" t="s">
        <v>248</v>
      </c>
      <c r="D675" s="4" t="s">
        <v>9</v>
      </c>
      <c r="E675" s="5">
        <v>2500</v>
      </c>
      <c r="F675" s="5">
        <v>2500</v>
      </c>
      <c r="G675" s="5">
        <v>1750</v>
      </c>
      <c r="H675" s="4"/>
      <c r="I675" s="4" t="s">
        <v>158</v>
      </c>
      <c r="J675" s="4" t="s">
        <v>460</v>
      </c>
      <c r="K675" s="4" t="s">
        <v>11</v>
      </c>
      <c r="L675" s="4" t="s">
        <v>141</v>
      </c>
    </row>
    <row r="676" spans="1:12">
      <c r="A676" s="3">
        <v>44616.718113425923</v>
      </c>
      <c r="B676" s="4">
        <v>289315562</v>
      </c>
      <c r="C676" s="4" t="s">
        <v>478</v>
      </c>
      <c r="D676" s="4" t="s">
        <v>9</v>
      </c>
      <c r="E676" s="5">
        <v>3000</v>
      </c>
      <c r="F676" s="5">
        <v>3000</v>
      </c>
      <c r="G676" s="5">
        <v>2100</v>
      </c>
      <c r="H676" s="4"/>
      <c r="I676" s="4" t="s">
        <v>454</v>
      </c>
      <c r="J676" s="4" t="s">
        <v>460</v>
      </c>
      <c r="K676" s="4" t="s">
        <v>11</v>
      </c>
      <c r="L676" s="4" t="s">
        <v>397</v>
      </c>
    </row>
    <row r="677" spans="1:12">
      <c r="A677" s="3">
        <v>44616.747476851851</v>
      </c>
      <c r="B677" s="4">
        <v>289315562</v>
      </c>
      <c r="C677" s="4" t="s">
        <v>478</v>
      </c>
      <c r="D677" s="4" t="s">
        <v>9</v>
      </c>
      <c r="E677" s="5">
        <v>3000</v>
      </c>
      <c r="F677" s="5">
        <v>3000</v>
      </c>
      <c r="G677" s="5">
        <v>2100</v>
      </c>
      <c r="H677" s="4"/>
      <c r="I677" s="4" t="s">
        <v>454</v>
      </c>
      <c r="J677" s="4" t="s">
        <v>460</v>
      </c>
      <c r="K677" s="4" t="s">
        <v>11</v>
      </c>
      <c r="L677" s="4" t="s">
        <v>397</v>
      </c>
    </row>
    <row r="678" spans="1:12">
      <c r="A678" s="3">
        <v>44616.804780092592</v>
      </c>
      <c r="B678" s="4">
        <v>289315562</v>
      </c>
      <c r="C678" s="4" t="s">
        <v>478</v>
      </c>
      <c r="D678" s="4" t="s">
        <v>9</v>
      </c>
      <c r="E678" s="5">
        <v>3000</v>
      </c>
      <c r="F678" s="5">
        <v>3000</v>
      </c>
      <c r="G678" s="5">
        <v>2100</v>
      </c>
      <c r="H678" s="4"/>
      <c r="I678" s="4" t="s">
        <v>454</v>
      </c>
      <c r="J678" s="4" t="s">
        <v>460</v>
      </c>
      <c r="K678" s="4" t="s">
        <v>11</v>
      </c>
      <c r="L678" s="4" t="s">
        <v>397</v>
      </c>
    </row>
    <row r="679" spans="1:12">
      <c r="A679" s="3">
        <v>44616.816736111112</v>
      </c>
      <c r="B679" s="4">
        <v>289315562</v>
      </c>
      <c r="C679" s="4" t="s">
        <v>478</v>
      </c>
      <c r="D679" s="4" t="s">
        <v>9</v>
      </c>
      <c r="E679" s="5">
        <v>3000</v>
      </c>
      <c r="F679" s="5">
        <v>3000</v>
      </c>
      <c r="G679" s="5">
        <v>2100</v>
      </c>
      <c r="H679" s="4"/>
      <c r="I679" s="4" t="s">
        <v>454</v>
      </c>
      <c r="J679" s="4" t="s">
        <v>460</v>
      </c>
      <c r="K679" s="4" t="s">
        <v>11</v>
      </c>
      <c r="L679" s="4" t="s">
        <v>397</v>
      </c>
    </row>
    <row r="680" spans="1:12">
      <c r="A680" s="3">
        <v>44616.855694444443</v>
      </c>
      <c r="B680" s="4">
        <v>289315562</v>
      </c>
      <c r="C680" s="4" t="s">
        <v>478</v>
      </c>
      <c r="D680" s="4" t="s">
        <v>9</v>
      </c>
      <c r="E680" s="5">
        <v>3000</v>
      </c>
      <c r="F680" s="5">
        <v>3000</v>
      </c>
      <c r="G680" s="5">
        <v>2100</v>
      </c>
      <c r="H680" s="4"/>
      <c r="I680" s="4" t="s">
        <v>454</v>
      </c>
      <c r="J680" s="4" t="s">
        <v>460</v>
      </c>
      <c r="K680" s="4" t="s">
        <v>11</v>
      </c>
      <c r="L680" s="4" t="s">
        <v>397</v>
      </c>
    </row>
    <row r="681" spans="1:12">
      <c r="A681" s="3">
        <v>44616.871539351851</v>
      </c>
      <c r="B681" s="4">
        <v>289315562</v>
      </c>
      <c r="C681" s="4" t="s">
        <v>478</v>
      </c>
      <c r="D681" s="4" t="s">
        <v>9</v>
      </c>
      <c r="E681" s="5">
        <v>3000</v>
      </c>
      <c r="F681" s="5">
        <v>3000</v>
      </c>
      <c r="G681" s="5">
        <v>2100</v>
      </c>
      <c r="H681" s="4"/>
      <c r="I681" s="4" t="s">
        <v>454</v>
      </c>
      <c r="J681" s="4" t="s">
        <v>460</v>
      </c>
      <c r="K681" s="4" t="s">
        <v>11</v>
      </c>
      <c r="L681" s="4" t="s">
        <v>397</v>
      </c>
    </row>
    <row r="682" spans="1:12">
      <c r="A682" s="3">
        <v>44616.967986111114</v>
      </c>
      <c r="B682" s="4">
        <v>287834730</v>
      </c>
      <c r="C682" s="4" t="s">
        <v>275</v>
      </c>
      <c r="D682" s="4" t="s">
        <v>9</v>
      </c>
      <c r="E682" s="5">
        <v>2000</v>
      </c>
      <c r="F682" s="5">
        <v>2000</v>
      </c>
      <c r="G682" s="5">
        <v>1400</v>
      </c>
      <c r="H682" s="4"/>
      <c r="I682" s="4" t="s">
        <v>169</v>
      </c>
      <c r="J682" s="4" t="s">
        <v>460</v>
      </c>
      <c r="K682" s="4" t="s">
        <v>11</v>
      </c>
      <c r="L682" s="4" t="s">
        <v>206</v>
      </c>
    </row>
    <row r="683" spans="1:12">
      <c r="A683" s="3">
        <v>44617.015717592592</v>
      </c>
      <c r="B683" s="4">
        <v>289315562</v>
      </c>
      <c r="C683" s="4" t="s">
        <v>478</v>
      </c>
      <c r="D683" s="4" t="s">
        <v>9</v>
      </c>
      <c r="E683" s="5">
        <v>3000</v>
      </c>
      <c r="F683" s="5">
        <v>3000</v>
      </c>
      <c r="G683" s="5">
        <v>2100</v>
      </c>
      <c r="H683" s="4"/>
      <c r="I683" s="4" t="s">
        <v>454</v>
      </c>
      <c r="J683" s="4" t="s">
        <v>460</v>
      </c>
      <c r="K683" s="4" t="s">
        <v>11</v>
      </c>
      <c r="L683" s="4" t="s">
        <v>397</v>
      </c>
    </row>
    <row r="684" spans="1:12">
      <c r="A684" s="3">
        <v>44617.340266203704</v>
      </c>
      <c r="B684" s="4">
        <v>289658948</v>
      </c>
      <c r="C684" s="4" t="s">
        <v>580</v>
      </c>
      <c r="D684" s="4" t="s">
        <v>9</v>
      </c>
      <c r="E684" s="5">
        <v>3600</v>
      </c>
      <c r="F684" s="5">
        <v>3600</v>
      </c>
      <c r="G684" s="5">
        <v>2520</v>
      </c>
      <c r="H684" s="4"/>
      <c r="I684" s="4" t="s">
        <v>455</v>
      </c>
      <c r="J684" s="4" t="s">
        <v>460</v>
      </c>
      <c r="K684" s="4" t="s">
        <v>11</v>
      </c>
      <c r="L684" s="4" t="s">
        <v>417</v>
      </c>
    </row>
    <row r="685" spans="1:12">
      <c r="A685" s="3">
        <v>44617.402928240743</v>
      </c>
      <c r="B685" s="4">
        <v>287834730</v>
      </c>
      <c r="C685" s="4" t="s">
        <v>275</v>
      </c>
      <c r="D685" s="4" t="s">
        <v>9</v>
      </c>
      <c r="E685" s="5">
        <v>2000</v>
      </c>
      <c r="F685" s="5">
        <v>2000</v>
      </c>
      <c r="G685" s="5">
        <v>1400</v>
      </c>
      <c r="H685" s="4"/>
      <c r="I685" s="4" t="s">
        <v>169</v>
      </c>
      <c r="J685" s="4" t="s">
        <v>460</v>
      </c>
      <c r="K685" s="4" t="s">
        <v>11</v>
      </c>
      <c r="L685" s="4" t="s">
        <v>206</v>
      </c>
    </row>
    <row r="686" spans="1:12">
      <c r="A686" s="3">
        <v>44617.441724537035</v>
      </c>
      <c r="B686" s="4">
        <v>289315562</v>
      </c>
      <c r="C686" s="4" t="s">
        <v>478</v>
      </c>
      <c r="D686" s="4" t="s">
        <v>9</v>
      </c>
      <c r="E686" s="5">
        <v>3000</v>
      </c>
      <c r="F686" s="5">
        <v>3000</v>
      </c>
      <c r="G686" s="5">
        <v>2100</v>
      </c>
      <c r="H686" s="4"/>
      <c r="I686" s="4" t="s">
        <v>454</v>
      </c>
      <c r="J686" s="4" t="s">
        <v>460</v>
      </c>
      <c r="K686" s="4" t="s">
        <v>11</v>
      </c>
      <c r="L686" s="4" t="s">
        <v>397</v>
      </c>
    </row>
    <row r="687" spans="1:12">
      <c r="A687" s="3">
        <v>44617.499606481484</v>
      </c>
      <c r="B687" s="4">
        <v>289658948</v>
      </c>
      <c r="C687" s="4" t="s">
        <v>580</v>
      </c>
      <c r="D687" s="4" t="s">
        <v>9</v>
      </c>
      <c r="E687" s="5">
        <v>3600</v>
      </c>
      <c r="F687" s="5">
        <v>3600</v>
      </c>
      <c r="G687" s="5">
        <v>2520</v>
      </c>
      <c r="H687" s="4"/>
      <c r="I687" s="4" t="s">
        <v>455</v>
      </c>
      <c r="J687" s="4" t="s">
        <v>460</v>
      </c>
      <c r="K687" s="4" t="s">
        <v>11</v>
      </c>
      <c r="L687" s="4" t="s">
        <v>417</v>
      </c>
    </row>
    <row r="688" spans="1:12">
      <c r="A688" s="3">
        <v>44617.537291666667</v>
      </c>
      <c r="B688" s="4">
        <v>287834730</v>
      </c>
      <c r="C688" s="4" t="s">
        <v>275</v>
      </c>
      <c r="D688" s="4" t="s">
        <v>9</v>
      </c>
      <c r="E688" s="5">
        <v>2000</v>
      </c>
      <c r="F688" s="5">
        <v>2000</v>
      </c>
      <c r="G688" s="5">
        <v>1400</v>
      </c>
      <c r="H688" s="4"/>
      <c r="I688" s="4" t="s">
        <v>169</v>
      </c>
      <c r="J688" s="4" t="s">
        <v>460</v>
      </c>
      <c r="K688" s="4" t="s">
        <v>11</v>
      </c>
      <c r="L688" s="4" t="s">
        <v>206</v>
      </c>
    </row>
    <row r="689" spans="1:12">
      <c r="A689" s="3">
        <v>44617.61042824074</v>
      </c>
      <c r="B689" s="4">
        <v>287703886</v>
      </c>
      <c r="C689" s="4" t="s">
        <v>218</v>
      </c>
      <c r="D689" s="4" t="s">
        <v>9</v>
      </c>
      <c r="E689" s="5">
        <v>2500</v>
      </c>
      <c r="F689" s="5">
        <v>2500</v>
      </c>
      <c r="G689" s="5">
        <v>1750</v>
      </c>
      <c r="H689" s="4"/>
      <c r="I689" s="4" t="s">
        <v>167</v>
      </c>
      <c r="J689" s="4" t="s">
        <v>460</v>
      </c>
      <c r="K689" s="4" t="s">
        <v>11</v>
      </c>
      <c r="L689" s="4" t="s">
        <v>195</v>
      </c>
    </row>
    <row r="690" spans="1:12">
      <c r="A690" s="3">
        <v>44617.625335648147</v>
      </c>
      <c r="B690" s="4">
        <v>289315562</v>
      </c>
      <c r="C690" s="4" t="s">
        <v>478</v>
      </c>
      <c r="D690" s="4" t="s">
        <v>9</v>
      </c>
      <c r="E690" s="5">
        <v>3000</v>
      </c>
      <c r="F690" s="5">
        <v>3000</v>
      </c>
      <c r="G690" s="5">
        <v>2100</v>
      </c>
      <c r="H690" s="4"/>
      <c r="I690" s="4" t="s">
        <v>454</v>
      </c>
      <c r="J690" s="4" t="s">
        <v>460</v>
      </c>
      <c r="K690" s="4" t="s">
        <v>11</v>
      </c>
      <c r="L690" s="4" t="s">
        <v>397</v>
      </c>
    </row>
    <row r="691" spans="1:12">
      <c r="A691" s="3">
        <v>44617.683078703703</v>
      </c>
      <c r="B691" s="4">
        <v>289315562</v>
      </c>
      <c r="C691" s="4" t="s">
        <v>478</v>
      </c>
      <c r="D691" s="4" t="s">
        <v>9</v>
      </c>
      <c r="E691" s="5">
        <v>3000</v>
      </c>
      <c r="F691" s="5">
        <v>3000</v>
      </c>
      <c r="G691" s="5">
        <v>2100</v>
      </c>
      <c r="H691" s="4"/>
      <c r="I691" s="4" t="s">
        <v>454</v>
      </c>
      <c r="J691" s="4" t="s">
        <v>460</v>
      </c>
      <c r="K691" s="4" t="s">
        <v>11</v>
      </c>
      <c r="L691" s="4" t="s">
        <v>397</v>
      </c>
    </row>
    <row r="692" spans="1:12">
      <c r="A692" s="3">
        <v>44617.720925925925</v>
      </c>
      <c r="B692" s="4">
        <v>289315562</v>
      </c>
      <c r="C692" s="4" t="s">
        <v>478</v>
      </c>
      <c r="D692" s="4" t="s">
        <v>9</v>
      </c>
      <c r="E692" s="5">
        <v>3000</v>
      </c>
      <c r="F692" s="5">
        <v>3000</v>
      </c>
      <c r="G692" s="5">
        <v>2100</v>
      </c>
      <c r="H692" s="4"/>
      <c r="I692" s="4" t="s">
        <v>454</v>
      </c>
      <c r="J692" s="4" t="s">
        <v>460</v>
      </c>
      <c r="K692" s="4" t="s">
        <v>11</v>
      </c>
      <c r="L692" s="4" t="s">
        <v>397</v>
      </c>
    </row>
    <row r="693" spans="1:12">
      <c r="A693" s="3">
        <v>44617.75476851852</v>
      </c>
      <c r="B693" s="4">
        <v>289315562</v>
      </c>
      <c r="C693" s="4" t="s">
        <v>478</v>
      </c>
      <c r="D693" s="4" t="s">
        <v>9</v>
      </c>
      <c r="E693" s="5">
        <v>3000</v>
      </c>
      <c r="F693" s="5">
        <v>3000</v>
      </c>
      <c r="G693" s="5">
        <v>2100</v>
      </c>
      <c r="H693" s="4"/>
      <c r="I693" s="4" t="s">
        <v>454</v>
      </c>
      <c r="J693" s="4" t="s">
        <v>460</v>
      </c>
      <c r="K693" s="4" t="s">
        <v>11</v>
      </c>
      <c r="L693" s="4" t="s">
        <v>397</v>
      </c>
    </row>
    <row r="694" spans="1:12">
      <c r="A694" s="3">
        <v>44617.774629629632</v>
      </c>
      <c r="B694" s="4">
        <v>289315562</v>
      </c>
      <c r="C694" s="4" t="s">
        <v>478</v>
      </c>
      <c r="D694" s="4" t="s">
        <v>9</v>
      </c>
      <c r="E694" s="5">
        <v>3000</v>
      </c>
      <c r="F694" s="5">
        <v>3000</v>
      </c>
      <c r="G694" s="5">
        <v>2100</v>
      </c>
      <c r="H694" s="4"/>
      <c r="I694" s="4" t="s">
        <v>454</v>
      </c>
      <c r="J694" s="4" t="s">
        <v>460</v>
      </c>
      <c r="K694" s="4" t="s">
        <v>11</v>
      </c>
      <c r="L694" s="4" t="s">
        <v>397</v>
      </c>
    </row>
    <row r="695" spans="1:12">
      <c r="A695" s="3">
        <v>44617.826122685183</v>
      </c>
      <c r="B695" s="4">
        <v>289315562</v>
      </c>
      <c r="C695" s="4" t="s">
        <v>478</v>
      </c>
      <c r="D695" s="4" t="s">
        <v>9</v>
      </c>
      <c r="E695" s="5">
        <v>3000</v>
      </c>
      <c r="F695" s="5">
        <v>3000</v>
      </c>
      <c r="G695" s="5">
        <v>2100</v>
      </c>
      <c r="H695" s="4"/>
      <c r="I695" s="4" t="s">
        <v>454</v>
      </c>
      <c r="J695" s="4" t="s">
        <v>460</v>
      </c>
      <c r="K695" s="4" t="s">
        <v>11</v>
      </c>
      <c r="L695" s="4" t="s">
        <v>397</v>
      </c>
    </row>
    <row r="696" spans="1:12">
      <c r="A696" s="3">
        <v>44617.828564814816</v>
      </c>
      <c r="B696" s="4">
        <v>287834730</v>
      </c>
      <c r="C696" s="4" t="s">
        <v>275</v>
      </c>
      <c r="D696" s="4" t="s">
        <v>9</v>
      </c>
      <c r="E696" s="5">
        <v>2000</v>
      </c>
      <c r="F696" s="5">
        <v>2000</v>
      </c>
      <c r="G696" s="5">
        <v>1400</v>
      </c>
      <c r="H696" s="4"/>
      <c r="I696" s="4" t="s">
        <v>169</v>
      </c>
      <c r="J696" s="4" t="s">
        <v>460</v>
      </c>
      <c r="K696" s="4" t="s">
        <v>11</v>
      </c>
      <c r="L696" s="4" t="s">
        <v>206</v>
      </c>
    </row>
    <row r="697" spans="1:12">
      <c r="A697" s="3">
        <v>44617.84003472222</v>
      </c>
      <c r="B697" s="4">
        <v>289315562</v>
      </c>
      <c r="C697" s="4" t="s">
        <v>478</v>
      </c>
      <c r="D697" s="4" t="s">
        <v>9</v>
      </c>
      <c r="E697" s="5">
        <v>3000</v>
      </c>
      <c r="F697" s="5">
        <v>3000</v>
      </c>
      <c r="G697" s="5">
        <v>2100</v>
      </c>
      <c r="H697" s="4"/>
      <c r="I697" s="4" t="s">
        <v>454</v>
      </c>
      <c r="J697" s="4" t="s">
        <v>460</v>
      </c>
      <c r="K697" s="4" t="s">
        <v>11</v>
      </c>
      <c r="L697" s="4" t="s">
        <v>397</v>
      </c>
    </row>
    <row r="698" spans="1:12">
      <c r="A698" s="3">
        <v>44617.866712962961</v>
      </c>
      <c r="B698" s="4">
        <v>289315562</v>
      </c>
      <c r="C698" s="4" t="s">
        <v>478</v>
      </c>
      <c r="D698" s="4" t="s">
        <v>9</v>
      </c>
      <c r="E698" s="5">
        <v>3000</v>
      </c>
      <c r="F698" s="5">
        <v>3000</v>
      </c>
      <c r="G698" s="5">
        <v>2100</v>
      </c>
      <c r="H698" s="4"/>
      <c r="I698" s="4" t="s">
        <v>454</v>
      </c>
      <c r="J698" s="4" t="s">
        <v>460</v>
      </c>
      <c r="K698" s="4" t="s">
        <v>11</v>
      </c>
      <c r="L698" s="4" t="s">
        <v>397</v>
      </c>
    </row>
    <row r="699" spans="1:12">
      <c r="A699" s="3">
        <v>44617.883587962962</v>
      </c>
      <c r="B699" s="4">
        <v>289315562</v>
      </c>
      <c r="C699" s="4" t="s">
        <v>478</v>
      </c>
      <c r="D699" s="4" t="s">
        <v>9</v>
      </c>
      <c r="E699" s="5">
        <v>3000</v>
      </c>
      <c r="F699" s="5">
        <v>3000</v>
      </c>
      <c r="G699" s="5">
        <v>2100</v>
      </c>
      <c r="H699" s="4"/>
      <c r="I699" s="4" t="s">
        <v>454</v>
      </c>
      <c r="J699" s="4" t="s">
        <v>460</v>
      </c>
      <c r="K699" s="4" t="s">
        <v>11</v>
      </c>
      <c r="L699" s="4" t="s">
        <v>397</v>
      </c>
    </row>
    <row r="700" spans="1:12">
      <c r="A700" s="3">
        <v>44617.883587962962</v>
      </c>
      <c r="B700" s="4">
        <v>287834730</v>
      </c>
      <c r="C700" s="4" t="s">
        <v>275</v>
      </c>
      <c r="D700" s="4" t="s">
        <v>9</v>
      </c>
      <c r="E700" s="5">
        <v>2000</v>
      </c>
      <c r="F700" s="5">
        <v>2000</v>
      </c>
      <c r="G700" s="5">
        <v>1400</v>
      </c>
      <c r="H700" s="4"/>
      <c r="I700" s="4" t="s">
        <v>169</v>
      </c>
      <c r="J700" s="4" t="s">
        <v>460</v>
      </c>
      <c r="K700" s="4" t="s">
        <v>11</v>
      </c>
      <c r="L700" s="4" t="s">
        <v>206</v>
      </c>
    </row>
    <row r="701" spans="1:12">
      <c r="A701" s="3">
        <v>44617.949699074074</v>
      </c>
      <c r="B701" s="4">
        <v>289315562</v>
      </c>
      <c r="C701" s="4" t="s">
        <v>478</v>
      </c>
      <c r="D701" s="4" t="s">
        <v>9</v>
      </c>
      <c r="E701" s="5">
        <v>3000</v>
      </c>
      <c r="F701" s="5">
        <v>3000</v>
      </c>
      <c r="G701" s="5">
        <v>2100</v>
      </c>
      <c r="H701" s="4"/>
      <c r="I701" s="4" t="s">
        <v>454</v>
      </c>
      <c r="J701" s="4" t="s">
        <v>460</v>
      </c>
      <c r="K701" s="4" t="s">
        <v>11</v>
      </c>
      <c r="L701" s="4" t="s">
        <v>397</v>
      </c>
    </row>
    <row r="702" spans="1:12">
      <c r="A702" s="3">
        <v>44617.995173611111</v>
      </c>
      <c r="B702" s="4">
        <v>289315562</v>
      </c>
      <c r="C702" s="4" t="s">
        <v>478</v>
      </c>
      <c r="D702" s="4" t="s">
        <v>9</v>
      </c>
      <c r="E702" s="5">
        <v>3000</v>
      </c>
      <c r="F702" s="5">
        <v>3000</v>
      </c>
      <c r="G702" s="5">
        <v>2100</v>
      </c>
      <c r="H702" s="4"/>
      <c r="I702" s="4" t="s">
        <v>454</v>
      </c>
      <c r="J702" s="4" t="s">
        <v>460</v>
      </c>
      <c r="K702" s="4" t="s">
        <v>11</v>
      </c>
      <c r="L702" s="4" t="s">
        <v>397</v>
      </c>
    </row>
    <row r="703" spans="1:12">
      <c r="A703" s="3">
        <v>44617.998159722221</v>
      </c>
      <c r="B703" s="4">
        <v>289315562</v>
      </c>
      <c r="C703" s="4" t="s">
        <v>478</v>
      </c>
      <c r="D703" s="4" t="s">
        <v>9</v>
      </c>
      <c r="E703" s="5">
        <v>3000</v>
      </c>
      <c r="F703" s="5">
        <v>3000</v>
      </c>
      <c r="G703" s="5">
        <v>2100</v>
      </c>
      <c r="H703" s="4"/>
      <c r="I703" s="4" t="s">
        <v>454</v>
      </c>
      <c r="J703" s="4" t="s">
        <v>460</v>
      </c>
      <c r="K703" s="4" t="s">
        <v>11</v>
      </c>
      <c r="L703" s="4" t="s">
        <v>397</v>
      </c>
    </row>
    <row r="704" spans="1:12">
      <c r="A704" s="3">
        <v>44618.026354166665</v>
      </c>
      <c r="B704" s="4">
        <v>289315562</v>
      </c>
      <c r="C704" s="4" t="s">
        <v>478</v>
      </c>
      <c r="D704" s="4" t="s">
        <v>9</v>
      </c>
      <c r="E704" s="5">
        <v>3000</v>
      </c>
      <c r="F704" s="5">
        <v>3000</v>
      </c>
      <c r="G704" s="5">
        <v>2100</v>
      </c>
      <c r="H704" s="4"/>
      <c r="I704" s="4" t="s">
        <v>454</v>
      </c>
      <c r="J704" s="4" t="s">
        <v>460</v>
      </c>
      <c r="K704" s="4" t="s">
        <v>11</v>
      </c>
      <c r="L704" s="4" t="s">
        <v>397</v>
      </c>
    </row>
    <row r="705" spans="1:12">
      <c r="A705" s="3">
        <v>44618.030787037038</v>
      </c>
      <c r="B705" s="4">
        <v>287834730</v>
      </c>
      <c r="C705" s="4" t="s">
        <v>275</v>
      </c>
      <c r="D705" s="4" t="s">
        <v>9</v>
      </c>
      <c r="E705" s="5">
        <v>2000</v>
      </c>
      <c r="F705" s="5">
        <v>2000</v>
      </c>
      <c r="G705" s="5">
        <v>1400</v>
      </c>
      <c r="H705" s="4"/>
      <c r="I705" s="4" t="s">
        <v>169</v>
      </c>
      <c r="J705" s="4" t="s">
        <v>460</v>
      </c>
      <c r="K705" s="4" t="s">
        <v>11</v>
      </c>
      <c r="L705" s="4" t="s">
        <v>206</v>
      </c>
    </row>
    <row r="706" spans="1:12">
      <c r="A706" s="3">
        <v>44618.045358796298</v>
      </c>
      <c r="B706" s="4">
        <v>287703886</v>
      </c>
      <c r="C706" s="4" t="s">
        <v>218</v>
      </c>
      <c r="D706" s="4" t="s">
        <v>9</v>
      </c>
      <c r="E706" s="5">
        <v>2500</v>
      </c>
      <c r="F706" s="5">
        <v>2500</v>
      </c>
      <c r="G706" s="5">
        <v>1750</v>
      </c>
      <c r="H706" s="4"/>
      <c r="I706" s="4" t="s">
        <v>167</v>
      </c>
      <c r="J706" s="4" t="s">
        <v>460</v>
      </c>
      <c r="K706" s="4" t="s">
        <v>11</v>
      </c>
      <c r="L706" s="4" t="s">
        <v>195</v>
      </c>
    </row>
    <row r="707" spans="1:12">
      <c r="A707" s="3">
        <v>44618.047546296293</v>
      </c>
      <c r="B707" s="4">
        <v>287834730</v>
      </c>
      <c r="C707" s="4" t="s">
        <v>275</v>
      </c>
      <c r="D707" s="4" t="s">
        <v>9</v>
      </c>
      <c r="E707" s="5">
        <v>2000</v>
      </c>
      <c r="F707" s="5">
        <v>2000</v>
      </c>
      <c r="G707" s="5">
        <v>1400</v>
      </c>
      <c r="H707" s="4"/>
      <c r="I707" s="4" t="s">
        <v>169</v>
      </c>
      <c r="J707" s="4" t="s">
        <v>460</v>
      </c>
      <c r="K707" s="4" t="s">
        <v>11</v>
      </c>
      <c r="L707" s="4" t="s">
        <v>206</v>
      </c>
    </row>
    <row r="708" spans="1:12">
      <c r="A708" s="3">
        <v>44618.213935185187</v>
      </c>
      <c r="B708" s="4">
        <v>287834730</v>
      </c>
      <c r="C708" s="4" t="s">
        <v>275</v>
      </c>
      <c r="D708" s="4" t="s">
        <v>9</v>
      </c>
      <c r="E708" s="5">
        <v>2000</v>
      </c>
      <c r="F708" s="5">
        <v>2000</v>
      </c>
      <c r="G708" s="5">
        <v>1400</v>
      </c>
      <c r="H708" s="4"/>
      <c r="I708" s="4" t="s">
        <v>169</v>
      </c>
      <c r="J708" s="4" t="s">
        <v>460</v>
      </c>
      <c r="K708" s="4" t="s">
        <v>11</v>
      </c>
      <c r="L708" s="4" t="s">
        <v>206</v>
      </c>
    </row>
    <row r="709" spans="1:12">
      <c r="A709" s="3">
        <v>44618.271504629629</v>
      </c>
      <c r="B709" s="4">
        <v>289315562</v>
      </c>
      <c r="C709" s="4" t="s">
        <v>478</v>
      </c>
      <c r="D709" s="4" t="s">
        <v>9</v>
      </c>
      <c r="E709" s="5">
        <v>3000</v>
      </c>
      <c r="F709" s="5">
        <v>3000</v>
      </c>
      <c r="G709" s="5">
        <v>2100</v>
      </c>
      <c r="H709" s="4"/>
      <c r="I709" s="4" t="s">
        <v>454</v>
      </c>
      <c r="J709" s="4" t="s">
        <v>460</v>
      </c>
      <c r="K709" s="4" t="s">
        <v>11</v>
      </c>
      <c r="L709" s="4" t="s">
        <v>397</v>
      </c>
    </row>
    <row r="710" spans="1:12">
      <c r="A710" s="3">
        <v>44618.389201388891</v>
      </c>
      <c r="B710" s="4">
        <v>289315562</v>
      </c>
      <c r="C710" s="4" t="s">
        <v>478</v>
      </c>
      <c r="D710" s="4" t="s">
        <v>9</v>
      </c>
      <c r="E710" s="5">
        <v>3000</v>
      </c>
      <c r="F710" s="5">
        <v>3000</v>
      </c>
      <c r="G710" s="5">
        <v>2100</v>
      </c>
      <c r="H710" s="4"/>
      <c r="I710" s="4" t="s">
        <v>454</v>
      </c>
      <c r="J710" s="4" t="s">
        <v>460</v>
      </c>
      <c r="K710" s="4" t="s">
        <v>11</v>
      </c>
      <c r="L710" s="4" t="s">
        <v>397</v>
      </c>
    </row>
    <row r="711" spans="1:12">
      <c r="A711" s="3">
        <v>44618.445949074077</v>
      </c>
      <c r="B711" s="4">
        <v>289315562</v>
      </c>
      <c r="C711" s="4" t="s">
        <v>478</v>
      </c>
      <c r="D711" s="4" t="s">
        <v>9</v>
      </c>
      <c r="E711" s="5">
        <v>3000</v>
      </c>
      <c r="F711" s="5">
        <v>3000</v>
      </c>
      <c r="G711" s="5">
        <v>2100</v>
      </c>
      <c r="H711" s="4"/>
      <c r="I711" s="4" t="s">
        <v>454</v>
      </c>
      <c r="J711" s="4" t="s">
        <v>460</v>
      </c>
      <c r="K711" s="4" t="s">
        <v>11</v>
      </c>
      <c r="L711" s="4" t="s">
        <v>397</v>
      </c>
    </row>
    <row r="712" spans="1:12">
      <c r="A712" s="3">
        <v>44618.452824074076</v>
      </c>
      <c r="B712" s="4">
        <v>289315562</v>
      </c>
      <c r="C712" s="4" t="s">
        <v>478</v>
      </c>
      <c r="D712" s="4" t="s">
        <v>9</v>
      </c>
      <c r="E712" s="5">
        <v>3000</v>
      </c>
      <c r="F712" s="5">
        <v>3000</v>
      </c>
      <c r="G712" s="5">
        <v>2100</v>
      </c>
      <c r="H712" s="4"/>
      <c r="I712" s="4" t="s">
        <v>454</v>
      </c>
      <c r="J712" s="4" t="s">
        <v>460</v>
      </c>
      <c r="K712" s="4" t="s">
        <v>11</v>
      </c>
      <c r="L712" s="4" t="s">
        <v>397</v>
      </c>
    </row>
    <row r="713" spans="1:12">
      <c r="A713" s="3">
        <v>44618.477002314816</v>
      </c>
      <c r="B713" s="4">
        <v>287834730</v>
      </c>
      <c r="C713" s="4" t="s">
        <v>275</v>
      </c>
      <c r="D713" s="4" t="s">
        <v>9</v>
      </c>
      <c r="E713" s="5">
        <v>2000</v>
      </c>
      <c r="F713" s="5">
        <v>2000</v>
      </c>
      <c r="G713" s="5">
        <v>1400</v>
      </c>
      <c r="H713" s="4"/>
      <c r="I713" s="4" t="s">
        <v>169</v>
      </c>
      <c r="J713" s="4" t="s">
        <v>460</v>
      </c>
      <c r="K713" s="4" t="s">
        <v>11</v>
      </c>
      <c r="L713" s="4" t="s">
        <v>206</v>
      </c>
    </row>
    <row r="714" spans="1:12">
      <c r="A714" s="3">
        <v>44618.478738425925</v>
      </c>
      <c r="B714" s="4">
        <v>287834730</v>
      </c>
      <c r="C714" s="4" t="s">
        <v>275</v>
      </c>
      <c r="D714" s="4" t="s">
        <v>9</v>
      </c>
      <c r="E714" s="5">
        <v>2000</v>
      </c>
      <c r="F714" s="5">
        <v>2000</v>
      </c>
      <c r="G714" s="5">
        <v>1400</v>
      </c>
      <c r="H714" s="4"/>
      <c r="I714" s="4" t="s">
        <v>169</v>
      </c>
      <c r="J714" s="4" t="s">
        <v>460</v>
      </c>
      <c r="K714" s="4" t="s">
        <v>11</v>
      </c>
      <c r="L714" s="4" t="s">
        <v>206</v>
      </c>
    </row>
    <row r="715" spans="1:12">
      <c r="A715" s="3">
        <v>44618.729722222219</v>
      </c>
      <c r="B715" s="4">
        <v>289315562</v>
      </c>
      <c r="C715" s="4" t="s">
        <v>478</v>
      </c>
      <c r="D715" s="4" t="s">
        <v>9</v>
      </c>
      <c r="E715" s="5">
        <v>3000</v>
      </c>
      <c r="F715" s="5">
        <v>3000</v>
      </c>
      <c r="G715" s="5">
        <v>2100</v>
      </c>
      <c r="H715" s="4"/>
      <c r="I715" s="4" t="s">
        <v>454</v>
      </c>
      <c r="J715" s="4" t="s">
        <v>460</v>
      </c>
      <c r="K715" s="4" t="s">
        <v>11</v>
      </c>
      <c r="L715" s="4" t="s">
        <v>397</v>
      </c>
    </row>
    <row r="716" spans="1:12">
      <c r="A716" s="3">
        <v>44618.76425925926</v>
      </c>
      <c r="B716" s="4">
        <v>286755913</v>
      </c>
      <c r="C716" s="4" t="s">
        <v>222</v>
      </c>
      <c r="D716" s="4" t="s">
        <v>9</v>
      </c>
      <c r="E716" s="5">
        <v>2000</v>
      </c>
      <c r="F716" s="5">
        <v>2000</v>
      </c>
      <c r="G716" s="5">
        <v>1400</v>
      </c>
      <c r="H716" s="4"/>
      <c r="I716" s="4" t="s">
        <v>159</v>
      </c>
      <c r="J716" s="4" t="s">
        <v>460</v>
      </c>
      <c r="K716" s="4" t="s">
        <v>11</v>
      </c>
      <c r="L716" s="4" t="s">
        <v>144</v>
      </c>
    </row>
    <row r="717" spans="1:12">
      <c r="A717" s="3">
        <v>44618.834305555552</v>
      </c>
      <c r="B717" s="4">
        <v>288676933</v>
      </c>
      <c r="C717" s="4" t="s">
        <v>451</v>
      </c>
      <c r="D717" s="4" t="s">
        <v>9</v>
      </c>
      <c r="E717" s="5">
        <v>2500</v>
      </c>
      <c r="F717" s="5">
        <v>2500</v>
      </c>
      <c r="G717" s="5">
        <v>1750</v>
      </c>
      <c r="H717" s="4"/>
      <c r="I717" s="4" t="s">
        <v>450</v>
      </c>
      <c r="J717" s="4" t="s">
        <v>460</v>
      </c>
      <c r="K717" s="4" t="s">
        <v>11</v>
      </c>
      <c r="L717" s="4" t="s">
        <v>371</v>
      </c>
    </row>
    <row r="718" spans="1:12">
      <c r="A718" s="3">
        <v>44618.8518287037</v>
      </c>
      <c r="B718" s="4">
        <v>289315562</v>
      </c>
      <c r="C718" s="4" t="s">
        <v>478</v>
      </c>
      <c r="D718" s="4" t="s">
        <v>9</v>
      </c>
      <c r="E718" s="5">
        <v>3000</v>
      </c>
      <c r="F718" s="5">
        <v>3000</v>
      </c>
      <c r="G718" s="5">
        <v>2100</v>
      </c>
      <c r="H718" s="4"/>
      <c r="I718" s="4" t="s">
        <v>454</v>
      </c>
      <c r="J718" s="4" t="s">
        <v>460</v>
      </c>
      <c r="K718" s="4" t="s">
        <v>11</v>
      </c>
      <c r="L718" s="4" t="s">
        <v>397</v>
      </c>
    </row>
    <row r="719" spans="1:12">
      <c r="A719" s="3">
        <v>44618.864212962966</v>
      </c>
      <c r="B719" s="4">
        <v>287834730</v>
      </c>
      <c r="C719" s="4" t="s">
        <v>275</v>
      </c>
      <c r="D719" s="4" t="s">
        <v>9</v>
      </c>
      <c r="E719" s="5">
        <v>2000</v>
      </c>
      <c r="F719" s="5">
        <v>2000</v>
      </c>
      <c r="G719" s="5">
        <v>1400</v>
      </c>
      <c r="H719" s="4"/>
      <c r="I719" s="4" t="s">
        <v>169</v>
      </c>
      <c r="J719" s="4" t="s">
        <v>460</v>
      </c>
      <c r="K719" s="4" t="s">
        <v>11</v>
      </c>
      <c r="L719" s="4" t="s">
        <v>206</v>
      </c>
    </row>
    <row r="720" spans="1:12">
      <c r="A720" s="3">
        <v>44618.940601851849</v>
      </c>
      <c r="B720" s="4">
        <v>287834730</v>
      </c>
      <c r="C720" s="4" t="s">
        <v>275</v>
      </c>
      <c r="D720" s="4" t="s">
        <v>9</v>
      </c>
      <c r="E720" s="5">
        <v>2000</v>
      </c>
      <c r="F720" s="5">
        <v>2000</v>
      </c>
      <c r="G720" s="5">
        <v>1400</v>
      </c>
      <c r="H720" s="4"/>
      <c r="I720" s="4" t="s">
        <v>169</v>
      </c>
      <c r="J720" s="4" t="s">
        <v>460</v>
      </c>
      <c r="K720" s="4" t="s">
        <v>11</v>
      </c>
      <c r="L720" s="4" t="s">
        <v>206</v>
      </c>
    </row>
    <row r="721" spans="1:12">
      <c r="A721" s="3">
        <v>44618.976365740738</v>
      </c>
      <c r="B721" s="4">
        <v>287834730</v>
      </c>
      <c r="C721" s="4" t="s">
        <v>275</v>
      </c>
      <c r="D721" s="4" t="s">
        <v>9</v>
      </c>
      <c r="E721" s="5">
        <v>2000</v>
      </c>
      <c r="F721" s="5">
        <v>2000</v>
      </c>
      <c r="G721" s="5">
        <v>1400</v>
      </c>
      <c r="H721" s="4"/>
      <c r="I721" s="4" t="s">
        <v>169</v>
      </c>
      <c r="J721" s="4" t="s">
        <v>460</v>
      </c>
      <c r="K721" s="4" t="s">
        <v>11</v>
      </c>
      <c r="L721" s="4" t="s">
        <v>206</v>
      </c>
    </row>
    <row r="722" spans="1:12">
      <c r="A722" s="3">
        <v>44618.979513888888</v>
      </c>
      <c r="B722" s="4">
        <v>289315562</v>
      </c>
      <c r="C722" s="4" t="s">
        <v>478</v>
      </c>
      <c r="D722" s="4" t="s">
        <v>9</v>
      </c>
      <c r="E722" s="5">
        <v>3000</v>
      </c>
      <c r="F722" s="5">
        <v>3000</v>
      </c>
      <c r="G722" s="5">
        <v>2100</v>
      </c>
      <c r="H722" s="4"/>
      <c r="I722" s="4" t="s">
        <v>454</v>
      </c>
      <c r="J722" s="4" t="s">
        <v>460</v>
      </c>
      <c r="K722" s="4" t="s">
        <v>11</v>
      </c>
      <c r="L722" s="4" t="s">
        <v>397</v>
      </c>
    </row>
    <row r="723" spans="1:12">
      <c r="A723" s="3">
        <v>44618.990543981483</v>
      </c>
      <c r="B723" s="4">
        <v>289315562</v>
      </c>
      <c r="C723" s="4" t="s">
        <v>478</v>
      </c>
      <c r="D723" s="4" t="s">
        <v>9</v>
      </c>
      <c r="E723" s="5">
        <v>3000</v>
      </c>
      <c r="F723" s="5">
        <v>3000</v>
      </c>
      <c r="G723" s="5">
        <v>2100</v>
      </c>
      <c r="H723" s="4"/>
      <c r="I723" s="4" t="s">
        <v>454</v>
      </c>
      <c r="J723" s="4" t="s">
        <v>460</v>
      </c>
      <c r="K723" s="4" t="s">
        <v>11</v>
      </c>
      <c r="L723" s="4" t="s">
        <v>397</v>
      </c>
    </row>
    <row r="724" spans="1:12">
      <c r="A724" s="3">
        <v>44619.002766203703</v>
      </c>
      <c r="B724" s="4">
        <v>289315562</v>
      </c>
      <c r="C724" s="4" t="s">
        <v>478</v>
      </c>
      <c r="D724" s="4" t="s">
        <v>9</v>
      </c>
      <c r="E724" s="5">
        <v>3000</v>
      </c>
      <c r="F724" s="5">
        <v>3000</v>
      </c>
      <c r="G724" s="5">
        <v>2100</v>
      </c>
      <c r="H724" s="4"/>
      <c r="I724" s="4" t="s">
        <v>454</v>
      </c>
      <c r="J724" s="4" t="s">
        <v>460</v>
      </c>
      <c r="K724" s="4" t="s">
        <v>11</v>
      </c>
      <c r="L724" s="4" t="s">
        <v>397</v>
      </c>
    </row>
    <row r="725" spans="1:12">
      <c r="A725" s="3">
        <v>44619.038078703707</v>
      </c>
      <c r="B725" s="4">
        <v>287834730</v>
      </c>
      <c r="C725" s="4" t="s">
        <v>275</v>
      </c>
      <c r="D725" s="4" t="s">
        <v>9</v>
      </c>
      <c r="E725" s="5">
        <v>2000</v>
      </c>
      <c r="F725" s="5">
        <v>2000</v>
      </c>
      <c r="G725" s="5">
        <v>1400</v>
      </c>
      <c r="H725" s="4"/>
      <c r="I725" s="4" t="s">
        <v>169</v>
      </c>
      <c r="J725" s="4" t="s">
        <v>460</v>
      </c>
      <c r="K725" s="4" t="s">
        <v>11</v>
      </c>
      <c r="L725" s="4" t="s">
        <v>206</v>
      </c>
    </row>
    <row r="726" spans="1:12">
      <c r="A726" s="3">
        <v>44619.038923611108</v>
      </c>
      <c r="B726" s="4">
        <v>289315562</v>
      </c>
      <c r="C726" s="4" t="s">
        <v>478</v>
      </c>
      <c r="D726" s="4" t="s">
        <v>9</v>
      </c>
      <c r="E726" s="5">
        <v>3000</v>
      </c>
      <c r="F726" s="5">
        <v>3000</v>
      </c>
      <c r="G726" s="5">
        <v>2100</v>
      </c>
      <c r="H726" s="4"/>
      <c r="I726" s="4" t="s">
        <v>454</v>
      </c>
      <c r="J726" s="4" t="s">
        <v>460</v>
      </c>
      <c r="K726" s="4" t="s">
        <v>11</v>
      </c>
      <c r="L726" s="4" t="s">
        <v>397</v>
      </c>
    </row>
    <row r="727" spans="1:12">
      <c r="A727" s="3">
        <v>44619.133275462962</v>
      </c>
      <c r="B727" s="4">
        <v>289315562</v>
      </c>
      <c r="C727" s="4" t="s">
        <v>478</v>
      </c>
      <c r="D727" s="4" t="s">
        <v>9</v>
      </c>
      <c r="E727" s="5">
        <v>3000</v>
      </c>
      <c r="F727" s="5">
        <v>3000</v>
      </c>
      <c r="G727" s="5">
        <v>2100</v>
      </c>
      <c r="H727" s="4"/>
      <c r="I727" s="4" t="s">
        <v>454</v>
      </c>
      <c r="J727" s="4" t="s">
        <v>460</v>
      </c>
      <c r="K727" s="4" t="s">
        <v>11</v>
      </c>
      <c r="L727" s="4" t="s">
        <v>397</v>
      </c>
    </row>
    <row r="728" spans="1:12">
      <c r="A728" s="3">
        <v>44619.418680555558</v>
      </c>
      <c r="B728" s="4">
        <v>289315562</v>
      </c>
      <c r="C728" s="4" t="s">
        <v>478</v>
      </c>
      <c r="D728" s="4" t="s">
        <v>9</v>
      </c>
      <c r="E728" s="5">
        <v>3000</v>
      </c>
      <c r="F728" s="5">
        <v>3000</v>
      </c>
      <c r="G728" s="5">
        <v>2100</v>
      </c>
      <c r="H728" s="4"/>
      <c r="I728" s="4" t="s">
        <v>454</v>
      </c>
      <c r="J728" s="4" t="s">
        <v>460</v>
      </c>
      <c r="K728" s="4" t="s">
        <v>11</v>
      </c>
      <c r="L728" s="4" t="s">
        <v>397</v>
      </c>
    </row>
    <row r="729" spans="1:12">
      <c r="A729" s="3">
        <v>44619.514861111114</v>
      </c>
      <c r="B729" s="4">
        <v>289315562</v>
      </c>
      <c r="C729" s="4" t="s">
        <v>478</v>
      </c>
      <c r="D729" s="4" t="s">
        <v>9</v>
      </c>
      <c r="E729" s="5">
        <v>3000</v>
      </c>
      <c r="F729" s="5">
        <v>3000</v>
      </c>
      <c r="G729" s="5">
        <v>2100</v>
      </c>
      <c r="H729" s="4"/>
      <c r="I729" s="4" t="s">
        <v>454</v>
      </c>
      <c r="J729" s="4" t="s">
        <v>460</v>
      </c>
      <c r="K729" s="4" t="s">
        <v>11</v>
      </c>
      <c r="L729" s="4" t="s">
        <v>397</v>
      </c>
    </row>
    <row r="730" spans="1:12">
      <c r="A730" s="3">
        <v>44619.522465277776</v>
      </c>
      <c r="B730" s="4">
        <v>286405921</v>
      </c>
      <c r="C730" s="4" t="s">
        <v>245</v>
      </c>
      <c r="D730" s="4" t="s">
        <v>9</v>
      </c>
      <c r="E730" s="5">
        <v>2500</v>
      </c>
      <c r="F730" s="5">
        <v>2500</v>
      </c>
      <c r="G730" s="5">
        <v>1750</v>
      </c>
      <c r="H730" s="4"/>
      <c r="I730" s="4" t="s">
        <v>221</v>
      </c>
      <c r="J730" s="4" t="s">
        <v>460</v>
      </c>
      <c r="K730" s="4" t="s">
        <v>11</v>
      </c>
      <c r="L730" s="4" t="s">
        <v>137</v>
      </c>
    </row>
    <row r="731" spans="1:12">
      <c r="A731" s="3">
        <v>44619.571030092593</v>
      </c>
      <c r="B731" s="4">
        <v>289315562</v>
      </c>
      <c r="C731" s="4" t="s">
        <v>478</v>
      </c>
      <c r="D731" s="4" t="s">
        <v>9</v>
      </c>
      <c r="E731" s="5">
        <v>3000</v>
      </c>
      <c r="F731" s="5">
        <v>3000</v>
      </c>
      <c r="G731" s="5">
        <v>2100</v>
      </c>
      <c r="H731" s="4"/>
      <c r="I731" s="4" t="s">
        <v>454</v>
      </c>
      <c r="J731" s="4" t="s">
        <v>460</v>
      </c>
      <c r="K731" s="4" t="s">
        <v>11</v>
      </c>
      <c r="L731" s="4" t="s">
        <v>397</v>
      </c>
    </row>
    <row r="732" spans="1:12">
      <c r="A732" s="3">
        <v>44619.586238425924</v>
      </c>
      <c r="B732" s="4">
        <v>289172019</v>
      </c>
      <c r="C732" s="4" t="s">
        <v>479</v>
      </c>
      <c r="D732" s="4" t="s">
        <v>9</v>
      </c>
      <c r="E732" s="5">
        <v>3000</v>
      </c>
      <c r="F732" s="5">
        <v>3000</v>
      </c>
      <c r="G732" s="5">
        <v>2100</v>
      </c>
      <c r="H732" s="4"/>
      <c r="I732" s="4" t="s">
        <v>452</v>
      </c>
      <c r="J732" s="4" t="s">
        <v>460</v>
      </c>
      <c r="K732" s="4" t="s">
        <v>11</v>
      </c>
      <c r="L732" s="4" t="s">
        <v>411</v>
      </c>
    </row>
    <row r="733" spans="1:12">
      <c r="A733" s="3">
        <v>44619.644317129627</v>
      </c>
      <c r="B733" s="4">
        <v>289315562</v>
      </c>
      <c r="C733" s="4" t="s">
        <v>478</v>
      </c>
      <c r="D733" s="4" t="s">
        <v>9</v>
      </c>
      <c r="E733" s="5">
        <v>3000</v>
      </c>
      <c r="F733" s="5">
        <v>3000</v>
      </c>
      <c r="G733" s="5">
        <v>2100</v>
      </c>
      <c r="H733" s="4"/>
      <c r="I733" s="4" t="s">
        <v>454</v>
      </c>
      <c r="J733" s="4" t="s">
        <v>460</v>
      </c>
      <c r="K733" s="4" t="s">
        <v>11</v>
      </c>
      <c r="L733" s="4" t="s">
        <v>397</v>
      </c>
    </row>
    <row r="734" spans="1:12">
      <c r="A734" s="3">
        <v>44619.648113425923</v>
      </c>
      <c r="B734" s="4">
        <v>289172019</v>
      </c>
      <c r="C734" s="4" t="s">
        <v>479</v>
      </c>
      <c r="D734" s="4" t="s">
        <v>9</v>
      </c>
      <c r="E734" s="5">
        <v>3000</v>
      </c>
      <c r="F734" s="5">
        <v>3000</v>
      </c>
      <c r="G734" s="5">
        <v>2100</v>
      </c>
      <c r="H734" s="4"/>
      <c r="I734" s="4" t="s">
        <v>452</v>
      </c>
      <c r="J734" s="4" t="s">
        <v>460</v>
      </c>
      <c r="K734" s="4" t="s">
        <v>11</v>
      </c>
      <c r="L734" s="4" t="s">
        <v>411</v>
      </c>
    </row>
    <row r="735" spans="1:12">
      <c r="A735" s="3">
        <v>44619.67324074074</v>
      </c>
      <c r="B735" s="4">
        <v>287086652</v>
      </c>
      <c r="C735" s="4" t="s">
        <v>220</v>
      </c>
      <c r="D735" s="4" t="s">
        <v>9</v>
      </c>
      <c r="E735" s="5">
        <v>2000</v>
      </c>
      <c r="F735" s="5">
        <v>2000</v>
      </c>
      <c r="G735" s="5">
        <v>1400</v>
      </c>
      <c r="H735" s="4"/>
      <c r="I735" s="4" t="s">
        <v>162</v>
      </c>
      <c r="J735" s="4" t="s">
        <v>460</v>
      </c>
      <c r="K735" s="4" t="s">
        <v>11</v>
      </c>
      <c r="L735" s="4" t="s">
        <v>150</v>
      </c>
    </row>
    <row r="736" spans="1:12">
      <c r="A736" s="3">
        <v>44619.747754629629</v>
      </c>
      <c r="B736" s="4">
        <v>287834730</v>
      </c>
      <c r="C736" s="4" t="s">
        <v>275</v>
      </c>
      <c r="D736" s="4" t="s">
        <v>9</v>
      </c>
      <c r="E736" s="5">
        <v>2000</v>
      </c>
      <c r="F736" s="5">
        <v>2000</v>
      </c>
      <c r="G736" s="5">
        <v>1400</v>
      </c>
      <c r="H736" s="4"/>
      <c r="I736" s="4" t="s">
        <v>169</v>
      </c>
      <c r="J736" s="4" t="s">
        <v>460</v>
      </c>
      <c r="K736" s="4" t="s">
        <v>11</v>
      </c>
      <c r="L736" s="4" t="s">
        <v>206</v>
      </c>
    </row>
    <row r="737" spans="1:12">
      <c r="A737" s="3">
        <v>44619.773530092592</v>
      </c>
      <c r="B737" s="4">
        <v>289315562</v>
      </c>
      <c r="C737" s="4" t="s">
        <v>478</v>
      </c>
      <c r="D737" s="4" t="s">
        <v>9</v>
      </c>
      <c r="E737" s="5">
        <v>3000</v>
      </c>
      <c r="F737" s="5">
        <v>3000</v>
      </c>
      <c r="G737" s="5">
        <v>2100</v>
      </c>
      <c r="H737" s="4"/>
      <c r="I737" s="4" t="s">
        <v>454</v>
      </c>
      <c r="J737" s="4" t="s">
        <v>460</v>
      </c>
      <c r="K737" s="4" t="s">
        <v>11</v>
      </c>
      <c r="L737" s="4" t="s">
        <v>397</v>
      </c>
    </row>
    <row r="738" spans="1:12">
      <c r="A738" s="3">
        <v>44619.810057870367</v>
      </c>
      <c r="B738" s="4">
        <v>287834730</v>
      </c>
      <c r="C738" s="4" t="s">
        <v>275</v>
      </c>
      <c r="D738" s="4" t="s">
        <v>9</v>
      </c>
      <c r="E738" s="5">
        <v>2000</v>
      </c>
      <c r="F738" s="5">
        <v>2000</v>
      </c>
      <c r="G738" s="5">
        <v>1400</v>
      </c>
      <c r="H738" s="4"/>
      <c r="I738" s="4" t="s">
        <v>169</v>
      </c>
      <c r="J738" s="4" t="s">
        <v>460</v>
      </c>
      <c r="K738" s="4" t="s">
        <v>11</v>
      </c>
      <c r="L738" s="4" t="s">
        <v>206</v>
      </c>
    </row>
    <row r="739" spans="1:12">
      <c r="A739" s="3">
        <v>44619.84715277778</v>
      </c>
      <c r="B739" s="4">
        <v>289315562</v>
      </c>
      <c r="C739" s="4" t="s">
        <v>478</v>
      </c>
      <c r="D739" s="4" t="s">
        <v>9</v>
      </c>
      <c r="E739" s="5">
        <v>3000</v>
      </c>
      <c r="F739" s="5">
        <v>3000</v>
      </c>
      <c r="G739" s="5">
        <v>2100</v>
      </c>
      <c r="H739" s="4"/>
      <c r="I739" s="4" t="s">
        <v>454</v>
      </c>
      <c r="J739" s="4" t="s">
        <v>460</v>
      </c>
      <c r="K739" s="4" t="s">
        <v>11</v>
      </c>
      <c r="L739" s="4" t="s">
        <v>397</v>
      </c>
    </row>
    <row r="740" spans="1:12">
      <c r="A740" s="3">
        <v>44619.868935185186</v>
      </c>
      <c r="B740" s="4">
        <v>289315562</v>
      </c>
      <c r="C740" s="4" t="s">
        <v>478</v>
      </c>
      <c r="D740" s="4" t="s">
        <v>9</v>
      </c>
      <c r="E740" s="5">
        <v>3000</v>
      </c>
      <c r="F740" s="5">
        <v>3000</v>
      </c>
      <c r="G740" s="5">
        <v>2100</v>
      </c>
      <c r="H740" s="4"/>
      <c r="I740" s="4" t="s">
        <v>454</v>
      </c>
      <c r="J740" s="4" t="s">
        <v>460</v>
      </c>
      <c r="K740" s="4" t="s">
        <v>11</v>
      </c>
      <c r="L740" s="4" t="s">
        <v>397</v>
      </c>
    </row>
    <row r="741" spans="1:12">
      <c r="A741" s="3">
        <v>44619.874560185184</v>
      </c>
      <c r="B741" s="4">
        <v>289315562</v>
      </c>
      <c r="C741" s="4" t="s">
        <v>478</v>
      </c>
      <c r="D741" s="4" t="s">
        <v>9</v>
      </c>
      <c r="E741" s="5">
        <v>3000</v>
      </c>
      <c r="F741" s="5">
        <v>3000</v>
      </c>
      <c r="G741" s="5">
        <v>2100</v>
      </c>
      <c r="H741" s="4"/>
      <c r="I741" s="4" t="s">
        <v>454</v>
      </c>
      <c r="J741" s="4" t="s">
        <v>460</v>
      </c>
      <c r="K741" s="4" t="s">
        <v>11</v>
      </c>
      <c r="L741" s="4" t="s">
        <v>397</v>
      </c>
    </row>
    <row r="742" spans="1:12">
      <c r="A742" s="3">
        <v>44619.891828703701</v>
      </c>
      <c r="B742" s="4">
        <v>287834730</v>
      </c>
      <c r="C742" s="4" t="s">
        <v>275</v>
      </c>
      <c r="D742" s="4" t="s">
        <v>9</v>
      </c>
      <c r="E742" s="5">
        <v>2000</v>
      </c>
      <c r="F742" s="5">
        <v>2000</v>
      </c>
      <c r="G742" s="5">
        <v>1400</v>
      </c>
      <c r="H742" s="4"/>
      <c r="I742" s="4" t="s">
        <v>169</v>
      </c>
      <c r="J742" s="4" t="s">
        <v>460</v>
      </c>
      <c r="K742" s="4" t="s">
        <v>11</v>
      </c>
      <c r="L742" s="4" t="s">
        <v>206</v>
      </c>
    </row>
    <row r="743" spans="1:12">
      <c r="A743" s="3">
        <v>44619.911134259259</v>
      </c>
      <c r="B743" s="4">
        <v>289315562</v>
      </c>
      <c r="C743" s="4" t="s">
        <v>478</v>
      </c>
      <c r="D743" s="4" t="s">
        <v>9</v>
      </c>
      <c r="E743" s="5">
        <v>3000</v>
      </c>
      <c r="F743" s="5">
        <v>3000</v>
      </c>
      <c r="G743" s="5">
        <v>2100</v>
      </c>
      <c r="H743" s="4"/>
      <c r="I743" s="4" t="s">
        <v>454</v>
      </c>
      <c r="J743" s="4" t="s">
        <v>460</v>
      </c>
      <c r="K743" s="4" t="s">
        <v>11</v>
      </c>
      <c r="L743" s="4" t="s">
        <v>397</v>
      </c>
    </row>
    <row r="744" spans="1:12">
      <c r="A744" s="3">
        <v>44619.913680555554</v>
      </c>
      <c r="B744" s="4">
        <v>287834730</v>
      </c>
      <c r="C744" s="4" t="s">
        <v>275</v>
      </c>
      <c r="D744" s="4" t="s">
        <v>9</v>
      </c>
      <c r="E744" s="5">
        <v>2000</v>
      </c>
      <c r="F744" s="5">
        <v>2000</v>
      </c>
      <c r="G744" s="5">
        <v>1400</v>
      </c>
      <c r="H744" s="4"/>
      <c r="I744" s="4" t="s">
        <v>169</v>
      </c>
      <c r="J744" s="4" t="s">
        <v>460</v>
      </c>
      <c r="K744" s="4" t="s">
        <v>11</v>
      </c>
      <c r="L744" s="4" t="s">
        <v>206</v>
      </c>
    </row>
    <row r="745" spans="1:12">
      <c r="A745" s="3">
        <v>44619.916365740741</v>
      </c>
      <c r="B745" s="4">
        <v>287086652</v>
      </c>
      <c r="C745" s="4" t="s">
        <v>220</v>
      </c>
      <c r="D745" s="4" t="s">
        <v>9</v>
      </c>
      <c r="E745" s="5">
        <v>2000</v>
      </c>
      <c r="F745" s="5">
        <v>2000</v>
      </c>
      <c r="G745" s="5">
        <v>1400</v>
      </c>
      <c r="H745" s="4"/>
      <c r="I745" s="4" t="s">
        <v>162</v>
      </c>
      <c r="J745" s="4" t="s">
        <v>460</v>
      </c>
      <c r="K745" s="4" t="s">
        <v>11</v>
      </c>
      <c r="L745" s="4" t="s">
        <v>150</v>
      </c>
    </row>
    <row r="746" spans="1:12">
      <c r="A746" s="3">
        <v>44619.928715277776</v>
      </c>
      <c r="B746" s="4">
        <v>289658948</v>
      </c>
      <c r="C746" s="4" t="s">
        <v>580</v>
      </c>
      <c r="D746" s="4" t="s">
        <v>9</v>
      </c>
      <c r="E746" s="5">
        <v>3600</v>
      </c>
      <c r="F746" s="5">
        <v>3600</v>
      </c>
      <c r="G746" s="5">
        <v>2520</v>
      </c>
      <c r="H746" s="4"/>
      <c r="I746" s="4" t="s">
        <v>455</v>
      </c>
      <c r="J746" s="4" t="s">
        <v>460</v>
      </c>
      <c r="K746" s="4" t="s">
        <v>11</v>
      </c>
      <c r="L746" s="4" t="s">
        <v>417</v>
      </c>
    </row>
    <row r="747" spans="1:12">
      <c r="A747" s="3">
        <v>44619.93240740741</v>
      </c>
      <c r="B747" s="4">
        <v>289315562</v>
      </c>
      <c r="C747" s="4" t="s">
        <v>478</v>
      </c>
      <c r="D747" s="4" t="s">
        <v>9</v>
      </c>
      <c r="E747" s="5">
        <v>3000</v>
      </c>
      <c r="F747" s="5">
        <v>3000</v>
      </c>
      <c r="G747" s="5">
        <v>2100</v>
      </c>
      <c r="H747" s="4"/>
      <c r="I747" s="4" t="s">
        <v>454</v>
      </c>
      <c r="J747" s="4" t="s">
        <v>460</v>
      </c>
      <c r="K747" s="4" t="s">
        <v>11</v>
      </c>
      <c r="L747" s="4" t="s">
        <v>397</v>
      </c>
    </row>
    <row r="748" spans="1:12">
      <c r="A748" s="3">
        <v>44619.948622685188</v>
      </c>
      <c r="B748" s="4">
        <v>289315562</v>
      </c>
      <c r="C748" s="4" t="s">
        <v>478</v>
      </c>
      <c r="D748" s="4" t="s">
        <v>9</v>
      </c>
      <c r="E748" s="5">
        <v>3000</v>
      </c>
      <c r="F748" s="5">
        <v>3000</v>
      </c>
      <c r="G748" s="5">
        <v>2100</v>
      </c>
      <c r="H748" s="4"/>
      <c r="I748" s="4" t="s">
        <v>454</v>
      </c>
      <c r="J748" s="4" t="s">
        <v>460</v>
      </c>
      <c r="K748" s="4" t="s">
        <v>11</v>
      </c>
      <c r="L748" s="4" t="s">
        <v>397</v>
      </c>
    </row>
    <row r="749" spans="1:12">
      <c r="A749" s="3">
        <v>44619.958715277775</v>
      </c>
      <c r="B749" s="4">
        <v>287834730</v>
      </c>
      <c r="C749" s="4" t="s">
        <v>275</v>
      </c>
      <c r="D749" s="4" t="s">
        <v>9</v>
      </c>
      <c r="E749" s="5">
        <v>2000</v>
      </c>
      <c r="F749" s="5">
        <v>2000</v>
      </c>
      <c r="G749" s="5">
        <v>1400</v>
      </c>
      <c r="H749" s="4"/>
      <c r="I749" s="4" t="s">
        <v>169</v>
      </c>
      <c r="J749" s="4" t="s">
        <v>460</v>
      </c>
      <c r="K749" s="4" t="s">
        <v>11</v>
      </c>
      <c r="L749" s="4" t="s">
        <v>206</v>
      </c>
    </row>
    <row r="750" spans="1:12">
      <c r="A750" s="3">
        <v>44619.968877314815</v>
      </c>
      <c r="B750" s="4">
        <v>289315562</v>
      </c>
      <c r="C750" s="4" t="s">
        <v>478</v>
      </c>
      <c r="D750" s="4" t="s">
        <v>9</v>
      </c>
      <c r="E750" s="5">
        <v>3000</v>
      </c>
      <c r="F750" s="5">
        <v>3000</v>
      </c>
      <c r="G750" s="5">
        <v>2100</v>
      </c>
      <c r="H750" s="4"/>
      <c r="I750" s="4" t="s">
        <v>454</v>
      </c>
      <c r="J750" s="4" t="s">
        <v>460</v>
      </c>
      <c r="K750" s="4" t="s">
        <v>11</v>
      </c>
      <c r="L750" s="4" t="s">
        <v>397</v>
      </c>
    </row>
    <row r="751" spans="1:12">
      <c r="A751" s="3">
        <v>44619.996782407405</v>
      </c>
      <c r="B751" s="4">
        <v>288829883</v>
      </c>
      <c r="C751" s="4" t="s">
        <v>476</v>
      </c>
      <c r="D751" s="4" t="s">
        <v>9</v>
      </c>
      <c r="E751" s="5">
        <v>2000</v>
      </c>
      <c r="F751" s="5">
        <v>2000</v>
      </c>
      <c r="G751" s="5">
        <v>1400</v>
      </c>
      <c r="H751" s="4"/>
      <c r="I751" s="4" t="s">
        <v>552</v>
      </c>
      <c r="J751" s="4" t="s">
        <v>460</v>
      </c>
      <c r="K751" s="4" t="s">
        <v>11</v>
      </c>
      <c r="L751" s="4" t="s">
        <v>378</v>
      </c>
    </row>
    <row r="752" spans="1:12">
      <c r="A752" s="3">
        <v>44619.996967592589</v>
      </c>
      <c r="B752" s="4">
        <v>289658948</v>
      </c>
      <c r="C752" s="4" t="s">
        <v>580</v>
      </c>
      <c r="D752" s="4" t="s">
        <v>9</v>
      </c>
      <c r="E752" s="5">
        <v>3600</v>
      </c>
      <c r="F752" s="5">
        <v>3600</v>
      </c>
      <c r="G752" s="5">
        <v>2520</v>
      </c>
      <c r="H752" s="4"/>
      <c r="I752" s="4" t="s">
        <v>455</v>
      </c>
      <c r="J752" s="4" t="s">
        <v>460</v>
      </c>
      <c r="K752" s="4" t="s">
        <v>11</v>
      </c>
      <c r="L752" s="4" t="s">
        <v>417</v>
      </c>
    </row>
    <row r="753" spans="1:12">
      <c r="A753" s="3">
        <v>44619.997210648151</v>
      </c>
      <c r="B753" s="4">
        <v>289315562</v>
      </c>
      <c r="C753" s="4" t="s">
        <v>478</v>
      </c>
      <c r="D753" s="4" t="s">
        <v>9</v>
      </c>
      <c r="E753" s="5">
        <v>3000</v>
      </c>
      <c r="F753" s="5">
        <v>3000</v>
      </c>
      <c r="G753" s="5">
        <v>2100</v>
      </c>
      <c r="H753" s="4"/>
      <c r="I753" s="4" t="s">
        <v>454</v>
      </c>
      <c r="J753" s="4" t="s">
        <v>460</v>
      </c>
      <c r="K753" s="4" t="s">
        <v>11</v>
      </c>
      <c r="L753" s="4" t="s">
        <v>397</v>
      </c>
    </row>
    <row r="754" spans="1:12">
      <c r="A754" s="3">
        <v>44620.01</v>
      </c>
      <c r="B754" s="4">
        <v>286755913</v>
      </c>
      <c r="C754" s="4" t="s">
        <v>222</v>
      </c>
      <c r="D754" s="4" t="s">
        <v>9</v>
      </c>
      <c r="E754" s="5">
        <v>2000</v>
      </c>
      <c r="F754" s="5">
        <v>2000</v>
      </c>
      <c r="G754" s="5">
        <v>1400</v>
      </c>
      <c r="H754" s="4"/>
      <c r="I754" s="4" t="s">
        <v>159</v>
      </c>
      <c r="J754" s="4" t="s">
        <v>460</v>
      </c>
      <c r="K754" s="4" t="s">
        <v>11</v>
      </c>
      <c r="L754" s="4" t="s">
        <v>144</v>
      </c>
    </row>
    <row r="755" spans="1:12">
      <c r="A755" s="3">
        <v>44620.027314814812</v>
      </c>
      <c r="B755" s="4">
        <v>289315562</v>
      </c>
      <c r="C755" s="4" t="s">
        <v>478</v>
      </c>
      <c r="D755" s="4" t="s">
        <v>9</v>
      </c>
      <c r="E755" s="5">
        <v>3000</v>
      </c>
      <c r="F755" s="5">
        <v>3000</v>
      </c>
      <c r="G755" s="5">
        <v>2100</v>
      </c>
      <c r="H755" s="4"/>
      <c r="I755" s="4" t="s">
        <v>454</v>
      </c>
      <c r="J755" s="4" t="s">
        <v>460</v>
      </c>
      <c r="K755" s="4" t="s">
        <v>11</v>
      </c>
      <c r="L755" s="4" t="s">
        <v>397</v>
      </c>
    </row>
    <row r="756" spans="1:12">
      <c r="A756" s="3">
        <v>44620.066261574073</v>
      </c>
      <c r="B756" s="4">
        <v>287366429</v>
      </c>
      <c r="C756" s="4" t="s">
        <v>225</v>
      </c>
      <c r="D756" s="4" t="s">
        <v>9</v>
      </c>
      <c r="E756" s="5">
        <v>2000</v>
      </c>
      <c r="F756" s="5">
        <v>2000</v>
      </c>
      <c r="G756" s="5">
        <v>1400</v>
      </c>
      <c r="H756" s="4"/>
      <c r="I756" s="4" t="s">
        <v>166</v>
      </c>
      <c r="J756" s="4" t="s">
        <v>460</v>
      </c>
      <c r="K756" s="4" t="s">
        <v>11</v>
      </c>
      <c r="L756" s="4" t="s">
        <v>152</v>
      </c>
    </row>
    <row r="757" spans="1:12">
      <c r="A757" s="3">
        <v>44620.375300925924</v>
      </c>
      <c r="B757" s="4">
        <v>287834730</v>
      </c>
      <c r="C757" s="4" t="s">
        <v>275</v>
      </c>
      <c r="D757" s="4" t="s">
        <v>9</v>
      </c>
      <c r="E757" s="5">
        <v>2000</v>
      </c>
      <c r="F757" s="5">
        <v>2000</v>
      </c>
      <c r="G757" s="5">
        <v>1400</v>
      </c>
      <c r="H757" s="4"/>
      <c r="I757" s="4" t="s">
        <v>169</v>
      </c>
      <c r="J757" s="4" t="s">
        <v>460</v>
      </c>
      <c r="K757" s="4" t="s">
        <v>11</v>
      </c>
      <c r="L757" s="4" t="s">
        <v>206</v>
      </c>
    </row>
    <row r="758" spans="1:12">
      <c r="A758" s="3">
        <v>44620.376250000001</v>
      </c>
      <c r="B758" s="4">
        <v>287834730</v>
      </c>
      <c r="C758" s="4" t="s">
        <v>275</v>
      </c>
      <c r="D758" s="4" t="s">
        <v>9</v>
      </c>
      <c r="E758" s="5">
        <v>-2000</v>
      </c>
      <c r="F758" s="5">
        <v>-2000</v>
      </c>
      <c r="G758" s="5">
        <v>-1400</v>
      </c>
      <c r="H758" s="3">
        <v>44620.375300925924</v>
      </c>
      <c r="I758" s="4" t="s">
        <v>169</v>
      </c>
      <c r="J758" s="4" t="s">
        <v>460</v>
      </c>
      <c r="K758" s="4" t="s">
        <v>11</v>
      </c>
      <c r="L758" s="4" t="s">
        <v>206</v>
      </c>
    </row>
    <row r="759" spans="1:12">
      <c r="A759" s="3">
        <v>44620.378506944442</v>
      </c>
      <c r="B759" s="4">
        <v>287834730</v>
      </c>
      <c r="C759" s="4" t="s">
        <v>275</v>
      </c>
      <c r="D759" s="4" t="s">
        <v>9</v>
      </c>
      <c r="E759" s="5">
        <v>2000</v>
      </c>
      <c r="F759" s="5">
        <v>2000</v>
      </c>
      <c r="G759" s="5">
        <v>1400</v>
      </c>
      <c r="H759" s="4"/>
      <c r="I759" s="4" t="s">
        <v>169</v>
      </c>
      <c r="J759" s="4" t="s">
        <v>460</v>
      </c>
      <c r="K759" s="4" t="s">
        <v>11</v>
      </c>
      <c r="L759" s="4" t="s">
        <v>206</v>
      </c>
    </row>
    <row r="760" spans="1:12">
      <c r="A760" s="3">
        <v>44620.383113425924</v>
      </c>
      <c r="B760" s="4">
        <v>289956908</v>
      </c>
      <c r="C760" s="4" t="s">
        <v>481</v>
      </c>
      <c r="D760" s="4" t="s">
        <v>9</v>
      </c>
      <c r="E760" s="5">
        <v>2000</v>
      </c>
      <c r="F760" s="5">
        <v>2000</v>
      </c>
      <c r="G760" s="5">
        <v>1400</v>
      </c>
      <c r="H760" s="4"/>
      <c r="I760" s="4" t="s">
        <v>457</v>
      </c>
      <c r="J760" s="4" t="s">
        <v>460</v>
      </c>
      <c r="K760" s="4" t="s">
        <v>11</v>
      </c>
      <c r="L760" s="4" t="s">
        <v>430</v>
      </c>
    </row>
    <row r="761" spans="1:12">
      <c r="A761" s="3">
        <v>44620.394641203704</v>
      </c>
      <c r="B761" s="4">
        <v>287834730</v>
      </c>
      <c r="C761" s="4" t="s">
        <v>275</v>
      </c>
      <c r="D761" s="4" t="s">
        <v>9</v>
      </c>
      <c r="E761" s="5">
        <v>2000</v>
      </c>
      <c r="F761" s="5">
        <v>2000</v>
      </c>
      <c r="G761" s="5">
        <v>1400</v>
      </c>
      <c r="H761" s="4"/>
      <c r="I761" s="4" t="s">
        <v>169</v>
      </c>
      <c r="J761" s="4" t="s">
        <v>460</v>
      </c>
      <c r="K761" s="4" t="s">
        <v>11</v>
      </c>
      <c r="L761" s="4" t="s">
        <v>206</v>
      </c>
    </row>
    <row r="762" spans="1:12">
      <c r="A762" s="3">
        <v>44620.395219907405</v>
      </c>
      <c r="B762" s="4">
        <v>287834730</v>
      </c>
      <c r="C762" s="4" t="s">
        <v>275</v>
      </c>
      <c r="D762" s="4" t="s">
        <v>9</v>
      </c>
      <c r="E762" s="5">
        <v>2000</v>
      </c>
      <c r="F762" s="5">
        <v>2000</v>
      </c>
      <c r="G762" s="5">
        <v>1400</v>
      </c>
      <c r="H762" s="4"/>
      <c r="I762" s="4" t="s">
        <v>169</v>
      </c>
      <c r="J762" s="4" t="s">
        <v>460</v>
      </c>
      <c r="K762" s="4" t="s">
        <v>11</v>
      </c>
      <c r="L762" s="4" t="s">
        <v>206</v>
      </c>
    </row>
    <row r="763" spans="1:12">
      <c r="A763" s="3">
        <v>44620.399039351854</v>
      </c>
      <c r="B763" s="4">
        <v>289315562</v>
      </c>
      <c r="C763" s="4" t="s">
        <v>478</v>
      </c>
      <c r="D763" s="4" t="s">
        <v>9</v>
      </c>
      <c r="E763" s="5">
        <v>3000</v>
      </c>
      <c r="F763" s="5">
        <v>3000</v>
      </c>
      <c r="G763" s="5">
        <v>2100</v>
      </c>
      <c r="H763" s="4"/>
      <c r="I763" s="4" t="s">
        <v>454</v>
      </c>
      <c r="J763" s="4" t="s">
        <v>460</v>
      </c>
      <c r="K763" s="4" t="s">
        <v>11</v>
      </c>
      <c r="L763" s="4" t="s">
        <v>397</v>
      </c>
    </row>
    <row r="764" spans="1:12">
      <c r="A764" s="3">
        <v>44620.540046296293</v>
      </c>
      <c r="B764" s="4">
        <v>289956908</v>
      </c>
      <c r="C764" s="4" t="s">
        <v>481</v>
      </c>
      <c r="D764" s="4" t="s">
        <v>9</v>
      </c>
      <c r="E764" s="5">
        <v>2000</v>
      </c>
      <c r="F764" s="5">
        <v>2000</v>
      </c>
      <c r="G764" s="5">
        <v>1400</v>
      </c>
      <c r="H764" s="4"/>
      <c r="I764" s="4" t="s">
        <v>457</v>
      </c>
      <c r="J764" s="4" t="s">
        <v>460</v>
      </c>
      <c r="K764" s="4" t="s">
        <v>11</v>
      </c>
      <c r="L764" s="4" t="s">
        <v>430</v>
      </c>
    </row>
    <row r="765" spans="1:12">
      <c r="A765" s="3">
        <v>44620.544479166667</v>
      </c>
      <c r="B765" s="4">
        <v>289956908</v>
      </c>
      <c r="C765" s="4" t="s">
        <v>481</v>
      </c>
      <c r="D765" s="4" t="s">
        <v>9</v>
      </c>
      <c r="E765" s="5">
        <v>2000</v>
      </c>
      <c r="F765" s="5">
        <v>2000</v>
      </c>
      <c r="G765" s="5">
        <v>1400</v>
      </c>
      <c r="H765" s="4"/>
      <c r="I765" s="4" t="s">
        <v>457</v>
      </c>
      <c r="J765" s="4" t="s">
        <v>460</v>
      </c>
      <c r="K765" s="4" t="s">
        <v>11</v>
      </c>
      <c r="L765" s="4" t="s">
        <v>430</v>
      </c>
    </row>
    <row r="766" spans="1:12">
      <c r="A766" s="3">
        <v>44620.549837962964</v>
      </c>
      <c r="B766" s="4">
        <v>288829883</v>
      </c>
      <c r="C766" s="4" t="s">
        <v>476</v>
      </c>
      <c r="D766" s="4" t="s">
        <v>9</v>
      </c>
      <c r="E766" s="5">
        <v>2000</v>
      </c>
      <c r="F766" s="5">
        <v>2000</v>
      </c>
      <c r="G766" s="5">
        <v>1400</v>
      </c>
      <c r="H766" s="4"/>
      <c r="I766" s="4" t="s">
        <v>552</v>
      </c>
      <c r="J766" s="4" t="s">
        <v>460</v>
      </c>
      <c r="K766" s="4" t="s">
        <v>11</v>
      </c>
      <c r="L766" s="4" t="s">
        <v>378</v>
      </c>
    </row>
    <row r="767" spans="1:12">
      <c r="A767" s="3">
        <v>44620.560891203706</v>
      </c>
      <c r="B767" s="4">
        <v>289956908</v>
      </c>
      <c r="C767" s="4" t="s">
        <v>481</v>
      </c>
      <c r="D767" s="4" t="s">
        <v>9</v>
      </c>
      <c r="E767" s="5">
        <v>2000</v>
      </c>
      <c r="F767" s="5">
        <v>2000</v>
      </c>
      <c r="G767" s="5">
        <v>1400</v>
      </c>
      <c r="H767" s="4"/>
      <c r="I767" s="4" t="s">
        <v>457</v>
      </c>
      <c r="J767" s="4" t="s">
        <v>460</v>
      </c>
      <c r="K767" s="4" t="s">
        <v>11</v>
      </c>
      <c r="L767" s="4" t="s">
        <v>430</v>
      </c>
    </row>
    <row r="768" spans="1:12">
      <c r="A768" s="3">
        <v>44620.561053240737</v>
      </c>
      <c r="B768" s="4">
        <v>289315562</v>
      </c>
      <c r="C768" s="4" t="s">
        <v>478</v>
      </c>
      <c r="D768" s="4" t="s">
        <v>9</v>
      </c>
      <c r="E768" s="5">
        <v>3000</v>
      </c>
      <c r="F768" s="5">
        <v>3000</v>
      </c>
      <c r="G768" s="5">
        <v>2100</v>
      </c>
      <c r="H768" s="4"/>
      <c r="I768" s="4" t="s">
        <v>454</v>
      </c>
      <c r="J768" s="4" t="s">
        <v>460</v>
      </c>
      <c r="K768" s="4" t="s">
        <v>11</v>
      </c>
      <c r="L768" s="4" t="s">
        <v>397</v>
      </c>
    </row>
    <row r="769" spans="1:12">
      <c r="A769" s="3">
        <v>44620.589548611111</v>
      </c>
      <c r="B769" s="4">
        <v>286405921</v>
      </c>
      <c r="C769" s="4" t="s">
        <v>245</v>
      </c>
      <c r="D769" s="4" t="s">
        <v>9</v>
      </c>
      <c r="E769" s="5">
        <v>2500</v>
      </c>
      <c r="F769" s="5">
        <v>2500</v>
      </c>
      <c r="G769" s="5">
        <v>1750</v>
      </c>
      <c r="H769" s="4"/>
      <c r="I769" s="4" t="s">
        <v>221</v>
      </c>
      <c r="J769" s="4" t="s">
        <v>460</v>
      </c>
      <c r="K769" s="4" t="s">
        <v>11</v>
      </c>
      <c r="L769" s="4" t="s">
        <v>137</v>
      </c>
    </row>
    <row r="770" spans="1:12">
      <c r="A770" s="3">
        <v>44620.590520833335</v>
      </c>
      <c r="B770" s="4">
        <v>289315562</v>
      </c>
      <c r="C770" s="4" t="s">
        <v>478</v>
      </c>
      <c r="D770" s="4" t="s">
        <v>9</v>
      </c>
      <c r="E770" s="5">
        <v>3000</v>
      </c>
      <c r="F770" s="5">
        <v>3000</v>
      </c>
      <c r="G770" s="5">
        <v>2100</v>
      </c>
      <c r="H770" s="4"/>
      <c r="I770" s="4" t="s">
        <v>454</v>
      </c>
      <c r="J770" s="4" t="s">
        <v>460</v>
      </c>
      <c r="K770" s="4" t="s">
        <v>11</v>
      </c>
      <c r="L770" s="4" t="s">
        <v>397</v>
      </c>
    </row>
    <row r="771" spans="1:12">
      <c r="A771" s="3">
        <v>44620.605775462966</v>
      </c>
      <c r="B771" s="4">
        <v>289315562</v>
      </c>
      <c r="C771" s="4" t="s">
        <v>478</v>
      </c>
      <c r="D771" s="4" t="s">
        <v>9</v>
      </c>
      <c r="E771" s="5">
        <v>3000</v>
      </c>
      <c r="F771" s="5">
        <v>3000</v>
      </c>
      <c r="G771" s="5">
        <v>2100</v>
      </c>
      <c r="H771" s="4"/>
      <c r="I771" s="4" t="s">
        <v>454</v>
      </c>
      <c r="J771" s="4" t="s">
        <v>460</v>
      </c>
      <c r="K771" s="4" t="s">
        <v>11</v>
      </c>
      <c r="L771" s="4" t="s">
        <v>397</v>
      </c>
    </row>
    <row r="772" spans="1:12">
      <c r="A772" s="3">
        <v>44620.616597222222</v>
      </c>
      <c r="B772" s="4">
        <v>289658948</v>
      </c>
      <c r="C772" s="4" t="s">
        <v>580</v>
      </c>
      <c r="D772" s="4" t="s">
        <v>9</v>
      </c>
      <c r="E772" s="5">
        <v>3600</v>
      </c>
      <c r="F772" s="5">
        <v>3600</v>
      </c>
      <c r="G772" s="5">
        <v>2520</v>
      </c>
      <c r="H772" s="4"/>
      <c r="I772" s="4" t="s">
        <v>455</v>
      </c>
      <c r="J772" s="4" t="s">
        <v>460</v>
      </c>
      <c r="K772" s="4" t="s">
        <v>11</v>
      </c>
      <c r="L772" s="4" t="s">
        <v>417</v>
      </c>
    </row>
    <row r="773" spans="1:12">
      <c r="A773" s="3">
        <v>44620.63616898148</v>
      </c>
      <c r="B773" s="4">
        <v>289658948</v>
      </c>
      <c r="C773" s="4" t="s">
        <v>580</v>
      </c>
      <c r="D773" s="4" t="s">
        <v>9</v>
      </c>
      <c r="E773" s="5">
        <v>-3600</v>
      </c>
      <c r="F773" s="5">
        <v>-3600</v>
      </c>
      <c r="G773" s="5">
        <v>-2520</v>
      </c>
      <c r="H773" s="3">
        <v>44620.616597222222</v>
      </c>
      <c r="I773" s="4" t="s">
        <v>455</v>
      </c>
      <c r="J773" s="4" t="s">
        <v>460</v>
      </c>
      <c r="K773" s="4" t="s">
        <v>11</v>
      </c>
      <c r="L773" s="4" t="s">
        <v>417</v>
      </c>
    </row>
    <row r="774" spans="1:12">
      <c r="A774" s="3">
        <v>44620.626851851855</v>
      </c>
      <c r="B774" s="4">
        <v>287834730</v>
      </c>
      <c r="C774" s="4" t="s">
        <v>275</v>
      </c>
      <c r="D774" s="4" t="s">
        <v>9</v>
      </c>
      <c r="E774" s="5">
        <v>2000</v>
      </c>
      <c r="F774" s="5">
        <v>2000</v>
      </c>
      <c r="G774" s="5">
        <v>1400</v>
      </c>
      <c r="H774" s="4"/>
      <c r="I774" s="4" t="s">
        <v>169</v>
      </c>
      <c r="J774" s="4" t="s">
        <v>460</v>
      </c>
      <c r="K774" s="4" t="s">
        <v>11</v>
      </c>
      <c r="L774" s="4" t="s">
        <v>206</v>
      </c>
    </row>
    <row r="775" spans="1:12">
      <c r="A775" s="3">
        <v>44620.634884259256</v>
      </c>
      <c r="B775" s="4">
        <v>289315562</v>
      </c>
      <c r="C775" s="4" t="s">
        <v>478</v>
      </c>
      <c r="D775" s="4" t="s">
        <v>9</v>
      </c>
      <c r="E775" s="5">
        <v>3000</v>
      </c>
      <c r="F775" s="5">
        <v>3000</v>
      </c>
      <c r="G775" s="5">
        <v>2100</v>
      </c>
      <c r="H775" s="4"/>
      <c r="I775" s="4" t="s">
        <v>454</v>
      </c>
      <c r="J775" s="4" t="s">
        <v>460</v>
      </c>
      <c r="K775" s="4" t="s">
        <v>11</v>
      </c>
      <c r="L775" s="4" t="s">
        <v>397</v>
      </c>
    </row>
    <row r="776" spans="1:12">
      <c r="A776" s="3">
        <v>44620.653912037036</v>
      </c>
      <c r="B776" s="4">
        <v>289956908</v>
      </c>
      <c r="C776" s="4" t="s">
        <v>481</v>
      </c>
      <c r="D776" s="4" t="s">
        <v>9</v>
      </c>
      <c r="E776" s="5">
        <v>2000</v>
      </c>
      <c r="F776" s="5">
        <v>2000</v>
      </c>
      <c r="G776" s="5">
        <v>1400</v>
      </c>
      <c r="H776" s="4"/>
      <c r="I776" s="4" t="s">
        <v>457</v>
      </c>
      <c r="J776" s="4" t="s">
        <v>460</v>
      </c>
      <c r="K776" s="4" t="s">
        <v>11</v>
      </c>
      <c r="L776" s="4" t="s">
        <v>430</v>
      </c>
    </row>
    <row r="777" spans="1:12">
      <c r="A777" s="3">
        <v>44620.682754629626</v>
      </c>
      <c r="B777" s="4">
        <v>287834730</v>
      </c>
      <c r="C777" s="4" t="s">
        <v>275</v>
      </c>
      <c r="D777" s="4" t="s">
        <v>9</v>
      </c>
      <c r="E777" s="5">
        <v>2000</v>
      </c>
      <c r="F777" s="5">
        <v>2000</v>
      </c>
      <c r="G777" s="5">
        <v>1400</v>
      </c>
      <c r="H777" s="4"/>
      <c r="I777" s="4" t="s">
        <v>169</v>
      </c>
      <c r="J777" s="4" t="s">
        <v>460</v>
      </c>
      <c r="K777" s="4" t="s">
        <v>11</v>
      </c>
      <c r="L777" s="4" t="s">
        <v>206</v>
      </c>
    </row>
    <row r="778" spans="1:12">
      <c r="A778" s="3">
        <v>44620.692175925928</v>
      </c>
      <c r="B778" s="4">
        <v>287834730</v>
      </c>
      <c r="C778" s="4" t="s">
        <v>275</v>
      </c>
      <c r="D778" s="4" t="s">
        <v>9</v>
      </c>
      <c r="E778" s="5">
        <v>2000</v>
      </c>
      <c r="F778" s="5">
        <v>2000</v>
      </c>
      <c r="G778" s="5">
        <v>1400</v>
      </c>
      <c r="H778" s="4"/>
      <c r="I778" s="4" t="s">
        <v>169</v>
      </c>
      <c r="J778" s="4" t="s">
        <v>460</v>
      </c>
      <c r="K778" s="4" t="s">
        <v>11</v>
      </c>
      <c r="L778" s="4" t="s">
        <v>206</v>
      </c>
    </row>
    <row r="779" spans="1:12">
      <c r="A779" s="3">
        <v>44620.69427083333</v>
      </c>
      <c r="B779" s="4">
        <v>289956908</v>
      </c>
      <c r="C779" s="4" t="s">
        <v>481</v>
      </c>
      <c r="D779" s="4" t="s">
        <v>9</v>
      </c>
      <c r="E779" s="5">
        <v>2000</v>
      </c>
      <c r="F779" s="5">
        <v>2000</v>
      </c>
      <c r="G779" s="5">
        <v>1400</v>
      </c>
      <c r="H779" s="4"/>
      <c r="I779" s="4" t="s">
        <v>457</v>
      </c>
      <c r="J779" s="4" t="s">
        <v>460</v>
      </c>
      <c r="K779" s="4" t="s">
        <v>11</v>
      </c>
      <c r="L779" s="4" t="s">
        <v>430</v>
      </c>
    </row>
    <row r="780" spans="1:12">
      <c r="A780" s="3">
        <v>44620.694571759261</v>
      </c>
      <c r="B780" s="4">
        <v>289315562</v>
      </c>
      <c r="C780" s="4" t="s">
        <v>478</v>
      </c>
      <c r="D780" s="4" t="s">
        <v>9</v>
      </c>
      <c r="E780" s="5">
        <v>3000</v>
      </c>
      <c r="F780" s="5">
        <v>3000</v>
      </c>
      <c r="G780" s="5">
        <v>2100</v>
      </c>
      <c r="H780" s="4"/>
      <c r="I780" s="4" t="s">
        <v>454</v>
      </c>
      <c r="J780" s="4" t="s">
        <v>460</v>
      </c>
      <c r="K780" s="4" t="s">
        <v>11</v>
      </c>
      <c r="L780" s="4" t="s">
        <v>397</v>
      </c>
    </row>
    <row r="781" spans="1:12">
      <c r="A781" s="3">
        <v>44620.695219907408</v>
      </c>
      <c r="B781" s="4">
        <v>289315562</v>
      </c>
      <c r="C781" s="4" t="s">
        <v>478</v>
      </c>
      <c r="D781" s="4" t="s">
        <v>9</v>
      </c>
      <c r="E781" s="5">
        <v>3000</v>
      </c>
      <c r="F781" s="5">
        <v>3000</v>
      </c>
      <c r="G781" s="5">
        <v>2100</v>
      </c>
      <c r="H781" s="4"/>
      <c r="I781" s="4" t="s">
        <v>454</v>
      </c>
      <c r="J781" s="4" t="s">
        <v>460</v>
      </c>
      <c r="K781" s="4" t="s">
        <v>11</v>
      </c>
      <c r="L781" s="4" t="s">
        <v>397</v>
      </c>
    </row>
    <row r="782" spans="1:12">
      <c r="A782" s="3">
        <v>44620.703668981485</v>
      </c>
      <c r="B782" s="4">
        <v>289956908</v>
      </c>
      <c r="C782" s="4" t="s">
        <v>481</v>
      </c>
      <c r="D782" s="4" t="s">
        <v>9</v>
      </c>
      <c r="E782" s="5">
        <v>2000</v>
      </c>
      <c r="F782" s="5">
        <v>2000</v>
      </c>
      <c r="G782" s="5">
        <v>1400</v>
      </c>
      <c r="H782" s="4"/>
      <c r="I782" s="4" t="s">
        <v>457</v>
      </c>
      <c r="J782" s="4" t="s">
        <v>460</v>
      </c>
      <c r="K782" s="4" t="s">
        <v>11</v>
      </c>
      <c r="L782" s="4" t="s">
        <v>430</v>
      </c>
    </row>
    <row r="783" spans="1:12">
      <c r="A783" s="3">
        <v>44620.72451388889</v>
      </c>
      <c r="B783" s="4">
        <v>289315562</v>
      </c>
      <c r="C783" s="4" t="s">
        <v>478</v>
      </c>
      <c r="D783" s="4" t="s">
        <v>9</v>
      </c>
      <c r="E783" s="5">
        <v>3000</v>
      </c>
      <c r="F783" s="5">
        <v>3000</v>
      </c>
      <c r="G783" s="5">
        <v>2100</v>
      </c>
      <c r="H783" s="4"/>
      <c r="I783" s="4" t="s">
        <v>454</v>
      </c>
      <c r="J783" s="4" t="s">
        <v>460</v>
      </c>
      <c r="K783" s="4" t="s">
        <v>11</v>
      </c>
      <c r="L783" s="4" t="s">
        <v>397</v>
      </c>
    </row>
    <row r="784" spans="1:12">
      <c r="A784" s="3">
        <v>44620.725104166668</v>
      </c>
      <c r="B784" s="4">
        <v>289658948</v>
      </c>
      <c r="C784" s="4" t="s">
        <v>580</v>
      </c>
      <c r="D784" s="4" t="s">
        <v>9</v>
      </c>
      <c r="E784" s="5">
        <v>3600</v>
      </c>
      <c r="F784" s="5">
        <v>3600</v>
      </c>
      <c r="G784" s="5">
        <v>2520</v>
      </c>
      <c r="H784" s="4"/>
      <c r="I784" s="4" t="s">
        <v>455</v>
      </c>
      <c r="J784" s="4" t="s">
        <v>460</v>
      </c>
      <c r="K784" s="4" t="s">
        <v>11</v>
      </c>
      <c r="L784" s="4" t="s">
        <v>417</v>
      </c>
    </row>
    <row r="785" spans="1:12">
      <c r="A785" s="3">
        <v>44620.850324074076</v>
      </c>
      <c r="B785" s="4">
        <v>289315562</v>
      </c>
      <c r="C785" s="4" t="s">
        <v>478</v>
      </c>
      <c r="D785" s="4" t="s">
        <v>9</v>
      </c>
      <c r="E785" s="5">
        <v>3000</v>
      </c>
      <c r="F785" s="5">
        <v>3000</v>
      </c>
      <c r="G785" s="5">
        <v>2100</v>
      </c>
      <c r="H785" s="4"/>
      <c r="I785" s="4" t="s">
        <v>454</v>
      </c>
      <c r="J785" s="4" t="s">
        <v>460</v>
      </c>
      <c r="K785" s="4" t="s">
        <v>11</v>
      </c>
      <c r="L785" s="4" t="s">
        <v>397</v>
      </c>
    </row>
    <row r="786" spans="1:12">
      <c r="A786" s="3">
        <v>44620.861238425925</v>
      </c>
      <c r="B786" s="4">
        <v>287834730</v>
      </c>
      <c r="C786" s="4" t="s">
        <v>275</v>
      </c>
      <c r="D786" s="4" t="s">
        <v>9</v>
      </c>
      <c r="E786" s="5">
        <v>2000</v>
      </c>
      <c r="F786" s="5">
        <v>2000</v>
      </c>
      <c r="G786" s="5">
        <v>1400</v>
      </c>
      <c r="H786" s="4"/>
      <c r="I786" s="4" t="s">
        <v>169</v>
      </c>
      <c r="J786" s="4" t="s">
        <v>460</v>
      </c>
      <c r="K786" s="4" t="s">
        <v>11</v>
      </c>
      <c r="L786" s="4" t="s">
        <v>206</v>
      </c>
    </row>
    <row r="787" spans="1:12">
      <c r="A787" s="3">
        <v>44620.861678240741</v>
      </c>
      <c r="B787" s="4">
        <v>287834730</v>
      </c>
      <c r="C787" s="4" t="s">
        <v>275</v>
      </c>
      <c r="D787" s="4" t="s">
        <v>9</v>
      </c>
      <c r="E787" s="5">
        <v>2000</v>
      </c>
      <c r="F787" s="5">
        <v>2000</v>
      </c>
      <c r="G787" s="5">
        <v>1400</v>
      </c>
      <c r="H787" s="4"/>
      <c r="I787" s="4" t="s">
        <v>169</v>
      </c>
      <c r="J787" s="4" t="s">
        <v>460</v>
      </c>
      <c r="K787" s="4" t="s">
        <v>11</v>
      </c>
      <c r="L787" s="4" t="s">
        <v>206</v>
      </c>
    </row>
    <row r="788" spans="1:12">
      <c r="A788" s="3">
        <v>44620.867002314815</v>
      </c>
      <c r="B788" s="4">
        <v>289315562</v>
      </c>
      <c r="C788" s="4" t="s">
        <v>478</v>
      </c>
      <c r="D788" s="4" t="s">
        <v>9</v>
      </c>
      <c r="E788" s="5">
        <v>3000</v>
      </c>
      <c r="F788" s="5">
        <v>3000</v>
      </c>
      <c r="G788" s="5">
        <v>2100</v>
      </c>
      <c r="H788" s="4"/>
      <c r="I788" s="4" t="s">
        <v>454</v>
      </c>
      <c r="J788" s="4" t="s">
        <v>460</v>
      </c>
      <c r="K788" s="4" t="s">
        <v>11</v>
      </c>
      <c r="L788" s="4" t="s">
        <v>397</v>
      </c>
    </row>
    <row r="789" spans="1:12">
      <c r="A789" s="3">
        <v>44620.878159722219</v>
      </c>
      <c r="B789" s="4">
        <v>289315562</v>
      </c>
      <c r="C789" s="4" t="s">
        <v>478</v>
      </c>
      <c r="D789" s="4" t="s">
        <v>9</v>
      </c>
      <c r="E789" s="5">
        <v>3000</v>
      </c>
      <c r="F789" s="5">
        <v>3000</v>
      </c>
      <c r="G789" s="5">
        <v>2100</v>
      </c>
      <c r="H789" s="4"/>
      <c r="I789" s="4" t="s">
        <v>454</v>
      </c>
      <c r="J789" s="4" t="s">
        <v>460</v>
      </c>
      <c r="K789" s="4" t="s">
        <v>11</v>
      </c>
      <c r="L789" s="4" t="s">
        <v>397</v>
      </c>
    </row>
    <row r="790" spans="1:12">
      <c r="A790" s="3">
        <v>44620.878958333335</v>
      </c>
      <c r="B790" s="4">
        <v>289315562</v>
      </c>
      <c r="C790" s="4" t="s">
        <v>478</v>
      </c>
      <c r="D790" s="4" t="s">
        <v>9</v>
      </c>
      <c r="E790" s="5">
        <v>-3000</v>
      </c>
      <c r="F790" s="5">
        <v>-3000</v>
      </c>
      <c r="G790" s="5">
        <v>-2100</v>
      </c>
      <c r="H790" s="3">
        <v>44620.878159722219</v>
      </c>
      <c r="I790" s="4" t="s">
        <v>454</v>
      </c>
      <c r="J790" s="4" t="s">
        <v>460</v>
      </c>
      <c r="K790" s="4" t="s">
        <v>11</v>
      </c>
      <c r="L790" s="4" t="s">
        <v>397</v>
      </c>
    </row>
    <row r="791" spans="1:12">
      <c r="A791" s="3">
        <v>44620.886192129627</v>
      </c>
      <c r="B791" s="4">
        <v>289315562</v>
      </c>
      <c r="C791" s="4" t="s">
        <v>478</v>
      </c>
      <c r="D791" s="4" t="s">
        <v>9</v>
      </c>
      <c r="E791" s="5">
        <v>3000</v>
      </c>
      <c r="F791" s="5">
        <v>3000</v>
      </c>
      <c r="G791" s="5">
        <v>2100</v>
      </c>
      <c r="H791" s="4"/>
      <c r="I791" s="4" t="s">
        <v>454</v>
      </c>
      <c r="J791" s="4" t="s">
        <v>460</v>
      </c>
      <c r="K791" s="4" t="s">
        <v>11</v>
      </c>
      <c r="L791" s="4" t="s">
        <v>397</v>
      </c>
    </row>
    <row r="792" spans="1:12">
      <c r="A792" s="3">
        <v>44620.890335648146</v>
      </c>
      <c r="B792" s="4">
        <v>289956908</v>
      </c>
      <c r="C792" s="4" t="s">
        <v>481</v>
      </c>
      <c r="D792" s="4" t="s">
        <v>9</v>
      </c>
      <c r="E792" s="5">
        <v>2000</v>
      </c>
      <c r="F792" s="5">
        <v>2000</v>
      </c>
      <c r="G792" s="5">
        <v>1400</v>
      </c>
      <c r="H792" s="4"/>
      <c r="I792" s="4" t="s">
        <v>457</v>
      </c>
      <c r="J792" s="4" t="s">
        <v>460</v>
      </c>
      <c r="K792" s="4" t="s">
        <v>11</v>
      </c>
      <c r="L792" s="4" t="s">
        <v>430</v>
      </c>
    </row>
    <row r="793" spans="1:12">
      <c r="A793" s="3">
        <v>44620.901064814818</v>
      </c>
      <c r="B793" s="4">
        <v>289315562</v>
      </c>
      <c r="C793" s="4" t="s">
        <v>478</v>
      </c>
      <c r="D793" s="4" t="s">
        <v>9</v>
      </c>
      <c r="E793" s="5">
        <v>3000</v>
      </c>
      <c r="F793" s="5">
        <v>3000</v>
      </c>
      <c r="G793" s="5">
        <v>2100</v>
      </c>
      <c r="H793" s="4"/>
      <c r="I793" s="4" t="s">
        <v>454</v>
      </c>
      <c r="J793" s="4" t="s">
        <v>460</v>
      </c>
      <c r="K793" s="4" t="s">
        <v>11</v>
      </c>
      <c r="L793" s="4" t="s">
        <v>397</v>
      </c>
    </row>
    <row r="794" spans="1:12">
      <c r="A794" s="3">
        <v>44620.952025462961</v>
      </c>
      <c r="B794" s="4">
        <v>289315562</v>
      </c>
      <c r="C794" s="4" t="s">
        <v>478</v>
      </c>
      <c r="D794" s="4" t="s">
        <v>9</v>
      </c>
      <c r="E794" s="5">
        <v>3000</v>
      </c>
      <c r="F794" s="5">
        <v>3000</v>
      </c>
      <c r="G794" s="5">
        <v>2100</v>
      </c>
      <c r="H794" s="4"/>
      <c r="I794" s="4" t="s">
        <v>454</v>
      </c>
      <c r="J794" s="4" t="s">
        <v>460</v>
      </c>
      <c r="K794" s="4" t="s">
        <v>11</v>
      </c>
      <c r="L794" s="4" t="s">
        <v>397</v>
      </c>
    </row>
    <row r="795" spans="1:12">
      <c r="A795" s="3">
        <v>44620.9531712963</v>
      </c>
      <c r="B795" s="4">
        <v>289315562</v>
      </c>
      <c r="C795" s="4" t="s">
        <v>478</v>
      </c>
      <c r="D795" s="4" t="s">
        <v>9</v>
      </c>
      <c r="E795" s="5">
        <v>3000</v>
      </c>
      <c r="F795" s="5">
        <v>3000</v>
      </c>
      <c r="G795" s="5">
        <v>2100</v>
      </c>
      <c r="H795" s="4"/>
      <c r="I795" s="4" t="s">
        <v>454</v>
      </c>
      <c r="J795" s="4" t="s">
        <v>460</v>
      </c>
      <c r="K795" s="4" t="s">
        <v>11</v>
      </c>
      <c r="L795" s="4" t="s">
        <v>397</v>
      </c>
    </row>
    <row r="796" spans="1:12">
      <c r="A796" s="3">
        <v>44620.96234953704</v>
      </c>
      <c r="B796" s="4">
        <v>289315562</v>
      </c>
      <c r="C796" s="4" t="s">
        <v>478</v>
      </c>
      <c r="D796" s="4" t="s">
        <v>9</v>
      </c>
      <c r="E796" s="5">
        <v>3000</v>
      </c>
      <c r="F796" s="5">
        <v>3000</v>
      </c>
      <c r="G796" s="5">
        <v>2100</v>
      </c>
      <c r="H796" s="4"/>
      <c r="I796" s="4" t="s">
        <v>454</v>
      </c>
      <c r="J796" s="4" t="s">
        <v>460</v>
      </c>
      <c r="K796" s="4" t="s">
        <v>11</v>
      </c>
      <c r="L796" s="4" t="s">
        <v>397</v>
      </c>
    </row>
    <row r="797" spans="1:12">
      <c r="A797" s="3">
        <v>44620.96471064815</v>
      </c>
      <c r="B797" s="4">
        <v>289315562</v>
      </c>
      <c r="C797" s="4" t="s">
        <v>478</v>
      </c>
      <c r="D797" s="4" t="s">
        <v>9</v>
      </c>
      <c r="E797" s="5">
        <v>3000</v>
      </c>
      <c r="F797" s="5">
        <v>3000</v>
      </c>
      <c r="G797" s="5">
        <v>2100</v>
      </c>
      <c r="H797" s="4"/>
      <c r="I797" s="4" t="s">
        <v>454</v>
      </c>
      <c r="J797" s="4" t="s">
        <v>460</v>
      </c>
      <c r="K797" s="4" t="s">
        <v>11</v>
      </c>
      <c r="L797" s="4" t="s">
        <v>397</v>
      </c>
    </row>
    <row r="798" spans="1:12">
      <c r="A798" s="3">
        <v>44620.966307870367</v>
      </c>
      <c r="B798" s="4">
        <v>288829883</v>
      </c>
      <c r="C798" s="4" t="s">
        <v>476</v>
      </c>
      <c r="D798" s="4" t="s">
        <v>9</v>
      </c>
      <c r="E798" s="5">
        <v>2000</v>
      </c>
      <c r="F798" s="5">
        <v>2000</v>
      </c>
      <c r="G798" s="5">
        <v>1400</v>
      </c>
      <c r="H798" s="4"/>
      <c r="I798" s="4" t="s">
        <v>552</v>
      </c>
      <c r="J798" s="4" t="s">
        <v>460</v>
      </c>
      <c r="K798" s="4" t="s">
        <v>11</v>
      </c>
      <c r="L798" s="4" t="s">
        <v>378</v>
      </c>
    </row>
    <row r="799" spans="1:12">
      <c r="A799" s="3">
        <v>44620.968865740739</v>
      </c>
      <c r="B799" s="4">
        <v>289315562</v>
      </c>
      <c r="C799" s="4" t="s">
        <v>478</v>
      </c>
      <c r="D799" s="4" t="s">
        <v>9</v>
      </c>
      <c r="E799" s="5">
        <v>3000</v>
      </c>
      <c r="F799" s="5">
        <v>3000</v>
      </c>
      <c r="G799" s="5">
        <v>2100</v>
      </c>
      <c r="H799" s="4"/>
      <c r="I799" s="4" t="s">
        <v>454</v>
      </c>
      <c r="J799" s="4" t="s">
        <v>460</v>
      </c>
      <c r="K799" s="4" t="s">
        <v>11</v>
      </c>
      <c r="L799" s="4" t="s">
        <v>397</v>
      </c>
    </row>
    <row r="800" spans="1:12">
      <c r="A800" s="3">
        <v>44620.984155092592</v>
      </c>
      <c r="B800" s="4">
        <v>288829883</v>
      </c>
      <c r="C800" s="4" t="s">
        <v>476</v>
      </c>
      <c r="D800" s="4" t="s">
        <v>9</v>
      </c>
      <c r="E800" s="5">
        <v>2000</v>
      </c>
      <c r="F800" s="5">
        <v>2000</v>
      </c>
      <c r="G800" s="5">
        <v>1400</v>
      </c>
      <c r="H800" s="4"/>
      <c r="I800" s="4" t="s">
        <v>552</v>
      </c>
      <c r="J800" s="4" t="s">
        <v>460</v>
      </c>
      <c r="K800" s="4" t="s">
        <v>11</v>
      </c>
      <c r="L800" s="4" t="s">
        <v>378</v>
      </c>
    </row>
    <row r="801" spans="1:12">
      <c r="A801" s="3">
        <v>44620.98605324074</v>
      </c>
      <c r="B801" s="4">
        <v>287703886</v>
      </c>
      <c r="C801" s="4" t="s">
        <v>218</v>
      </c>
      <c r="D801" s="4" t="s">
        <v>9</v>
      </c>
      <c r="E801" s="5">
        <v>2500</v>
      </c>
      <c r="F801" s="5">
        <v>2500</v>
      </c>
      <c r="G801" s="5">
        <v>1750</v>
      </c>
      <c r="H801" s="4"/>
      <c r="I801" s="4" t="s">
        <v>167</v>
      </c>
      <c r="J801" s="4" t="s">
        <v>460</v>
      </c>
      <c r="K801" s="4" t="s">
        <v>11</v>
      </c>
      <c r="L801" s="4" t="s">
        <v>195</v>
      </c>
    </row>
    <row r="802" spans="1:12">
      <c r="A802" s="3">
        <v>44620.986064814817</v>
      </c>
      <c r="B802" s="4">
        <v>287834730</v>
      </c>
      <c r="C802" s="4" t="s">
        <v>275</v>
      </c>
      <c r="D802" s="4" t="s">
        <v>9</v>
      </c>
      <c r="E802" s="5">
        <v>2000</v>
      </c>
      <c r="F802" s="5">
        <v>2000</v>
      </c>
      <c r="G802" s="5">
        <v>1400</v>
      </c>
      <c r="H802" s="4"/>
      <c r="I802" s="4" t="s">
        <v>169</v>
      </c>
      <c r="J802" s="4" t="s">
        <v>460</v>
      </c>
      <c r="K802" s="4" t="s">
        <v>11</v>
      </c>
      <c r="L802" s="4" t="s">
        <v>206</v>
      </c>
    </row>
    <row r="803" spans="1:12">
      <c r="A803" s="3">
        <v>44620.988263888888</v>
      </c>
      <c r="B803" s="4">
        <v>287834730</v>
      </c>
      <c r="C803" s="4" t="s">
        <v>275</v>
      </c>
      <c r="D803" s="4" t="s">
        <v>9</v>
      </c>
      <c r="E803" s="5">
        <v>2000</v>
      </c>
      <c r="F803" s="5">
        <v>2000</v>
      </c>
      <c r="G803" s="5">
        <v>1400</v>
      </c>
      <c r="H803" s="4"/>
      <c r="I803" s="4" t="s">
        <v>169</v>
      </c>
      <c r="J803" s="4" t="s">
        <v>460</v>
      </c>
      <c r="K803" s="4" t="s">
        <v>11</v>
      </c>
      <c r="L803" s="4" t="s">
        <v>206</v>
      </c>
    </row>
    <row r="804" spans="1:12">
      <c r="A804" s="3">
        <v>44620.988819444443</v>
      </c>
      <c r="B804" s="4">
        <v>286755913</v>
      </c>
      <c r="C804" s="4" t="s">
        <v>222</v>
      </c>
      <c r="D804" s="4" t="s">
        <v>9</v>
      </c>
      <c r="E804" s="5">
        <v>2000</v>
      </c>
      <c r="F804" s="5">
        <v>2000</v>
      </c>
      <c r="G804" s="5">
        <v>1400</v>
      </c>
      <c r="H804" s="4"/>
      <c r="I804" s="4" t="s">
        <v>159</v>
      </c>
      <c r="J804" s="4" t="s">
        <v>460</v>
      </c>
      <c r="K804" s="4" t="s">
        <v>11</v>
      </c>
      <c r="L804" s="4" t="s">
        <v>144</v>
      </c>
    </row>
    <row r="805" spans="1:12">
      <c r="G805" s="6">
        <f>SUM(G2:G804)</f>
        <v>1241240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8"/>
  <sheetViews>
    <sheetView topLeftCell="A57" workbookViewId="0">
      <selection activeCell="G78" sqref="G78"/>
    </sheetView>
  </sheetViews>
  <sheetFormatPr defaultRowHeight="16.5"/>
  <cols>
    <col min="1" max="1" width="16.25" bestFit="1" customWidth="1"/>
    <col min="2" max="2" width="10.375" bestFit="1" customWidth="1"/>
    <col min="3" max="3" width="27.25" bestFit="1" customWidth="1"/>
    <col min="4" max="4" width="8.625" bestFit="1" customWidth="1"/>
    <col min="5" max="7" width="6.75" bestFit="1" customWidth="1"/>
    <col min="8" max="8" width="10.375" bestFit="1" customWidth="1"/>
    <col min="9" max="9" width="9.625" bestFit="1" customWidth="1"/>
    <col min="10" max="10" width="8.625" bestFit="1" customWidth="1"/>
    <col min="11" max="11" width="10.375" bestFit="1" customWidth="1"/>
    <col min="12" max="12" width="14.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44593.019675925927</v>
      </c>
      <c r="B2" s="4">
        <v>285477731</v>
      </c>
      <c r="C2" s="4" t="s">
        <v>253</v>
      </c>
      <c r="D2" s="4" t="s">
        <v>12</v>
      </c>
      <c r="E2" s="4">
        <v>900</v>
      </c>
      <c r="F2" s="4">
        <v>900</v>
      </c>
      <c r="G2" s="4">
        <v>630</v>
      </c>
      <c r="H2" s="4"/>
      <c r="I2" s="4" t="s">
        <v>66</v>
      </c>
      <c r="J2" s="4" t="s">
        <v>20</v>
      </c>
      <c r="K2" s="4" t="s">
        <v>11</v>
      </c>
      <c r="L2" s="4" t="s">
        <v>124</v>
      </c>
    </row>
    <row r="3" spans="1:12">
      <c r="A3" s="3">
        <v>44594.769062500003</v>
      </c>
      <c r="B3" s="4">
        <v>287240033</v>
      </c>
      <c r="C3" s="4" t="s">
        <v>153</v>
      </c>
      <c r="D3" s="4" t="s">
        <v>9</v>
      </c>
      <c r="E3" s="4">
        <v>0</v>
      </c>
      <c r="F3" s="4">
        <v>0</v>
      </c>
      <c r="G3" s="4">
        <v>0</v>
      </c>
      <c r="H3" s="4"/>
      <c r="I3" s="4" t="s">
        <v>165</v>
      </c>
      <c r="J3" s="4" t="s">
        <v>20</v>
      </c>
      <c r="K3" s="4" t="s">
        <v>11</v>
      </c>
      <c r="L3" s="4" t="s">
        <v>148</v>
      </c>
    </row>
    <row r="4" spans="1:12">
      <c r="A4" s="3">
        <v>44594.853761574072</v>
      </c>
      <c r="B4" s="4">
        <v>285477747</v>
      </c>
      <c r="C4" s="4" t="s">
        <v>261</v>
      </c>
      <c r="D4" s="4" t="s">
        <v>12</v>
      </c>
      <c r="E4" s="4">
        <v>900</v>
      </c>
      <c r="F4" s="4">
        <v>900</v>
      </c>
      <c r="G4" s="4">
        <v>630</v>
      </c>
      <c r="H4" s="4"/>
      <c r="I4" s="4" t="s">
        <v>66</v>
      </c>
      <c r="J4" s="4" t="s">
        <v>20</v>
      </c>
      <c r="K4" s="4" t="s">
        <v>11</v>
      </c>
      <c r="L4" s="4" t="s">
        <v>131</v>
      </c>
    </row>
    <row r="5" spans="1:12">
      <c r="A5" s="3">
        <v>44595.907962962963</v>
      </c>
      <c r="B5" s="4">
        <v>285477742</v>
      </c>
      <c r="C5" s="4" t="s">
        <v>79</v>
      </c>
      <c r="D5" s="4" t="s">
        <v>9</v>
      </c>
      <c r="E5" s="4">
        <v>0</v>
      </c>
      <c r="F5" s="4">
        <v>0</v>
      </c>
      <c r="G5" s="4">
        <v>0</v>
      </c>
      <c r="H5" s="4"/>
      <c r="I5" s="4" t="s">
        <v>66</v>
      </c>
      <c r="J5" s="4" t="s">
        <v>20</v>
      </c>
      <c r="K5" s="4" t="s">
        <v>11</v>
      </c>
      <c r="L5" s="4" t="s">
        <v>97</v>
      </c>
    </row>
    <row r="6" spans="1:12">
      <c r="A6" s="3">
        <v>44596.628877314812</v>
      </c>
      <c r="B6" s="4">
        <v>285477728</v>
      </c>
      <c r="C6" s="4" t="s">
        <v>254</v>
      </c>
      <c r="D6" s="4" t="s">
        <v>12</v>
      </c>
      <c r="E6" s="4">
        <v>900</v>
      </c>
      <c r="F6" s="4">
        <v>900</v>
      </c>
      <c r="G6" s="4">
        <v>630</v>
      </c>
      <c r="H6" s="4"/>
      <c r="I6" s="4" t="s">
        <v>66</v>
      </c>
      <c r="J6" s="4" t="s">
        <v>20</v>
      </c>
      <c r="K6" s="4" t="s">
        <v>11</v>
      </c>
      <c r="L6" s="4" t="s">
        <v>132</v>
      </c>
    </row>
    <row r="7" spans="1:12">
      <c r="A7" s="3">
        <v>44599.123298611114</v>
      </c>
      <c r="B7" s="4">
        <v>285477735</v>
      </c>
      <c r="C7" s="4" t="s">
        <v>256</v>
      </c>
      <c r="D7" s="4" t="s">
        <v>12</v>
      </c>
      <c r="E7" s="4">
        <v>900</v>
      </c>
      <c r="F7" s="4">
        <v>900</v>
      </c>
      <c r="G7" s="4">
        <v>630</v>
      </c>
      <c r="H7" s="4"/>
      <c r="I7" s="4" t="s">
        <v>66</v>
      </c>
      <c r="J7" s="4" t="s">
        <v>20</v>
      </c>
      <c r="K7" s="4" t="s">
        <v>11</v>
      </c>
      <c r="L7" s="4" t="s">
        <v>128</v>
      </c>
    </row>
    <row r="8" spans="1:12">
      <c r="A8" s="3">
        <v>44599.446157407408</v>
      </c>
      <c r="B8" s="4">
        <v>285477743</v>
      </c>
      <c r="C8" s="4" t="s">
        <v>258</v>
      </c>
      <c r="D8" s="4" t="s">
        <v>12</v>
      </c>
      <c r="E8" s="4">
        <v>900</v>
      </c>
      <c r="F8" s="4">
        <v>900</v>
      </c>
      <c r="G8" s="4">
        <v>630</v>
      </c>
      <c r="H8" s="4"/>
      <c r="I8" s="4" t="s">
        <v>66</v>
      </c>
      <c r="J8" s="4" t="s">
        <v>20</v>
      </c>
      <c r="K8" s="4" t="s">
        <v>11</v>
      </c>
      <c r="L8" s="4" t="s">
        <v>133</v>
      </c>
    </row>
    <row r="9" spans="1:12">
      <c r="A9" s="3">
        <v>44599.533958333333</v>
      </c>
      <c r="B9" s="4">
        <v>253688264</v>
      </c>
      <c r="C9" s="4" t="s">
        <v>227</v>
      </c>
      <c r="D9" s="4" t="s">
        <v>9</v>
      </c>
      <c r="E9" s="4">
        <v>0</v>
      </c>
      <c r="F9" s="4">
        <v>0</v>
      </c>
      <c r="G9" s="4">
        <v>0</v>
      </c>
      <c r="H9" s="4"/>
      <c r="I9" s="4" t="s">
        <v>28</v>
      </c>
      <c r="J9" s="4" t="s">
        <v>20</v>
      </c>
      <c r="K9" s="4" t="s">
        <v>11</v>
      </c>
      <c r="L9" s="4" t="s">
        <v>123</v>
      </c>
    </row>
    <row r="10" spans="1:12">
      <c r="A10" s="3">
        <v>44599.533958333333</v>
      </c>
      <c r="B10" s="4">
        <v>254672697</v>
      </c>
      <c r="C10" s="4" t="s">
        <v>467</v>
      </c>
      <c r="D10" s="4" t="s">
        <v>9</v>
      </c>
      <c r="E10" s="4">
        <v>0</v>
      </c>
      <c r="F10" s="4">
        <v>0</v>
      </c>
      <c r="G10" s="4">
        <v>0</v>
      </c>
      <c r="H10" s="4"/>
      <c r="I10" s="4" t="s">
        <v>21</v>
      </c>
      <c r="J10" s="4" t="s">
        <v>20</v>
      </c>
      <c r="K10" s="4" t="s">
        <v>11</v>
      </c>
      <c r="L10" s="4" t="s">
        <v>357</v>
      </c>
    </row>
    <row r="11" spans="1:12">
      <c r="A11" s="3">
        <v>44599.739699074074</v>
      </c>
      <c r="B11" s="4">
        <v>285477742</v>
      </c>
      <c r="C11" s="4" t="s">
        <v>79</v>
      </c>
      <c r="D11" s="4" t="s">
        <v>9</v>
      </c>
      <c r="E11" s="4">
        <v>0</v>
      </c>
      <c r="F11" s="4">
        <v>0</v>
      </c>
      <c r="G11" s="4">
        <v>0</v>
      </c>
      <c r="H11" s="4"/>
      <c r="I11" s="4" t="s">
        <v>66</v>
      </c>
      <c r="J11" s="4" t="s">
        <v>20</v>
      </c>
      <c r="K11" s="4" t="s">
        <v>11</v>
      </c>
      <c r="L11" s="4" t="s">
        <v>97</v>
      </c>
    </row>
    <row r="12" spans="1:12">
      <c r="A12" s="3">
        <v>44599.948750000003</v>
      </c>
      <c r="B12" s="4">
        <v>254672697</v>
      </c>
      <c r="C12" s="4" t="s">
        <v>467</v>
      </c>
      <c r="D12" s="4" t="s">
        <v>9</v>
      </c>
      <c r="E12" s="4">
        <v>0</v>
      </c>
      <c r="F12" s="4">
        <v>0</v>
      </c>
      <c r="G12" s="4">
        <v>0</v>
      </c>
      <c r="H12" s="4"/>
      <c r="I12" s="4" t="s">
        <v>21</v>
      </c>
      <c r="J12" s="4" t="s">
        <v>20</v>
      </c>
      <c r="K12" s="4" t="s">
        <v>11</v>
      </c>
      <c r="L12" s="4" t="s">
        <v>357</v>
      </c>
    </row>
    <row r="13" spans="1:12">
      <c r="A13" s="3">
        <v>44600.084456018521</v>
      </c>
      <c r="B13" s="4">
        <v>285477725</v>
      </c>
      <c r="C13" s="4" t="s">
        <v>81</v>
      </c>
      <c r="D13" s="4" t="s">
        <v>12</v>
      </c>
      <c r="E13" s="4">
        <v>900</v>
      </c>
      <c r="F13" s="4">
        <v>900</v>
      </c>
      <c r="G13" s="4">
        <v>630</v>
      </c>
      <c r="H13" s="4"/>
      <c r="I13" s="4" t="s">
        <v>66</v>
      </c>
      <c r="J13" s="4" t="s">
        <v>20</v>
      </c>
      <c r="K13" s="4" t="s">
        <v>11</v>
      </c>
      <c r="L13" s="4" t="s">
        <v>84</v>
      </c>
    </row>
    <row r="14" spans="1:12">
      <c r="A14" s="3">
        <v>44600.490844907406</v>
      </c>
      <c r="B14" s="4">
        <v>285477743</v>
      </c>
      <c r="C14" s="4" t="s">
        <v>258</v>
      </c>
      <c r="D14" s="4" t="s">
        <v>12</v>
      </c>
      <c r="E14" s="4">
        <v>900</v>
      </c>
      <c r="F14" s="4">
        <v>900</v>
      </c>
      <c r="G14" s="4">
        <v>630</v>
      </c>
      <c r="H14" s="4"/>
      <c r="I14" s="4" t="s">
        <v>66</v>
      </c>
      <c r="J14" s="4" t="s">
        <v>20</v>
      </c>
      <c r="K14" s="4" t="s">
        <v>11</v>
      </c>
      <c r="L14" s="4" t="s">
        <v>133</v>
      </c>
    </row>
    <row r="15" spans="1:12">
      <c r="A15" s="3">
        <v>44600.497870370367</v>
      </c>
      <c r="B15" s="4">
        <v>285477734</v>
      </c>
      <c r="C15" s="4" t="s">
        <v>257</v>
      </c>
      <c r="D15" s="4" t="s">
        <v>12</v>
      </c>
      <c r="E15" s="4">
        <v>900</v>
      </c>
      <c r="F15" s="4">
        <v>900</v>
      </c>
      <c r="G15" s="4">
        <v>630</v>
      </c>
      <c r="H15" s="4"/>
      <c r="I15" s="4" t="s">
        <v>66</v>
      </c>
      <c r="J15" s="4" t="s">
        <v>20</v>
      </c>
      <c r="K15" s="4" t="s">
        <v>11</v>
      </c>
      <c r="L15" s="4" t="s">
        <v>122</v>
      </c>
    </row>
    <row r="16" spans="1:12">
      <c r="A16" s="3">
        <v>44600.805150462962</v>
      </c>
      <c r="B16" s="4">
        <v>285477752</v>
      </c>
      <c r="C16" s="4" t="s">
        <v>262</v>
      </c>
      <c r="D16" s="4" t="s">
        <v>12</v>
      </c>
      <c r="E16" s="4">
        <v>900</v>
      </c>
      <c r="F16" s="4">
        <v>900</v>
      </c>
      <c r="G16" s="4">
        <v>630</v>
      </c>
      <c r="H16" s="4"/>
      <c r="I16" s="4" t="s">
        <v>66</v>
      </c>
      <c r="J16" s="4" t="s">
        <v>20</v>
      </c>
      <c r="K16" s="4" t="s">
        <v>11</v>
      </c>
      <c r="L16" s="4" t="s">
        <v>196</v>
      </c>
    </row>
    <row r="17" spans="1:12">
      <c r="A17" s="3">
        <v>44600.890011574076</v>
      </c>
      <c r="B17" s="4">
        <v>254672697</v>
      </c>
      <c r="C17" s="4" t="s">
        <v>467</v>
      </c>
      <c r="D17" s="4" t="s">
        <v>9</v>
      </c>
      <c r="E17" s="4">
        <v>0</v>
      </c>
      <c r="F17" s="4">
        <v>0</v>
      </c>
      <c r="G17" s="4">
        <v>0</v>
      </c>
      <c r="H17" s="4"/>
      <c r="I17" s="4" t="s">
        <v>21</v>
      </c>
      <c r="J17" s="4" t="s">
        <v>20</v>
      </c>
      <c r="K17" s="4" t="s">
        <v>11</v>
      </c>
      <c r="L17" s="4" t="s">
        <v>357</v>
      </c>
    </row>
    <row r="18" spans="1:12">
      <c r="A18" s="3">
        <v>44600.91070601852</v>
      </c>
      <c r="B18" s="4">
        <v>285477733</v>
      </c>
      <c r="C18" s="4" t="s">
        <v>252</v>
      </c>
      <c r="D18" s="4" t="s">
        <v>12</v>
      </c>
      <c r="E18" s="4">
        <v>900</v>
      </c>
      <c r="F18" s="4">
        <v>900</v>
      </c>
      <c r="G18" s="4">
        <v>630</v>
      </c>
      <c r="H18" s="4"/>
      <c r="I18" s="4" t="s">
        <v>66</v>
      </c>
      <c r="J18" s="4" t="s">
        <v>20</v>
      </c>
      <c r="K18" s="4" t="s">
        <v>11</v>
      </c>
      <c r="L18" s="4" t="s">
        <v>127</v>
      </c>
    </row>
    <row r="19" spans="1:12">
      <c r="A19" s="3">
        <v>44600.994756944441</v>
      </c>
      <c r="B19" s="4">
        <v>285477741</v>
      </c>
      <c r="C19" s="4" t="s">
        <v>260</v>
      </c>
      <c r="D19" s="4" t="s">
        <v>12</v>
      </c>
      <c r="E19" s="4">
        <v>900</v>
      </c>
      <c r="F19" s="4">
        <v>900</v>
      </c>
      <c r="G19" s="4">
        <v>630</v>
      </c>
      <c r="H19" s="4"/>
      <c r="I19" s="4" t="s">
        <v>66</v>
      </c>
      <c r="J19" s="4" t="s">
        <v>20</v>
      </c>
      <c r="K19" s="4" t="s">
        <v>11</v>
      </c>
      <c r="L19" s="4" t="s">
        <v>130</v>
      </c>
    </row>
    <row r="20" spans="1:12">
      <c r="A20" s="3">
        <v>44601.321435185186</v>
      </c>
      <c r="B20" s="4">
        <v>285477730</v>
      </c>
      <c r="C20" s="4" t="s">
        <v>255</v>
      </c>
      <c r="D20" s="4" t="s">
        <v>12</v>
      </c>
      <c r="E20" s="4">
        <v>900</v>
      </c>
      <c r="F20" s="4">
        <v>900</v>
      </c>
      <c r="G20" s="4">
        <v>630</v>
      </c>
      <c r="H20" s="4"/>
      <c r="I20" s="4" t="s">
        <v>66</v>
      </c>
      <c r="J20" s="4" t="s">
        <v>20</v>
      </c>
      <c r="K20" s="4" t="s">
        <v>11</v>
      </c>
      <c r="L20" s="4" t="s">
        <v>129</v>
      </c>
    </row>
    <row r="21" spans="1:12">
      <c r="A21" s="3">
        <v>44601.516562500001</v>
      </c>
      <c r="B21" s="4">
        <v>285477749</v>
      </c>
      <c r="C21" s="4" t="s">
        <v>259</v>
      </c>
      <c r="D21" s="4" t="s">
        <v>12</v>
      </c>
      <c r="E21" s="4">
        <v>900</v>
      </c>
      <c r="F21" s="4">
        <v>900</v>
      </c>
      <c r="G21" s="4">
        <v>630</v>
      </c>
      <c r="H21" s="4"/>
      <c r="I21" s="4" t="s">
        <v>66</v>
      </c>
      <c r="J21" s="4" t="s">
        <v>20</v>
      </c>
      <c r="K21" s="4" t="s">
        <v>11</v>
      </c>
      <c r="L21" s="4" t="s">
        <v>197</v>
      </c>
    </row>
    <row r="22" spans="1:12">
      <c r="A22" s="3">
        <v>44601.516562500001</v>
      </c>
      <c r="B22" s="4">
        <v>285477739</v>
      </c>
      <c r="C22" s="4" t="s">
        <v>268</v>
      </c>
      <c r="D22" s="4" t="s">
        <v>12</v>
      </c>
      <c r="E22" s="4">
        <v>900</v>
      </c>
      <c r="F22" s="4">
        <v>900</v>
      </c>
      <c r="G22" s="4">
        <v>630</v>
      </c>
      <c r="H22" s="4"/>
      <c r="I22" s="4" t="s">
        <v>66</v>
      </c>
      <c r="J22" s="4" t="s">
        <v>20</v>
      </c>
      <c r="K22" s="4" t="s">
        <v>11</v>
      </c>
      <c r="L22" s="4" t="s">
        <v>207</v>
      </c>
    </row>
    <row r="23" spans="1:12">
      <c r="A23" s="3">
        <v>44601.591956018521</v>
      </c>
      <c r="B23" s="4">
        <v>253688268</v>
      </c>
      <c r="C23" s="4" t="s">
        <v>469</v>
      </c>
      <c r="D23" s="4" t="s">
        <v>12</v>
      </c>
      <c r="E23" s="4">
        <v>630</v>
      </c>
      <c r="F23" s="4">
        <v>630</v>
      </c>
      <c r="G23" s="4">
        <v>441</v>
      </c>
      <c r="H23" s="4"/>
      <c r="I23" s="4" t="s">
        <v>28</v>
      </c>
      <c r="J23" s="4" t="s">
        <v>20</v>
      </c>
      <c r="K23" s="4" t="s">
        <v>11</v>
      </c>
      <c r="L23" s="4" t="s">
        <v>375</v>
      </c>
    </row>
    <row r="24" spans="1:12">
      <c r="A24" s="3">
        <v>44601.591956018521</v>
      </c>
      <c r="B24" s="4">
        <v>253688270</v>
      </c>
      <c r="C24" s="4" t="s">
        <v>471</v>
      </c>
      <c r="D24" s="4" t="s">
        <v>12</v>
      </c>
      <c r="E24" s="4">
        <v>630</v>
      </c>
      <c r="F24" s="4">
        <v>630</v>
      </c>
      <c r="G24" s="4">
        <v>441</v>
      </c>
      <c r="H24" s="4"/>
      <c r="I24" s="4" t="s">
        <v>28</v>
      </c>
      <c r="J24" s="4" t="s">
        <v>20</v>
      </c>
      <c r="K24" s="4" t="s">
        <v>11</v>
      </c>
      <c r="L24" s="4" t="s">
        <v>368</v>
      </c>
    </row>
    <row r="25" spans="1:12">
      <c r="A25" s="3">
        <v>44601.825532407405</v>
      </c>
      <c r="B25" s="4">
        <v>285477738</v>
      </c>
      <c r="C25" s="4" t="s">
        <v>265</v>
      </c>
      <c r="D25" s="4" t="s">
        <v>12</v>
      </c>
      <c r="E25" s="4">
        <v>900</v>
      </c>
      <c r="F25" s="4">
        <v>900</v>
      </c>
      <c r="G25" s="4">
        <v>630</v>
      </c>
      <c r="H25" s="4"/>
      <c r="I25" s="4" t="s">
        <v>66</v>
      </c>
      <c r="J25" s="4" t="s">
        <v>20</v>
      </c>
      <c r="K25" s="4" t="s">
        <v>11</v>
      </c>
      <c r="L25" s="4" t="s">
        <v>203</v>
      </c>
    </row>
    <row r="26" spans="1:12">
      <c r="A26" s="3">
        <v>44601.825532407405</v>
      </c>
      <c r="B26" s="4">
        <v>285477757</v>
      </c>
      <c r="C26" s="4" t="s">
        <v>269</v>
      </c>
      <c r="D26" s="4" t="s">
        <v>12</v>
      </c>
      <c r="E26" s="4">
        <v>900</v>
      </c>
      <c r="F26" s="4">
        <v>900</v>
      </c>
      <c r="G26" s="4">
        <v>630</v>
      </c>
      <c r="H26" s="4"/>
      <c r="I26" s="4" t="s">
        <v>66</v>
      </c>
      <c r="J26" s="4" t="s">
        <v>20</v>
      </c>
      <c r="K26" s="4" t="s">
        <v>11</v>
      </c>
      <c r="L26" s="4" t="s">
        <v>210</v>
      </c>
    </row>
    <row r="27" spans="1:12">
      <c r="A27" s="3">
        <v>44602.743425925924</v>
      </c>
      <c r="B27" s="4">
        <v>246862681</v>
      </c>
      <c r="C27" s="4" t="s">
        <v>219</v>
      </c>
      <c r="D27" s="4" t="s">
        <v>12</v>
      </c>
      <c r="E27" s="4">
        <v>0</v>
      </c>
      <c r="F27" s="4">
        <v>0</v>
      </c>
      <c r="G27" s="4">
        <v>0</v>
      </c>
      <c r="H27" s="4"/>
      <c r="I27" s="4" t="s">
        <v>28</v>
      </c>
      <c r="J27" s="4" t="s">
        <v>20</v>
      </c>
      <c r="K27" s="4" t="s">
        <v>11</v>
      </c>
      <c r="L27" s="4" t="s">
        <v>214</v>
      </c>
    </row>
    <row r="28" spans="1:12">
      <c r="A28" s="3">
        <v>44602.875462962962</v>
      </c>
      <c r="B28" s="4">
        <v>285477786</v>
      </c>
      <c r="C28" s="4" t="s">
        <v>78</v>
      </c>
      <c r="D28" s="4" t="s">
        <v>9</v>
      </c>
      <c r="E28" s="4">
        <v>0</v>
      </c>
      <c r="F28" s="4">
        <v>0</v>
      </c>
      <c r="G28" s="4">
        <v>0</v>
      </c>
      <c r="H28" s="4"/>
      <c r="I28" s="4" t="s">
        <v>28</v>
      </c>
      <c r="J28" s="4" t="s">
        <v>20</v>
      </c>
      <c r="K28" s="4" t="s">
        <v>11</v>
      </c>
      <c r="L28" s="4" t="s">
        <v>96</v>
      </c>
    </row>
    <row r="29" spans="1:12">
      <c r="A29" s="3">
        <v>44603.224583333336</v>
      </c>
      <c r="B29" s="4">
        <v>285477734</v>
      </c>
      <c r="C29" s="4" t="s">
        <v>257</v>
      </c>
      <c r="D29" s="4" t="s">
        <v>12</v>
      </c>
      <c r="E29" s="4">
        <v>900</v>
      </c>
      <c r="F29" s="4">
        <v>900</v>
      </c>
      <c r="G29" s="4">
        <v>630</v>
      </c>
      <c r="H29" s="4"/>
      <c r="I29" s="4" t="s">
        <v>66</v>
      </c>
      <c r="J29" s="4" t="s">
        <v>20</v>
      </c>
      <c r="K29" s="4" t="s">
        <v>11</v>
      </c>
      <c r="L29" s="4" t="s">
        <v>122</v>
      </c>
    </row>
    <row r="30" spans="1:12">
      <c r="A30" s="3">
        <v>44603.388240740744</v>
      </c>
      <c r="B30" s="4">
        <v>285477744</v>
      </c>
      <c r="C30" s="4" t="s">
        <v>263</v>
      </c>
      <c r="D30" s="4" t="s">
        <v>12</v>
      </c>
      <c r="E30" s="4">
        <v>900</v>
      </c>
      <c r="F30" s="4">
        <v>900</v>
      </c>
      <c r="G30" s="4">
        <v>630</v>
      </c>
      <c r="H30" s="4"/>
      <c r="I30" s="4" t="s">
        <v>66</v>
      </c>
      <c r="J30" s="4" t="s">
        <v>20</v>
      </c>
      <c r="K30" s="4" t="s">
        <v>11</v>
      </c>
      <c r="L30" s="4" t="s">
        <v>204</v>
      </c>
    </row>
    <row r="31" spans="1:12">
      <c r="A31" s="3">
        <v>44603.388240740744</v>
      </c>
      <c r="B31" s="4">
        <v>285477756</v>
      </c>
      <c r="C31" s="4" t="s">
        <v>271</v>
      </c>
      <c r="D31" s="4" t="s">
        <v>12</v>
      </c>
      <c r="E31" s="4">
        <v>900</v>
      </c>
      <c r="F31" s="4">
        <v>900</v>
      </c>
      <c r="G31" s="4">
        <v>630</v>
      </c>
      <c r="H31" s="4"/>
      <c r="I31" s="4" t="s">
        <v>66</v>
      </c>
      <c r="J31" s="4" t="s">
        <v>20</v>
      </c>
      <c r="K31" s="4" t="s">
        <v>11</v>
      </c>
      <c r="L31" s="4" t="s">
        <v>209</v>
      </c>
    </row>
    <row r="32" spans="1:12">
      <c r="A32" s="3">
        <v>44603.85765046296</v>
      </c>
      <c r="B32" s="4">
        <v>285477762</v>
      </c>
      <c r="C32" s="4" t="s">
        <v>272</v>
      </c>
      <c r="D32" s="4" t="s">
        <v>12</v>
      </c>
      <c r="E32" s="4">
        <v>900</v>
      </c>
      <c r="F32" s="4">
        <v>900</v>
      </c>
      <c r="G32" s="4">
        <v>630</v>
      </c>
      <c r="H32" s="4"/>
      <c r="I32" s="4" t="s">
        <v>66</v>
      </c>
      <c r="J32" s="4" t="s">
        <v>20</v>
      </c>
      <c r="K32" s="4" t="s">
        <v>11</v>
      </c>
      <c r="L32" s="4" t="s">
        <v>211</v>
      </c>
    </row>
    <row r="33" spans="1:12">
      <c r="A33" s="3">
        <v>44603.85765046296</v>
      </c>
      <c r="B33" s="4">
        <v>285477746</v>
      </c>
      <c r="C33" s="4" t="s">
        <v>267</v>
      </c>
      <c r="D33" s="4" t="s">
        <v>12</v>
      </c>
      <c r="E33" s="4">
        <v>900</v>
      </c>
      <c r="F33" s="4">
        <v>900</v>
      </c>
      <c r="G33" s="4">
        <v>630</v>
      </c>
      <c r="H33" s="4"/>
      <c r="I33" s="4" t="s">
        <v>66</v>
      </c>
      <c r="J33" s="4" t="s">
        <v>20</v>
      </c>
      <c r="K33" s="4" t="s">
        <v>11</v>
      </c>
      <c r="L33" s="4" t="s">
        <v>200</v>
      </c>
    </row>
    <row r="34" spans="1:12">
      <c r="A34" s="3">
        <v>44603.869166666664</v>
      </c>
      <c r="B34" s="4">
        <v>253688264</v>
      </c>
      <c r="C34" s="4" t="s">
        <v>227</v>
      </c>
      <c r="D34" s="4" t="s">
        <v>9</v>
      </c>
      <c r="E34" s="4">
        <v>0</v>
      </c>
      <c r="F34" s="4">
        <v>0</v>
      </c>
      <c r="G34" s="4">
        <v>0</v>
      </c>
      <c r="H34" s="4"/>
      <c r="I34" s="4" t="s">
        <v>28</v>
      </c>
      <c r="J34" s="4" t="s">
        <v>20</v>
      </c>
      <c r="K34" s="4" t="s">
        <v>11</v>
      </c>
      <c r="L34" s="4" t="s">
        <v>123</v>
      </c>
    </row>
    <row r="35" spans="1:12">
      <c r="A35" s="3">
        <v>44603.871886574074</v>
      </c>
      <c r="B35" s="4">
        <v>248690932</v>
      </c>
      <c r="C35" s="4" t="s">
        <v>251</v>
      </c>
      <c r="D35" s="4" t="s">
        <v>9</v>
      </c>
      <c r="E35" s="4">
        <v>0</v>
      </c>
      <c r="F35" s="4">
        <v>0</v>
      </c>
      <c r="G35" s="4">
        <v>0</v>
      </c>
      <c r="H35" s="4"/>
      <c r="I35" s="4" t="s">
        <v>28</v>
      </c>
      <c r="J35" s="4" t="s">
        <v>20</v>
      </c>
      <c r="K35" s="4" t="s">
        <v>11</v>
      </c>
      <c r="L35" s="4" t="s">
        <v>125</v>
      </c>
    </row>
    <row r="36" spans="1:12">
      <c r="A36" s="3">
        <v>44603.878576388888</v>
      </c>
      <c r="B36" s="4">
        <v>253688264</v>
      </c>
      <c r="C36" s="4" t="s">
        <v>227</v>
      </c>
      <c r="D36" s="4" t="s">
        <v>9</v>
      </c>
      <c r="E36" s="4">
        <v>0</v>
      </c>
      <c r="F36" s="4">
        <v>0</v>
      </c>
      <c r="G36" s="4">
        <v>0</v>
      </c>
      <c r="H36" s="4"/>
      <c r="I36" s="4" t="s">
        <v>28</v>
      </c>
      <c r="J36" s="4" t="s">
        <v>20</v>
      </c>
      <c r="K36" s="4" t="s">
        <v>11</v>
      </c>
      <c r="L36" s="4" t="s">
        <v>123</v>
      </c>
    </row>
    <row r="37" spans="1:12">
      <c r="A37" s="3">
        <v>44603.878576388888</v>
      </c>
      <c r="B37" s="4">
        <v>254672697</v>
      </c>
      <c r="C37" s="4" t="s">
        <v>467</v>
      </c>
      <c r="D37" s="4" t="s">
        <v>9</v>
      </c>
      <c r="E37" s="4">
        <v>0</v>
      </c>
      <c r="F37" s="4">
        <v>0</v>
      </c>
      <c r="G37" s="4">
        <v>0</v>
      </c>
      <c r="H37" s="4"/>
      <c r="I37" s="4" t="s">
        <v>21</v>
      </c>
      <c r="J37" s="4" t="s">
        <v>20</v>
      </c>
      <c r="K37" s="4" t="s">
        <v>11</v>
      </c>
      <c r="L37" s="4" t="s">
        <v>357</v>
      </c>
    </row>
    <row r="38" spans="1:12">
      <c r="A38" s="3">
        <v>44603.878576388888</v>
      </c>
      <c r="B38" s="4">
        <v>287240033</v>
      </c>
      <c r="C38" s="4" t="s">
        <v>153</v>
      </c>
      <c r="D38" s="4" t="s">
        <v>9</v>
      </c>
      <c r="E38" s="4">
        <v>0</v>
      </c>
      <c r="F38" s="4">
        <v>0</v>
      </c>
      <c r="G38" s="4">
        <v>0</v>
      </c>
      <c r="H38" s="4"/>
      <c r="I38" s="4" t="s">
        <v>165</v>
      </c>
      <c r="J38" s="4" t="s">
        <v>20</v>
      </c>
      <c r="K38" s="4" t="s">
        <v>11</v>
      </c>
      <c r="L38" s="4" t="s">
        <v>148</v>
      </c>
    </row>
    <row r="39" spans="1:12">
      <c r="A39" s="3">
        <v>44604.301157407404</v>
      </c>
      <c r="B39" s="4">
        <v>196159192</v>
      </c>
      <c r="C39" s="4" t="s">
        <v>44</v>
      </c>
      <c r="D39" s="4" t="s">
        <v>9</v>
      </c>
      <c r="E39" s="4">
        <v>0</v>
      </c>
      <c r="F39" s="4">
        <v>0</v>
      </c>
      <c r="G39" s="4">
        <v>0</v>
      </c>
      <c r="H39" s="4"/>
      <c r="I39" s="4" t="s">
        <v>21</v>
      </c>
      <c r="J39" s="4" t="s">
        <v>20</v>
      </c>
      <c r="K39" s="4" t="s">
        <v>11</v>
      </c>
      <c r="L39" s="4" t="s">
        <v>57</v>
      </c>
    </row>
    <row r="40" spans="1:12">
      <c r="A40" s="3">
        <v>44604.804861111108</v>
      </c>
      <c r="B40" s="4">
        <v>285477745</v>
      </c>
      <c r="C40" s="4" t="s">
        <v>264</v>
      </c>
      <c r="D40" s="4" t="s">
        <v>12</v>
      </c>
      <c r="E40" s="4">
        <v>900</v>
      </c>
      <c r="F40" s="4">
        <v>900</v>
      </c>
      <c r="G40" s="4">
        <v>630</v>
      </c>
      <c r="H40" s="4"/>
      <c r="I40" s="4" t="s">
        <v>66</v>
      </c>
      <c r="J40" s="4" t="s">
        <v>20</v>
      </c>
      <c r="K40" s="4" t="s">
        <v>11</v>
      </c>
      <c r="L40" s="4" t="s">
        <v>212</v>
      </c>
    </row>
    <row r="41" spans="1:12">
      <c r="A41" s="3">
        <v>44604.956226851849</v>
      </c>
      <c r="B41" s="4">
        <v>287240033</v>
      </c>
      <c r="C41" s="4" t="s">
        <v>153</v>
      </c>
      <c r="D41" s="4" t="s">
        <v>9</v>
      </c>
      <c r="E41" s="4">
        <v>0</v>
      </c>
      <c r="F41" s="4">
        <v>0</v>
      </c>
      <c r="G41" s="4">
        <v>0</v>
      </c>
      <c r="H41" s="4"/>
      <c r="I41" s="4" t="s">
        <v>165</v>
      </c>
      <c r="J41" s="4" t="s">
        <v>20</v>
      </c>
      <c r="K41" s="4" t="s">
        <v>11</v>
      </c>
      <c r="L41" s="4" t="s">
        <v>148</v>
      </c>
    </row>
    <row r="42" spans="1:12">
      <c r="A42" s="3">
        <v>44605.540798611109</v>
      </c>
      <c r="B42" s="4">
        <v>285477748</v>
      </c>
      <c r="C42" s="4" t="s">
        <v>266</v>
      </c>
      <c r="D42" s="4" t="s">
        <v>12</v>
      </c>
      <c r="E42" s="4">
        <v>900</v>
      </c>
      <c r="F42" s="4">
        <v>900</v>
      </c>
      <c r="G42" s="4">
        <v>630</v>
      </c>
      <c r="H42" s="4"/>
      <c r="I42" s="4" t="s">
        <v>66</v>
      </c>
      <c r="J42" s="4" t="s">
        <v>20</v>
      </c>
      <c r="K42" s="4" t="s">
        <v>11</v>
      </c>
      <c r="L42" s="4" t="s">
        <v>201</v>
      </c>
    </row>
    <row r="43" spans="1:12">
      <c r="A43" s="3">
        <v>44605.540798611109</v>
      </c>
      <c r="B43" s="4">
        <v>285477760</v>
      </c>
      <c r="C43" s="4" t="s">
        <v>270</v>
      </c>
      <c r="D43" s="4" t="s">
        <v>12</v>
      </c>
      <c r="E43" s="4">
        <v>900</v>
      </c>
      <c r="F43" s="4">
        <v>900</v>
      </c>
      <c r="G43" s="4">
        <v>630</v>
      </c>
      <c r="H43" s="4"/>
      <c r="I43" s="4" t="s">
        <v>66</v>
      </c>
      <c r="J43" s="4" t="s">
        <v>20</v>
      </c>
      <c r="K43" s="4" t="s">
        <v>11</v>
      </c>
      <c r="L43" s="4" t="s">
        <v>208</v>
      </c>
    </row>
    <row r="44" spans="1:12">
      <c r="A44" s="3">
        <v>44605.735902777778</v>
      </c>
      <c r="B44" s="4">
        <v>287240033</v>
      </c>
      <c r="C44" s="4" t="s">
        <v>153</v>
      </c>
      <c r="D44" s="4" t="s">
        <v>9</v>
      </c>
      <c r="E44" s="4">
        <v>0</v>
      </c>
      <c r="F44" s="4">
        <v>0</v>
      </c>
      <c r="G44" s="4">
        <v>0</v>
      </c>
      <c r="H44" s="4"/>
      <c r="I44" s="4" t="s">
        <v>165</v>
      </c>
      <c r="J44" s="4" t="s">
        <v>20</v>
      </c>
      <c r="K44" s="4" t="s">
        <v>11</v>
      </c>
      <c r="L44" s="4" t="s">
        <v>148</v>
      </c>
    </row>
    <row r="45" spans="1:12">
      <c r="A45" s="3">
        <v>44605.774050925924</v>
      </c>
      <c r="B45" s="4">
        <v>285477750</v>
      </c>
      <c r="C45" s="4" t="s">
        <v>274</v>
      </c>
      <c r="D45" s="4" t="s">
        <v>12</v>
      </c>
      <c r="E45" s="4">
        <v>900</v>
      </c>
      <c r="F45" s="4">
        <v>900</v>
      </c>
      <c r="G45" s="4">
        <v>630</v>
      </c>
      <c r="H45" s="4"/>
      <c r="I45" s="4" t="s">
        <v>66</v>
      </c>
      <c r="J45" s="4" t="s">
        <v>20</v>
      </c>
      <c r="K45" s="4" t="s">
        <v>11</v>
      </c>
      <c r="L45" s="4" t="s">
        <v>213</v>
      </c>
    </row>
    <row r="46" spans="1:12">
      <c r="A46" s="3">
        <v>44605.774050925924</v>
      </c>
      <c r="B46" s="4">
        <v>285477766</v>
      </c>
      <c r="C46" s="4" t="s">
        <v>273</v>
      </c>
      <c r="D46" s="4" t="s">
        <v>12</v>
      </c>
      <c r="E46" s="4">
        <v>900</v>
      </c>
      <c r="F46" s="4">
        <v>900</v>
      </c>
      <c r="G46" s="4">
        <v>630</v>
      </c>
      <c r="H46" s="4"/>
      <c r="I46" s="4" t="s">
        <v>66</v>
      </c>
      <c r="J46" s="4" t="s">
        <v>20</v>
      </c>
      <c r="K46" s="4" t="s">
        <v>11</v>
      </c>
      <c r="L46" s="4" t="s">
        <v>205</v>
      </c>
    </row>
    <row r="47" spans="1:12">
      <c r="A47" s="3">
        <v>44605.891006944446</v>
      </c>
      <c r="B47" s="4">
        <v>253688264</v>
      </c>
      <c r="C47" s="4" t="s">
        <v>227</v>
      </c>
      <c r="D47" s="4" t="s">
        <v>12</v>
      </c>
      <c r="E47" s="4">
        <v>0</v>
      </c>
      <c r="F47" s="4">
        <v>0</v>
      </c>
      <c r="G47" s="4">
        <v>0</v>
      </c>
      <c r="H47" s="4"/>
      <c r="I47" s="4" t="s">
        <v>28</v>
      </c>
      <c r="J47" s="4" t="s">
        <v>20</v>
      </c>
      <c r="K47" s="4" t="s">
        <v>11</v>
      </c>
      <c r="L47" s="4" t="s">
        <v>123</v>
      </c>
    </row>
    <row r="48" spans="1:12">
      <c r="A48" s="3">
        <v>44606.324502314812</v>
      </c>
      <c r="B48" s="4">
        <v>285477752</v>
      </c>
      <c r="C48" s="4" t="s">
        <v>262</v>
      </c>
      <c r="D48" s="4" t="s">
        <v>12</v>
      </c>
      <c r="E48" s="4">
        <v>900</v>
      </c>
      <c r="F48" s="4">
        <v>900</v>
      </c>
      <c r="G48" s="4">
        <v>630</v>
      </c>
      <c r="H48" s="4"/>
      <c r="I48" s="4" t="s">
        <v>66</v>
      </c>
      <c r="J48" s="4" t="s">
        <v>20</v>
      </c>
      <c r="K48" s="4" t="s">
        <v>11</v>
      </c>
      <c r="L48" s="4" t="s">
        <v>196</v>
      </c>
    </row>
    <row r="49" spans="1:12">
      <c r="A49" s="3">
        <v>44606.477384259262</v>
      </c>
      <c r="B49" s="4">
        <v>285477751</v>
      </c>
      <c r="C49" s="4" t="s">
        <v>554</v>
      </c>
      <c r="D49" s="4" t="s">
        <v>12</v>
      </c>
      <c r="E49" s="4">
        <v>900</v>
      </c>
      <c r="F49" s="4">
        <v>900</v>
      </c>
      <c r="G49" s="4">
        <v>630</v>
      </c>
      <c r="H49" s="4"/>
      <c r="I49" s="4" t="s">
        <v>66</v>
      </c>
      <c r="J49" s="4" t="s">
        <v>20</v>
      </c>
      <c r="K49" s="4" t="s">
        <v>11</v>
      </c>
      <c r="L49" s="4" t="s">
        <v>386</v>
      </c>
    </row>
    <row r="50" spans="1:12">
      <c r="A50" s="3">
        <v>44606.477384259262</v>
      </c>
      <c r="B50" s="4">
        <v>285477754</v>
      </c>
      <c r="C50" s="4" t="s">
        <v>553</v>
      </c>
      <c r="D50" s="4" t="s">
        <v>12</v>
      </c>
      <c r="E50" s="4">
        <v>900</v>
      </c>
      <c r="F50" s="4">
        <v>900</v>
      </c>
      <c r="G50" s="4">
        <v>630</v>
      </c>
      <c r="H50" s="4"/>
      <c r="I50" s="4" t="s">
        <v>66</v>
      </c>
      <c r="J50" s="4" t="s">
        <v>20</v>
      </c>
      <c r="K50" s="4" t="s">
        <v>11</v>
      </c>
      <c r="L50" s="4" t="s">
        <v>380</v>
      </c>
    </row>
    <row r="51" spans="1:12">
      <c r="A51" s="3">
        <v>44606.477384259262</v>
      </c>
      <c r="B51" s="4">
        <v>285477764</v>
      </c>
      <c r="C51" s="4" t="s">
        <v>555</v>
      </c>
      <c r="D51" s="4" t="s">
        <v>12</v>
      </c>
      <c r="E51" s="4">
        <v>900</v>
      </c>
      <c r="F51" s="4">
        <v>900</v>
      </c>
      <c r="G51" s="4">
        <v>630</v>
      </c>
      <c r="H51" s="4"/>
      <c r="I51" s="4" t="s">
        <v>66</v>
      </c>
      <c r="J51" s="4" t="s">
        <v>20</v>
      </c>
      <c r="K51" s="4" t="s">
        <v>11</v>
      </c>
      <c r="L51" s="4" t="s">
        <v>381</v>
      </c>
    </row>
    <row r="52" spans="1:12">
      <c r="A52" s="3">
        <v>44606.978333333333</v>
      </c>
      <c r="B52" s="4">
        <v>287240033</v>
      </c>
      <c r="C52" s="4" t="s">
        <v>153</v>
      </c>
      <c r="D52" s="4" t="s">
        <v>9</v>
      </c>
      <c r="E52" s="4">
        <v>0</v>
      </c>
      <c r="F52" s="4">
        <v>0</v>
      </c>
      <c r="G52" s="4">
        <v>0</v>
      </c>
      <c r="H52" s="4"/>
      <c r="I52" s="4" t="s">
        <v>165</v>
      </c>
      <c r="J52" s="4" t="s">
        <v>20</v>
      </c>
      <c r="K52" s="4" t="s">
        <v>11</v>
      </c>
      <c r="L52" s="4" t="s">
        <v>148</v>
      </c>
    </row>
    <row r="53" spans="1:12">
      <c r="A53" s="3">
        <v>44607.415995370371</v>
      </c>
      <c r="B53" s="4">
        <v>285477742</v>
      </c>
      <c r="C53" s="4" t="s">
        <v>79</v>
      </c>
      <c r="D53" s="4" t="s">
        <v>9</v>
      </c>
      <c r="E53" s="4">
        <v>0</v>
      </c>
      <c r="F53" s="4">
        <v>0</v>
      </c>
      <c r="G53" s="4">
        <v>0</v>
      </c>
      <c r="H53" s="4"/>
      <c r="I53" s="4" t="s">
        <v>66</v>
      </c>
      <c r="J53" s="4" t="s">
        <v>20</v>
      </c>
      <c r="K53" s="4" t="s">
        <v>11</v>
      </c>
      <c r="L53" s="4" t="s">
        <v>97</v>
      </c>
    </row>
    <row r="54" spans="1:12">
      <c r="A54" s="3">
        <v>44607.799293981479</v>
      </c>
      <c r="B54" s="4">
        <v>285477772</v>
      </c>
      <c r="C54" s="4" t="s">
        <v>559</v>
      </c>
      <c r="D54" s="4" t="s">
        <v>12</v>
      </c>
      <c r="E54" s="4">
        <v>900</v>
      </c>
      <c r="F54" s="4">
        <v>900</v>
      </c>
      <c r="G54" s="4">
        <v>630</v>
      </c>
      <c r="H54" s="4"/>
      <c r="I54" s="4" t="s">
        <v>66</v>
      </c>
      <c r="J54" s="4" t="s">
        <v>20</v>
      </c>
      <c r="K54" s="4" t="s">
        <v>11</v>
      </c>
      <c r="L54" s="4" t="s">
        <v>387</v>
      </c>
    </row>
    <row r="55" spans="1:12">
      <c r="A55" s="3">
        <v>44607.799293981479</v>
      </c>
      <c r="B55" s="4">
        <v>285477755</v>
      </c>
      <c r="C55" s="4" t="s">
        <v>561</v>
      </c>
      <c r="D55" s="4" t="s">
        <v>12</v>
      </c>
      <c r="E55" s="4">
        <v>900</v>
      </c>
      <c r="F55" s="4">
        <v>900</v>
      </c>
      <c r="G55" s="4">
        <v>630</v>
      </c>
      <c r="H55" s="4"/>
      <c r="I55" s="4" t="s">
        <v>66</v>
      </c>
      <c r="J55" s="4" t="s">
        <v>20</v>
      </c>
      <c r="K55" s="4" t="s">
        <v>11</v>
      </c>
      <c r="L55" s="4" t="s">
        <v>388</v>
      </c>
    </row>
    <row r="56" spans="1:12">
      <c r="A56" s="3">
        <v>44607.799293981479</v>
      </c>
      <c r="B56" s="4">
        <v>285477753</v>
      </c>
      <c r="C56" s="4" t="s">
        <v>560</v>
      </c>
      <c r="D56" s="4" t="s">
        <v>12</v>
      </c>
      <c r="E56" s="4">
        <v>900</v>
      </c>
      <c r="F56" s="4">
        <v>900</v>
      </c>
      <c r="G56" s="4">
        <v>630</v>
      </c>
      <c r="H56" s="4"/>
      <c r="I56" s="4" t="s">
        <v>66</v>
      </c>
      <c r="J56" s="4" t="s">
        <v>20</v>
      </c>
      <c r="K56" s="4" t="s">
        <v>11</v>
      </c>
      <c r="L56" s="4" t="s">
        <v>389</v>
      </c>
    </row>
    <row r="57" spans="1:12">
      <c r="A57" s="3">
        <v>44608.332129629627</v>
      </c>
      <c r="B57" s="4">
        <v>285477733</v>
      </c>
      <c r="C57" s="4" t="s">
        <v>252</v>
      </c>
      <c r="D57" s="4" t="s">
        <v>12</v>
      </c>
      <c r="E57" s="4">
        <v>900</v>
      </c>
      <c r="F57" s="4">
        <v>900</v>
      </c>
      <c r="G57" s="4">
        <v>630</v>
      </c>
      <c r="H57" s="4"/>
      <c r="I57" s="4" t="s">
        <v>66</v>
      </c>
      <c r="J57" s="4" t="s">
        <v>20</v>
      </c>
      <c r="K57" s="4" t="s">
        <v>11</v>
      </c>
      <c r="L57" s="4" t="s">
        <v>127</v>
      </c>
    </row>
    <row r="58" spans="1:12">
      <c r="A58" s="3">
        <v>44608.89744212963</v>
      </c>
      <c r="B58" s="4">
        <v>285477758</v>
      </c>
      <c r="C58" s="4" t="s">
        <v>565</v>
      </c>
      <c r="D58" s="4" t="s">
        <v>12</v>
      </c>
      <c r="E58" s="4">
        <v>900</v>
      </c>
      <c r="F58" s="4">
        <v>900</v>
      </c>
      <c r="G58" s="4">
        <v>630</v>
      </c>
      <c r="H58" s="4"/>
      <c r="I58" s="4" t="s">
        <v>66</v>
      </c>
      <c r="J58" s="4" t="s">
        <v>20</v>
      </c>
      <c r="K58" s="4" t="s">
        <v>11</v>
      </c>
      <c r="L58" s="4" t="s">
        <v>393</v>
      </c>
    </row>
    <row r="59" spans="1:12">
      <c r="A59" s="3">
        <v>44608.89744212963</v>
      </c>
      <c r="B59" s="4">
        <v>285477770</v>
      </c>
      <c r="C59" s="4" t="s">
        <v>568</v>
      </c>
      <c r="D59" s="4" t="s">
        <v>12</v>
      </c>
      <c r="E59" s="4">
        <v>900</v>
      </c>
      <c r="F59" s="4">
        <v>900</v>
      </c>
      <c r="G59" s="4">
        <v>630</v>
      </c>
      <c r="H59" s="4"/>
      <c r="I59" s="4" t="s">
        <v>66</v>
      </c>
      <c r="J59" s="4" t="s">
        <v>20</v>
      </c>
      <c r="K59" s="4" t="s">
        <v>11</v>
      </c>
      <c r="L59" s="4" t="s">
        <v>394</v>
      </c>
    </row>
    <row r="60" spans="1:12">
      <c r="A60" s="3">
        <v>44610.077523148146</v>
      </c>
      <c r="B60" s="4">
        <v>285477777</v>
      </c>
      <c r="C60" s="4" t="s">
        <v>572</v>
      </c>
      <c r="D60" s="4" t="s">
        <v>12</v>
      </c>
      <c r="E60" s="4">
        <v>900</v>
      </c>
      <c r="F60" s="4">
        <v>900</v>
      </c>
      <c r="G60" s="4">
        <v>630</v>
      </c>
      <c r="H60" s="4"/>
      <c r="I60" s="4" t="s">
        <v>66</v>
      </c>
      <c r="J60" s="4" t="s">
        <v>20</v>
      </c>
      <c r="K60" s="4" t="s">
        <v>11</v>
      </c>
      <c r="L60" s="4" t="s">
        <v>395</v>
      </c>
    </row>
    <row r="61" spans="1:12">
      <c r="A61" s="3">
        <v>44610.077523148146</v>
      </c>
      <c r="B61" s="4">
        <v>285477761</v>
      </c>
      <c r="C61" s="4" t="s">
        <v>571</v>
      </c>
      <c r="D61" s="4" t="s">
        <v>12</v>
      </c>
      <c r="E61" s="4">
        <v>900</v>
      </c>
      <c r="F61" s="4">
        <v>900</v>
      </c>
      <c r="G61" s="4">
        <v>630</v>
      </c>
      <c r="H61" s="4"/>
      <c r="I61" s="4" t="s">
        <v>66</v>
      </c>
      <c r="J61" s="4" t="s">
        <v>20</v>
      </c>
      <c r="K61" s="4" t="s">
        <v>11</v>
      </c>
      <c r="L61" s="4" t="s">
        <v>396</v>
      </c>
    </row>
    <row r="62" spans="1:12">
      <c r="A62" s="3">
        <v>44610.277546296296</v>
      </c>
      <c r="B62" s="4">
        <v>285477741</v>
      </c>
      <c r="C62" s="4" t="s">
        <v>260</v>
      </c>
      <c r="D62" s="4" t="s">
        <v>12</v>
      </c>
      <c r="E62" s="4">
        <v>900</v>
      </c>
      <c r="F62" s="4">
        <v>900</v>
      </c>
      <c r="G62" s="4">
        <v>630</v>
      </c>
      <c r="H62" s="4"/>
      <c r="I62" s="4" t="s">
        <v>66</v>
      </c>
      <c r="J62" s="4" t="s">
        <v>20</v>
      </c>
      <c r="K62" s="4" t="s">
        <v>11</v>
      </c>
      <c r="L62" s="4" t="s">
        <v>130</v>
      </c>
    </row>
    <row r="63" spans="1:12">
      <c r="A63" s="3">
        <v>44610.839097222219</v>
      </c>
      <c r="B63" s="4">
        <v>285477759</v>
      </c>
      <c r="C63" s="4" t="s">
        <v>574</v>
      </c>
      <c r="D63" s="4" t="s">
        <v>12</v>
      </c>
      <c r="E63" s="4">
        <v>900</v>
      </c>
      <c r="F63" s="4">
        <v>900</v>
      </c>
      <c r="G63" s="4">
        <v>630</v>
      </c>
      <c r="H63" s="4"/>
      <c r="I63" s="4" t="s">
        <v>66</v>
      </c>
      <c r="J63" s="4" t="s">
        <v>20</v>
      </c>
      <c r="K63" s="4" t="s">
        <v>11</v>
      </c>
      <c r="L63" s="4" t="s">
        <v>407</v>
      </c>
    </row>
    <row r="64" spans="1:12">
      <c r="A64" s="3">
        <v>44610.839097222219</v>
      </c>
      <c r="B64" s="4">
        <v>285477771</v>
      </c>
      <c r="C64" s="4" t="s">
        <v>575</v>
      </c>
      <c r="D64" s="4" t="s">
        <v>12</v>
      </c>
      <c r="E64" s="4">
        <v>900</v>
      </c>
      <c r="F64" s="4">
        <v>900</v>
      </c>
      <c r="G64" s="4">
        <v>630</v>
      </c>
      <c r="H64" s="4"/>
      <c r="I64" s="4" t="s">
        <v>66</v>
      </c>
      <c r="J64" s="4" t="s">
        <v>20</v>
      </c>
      <c r="K64" s="4" t="s">
        <v>11</v>
      </c>
      <c r="L64" s="4" t="s">
        <v>398</v>
      </c>
    </row>
    <row r="65" spans="1:12">
      <c r="A65" s="3">
        <v>44610.996886574074</v>
      </c>
      <c r="B65" s="4">
        <v>223422657</v>
      </c>
      <c r="C65" s="4" t="s">
        <v>74</v>
      </c>
      <c r="D65" s="4" t="s">
        <v>9</v>
      </c>
      <c r="E65" s="4">
        <v>0</v>
      </c>
      <c r="F65" s="4">
        <v>0</v>
      </c>
      <c r="G65" s="4">
        <v>0</v>
      </c>
      <c r="H65" s="4"/>
      <c r="I65" s="4" t="s">
        <v>21</v>
      </c>
      <c r="J65" s="4" t="s">
        <v>20</v>
      </c>
      <c r="K65" s="4" t="s">
        <v>11</v>
      </c>
      <c r="L65" s="4" t="s">
        <v>92</v>
      </c>
    </row>
    <row r="66" spans="1:12">
      <c r="A66" s="3">
        <v>44611.939050925925</v>
      </c>
      <c r="B66" s="4">
        <v>287240033</v>
      </c>
      <c r="C66" s="4" t="s">
        <v>153</v>
      </c>
      <c r="D66" s="4" t="s">
        <v>9</v>
      </c>
      <c r="E66" s="4">
        <v>0</v>
      </c>
      <c r="F66" s="4">
        <v>0</v>
      </c>
      <c r="G66" s="4">
        <v>0</v>
      </c>
      <c r="H66" s="4"/>
      <c r="I66" s="4" t="s">
        <v>165</v>
      </c>
      <c r="J66" s="4" t="s">
        <v>20</v>
      </c>
      <c r="K66" s="4" t="s">
        <v>11</v>
      </c>
      <c r="L66" s="4" t="s">
        <v>148</v>
      </c>
    </row>
    <row r="67" spans="1:12">
      <c r="A67" s="3">
        <v>44612.442048611112</v>
      </c>
      <c r="B67" s="4">
        <v>286266582</v>
      </c>
      <c r="C67" s="4" t="s">
        <v>249</v>
      </c>
      <c r="D67" s="4" t="s">
        <v>9</v>
      </c>
      <c r="E67" s="5">
        <v>18000</v>
      </c>
      <c r="F67" s="5">
        <v>18000</v>
      </c>
      <c r="G67" s="5">
        <v>12600</v>
      </c>
      <c r="H67" s="4"/>
      <c r="I67" s="4" t="s">
        <v>28</v>
      </c>
      <c r="J67" s="4" t="s">
        <v>20</v>
      </c>
      <c r="K67" s="4" t="s">
        <v>11</v>
      </c>
      <c r="L67" s="4" t="s">
        <v>145</v>
      </c>
    </row>
    <row r="68" spans="1:12">
      <c r="A68" s="3">
        <v>44612.470648148148</v>
      </c>
      <c r="B68" s="4">
        <v>285477775</v>
      </c>
      <c r="C68" s="4" t="s">
        <v>576</v>
      </c>
      <c r="D68" s="4" t="s">
        <v>12</v>
      </c>
      <c r="E68" s="4">
        <v>900</v>
      </c>
      <c r="F68" s="4">
        <v>900</v>
      </c>
      <c r="G68" s="4">
        <v>630</v>
      </c>
      <c r="H68" s="4"/>
      <c r="I68" s="4" t="s">
        <v>66</v>
      </c>
      <c r="J68" s="4" t="s">
        <v>20</v>
      </c>
      <c r="K68" s="4" t="s">
        <v>11</v>
      </c>
      <c r="L68" s="4" t="s">
        <v>418</v>
      </c>
    </row>
    <row r="69" spans="1:12">
      <c r="A69" s="3">
        <v>44612.470648148148</v>
      </c>
      <c r="B69" s="4">
        <v>285477763</v>
      </c>
      <c r="C69" s="4" t="s">
        <v>577</v>
      </c>
      <c r="D69" s="4" t="s">
        <v>12</v>
      </c>
      <c r="E69" s="4">
        <v>900</v>
      </c>
      <c r="F69" s="4">
        <v>900</v>
      </c>
      <c r="G69" s="4">
        <v>630</v>
      </c>
      <c r="H69" s="4"/>
      <c r="I69" s="4" t="s">
        <v>66</v>
      </c>
      <c r="J69" s="4" t="s">
        <v>20</v>
      </c>
      <c r="K69" s="4" t="s">
        <v>11</v>
      </c>
      <c r="L69" s="4" t="s">
        <v>423</v>
      </c>
    </row>
    <row r="70" spans="1:12">
      <c r="A70" s="3">
        <v>44612.846203703702</v>
      </c>
      <c r="B70" s="4">
        <v>285477765</v>
      </c>
      <c r="C70" s="4" t="s">
        <v>299</v>
      </c>
      <c r="D70" s="4" t="s">
        <v>12</v>
      </c>
      <c r="E70" s="4">
        <v>900</v>
      </c>
      <c r="F70" s="4">
        <v>900</v>
      </c>
      <c r="G70" s="4">
        <v>630</v>
      </c>
      <c r="H70" s="4"/>
      <c r="I70" s="4" t="s">
        <v>66</v>
      </c>
      <c r="J70" s="4" t="s">
        <v>20</v>
      </c>
      <c r="K70" s="4" t="s">
        <v>11</v>
      </c>
      <c r="L70" s="4" t="s">
        <v>416</v>
      </c>
    </row>
    <row r="71" spans="1:12">
      <c r="A71" s="3">
        <v>44612.846203703702</v>
      </c>
      <c r="B71" s="4">
        <v>285477787</v>
      </c>
      <c r="C71" s="4" t="s">
        <v>578</v>
      </c>
      <c r="D71" s="4" t="s">
        <v>12</v>
      </c>
      <c r="E71" s="4">
        <v>900</v>
      </c>
      <c r="F71" s="4">
        <v>900</v>
      </c>
      <c r="G71" s="4">
        <v>630</v>
      </c>
      <c r="H71" s="4"/>
      <c r="I71" s="4" t="s">
        <v>66</v>
      </c>
      <c r="J71" s="4" t="s">
        <v>20</v>
      </c>
      <c r="K71" s="4" t="s">
        <v>11</v>
      </c>
      <c r="L71" s="4" t="s">
        <v>421</v>
      </c>
    </row>
    <row r="72" spans="1:12">
      <c r="A72" s="3">
        <v>44613.040520833332</v>
      </c>
      <c r="B72" s="4">
        <v>288521371</v>
      </c>
      <c r="C72" s="4" t="s">
        <v>494</v>
      </c>
      <c r="D72" s="4" t="s">
        <v>12</v>
      </c>
      <c r="E72" s="5">
        <v>4410</v>
      </c>
      <c r="F72" s="5">
        <v>4410</v>
      </c>
      <c r="G72" s="5">
        <v>3087</v>
      </c>
      <c r="H72" s="4"/>
      <c r="I72" s="4" t="s">
        <v>28</v>
      </c>
      <c r="J72" s="4" t="s">
        <v>20</v>
      </c>
      <c r="K72" s="4" t="s">
        <v>11</v>
      </c>
      <c r="L72" s="4" t="s">
        <v>425</v>
      </c>
    </row>
    <row r="73" spans="1:12">
      <c r="A73" s="3">
        <v>44613.299456018518</v>
      </c>
      <c r="B73" s="4">
        <v>285477749</v>
      </c>
      <c r="C73" s="4" t="s">
        <v>259</v>
      </c>
      <c r="D73" s="4" t="s">
        <v>12</v>
      </c>
      <c r="E73" s="4">
        <v>900</v>
      </c>
      <c r="F73" s="4">
        <v>900</v>
      </c>
      <c r="G73" s="4">
        <v>630</v>
      </c>
      <c r="H73" s="4"/>
      <c r="I73" s="4" t="s">
        <v>66</v>
      </c>
      <c r="J73" s="4" t="s">
        <v>20</v>
      </c>
      <c r="K73" s="4" t="s">
        <v>11</v>
      </c>
      <c r="L73" s="4" t="s">
        <v>197</v>
      </c>
    </row>
    <row r="74" spans="1:12">
      <c r="A74" s="3">
        <v>44613.543865740743</v>
      </c>
      <c r="B74" s="4">
        <v>288521372</v>
      </c>
      <c r="C74" s="4" t="s">
        <v>495</v>
      </c>
      <c r="D74" s="4" t="s">
        <v>12</v>
      </c>
      <c r="E74" s="5">
        <v>4410</v>
      </c>
      <c r="F74" s="5">
        <v>4410</v>
      </c>
      <c r="G74" s="5">
        <v>3087</v>
      </c>
      <c r="H74" s="4"/>
      <c r="I74" s="4" t="s">
        <v>21</v>
      </c>
      <c r="J74" s="4" t="s">
        <v>20</v>
      </c>
      <c r="K74" s="4" t="s">
        <v>11</v>
      </c>
      <c r="L74" s="4" t="s">
        <v>424</v>
      </c>
    </row>
    <row r="75" spans="1:12">
      <c r="A75" s="3">
        <v>44614.349861111114</v>
      </c>
      <c r="B75" s="4">
        <v>196159192</v>
      </c>
      <c r="C75" s="4" t="s">
        <v>44</v>
      </c>
      <c r="D75" s="4" t="s">
        <v>9</v>
      </c>
      <c r="E75" s="4">
        <v>0</v>
      </c>
      <c r="F75" s="4">
        <v>0</v>
      </c>
      <c r="G75" s="4">
        <v>0</v>
      </c>
      <c r="H75" s="4"/>
      <c r="I75" s="4" t="s">
        <v>21</v>
      </c>
      <c r="J75" s="4" t="s">
        <v>20</v>
      </c>
      <c r="K75" s="4" t="s">
        <v>11</v>
      </c>
      <c r="L75" s="4" t="s">
        <v>57</v>
      </c>
    </row>
    <row r="76" spans="1:12">
      <c r="A76" s="3">
        <v>44614.521620370368</v>
      </c>
      <c r="B76" s="4">
        <v>254672697</v>
      </c>
      <c r="C76" s="4" t="s">
        <v>467</v>
      </c>
      <c r="D76" s="4" t="s">
        <v>12</v>
      </c>
      <c r="E76" s="4">
        <v>0</v>
      </c>
      <c r="F76" s="4">
        <v>0</v>
      </c>
      <c r="G76" s="4">
        <v>0</v>
      </c>
      <c r="H76" s="4"/>
      <c r="I76" s="4" t="s">
        <v>21</v>
      </c>
      <c r="J76" s="4" t="s">
        <v>20</v>
      </c>
      <c r="K76" s="4" t="s">
        <v>11</v>
      </c>
      <c r="L76" s="4" t="s">
        <v>357</v>
      </c>
    </row>
    <row r="77" spans="1:12">
      <c r="A77" s="3">
        <v>44617.16028935185</v>
      </c>
      <c r="B77" s="4">
        <v>285477776</v>
      </c>
      <c r="C77" s="4" t="s">
        <v>71</v>
      </c>
      <c r="D77" s="4" t="s">
        <v>9</v>
      </c>
      <c r="E77" s="4">
        <v>0</v>
      </c>
      <c r="F77" s="4">
        <v>0</v>
      </c>
      <c r="G77" s="4">
        <v>0</v>
      </c>
      <c r="H77" s="4"/>
      <c r="I77" s="4" t="s">
        <v>66</v>
      </c>
      <c r="J77" s="4" t="s">
        <v>20</v>
      </c>
      <c r="K77" s="4" t="s">
        <v>11</v>
      </c>
      <c r="L77" s="4" t="s">
        <v>98</v>
      </c>
    </row>
    <row r="78" spans="1:12">
      <c r="G78" s="7">
        <f>SUM(G2:G77)</f>
        <v>48636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3"/>
  <sheetViews>
    <sheetView topLeftCell="A72" workbookViewId="0">
      <selection activeCell="G93" sqref="G93"/>
    </sheetView>
  </sheetViews>
  <sheetFormatPr defaultRowHeight="16.5"/>
  <cols>
    <col min="1" max="1" width="16.25" bestFit="1" customWidth="1"/>
    <col min="2" max="2" width="10.375" bestFit="1" customWidth="1"/>
    <col min="3" max="3" width="41" bestFit="1" customWidth="1"/>
    <col min="4" max="4" width="8.625" bestFit="1" customWidth="1"/>
    <col min="5" max="5" width="6.5" bestFit="1" customWidth="1"/>
    <col min="6" max="6" width="6.75" bestFit="1" customWidth="1"/>
    <col min="7" max="7" width="7.75" bestFit="1" customWidth="1"/>
    <col min="8" max="8" width="16.25" bestFit="1" customWidth="1"/>
    <col min="9" max="9" width="14.375" bestFit="1" customWidth="1"/>
    <col min="10" max="10" width="8.625" bestFit="1" customWidth="1"/>
    <col min="11" max="11" width="10.375" bestFit="1" customWidth="1"/>
    <col min="12" max="12" width="14.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44593.031666666669</v>
      </c>
      <c r="B2" s="4">
        <v>286120721</v>
      </c>
      <c r="C2" s="4" t="s">
        <v>156</v>
      </c>
      <c r="D2" s="4" t="s">
        <v>9</v>
      </c>
      <c r="E2" s="5">
        <v>3200</v>
      </c>
      <c r="F2" s="5">
        <v>3200</v>
      </c>
      <c r="G2" s="5">
        <v>2240</v>
      </c>
      <c r="H2" s="4"/>
      <c r="I2" s="4" t="s">
        <v>233</v>
      </c>
      <c r="J2" s="4" t="s">
        <v>582</v>
      </c>
      <c r="K2" s="4" t="s">
        <v>11</v>
      </c>
      <c r="L2" s="4" t="s">
        <v>126</v>
      </c>
    </row>
    <row r="3" spans="1:12">
      <c r="A3" s="3">
        <v>44593.340810185182</v>
      </c>
      <c r="B3" s="4">
        <v>286120715</v>
      </c>
      <c r="C3" s="4" t="s">
        <v>187</v>
      </c>
      <c r="D3" s="4" t="s">
        <v>9</v>
      </c>
      <c r="E3" s="5">
        <v>3200</v>
      </c>
      <c r="F3" s="5">
        <v>3200</v>
      </c>
      <c r="G3" s="5">
        <v>2240</v>
      </c>
      <c r="H3" s="4"/>
      <c r="I3" s="4" t="s">
        <v>233</v>
      </c>
      <c r="J3" s="4" t="s">
        <v>582</v>
      </c>
      <c r="K3" s="4" t="s">
        <v>11</v>
      </c>
      <c r="L3" s="4" t="s">
        <v>117</v>
      </c>
    </row>
    <row r="4" spans="1:12">
      <c r="A4" s="3">
        <v>44593.668368055558</v>
      </c>
      <c r="B4" s="4">
        <v>284241886</v>
      </c>
      <c r="C4" s="4" t="s">
        <v>62</v>
      </c>
      <c r="D4" s="4" t="s">
        <v>9</v>
      </c>
      <c r="E4" s="5">
        <v>3600</v>
      </c>
      <c r="F4" s="5">
        <v>3600</v>
      </c>
      <c r="G4" s="5">
        <v>2520</v>
      </c>
      <c r="H4" s="4"/>
      <c r="I4" s="4" t="s">
        <v>34</v>
      </c>
      <c r="J4" s="4" t="s">
        <v>582</v>
      </c>
      <c r="K4" s="4" t="s">
        <v>11</v>
      </c>
      <c r="L4" s="4" t="s">
        <v>91</v>
      </c>
    </row>
    <row r="5" spans="1:12">
      <c r="A5" s="3">
        <v>44593.977824074071</v>
      </c>
      <c r="B5" s="4">
        <v>271275617</v>
      </c>
      <c r="C5" s="4" t="s">
        <v>504</v>
      </c>
      <c r="D5" s="4" t="s">
        <v>9</v>
      </c>
      <c r="E5" s="5">
        <v>2800</v>
      </c>
      <c r="F5" s="5">
        <v>2800</v>
      </c>
      <c r="G5" s="5">
        <v>1960</v>
      </c>
      <c r="H5" s="4"/>
      <c r="I5" s="4" t="s">
        <v>67</v>
      </c>
      <c r="J5" s="4" t="s">
        <v>582</v>
      </c>
      <c r="K5" s="4" t="s">
        <v>11</v>
      </c>
      <c r="L5" s="4" t="s">
        <v>323</v>
      </c>
    </row>
    <row r="6" spans="1:12">
      <c r="A6" s="3">
        <v>44593.988113425927</v>
      </c>
      <c r="B6" s="4">
        <v>278763736</v>
      </c>
      <c r="C6" s="4" t="s">
        <v>520</v>
      </c>
      <c r="D6" s="4" t="s">
        <v>9</v>
      </c>
      <c r="E6" s="5">
        <v>3000</v>
      </c>
      <c r="F6" s="5">
        <v>3000</v>
      </c>
      <c r="G6" s="5">
        <v>2100</v>
      </c>
      <c r="H6" s="4"/>
      <c r="I6" s="4" t="s">
        <v>447</v>
      </c>
      <c r="J6" s="4" t="s">
        <v>582</v>
      </c>
      <c r="K6" s="4" t="s">
        <v>11</v>
      </c>
      <c r="L6" s="4" t="s">
        <v>324</v>
      </c>
    </row>
    <row r="7" spans="1:12">
      <c r="A7" s="3">
        <v>44594.005150462966</v>
      </c>
      <c r="B7" s="4">
        <v>286120640</v>
      </c>
      <c r="C7" s="4" t="s">
        <v>186</v>
      </c>
      <c r="D7" s="4" t="s">
        <v>9</v>
      </c>
      <c r="E7" s="5">
        <v>3200</v>
      </c>
      <c r="F7" s="5">
        <v>3200</v>
      </c>
      <c r="G7" s="5">
        <v>2240</v>
      </c>
      <c r="H7" s="4"/>
      <c r="I7" s="4" t="s">
        <v>233</v>
      </c>
      <c r="J7" s="4" t="s">
        <v>582</v>
      </c>
      <c r="K7" s="4" t="s">
        <v>11</v>
      </c>
      <c r="L7" s="4" t="s">
        <v>118</v>
      </c>
    </row>
    <row r="8" spans="1:12">
      <c r="A8" s="3">
        <v>44594.390011574076</v>
      </c>
      <c r="B8" s="4">
        <v>286120640</v>
      </c>
      <c r="C8" s="4" t="s">
        <v>186</v>
      </c>
      <c r="D8" s="4" t="s">
        <v>9</v>
      </c>
      <c r="E8" s="5">
        <v>3200</v>
      </c>
      <c r="F8" s="5">
        <v>3200</v>
      </c>
      <c r="G8" s="5">
        <v>2240</v>
      </c>
      <c r="H8" s="4"/>
      <c r="I8" s="4" t="s">
        <v>233</v>
      </c>
      <c r="J8" s="4" t="s">
        <v>582</v>
      </c>
      <c r="K8" s="4" t="s">
        <v>11</v>
      </c>
      <c r="L8" s="4" t="s">
        <v>118</v>
      </c>
    </row>
    <row r="9" spans="1:12">
      <c r="A9" s="3">
        <v>44596.690925925926</v>
      </c>
      <c r="B9" s="4">
        <v>285885492</v>
      </c>
      <c r="C9" s="4" t="s">
        <v>83</v>
      </c>
      <c r="D9" s="4" t="s">
        <v>9</v>
      </c>
      <c r="E9" s="5">
        <v>3400</v>
      </c>
      <c r="F9" s="5">
        <v>3400</v>
      </c>
      <c r="G9" s="5">
        <v>2380</v>
      </c>
      <c r="H9" s="4"/>
      <c r="I9" s="4" t="s">
        <v>68</v>
      </c>
      <c r="J9" s="4" t="s">
        <v>582</v>
      </c>
      <c r="K9" s="4" t="s">
        <v>11</v>
      </c>
      <c r="L9" s="4" t="s">
        <v>64</v>
      </c>
    </row>
    <row r="10" spans="1:12">
      <c r="A10" s="3">
        <v>44597.014733796299</v>
      </c>
      <c r="B10" s="4">
        <v>288284467</v>
      </c>
      <c r="C10" s="4" t="s">
        <v>493</v>
      </c>
      <c r="D10" s="4" t="s">
        <v>9</v>
      </c>
      <c r="E10" s="5">
        <v>3000</v>
      </c>
      <c r="F10" s="5">
        <v>3000</v>
      </c>
      <c r="G10" s="5">
        <v>2100</v>
      </c>
      <c r="H10" s="4"/>
      <c r="I10" s="4" t="s">
        <v>474</v>
      </c>
      <c r="J10" s="4" t="s">
        <v>582</v>
      </c>
      <c r="K10" s="4" t="s">
        <v>11</v>
      </c>
      <c r="L10" s="4" t="s">
        <v>340</v>
      </c>
    </row>
    <row r="11" spans="1:12">
      <c r="A11" s="3">
        <v>44597.014733796299</v>
      </c>
      <c r="B11" s="4">
        <v>288284508</v>
      </c>
      <c r="C11" s="4" t="s">
        <v>492</v>
      </c>
      <c r="D11" s="4" t="s">
        <v>9</v>
      </c>
      <c r="E11" s="5">
        <v>3000</v>
      </c>
      <c r="F11" s="5">
        <v>3000</v>
      </c>
      <c r="G11" s="5">
        <v>2100</v>
      </c>
      <c r="H11" s="4"/>
      <c r="I11" s="4" t="s">
        <v>474</v>
      </c>
      <c r="J11" s="4" t="s">
        <v>582</v>
      </c>
      <c r="K11" s="4" t="s">
        <v>11</v>
      </c>
      <c r="L11" s="4" t="s">
        <v>342</v>
      </c>
    </row>
    <row r="12" spans="1:12">
      <c r="A12" s="3">
        <v>44597.014733796299</v>
      </c>
      <c r="B12" s="4">
        <v>288284443</v>
      </c>
      <c r="C12" s="4" t="s">
        <v>290</v>
      </c>
      <c r="D12" s="4" t="s">
        <v>9</v>
      </c>
      <c r="E12" s="5">
        <v>3000</v>
      </c>
      <c r="F12" s="5">
        <v>3000</v>
      </c>
      <c r="G12" s="5">
        <v>2100</v>
      </c>
      <c r="H12" s="4"/>
      <c r="I12" s="4" t="s">
        <v>474</v>
      </c>
      <c r="J12" s="4" t="s">
        <v>582</v>
      </c>
      <c r="K12" s="4" t="s">
        <v>11</v>
      </c>
      <c r="L12" s="4" t="s">
        <v>343</v>
      </c>
    </row>
    <row r="13" spans="1:12">
      <c r="A13" s="3">
        <v>44598.524375000001</v>
      </c>
      <c r="B13" s="4">
        <v>288284467</v>
      </c>
      <c r="C13" s="4" t="s">
        <v>493</v>
      </c>
      <c r="D13" s="4" t="s">
        <v>9</v>
      </c>
      <c r="E13" s="5">
        <v>3000</v>
      </c>
      <c r="F13" s="5">
        <v>3000</v>
      </c>
      <c r="G13" s="5">
        <v>2100</v>
      </c>
      <c r="H13" s="4"/>
      <c r="I13" s="4" t="s">
        <v>474</v>
      </c>
      <c r="J13" s="4" t="s">
        <v>582</v>
      </c>
      <c r="K13" s="4" t="s">
        <v>11</v>
      </c>
      <c r="L13" s="4" t="s">
        <v>340</v>
      </c>
    </row>
    <row r="14" spans="1:12">
      <c r="A14" s="3">
        <v>44598.657013888886</v>
      </c>
      <c r="B14" s="4">
        <v>288284443</v>
      </c>
      <c r="C14" s="4" t="s">
        <v>290</v>
      </c>
      <c r="D14" s="4" t="s">
        <v>9</v>
      </c>
      <c r="E14" s="5">
        <v>3000</v>
      </c>
      <c r="F14" s="5">
        <v>3000</v>
      </c>
      <c r="G14" s="5">
        <v>2100</v>
      </c>
      <c r="H14" s="4"/>
      <c r="I14" s="4" t="s">
        <v>474</v>
      </c>
      <c r="J14" s="4" t="s">
        <v>582</v>
      </c>
      <c r="K14" s="4" t="s">
        <v>11</v>
      </c>
      <c r="L14" s="4" t="s">
        <v>343</v>
      </c>
    </row>
    <row r="15" spans="1:12">
      <c r="A15" s="3">
        <v>44598.657013888886</v>
      </c>
      <c r="B15" s="4">
        <v>288284508</v>
      </c>
      <c r="C15" s="4" t="s">
        <v>492</v>
      </c>
      <c r="D15" s="4" t="s">
        <v>9</v>
      </c>
      <c r="E15" s="5">
        <v>3000</v>
      </c>
      <c r="F15" s="5">
        <v>3000</v>
      </c>
      <c r="G15" s="5">
        <v>2100</v>
      </c>
      <c r="H15" s="4"/>
      <c r="I15" s="4" t="s">
        <v>474</v>
      </c>
      <c r="J15" s="4" t="s">
        <v>582</v>
      </c>
      <c r="K15" s="4" t="s">
        <v>11</v>
      </c>
      <c r="L15" s="4" t="s">
        <v>342</v>
      </c>
    </row>
    <row r="16" spans="1:12">
      <c r="A16" s="3">
        <v>44599.389560185184</v>
      </c>
      <c r="B16" s="4">
        <v>177444767</v>
      </c>
      <c r="C16" s="4" t="s">
        <v>549</v>
      </c>
      <c r="D16" s="4" t="s">
        <v>9</v>
      </c>
      <c r="E16" s="5">
        <v>3600</v>
      </c>
      <c r="F16" s="5">
        <v>3600</v>
      </c>
      <c r="G16" s="5">
        <v>2520</v>
      </c>
      <c r="H16" s="4"/>
      <c r="I16" s="4" t="s">
        <v>449</v>
      </c>
      <c r="J16" s="4" t="s">
        <v>582</v>
      </c>
      <c r="K16" s="4" t="s">
        <v>11</v>
      </c>
      <c r="L16" s="4" t="s">
        <v>347</v>
      </c>
    </row>
    <row r="17" spans="1:12">
      <c r="A17" s="3">
        <v>44599.715555555558</v>
      </c>
      <c r="B17" s="4">
        <v>288284508</v>
      </c>
      <c r="C17" s="4" t="s">
        <v>492</v>
      </c>
      <c r="D17" s="4" t="s">
        <v>9</v>
      </c>
      <c r="E17" s="5">
        <v>3000</v>
      </c>
      <c r="F17" s="5">
        <v>3000</v>
      </c>
      <c r="G17" s="5">
        <v>2100</v>
      </c>
      <c r="H17" s="4"/>
      <c r="I17" s="4" t="s">
        <v>474</v>
      </c>
      <c r="J17" s="4" t="s">
        <v>582</v>
      </c>
      <c r="K17" s="4" t="s">
        <v>11</v>
      </c>
      <c r="L17" s="4" t="s">
        <v>342</v>
      </c>
    </row>
    <row r="18" spans="1:12">
      <c r="A18" s="3">
        <v>44600.945023148146</v>
      </c>
      <c r="B18" s="4">
        <v>279704073</v>
      </c>
      <c r="C18" s="4" t="s">
        <v>155</v>
      </c>
      <c r="D18" s="4" t="s">
        <v>9</v>
      </c>
      <c r="E18" s="5">
        <v>3000</v>
      </c>
      <c r="F18" s="5">
        <v>3000</v>
      </c>
      <c r="G18" s="5">
        <v>2100</v>
      </c>
      <c r="H18" s="4"/>
      <c r="I18" s="4" t="s">
        <v>67</v>
      </c>
      <c r="J18" s="4" t="s">
        <v>582</v>
      </c>
      <c r="K18" s="4" t="s">
        <v>11</v>
      </c>
      <c r="L18" s="4" t="s">
        <v>143</v>
      </c>
    </row>
    <row r="19" spans="1:12">
      <c r="A19" s="3">
        <v>44600.962060185186</v>
      </c>
      <c r="B19" s="4">
        <v>279704076</v>
      </c>
      <c r="C19" s="4" t="s">
        <v>172</v>
      </c>
      <c r="D19" s="4" t="s">
        <v>9</v>
      </c>
      <c r="E19" s="5">
        <v>3000</v>
      </c>
      <c r="F19" s="5">
        <v>3000</v>
      </c>
      <c r="G19" s="5">
        <v>2100</v>
      </c>
      <c r="H19" s="4"/>
      <c r="I19" s="4" t="s">
        <v>67</v>
      </c>
      <c r="J19" s="4" t="s">
        <v>582</v>
      </c>
      <c r="K19" s="4" t="s">
        <v>11</v>
      </c>
      <c r="L19" s="4" t="s">
        <v>139</v>
      </c>
    </row>
    <row r="20" spans="1:12">
      <c r="A20" s="3">
        <v>44601.327245370368</v>
      </c>
      <c r="B20" s="4">
        <v>286120639</v>
      </c>
      <c r="C20" s="4" t="s">
        <v>154</v>
      </c>
      <c r="D20" s="4" t="s">
        <v>9</v>
      </c>
      <c r="E20" s="5">
        <v>3200</v>
      </c>
      <c r="F20" s="5">
        <v>3200</v>
      </c>
      <c r="G20" s="5">
        <v>2240</v>
      </c>
      <c r="H20" s="4"/>
      <c r="I20" s="4" t="s">
        <v>233</v>
      </c>
      <c r="J20" s="4" t="s">
        <v>582</v>
      </c>
      <c r="K20" s="4" t="s">
        <v>11</v>
      </c>
      <c r="L20" s="4" t="s">
        <v>136</v>
      </c>
    </row>
    <row r="21" spans="1:12">
      <c r="A21" s="3">
        <v>44601.831469907411</v>
      </c>
      <c r="B21" s="4">
        <v>284241886</v>
      </c>
      <c r="C21" s="4" t="s">
        <v>62</v>
      </c>
      <c r="D21" s="4" t="s">
        <v>9</v>
      </c>
      <c r="E21" s="5">
        <v>3600</v>
      </c>
      <c r="F21" s="5">
        <v>3600</v>
      </c>
      <c r="G21" s="5">
        <v>2520</v>
      </c>
      <c r="H21" s="4"/>
      <c r="I21" s="4" t="s">
        <v>34</v>
      </c>
      <c r="J21" s="4" t="s">
        <v>582</v>
      </c>
      <c r="K21" s="4" t="s">
        <v>11</v>
      </c>
      <c r="L21" s="4" t="s">
        <v>91</v>
      </c>
    </row>
    <row r="22" spans="1:12">
      <c r="A22" s="3">
        <v>44601.831469907411</v>
      </c>
      <c r="B22" s="4">
        <v>284241808</v>
      </c>
      <c r="C22" s="4" t="s">
        <v>73</v>
      </c>
      <c r="D22" s="4" t="s">
        <v>9</v>
      </c>
      <c r="E22" s="5">
        <v>3600</v>
      </c>
      <c r="F22" s="5">
        <v>3600</v>
      </c>
      <c r="G22" s="5">
        <v>2520</v>
      </c>
      <c r="H22" s="4"/>
      <c r="I22" s="4" t="s">
        <v>34</v>
      </c>
      <c r="J22" s="4" t="s">
        <v>582</v>
      </c>
      <c r="K22" s="4" t="s">
        <v>11</v>
      </c>
      <c r="L22" s="4" t="s">
        <v>90</v>
      </c>
    </row>
    <row r="23" spans="1:12">
      <c r="A23" s="3">
        <v>44601.8983912037</v>
      </c>
      <c r="B23" s="4">
        <v>276845689</v>
      </c>
      <c r="C23" s="4" t="s">
        <v>291</v>
      </c>
      <c r="D23" s="4" t="s">
        <v>9</v>
      </c>
      <c r="E23" s="5">
        <v>2800</v>
      </c>
      <c r="F23" s="5">
        <v>2800</v>
      </c>
      <c r="G23" s="5">
        <v>1960</v>
      </c>
      <c r="H23" s="4"/>
      <c r="I23" s="4" t="s">
        <v>18</v>
      </c>
      <c r="J23" s="4" t="s">
        <v>582</v>
      </c>
      <c r="K23" s="4" t="s">
        <v>11</v>
      </c>
      <c r="L23" s="4" t="s">
        <v>369</v>
      </c>
    </row>
    <row r="24" spans="1:12">
      <c r="A24" s="3">
        <v>44601.903668981482</v>
      </c>
      <c r="B24" s="4">
        <v>286120663</v>
      </c>
      <c r="C24" s="4" t="s">
        <v>175</v>
      </c>
      <c r="D24" s="4" t="s">
        <v>9</v>
      </c>
      <c r="E24" s="5">
        <v>3200</v>
      </c>
      <c r="F24" s="5">
        <v>3200</v>
      </c>
      <c r="G24" s="5">
        <v>2240</v>
      </c>
      <c r="H24" s="4"/>
      <c r="I24" s="4" t="s">
        <v>233</v>
      </c>
      <c r="J24" s="4" t="s">
        <v>582</v>
      </c>
      <c r="K24" s="4" t="s">
        <v>11</v>
      </c>
      <c r="L24" s="4" t="s">
        <v>198</v>
      </c>
    </row>
    <row r="25" spans="1:12">
      <c r="A25" s="3">
        <v>44602.727083333331</v>
      </c>
      <c r="B25" s="4">
        <v>286120663</v>
      </c>
      <c r="C25" s="4" t="s">
        <v>175</v>
      </c>
      <c r="D25" s="4" t="s">
        <v>9</v>
      </c>
      <c r="E25" s="5">
        <v>3200</v>
      </c>
      <c r="F25" s="5">
        <v>3200</v>
      </c>
      <c r="G25" s="5">
        <v>2240</v>
      </c>
      <c r="H25" s="4"/>
      <c r="I25" s="4" t="s">
        <v>233</v>
      </c>
      <c r="J25" s="4" t="s">
        <v>582</v>
      </c>
      <c r="K25" s="4" t="s">
        <v>11</v>
      </c>
      <c r="L25" s="4" t="s">
        <v>198</v>
      </c>
    </row>
    <row r="26" spans="1:12">
      <c r="A26" s="3">
        <v>44602.727083333331</v>
      </c>
      <c r="B26" s="4">
        <v>286120721</v>
      </c>
      <c r="C26" s="4" t="s">
        <v>156</v>
      </c>
      <c r="D26" s="4" t="s">
        <v>9</v>
      </c>
      <c r="E26" s="5">
        <v>3200</v>
      </c>
      <c r="F26" s="5">
        <v>3200</v>
      </c>
      <c r="G26" s="5">
        <v>2240</v>
      </c>
      <c r="H26" s="4"/>
      <c r="I26" s="4" t="s">
        <v>233</v>
      </c>
      <c r="J26" s="4" t="s">
        <v>582</v>
      </c>
      <c r="K26" s="4" t="s">
        <v>11</v>
      </c>
      <c r="L26" s="4" t="s">
        <v>126</v>
      </c>
    </row>
    <row r="27" spans="1:12">
      <c r="A27" s="3">
        <v>44602.727083333331</v>
      </c>
      <c r="B27" s="4">
        <v>286120639</v>
      </c>
      <c r="C27" s="4" t="s">
        <v>154</v>
      </c>
      <c r="D27" s="4" t="s">
        <v>9</v>
      </c>
      <c r="E27" s="5">
        <v>3200</v>
      </c>
      <c r="F27" s="5">
        <v>3200</v>
      </c>
      <c r="G27" s="5">
        <v>2240</v>
      </c>
      <c r="H27" s="4"/>
      <c r="I27" s="4" t="s">
        <v>233</v>
      </c>
      <c r="J27" s="4" t="s">
        <v>582</v>
      </c>
      <c r="K27" s="4" t="s">
        <v>11</v>
      </c>
      <c r="L27" s="4" t="s">
        <v>136</v>
      </c>
    </row>
    <row r="28" spans="1:12">
      <c r="A28" s="3">
        <v>44603.933252314811</v>
      </c>
      <c r="B28" s="4">
        <v>288284467</v>
      </c>
      <c r="C28" s="4" t="s">
        <v>493</v>
      </c>
      <c r="D28" s="4" t="s">
        <v>9</v>
      </c>
      <c r="E28" s="5">
        <v>3000</v>
      </c>
      <c r="F28" s="5">
        <v>3000</v>
      </c>
      <c r="G28" s="5">
        <v>2100</v>
      </c>
      <c r="H28" s="4"/>
      <c r="I28" s="4" t="s">
        <v>474</v>
      </c>
      <c r="J28" s="4" t="s">
        <v>582</v>
      </c>
      <c r="K28" s="4" t="s">
        <v>11</v>
      </c>
      <c r="L28" s="4" t="s">
        <v>340</v>
      </c>
    </row>
    <row r="29" spans="1:12">
      <c r="A29" s="3">
        <v>44604.081400462965</v>
      </c>
      <c r="B29" s="4">
        <v>284241808</v>
      </c>
      <c r="C29" s="4" t="s">
        <v>73</v>
      </c>
      <c r="D29" s="4" t="s">
        <v>9</v>
      </c>
      <c r="E29" s="5">
        <v>3600</v>
      </c>
      <c r="F29" s="5">
        <v>3600</v>
      </c>
      <c r="G29" s="5">
        <v>2520</v>
      </c>
      <c r="H29" s="4"/>
      <c r="I29" s="4" t="s">
        <v>34</v>
      </c>
      <c r="J29" s="4" t="s">
        <v>582</v>
      </c>
      <c r="K29" s="4" t="s">
        <v>11</v>
      </c>
      <c r="L29" s="4" t="s">
        <v>90</v>
      </c>
    </row>
    <row r="30" spans="1:12">
      <c r="A30" s="3">
        <v>44604.081400462965</v>
      </c>
      <c r="B30" s="4">
        <v>284241886</v>
      </c>
      <c r="C30" s="4" t="s">
        <v>62</v>
      </c>
      <c r="D30" s="4" t="s">
        <v>9</v>
      </c>
      <c r="E30" s="5">
        <v>3600</v>
      </c>
      <c r="F30" s="5">
        <v>3600</v>
      </c>
      <c r="G30" s="5">
        <v>2520</v>
      </c>
      <c r="H30" s="4"/>
      <c r="I30" s="4" t="s">
        <v>34</v>
      </c>
      <c r="J30" s="4" t="s">
        <v>582</v>
      </c>
      <c r="K30" s="4" t="s">
        <v>11</v>
      </c>
      <c r="L30" s="4" t="s">
        <v>91</v>
      </c>
    </row>
    <row r="31" spans="1:12">
      <c r="A31" s="3">
        <v>44604.630937499998</v>
      </c>
      <c r="B31" s="4">
        <v>288284508</v>
      </c>
      <c r="C31" s="4" t="s">
        <v>492</v>
      </c>
      <c r="D31" s="4" t="s">
        <v>9</v>
      </c>
      <c r="E31" s="5">
        <v>3000</v>
      </c>
      <c r="F31" s="5">
        <v>3000</v>
      </c>
      <c r="G31" s="5">
        <v>2100</v>
      </c>
      <c r="H31" s="4"/>
      <c r="I31" s="4" t="s">
        <v>474</v>
      </c>
      <c r="J31" s="4" t="s">
        <v>582</v>
      </c>
      <c r="K31" s="4" t="s">
        <v>11</v>
      </c>
      <c r="L31" s="4" t="s">
        <v>342</v>
      </c>
    </row>
    <row r="32" spans="1:12">
      <c r="A32" s="3">
        <v>44604.630937499998</v>
      </c>
      <c r="B32" s="4">
        <v>288284443</v>
      </c>
      <c r="C32" s="4" t="s">
        <v>290</v>
      </c>
      <c r="D32" s="4" t="s">
        <v>9</v>
      </c>
      <c r="E32" s="5">
        <v>3000</v>
      </c>
      <c r="F32" s="5">
        <v>3000</v>
      </c>
      <c r="G32" s="5">
        <v>2100</v>
      </c>
      <c r="H32" s="4"/>
      <c r="I32" s="4" t="s">
        <v>474</v>
      </c>
      <c r="J32" s="4" t="s">
        <v>582</v>
      </c>
      <c r="K32" s="4" t="s">
        <v>11</v>
      </c>
      <c r="L32" s="4" t="s">
        <v>343</v>
      </c>
    </row>
    <row r="33" spans="1:12">
      <c r="A33" s="3">
        <v>44605.053344907406</v>
      </c>
      <c r="B33" s="4">
        <v>276845689</v>
      </c>
      <c r="C33" s="4" t="s">
        <v>291</v>
      </c>
      <c r="D33" s="4" t="s">
        <v>9</v>
      </c>
      <c r="E33" s="5">
        <v>2800</v>
      </c>
      <c r="F33" s="5">
        <v>2800</v>
      </c>
      <c r="G33" s="5">
        <v>1960</v>
      </c>
      <c r="H33" s="4"/>
      <c r="I33" s="4" t="s">
        <v>18</v>
      </c>
      <c r="J33" s="4" t="s">
        <v>582</v>
      </c>
      <c r="K33" s="4" t="s">
        <v>11</v>
      </c>
      <c r="L33" s="4" t="s">
        <v>369</v>
      </c>
    </row>
    <row r="34" spans="1:12">
      <c r="A34" s="3">
        <v>44605.423680555556</v>
      </c>
      <c r="B34" s="4">
        <v>288284508</v>
      </c>
      <c r="C34" s="4" t="s">
        <v>492</v>
      </c>
      <c r="D34" s="4" t="s">
        <v>9</v>
      </c>
      <c r="E34" s="5">
        <v>3000</v>
      </c>
      <c r="F34" s="5">
        <v>3000</v>
      </c>
      <c r="G34" s="5">
        <v>2100</v>
      </c>
      <c r="H34" s="4"/>
      <c r="I34" s="4" t="s">
        <v>474</v>
      </c>
      <c r="J34" s="4" t="s">
        <v>582</v>
      </c>
      <c r="K34" s="4" t="s">
        <v>11</v>
      </c>
      <c r="L34" s="4" t="s">
        <v>342</v>
      </c>
    </row>
    <row r="35" spans="1:12">
      <c r="A35" s="3">
        <v>44605.453287037039</v>
      </c>
      <c r="B35" s="4">
        <v>276845647</v>
      </c>
      <c r="C35" s="4" t="s">
        <v>535</v>
      </c>
      <c r="D35" s="4" t="s">
        <v>9</v>
      </c>
      <c r="E35" s="5">
        <v>2800</v>
      </c>
      <c r="F35" s="5">
        <v>2800</v>
      </c>
      <c r="G35" s="5">
        <v>1960</v>
      </c>
      <c r="H35" s="4"/>
      <c r="I35" s="4" t="s">
        <v>18</v>
      </c>
      <c r="J35" s="4" t="s">
        <v>582</v>
      </c>
      <c r="K35" s="4" t="s">
        <v>11</v>
      </c>
      <c r="L35" s="4" t="s">
        <v>392</v>
      </c>
    </row>
    <row r="36" spans="1:12">
      <c r="A36" s="3">
        <v>44605.795358796298</v>
      </c>
      <c r="B36" s="4">
        <v>286673576</v>
      </c>
      <c r="C36" s="4" t="s">
        <v>171</v>
      </c>
      <c r="D36" s="4" t="s">
        <v>9</v>
      </c>
      <c r="E36" s="5">
        <v>3200</v>
      </c>
      <c r="F36" s="5">
        <v>3200</v>
      </c>
      <c r="G36" s="5">
        <v>2240</v>
      </c>
      <c r="H36" s="4"/>
      <c r="I36" s="4" t="s">
        <v>157</v>
      </c>
      <c r="J36" s="4" t="s">
        <v>582</v>
      </c>
      <c r="K36" s="4" t="s">
        <v>11</v>
      </c>
      <c r="L36" s="4" t="s">
        <v>138</v>
      </c>
    </row>
    <row r="37" spans="1:12">
      <c r="A37" s="3">
        <v>44605.799907407411</v>
      </c>
      <c r="B37" s="4">
        <v>286673576</v>
      </c>
      <c r="C37" s="4" t="s">
        <v>171</v>
      </c>
      <c r="D37" s="4" t="s">
        <v>9</v>
      </c>
      <c r="E37" s="5">
        <v>-3200</v>
      </c>
      <c r="F37" s="5">
        <v>-3200</v>
      </c>
      <c r="G37" s="5">
        <v>-2240</v>
      </c>
      <c r="H37" s="3">
        <v>44605.795358796298</v>
      </c>
      <c r="I37" s="4" t="s">
        <v>157</v>
      </c>
      <c r="J37" s="4" t="s">
        <v>582</v>
      </c>
      <c r="K37" s="4" t="s">
        <v>11</v>
      </c>
      <c r="L37" s="4" t="s">
        <v>138</v>
      </c>
    </row>
    <row r="38" spans="1:12">
      <c r="A38" s="3">
        <v>44605.799907407411</v>
      </c>
      <c r="B38" s="4">
        <v>286673595</v>
      </c>
      <c r="C38" s="4" t="s">
        <v>287</v>
      </c>
      <c r="D38" s="4" t="s">
        <v>9</v>
      </c>
      <c r="E38" s="5">
        <v>-3200</v>
      </c>
      <c r="F38" s="5">
        <v>-3200</v>
      </c>
      <c r="G38" s="5">
        <v>-2240</v>
      </c>
      <c r="H38" s="3">
        <v>44605.795358796298</v>
      </c>
      <c r="I38" s="4" t="s">
        <v>157</v>
      </c>
      <c r="J38" s="4" t="s">
        <v>582</v>
      </c>
      <c r="K38" s="4" t="s">
        <v>11</v>
      </c>
      <c r="L38" s="4" t="s">
        <v>377</v>
      </c>
    </row>
    <row r="39" spans="1:12">
      <c r="A39" s="3">
        <v>44605.795358796298</v>
      </c>
      <c r="B39" s="4">
        <v>286673595</v>
      </c>
      <c r="C39" s="4" t="s">
        <v>287</v>
      </c>
      <c r="D39" s="4" t="s">
        <v>9</v>
      </c>
      <c r="E39" s="5">
        <v>3200</v>
      </c>
      <c r="F39" s="5">
        <v>3200</v>
      </c>
      <c r="G39" s="5">
        <v>2240</v>
      </c>
      <c r="H39" s="4"/>
      <c r="I39" s="4" t="s">
        <v>157</v>
      </c>
      <c r="J39" s="4" t="s">
        <v>582</v>
      </c>
      <c r="K39" s="4" t="s">
        <v>11</v>
      </c>
      <c r="L39" s="4" t="s">
        <v>377</v>
      </c>
    </row>
    <row r="40" spans="1:12">
      <c r="A40" s="3">
        <v>44605.795358796298</v>
      </c>
      <c r="B40" s="4">
        <v>286673574</v>
      </c>
      <c r="C40" s="4" t="s">
        <v>483</v>
      </c>
      <c r="D40" s="4" t="s">
        <v>9</v>
      </c>
      <c r="E40" s="5">
        <v>3200</v>
      </c>
      <c r="F40" s="5">
        <v>3200</v>
      </c>
      <c r="G40" s="5">
        <v>2240</v>
      </c>
      <c r="H40" s="4"/>
      <c r="I40" s="4" t="s">
        <v>157</v>
      </c>
      <c r="J40" s="4" t="s">
        <v>582</v>
      </c>
      <c r="K40" s="4" t="s">
        <v>11</v>
      </c>
      <c r="L40" s="4" t="s">
        <v>391</v>
      </c>
    </row>
    <row r="41" spans="1:12">
      <c r="A41" s="3">
        <v>44605.799907407411</v>
      </c>
      <c r="B41" s="4">
        <v>286673574</v>
      </c>
      <c r="C41" s="4" t="s">
        <v>483</v>
      </c>
      <c r="D41" s="4" t="s">
        <v>9</v>
      </c>
      <c r="E41" s="5">
        <v>-3200</v>
      </c>
      <c r="F41" s="5">
        <v>-3200</v>
      </c>
      <c r="G41" s="5">
        <v>-2240</v>
      </c>
      <c r="H41" s="3">
        <v>44605.795358796298</v>
      </c>
      <c r="I41" s="4" t="s">
        <v>157</v>
      </c>
      <c r="J41" s="4" t="s">
        <v>582</v>
      </c>
      <c r="K41" s="4" t="s">
        <v>11</v>
      </c>
      <c r="L41" s="4" t="s">
        <v>391</v>
      </c>
    </row>
    <row r="42" spans="1:12">
      <c r="A42" s="3">
        <v>44605.799907407411</v>
      </c>
      <c r="B42" s="4">
        <v>286673575</v>
      </c>
      <c r="C42" s="4" t="s">
        <v>489</v>
      </c>
      <c r="D42" s="4" t="s">
        <v>9</v>
      </c>
      <c r="E42" s="5">
        <v>-3200</v>
      </c>
      <c r="F42" s="5">
        <v>-3200</v>
      </c>
      <c r="G42" s="5">
        <v>-2240</v>
      </c>
      <c r="H42" s="3">
        <v>44605.795358796298</v>
      </c>
      <c r="I42" s="4" t="s">
        <v>157</v>
      </c>
      <c r="J42" s="4" t="s">
        <v>582</v>
      </c>
      <c r="K42" s="4" t="s">
        <v>11</v>
      </c>
      <c r="L42" s="4" t="s">
        <v>390</v>
      </c>
    </row>
    <row r="43" spans="1:12">
      <c r="A43" s="3">
        <v>44605.795358796298</v>
      </c>
      <c r="B43" s="4">
        <v>286673575</v>
      </c>
      <c r="C43" s="4" t="s">
        <v>489</v>
      </c>
      <c r="D43" s="4" t="s">
        <v>9</v>
      </c>
      <c r="E43" s="5">
        <v>3200</v>
      </c>
      <c r="F43" s="5">
        <v>3200</v>
      </c>
      <c r="G43" s="5">
        <v>2240</v>
      </c>
      <c r="H43" s="4"/>
      <c r="I43" s="4" t="s">
        <v>157</v>
      </c>
      <c r="J43" s="4" t="s">
        <v>582</v>
      </c>
      <c r="K43" s="4" t="s">
        <v>11</v>
      </c>
      <c r="L43" s="4" t="s">
        <v>390</v>
      </c>
    </row>
    <row r="44" spans="1:12">
      <c r="A44" s="3">
        <v>44605.806805555556</v>
      </c>
      <c r="B44" s="4">
        <v>286673575</v>
      </c>
      <c r="C44" s="4" t="s">
        <v>489</v>
      </c>
      <c r="D44" s="4" t="s">
        <v>9</v>
      </c>
      <c r="E44" s="5">
        <v>3200</v>
      </c>
      <c r="F44" s="5">
        <v>3200</v>
      </c>
      <c r="G44" s="5">
        <v>2240</v>
      </c>
      <c r="H44" s="4"/>
      <c r="I44" s="4" t="s">
        <v>157</v>
      </c>
      <c r="J44" s="4" t="s">
        <v>582</v>
      </c>
      <c r="K44" s="4" t="s">
        <v>11</v>
      </c>
      <c r="L44" s="4" t="s">
        <v>390</v>
      </c>
    </row>
    <row r="45" spans="1:12">
      <c r="A45" s="3">
        <v>44605.806805555556</v>
      </c>
      <c r="B45" s="4">
        <v>286673595</v>
      </c>
      <c r="C45" s="4" t="s">
        <v>287</v>
      </c>
      <c r="D45" s="4" t="s">
        <v>9</v>
      </c>
      <c r="E45" s="5">
        <v>3200</v>
      </c>
      <c r="F45" s="5">
        <v>3200</v>
      </c>
      <c r="G45" s="5">
        <v>2240</v>
      </c>
      <c r="H45" s="4"/>
      <c r="I45" s="4" t="s">
        <v>157</v>
      </c>
      <c r="J45" s="4" t="s">
        <v>582</v>
      </c>
      <c r="K45" s="4" t="s">
        <v>11</v>
      </c>
      <c r="L45" s="4" t="s">
        <v>377</v>
      </c>
    </row>
    <row r="46" spans="1:12">
      <c r="A46" s="3">
        <v>44605.806805555556</v>
      </c>
      <c r="B46" s="4">
        <v>286673574</v>
      </c>
      <c r="C46" s="4" t="s">
        <v>483</v>
      </c>
      <c r="D46" s="4" t="s">
        <v>9</v>
      </c>
      <c r="E46" s="5">
        <v>3200</v>
      </c>
      <c r="F46" s="5">
        <v>3200</v>
      </c>
      <c r="G46" s="5">
        <v>2240</v>
      </c>
      <c r="H46" s="4"/>
      <c r="I46" s="4" t="s">
        <v>157</v>
      </c>
      <c r="J46" s="4" t="s">
        <v>582</v>
      </c>
      <c r="K46" s="4" t="s">
        <v>11</v>
      </c>
      <c r="L46" s="4" t="s">
        <v>391</v>
      </c>
    </row>
    <row r="47" spans="1:12">
      <c r="A47" s="3">
        <v>44605.806805555556</v>
      </c>
      <c r="B47" s="4">
        <v>286673576</v>
      </c>
      <c r="C47" s="4" t="s">
        <v>171</v>
      </c>
      <c r="D47" s="4" t="s">
        <v>9</v>
      </c>
      <c r="E47" s="5">
        <v>3200</v>
      </c>
      <c r="F47" s="5">
        <v>3200</v>
      </c>
      <c r="G47" s="5">
        <v>2240</v>
      </c>
      <c r="H47" s="4"/>
      <c r="I47" s="4" t="s">
        <v>157</v>
      </c>
      <c r="J47" s="4" t="s">
        <v>582</v>
      </c>
      <c r="K47" s="4" t="s">
        <v>11</v>
      </c>
      <c r="L47" s="4" t="s">
        <v>138</v>
      </c>
    </row>
    <row r="48" spans="1:12">
      <c r="A48" s="3">
        <v>44605.902407407404</v>
      </c>
      <c r="B48" s="4">
        <v>260552671</v>
      </c>
      <c r="C48" s="4" t="s">
        <v>294</v>
      </c>
      <c r="D48" s="4" t="s">
        <v>9</v>
      </c>
      <c r="E48" s="5">
        <v>2800</v>
      </c>
      <c r="F48" s="5">
        <v>2800</v>
      </c>
      <c r="G48" s="5">
        <v>1960</v>
      </c>
      <c r="H48" s="4"/>
      <c r="I48" s="4" t="s">
        <v>18</v>
      </c>
      <c r="J48" s="4" t="s">
        <v>582</v>
      </c>
      <c r="K48" s="4" t="s">
        <v>11</v>
      </c>
      <c r="L48" s="4" t="s">
        <v>379</v>
      </c>
    </row>
    <row r="49" spans="1:12">
      <c r="A49" s="3">
        <v>44606.025358796294</v>
      </c>
      <c r="B49" s="4">
        <v>286120721</v>
      </c>
      <c r="C49" s="4" t="s">
        <v>156</v>
      </c>
      <c r="D49" s="4" t="s">
        <v>9</v>
      </c>
      <c r="E49" s="5">
        <v>3200</v>
      </c>
      <c r="F49" s="5">
        <v>3200</v>
      </c>
      <c r="G49" s="5">
        <v>2240</v>
      </c>
      <c r="H49" s="4"/>
      <c r="I49" s="4" t="s">
        <v>233</v>
      </c>
      <c r="J49" s="4" t="s">
        <v>582</v>
      </c>
      <c r="K49" s="4" t="s">
        <v>11</v>
      </c>
      <c r="L49" s="4" t="s">
        <v>126</v>
      </c>
    </row>
    <row r="50" spans="1:12">
      <c r="A50" s="3">
        <v>44608.873865740738</v>
      </c>
      <c r="B50" s="4">
        <v>168351639</v>
      </c>
      <c r="C50" s="4" t="s">
        <v>288</v>
      </c>
      <c r="D50" s="4" t="s">
        <v>9</v>
      </c>
      <c r="E50" s="4">
        <v>0</v>
      </c>
      <c r="F50" s="4">
        <v>0</v>
      </c>
      <c r="G50" s="4">
        <v>0</v>
      </c>
      <c r="H50" s="4"/>
      <c r="I50" s="4" t="s">
        <v>35</v>
      </c>
      <c r="J50" s="4" t="s">
        <v>582</v>
      </c>
      <c r="K50" s="4" t="s">
        <v>11</v>
      </c>
      <c r="L50" s="4" t="s">
        <v>409</v>
      </c>
    </row>
    <row r="51" spans="1:12">
      <c r="A51" s="3">
        <v>44608.894629629627</v>
      </c>
      <c r="B51" s="4">
        <v>190314844</v>
      </c>
      <c r="C51" s="4" t="s">
        <v>232</v>
      </c>
      <c r="D51" s="4" t="s">
        <v>9</v>
      </c>
      <c r="E51" s="5">
        <v>3500</v>
      </c>
      <c r="F51" s="5">
        <v>3500</v>
      </c>
      <c r="G51" s="5">
        <v>2450</v>
      </c>
      <c r="H51" s="4"/>
      <c r="I51" s="4" t="s">
        <v>33</v>
      </c>
      <c r="J51" s="4" t="s">
        <v>582</v>
      </c>
      <c r="K51" s="4" t="s">
        <v>11</v>
      </c>
      <c r="L51" s="4" t="s">
        <v>178</v>
      </c>
    </row>
    <row r="52" spans="1:12">
      <c r="A52" s="3">
        <v>44608.894629629627</v>
      </c>
      <c r="B52" s="4">
        <v>190314846</v>
      </c>
      <c r="C52" s="4" t="s">
        <v>295</v>
      </c>
      <c r="D52" s="4" t="s">
        <v>9</v>
      </c>
      <c r="E52" s="5">
        <v>3500</v>
      </c>
      <c r="F52" s="5">
        <v>3500</v>
      </c>
      <c r="G52" s="5">
        <v>2450</v>
      </c>
      <c r="H52" s="4"/>
      <c r="I52" s="4" t="s">
        <v>33</v>
      </c>
      <c r="J52" s="4" t="s">
        <v>582</v>
      </c>
      <c r="K52" s="4" t="s">
        <v>11</v>
      </c>
      <c r="L52" s="4" t="s">
        <v>414</v>
      </c>
    </row>
    <row r="53" spans="1:12">
      <c r="A53" s="3">
        <v>44608.894629629627</v>
      </c>
      <c r="B53" s="4">
        <v>195841134</v>
      </c>
      <c r="C53" s="4" t="s">
        <v>566</v>
      </c>
      <c r="D53" s="4" t="s">
        <v>9</v>
      </c>
      <c r="E53" s="4">
        <v>400</v>
      </c>
      <c r="F53" s="4">
        <v>400</v>
      </c>
      <c r="G53" s="4">
        <v>280</v>
      </c>
      <c r="H53" s="4"/>
      <c r="I53" s="4" t="s">
        <v>33</v>
      </c>
      <c r="J53" s="4" t="s">
        <v>582</v>
      </c>
      <c r="K53" s="4" t="s">
        <v>11</v>
      </c>
      <c r="L53" s="4" t="s">
        <v>412</v>
      </c>
    </row>
    <row r="54" spans="1:12">
      <c r="A54" s="3">
        <v>44609.341168981482</v>
      </c>
      <c r="B54" s="4">
        <v>288284516</v>
      </c>
      <c r="C54" s="4" t="s">
        <v>289</v>
      </c>
      <c r="D54" s="4" t="s">
        <v>9</v>
      </c>
      <c r="E54" s="5">
        <v>3400</v>
      </c>
      <c r="F54" s="5">
        <v>3400</v>
      </c>
      <c r="G54" s="5">
        <v>2380</v>
      </c>
      <c r="H54" s="4"/>
      <c r="I54" s="4" t="s">
        <v>453</v>
      </c>
      <c r="J54" s="4" t="s">
        <v>582</v>
      </c>
      <c r="K54" s="4" t="s">
        <v>11</v>
      </c>
      <c r="L54" s="4" t="s">
        <v>404</v>
      </c>
    </row>
    <row r="55" spans="1:12">
      <c r="A55" s="3">
        <v>44610.312060185184</v>
      </c>
      <c r="B55" s="4">
        <v>286673576</v>
      </c>
      <c r="C55" s="4" t="s">
        <v>171</v>
      </c>
      <c r="D55" s="4" t="s">
        <v>9</v>
      </c>
      <c r="E55" s="5">
        <v>3200</v>
      </c>
      <c r="F55" s="5">
        <v>3200</v>
      </c>
      <c r="G55" s="5">
        <v>2240</v>
      </c>
      <c r="H55" s="4"/>
      <c r="I55" s="4" t="s">
        <v>157</v>
      </c>
      <c r="J55" s="4" t="s">
        <v>582</v>
      </c>
      <c r="K55" s="4" t="s">
        <v>11</v>
      </c>
      <c r="L55" s="4" t="s">
        <v>138</v>
      </c>
    </row>
    <row r="56" spans="1:12">
      <c r="A56" s="3">
        <v>44610.438055555554</v>
      </c>
      <c r="B56" s="4">
        <v>286120663</v>
      </c>
      <c r="C56" s="4" t="s">
        <v>175</v>
      </c>
      <c r="D56" s="4" t="s">
        <v>9</v>
      </c>
      <c r="E56" s="5">
        <v>3200</v>
      </c>
      <c r="F56" s="5">
        <v>3200</v>
      </c>
      <c r="G56" s="5">
        <v>2240</v>
      </c>
      <c r="H56" s="4"/>
      <c r="I56" s="4" t="s">
        <v>233</v>
      </c>
      <c r="J56" s="4" t="s">
        <v>582</v>
      </c>
      <c r="K56" s="4" t="s">
        <v>11</v>
      </c>
      <c r="L56" s="4" t="s">
        <v>198</v>
      </c>
    </row>
    <row r="57" spans="1:12">
      <c r="A57" s="3">
        <v>44610.873576388891</v>
      </c>
      <c r="B57" s="4">
        <v>149239752</v>
      </c>
      <c r="C57" s="4" t="s">
        <v>296</v>
      </c>
      <c r="D57" s="4" t="s">
        <v>9</v>
      </c>
      <c r="E57" s="5">
        <v>3300</v>
      </c>
      <c r="F57" s="5">
        <v>3300</v>
      </c>
      <c r="G57" s="5">
        <v>2310</v>
      </c>
      <c r="H57" s="4"/>
      <c r="I57" s="4" t="s">
        <v>170</v>
      </c>
      <c r="J57" s="4" t="s">
        <v>582</v>
      </c>
      <c r="K57" s="4" t="s">
        <v>11</v>
      </c>
      <c r="L57" s="4" t="s">
        <v>408</v>
      </c>
    </row>
    <row r="58" spans="1:12">
      <c r="A58" s="3">
        <v>44611.134618055556</v>
      </c>
      <c r="B58" s="4">
        <v>285885492</v>
      </c>
      <c r="C58" s="4" t="s">
        <v>83</v>
      </c>
      <c r="D58" s="4" t="s">
        <v>9</v>
      </c>
      <c r="E58" s="5">
        <v>3400</v>
      </c>
      <c r="F58" s="5">
        <v>3400</v>
      </c>
      <c r="G58" s="5">
        <v>2380</v>
      </c>
      <c r="H58" s="4"/>
      <c r="I58" s="4" t="s">
        <v>68</v>
      </c>
      <c r="J58" s="4" t="s">
        <v>582</v>
      </c>
      <c r="K58" s="4" t="s">
        <v>11</v>
      </c>
      <c r="L58" s="4" t="s">
        <v>64</v>
      </c>
    </row>
    <row r="59" spans="1:12">
      <c r="A59" s="3">
        <v>44611.507048611114</v>
      </c>
      <c r="B59" s="4">
        <v>288284443</v>
      </c>
      <c r="C59" s="4" t="s">
        <v>290</v>
      </c>
      <c r="D59" s="4" t="s">
        <v>9</v>
      </c>
      <c r="E59" s="5">
        <v>3000</v>
      </c>
      <c r="F59" s="5">
        <v>3000</v>
      </c>
      <c r="G59" s="5">
        <v>2100</v>
      </c>
      <c r="H59" s="4"/>
      <c r="I59" s="4" t="s">
        <v>474</v>
      </c>
      <c r="J59" s="4" t="s">
        <v>582</v>
      </c>
      <c r="K59" s="4" t="s">
        <v>11</v>
      </c>
      <c r="L59" s="4" t="s">
        <v>343</v>
      </c>
    </row>
    <row r="60" spans="1:12">
      <c r="A60" s="3">
        <v>44611.567523148151</v>
      </c>
      <c r="B60" s="4">
        <v>288284508</v>
      </c>
      <c r="C60" s="4" t="s">
        <v>492</v>
      </c>
      <c r="D60" s="4" t="s">
        <v>9</v>
      </c>
      <c r="E60" s="5">
        <v>3000</v>
      </c>
      <c r="F60" s="5">
        <v>3000</v>
      </c>
      <c r="G60" s="5">
        <v>2100</v>
      </c>
      <c r="H60" s="4"/>
      <c r="I60" s="4" t="s">
        <v>474</v>
      </c>
      <c r="J60" s="4" t="s">
        <v>582</v>
      </c>
      <c r="K60" s="4" t="s">
        <v>11</v>
      </c>
      <c r="L60" s="4" t="s">
        <v>342</v>
      </c>
    </row>
    <row r="61" spans="1:12">
      <c r="A61" s="3">
        <v>44612.069849537038</v>
      </c>
      <c r="B61" s="4">
        <v>286673575</v>
      </c>
      <c r="C61" s="4" t="s">
        <v>489</v>
      </c>
      <c r="D61" s="4" t="s">
        <v>9</v>
      </c>
      <c r="E61" s="5">
        <v>3200</v>
      </c>
      <c r="F61" s="5">
        <v>3200</v>
      </c>
      <c r="G61" s="5">
        <v>2240</v>
      </c>
      <c r="H61" s="4"/>
      <c r="I61" s="4" t="s">
        <v>157</v>
      </c>
      <c r="J61" s="4" t="s">
        <v>582</v>
      </c>
      <c r="K61" s="4" t="s">
        <v>11</v>
      </c>
      <c r="L61" s="4" t="s">
        <v>390</v>
      </c>
    </row>
    <row r="62" spans="1:12">
      <c r="A62" s="3">
        <v>44612.069849537038</v>
      </c>
      <c r="B62" s="4">
        <v>286673576</v>
      </c>
      <c r="C62" s="4" t="s">
        <v>171</v>
      </c>
      <c r="D62" s="4" t="s">
        <v>9</v>
      </c>
      <c r="E62" s="5">
        <v>3200</v>
      </c>
      <c r="F62" s="5">
        <v>3200</v>
      </c>
      <c r="G62" s="5">
        <v>2240</v>
      </c>
      <c r="H62" s="4"/>
      <c r="I62" s="4" t="s">
        <v>157</v>
      </c>
      <c r="J62" s="4" t="s">
        <v>582</v>
      </c>
      <c r="K62" s="4" t="s">
        <v>11</v>
      </c>
      <c r="L62" s="4" t="s">
        <v>138</v>
      </c>
    </row>
    <row r="63" spans="1:12">
      <c r="A63" s="3">
        <v>44612.069849537038</v>
      </c>
      <c r="B63" s="4">
        <v>286673574</v>
      </c>
      <c r="C63" s="4" t="s">
        <v>483</v>
      </c>
      <c r="D63" s="4" t="s">
        <v>9</v>
      </c>
      <c r="E63" s="5">
        <v>3200</v>
      </c>
      <c r="F63" s="5">
        <v>3200</v>
      </c>
      <c r="G63" s="5">
        <v>2240</v>
      </c>
      <c r="H63" s="4"/>
      <c r="I63" s="4" t="s">
        <v>157</v>
      </c>
      <c r="J63" s="4" t="s">
        <v>582</v>
      </c>
      <c r="K63" s="4" t="s">
        <v>11</v>
      </c>
      <c r="L63" s="4" t="s">
        <v>391</v>
      </c>
    </row>
    <row r="64" spans="1:12">
      <c r="A64" s="3">
        <v>44612.069849537038</v>
      </c>
      <c r="B64" s="4">
        <v>286673595</v>
      </c>
      <c r="C64" s="4" t="s">
        <v>287</v>
      </c>
      <c r="D64" s="4" t="s">
        <v>9</v>
      </c>
      <c r="E64" s="5">
        <v>3200</v>
      </c>
      <c r="F64" s="5">
        <v>3200</v>
      </c>
      <c r="G64" s="5">
        <v>2240</v>
      </c>
      <c r="H64" s="4"/>
      <c r="I64" s="4" t="s">
        <v>157</v>
      </c>
      <c r="J64" s="4" t="s">
        <v>582</v>
      </c>
      <c r="K64" s="4" t="s">
        <v>11</v>
      </c>
      <c r="L64" s="4" t="s">
        <v>377</v>
      </c>
    </row>
    <row r="65" spans="1:12">
      <c r="A65" s="3">
        <v>44612.268935185188</v>
      </c>
      <c r="B65" s="4">
        <v>282646279</v>
      </c>
      <c r="C65" s="4" t="s">
        <v>298</v>
      </c>
      <c r="D65" s="4" t="s">
        <v>9</v>
      </c>
      <c r="E65" s="5">
        <v>3200</v>
      </c>
      <c r="F65" s="5">
        <v>3200</v>
      </c>
      <c r="G65" s="5">
        <v>2240</v>
      </c>
      <c r="H65" s="4"/>
      <c r="I65" s="4" t="s">
        <v>43</v>
      </c>
      <c r="J65" s="4" t="s">
        <v>582</v>
      </c>
      <c r="K65" s="4" t="s">
        <v>11</v>
      </c>
      <c r="L65" s="4" t="s">
        <v>405</v>
      </c>
    </row>
    <row r="66" spans="1:12">
      <c r="A66" s="3">
        <v>44612.549803240741</v>
      </c>
      <c r="B66" s="4">
        <v>276845647</v>
      </c>
      <c r="C66" s="4" t="s">
        <v>535</v>
      </c>
      <c r="D66" s="4" t="s">
        <v>9</v>
      </c>
      <c r="E66" s="5">
        <v>2800</v>
      </c>
      <c r="F66" s="5">
        <v>2800</v>
      </c>
      <c r="G66" s="5">
        <v>1960</v>
      </c>
      <c r="H66" s="4"/>
      <c r="I66" s="4" t="s">
        <v>18</v>
      </c>
      <c r="J66" s="4" t="s">
        <v>582</v>
      </c>
      <c r="K66" s="4" t="s">
        <v>11</v>
      </c>
      <c r="L66" s="4" t="s">
        <v>392</v>
      </c>
    </row>
    <row r="67" spans="1:12">
      <c r="A67" s="3">
        <v>44613.683888888889</v>
      </c>
      <c r="B67" s="4">
        <v>286120640</v>
      </c>
      <c r="C67" s="4" t="s">
        <v>186</v>
      </c>
      <c r="D67" s="4" t="s">
        <v>9</v>
      </c>
      <c r="E67" s="5">
        <v>3200</v>
      </c>
      <c r="F67" s="5">
        <v>3200</v>
      </c>
      <c r="G67" s="5">
        <v>2240</v>
      </c>
      <c r="H67" s="4"/>
      <c r="I67" s="4" t="s">
        <v>233</v>
      </c>
      <c r="J67" s="4" t="s">
        <v>582</v>
      </c>
      <c r="K67" s="4" t="s">
        <v>11</v>
      </c>
      <c r="L67" s="4" t="s">
        <v>118</v>
      </c>
    </row>
    <row r="68" spans="1:12">
      <c r="A68" s="3">
        <v>44613.902638888889</v>
      </c>
      <c r="B68" s="4">
        <v>177444767</v>
      </c>
      <c r="C68" s="4" t="s">
        <v>549</v>
      </c>
      <c r="D68" s="4" t="s">
        <v>9</v>
      </c>
      <c r="E68" s="5">
        <v>3600</v>
      </c>
      <c r="F68" s="5">
        <v>3600</v>
      </c>
      <c r="G68" s="5">
        <v>2520</v>
      </c>
      <c r="H68" s="4"/>
      <c r="I68" s="4" t="s">
        <v>449</v>
      </c>
      <c r="J68" s="4" t="s">
        <v>582</v>
      </c>
      <c r="K68" s="4" t="s">
        <v>11</v>
      </c>
      <c r="L68" s="4" t="s">
        <v>347</v>
      </c>
    </row>
    <row r="69" spans="1:12">
      <c r="A69" s="3">
        <v>44614.000810185185</v>
      </c>
      <c r="B69" s="4">
        <v>288284443</v>
      </c>
      <c r="C69" s="4" t="s">
        <v>290</v>
      </c>
      <c r="D69" s="4" t="s">
        <v>9</v>
      </c>
      <c r="E69" s="5">
        <v>3000</v>
      </c>
      <c r="F69" s="5">
        <v>3000</v>
      </c>
      <c r="G69" s="5">
        <v>2100</v>
      </c>
      <c r="H69" s="4"/>
      <c r="I69" s="4" t="s">
        <v>474</v>
      </c>
      <c r="J69" s="4" t="s">
        <v>582</v>
      </c>
      <c r="K69" s="4" t="s">
        <v>11</v>
      </c>
      <c r="L69" s="4" t="s">
        <v>343</v>
      </c>
    </row>
    <row r="70" spans="1:12">
      <c r="A70" s="3">
        <v>44614.984594907408</v>
      </c>
      <c r="B70" s="4">
        <v>266182663</v>
      </c>
      <c r="C70" s="4" t="s">
        <v>17</v>
      </c>
      <c r="D70" s="4" t="s">
        <v>9</v>
      </c>
      <c r="E70" s="5">
        <v>2800</v>
      </c>
      <c r="F70" s="5">
        <v>2800</v>
      </c>
      <c r="G70" s="5">
        <v>1960</v>
      </c>
      <c r="H70" s="4"/>
      <c r="I70" s="4" t="s">
        <v>18</v>
      </c>
      <c r="J70" s="4" t="s">
        <v>582</v>
      </c>
      <c r="K70" s="4" t="s">
        <v>11</v>
      </c>
      <c r="L70" s="4" t="s">
        <v>56</v>
      </c>
    </row>
    <row r="71" spans="1:12">
      <c r="A71" s="3">
        <v>44615.566122685188</v>
      </c>
      <c r="B71" s="4">
        <v>286120639</v>
      </c>
      <c r="C71" s="4" t="s">
        <v>154</v>
      </c>
      <c r="D71" s="4" t="s">
        <v>9</v>
      </c>
      <c r="E71" s="5">
        <v>3200</v>
      </c>
      <c r="F71" s="5">
        <v>3200</v>
      </c>
      <c r="G71" s="5">
        <v>2240</v>
      </c>
      <c r="H71" s="4"/>
      <c r="I71" s="4" t="s">
        <v>233</v>
      </c>
      <c r="J71" s="4" t="s">
        <v>582</v>
      </c>
      <c r="K71" s="4" t="s">
        <v>11</v>
      </c>
      <c r="L71" s="4" t="s">
        <v>136</v>
      </c>
    </row>
    <row r="72" spans="1:12">
      <c r="A72" s="3">
        <v>44615.566122685188</v>
      </c>
      <c r="B72" s="4">
        <v>286120640</v>
      </c>
      <c r="C72" s="4" t="s">
        <v>186</v>
      </c>
      <c r="D72" s="4" t="s">
        <v>9</v>
      </c>
      <c r="E72" s="5">
        <v>3200</v>
      </c>
      <c r="F72" s="5">
        <v>3200</v>
      </c>
      <c r="G72" s="5">
        <v>2240</v>
      </c>
      <c r="H72" s="4"/>
      <c r="I72" s="4" t="s">
        <v>233</v>
      </c>
      <c r="J72" s="4" t="s">
        <v>582</v>
      </c>
      <c r="K72" s="4" t="s">
        <v>11</v>
      </c>
      <c r="L72" s="4" t="s">
        <v>118</v>
      </c>
    </row>
    <row r="73" spans="1:12">
      <c r="A73" s="3">
        <v>44615.903067129628</v>
      </c>
      <c r="B73" s="4">
        <v>271944178</v>
      </c>
      <c r="C73" s="4" t="s">
        <v>485</v>
      </c>
      <c r="D73" s="4" t="s">
        <v>12</v>
      </c>
      <c r="E73" s="5">
        <v>2240</v>
      </c>
      <c r="F73" s="5">
        <v>2240</v>
      </c>
      <c r="G73" s="5">
        <v>1568</v>
      </c>
      <c r="H73" s="4"/>
      <c r="I73" s="4" t="s">
        <v>18</v>
      </c>
      <c r="J73" s="4" t="s">
        <v>582</v>
      </c>
      <c r="K73" s="4" t="s">
        <v>11</v>
      </c>
      <c r="L73" s="4" t="s">
        <v>427</v>
      </c>
    </row>
    <row r="74" spans="1:12">
      <c r="A74" s="3">
        <v>44615.903067129628</v>
      </c>
      <c r="B74" s="4">
        <v>271944177</v>
      </c>
      <c r="C74" s="4" t="s">
        <v>300</v>
      </c>
      <c r="D74" s="4" t="s">
        <v>12</v>
      </c>
      <c r="E74" s="5">
        <v>2240</v>
      </c>
      <c r="F74" s="5">
        <v>2240</v>
      </c>
      <c r="G74" s="5">
        <v>1568</v>
      </c>
      <c r="H74" s="4"/>
      <c r="I74" s="4" t="s">
        <v>18</v>
      </c>
      <c r="J74" s="4" t="s">
        <v>582</v>
      </c>
      <c r="K74" s="4" t="s">
        <v>11</v>
      </c>
      <c r="L74" s="4" t="s">
        <v>422</v>
      </c>
    </row>
    <row r="75" spans="1:12">
      <c r="A75" s="3">
        <v>44615.987673611111</v>
      </c>
      <c r="B75" s="4">
        <v>274772659</v>
      </c>
      <c r="C75" s="4" t="s">
        <v>37</v>
      </c>
      <c r="D75" s="4" t="s">
        <v>9</v>
      </c>
      <c r="E75" s="5">
        <v>3000</v>
      </c>
      <c r="F75" s="5">
        <v>3000</v>
      </c>
      <c r="G75" s="5">
        <v>2100</v>
      </c>
      <c r="H75" s="4"/>
      <c r="I75" s="4" t="s">
        <v>34</v>
      </c>
      <c r="J75" s="4" t="s">
        <v>582</v>
      </c>
      <c r="K75" s="4" t="s">
        <v>11</v>
      </c>
      <c r="L75" s="4" t="s">
        <v>50</v>
      </c>
    </row>
    <row r="76" spans="1:12">
      <c r="A76" s="3">
        <v>44615.990972222222</v>
      </c>
      <c r="B76" s="4">
        <v>274772658</v>
      </c>
      <c r="C76" s="4" t="s">
        <v>75</v>
      </c>
      <c r="D76" s="4" t="s">
        <v>9</v>
      </c>
      <c r="E76" s="5">
        <v>3000</v>
      </c>
      <c r="F76" s="5">
        <v>3000</v>
      </c>
      <c r="G76" s="5">
        <v>2100</v>
      </c>
      <c r="H76" s="4"/>
      <c r="I76" s="4" t="s">
        <v>34</v>
      </c>
      <c r="J76" s="4" t="s">
        <v>582</v>
      </c>
      <c r="K76" s="4" t="s">
        <v>11</v>
      </c>
      <c r="L76" s="4" t="s">
        <v>89</v>
      </c>
    </row>
    <row r="77" spans="1:12">
      <c r="A77" s="3">
        <v>44616.458506944444</v>
      </c>
      <c r="B77" s="4">
        <v>271944177</v>
      </c>
      <c r="C77" s="4" t="s">
        <v>300</v>
      </c>
      <c r="D77" s="4" t="s">
        <v>12</v>
      </c>
      <c r="E77" s="5">
        <v>2240</v>
      </c>
      <c r="F77" s="5">
        <v>2240</v>
      </c>
      <c r="G77" s="5">
        <v>1568</v>
      </c>
      <c r="H77" s="4"/>
      <c r="I77" s="4" t="s">
        <v>18</v>
      </c>
      <c r="J77" s="4" t="s">
        <v>582</v>
      </c>
      <c r="K77" s="4" t="s">
        <v>11</v>
      </c>
      <c r="L77" s="4" t="s">
        <v>422</v>
      </c>
    </row>
    <row r="78" spans="1:12">
      <c r="A78" s="3">
        <v>44616.458506944444</v>
      </c>
      <c r="B78" s="4">
        <v>271944178</v>
      </c>
      <c r="C78" s="4" t="s">
        <v>485</v>
      </c>
      <c r="D78" s="4" t="s">
        <v>12</v>
      </c>
      <c r="E78" s="5">
        <v>2240</v>
      </c>
      <c r="F78" s="5">
        <v>2240</v>
      </c>
      <c r="G78" s="5">
        <v>1568</v>
      </c>
      <c r="H78" s="4"/>
      <c r="I78" s="4" t="s">
        <v>18</v>
      </c>
      <c r="J78" s="4" t="s">
        <v>582</v>
      </c>
      <c r="K78" s="4" t="s">
        <v>11</v>
      </c>
      <c r="L78" s="4" t="s">
        <v>427</v>
      </c>
    </row>
    <row r="79" spans="1:12">
      <c r="A79" s="3">
        <v>44617.431701388887</v>
      </c>
      <c r="B79" s="4">
        <v>286120715</v>
      </c>
      <c r="C79" s="4" t="s">
        <v>187</v>
      </c>
      <c r="D79" s="4" t="s">
        <v>9</v>
      </c>
      <c r="E79" s="5">
        <v>3200</v>
      </c>
      <c r="F79" s="5">
        <v>3200</v>
      </c>
      <c r="G79" s="5">
        <v>2240</v>
      </c>
      <c r="H79" s="4"/>
      <c r="I79" s="4" t="s">
        <v>233</v>
      </c>
      <c r="J79" s="4" t="s">
        <v>582</v>
      </c>
      <c r="K79" s="4" t="s">
        <v>11</v>
      </c>
      <c r="L79" s="4" t="s">
        <v>117</v>
      </c>
    </row>
    <row r="80" spans="1:12">
      <c r="A80" s="3">
        <v>44617.949745370373</v>
      </c>
      <c r="B80" s="4">
        <v>250623286</v>
      </c>
      <c r="C80" s="4" t="s">
        <v>282</v>
      </c>
      <c r="D80" s="4" t="s">
        <v>9</v>
      </c>
      <c r="E80" s="4">
        <v>300</v>
      </c>
      <c r="F80" s="4">
        <v>300</v>
      </c>
      <c r="G80" s="4">
        <v>210</v>
      </c>
      <c r="H80" s="4"/>
      <c r="I80" s="4" t="s">
        <v>67</v>
      </c>
      <c r="J80" s="4" t="s">
        <v>582</v>
      </c>
      <c r="K80" s="4" t="s">
        <v>11</v>
      </c>
      <c r="L80" s="4" t="s">
        <v>443</v>
      </c>
    </row>
    <row r="81" spans="1:12">
      <c r="A81" s="3">
        <v>44618.489432870374</v>
      </c>
      <c r="B81" s="4">
        <v>286120715</v>
      </c>
      <c r="C81" s="4" t="s">
        <v>187</v>
      </c>
      <c r="D81" s="4" t="s">
        <v>9</v>
      </c>
      <c r="E81" s="5">
        <v>3200</v>
      </c>
      <c r="F81" s="5">
        <v>3200</v>
      </c>
      <c r="G81" s="5">
        <v>2240</v>
      </c>
      <c r="H81" s="4"/>
      <c r="I81" s="4" t="s">
        <v>233</v>
      </c>
      <c r="J81" s="4" t="s">
        <v>582</v>
      </c>
      <c r="K81" s="4" t="s">
        <v>11</v>
      </c>
      <c r="L81" s="4" t="s">
        <v>117</v>
      </c>
    </row>
    <row r="82" spans="1:12">
      <c r="A82" s="3">
        <v>44618.767152777778</v>
      </c>
      <c r="B82" s="4">
        <v>266182661</v>
      </c>
      <c r="C82" s="4" t="s">
        <v>533</v>
      </c>
      <c r="D82" s="4" t="s">
        <v>9</v>
      </c>
      <c r="E82" s="5">
        <v>1000</v>
      </c>
      <c r="F82" s="5">
        <v>1000</v>
      </c>
      <c r="G82" s="4">
        <v>700</v>
      </c>
      <c r="H82" s="4"/>
      <c r="I82" s="4" t="s">
        <v>18</v>
      </c>
      <c r="J82" s="4" t="s">
        <v>582</v>
      </c>
      <c r="K82" s="4" t="s">
        <v>11</v>
      </c>
      <c r="L82" s="4" t="s">
        <v>435</v>
      </c>
    </row>
    <row r="83" spans="1:12">
      <c r="A83" s="3">
        <v>44618.767152777778</v>
      </c>
      <c r="B83" s="4">
        <v>266182663</v>
      </c>
      <c r="C83" s="4" t="s">
        <v>17</v>
      </c>
      <c r="D83" s="4" t="s">
        <v>9</v>
      </c>
      <c r="E83" s="5">
        <v>2800</v>
      </c>
      <c r="F83" s="5">
        <v>2800</v>
      </c>
      <c r="G83" s="5">
        <v>1960</v>
      </c>
      <c r="H83" s="4"/>
      <c r="I83" s="4" t="s">
        <v>18</v>
      </c>
      <c r="J83" s="4" t="s">
        <v>582</v>
      </c>
      <c r="K83" s="4" t="s">
        <v>11</v>
      </c>
      <c r="L83" s="4" t="s">
        <v>56</v>
      </c>
    </row>
    <row r="84" spans="1:12">
      <c r="A84" s="3">
        <v>44618.767152777778</v>
      </c>
      <c r="B84" s="4">
        <v>266182672</v>
      </c>
      <c r="C84" s="4" t="s">
        <v>100</v>
      </c>
      <c r="D84" s="4" t="s">
        <v>9</v>
      </c>
      <c r="E84" s="5">
        <v>2800</v>
      </c>
      <c r="F84" s="5">
        <v>2800</v>
      </c>
      <c r="G84" s="5">
        <v>1960</v>
      </c>
      <c r="H84" s="4"/>
      <c r="I84" s="4" t="s">
        <v>18</v>
      </c>
      <c r="J84" s="4" t="s">
        <v>582</v>
      </c>
      <c r="K84" s="4" t="s">
        <v>11</v>
      </c>
      <c r="L84" s="4" t="s">
        <v>149</v>
      </c>
    </row>
    <row r="85" spans="1:12">
      <c r="A85" s="3">
        <v>44619.958981481483</v>
      </c>
      <c r="B85" s="4">
        <v>286120715</v>
      </c>
      <c r="C85" s="4" t="s">
        <v>187</v>
      </c>
      <c r="D85" s="4" t="s">
        <v>9</v>
      </c>
      <c r="E85" s="5">
        <v>3200</v>
      </c>
      <c r="F85" s="5">
        <v>3200</v>
      </c>
      <c r="G85" s="5">
        <v>2240</v>
      </c>
      <c r="H85" s="4"/>
      <c r="I85" s="4" t="s">
        <v>233</v>
      </c>
      <c r="J85" s="4" t="s">
        <v>582</v>
      </c>
      <c r="K85" s="4" t="s">
        <v>11</v>
      </c>
      <c r="L85" s="4" t="s">
        <v>117</v>
      </c>
    </row>
    <row r="86" spans="1:12">
      <c r="A86" s="3">
        <v>44620.81318287037</v>
      </c>
      <c r="B86" s="4">
        <v>250623303</v>
      </c>
      <c r="C86" s="4" t="s">
        <v>498</v>
      </c>
      <c r="D86" s="4" t="s">
        <v>9</v>
      </c>
      <c r="E86" s="5">
        <v>2800</v>
      </c>
      <c r="F86" s="5">
        <v>2800</v>
      </c>
      <c r="G86" s="5">
        <v>1960</v>
      </c>
      <c r="H86" s="4"/>
      <c r="I86" s="4" t="s">
        <v>67</v>
      </c>
      <c r="J86" s="4" t="s">
        <v>582</v>
      </c>
      <c r="K86" s="4" t="s">
        <v>11</v>
      </c>
      <c r="L86" s="4" t="s">
        <v>442</v>
      </c>
    </row>
    <row r="87" spans="1:12">
      <c r="A87" s="3">
        <v>44620.813888888886</v>
      </c>
      <c r="B87" s="4">
        <v>266808569</v>
      </c>
      <c r="C87" s="4" t="s">
        <v>581</v>
      </c>
      <c r="D87" s="4" t="s">
        <v>12</v>
      </c>
      <c r="E87" s="5">
        <v>2800</v>
      </c>
      <c r="F87" s="5">
        <v>2800</v>
      </c>
      <c r="G87" s="5">
        <v>1960</v>
      </c>
      <c r="H87" s="4"/>
      <c r="I87" s="4" t="s">
        <v>67</v>
      </c>
      <c r="J87" s="4" t="s">
        <v>582</v>
      </c>
      <c r="K87" s="4" t="s">
        <v>11</v>
      </c>
      <c r="L87" s="4" t="s">
        <v>433</v>
      </c>
    </row>
    <row r="88" spans="1:12">
      <c r="A88" s="3">
        <v>44620.814652777779</v>
      </c>
      <c r="B88" s="4">
        <v>272857319</v>
      </c>
      <c r="C88" s="4" t="s">
        <v>284</v>
      </c>
      <c r="D88" s="4" t="s">
        <v>9</v>
      </c>
      <c r="E88" s="4">
        <v>400</v>
      </c>
      <c r="F88" s="4">
        <v>400</v>
      </c>
      <c r="G88" s="4">
        <v>280</v>
      </c>
      <c r="H88" s="4"/>
      <c r="I88" s="4" t="s">
        <v>67</v>
      </c>
      <c r="J88" s="4" t="s">
        <v>582</v>
      </c>
      <c r="K88" s="4" t="s">
        <v>11</v>
      </c>
      <c r="L88" s="4" t="s">
        <v>439</v>
      </c>
    </row>
    <row r="89" spans="1:12">
      <c r="A89" s="3">
        <v>44620.834189814814</v>
      </c>
      <c r="B89" s="4">
        <v>266808579</v>
      </c>
      <c r="C89" s="4" t="s">
        <v>285</v>
      </c>
      <c r="D89" s="4" t="s">
        <v>9</v>
      </c>
      <c r="E89" s="5">
        <v>3500</v>
      </c>
      <c r="F89" s="5">
        <v>3500</v>
      </c>
      <c r="G89" s="5">
        <v>2450</v>
      </c>
      <c r="H89" s="4"/>
      <c r="I89" s="4" t="s">
        <v>67</v>
      </c>
      <c r="J89" s="4" t="s">
        <v>582</v>
      </c>
      <c r="K89" s="4" t="s">
        <v>11</v>
      </c>
      <c r="L89" s="4" t="s">
        <v>434</v>
      </c>
    </row>
    <row r="90" spans="1:12">
      <c r="A90" s="3">
        <v>44620.993020833332</v>
      </c>
      <c r="B90" s="4">
        <v>282646279</v>
      </c>
      <c r="C90" s="4" t="s">
        <v>298</v>
      </c>
      <c r="D90" s="4" t="s">
        <v>9</v>
      </c>
      <c r="E90" s="5">
        <v>3200</v>
      </c>
      <c r="F90" s="5">
        <v>3200</v>
      </c>
      <c r="G90" s="5">
        <v>2240</v>
      </c>
      <c r="H90" s="4"/>
      <c r="I90" s="4" t="s">
        <v>43</v>
      </c>
      <c r="J90" s="4" t="s">
        <v>582</v>
      </c>
      <c r="K90" s="4" t="s">
        <v>11</v>
      </c>
      <c r="L90" s="4" t="s">
        <v>405</v>
      </c>
    </row>
    <row r="91" spans="1:12">
      <c r="A91" s="3">
        <v>44620.997662037036</v>
      </c>
      <c r="B91" s="4">
        <v>282646285</v>
      </c>
      <c r="C91" s="4" t="s">
        <v>346</v>
      </c>
      <c r="D91" s="4" t="s">
        <v>9</v>
      </c>
      <c r="E91" s="5">
        <v>3200</v>
      </c>
      <c r="F91" s="5">
        <v>3200</v>
      </c>
      <c r="G91" s="5">
        <v>2240</v>
      </c>
      <c r="H91" s="4"/>
      <c r="I91" s="4" t="s">
        <v>43</v>
      </c>
      <c r="J91" s="4" t="s">
        <v>582</v>
      </c>
      <c r="K91" s="4" t="s">
        <v>11</v>
      </c>
      <c r="L91" s="4" t="s">
        <v>436</v>
      </c>
    </row>
    <row r="92" spans="1:12">
      <c r="A92" s="3">
        <v>44620.997662037036</v>
      </c>
      <c r="B92" s="4">
        <v>282646304</v>
      </c>
      <c r="C92" s="4" t="s">
        <v>42</v>
      </c>
      <c r="D92" s="4" t="s">
        <v>9</v>
      </c>
      <c r="E92" s="5">
        <v>3200</v>
      </c>
      <c r="F92" s="5">
        <v>3200</v>
      </c>
      <c r="G92" s="5">
        <v>2240</v>
      </c>
      <c r="H92" s="4"/>
      <c r="I92" s="4" t="s">
        <v>43</v>
      </c>
      <c r="J92" s="4" t="s">
        <v>582</v>
      </c>
      <c r="K92" s="4" t="s">
        <v>11</v>
      </c>
      <c r="L92" s="4" t="s">
        <v>49</v>
      </c>
    </row>
    <row r="93" spans="1:12">
      <c r="G93" s="6">
        <f>SUM(G2:G92)</f>
        <v>170842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월별합계(2)</vt:lpstr>
      <vt:lpstr>스토리위즈</vt:lpstr>
      <vt:lpstr>밀리오리지널</vt:lpstr>
      <vt:lpstr>에필로그</vt:lpstr>
      <vt:lpstr>더컴퍼니</vt:lpstr>
      <vt:lpstr>더컴퍼니!Extract</vt:lpstr>
      <vt:lpstr>밀리오리지널!Extract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2022-04-05T03:27:55Z</dcterms:modified>
</cp:coreProperties>
</file>