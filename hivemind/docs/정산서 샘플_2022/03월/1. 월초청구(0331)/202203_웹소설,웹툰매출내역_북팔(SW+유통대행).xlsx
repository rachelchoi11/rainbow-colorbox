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합계(3)" sheetId="1" r:id="rId1"/>
  </sheets>
  <definedNames>
    <definedName name="_xlnm._FilterDatabase" localSheetId="0" hidden="1">'합계(3)'!$A$1:$K$20</definedName>
    <definedName name="_xlnm.Extract" localSheetId="0">'합계(3)'!#REF!</definedName>
  </definedNames>
  <calcPr calcId="152511"/>
</workbook>
</file>

<file path=xl/calcChain.xml><?xml version="1.0" encoding="utf-8"?>
<calcChain xmlns="http://schemas.openxmlformats.org/spreadsheetml/2006/main">
  <c r="I26" i="1" l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<sst xmlns="http://schemas.openxmlformats.org/spreadsheetml/2006/main" count="131" uniqueCount="57">
  <si>
    <t>아이디</t>
  </si>
  <si>
    <t>작품명</t>
  </si>
  <si>
    <t>storywiz</t>
  </si>
  <si>
    <t>사틴</t>
  </si>
  <si>
    <t>하루하루</t>
  </si>
  <si>
    <t>라에르</t>
  </si>
  <si>
    <t>비터, 비터(Bitter, Bitter)</t>
  </si>
  <si>
    <t>채플린</t>
  </si>
  <si>
    <t>붉은 가을이 깃드는 너에게</t>
  </si>
  <si>
    <t>온서</t>
  </si>
  <si>
    <t>임신부터 할까요?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</si>
  <si>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</si>
  <si>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</si>
  <si>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</si>
  <si>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</si>
  <si>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</si>
  <si>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</si>
  <si>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</si>
  <si>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</si>
  <si>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웹소설</t>
    <phoneticPr fontId="2" type="noConversion"/>
  </si>
  <si>
    <t>백범(白帆)</t>
  </si>
  <si>
    <t>악당의 리턴</t>
  </si>
  <si>
    <t>진짜 사나이!</t>
  </si>
  <si>
    <t>기획에 산다</t>
  </si>
  <si>
    <t>헌터 킹</t>
  </si>
  <si>
    <t>바보가 만드는 멋진 세상 (개정판)</t>
  </si>
  <si>
    <t>더 캡틴</t>
  </si>
  <si>
    <t>먼나무</t>
  </si>
  <si>
    <t>쉿, 그놈을 부탁해</t>
  </si>
  <si>
    <t>부엉이콩</t>
  </si>
  <si>
    <t>호랑이 신을 길들여 버렸다</t>
  </si>
  <si>
    <t>나나코</t>
  </si>
  <si>
    <t>더블 파울(Double Foul)</t>
  </si>
  <si>
    <t>마연</t>
  </si>
  <si>
    <t>주먹 구십구</t>
  </si>
  <si>
    <t>출판사</t>
    <phoneticPr fontId="2" type="noConversion"/>
  </si>
  <si>
    <t>웹소설</t>
  </si>
  <si>
    <t>직하인</t>
  </si>
  <si>
    <t>감또개</t>
  </si>
  <si>
    <t>세상</t>
  </si>
  <si>
    <t>협행마</t>
  </si>
  <si>
    <t>군주, 다시 귀환하다</t>
  </si>
  <si>
    <t>흑막의 신</t>
  </si>
  <si>
    <t>티끌 모아 대박</t>
  </si>
  <si>
    <t>자모검</t>
  </si>
  <si>
    <t>고검환정록</t>
  </si>
  <si>
    <t>꼭꼭 숨어라</t>
  </si>
  <si>
    <t>와그작</t>
  </si>
  <si>
    <t>컬러 러쉬</t>
  </si>
  <si>
    <t>남궁세가 건달공자</t>
  </si>
  <si>
    <t>동대륙의 낭인무사</t>
  </si>
  <si>
    <t>더 컴퍼니</t>
    <phoneticPr fontId="2" type="noConversion"/>
  </si>
  <si>
    <t>스토리위즈</t>
    <phoneticPr fontId="2" type="noConversion"/>
  </si>
  <si>
    <t>에필로그</t>
    <phoneticPr fontId="2" type="noConversion"/>
  </si>
  <si>
    <t>스토리위즈</t>
    <phoneticPr fontId="2" type="noConversion"/>
  </si>
  <si>
    <t>더 컴퍼니</t>
    <phoneticPr fontId="2" type="noConversion"/>
  </si>
  <si>
    <t>스토리위즈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</si>
</sst>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);[Red]\(#,##0\)"/>
    <numFmt numFmtId="177" formatCode="#,##0_ "/>
    <numFmt numFmtId="178" formatCode="0_);[Red]\(0\)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1">
      <alignment horizontal="center" vertical="center"/>
    </xf>
  </cellStyleXfs>
  <cellXfs count="30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17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1" fillId="2" borderId="2" xfId="1" applyBorder="1" applyAlignment="1">
      <alignment horizontal="center" vertical="center"/>
    </xf>
    <xf numFmtId="178" fontId="0" fillId="0" borderId="0" xfId="0" applyNumberFormat="1"/>
    <xf numFmtId="0" fontId="0" fillId="0" borderId="0" xfId="0" applyFill="1" applyBorder="1"/>
    <xf numFmtId="176" fontId="3" fillId="3" borderId="0" xfId="0" applyNumberFormat="1" applyFont="1" applyFill="1"/>
    <xf numFmtId="0" fontId="0" fillId="0" borderId="4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4" xfId="0" applyBorder="1"/>
    <xf numFmtId="176" fontId="0" fillId="0" borderId="4" xfId="0" applyNumberFormat="1" applyBorder="1" applyAlignment="1">
      <alignment wrapText="1"/>
    </xf>
    <xf numFmtId="177" fontId="0" fillId="0" borderId="4" xfId="0" applyNumberFormat="1" applyBorder="1" applyAlignment="1">
      <alignment vertical="center"/>
    </xf>
    <xf numFmtId="9" fontId="0" fillId="0" borderId="4" xfId="0" applyNumberFormat="1" applyBorder="1"/>
    <xf numFmtId="0" fontId="0" fillId="0" borderId="3" xfId="0" applyBorder="1" applyAlignment="1">
      <alignment vertical="center"/>
    </xf>
    <xf numFmtId="0" fontId="0" fillId="0" borderId="3" xfId="0" applyBorder="1"/>
    <xf numFmtId="176" fontId="0" fillId="0" borderId="3" xfId="0" applyNumberFormat="1" applyBorder="1" applyAlignment="1">
      <alignment wrapText="1"/>
    </xf>
    <xf numFmtId="177" fontId="0" fillId="0" borderId="3" xfId="0" applyNumberFormat="1" applyBorder="1" applyAlignment="1">
      <alignment vertical="center"/>
    </xf>
    <xf numFmtId="9" fontId="0" fillId="0" borderId="3" xfId="0" applyNumberFormat="1" applyBorder="1"/>
    <xf numFmtId="176" fontId="0" fillId="0" borderId="3" xfId="0" applyNumberFormat="1" applyFill="1" applyBorder="1"/>
    <xf numFmtId="0" fontId="0" fillId="0" borderId="3" xfId="0" applyFill="1" applyBorder="1" applyAlignment="1">
      <alignment vertical="center"/>
    </xf>
  </cellXfs>
  <cellStyles count="2">
    <cellStyle name="tabletitle" xfId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8"/>
  <sheetViews>
    <sheetView tabSelected="1" workbookViewId="0">
      <selection activeCell="G23" sqref="G23"/>
    </sheetView>
  </sheetViews>
  <sheetFormatPr defaultRowHeight="17.399999999999999" x14ac:dyDescent="0.4"/>
  <cols>
    <col min="1" max="1" width="5.59765625" customWidth="1"/>
    <col min="2" max="2" width="9.5" customWidth="1"/>
    <col min="3" max="3" width="12.3984375" customWidth="1"/>
    <col min="4" max="4" width="9.59765625" customWidth="1"/>
    <col min="5" max="5" width="28.3984375" style="3" customWidth="1"/>
    <col min="6" max="6" width="22.19921875" style="1" customWidth="1"/>
    <col min="7" max="7" width="9.19921875" style="2" bestFit="1" customWidth="1"/>
    <col min="9" max="9" width="10.8984375" customWidth="1"/>
    <col min="10" max="10" width="15.5" customWidth="1"/>
    <col min="11" max="11" width="12.5" customWidth="1"/>
  </cols>
  <sheetData>
    <row r="1" spans="1:11" x14ac:dyDescent="0.4">
      <c r="A1" s="4" t="s">
        <v>11</v>
      </c>
      <c r="B1" s="4" t="s">
        <v>12</v>
      </c>
      <c r="C1" s="4" t="s">
        <v>13</v>
      </c>
      <c r="D1" s="4" t="s">
        <v>0</v>
      </c>
      <c r="E1" s="4" t="s">
        <v>1</v>
      </c>
      <c r="F1" s="4" t="s">
        <v>14</v>
      </c>
      <c r="G1" s="4" t="s">
        <v>15</v>
      </c>
      <c r="H1" s="5" t="s">
        <v>16</v>
      </c>
      <c r="I1" s="4" t="s">
        <v>17</v>
      </c>
      <c r="J1" s="4" t="s">
        <v>18</v>
      </c>
      <c r="K1" s="13" t="s">
        <v>35</v>
      </c>
    </row>
    <row r="2" spans="1:11" x14ac:dyDescent="0.4">
      <c r="A2" s="6">
        <v>1</v>
      </c>
      <c r="B2" s="6" t="s">
        <v>36</v>
      </c>
      <c r="C2" s="6" t="s">
        <v>3</v>
      </c>
      <c r="D2" s="6" t="s">
        <v>2</v>
      </c>
      <c r="E2" s="6" t="s">
        <v>4</v>
      </c>
      <c r="F2" s="7">
        <v>735</v>
      </c>
      <c r="G2" s="7">
        <f>(I2/70)*100</f>
        <v>73500</v>
      </c>
      <c r="H2" s="8">
        <v>0.7</v>
      </c>
      <c r="I2" s="9">
        <v>51450</v>
      </c>
      <c r="J2" s="10"/>
      <c r="K2" t="s">
        <v>51</v>
      </c>
    </row>
    <row r="3" spans="1:11" x14ac:dyDescent="0.4">
      <c r="A3" s="6">
        <v>2</v>
      </c>
      <c r="B3" s="11" t="s">
        <v>19</v>
      </c>
      <c r="C3" s="10" t="s">
        <v>5</v>
      </c>
      <c r="D3" s="10" t="s">
        <v>2</v>
      </c>
      <c r="E3" s="10" t="s">
        <v>6</v>
      </c>
      <c r="F3" s="12">
        <v>138</v>
      </c>
      <c r="G3" s="7">
        <f t="shared" ref="G3:G25" si="0">(I3/70)*100</f>
        <v>13800</v>
      </c>
      <c r="H3" s="8">
        <v>0.7</v>
      </c>
      <c r="I3" s="9">
        <v>9660</v>
      </c>
      <c r="J3" s="10"/>
      <c r="K3" s="3" t="s">
        <v>51</v>
      </c>
    </row>
    <row r="4" spans="1:11" x14ac:dyDescent="0.4">
      <c r="A4" s="6">
        <v>3</v>
      </c>
      <c r="B4" s="6" t="s">
        <v>36</v>
      </c>
      <c r="C4" s="10" t="s">
        <v>7</v>
      </c>
      <c r="D4" s="10" t="s">
        <v>2</v>
      </c>
      <c r="E4" s="10" t="s">
        <v>8</v>
      </c>
      <c r="F4" s="12">
        <v>93</v>
      </c>
      <c r="G4" s="7">
        <f t="shared" si="0"/>
        <v>9300</v>
      </c>
      <c r="H4" s="8">
        <v>0.7</v>
      </c>
      <c r="I4" s="9">
        <v>6510</v>
      </c>
      <c r="J4" s="10"/>
      <c r="K4" s="3" t="s">
        <v>51</v>
      </c>
    </row>
    <row r="5" spans="1:11" x14ac:dyDescent="0.4">
      <c r="A5" s="6">
        <v>4</v>
      </c>
      <c r="B5" s="11" t="s">
        <v>19</v>
      </c>
      <c r="C5" s="10" t="s">
        <v>9</v>
      </c>
      <c r="D5" s="10" t="s">
        <v>2</v>
      </c>
      <c r="E5" s="10" t="s">
        <v>10</v>
      </c>
      <c r="F5" s="12">
        <v>27</v>
      </c>
      <c r="G5" s="7">
        <f t="shared" si="0"/>
        <v>2700</v>
      </c>
      <c r="H5" s="8">
        <v>0.7</v>
      </c>
      <c r="I5" s="9">
        <v>1890</v>
      </c>
      <c r="J5" s="10"/>
      <c r="K5" s="15" t="s">
        <v>52</v>
      </c>
    </row>
    <row r="6" spans="1:11" s="3" customFormat="1" x14ac:dyDescent="0.4">
      <c r="A6" s="6">
        <v>5</v>
      </c>
      <c r="B6" s="6" t="s">
        <v>36</v>
      </c>
      <c r="C6" s="10" t="s">
        <v>20</v>
      </c>
      <c r="D6" s="10" t="s">
        <v>2</v>
      </c>
      <c r="E6" s="10" t="s">
        <v>21</v>
      </c>
      <c r="F6" s="12">
        <v>505</v>
      </c>
      <c r="G6" s="7">
        <f t="shared" si="0"/>
        <v>50500</v>
      </c>
      <c r="H6" s="8">
        <v>0.7</v>
      </c>
      <c r="I6" s="9">
        <v>35350</v>
      </c>
      <c r="J6" s="10"/>
      <c r="K6" s="15" t="s">
        <v>53</v>
      </c>
    </row>
    <row r="7" spans="1:11" x14ac:dyDescent="0.4">
      <c r="A7" s="6">
        <v>6</v>
      </c>
      <c r="B7" s="11" t="s">
        <v>19</v>
      </c>
      <c r="C7" s="10" t="s">
        <v>20</v>
      </c>
      <c r="D7" s="10" t="s">
        <v>2</v>
      </c>
      <c r="E7" s="10" t="s">
        <v>22</v>
      </c>
      <c r="F7" s="12">
        <v>23</v>
      </c>
      <c r="G7" s="7">
        <f t="shared" si="0"/>
        <v>23000</v>
      </c>
      <c r="H7" s="8">
        <v>0.7</v>
      </c>
      <c r="I7" s="9">
        <v>16100</v>
      </c>
      <c r="J7" s="10"/>
      <c r="K7" s="15" t="s">
        <v>53</v>
      </c>
    </row>
    <row r="8" spans="1:11" x14ac:dyDescent="0.4">
      <c r="A8" s="6">
        <v>7</v>
      </c>
      <c r="B8" s="6" t="s">
        <v>36</v>
      </c>
      <c r="C8" s="10" t="s">
        <v>20</v>
      </c>
      <c r="D8" s="10" t="s">
        <v>2</v>
      </c>
      <c r="E8" s="10" t="s">
        <v>23</v>
      </c>
      <c r="F8" s="12">
        <v>131</v>
      </c>
      <c r="G8" s="7">
        <f t="shared" si="0"/>
        <v>31300</v>
      </c>
      <c r="H8" s="8">
        <v>0.7</v>
      </c>
      <c r="I8" s="9">
        <v>21910</v>
      </c>
      <c r="J8" s="10"/>
      <c r="K8" s="15" t="s">
        <v>53</v>
      </c>
    </row>
    <row r="9" spans="1:11" x14ac:dyDescent="0.4">
      <c r="A9" s="6">
        <v>8</v>
      </c>
      <c r="B9" s="11" t="s">
        <v>19</v>
      </c>
      <c r="C9" s="10" t="s">
        <v>20</v>
      </c>
      <c r="D9" s="10" t="s">
        <v>2</v>
      </c>
      <c r="E9" s="10" t="s">
        <v>24</v>
      </c>
      <c r="F9" s="12">
        <v>196</v>
      </c>
      <c r="G9" s="7">
        <f t="shared" si="0"/>
        <v>19600</v>
      </c>
      <c r="H9" s="8">
        <v>0.7</v>
      </c>
      <c r="I9" s="9">
        <v>13720</v>
      </c>
      <c r="J9" s="10"/>
      <c r="K9" s="15" t="s">
        <v>53</v>
      </c>
    </row>
    <row r="10" spans="1:11" x14ac:dyDescent="0.4">
      <c r="A10" s="6">
        <v>9</v>
      </c>
      <c r="B10" s="6" t="s">
        <v>36</v>
      </c>
      <c r="C10" s="10" t="s">
        <v>20</v>
      </c>
      <c r="D10" s="10" t="s">
        <v>2</v>
      </c>
      <c r="E10" s="10" t="s">
        <v>25</v>
      </c>
      <c r="F10" s="12">
        <v>618</v>
      </c>
      <c r="G10" s="7">
        <f t="shared" si="0"/>
        <v>61800</v>
      </c>
      <c r="H10" s="8">
        <v>0.7</v>
      </c>
      <c r="I10" s="9">
        <v>43260</v>
      </c>
      <c r="J10" s="10"/>
      <c r="K10" s="15" t="s">
        <v>53</v>
      </c>
    </row>
    <row r="11" spans="1:11" x14ac:dyDescent="0.4">
      <c r="A11" s="6">
        <v>10</v>
      </c>
      <c r="B11" s="11" t="s">
        <v>19</v>
      </c>
      <c r="C11" s="10" t="s">
        <v>20</v>
      </c>
      <c r="D11" s="10" t="s">
        <v>2</v>
      </c>
      <c r="E11" s="10" t="s">
        <v>26</v>
      </c>
      <c r="F11" s="12">
        <v>937</v>
      </c>
      <c r="G11" s="7">
        <f t="shared" si="0"/>
        <v>93700</v>
      </c>
      <c r="H11" s="8">
        <v>0.7</v>
      </c>
      <c r="I11" s="9">
        <v>65590</v>
      </c>
      <c r="J11" s="10"/>
      <c r="K11" s="15" t="s">
        <v>53</v>
      </c>
    </row>
    <row r="12" spans="1:11" x14ac:dyDescent="0.4">
      <c r="A12" s="6">
        <v>11</v>
      </c>
      <c r="B12" s="6" t="s">
        <v>36</v>
      </c>
      <c r="C12" s="10" t="s">
        <v>20</v>
      </c>
      <c r="D12" s="10" t="s">
        <v>2</v>
      </c>
      <c r="E12" s="10" t="s">
        <v>41</v>
      </c>
      <c r="F12" s="12">
        <v>56</v>
      </c>
      <c r="G12" s="7">
        <f t="shared" si="0"/>
        <v>5600</v>
      </c>
      <c r="H12" s="8">
        <v>0.7</v>
      </c>
      <c r="I12" s="9">
        <v>3920</v>
      </c>
      <c r="J12" s="10"/>
      <c r="K12" s="15" t="s">
        <v>53</v>
      </c>
    </row>
    <row r="13" spans="1:11" x14ac:dyDescent="0.4">
      <c r="A13" s="6">
        <v>12</v>
      </c>
      <c r="B13" s="11" t="s">
        <v>19</v>
      </c>
      <c r="C13" s="10" t="s">
        <v>20</v>
      </c>
      <c r="D13" s="10" t="s">
        <v>2</v>
      </c>
      <c r="E13" s="10" t="s">
        <v>42</v>
      </c>
      <c r="F13" s="12">
        <v>75</v>
      </c>
      <c r="G13" s="7">
        <f t="shared" si="0"/>
        <v>7500</v>
      </c>
      <c r="H13" s="8">
        <v>0.7</v>
      </c>
      <c r="I13" s="9">
        <v>5250</v>
      </c>
      <c r="J13" s="10"/>
      <c r="K13" s="15" t="s">
        <v>53</v>
      </c>
    </row>
    <row r="14" spans="1:11" x14ac:dyDescent="0.4">
      <c r="A14" s="6">
        <v>13</v>
      </c>
      <c r="B14" s="6" t="s">
        <v>36</v>
      </c>
      <c r="C14" s="10" t="s">
        <v>20</v>
      </c>
      <c r="D14" s="10" t="s">
        <v>2</v>
      </c>
      <c r="E14" s="10" t="s">
        <v>43</v>
      </c>
      <c r="F14" s="12">
        <v>304</v>
      </c>
      <c r="G14" s="7">
        <f t="shared" si="0"/>
        <v>30400</v>
      </c>
      <c r="H14" s="8">
        <v>0.7</v>
      </c>
      <c r="I14" s="9">
        <v>21280</v>
      </c>
      <c r="J14" s="10"/>
      <c r="K14" s="15" t="s">
        <v>53</v>
      </c>
    </row>
    <row r="15" spans="1:11" x14ac:dyDescent="0.4">
      <c r="A15" s="6">
        <v>14</v>
      </c>
      <c r="B15" s="11" t="s">
        <v>19</v>
      </c>
      <c r="C15" s="10" t="s">
        <v>37</v>
      </c>
      <c r="D15" s="10" t="s">
        <v>2</v>
      </c>
      <c r="E15" s="10" t="s">
        <v>44</v>
      </c>
      <c r="F15" s="12">
        <v>526</v>
      </c>
      <c r="G15" s="7">
        <f t="shared" si="0"/>
        <v>52600</v>
      </c>
      <c r="H15" s="8">
        <v>0.7</v>
      </c>
      <c r="I15" s="9">
        <v>36820</v>
      </c>
      <c r="J15" s="10"/>
      <c r="K15" s="15" t="s">
        <v>53</v>
      </c>
    </row>
    <row r="16" spans="1:11" x14ac:dyDescent="0.4">
      <c r="A16" s="6">
        <v>15</v>
      </c>
      <c r="B16" s="6" t="s">
        <v>36</v>
      </c>
      <c r="C16" s="10" t="s">
        <v>37</v>
      </c>
      <c r="D16" s="10" t="s">
        <v>2</v>
      </c>
      <c r="E16" s="10" t="s">
        <v>45</v>
      </c>
      <c r="F16" s="12">
        <v>36</v>
      </c>
      <c r="G16" s="7">
        <f t="shared" si="0"/>
        <v>3600</v>
      </c>
      <c r="H16" s="8">
        <v>0.7</v>
      </c>
      <c r="I16" s="9">
        <v>2520</v>
      </c>
      <c r="J16" s="10"/>
      <c r="K16" s="15" t="s">
        <v>53</v>
      </c>
    </row>
    <row r="17" spans="1:11" x14ac:dyDescent="0.4">
      <c r="A17" s="6">
        <v>16</v>
      </c>
      <c r="B17" s="11" t="s">
        <v>19</v>
      </c>
      <c r="C17" s="10" t="s">
        <v>27</v>
      </c>
      <c r="D17" s="10" t="s">
        <v>2</v>
      </c>
      <c r="E17" s="10" t="s">
        <v>28</v>
      </c>
      <c r="F17" s="12">
        <v>68</v>
      </c>
      <c r="G17" s="7">
        <f t="shared" si="0"/>
        <v>6800</v>
      </c>
      <c r="H17" s="8">
        <v>0.7</v>
      </c>
      <c r="I17" s="9">
        <v>4760</v>
      </c>
      <c r="J17" s="10"/>
      <c r="K17" s="15" t="s">
        <v>54</v>
      </c>
    </row>
    <row r="18" spans="1:11" x14ac:dyDescent="0.4">
      <c r="A18" s="6">
        <v>17</v>
      </c>
      <c r="B18" s="6" t="s">
        <v>36</v>
      </c>
      <c r="C18" s="10" t="s">
        <v>29</v>
      </c>
      <c r="D18" s="10" t="s">
        <v>2</v>
      </c>
      <c r="E18" s="10" t="s">
        <v>30</v>
      </c>
      <c r="F18" s="9">
        <v>2</v>
      </c>
      <c r="G18" s="7">
        <f t="shared" si="0"/>
        <v>200</v>
      </c>
      <c r="H18" s="8">
        <v>0.7</v>
      </c>
      <c r="I18" s="9">
        <v>140</v>
      </c>
      <c r="J18" s="10"/>
      <c r="K18" s="15" t="s">
        <v>54</v>
      </c>
    </row>
    <row r="19" spans="1:11" x14ac:dyDescent="0.4">
      <c r="A19" s="17">
        <v>18</v>
      </c>
      <c r="B19" s="18" t="s">
        <v>19</v>
      </c>
      <c r="C19" s="19" t="s">
        <v>31</v>
      </c>
      <c r="D19" s="19" t="s">
        <v>2</v>
      </c>
      <c r="E19" s="19" t="s">
        <v>32</v>
      </c>
      <c r="F19" s="20">
        <v>201</v>
      </c>
      <c r="G19" s="21">
        <f t="shared" si="0"/>
        <v>20100</v>
      </c>
      <c r="H19" s="22">
        <v>0.7</v>
      </c>
      <c r="I19" s="20">
        <v>14070</v>
      </c>
      <c r="J19" s="19"/>
      <c r="K19" s="15" t="s">
        <v>55</v>
      </c>
    </row>
    <row r="20" spans="1:11" x14ac:dyDescent="0.4">
      <c r="A20" s="23">
        <v>19</v>
      </c>
      <c r="B20" s="23" t="s">
        <v>36</v>
      </c>
      <c r="C20" s="24" t="s">
        <v>33</v>
      </c>
      <c r="D20" s="24" t="s">
        <v>2</v>
      </c>
      <c r="E20" s="24" t="s">
        <v>34</v>
      </c>
      <c r="F20" s="25">
        <v>514</v>
      </c>
      <c r="G20" s="26">
        <f t="shared" si="0"/>
        <v>51400</v>
      </c>
      <c r="H20" s="27">
        <v>0.7</v>
      </c>
      <c r="I20" s="28">
        <v>35980</v>
      </c>
      <c r="J20" s="24"/>
      <c r="K20" s="15" t="s">
        <v>55</v>
      </c>
    </row>
    <row r="21" spans="1:11" x14ac:dyDescent="0.4">
      <c r="A21" s="23">
        <v>20</v>
      </c>
      <c r="B21" s="29" t="s">
        <v>19</v>
      </c>
      <c r="C21" s="24" t="s">
        <v>38</v>
      </c>
      <c r="D21" s="24" t="s">
        <v>2</v>
      </c>
      <c r="E21" s="24" t="s">
        <v>46</v>
      </c>
      <c r="F21" s="25">
        <v>144</v>
      </c>
      <c r="G21" s="26">
        <f t="shared" si="0"/>
        <v>14400</v>
      </c>
      <c r="H21" s="27">
        <v>0.7</v>
      </c>
      <c r="I21" s="24">
        <v>10080</v>
      </c>
      <c r="J21" s="24"/>
      <c r="K21" s="15" t="s">
        <v>55</v>
      </c>
    </row>
    <row r="22" spans="1:11" x14ac:dyDescent="0.4">
      <c r="A22" s="23">
        <v>21</v>
      </c>
      <c r="B22" s="23" t="s">
        <v>36</v>
      </c>
      <c r="C22" s="24" t="s">
        <v>39</v>
      </c>
      <c r="D22" s="24" t="s">
        <v>2</v>
      </c>
      <c r="E22" s="24" t="s">
        <v>47</v>
      </c>
      <c r="F22" s="25">
        <v>168</v>
      </c>
      <c r="G22" s="26">
        <f t="shared" si="0"/>
        <v>16800</v>
      </c>
      <c r="H22" s="27">
        <v>0.7</v>
      </c>
      <c r="I22" s="24">
        <v>11760</v>
      </c>
      <c r="J22" s="24"/>
      <c r="K22" s="15" t="s">
        <v>56</v>
      </c>
    </row>
    <row r="23" spans="1:11" x14ac:dyDescent="0.4">
      <c r="A23" s="23">
        <v>22</v>
      </c>
      <c r="B23" s="29" t="s">
        <v>19</v>
      </c>
      <c r="C23" s="24" t="s">
        <v>39</v>
      </c>
      <c r="D23" s="24" t="s">
        <v>2</v>
      </c>
      <c r="E23" s="24" t="s">
        <v>48</v>
      </c>
      <c r="F23" s="25">
        <v>2</v>
      </c>
      <c r="G23" s="26">
        <f t="shared" si="0"/>
        <v>200</v>
      </c>
      <c r="H23" s="27">
        <v>0.7</v>
      </c>
      <c r="I23" s="24">
        <v>140</v>
      </c>
      <c r="J23" s="24"/>
      <c r="K23" s="15" t="s">
        <v>56</v>
      </c>
    </row>
    <row r="24" spans="1:11" x14ac:dyDescent="0.4">
      <c r="A24" s="23">
        <v>23</v>
      </c>
      <c r="B24" s="23" t="s">
        <v>36</v>
      </c>
      <c r="C24" s="24" t="s">
        <v>40</v>
      </c>
      <c r="D24" s="24" t="s">
        <v>2</v>
      </c>
      <c r="E24" s="24" t="s">
        <v>49</v>
      </c>
      <c r="F24" s="25">
        <v>182</v>
      </c>
      <c r="G24" s="26">
        <f t="shared" si="0"/>
        <v>18200</v>
      </c>
      <c r="H24" s="27">
        <v>0.7</v>
      </c>
      <c r="I24" s="24">
        <v>12740</v>
      </c>
      <c r="J24" s="24"/>
      <c r="K24" t="s">
        <v>53</v>
      </c>
    </row>
    <row r="25" spans="1:11" x14ac:dyDescent="0.4">
      <c r="A25" s="23">
        <v>24</v>
      </c>
      <c r="B25" s="29" t="s">
        <v>19</v>
      </c>
      <c r="C25" s="24" t="s">
        <v>40</v>
      </c>
      <c r="D25" s="24" t="s">
        <v>2</v>
      </c>
      <c r="E25" s="24" t="s">
        <v>50</v>
      </c>
      <c r="F25" s="25">
        <v>40</v>
      </c>
      <c r="G25" s="26">
        <f t="shared" si="0"/>
        <v>400</v>
      </c>
      <c r="H25" s="27">
        <v>0.7</v>
      </c>
      <c r="I25" s="24">
        <v>280</v>
      </c>
      <c r="J25" s="24"/>
      <c r="K25" s="3" t="s">
        <v>53</v>
      </c>
    </row>
    <row r="26" spans="1:11" x14ac:dyDescent="0.4">
      <c r="I26" s="16">
        <f>SUM(I2:I25)</f>
        <v>425180</v>
      </c>
    </row>
    <row r="27" spans="1:11" x14ac:dyDescent="0.4">
      <c r="G27" s="14"/>
    </row>
    <row r="28" spans="1:11" x14ac:dyDescent="0.4">
      <c r="G28" s="14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2022-04-06T23:36:28Z</dcterms:modified>
</cp:coreProperties>
</file>