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3월매출\1. 월초청구(0331)\"/>
    </mc:Choice>
  </mc:AlternateContent>
  <bookViews>
    <workbookView xWindow="0" yWindow="0" windowWidth="23040" windowHeight="8952"/>
  </bookViews>
  <sheets>
    <sheet name="합계(3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</calcChain>
</file>

<file path=xl/sharedStrings.xml><?xml version="1.0" encoding="utf-8"?>
<sst xmlns="http://schemas.openxmlformats.org/spreadsheetml/2006/main" count="27" uniqueCount="19">
  <si>
    <t>저작권자 수익 금액</t>
  </si>
  <si>
    <t>수익분배율%</t>
  </si>
  <si>
    <t>원천세</t>
  </si>
  <si>
    <t>원천세 정산후</t>
  </si>
  <si>
    <t>작품 번호</t>
  </si>
  <si>
    <t>작품명</t>
  </si>
  <si>
    <t>성인/비성인</t>
  </si>
  <si>
    <t>수익분배 대상 금액</t>
  </si>
  <si>
    <t>비성인</t>
  </si>
  <si>
    <t>번호</t>
    <phoneticPr fontId="1" type="noConversion"/>
  </si>
  <si>
    <t>별빛 아래 우리 언어별</t>
  </si>
  <si>
    <t>폐하, 옥체 보존하세요! 언어별</t>
  </si>
  <si>
    <t>계약연애, 오늘부터 1일 언어별</t>
  </si>
  <si>
    <t>내 남편의 스토커 언어별</t>
  </si>
  <si>
    <t>최애에게 들켜버렸다 언어별</t>
  </si>
  <si>
    <t>괴물아기[글로벌 전용] 언어별</t>
  </si>
  <si>
    <t>백스테이지 키스신 언어별</t>
  </si>
  <si>
    <t>공주전쟁 언어별</t>
  </si>
  <si>
    <t>폭군의 눈물 언어별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</si>
</sst>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D1254E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2" borderId="0" xfId="0" applyFont="1" applyFill="1" applyBorder="1">
      <alignment vertical="center"/>
    </xf>
    <xf numFmtId="0" fontId="3" fillId="2" borderId="1" xfId="0" applyFont="1" applyFill="1" applyBorder="1" applyAlignment="1">
      <alignment horizontal="center" vertical="top" wrapText="1"/>
    </xf>
    <xf numFmtId="10" fontId="0" fillId="0" borderId="0" xfId="0" applyNumberFormat="1">
      <alignment vertical="center"/>
    </xf>
    <xf numFmtId="41" fontId="0" fillId="0" borderId="0" xfId="1" applyFont="1">
      <alignment vertical="center"/>
    </xf>
    <xf numFmtId="4" fontId="0" fillId="0" borderId="0" xfId="0" applyNumberFormat="1">
      <alignment vertical="center"/>
    </xf>
    <xf numFmtId="4" fontId="5" fillId="3" borderId="0" xfId="0" applyNumberFormat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I11" sqref="I11"/>
    </sheetView>
  </sheetViews>
  <sheetFormatPr defaultRowHeight="17.399999999999999" x14ac:dyDescent="0.4"/>
  <cols>
    <col min="1" max="1" width="6.59765625" customWidth="1"/>
    <col min="3" max="3" width="25.8984375" customWidth="1"/>
    <col min="4" max="4" width="14.3984375" customWidth="1"/>
    <col min="5" max="5" width="13.09765625" customWidth="1"/>
    <col min="6" max="6" width="14.3984375" customWidth="1"/>
    <col min="7" max="7" width="10.09765625" customWidth="1"/>
    <col min="8" max="8" width="11.19921875" customWidth="1"/>
    <col min="9" max="9" width="16.8984375" customWidth="1"/>
  </cols>
  <sheetData>
    <row r="1" spans="1:9" ht="31.8" thickBot="1" x14ac:dyDescent="0.45">
      <c r="A1" s="1" t="s">
        <v>9</v>
      </c>
      <c r="B1" s="1" t="s">
        <v>4</v>
      </c>
      <c r="C1" s="2" t="s">
        <v>5</v>
      </c>
      <c r="D1" s="2" t="s">
        <v>6</v>
      </c>
      <c r="E1" s="2" t="s">
        <v>7</v>
      </c>
      <c r="F1" s="2" t="s">
        <v>0</v>
      </c>
      <c r="G1" s="2" t="s">
        <v>1</v>
      </c>
      <c r="H1" s="2" t="s">
        <v>2</v>
      </c>
      <c r="I1" s="2" t="s">
        <v>3</v>
      </c>
    </row>
    <row r="2" spans="1:9" x14ac:dyDescent="0.4">
      <c r="A2">
        <v>1</v>
      </c>
      <c r="B2">
        <v>6210</v>
      </c>
      <c r="C2" t="s">
        <v>10</v>
      </c>
      <c r="D2" t="s">
        <v>8</v>
      </c>
      <c r="E2" s="5">
        <v>439166</v>
      </c>
      <c r="F2" s="5">
        <v>263499.59999999998</v>
      </c>
      <c r="G2" s="3">
        <v>0.6</v>
      </c>
      <c r="H2" s="4">
        <v>0</v>
      </c>
      <c r="I2" s="5">
        <v>263499.59999999998</v>
      </c>
    </row>
    <row r="3" spans="1:9" x14ac:dyDescent="0.4">
      <c r="A3">
        <v>2</v>
      </c>
      <c r="B3">
        <v>6208</v>
      </c>
      <c r="C3" t="s">
        <v>11</v>
      </c>
      <c r="D3" t="s">
        <v>8</v>
      </c>
      <c r="E3" s="5">
        <v>69692</v>
      </c>
      <c r="F3" s="5">
        <v>41815.199999999997</v>
      </c>
      <c r="G3" s="3">
        <v>0.6</v>
      </c>
      <c r="H3" s="4">
        <v>0</v>
      </c>
      <c r="I3" s="5">
        <v>41815.199999999997</v>
      </c>
    </row>
    <row r="4" spans="1:9" x14ac:dyDescent="0.4">
      <c r="A4">
        <v>3</v>
      </c>
      <c r="B4">
        <v>6207</v>
      </c>
      <c r="C4" t="s">
        <v>12</v>
      </c>
      <c r="D4" t="s">
        <v>8</v>
      </c>
      <c r="E4" s="5">
        <v>192318</v>
      </c>
      <c r="F4" s="5">
        <v>115390.8</v>
      </c>
      <c r="G4" s="3">
        <v>0.6</v>
      </c>
      <c r="H4" s="4">
        <v>0</v>
      </c>
      <c r="I4" s="5">
        <v>115390.8</v>
      </c>
    </row>
    <row r="5" spans="1:9" x14ac:dyDescent="0.4">
      <c r="A5">
        <v>4</v>
      </c>
      <c r="B5">
        <v>6203</v>
      </c>
      <c r="C5" t="s">
        <v>13</v>
      </c>
      <c r="D5" t="s">
        <v>8</v>
      </c>
      <c r="E5" s="5">
        <v>13832</v>
      </c>
      <c r="F5" s="5">
        <v>8299.2000000000007</v>
      </c>
      <c r="G5" s="3">
        <v>0.6</v>
      </c>
      <c r="H5" s="4">
        <v>0</v>
      </c>
      <c r="I5" s="5">
        <v>8299.2000000000007</v>
      </c>
    </row>
    <row r="6" spans="1:9" x14ac:dyDescent="0.4">
      <c r="A6">
        <v>5</v>
      </c>
      <c r="B6">
        <v>6206</v>
      </c>
      <c r="C6" t="s">
        <v>14</v>
      </c>
      <c r="D6" t="s">
        <v>8</v>
      </c>
      <c r="E6" s="5">
        <v>24206</v>
      </c>
      <c r="F6" s="5">
        <v>14523.6</v>
      </c>
      <c r="G6" s="3">
        <v>0.6</v>
      </c>
      <c r="H6" s="4">
        <v>0</v>
      </c>
      <c r="I6" s="5">
        <v>14523.6</v>
      </c>
    </row>
    <row r="7" spans="1:9" x14ac:dyDescent="0.4">
      <c r="A7">
        <v>6</v>
      </c>
      <c r="B7">
        <v>6250</v>
      </c>
      <c r="C7" t="s">
        <v>15</v>
      </c>
      <c r="D7" t="s">
        <v>8</v>
      </c>
      <c r="E7" s="5">
        <v>5586</v>
      </c>
      <c r="F7" s="5">
        <v>2793</v>
      </c>
      <c r="G7" s="3">
        <v>0.5</v>
      </c>
      <c r="H7" s="4">
        <v>0</v>
      </c>
      <c r="I7" s="5">
        <v>2793</v>
      </c>
    </row>
    <row r="8" spans="1:9" x14ac:dyDescent="0.4">
      <c r="A8">
        <v>7</v>
      </c>
      <c r="B8">
        <v>6204</v>
      </c>
      <c r="C8" t="s">
        <v>16</v>
      </c>
      <c r="D8" t="s">
        <v>8</v>
      </c>
      <c r="E8" s="5">
        <v>36708</v>
      </c>
      <c r="F8" s="5">
        <v>22024.799999999999</v>
      </c>
      <c r="G8" s="3">
        <v>0.6</v>
      </c>
      <c r="H8" s="4">
        <v>0</v>
      </c>
      <c r="I8" s="5">
        <v>22024.799999999999</v>
      </c>
    </row>
    <row r="9" spans="1:9" x14ac:dyDescent="0.4">
      <c r="A9">
        <v>8</v>
      </c>
      <c r="B9">
        <v>6211</v>
      </c>
      <c r="C9" t="s">
        <v>17</v>
      </c>
      <c r="D9" t="s">
        <v>8</v>
      </c>
      <c r="E9" s="5">
        <v>21546</v>
      </c>
      <c r="F9" s="5">
        <v>12927.6</v>
      </c>
      <c r="G9" s="3">
        <v>0.6</v>
      </c>
      <c r="H9" s="4">
        <v>0</v>
      </c>
      <c r="I9" s="5">
        <v>12927.6</v>
      </c>
    </row>
    <row r="10" spans="1:9" x14ac:dyDescent="0.4">
      <c r="A10">
        <v>9</v>
      </c>
      <c r="B10">
        <v>6209</v>
      </c>
      <c r="C10" t="s">
        <v>18</v>
      </c>
      <c r="D10" t="s">
        <v>8</v>
      </c>
      <c r="E10" s="5">
        <v>2926</v>
      </c>
      <c r="F10" s="5">
        <v>1755.6</v>
      </c>
      <c r="G10" s="3">
        <v>0.6</v>
      </c>
      <c r="H10" s="4">
        <v>0</v>
      </c>
      <c r="I10" s="5">
        <v>1755.6</v>
      </c>
    </row>
    <row r="11" spans="1:9" x14ac:dyDescent="0.4">
      <c r="I11" s="6">
        <f>SUM(I2:I10)</f>
        <v>483029.39999999991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합계(3)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2021-12-06T03:00:07Z</dcterms:created>
  <dcterms:modified xsi:type="dcterms:W3CDTF">2022-04-06T23:51:39Z</dcterms:modified>
</cp:coreProperties>
</file>