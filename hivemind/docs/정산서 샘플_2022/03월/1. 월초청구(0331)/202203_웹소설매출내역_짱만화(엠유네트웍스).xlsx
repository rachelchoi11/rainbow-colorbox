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정산서" sheetId="3" r:id="rId1"/>
    <sheet name="소설" sheetId="4" r:id="rId2"/>
  </sheets>
  <definedNames>
    <definedName name="_xlnm._FilterDatabase" localSheetId="1" hidden="1">소설!$A$2:$W$2</definedName>
  </definedNames>
  <calcPr calcId="152511"/>
</workbook>
</file>

<file path=xl/calcChain.xml><?xml version="1.0" encoding="utf-8"?>
<calcChain xmlns="http://schemas.openxmlformats.org/spreadsheetml/2006/main">
  <c r="H4" i="4" l="1"/>
  <c r="H3" i="4"/>
  <c r="I4" i="4" l="1"/>
  <c r="I3" i="4"/>
  <c r="I5" i="4" s="1"/>
  <c r="D5" i="4" l="1"/>
  <c r="E5" i="4"/>
  <c r="G5" i="4"/>
  <c r="F5" i="4"/>
  <c r="H5" i="4"/>
  <c r="F7" i="3"/>
  <c r="F8" i="3" s="1"/>
  <c r="G7" i="3" l="1"/>
  <c r="G8" i="3" s="1"/>
  <c r="F13" i="3" s="1"/>
  <c r="G13" i="3" s="1"/>
</calcChain>
</file>

<file path=xl/sharedStrings.xml><?xml version="1.0" encoding="utf-8"?>
<sst xmlns="http://schemas.openxmlformats.org/spreadsheetml/2006/main" count="37" uniqueCount="33">
  <si>
    <t>타이틀</t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</si>
  <si>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</si>
  <si>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</si>
  <si>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</si>
  <si>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</si>
  <si>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</si>
  <si>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</si>
  <si>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</si>
  <si>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</si>
  <si>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</si>
  <si>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</si>
  <si>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구분</t>
    <phoneticPr fontId="2" type="noConversion"/>
  </si>
  <si>
    <t>서비스</t>
    <phoneticPr fontId="2" type="noConversion"/>
  </si>
  <si>
    <t>합계</t>
    <phoneticPr fontId="2" type="noConversion"/>
  </si>
  <si>
    <t>작가</t>
    <phoneticPr fontId="2" type="noConversion"/>
  </si>
  <si>
    <t>종량제</t>
    <phoneticPr fontId="2" type="noConversion"/>
  </si>
  <si>
    <t>정액제</t>
    <phoneticPr fontId="2" type="noConversion"/>
  </si>
  <si>
    <t>총 이용금액</t>
    <phoneticPr fontId="2" type="noConversion"/>
  </si>
  <si>
    <t>이용건수</t>
    <phoneticPr fontId="2" type="noConversion"/>
  </si>
  <si>
    <t>이용금액</t>
    <phoneticPr fontId="2" type="noConversion"/>
  </si>
  <si>
    <t>합계금액</t>
    <phoneticPr fontId="2" type="noConversion"/>
  </si>
  <si>
    <t>공급가액</t>
    <phoneticPr fontId="2" type="noConversion"/>
  </si>
  <si>
    <t>소설</t>
    <phoneticPr fontId="2" type="noConversion"/>
  </si>
  <si>
    <t>스토리위즈</t>
    <phoneticPr fontId="2" type="noConversion"/>
  </si>
  <si>
    <t>정산금</t>
    <phoneticPr fontId="2" type="noConversion"/>
  </si>
  <si>
    <t>(BL) 더티독</t>
  </si>
  <si>
    <t>용가리맛쿠키</t>
  </si>
  <si>
    <t>소설</t>
    <phoneticPr fontId="2" type="noConversion"/>
  </si>
  <si>
    <t>소설</t>
    <phoneticPr fontId="2" type="noConversion"/>
  </si>
  <si>
    <t>(BL) 더티독-외전</t>
  </si>
  <si>
    <t>2022년 02월</t>
    <phoneticPr fontId="2" type="noConversion"/>
  </si>
  <si>
    <t>2022년 03월</t>
    <phoneticPr fontId="2" type="noConversion"/>
  </si>
  <si>
    <t>컨텐츠 제공료(02월분)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</si>
</sst>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4" borderId="10" xfId="45" applyFont="1" applyFill="1" applyBorder="1" applyAlignment="1">
      <alignment horizontal="center" vertical="center"/>
    </xf>
    <xf numFmtId="0" fontId="7" fillId="25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76" fontId="7" fillId="0" borderId="10" xfId="45" applyNumberFormat="1" applyFont="1" applyBorder="1" applyAlignment="1">
      <alignment horizontal="right" vertical="center"/>
    </xf>
    <xf numFmtId="177" fontId="8" fillId="26" borderId="10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77" fontId="3" fillId="27" borderId="10" xfId="0" applyNumberFormat="1" applyFont="1" applyFill="1" applyBorder="1" applyAlignment="1">
      <alignment horizontal="right" vertical="center"/>
    </xf>
    <xf numFmtId="177" fontId="3" fillId="0" borderId="10" xfId="0" applyNumberFormat="1" applyFont="1" applyBorder="1" applyAlignment="1">
      <alignment vertical="center"/>
    </xf>
    <xf numFmtId="177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76" fontId="7" fillId="0" borderId="10" xfId="45" applyNumberFormat="1" applyFont="1" applyBorder="1" applyAlignment="1">
      <alignment vertical="center"/>
    </xf>
    <xf numFmtId="0" fontId="7" fillId="28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1" xfId="45" applyFont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5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177" fontId="8" fillId="26" borderId="18" xfId="0" applyNumberFormat="1" applyFont="1" applyFill="1" applyBorder="1" applyAlignment="1">
      <alignment horizontal="center" vertical="center"/>
    </xf>
    <xf numFmtId="177" fontId="8" fillId="26" borderId="19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177" fontId="8" fillId="26" borderId="15" xfId="0" applyNumberFormat="1" applyFont="1" applyFill="1" applyBorder="1" applyAlignment="1">
      <alignment horizontal="center" vertical="center"/>
    </xf>
    <xf numFmtId="177" fontId="8" fillId="26" borderId="17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workbookViewId="0">
      <selection activeCell="F9" sqref="F9"/>
    </sheetView>
  </sheetViews>
  <sheetFormatPr defaultColWidth="8.8984375" defaultRowHeight="22.5" customHeight="1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/>
    <row r="2" spans="1:7" ht="37.5" customHeight="1" thickBot="1">
      <c r="A2" s="23" t="s">
        <v>1</v>
      </c>
      <c r="B2" s="24"/>
      <c r="C2" s="25"/>
      <c r="D2" s="25"/>
      <c r="E2" s="25"/>
      <c r="F2" s="25"/>
      <c r="G2" s="26"/>
    </row>
    <row r="4" spans="1:7" s="1" customFormat="1" ht="22.5" customHeight="1">
      <c r="A4" s="3" t="s">
        <v>2</v>
      </c>
      <c r="B4" s="3"/>
    </row>
    <row r="6" spans="1:7" ht="22.5" customHeight="1">
      <c r="A6" s="4" t="s">
        <v>3</v>
      </c>
      <c r="B6" s="4" t="s">
        <v>11</v>
      </c>
      <c r="C6" s="27" t="s">
        <v>12</v>
      </c>
      <c r="D6" s="27"/>
      <c r="E6" s="4" t="s">
        <v>4</v>
      </c>
      <c r="F6" s="5" t="s">
        <v>5</v>
      </c>
      <c r="G6" s="5" t="s">
        <v>6</v>
      </c>
    </row>
    <row r="7" spans="1:7" ht="22.5" customHeight="1">
      <c r="A7" s="6" t="s">
        <v>30</v>
      </c>
      <c r="B7" s="6" t="s">
        <v>23</v>
      </c>
      <c r="C7" s="21" t="s">
        <v>22</v>
      </c>
      <c r="D7" s="21"/>
      <c r="E7" s="7">
        <v>0.7</v>
      </c>
      <c r="F7" s="8">
        <f>소설!H5</f>
        <v>7200</v>
      </c>
      <c r="G7" s="8">
        <f>F7*E7</f>
        <v>5040</v>
      </c>
    </row>
    <row r="8" spans="1:7" ht="22.5" customHeight="1">
      <c r="A8" s="28" t="s">
        <v>7</v>
      </c>
      <c r="B8" s="29"/>
      <c r="C8" s="29"/>
      <c r="D8" s="29"/>
      <c r="E8" s="30"/>
      <c r="F8" s="8">
        <f>SUM(F7)</f>
        <v>7200</v>
      </c>
      <c r="G8" s="8">
        <f>SUM(G7)</f>
        <v>5040</v>
      </c>
    </row>
    <row r="10" spans="1:7" ht="22.5" customHeight="1">
      <c r="A10" s="3" t="s">
        <v>8</v>
      </c>
    </row>
    <row r="12" spans="1:7" ht="22.5" customHeight="1">
      <c r="A12" s="22" t="s">
        <v>9</v>
      </c>
      <c r="B12" s="22"/>
      <c r="C12" s="22" t="s">
        <v>10</v>
      </c>
      <c r="D12" s="22"/>
      <c r="E12" s="22"/>
      <c r="F12" s="20" t="s">
        <v>21</v>
      </c>
      <c r="G12" s="20" t="s">
        <v>20</v>
      </c>
    </row>
    <row r="13" spans="1:7" ht="22.5" customHeight="1">
      <c r="A13" s="21" t="s">
        <v>31</v>
      </c>
      <c r="B13" s="21"/>
      <c r="C13" s="21" t="s">
        <v>32</v>
      </c>
      <c r="D13" s="21"/>
      <c r="E13" s="21"/>
      <c r="F13" s="19">
        <f>G8</f>
        <v>5040</v>
      </c>
      <c r="G13" s="19">
        <f>F13</f>
        <v>5040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pane ySplit="2" topLeftCell="A3" activePane="bottomLeft" state="frozen"/>
      <selection pane="bottomLeft" activeCell="I5" sqref="I5"/>
    </sheetView>
  </sheetViews>
  <sheetFormatPr defaultColWidth="8.8984375" defaultRowHeight="13.5" customHeight="1"/>
  <cols>
    <col min="1" max="1" width="16.59765625" style="11" customWidth="1"/>
    <col min="2" max="2" width="14" style="11" customWidth="1"/>
    <col min="3" max="3" width="12.8984375" style="18" customWidth="1"/>
    <col min="4" max="8" width="10" style="10" customWidth="1"/>
    <col min="9" max="9" width="8.8984375" style="11"/>
    <col min="10" max="23" width="8.8984375" style="12"/>
    <col min="24" max="16384" width="8.8984375" style="11"/>
  </cols>
  <sheetData>
    <row r="1" spans="1:9" ht="13.5" customHeight="1">
      <c r="A1" s="34" t="s">
        <v>0</v>
      </c>
      <c r="B1" s="34" t="s">
        <v>14</v>
      </c>
      <c r="C1" s="34" t="s">
        <v>11</v>
      </c>
      <c r="D1" s="36" t="s">
        <v>15</v>
      </c>
      <c r="E1" s="37"/>
      <c r="F1" s="36" t="s">
        <v>16</v>
      </c>
      <c r="G1" s="37"/>
      <c r="H1" s="31" t="s">
        <v>17</v>
      </c>
      <c r="I1" s="31" t="s">
        <v>24</v>
      </c>
    </row>
    <row r="2" spans="1:9" ht="13.5" customHeight="1">
      <c r="A2" s="35"/>
      <c r="B2" s="35"/>
      <c r="C2" s="35"/>
      <c r="D2" s="9" t="s">
        <v>18</v>
      </c>
      <c r="E2" s="9" t="s">
        <v>19</v>
      </c>
      <c r="F2" s="9" t="s">
        <v>18</v>
      </c>
      <c r="G2" s="9" t="s">
        <v>19</v>
      </c>
      <c r="H2" s="32"/>
      <c r="I2" s="32"/>
    </row>
    <row r="3" spans="1:9" ht="13.5" customHeight="1">
      <c r="A3" s="13" t="s">
        <v>25</v>
      </c>
      <c r="B3" s="13" t="s">
        <v>26</v>
      </c>
      <c r="C3" s="14" t="s">
        <v>28</v>
      </c>
      <c r="D3" s="15">
        <v>2</v>
      </c>
      <c r="E3" s="16">
        <v>7000</v>
      </c>
      <c r="F3" s="15">
        <v>0</v>
      </c>
      <c r="G3" s="16">
        <v>0</v>
      </c>
      <c r="H3" s="16">
        <f>E3+G3</f>
        <v>7000</v>
      </c>
      <c r="I3" s="16">
        <f t="shared" ref="I3:I4" si="0">H3*70%</f>
        <v>4900</v>
      </c>
    </row>
    <row r="4" spans="1:9" ht="13.5" customHeight="1">
      <c r="A4" s="13" t="s">
        <v>29</v>
      </c>
      <c r="B4" s="13" t="s">
        <v>26</v>
      </c>
      <c r="C4" s="14" t="s">
        <v>27</v>
      </c>
      <c r="D4" s="15">
        <v>1</v>
      </c>
      <c r="E4" s="16">
        <v>200</v>
      </c>
      <c r="F4" s="15">
        <v>0</v>
      </c>
      <c r="G4" s="16">
        <v>0</v>
      </c>
      <c r="H4" s="16">
        <f>E4+G4</f>
        <v>200</v>
      </c>
      <c r="I4" s="16">
        <f t="shared" si="0"/>
        <v>140</v>
      </c>
    </row>
    <row r="5" spans="1:9" ht="13.5" customHeight="1">
      <c r="A5" s="33" t="s">
        <v>13</v>
      </c>
      <c r="B5" s="33"/>
      <c r="C5" s="33"/>
      <c r="D5" s="17">
        <f t="shared" ref="D5:I5" si="1">SUM(D3:D4)</f>
        <v>3</v>
      </c>
      <c r="E5" s="17">
        <f t="shared" si="1"/>
        <v>7200</v>
      </c>
      <c r="F5" s="17">
        <f t="shared" si="1"/>
        <v>0</v>
      </c>
      <c r="G5" s="17">
        <f t="shared" si="1"/>
        <v>0</v>
      </c>
      <c r="H5" s="17">
        <f t="shared" si="1"/>
        <v>7200</v>
      </c>
      <c r="I5" s="17">
        <f t="shared" si="1"/>
        <v>5040</v>
      </c>
    </row>
  </sheetData>
  <mergeCells count="8">
    <mergeCell ref="I1:I2"/>
    <mergeCell ref="H1:H2"/>
    <mergeCell ref="A5:C5"/>
    <mergeCell ref="A1:A2"/>
    <mergeCell ref="B1:B2"/>
    <mergeCell ref="C1:C2"/>
    <mergeCell ref="D1:E1"/>
    <mergeCell ref="F1:G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2022-04-06T22:44:12Z</dcterms:modified>
</cp:coreProperties>
</file>