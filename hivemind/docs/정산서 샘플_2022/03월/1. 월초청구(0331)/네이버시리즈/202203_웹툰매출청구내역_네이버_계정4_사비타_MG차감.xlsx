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656"/>
  </bookViews>
  <sheets>
    <sheet name="합계 (3)" sheetId="64" r:id="rId1"/>
  </sheets>
  <definedNames>
    <definedName name="_xlnm._FilterDatabase" localSheetId="0" hidden="1">'합계 (3)'!$B$1:$AN$1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D33" i="64" l="1"/>
  <c r="C33" i="64"/>
  <c r="AU8" i="64"/>
  <c r="AV7" i="64" l="1"/>
  <c r="AW7" i="64" s="1"/>
  <c r="B35" i="64" l="1"/>
  <c r="AV3" i="64"/>
  <c r="AV4" i="64"/>
  <c r="AW4" i="64" s="1"/>
  <c r="AV5" i="64"/>
  <c r="AW5" i="64" s="1"/>
  <c r="AV6" i="64"/>
  <c r="AW6" i="64" s="1"/>
  <c r="AV2" i="64"/>
  <c r="AW2" i="64" s="1"/>
  <c r="AW3" i="64" l="1"/>
  <c r="D12" i="64"/>
  <c r="AW8" i="64" l="1"/>
  <c r="D13" i="64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l="1"/>
  <c r="D31" i="64" s="1"/>
  <c r="D32" i="64" s="1"/>
  <c r="C35" i="64"/>
</calcChain>
</file>

<file path=xl/sharedStrings.xml><?xml version="1.0" encoding="utf-8"?>
<sst xmlns="http://schemas.openxmlformats.org/spreadsheetml/2006/main" count="107" uniqueCount="52">
  <si>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</si>
  <si>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</si>
  <si>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</si>
  <si>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</si>
  <si>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</si>
  <si>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</si>
  <si>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</si>
  <si>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</si>
  <si>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</si>
  <si>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</si>
  <si>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</si>
  <si>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</si>
  <si>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</si>
  <si>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</si>
  <si>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</si>
  <si>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</si>
  <si>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</si>
  <si>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</si>
  <si>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</si>
  <si>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</si>
  <si>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</si>
  <si>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</si>
  <si>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</si>
  <si>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</si>
  <si>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</si>
  <si>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</si>
  <si>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사랑은 비를 타고 [독점]</t>
  </si>
  <si>
    <t>스토리위즈_사랑은비를타고_MG</t>
  </si>
  <si>
    <t>예리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</si>
  <si>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</si>
  <si>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</si>
  <si>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</si>
  <si>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</si>
  <si>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>합계</t>
    <phoneticPr fontId="20" type="noConversion"/>
  </si>
  <si>
    <t>&lt;사비타&gt; MG차감내역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</si>
  <si>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</si>
  <si>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</si>
  <si>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</si>
  <si>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</si>
  <si>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 xml:space="preserve"> 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</si>
  <si>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</si>
  <si>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</si>
  <si>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</si>
  <si>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</si>
  <si>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</si>
  <si>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2022.04.06</t>
  </si>
  <si>
    <t>시리즈APP</t>
    <phoneticPr fontId="20" type="noConversion"/>
  </si>
  <si>
    <t>시리즈완전판APP</t>
    <phoneticPr fontId="20" type="noConversion"/>
  </si>
  <si>
    <t>시리즈IOS</t>
    <phoneticPr fontId="20" type="noConversion"/>
  </si>
  <si>
    <t>N스토어PC</t>
    <phoneticPr fontId="20" type="noConversion"/>
  </si>
  <si>
    <t>PC뷰어</t>
    <phoneticPr fontId="20" type="noConversion"/>
  </si>
  <si>
    <t>N스토어MW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</si>
</sst>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6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18" fillId="0" borderId="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41" fontId="18" fillId="0" borderId="10" xfId="0" applyNumberFormat="1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1" applyFont="1" applyBorder="1">
      <alignment vertical="center"/>
    </xf>
    <xf numFmtId="0" fontId="24" fillId="0" borderId="0" xfId="0" applyFont="1" applyBorder="1">
      <alignment vertical="center"/>
    </xf>
    <xf numFmtId="3" fontId="25" fillId="0" borderId="0" xfId="0" applyNumberFormat="1" applyFont="1">
      <alignment vertical="center"/>
    </xf>
    <xf numFmtId="3" fontId="18" fillId="0" borderId="0" xfId="0" applyNumberFormat="1" applyFont="1" applyBorder="1">
      <alignment vertical="center"/>
    </xf>
    <xf numFmtId="41" fontId="18" fillId="0" borderId="0" xfId="1" applyFont="1" applyBorder="1">
      <alignment vertical="center"/>
    </xf>
    <xf numFmtId="0" fontId="21" fillId="0" borderId="0" xfId="0" applyFont="1" applyAlignment="1">
      <alignment vertical="center" wrapText="1"/>
    </xf>
    <xf numFmtId="4" fontId="18" fillId="0" borderId="0" xfId="0" applyNumberFormat="1" applyFont="1" applyBorder="1">
      <alignment vertical="center"/>
    </xf>
    <xf numFmtId="41" fontId="18" fillId="34" borderId="0" xfId="0" applyNumberFormat="1" applyFont="1" applyFill="1" applyBorder="1">
      <alignment vertical="center"/>
    </xf>
    <xf numFmtId="0" fontId="23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1" applyFont="1" applyFill="1" applyBorder="1">
      <alignment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1" applyFont="1" applyFill="1" applyBorder="1">
      <alignment vertical="center"/>
    </xf>
    <xf numFmtId="0" fontId="23" fillId="0" borderId="10" xfId="0" quotePrefix="1" applyFont="1" applyFill="1" applyBorder="1" applyAlignment="1">
      <alignment horizontal="center" vertical="center"/>
    </xf>
    <xf numFmtId="0" fontId="23" fillId="36" borderId="10" xfId="0" quotePrefix="1" applyFont="1" applyFill="1" applyBorder="1" applyAlignment="1">
      <alignment horizontal="center" vertical="center"/>
    </xf>
    <xf numFmtId="4" fontId="18" fillId="0" borderId="0" xfId="0" applyNumberFormat="1" applyFont="1" applyAlignment="1">
      <alignment vertical="center" wrapText="1"/>
    </xf>
    <xf numFmtId="0" fontId="26" fillId="0" borderId="0" xfId="0" applyFont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35"/>
  <sheetViews>
    <sheetView tabSelected="1" zoomScale="94" zoomScaleNormal="94" workbookViewId="0">
      <selection activeCell="G15" sqref="G15"/>
    </sheetView>
  </sheetViews>
  <sheetFormatPr defaultColWidth="8.69921875" defaultRowHeight="10.8" x14ac:dyDescent="0.4"/>
  <cols>
    <col min="1" max="1" width="10" style="12" customWidth="1"/>
    <col min="2" max="2" width="13.19921875" style="4" customWidth="1"/>
    <col min="3" max="3" width="10.19921875" style="3" customWidth="1"/>
    <col min="4" max="4" width="10.69921875" style="3" customWidth="1"/>
    <col min="5" max="5" width="11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24.6" customHeight="1" x14ac:dyDescent="0.4">
      <c r="A1" s="11" t="s">
        <v>23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10</v>
      </c>
      <c r="T1" s="10" t="s">
        <v>11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18</v>
      </c>
      <c r="AB1" s="10" t="s">
        <v>10</v>
      </c>
      <c r="AC1" s="10" t="s">
        <v>19</v>
      </c>
      <c r="AD1" s="10" t="s">
        <v>20</v>
      </c>
      <c r="AE1" s="10" t="s">
        <v>10</v>
      </c>
      <c r="AF1" s="10" t="s">
        <v>19</v>
      </c>
      <c r="AG1" s="10" t="s">
        <v>20</v>
      </c>
      <c r="AH1" s="10" t="s">
        <v>10</v>
      </c>
      <c r="AI1" s="10" t="s">
        <v>19</v>
      </c>
      <c r="AJ1" s="10" t="s">
        <v>20</v>
      </c>
      <c r="AK1" s="10" t="s">
        <v>10</v>
      </c>
      <c r="AL1" s="10" t="s">
        <v>19</v>
      </c>
      <c r="AM1" s="10" t="s">
        <v>20</v>
      </c>
      <c r="AN1" s="13" t="s">
        <v>21</v>
      </c>
      <c r="AO1" s="10" t="s">
        <v>10</v>
      </c>
      <c r="AP1" s="10" t="s">
        <v>19</v>
      </c>
      <c r="AQ1" s="10" t="s">
        <v>20</v>
      </c>
      <c r="AR1" s="10" t="s">
        <v>10</v>
      </c>
      <c r="AS1" s="10" t="s">
        <v>19</v>
      </c>
      <c r="AT1" s="10" t="s">
        <v>20</v>
      </c>
      <c r="AU1" s="14" t="s">
        <v>22</v>
      </c>
      <c r="AV1" s="10" t="s">
        <v>24</v>
      </c>
      <c r="AW1" s="10" t="s">
        <v>25</v>
      </c>
    </row>
    <row r="2" spans="1:49" ht="19.2" x14ac:dyDescent="0.4">
      <c r="A2" s="42" t="s">
        <v>46</v>
      </c>
      <c r="B2" s="5" t="s">
        <v>26</v>
      </c>
      <c r="C2" s="5">
        <v>423644</v>
      </c>
      <c r="D2" s="6"/>
      <c r="E2" s="5" t="s">
        <v>27</v>
      </c>
      <c r="F2" s="5" t="s">
        <v>28</v>
      </c>
      <c r="G2" s="5" t="s">
        <v>9</v>
      </c>
      <c r="H2" s="7" t="s">
        <v>8</v>
      </c>
      <c r="I2" s="7" t="s">
        <v>45</v>
      </c>
      <c r="J2" s="7">
        <v>0</v>
      </c>
      <c r="K2" s="7">
        <v>638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582</v>
      </c>
      <c r="AC2" s="8">
        <v>82700</v>
      </c>
      <c r="AD2" s="8">
        <v>33700</v>
      </c>
      <c r="AE2" s="7">
        <v>29</v>
      </c>
      <c r="AF2" s="8">
        <v>8400</v>
      </c>
      <c r="AG2" s="8">
        <v>3200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8</v>
      </c>
      <c r="AP2" s="8">
        <v>1600</v>
      </c>
      <c r="AQ2" s="7">
        <v>0</v>
      </c>
      <c r="AR2" s="7">
        <v>5</v>
      </c>
      <c r="AS2" s="8">
        <v>2000</v>
      </c>
      <c r="AT2" s="7">
        <v>0</v>
      </c>
      <c r="AU2" s="9">
        <v>131600</v>
      </c>
      <c r="AV2" s="15">
        <f>AU2-AN2</f>
        <v>131600</v>
      </c>
      <c r="AW2" s="28">
        <f>AV2*60%</f>
        <v>78960</v>
      </c>
    </row>
    <row r="3" spans="1:49" ht="19.2" x14ac:dyDescent="0.4">
      <c r="A3" s="42" t="s">
        <v>47</v>
      </c>
      <c r="B3" s="5" t="s">
        <v>26</v>
      </c>
      <c r="C3" s="5">
        <v>423644</v>
      </c>
      <c r="D3" s="6"/>
      <c r="E3" s="5" t="s">
        <v>27</v>
      </c>
      <c r="F3" s="5" t="s">
        <v>28</v>
      </c>
      <c r="G3" s="5" t="s">
        <v>9</v>
      </c>
      <c r="H3" s="7" t="s">
        <v>8</v>
      </c>
      <c r="I3" s="7" t="s">
        <v>45</v>
      </c>
      <c r="J3" s="7">
        <v>0</v>
      </c>
      <c r="K3" s="7">
        <v>714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258</v>
      </c>
      <c r="AC3" s="8">
        <v>35000</v>
      </c>
      <c r="AD3" s="8">
        <v>16600</v>
      </c>
      <c r="AE3" s="7">
        <v>15</v>
      </c>
      <c r="AF3" s="8">
        <v>2400</v>
      </c>
      <c r="AG3" s="8">
        <v>3600</v>
      </c>
      <c r="AH3" s="7">
        <v>-8</v>
      </c>
      <c r="AI3" s="8">
        <v>-1920</v>
      </c>
      <c r="AJ3" s="7">
        <v>0</v>
      </c>
      <c r="AK3" s="7">
        <v>0</v>
      </c>
      <c r="AL3" s="7">
        <v>0</v>
      </c>
      <c r="AM3" s="7">
        <v>0</v>
      </c>
      <c r="AN3" s="7">
        <v>-576</v>
      </c>
      <c r="AO3" s="7">
        <v>14</v>
      </c>
      <c r="AP3" s="8">
        <v>2800</v>
      </c>
      <c r="AQ3" s="7">
        <v>0</v>
      </c>
      <c r="AR3" s="7">
        <v>3</v>
      </c>
      <c r="AS3" s="8">
        <v>1200</v>
      </c>
      <c r="AT3" s="7">
        <v>0</v>
      </c>
      <c r="AU3" s="9">
        <v>59680</v>
      </c>
      <c r="AV3" s="15">
        <f t="shared" ref="AV3:AV6" si="0">AU3-AN3</f>
        <v>60256</v>
      </c>
      <c r="AW3" s="28">
        <f t="shared" ref="AW3:AW6" si="1">AV3*60%</f>
        <v>36153.599999999999</v>
      </c>
    </row>
    <row r="4" spans="1:49" ht="19.2" x14ac:dyDescent="0.4">
      <c r="A4" s="42" t="s">
        <v>48</v>
      </c>
      <c r="B4" s="5" t="s">
        <v>26</v>
      </c>
      <c r="C4" s="5">
        <v>423644</v>
      </c>
      <c r="D4" s="6"/>
      <c r="E4" s="5" t="s">
        <v>27</v>
      </c>
      <c r="F4" s="5" t="s">
        <v>28</v>
      </c>
      <c r="G4" s="5" t="s">
        <v>9</v>
      </c>
      <c r="H4" s="7" t="s">
        <v>8</v>
      </c>
      <c r="I4" s="7" t="s">
        <v>45</v>
      </c>
      <c r="J4" s="7">
        <v>0</v>
      </c>
      <c r="K4" s="7">
        <v>239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101</v>
      </c>
      <c r="AC4" s="8">
        <v>16800</v>
      </c>
      <c r="AD4" s="8">
        <v>3000</v>
      </c>
      <c r="AE4" s="7">
        <v>0</v>
      </c>
      <c r="AF4" s="7">
        <v>0</v>
      </c>
      <c r="AG4" s="7">
        <v>0</v>
      </c>
      <c r="AH4" s="7">
        <v>117</v>
      </c>
      <c r="AI4" s="8">
        <v>17760</v>
      </c>
      <c r="AJ4" s="8">
        <v>8200</v>
      </c>
      <c r="AK4" s="7">
        <v>8</v>
      </c>
      <c r="AL4" s="8">
        <v>3216</v>
      </c>
      <c r="AM4" s="7">
        <v>400</v>
      </c>
      <c r="AN4" s="41">
        <v>6292.8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9">
        <v>49376</v>
      </c>
      <c r="AV4" s="15">
        <f t="shared" si="0"/>
        <v>43083.199999999997</v>
      </c>
      <c r="AW4" s="28">
        <f t="shared" si="1"/>
        <v>25849.919999999998</v>
      </c>
    </row>
    <row r="5" spans="1:49" ht="19.2" x14ac:dyDescent="0.4">
      <c r="A5" s="42" t="s">
        <v>49</v>
      </c>
      <c r="B5" s="5" t="s">
        <v>26</v>
      </c>
      <c r="C5" s="5">
        <v>423644</v>
      </c>
      <c r="D5" s="6"/>
      <c r="E5" s="5" t="s">
        <v>27</v>
      </c>
      <c r="F5" s="5" t="s">
        <v>28</v>
      </c>
      <c r="G5" s="5" t="s">
        <v>9</v>
      </c>
      <c r="H5" s="7" t="s">
        <v>8</v>
      </c>
      <c r="I5" s="7" t="s">
        <v>45</v>
      </c>
      <c r="J5" s="7">
        <v>0</v>
      </c>
      <c r="K5" s="7">
        <v>18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3</v>
      </c>
      <c r="AC5" s="7">
        <v>600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29">
        <v>600</v>
      </c>
      <c r="AV5" s="15">
        <f t="shared" si="0"/>
        <v>600</v>
      </c>
      <c r="AW5" s="28">
        <f t="shared" si="1"/>
        <v>360</v>
      </c>
    </row>
    <row r="6" spans="1:49" ht="19.2" x14ac:dyDescent="0.4">
      <c r="A6" s="42" t="s">
        <v>50</v>
      </c>
      <c r="B6" s="5" t="s">
        <v>26</v>
      </c>
      <c r="C6" s="5">
        <v>423644</v>
      </c>
      <c r="D6" s="6"/>
      <c r="E6" s="5" t="s">
        <v>27</v>
      </c>
      <c r="F6" s="5" t="s">
        <v>28</v>
      </c>
      <c r="G6" s="5" t="s">
        <v>9</v>
      </c>
      <c r="H6" s="7" t="s">
        <v>8</v>
      </c>
      <c r="I6" s="7" t="s">
        <v>45</v>
      </c>
      <c r="J6" s="7">
        <v>0</v>
      </c>
      <c r="K6" s="7">
        <v>3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13</v>
      </c>
      <c r="AC6" s="8">
        <v>2600</v>
      </c>
      <c r="AD6" s="7">
        <v>0</v>
      </c>
      <c r="AE6" s="7">
        <v>5</v>
      </c>
      <c r="AF6" s="8">
        <v>2000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4600</v>
      </c>
      <c r="AV6" s="15">
        <f t="shared" si="0"/>
        <v>4600</v>
      </c>
      <c r="AW6" s="28">
        <f t="shared" si="1"/>
        <v>2760</v>
      </c>
    </row>
    <row r="7" spans="1:49" ht="19.2" x14ac:dyDescent="0.4">
      <c r="A7" s="42" t="s">
        <v>51</v>
      </c>
      <c r="B7" s="5" t="s">
        <v>26</v>
      </c>
      <c r="C7" s="5">
        <v>423644</v>
      </c>
      <c r="D7" s="6"/>
      <c r="E7" s="5" t="s">
        <v>27</v>
      </c>
      <c r="F7" s="5" t="s">
        <v>28</v>
      </c>
      <c r="G7" s="5" t="s">
        <v>9</v>
      </c>
      <c r="H7" s="7" t="s">
        <v>8</v>
      </c>
      <c r="I7" s="7" t="s">
        <v>45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100</v>
      </c>
      <c r="AD7" s="7">
        <v>0</v>
      </c>
      <c r="AE7" s="7">
        <v>0</v>
      </c>
      <c r="AF7" s="7">
        <v>0</v>
      </c>
      <c r="AG7" s="7">
        <v>0</v>
      </c>
      <c r="AH7" s="7">
        <v>1</v>
      </c>
      <c r="AI7" s="7">
        <v>120</v>
      </c>
      <c r="AJ7" s="7">
        <v>0</v>
      </c>
      <c r="AK7" s="7">
        <v>0</v>
      </c>
      <c r="AL7" s="7">
        <v>0</v>
      </c>
      <c r="AM7" s="7">
        <v>0</v>
      </c>
      <c r="AN7" s="7">
        <v>36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29">
        <v>220</v>
      </c>
      <c r="AV7" s="15">
        <f t="shared" ref="AV7" si="2">AU7-AN7</f>
        <v>184</v>
      </c>
      <c r="AW7" s="28">
        <f t="shared" ref="AW7" si="3">AV7*60%</f>
        <v>110.39999999999999</v>
      </c>
    </row>
    <row r="8" spans="1:49" x14ac:dyDescent="0.4">
      <c r="AU8" s="30">
        <f>SUM(AU2:AU7)</f>
        <v>246076</v>
      </c>
      <c r="AV8" s="15"/>
      <c r="AW8" s="31">
        <f>SUM(AW2:AW7)</f>
        <v>144193.92000000001</v>
      </c>
    </row>
    <row r="10" spans="1:49" ht="15.6" x14ac:dyDescent="0.4">
      <c r="A10" s="25" t="s">
        <v>34</v>
      </c>
      <c r="AU10" s="26"/>
      <c r="AW10" s="26"/>
    </row>
    <row r="11" spans="1:49" ht="15.6" x14ac:dyDescent="0.4">
      <c r="A11" s="21" t="s">
        <v>29</v>
      </c>
      <c r="B11" s="22" t="s">
        <v>30</v>
      </c>
      <c r="C11" s="22" t="s">
        <v>31</v>
      </c>
      <c r="D11" s="22" t="s">
        <v>32</v>
      </c>
      <c r="J11" s="3" t="s">
        <v>39</v>
      </c>
      <c r="AU11" s="26"/>
      <c r="AW11" s="26"/>
    </row>
    <row r="12" spans="1:49" x14ac:dyDescent="0.4">
      <c r="A12" s="20">
        <v>21.02</v>
      </c>
      <c r="B12" s="23">
        <v>30000000</v>
      </c>
      <c r="C12" s="19">
        <v>472077</v>
      </c>
      <c r="D12" s="24">
        <f>B12-C12</f>
        <v>29527923</v>
      </c>
      <c r="AU12" s="27"/>
      <c r="AW12" s="27"/>
    </row>
    <row r="13" spans="1:49" x14ac:dyDescent="0.4">
      <c r="A13" s="20">
        <v>21.03</v>
      </c>
      <c r="B13" s="23"/>
      <c r="C13" s="19">
        <v>408648</v>
      </c>
      <c r="D13" s="24">
        <f t="shared" ref="D13:D28" si="4">D12-C13</f>
        <v>29119275</v>
      </c>
      <c r="AU13" s="27"/>
      <c r="AW13" s="27"/>
    </row>
    <row r="14" spans="1:49" x14ac:dyDescent="0.4">
      <c r="A14" s="20">
        <v>21.04</v>
      </c>
      <c r="B14" s="23"/>
      <c r="C14" s="19">
        <v>160198.56</v>
      </c>
      <c r="D14" s="24">
        <f t="shared" si="4"/>
        <v>28959076.440000001</v>
      </c>
      <c r="AU14" s="27"/>
      <c r="AW14" s="27"/>
    </row>
    <row r="15" spans="1:49" x14ac:dyDescent="0.4">
      <c r="A15" s="20">
        <v>21.05</v>
      </c>
      <c r="B15" s="23"/>
      <c r="C15" s="19">
        <v>121166</v>
      </c>
      <c r="D15" s="24">
        <f t="shared" si="4"/>
        <v>28837910.440000001</v>
      </c>
      <c r="AU15" s="27"/>
      <c r="AW15" s="27"/>
    </row>
    <row r="16" spans="1:49" x14ac:dyDescent="0.4">
      <c r="A16" s="20">
        <v>21.06</v>
      </c>
      <c r="B16" s="23"/>
      <c r="C16" s="19">
        <v>290693</v>
      </c>
      <c r="D16" s="24">
        <f t="shared" si="4"/>
        <v>28547217.440000001</v>
      </c>
      <c r="AU16" s="27"/>
      <c r="AW16" s="27"/>
    </row>
    <row r="17" spans="1:49" x14ac:dyDescent="0.4">
      <c r="A17" s="32" t="s">
        <v>35</v>
      </c>
      <c r="B17" s="33"/>
      <c r="C17" s="34">
        <v>1204515</v>
      </c>
      <c r="D17" s="35">
        <f t="shared" si="4"/>
        <v>27342702.440000001</v>
      </c>
      <c r="AU17" s="27"/>
      <c r="AW17" s="27"/>
    </row>
    <row r="18" spans="1:49" x14ac:dyDescent="0.4">
      <c r="A18" s="20">
        <v>21.07</v>
      </c>
      <c r="B18" s="23"/>
      <c r="C18" s="19">
        <v>188088</v>
      </c>
      <c r="D18" s="24">
        <f t="shared" si="4"/>
        <v>27154614.440000001</v>
      </c>
      <c r="AU18" s="27"/>
      <c r="AW18" s="27"/>
    </row>
    <row r="19" spans="1:49" x14ac:dyDescent="0.4">
      <c r="A19" s="20">
        <v>21.08</v>
      </c>
      <c r="B19" s="23"/>
      <c r="C19" s="19">
        <v>118512</v>
      </c>
      <c r="D19" s="24">
        <f t="shared" si="4"/>
        <v>27036102.440000001</v>
      </c>
      <c r="AU19" s="27"/>
      <c r="AW19" s="27"/>
    </row>
    <row r="20" spans="1:49" x14ac:dyDescent="0.4">
      <c r="A20" s="32" t="s">
        <v>36</v>
      </c>
      <c r="B20" s="33"/>
      <c r="C20" s="34">
        <v>844621</v>
      </c>
      <c r="D20" s="35">
        <f t="shared" si="4"/>
        <v>26191481.440000001</v>
      </c>
      <c r="AU20" s="27"/>
      <c r="AW20" s="27"/>
    </row>
    <row r="21" spans="1:49" x14ac:dyDescent="0.4">
      <c r="A21" s="20">
        <v>21.09</v>
      </c>
      <c r="B21" s="23"/>
      <c r="C21" s="19">
        <v>322027</v>
      </c>
      <c r="D21" s="24">
        <f t="shared" si="4"/>
        <v>25869454.440000001</v>
      </c>
      <c r="AU21" s="27"/>
      <c r="AW21" s="27"/>
    </row>
    <row r="22" spans="1:49" x14ac:dyDescent="0.4">
      <c r="A22" s="32" t="s">
        <v>37</v>
      </c>
      <c r="B22" s="33"/>
      <c r="C22" s="34">
        <v>552842</v>
      </c>
      <c r="D22" s="35">
        <f t="shared" si="4"/>
        <v>25316612.440000001</v>
      </c>
      <c r="AU22" s="27"/>
      <c r="AW22" s="27"/>
    </row>
    <row r="23" spans="1:49" x14ac:dyDescent="0.4">
      <c r="A23" s="39" t="s">
        <v>38</v>
      </c>
      <c r="B23" s="36"/>
      <c r="C23" s="37">
        <v>91790.399999999994</v>
      </c>
      <c r="D23" s="38">
        <f t="shared" si="4"/>
        <v>25224822.040000003</v>
      </c>
      <c r="AU23" s="27"/>
      <c r="AW23" s="27"/>
    </row>
    <row r="24" spans="1:49" x14ac:dyDescent="0.4">
      <c r="A24" s="40" t="s">
        <v>40</v>
      </c>
      <c r="B24" s="33"/>
      <c r="C24" s="34">
        <v>605653</v>
      </c>
      <c r="D24" s="35">
        <f t="shared" si="4"/>
        <v>24619169.040000003</v>
      </c>
      <c r="AU24" s="27"/>
      <c r="AW24" s="27"/>
    </row>
    <row r="25" spans="1:49" x14ac:dyDescent="0.4">
      <c r="A25" s="40" t="s">
        <v>41</v>
      </c>
      <c r="B25" s="33"/>
      <c r="C25" s="34">
        <v>547220</v>
      </c>
      <c r="D25" s="35">
        <f t="shared" si="4"/>
        <v>24071949.040000003</v>
      </c>
      <c r="AU25" s="27"/>
      <c r="AW25" s="27"/>
    </row>
    <row r="26" spans="1:49" x14ac:dyDescent="0.4">
      <c r="A26" s="39">
        <v>21.11</v>
      </c>
      <c r="B26" s="36"/>
      <c r="C26" s="37">
        <v>25450</v>
      </c>
      <c r="D26" s="38">
        <f t="shared" si="4"/>
        <v>24046499.040000003</v>
      </c>
      <c r="AU26" s="27"/>
      <c r="AW26" s="27"/>
    </row>
    <row r="27" spans="1:49" x14ac:dyDescent="0.4">
      <c r="A27" s="40" t="s">
        <v>42</v>
      </c>
      <c r="B27" s="33"/>
      <c r="C27" s="34">
        <v>457391</v>
      </c>
      <c r="D27" s="35">
        <f t="shared" si="4"/>
        <v>23589108.040000003</v>
      </c>
      <c r="AU27" s="27"/>
      <c r="AW27" s="27"/>
    </row>
    <row r="28" spans="1:49" x14ac:dyDescent="0.4">
      <c r="A28" s="39">
        <v>21.12</v>
      </c>
      <c r="B28" s="36"/>
      <c r="C28" s="37">
        <v>23400</v>
      </c>
      <c r="D28" s="38">
        <f t="shared" si="4"/>
        <v>23565708.040000003</v>
      </c>
      <c r="AU28" s="27"/>
      <c r="AW28" s="27"/>
    </row>
    <row r="29" spans="1:49" x14ac:dyDescent="0.4">
      <c r="A29" s="40" t="s">
        <v>43</v>
      </c>
      <c r="B29" s="33"/>
      <c r="C29" s="34">
        <v>477210</v>
      </c>
      <c r="D29" s="35">
        <f t="shared" ref="D29:D30" si="5">D28-C29</f>
        <v>23088498.040000003</v>
      </c>
      <c r="AU29" s="27"/>
      <c r="AW29" s="27"/>
    </row>
    <row r="30" spans="1:49" x14ac:dyDescent="0.4">
      <c r="A30" s="39">
        <v>22.01</v>
      </c>
      <c r="B30" s="36"/>
      <c r="C30" s="37">
        <v>260419.20000000001</v>
      </c>
      <c r="D30" s="38">
        <f t="shared" si="5"/>
        <v>22828078.840000004</v>
      </c>
      <c r="AU30" s="27"/>
      <c r="AW30" s="27"/>
    </row>
    <row r="31" spans="1:49" x14ac:dyDescent="0.4">
      <c r="A31" s="40" t="s">
        <v>44</v>
      </c>
      <c r="B31" s="33"/>
      <c r="C31" s="34">
        <v>295476</v>
      </c>
      <c r="D31" s="35">
        <f t="shared" ref="D31:D33" si="6">D30-C31</f>
        <v>22532602.840000004</v>
      </c>
      <c r="AU31" s="27"/>
      <c r="AW31" s="27"/>
    </row>
    <row r="32" spans="1:49" x14ac:dyDescent="0.4">
      <c r="A32" s="39">
        <v>22.02</v>
      </c>
      <c r="B32" s="36"/>
      <c r="C32" s="37">
        <v>482780.27999999991</v>
      </c>
      <c r="D32" s="38">
        <f t="shared" si="6"/>
        <v>22049822.560000002</v>
      </c>
      <c r="AU32" s="27"/>
      <c r="AW32" s="27"/>
    </row>
    <row r="33" spans="1:49" x14ac:dyDescent="0.4">
      <c r="A33" s="39">
        <v>22.03</v>
      </c>
      <c r="B33" s="36"/>
      <c r="C33" s="37">
        <f>AW8</f>
        <v>144193.92000000001</v>
      </c>
      <c r="D33" s="38">
        <f t="shared" si="6"/>
        <v>21905628.640000001</v>
      </c>
      <c r="AU33" s="27"/>
      <c r="AW33" s="27"/>
    </row>
    <row r="34" spans="1:49" x14ac:dyDescent="0.4">
      <c r="A34" s="16"/>
      <c r="B34" s="17"/>
      <c r="C34" s="18"/>
      <c r="D34" s="18"/>
    </row>
    <row r="35" spans="1:49" x14ac:dyDescent="0.4">
      <c r="A35" s="21" t="s">
        <v>33</v>
      </c>
      <c r="B35" s="23">
        <f>SUM(B12:B34)</f>
        <v>30000000</v>
      </c>
      <c r="C35" s="23">
        <f t="shared" ref="C35" si="7">SUM(C12:C34)</f>
        <v>8094371.3600000013</v>
      </c>
      <c r="D35" s="23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2022-04-06T05:33:53Z</dcterms:modified>
</cp:coreProperties>
</file>