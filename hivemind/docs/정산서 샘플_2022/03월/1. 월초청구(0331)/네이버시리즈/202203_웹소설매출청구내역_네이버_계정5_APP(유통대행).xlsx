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네이버시리즈\"/>
    </mc:Choice>
  </mc:AlternateContent>
  <bookViews>
    <workbookView xWindow="0" yWindow="0" windowWidth="23040" windowHeight="8952" tabRatio="766"/>
  </bookViews>
  <sheets>
    <sheet name="합계 (3)" sheetId="412" r:id="rId1"/>
    <sheet name="에필로그" sheetId="424" r:id="rId2"/>
    <sheet name="더컴퍼니" sheetId="425" r:id="rId3"/>
    <sheet name="아크스튜디오" sheetId="426" r:id="rId4"/>
    <sheet name="밀리의 서재" sheetId="427" r:id="rId5"/>
  </sheets>
  <externalReferences>
    <externalReference r:id="rId6"/>
  </externalReferences>
  <definedNames>
    <definedName name="_xlnm._FilterDatabase" localSheetId="0" hidden="1">'합계 (3)'!$A$1:$AW$161</definedName>
    <definedName name="_xlnm.Extract" localSheetId="2">더컴퍼니!$A$1:$AW$1</definedName>
    <definedName name="_xlnm.Extract" localSheetId="4">'밀리의 서재'!$A$1:$AW$1</definedName>
    <definedName name="_xlnm.Extract" localSheetId="3">아크스튜디오!$A$1:$AW$1</definedName>
    <definedName name="_xlnm.Extract" localSheetId="1">에필로그!$A$1:$AW$1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AW21" i="427" l="1"/>
  <c r="AW6" i="426"/>
  <c r="AW89" i="425"/>
  <c r="AW50" i="424"/>
  <c r="AW160" i="412"/>
  <c r="G3" i="412" l="1"/>
  <c r="G4" i="412"/>
  <c r="G5" i="412"/>
  <c r="G6" i="412"/>
  <c r="G7" i="412"/>
  <c r="G8" i="412"/>
  <c r="G9" i="412"/>
  <c r="G10" i="412"/>
  <c r="G11" i="412"/>
  <c r="G12" i="412"/>
  <c r="G13" i="412"/>
  <c r="G14" i="412"/>
  <c r="G15" i="412"/>
  <c r="G16" i="412"/>
  <c r="G17" i="412"/>
  <c r="G18" i="412"/>
  <c r="G19" i="412"/>
  <c r="G20" i="412"/>
  <c r="G21" i="412"/>
  <c r="G22" i="412"/>
  <c r="G23" i="412"/>
  <c r="G24" i="412"/>
  <c r="G25" i="412"/>
  <c r="G26" i="412"/>
  <c r="G27" i="412"/>
  <c r="G28" i="412"/>
  <c r="G29" i="412"/>
  <c r="G30" i="412"/>
  <c r="G31" i="412"/>
  <c r="G32" i="412"/>
  <c r="G33" i="412"/>
  <c r="G34" i="412"/>
  <c r="G35" i="412"/>
  <c r="G36" i="412"/>
  <c r="G37" i="412"/>
  <c r="G38" i="412"/>
  <c r="G39" i="412"/>
  <c r="G40" i="412"/>
  <c r="G41" i="412"/>
  <c r="G42" i="412"/>
  <c r="G43" i="412"/>
  <c r="G44" i="412"/>
  <c r="G45" i="412"/>
  <c r="G46" i="412"/>
  <c r="G47" i="412"/>
  <c r="G48" i="412"/>
  <c r="G49" i="412"/>
  <c r="G50" i="412"/>
  <c r="G51" i="412"/>
  <c r="G52" i="412"/>
  <c r="G53" i="412"/>
  <c r="G54" i="412"/>
  <c r="G55" i="412"/>
  <c r="G56" i="412"/>
  <c r="G57" i="412"/>
  <c r="G58" i="412"/>
  <c r="G59" i="412"/>
  <c r="G60" i="412"/>
  <c r="G61" i="412"/>
  <c r="G62" i="412"/>
  <c r="G63" i="412"/>
  <c r="G64" i="412"/>
  <c r="G65" i="412"/>
  <c r="G66" i="412"/>
  <c r="G67" i="412"/>
  <c r="G68" i="412"/>
  <c r="G69" i="412"/>
  <c r="G70" i="412"/>
  <c r="G71" i="412"/>
  <c r="G73" i="412"/>
  <c r="G74" i="412"/>
  <c r="G75" i="412"/>
  <c r="G76" i="412"/>
  <c r="G77" i="412"/>
  <c r="G78" i="412"/>
  <c r="G79" i="412"/>
  <c r="G80" i="412"/>
  <c r="G81" i="412"/>
  <c r="G82" i="412"/>
  <c r="G83" i="412"/>
  <c r="G84" i="412"/>
  <c r="G85" i="412"/>
  <c r="G86" i="412"/>
  <c r="G87" i="412"/>
  <c r="G88" i="412"/>
  <c r="G89" i="412"/>
  <c r="G90" i="412"/>
  <c r="G91" i="412"/>
  <c r="G92" i="412"/>
  <c r="G94" i="412"/>
  <c r="G95" i="412"/>
  <c r="G96" i="412"/>
  <c r="G97" i="412"/>
  <c r="G98" i="412"/>
  <c r="G99" i="412"/>
  <c r="G100" i="412"/>
  <c r="G101" i="412"/>
  <c r="G102" i="412"/>
  <c r="G103" i="412"/>
  <c r="G104" i="412"/>
  <c r="G105" i="412"/>
  <c r="G106" i="412"/>
  <c r="G107" i="412"/>
  <c r="G108" i="412"/>
  <c r="G109" i="412"/>
  <c r="G110" i="412"/>
  <c r="G111" i="412"/>
  <c r="G112" i="412"/>
  <c r="G113" i="412"/>
  <c r="G114" i="412"/>
  <c r="G115" i="412"/>
  <c r="G116" i="412"/>
  <c r="G117" i="412"/>
  <c r="G118" i="412"/>
  <c r="G119" i="412"/>
  <c r="G120" i="412"/>
  <c r="G121" i="412"/>
  <c r="G122" i="412"/>
  <c r="G123" i="412"/>
  <c r="G124" i="412"/>
  <c r="G125" i="412"/>
  <c r="G126" i="412"/>
  <c r="G127" i="412"/>
  <c r="G128" i="412"/>
  <c r="G129" i="412"/>
  <c r="G130" i="412"/>
  <c r="G131" i="412"/>
  <c r="G132" i="412"/>
  <c r="G133" i="412"/>
  <c r="G134" i="412"/>
  <c r="G135" i="412"/>
  <c r="G136" i="412"/>
  <c r="G137" i="412"/>
  <c r="G138" i="412"/>
  <c r="G139" i="412"/>
  <c r="G140" i="412"/>
  <c r="G141" i="412"/>
  <c r="G142" i="412"/>
  <c r="G143" i="412"/>
  <c r="G144" i="412"/>
  <c r="G145" i="412"/>
  <c r="G146" i="412"/>
  <c r="G147" i="412"/>
  <c r="G148" i="412"/>
  <c r="G149" i="412"/>
  <c r="G150" i="412"/>
  <c r="G151" i="412"/>
  <c r="G153" i="412"/>
  <c r="G154" i="412"/>
  <c r="G155" i="412"/>
  <c r="G156" i="412"/>
  <c r="G157" i="412"/>
  <c r="G158" i="412"/>
  <c r="G159" i="412"/>
  <c r="G2" i="412"/>
  <c r="AV121" i="412" l="1"/>
  <c r="AW121" i="412" s="1"/>
  <c r="AV122" i="412"/>
  <c r="AW122" i="412" s="1"/>
  <c r="AV123" i="412"/>
  <c r="AW123" i="412" s="1"/>
  <c r="AV124" i="412"/>
  <c r="AW124" i="412" s="1"/>
  <c r="AV125" i="412"/>
  <c r="AW125" i="412" s="1"/>
  <c r="AV126" i="412"/>
  <c r="AW126" i="412" s="1"/>
  <c r="AV127" i="412"/>
  <c r="AW127" i="412" s="1"/>
  <c r="AV128" i="412"/>
  <c r="AW128" i="412" s="1"/>
  <c r="AV129" i="412"/>
  <c r="AW129" i="412" s="1"/>
  <c r="AV130" i="412"/>
  <c r="AW130" i="412" s="1"/>
  <c r="AV131" i="412"/>
  <c r="AW131" i="412" s="1"/>
  <c r="AV132" i="412"/>
  <c r="AW132" i="412" s="1"/>
  <c r="AV133" i="412"/>
  <c r="AW133" i="412" s="1"/>
  <c r="AV134" i="412"/>
  <c r="AW134" i="412" s="1"/>
  <c r="AV135" i="412"/>
  <c r="AW135" i="412" s="1"/>
  <c r="AV136" i="412"/>
  <c r="AW136" i="412" s="1"/>
  <c r="AV137" i="412"/>
  <c r="AW137" i="412" s="1"/>
  <c r="AV138" i="412"/>
  <c r="AW138" i="412" s="1"/>
  <c r="AV139" i="412"/>
  <c r="AW139" i="412" s="1"/>
  <c r="AV140" i="412"/>
  <c r="AW140" i="412" s="1"/>
  <c r="AV141" i="412"/>
  <c r="AW141" i="412" s="1"/>
  <c r="AV142" i="412"/>
  <c r="AW142" i="412" s="1"/>
  <c r="AV143" i="412"/>
  <c r="AW143" i="412" s="1"/>
  <c r="AV144" i="412"/>
  <c r="AW144" i="412" s="1"/>
  <c r="AV145" i="412"/>
  <c r="AW145" i="412" s="1"/>
  <c r="AV146" i="412"/>
  <c r="AW146" i="412" s="1"/>
  <c r="AV147" i="412"/>
  <c r="AW147" i="412" s="1"/>
  <c r="AV148" i="412"/>
  <c r="AW148" i="412" s="1"/>
  <c r="AV149" i="412"/>
  <c r="AW149" i="412" s="1"/>
  <c r="AV150" i="412"/>
  <c r="AW150" i="412" s="1"/>
  <c r="AV151" i="412"/>
  <c r="AW151" i="412" s="1"/>
  <c r="AV152" i="412"/>
  <c r="AW152" i="412" s="1"/>
  <c r="AV153" i="412"/>
  <c r="AW153" i="412" s="1"/>
  <c r="AV154" i="412"/>
  <c r="AW154" i="412" s="1"/>
  <c r="AV155" i="412"/>
  <c r="AW155" i="412" s="1"/>
  <c r="AV156" i="412"/>
  <c r="AW156" i="412" s="1"/>
  <c r="AV157" i="412"/>
  <c r="AW157" i="412" s="1"/>
  <c r="AV158" i="412"/>
  <c r="AW158" i="412" s="1"/>
  <c r="AV159" i="412"/>
  <c r="AW159" i="412" s="1"/>
  <c r="AV3" i="412" l="1"/>
  <c r="AW3" i="412" s="1"/>
  <c r="AV4" i="412"/>
  <c r="AW4" i="412" s="1"/>
  <c r="AV5" i="412"/>
  <c r="AW5" i="412" s="1"/>
  <c r="AV6" i="412"/>
  <c r="AW6" i="412" s="1"/>
  <c r="AV7" i="412"/>
  <c r="AW7" i="412" s="1"/>
  <c r="AV8" i="412"/>
  <c r="AW8" i="412" s="1"/>
  <c r="AV9" i="412"/>
  <c r="AW9" i="412" s="1"/>
  <c r="AV10" i="412"/>
  <c r="AW10" i="412" s="1"/>
  <c r="AV11" i="412"/>
  <c r="AW11" i="412" s="1"/>
  <c r="AV12" i="412"/>
  <c r="AW12" i="412" s="1"/>
  <c r="AV13" i="412"/>
  <c r="AW13" i="412" s="1"/>
  <c r="AV14" i="412"/>
  <c r="AW14" i="412" s="1"/>
  <c r="AV15" i="412"/>
  <c r="AW15" i="412" s="1"/>
  <c r="AV16" i="412"/>
  <c r="AW16" i="412" s="1"/>
  <c r="AV17" i="412"/>
  <c r="AW17" i="412" s="1"/>
  <c r="AV18" i="412"/>
  <c r="AW18" i="412" s="1"/>
  <c r="AV19" i="412"/>
  <c r="AW19" i="412" s="1"/>
  <c r="AV20" i="412"/>
  <c r="AW20" i="412" s="1"/>
  <c r="AV21" i="412"/>
  <c r="AW21" i="412" s="1"/>
  <c r="AV22" i="412"/>
  <c r="AW22" i="412" s="1"/>
  <c r="AV23" i="412"/>
  <c r="AW23" i="412" s="1"/>
  <c r="AV24" i="412"/>
  <c r="AW24" i="412" s="1"/>
  <c r="AV25" i="412"/>
  <c r="AW25" i="412" s="1"/>
  <c r="AV26" i="412"/>
  <c r="AW26" i="412" s="1"/>
  <c r="AV27" i="412"/>
  <c r="AW27" i="412" s="1"/>
  <c r="AV28" i="412"/>
  <c r="AW28" i="412" s="1"/>
  <c r="AV29" i="412"/>
  <c r="AW29" i="412" s="1"/>
  <c r="AV30" i="412"/>
  <c r="AW30" i="412" s="1"/>
  <c r="AV31" i="412"/>
  <c r="AW31" i="412" s="1"/>
  <c r="AV32" i="412"/>
  <c r="AW32" i="412" s="1"/>
  <c r="AV33" i="412"/>
  <c r="AW33" i="412" s="1"/>
  <c r="AV34" i="412"/>
  <c r="AW34" i="412" s="1"/>
  <c r="AV35" i="412"/>
  <c r="AW35" i="412" s="1"/>
  <c r="AV36" i="412"/>
  <c r="AW36" i="412" s="1"/>
  <c r="AV37" i="412"/>
  <c r="AW37" i="412" s="1"/>
  <c r="AV38" i="412"/>
  <c r="AW38" i="412" s="1"/>
  <c r="AV39" i="412"/>
  <c r="AW39" i="412" s="1"/>
  <c r="AV40" i="412"/>
  <c r="AW40" i="412" s="1"/>
  <c r="AV41" i="412"/>
  <c r="AW41" i="412" s="1"/>
  <c r="AV42" i="412"/>
  <c r="AW42" i="412" s="1"/>
  <c r="AV43" i="412"/>
  <c r="AW43" i="412" s="1"/>
  <c r="AV44" i="412"/>
  <c r="AW44" i="412" s="1"/>
  <c r="AV45" i="412"/>
  <c r="AW45" i="412" s="1"/>
  <c r="AV46" i="412"/>
  <c r="AW46" i="412" s="1"/>
  <c r="AV47" i="412"/>
  <c r="AW47" i="412" s="1"/>
  <c r="AV48" i="412"/>
  <c r="AW48" i="412" s="1"/>
  <c r="AV49" i="412"/>
  <c r="AW49" i="412" s="1"/>
  <c r="AV50" i="412"/>
  <c r="AW50" i="412" s="1"/>
  <c r="AV51" i="412"/>
  <c r="AW51" i="412" s="1"/>
  <c r="AV52" i="412"/>
  <c r="AW52" i="412" s="1"/>
  <c r="AV53" i="412"/>
  <c r="AW53" i="412" s="1"/>
  <c r="AV54" i="412"/>
  <c r="AW54" i="412" s="1"/>
  <c r="AV55" i="412"/>
  <c r="AW55" i="412" s="1"/>
  <c r="AV56" i="412"/>
  <c r="AW56" i="412" s="1"/>
  <c r="AV57" i="412"/>
  <c r="AW57" i="412" s="1"/>
  <c r="AV58" i="412"/>
  <c r="AW58" i="412" s="1"/>
  <c r="AV59" i="412"/>
  <c r="AW59" i="412" s="1"/>
  <c r="AV60" i="412"/>
  <c r="AW60" i="412" s="1"/>
  <c r="AV61" i="412"/>
  <c r="AW61" i="412" s="1"/>
  <c r="AV62" i="412"/>
  <c r="AW62" i="412" s="1"/>
  <c r="AV63" i="412"/>
  <c r="AW63" i="412" s="1"/>
  <c r="AV64" i="412"/>
  <c r="AW64" i="412" s="1"/>
  <c r="AV65" i="412"/>
  <c r="AW65" i="412" s="1"/>
  <c r="AV66" i="412"/>
  <c r="AW66" i="412" s="1"/>
  <c r="AV67" i="412"/>
  <c r="AW67" i="412" s="1"/>
  <c r="AV68" i="412"/>
  <c r="AW68" i="412" s="1"/>
  <c r="AV69" i="412"/>
  <c r="AW69" i="412" s="1"/>
  <c r="AV70" i="412"/>
  <c r="AW70" i="412" s="1"/>
  <c r="AV71" i="412"/>
  <c r="AW71" i="412" s="1"/>
  <c r="AV72" i="412"/>
  <c r="AW72" i="412" s="1"/>
  <c r="AV73" i="412"/>
  <c r="AW73" i="412" s="1"/>
  <c r="AV74" i="412"/>
  <c r="AW74" i="412" s="1"/>
  <c r="AV75" i="412"/>
  <c r="AW75" i="412" s="1"/>
  <c r="AV76" i="412"/>
  <c r="AW76" i="412" s="1"/>
  <c r="AV77" i="412"/>
  <c r="AW77" i="412" s="1"/>
  <c r="AV78" i="412"/>
  <c r="AW78" i="412" s="1"/>
  <c r="AV79" i="412"/>
  <c r="AW79" i="412" s="1"/>
  <c r="AV80" i="412"/>
  <c r="AW80" i="412" s="1"/>
  <c r="AV81" i="412"/>
  <c r="AW81" i="412" s="1"/>
  <c r="AV82" i="412"/>
  <c r="AW82" i="412" s="1"/>
  <c r="AV83" i="412"/>
  <c r="AW83" i="412" s="1"/>
  <c r="AV84" i="412"/>
  <c r="AW84" i="412" s="1"/>
  <c r="AV85" i="412"/>
  <c r="AW85" i="412" s="1"/>
  <c r="AV86" i="412"/>
  <c r="AW86" i="412" s="1"/>
  <c r="AV87" i="412"/>
  <c r="AW87" i="412" s="1"/>
  <c r="AV88" i="412"/>
  <c r="AW88" i="412" s="1"/>
  <c r="AV89" i="412"/>
  <c r="AW89" i="412" s="1"/>
  <c r="AV90" i="412"/>
  <c r="AW90" i="412" s="1"/>
  <c r="AV91" i="412"/>
  <c r="AW91" i="412" s="1"/>
  <c r="AV92" i="412"/>
  <c r="AW92" i="412" s="1"/>
  <c r="AV93" i="412"/>
  <c r="AW93" i="412" s="1"/>
  <c r="AV94" i="412"/>
  <c r="AW94" i="412" s="1"/>
  <c r="AV95" i="412"/>
  <c r="AW95" i="412" s="1"/>
  <c r="AV96" i="412"/>
  <c r="AW96" i="412" s="1"/>
  <c r="AV97" i="412"/>
  <c r="AW97" i="412" s="1"/>
  <c r="AV98" i="412"/>
  <c r="AW98" i="412" s="1"/>
  <c r="AV99" i="412"/>
  <c r="AW99" i="412" s="1"/>
  <c r="AV100" i="412"/>
  <c r="AW100" i="412" s="1"/>
  <c r="AV101" i="412"/>
  <c r="AW101" i="412" s="1"/>
  <c r="AV102" i="412"/>
  <c r="AW102" i="412" s="1"/>
  <c r="AV103" i="412"/>
  <c r="AW103" i="412" s="1"/>
  <c r="AV104" i="412"/>
  <c r="AW104" i="412" s="1"/>
  <c r="AV105" i="412"/>
  <c r="AW105" i="412" s="1"/>
  <c r="AV106" i="412"/>
  <c r="AW106" i="412" s="1"/>
  <c r="AV107" i="412"/>
  <c r="AW107" i="412" s="1"/>
  <c r="AV108" i="412"/>
  <c r="AW108" i="412" s="1"/>
  <c r="AV109" i="412"/>
  <c r="AW109" i="412" s="1"/>
  <c r="AV110" i="412"/>
  <c r="AW110" i="412" s="1"/>
  <c r="AV111" i="412"/>
  <c r="AW111" i="412" s="1"/>
  <c r="AV112" i="412"/>
  <c r="AW112" i="412" s="1"/>
  <c r="AV113" i="412"/>
  <c r="AW113" i="412" s="1"/>
  <c r="AV114" i="412"/>
  <c r="AW114" i="412" s="1"/>
  <c r="AV115" i="412"/>
  <c r="AW115" i="412" s="1"/>
  <c r="AV116" i="412"/>
  <c r="AW116" i="412" s="1"/>
  <c r="AV117" i="412"/>
  <c r="AW117" i="412" s="1"/>
  <c r="AV118" i="412"/>
  <c r="AW118" i="412" s="1"/>
  <c r="AV119" i="412"/>
  <c r="AW119" i="412" s="1"/>
  <c r="AV120" i="412"/>
  <c r="AW120" i="412" s="1"/>
  <c r="AV2" i="412"/>
  <c r="AW2" i="412" l="1"/>
</calcChain>
</file>

<file path=xl/sharedStrings.xml><?xml version="1.0" encoding="utf-8"?>
<sst xmlns="http://schemas.openxmlformats.org/spreadsheetml/2006/main" count="2308" uniqueCount="257">
  <si>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</si>
  <si>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</si>
  <si>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</si>
  <si>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</si>
  <si>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</si>
  <si>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</si>
  <si>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</si>
  <si>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</si>
  <si>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</si>
  <si>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</si>
  <si>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</si>
  <si>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2020.09.11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</si>
  <si>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</si>
  <si>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</si>
  <si>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</si>
  <si>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</si>
  <si>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</si>
  <si>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</si>
  <si>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</si>
  <si>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</si>
  <si>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</si>
  <si>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</si>
  <si>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</si>
  <si>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</si>
  <si>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</si>
  <si>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</si>
  <si>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</si>
  <si>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더티독 [BL]</t>
  </si>
  <si>
    <t>스토리위즈_2</t>
  </si>
  <si>
    <t>용가리맛쿠키</t>
  </si>
  <si>
    <t>2020.04.13</t>
  </si>
  <si>
    <t>최재봉</t>
  </si>
  <si>
    <t>2020.05.18</t>
  </si>
  <si>
    <t>무림병장 [독점]</t>
  </si>
  <si>
    <t>협행마</t>
  </si>
  <si>
    <t>2020.08.29</t>
  </si>
  <si>
    <t>벗어 주세요</t>
  </si>
  <si>
    <t>주해나</t>
  </si>
  <si>
    <t>2019.03.07</t>
  </si>
  <si>
    <t>강호, 미치다</t>
  </si>
  <si>
    <t>2019.09.18</t>
  </si>
  <si>
    <t>이세계 최강 군바리 [단행본]</t>
  </si>
  <si>
    <t>2019.11.04</t>
  </si>
  <si>
    <t>지니</t>
  </si>
  <si>
    <t>가장 완벽한 인질</t>
  </si>
  <si>
    <t>2020.12.07</t>
  </si>
  <si>
    <t>나나코</t>
  </si>
  <si>
    <t>무림병장 [단행본]</t>
  </si>
  <si>
    <t>2021.02.08</t>
  </si>
  <si>
    <t>위사무적 [단행본]</t>
  </si>
  <si>
    <t>악당의 리턴! [단행본]</t>
  </si>
  <si>
    <t>2019.11.26</t>
  </si>
  <si>
    <t>남창목가 [외전 독점]</t>
  </si>
  <si>
    <t>2019.11.18</t>
  </si>
  <si>
    <t>19세 이상 이용가능</t>
  </si>
  <si>
    <t>이세계 최강 군바리</t>
  </si>
  <si>
    <t>2019.07.31</t>
  </si>
  <si>
    <t>반하는 세계 [BL]</t>
  </si>
  <si>
    <t>2019.08.17</t>
  </si>
  <si>
    <t>악당의 리턴!</t>
  </si>
  <si>
    <t>354950</t>
  </si>
  <si>
    <t>2019.06.20</t>
  </si>
  <si>
    <t>더티독 [BL][단행본]</t>
  </si>
  <si>
    <t>2020.04.09</t>
  </si>
  <si>
    <t>키도</t>
  </si>
  <si>
    <t>sJessi</t>
  </si>
  <si>
    <t>베르사유의 장미 [BL]</t>
  </si>
  <si>
    <t>SISSI</t>
  </si>
  <si>
    <t>2020.04.21</t>
  </si>
  <si>
    <t>대공의 아내 [단행본]</t>
  </si>
  <si>
    <t>문시티</t>
  </si>
  <si>
    <t>2020.01.16</t>
  </si>
  <si>
    <t>2021.04.17</t>
  </si>
  <si>
    <t>진태이</t>
  </si>
  <si>
    <t>나는 내 연인의 것 [BL][단행본]</t>
  </si>
  <si>
    <t>2021.02.01</t>
  </si>
  <si>
    <t>사계(Four Season) [BL]</t>
  </si>
  <si>
    <t>2020.06.17</t>
  </si>
  <si>
    <t>더티독 외전 [BL][단행본]</t>
  </si>
  <si>
    <t>이용 가치 [선공개]</t>
  </si>
  <si>
    <t>연진서</t>
  </si>
  <si>
    <t>2021.07.07</t>
  </si>
  <si>
    <t>남창목가 [단행본]</t>
  </si>
  <si>
    <t>성실</t>
  </si>
  <si>
    <t>익스클루시브(Exclusive) [BL][단행본]</t>
  </si>
  <si>
    <t>사틴</t>
  </si>
  <si>
    <t>2021.08.13</t>
  </si>
  <si>
    <t>2021.08.24</t>
  </si>
  <si>
    <t>2021.08.27</t>
  </si>
  <si>
    <t>흠뻑 적셔줄게 [BL]</t>
  </si>
  <si>
    <t>묜수</t>
  </si>
  <si>
    <t>에필로그</t>
  </si>
  <si>
    <t>바보가 만드는 멋진 세상 [개정판][단행본]</t>
  </si>
  <si>
    <t>2021.09.14</t>
  </si>
  <si>
    <t>사냥꾼은 마왕이 되기 싫다 [독점]</t>
  </si>
  <si>
    <t>강명운</t>
  </si>
  <si>
    <t>바보가 만드는 멋진 세상 [개정판]</t>
  </si>
  <si>
    <t>그 순간, 별이 빛났다 [BL]</t>
  </si>
  <si>
    <t>2021.09.09</t>
  </si>
  <si>
    <t>끝까지, 지독하게</t>
  </si>
  <si>
    <t>2021.09.17</t>
  </si>
  <si>
    <t>익스클루시브(Exclusive) [BL]</t>
  </si>
  <si>
    <t>2021.08.30</t>
  </si>
  <si>
    <t>불건전한 수컷</t>
  </si>
  <si>
    <t>소울슈터 [독점]</t>
  </si>
  <si>
    <t>라이큐</t>
  </si>
  <si>
    <t>계략적 관계 [독점]</t>
  </si>
  <si>
    <t>2021.10.13</t>
  </si>
  <si>
    <t>무적살수 [단행본]</t>
  </si>
  <si>
    <t>2020.09.09</t>
  </si>
  <si>
    <t>신사동 그 사람 [BL][단행본]</t>
  </si>
  <si>
    <t>진짜 사나이</t>
  </si>
  <si>
    <t>2021.12.15</t>
  </si>
  <si>
    <t>진짜 사나이 [단행본]</t>
  </si>
  <si>
    <t>기획에 산다</t>
  </si>
  <si>
    <t>헌터 킹 [단행본]</t>
  </si>
  <si>
    <t>2021.12.10</t>
  </si>
  <si>
    <t>기획에 산다 [단행본]</t>
  </si>
  <si>
    <t>헌터 킹</t>
  </si>
  <si>
    <t>2022.01.03</t>
  </si>
  <si>
    <t>불시착한 우주 [BL]</t>
  </si>
  <si>
    <t>우리 집 악마 새끼 [BL][단행본]</t>
  </si>
  <si>
    <t>2019.11.12</t>
  </si>
  <si>
    <t>2018.10.19</t>
  </si>
  <si>
    <t>용병수칙 [단행본]</t>
  </si>
  <si>
    <t>2020.09.10</t>
  </si>
  <si>
    <t>집착의 맛</t>
  </si>
  <si>
    <t>2021.12.31</t>
  </si>
  <si>
    <t>강호, 미치다 [단행본]</t>
  </si>
  <si>
    <t>더 캡틴 [단행본]</t>
  </si>
  <si>
    <t>2022.01.21</t>
  </si>
  <si>
    <t>더 캡틴</t>
  </si>
  <si>
    <t>다정한 내일을 위한 새벽 [BL]</t>
  </si>
  <si>
    <t>2019.08.13</t>
  </si>
  <si>
    <t>소년연애담 [BL] [단행본]</t>
  </si>
  <si>
    <t>12세 이상 이용가능</t>
  </si>
  <si>
    <t>2018.04.23</t>
  </si>
  <si>
    <t>어딜 봐요? [외전증보판]</t>
  </si>
  <si>
    <t>2019.07.10</t>
  </si>
  <si>
    <t>뉴욕 키스 스캔들 [BL][단행본]</t>
  </si>
  <si>
    <t>2018.06.12</t>
  </si>
  <si>
    <t>그 꽃을 꺾을 때마다</t>
  </si>
  <si>
    <t>사공설류</t>
  </si>
  <si>
    <t>2019.04.18</t>
  </si>
  <si>
    <t>모닝콜(Morning Call) [단행본]</t>
  </si>
  <si>
    <t>하이지</t>
  </si>
  <si>
    <t>2022.01.19</t>
  </si>
  <si>
    <t>분홍의 작약 [단행본]</t>
  </si>
  <si>
    <t>송여희</t>
  </si>
  <si>
    <t>2022.01.12</t>
  </si>
  <si>
    <t>위사무적</t>
  </si>
  <si>
    <t>너만 보면 두근두근 [단행본]</t>
  </si>
  <si>
    <t>정경하</t>
  </si>
  <si>
    <t>2022.01.14</t>
  </si>
  <si>
    <t>설국연가 [단행본]</t>
  </si>
  <si>
    <t>마뇽</t>
  </si>
  <si>
    <t>2022.01.17</t>
  </si>
  <si>
    <t>그 순간, 별이 빛났다 [BL][단행본]</t>
  </si>
  <si>
    <t>2021.08.16</t>
  </si>
  <si>
    <t>붉은 정자-살라댕 [단행본]</t>
  </si>
  <si>
    <t>라벤더블루</t>
  </si>
  <si>
    <t>2022.01.10</t>
  </si>
  <si>
    <t>모어 댄 블루 (More than BLUE) [BL] [단행본]</t>
  </si>
  <si>
    <t>2018.07.02</t>
  </si>
  <si>
    <t>로맨틱 아이디얼(Romantic Ideal) [BL][단행본]</t>
  </si>
  <si>
    <t>2019.01.24</t>
  </si>
  <si>
    <t>세이브 미(Save Me) [단행본]</t>
  </si>
  <si>
    <t>우유양</t>
  </si>
  <si>
    <t>2022.01.26</t>
  </si>
  <si>
    <t>폭군의 공물 [BL][단행본]</t>
  </si>
  <si>
    <t>여러해살이풀</t>
  </si>
  <si>
    <t>2019.03.08</t>
  </si>
  <si>
    <t>백범(白帆)</t>
  </si>
  <si>
    <t>2022.02.17</t>
  </si>
  <si>
    <t>꼭꼭 숨어라(Wherever you are)</t>
  </si>
  <si>
    <t>감또개</t>
  </si>
  <si>
    <t>2022.02.22</t>
  </si>
  <si>
    <t>만나러 갈게 [단행본]</t>
  </si>
  <si>
    <t>박샛별</t>
  </si>
  <si>
    <t>2022.02.04</t>
  </si>
  <si>
    <t>꼭꼭 숨어라(Wherever you are) [단행본]</t>
  </si>
  <si>
    <t>흡혈귀 연정록</t>
  </si>
  <si>
    <t>여름의 시작은 키스를 부른다 [BL]</t>
  </si>
  <si>
    <t>시리즈APP</t>
    <phoneticPr fontId="20" type="noConversion"/>
  </si>
  <si>
    <t>연애의 시작 [단행본]</t>
  </si>
  <si>
    <t>차크</t>
  </si>
  <si>
    <t>2022.02.18</t>
  </si>
  <si>
    <t>다정한 내일을 위한 새벽 [BL][단행본]</t>
  </si>
  <si>
    <t>2019.05.06</t>
  </si>
  <si>
    <t>한슬</t>
  </si>
  <si>
    <t>젠장, 사랑 더럽게 어렵다 [BL] [단행본]</t>
  </si>
  <si>
    <t>시선을 훔치다 [단행본]</t>
  </si>
  <si>
    <t>2019.02.08</t>
  </si>
  <si>
    <t>신사동 그 사람 외전 [BL][단행본]</t>
  </si>
  <si>
    <t>완전판APP</t>
    <phoneticPr fontId="20" type="noConversion"/>
  </si>
  <si>
    <t>시리즈IOS</t>
    <phoneticPr fontId="20" type="noConversion"/>
  </si>
  <si>
    <t>더컴퍼니</t>
  </si>
  <si>
    <t>아크스튜디오</t>
  </si>
  <si>
    <t>밀리의 서재</t>
  </si>
  <si>
    <t>전설이 돼라 [개정판]</t>
  </si>
  <si>
    <t>2022.03.02</t>
  </si>
  <si>
    <t>법보다 주먹</t>
  </si>
  <si>
    <t>2022.03.16</t>
  </si>
  <si>
    <t>전설이 돼라 [개정판][단행본]</t>
  </si>
  <si>
    <t>남궁세가 건달공자 [단행본]</t>
  </si>
  <si>
    <t>2019.06.18</t>
  </si>
  <si>
    <t>여름의 시작은 키스를 부른다 [BL][단행본]</t>
  </si>
  <si>
    <t>2021.02.04</t>
  </si>
  <si>
    <t>내 하루에 네가 피어나 [단행본]</t>
  </si>
  <si>
    <t>정은숙</t>
  </si>
  <si>
    <t>2022.03.11</t>
  </si>
  <si>
    <t>끝도 없이 젖어드는</t>
  </si>
  <si>
    <t>이서윤</t>
  </si>
  <si>
    <t>2019.06.21</t>
  </si>
  <si>
    <t>베로나에서 그를 만나다 [단행본]</t>
  </si>
  <si>
    <t>원성혜</t>
  </si>
  <si>
    <t>2022.03.23</t>
  </si>
  <si>
    <t>나쁜 피 [BL][단행본]</t>
  </si>
  <si>
    <t>이예즈</t>
  </si>
  <si>
    <t>2019.03.12</t>
  </si>
  <si>
    <t>미세한 매력 [외전증보판]</t>
  </si>
  <si>
    <t>2020.02.17</t>
  </si>
  <si>
    <t>그 여자의 사정 [단행본]</t>
  </si>
  <si>
    <t>전혜진</t>
  </si>
  <si>
    <t>2022.03.25</t>
  </si>
  <si>
    <t>백양의 귀신 퇴치 매뉴얼 [BL]</t>
  </si>
  <si>
    <t>하바수</t>
  </si>
  <si>
    <t>2020.07.23</t>
  </si>
  <si>
    <t>도올의 신수</t>
  </si>
  <si>
    <t>전장의 금기 [단행본]</t>
  </si>
  <si>
    <t>2020.09.13</t>
  </si>
  <si>
    <t>낯선 소꿉친구 [BL]</t>
  </si>
  <si>
    <t>사나림</t>
  </si>
  <si>
    <t>이차적 일탈 [단행본]</t>
  </si>
  <si>
    <t>서혜은</t>
  </si>
  <si>
    <t>2022.03.04</t>
  </si>
  <si>
    <t>불건전한 수컷 [단행본]</t>
  </si>
  <si>
    <t>2020.10.31</t>
  </si>
  <si>
    <t>사랑 그리고 그 후 [단행본]</t>
  </si>
  <si>
    <t>최현자</t>
  </si>
  <si>
    <t>2022.03.14</t>
  </si>
  <si>
    <t>철수야 뭐하니? [BL][단행본]</t>
  </si>
  <si>
    <t>2018.07.26</t>
  </si>
  <si>
    <t>원수를 사랑하라 [BL][단행본]</t>
  </si>
  <si>
    <t>쿠노Kuno</t>
  </si>
  <si>
    <t>2018.09.27</t>
  </si>
  <si>
    <t>이리 와 봐 [단행본]</t>
  </si>
  <si>
    <t>최강주</t>
  </si>
  <si>
    <t>2018.08.30</t>
  </si>
  <si>
    <t>반하는 세계 [BL][단행본]</t>
  </si>
  <si>
    <t>2019.08.01</t>
  </si>
  <si>
    <t>이리 와 봐 외전 [단행본]</t>
  </si>
  <si>
    <t>나는 내 연인의 것 외전 [BL][단행본]</t>
  </si>
  <si>
    <t>끝까지, 지독하게 [외전][단행본]</t>
  </si>
  <si>
    <t>2020.11.12</t>
  </si>
  <si>
    <t>밀리의 서재</t>
    <phoneticPr fontId="20" type="noConversion"/>
  </si>
  <si>
    <t>밀리의 서재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</si>
</sst>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34" borderId="0" xfId="0" applyNumberFormat="1" applyFill="1">
      <alignment vertical="center"/>
    </xf>
    <xf numFmtId="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&#50629;&#47924;&#47700;&#45684;&#50620;/&#50976;&#53685;&#45824;&#54665;&#51089;&#54408;_&#47700;&#53440;&#45936;&#51060;&#53552;_vlookup_0406%20&#50629;&#459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/>
      <sheetData sheetId="1"/>
      <sheetData sheetId="2"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 서재</v>
          </cell>
        </row>
        <row r="1088">
          <cell r="B1088" t="str">
            <v>송여희</v>
          </cell>
          <cell r="C1088" t="str">
            <v>밀리의 서재</v>
          </cell>
        </row>
        <row r="1089">
          <cell r="B1089" t="str">
            <v>정경하</v>
          </cell>
          <cell r="C1089" t="str">
            <v>밀리의 서재</v>
          </cell>
        </row>
        <row r="1090">
          <cell r="B1090" t="str">
            <v>마뇽</v>
          </cell>
          <cell r="C1090" t="str">
            <v>밀리의 서재</v>
          </cell>
        </row>
        <row r="1091">
          <cell r="B1091" t="str">
            <v>여도흔</v>
          </cell>
          <cell r="C1091" t="str">
            <v>밀리의 서재</v>
          </cell>
        </row>
        <row r="1092">
          <cell r="B1092" t="str">
            <v>하이지</v>
          </cell>
          <cell r="C1092" t="str">
            <v>밀리의 서재</v>
          </cell>
        </row>
        <row r="1093">
          <cell r="B1093" t="str">
            <v>하이지</v>
          </cell>
          <cell r="C1093" t="str">
            <v>밀리의 서재</v>
          </cell>
        </row>
        <row r="1094">
          <cell r="B1094" t="str">
            <v>박지영</v>
          </cell>
          <cell r="C1094" t="str">
            <v>밀리의 서재</v>
          </cell>
        </row>
        <row r="1095">
          <cell r="B1095" t="str">
            <v>우유양</v>
          </cell>
          <cell r="C1095" t="str">
            <v>밀리의 서재</v>
          </cell>
        </row>
        <row r="1096">
          <cell r="B1096" t="str">
            <v>우유양</v>
          </cell>
          <cell r="C1096" t="str">
            <v>밀리의 서재</v>
          </cell>
        </row>
        <row r="1097">
          <cell r="B1097" t="str">
            <v>춈춈</v>
          </cell>
          <cell r="C1097" t="str">
            <v>밀리의 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B1100" t="str">
            <v>차크</v>
          </cell>
          <cell r="C1100" t="str">
            <v>밀리의 서재</v>
          </cell>
        </row>
        <row r="1101">
          <cell r="B1101" t="str">
            <v>김혜연</v>
          </cell>
          <cell r="C1101" t="str">
            <v>밀리의 서재</v>
          </cell>
        </row>
        <row r="1102">
          <cell r="B1102" t="str">
            <v>등나무밑소공자</v>
          </cell>
          <cell r="C1102" t="str">
            <v>더컴퍼니</v>
          </cell>
        </row>
        <row r="1103">
          <cell r="B1103" t="str">
            <v>서풍</v>
          </cell>
          <cell r="C1103" t="str">
            <v>밀리의 서재</v>
          </cell>
        </row>
        <row r="1104">
          <cell r="B1104" t="str">
            <v>박샛별</v>
          </cell>
          <cell r="C1104" t="str">
            <v>밀리의 서재</v>
          </cell>
        </row>
        <row r="1105">
          <cell r="B1105" t="str">
            <v>하루가</v>
          </cell>
          <cell r="C1105" t="str">
            <v>밀리의 서재</v>
          </cell>
        </row>
        <row r="1106">
          <cell r="B1106" t="str">
            <v>꿀레</v>
          </cell>
          <cell r="C1106" t="str">
            <v>더컴퍼니</v>
          </cell>
        </row>
        <row r="1107">
          <cell r="B1107" t="str">
            <v>이정숙</v>
          </cell>
          <cell r="C1107" t="str">
            <v>밀리의 서재</v>
          </cell>
        </row>
        <row r="1108">
          <cell r="B1108" t="str">
            <v>이진희</v>
          </cell>
          <cell r="C1108" t="str">
            <v>밀리의 서재</v>
          </cell>
        </row>
        <row r="1109">
          <cell r="B1109" t="str">
            <v>원성혜</v>
          </cell>
          <cell r="C1109" t="str">
            <v>밀리의 서재</v>
          </cell>
        </row>
        <row r="1110">
          <cell r="B1110" t="str">
            <v>전혜진</v>
          </cell>
          <cell r="C1110" t="str">
            <v>밀리의 서재</v>
          </cell>
        </row>
        <row r="1111">
          <cell r="B1111" t="str">
            <v>정은숙</v>
          </cell>
          <cell r="C1111" t="str">
            <v>밀리의 서재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61"/>
  <sheetViews>
    <sheetView tabSelected="1" zoomScale="78" zoomScaleNormal="78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0" customWidth="1"/>
    <col min="9" max="9" width="13.59765625" customWidth="1"/>
    <col min="10" max="10" width="7.3984375" customWidth="1"/>
    <col min="11" max="11" width="4.296875" customWidth="1"/>
    <col min="12" max="12" width="4.796875" customWidth="1"/>
    <col min="13" max="13" width="7.19921875" customWidth="1"/>
    <col min="14" max="14" width="6.69921875" customWidth="1"/>
    <col min="15" max="15" width="6" customWidth="1"/>
    <col min="16" max="17" width="6.296875" customWidth="1"/>
    <col min="18" max="18" width="5" customWidth="1"/>
    <col min="19" max="19" width="4.796875" customWidth="1"/>
    <col min="20" max="20" width="7.19921875" customWidth="1"/>
    <col min="21" max="21" width="6.69921875" customWidth="1"/>
    <col min="22" max="22" width="6" customWidth="1"/>
    <col min="23" max="24" width="6.296875" customWidth="1"/>
    <col min="25" max="25" width="3.59765625" customWidth="1"/>
    <col min="26" max="26" width="5" customWidth="1"/>
    <col min="27" max="28" width="3.59765625" customWidth="1"/>
    <col min="29" max="29" width="5" customWidth="1"/>
    <col min="30" max="30" width="4.296875" customWidth="1"/>
    <col min="31" max="36" width="3.59765625" customWidth="1"/>
    <col min="37" max="37" width="12.796875" bestFit="1" customWidth="1"/>
    <col min="38" max="39" width="12.8984375" bestFit="1" customWidth="1"/>
    <col min="40" max="40" width="15.69921875" bestFit="1" customWidth="1"/>
    <col min="47" max="47" width="12.796875" bestFit="1" customWidth="1"/>
    <col min="48" max="48" width="13.8984375" bestFit="1" customWidth="1"/>
    <col min="49" max="49" width="13.5" bestFit="1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183</v>
      </c>
      <c r="B2" s="4" t="s">
        <v>199</v>
      </c>
      <c r="C2" s="4">
        <v>461432</v>
      </c>
      <c r="D2" s="5"/>
      <c r="E2" s="4" t="s">
        <v>28</v>
      </c>
      <c r="F2" s="4" t="s">
        <v>172</v>
      </c>
      <c r="G2" s="4" t="str">
        <f>VLOOKUP(F2,[1]Sheet1!$B$2:$C$1111,2,FALSE)</f>
        <v>에필로그</v>
      </c>
      <c r="H2" s="6" t="s">
        <v>135</v>
      </c>
      <c r="I2" s="6" t="s">
        <v>200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5479</v>
      </c>
      <c r="AF2" s="7">
        <v>516600</v>
      </c>
      <c r="AG2" s="7">
        <v>31300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7">
        <v>1334</v>
      </c>
      <c r="AS2" s="7">
        <v>130100</v>
      </c>
      <c r="AT2" s="7">
        <v>3300</v>
      </c>
      <c r="AU2" s="9">
        <v>681300</v>
      </c>
      <c r="AV2" s="13">
        <f>AU2-AN2</f>
        <v>681300</v>
      </c>
      <c r="AW2" s="14">
        <f>AV2*70%</f>
        <v>476909.99999999994</v>
      </c>
    </row>
    <row r="3" spans="1:49" x14ac:dyDescent="0.4">
      <c r="A3" s="1" t="s">
        <v>183</v>
      </c>
      <c r="B3" s="4" t="s">
        <v>131</v>
      </c>
      <c r="C3" s="4">
        <v>455896</v>
      </c>
      <c r="D3" s="5"/>
      <c r="E3" s="4" t="s">
        <v>28</v>
      </c>
      <c r="F3" s="4" t="s">
        <v>172</v>
      </c>
      <c r="G3" s="4" t="str">
        <f>VLOOKUP(F3,[1]Sheet1!$B$2:$C$1111,2,FALSE)</f>
        <v>에필로그</v>
      </c>
      <c r="H3" s="6" t="s">
        <v>8</v>
      </c>
      <c r="I3" s="6" t="s">
        <v>130</v>
      </c>
      <c r="J3" s="6">
        <v>3</v>
      </c>
      <c r="K3" s="6">
        <v>0</v>
      </c>
      <c r="L3" s="6">
        <v>300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7">
        <v>4730</v>
      </c>
      <c r="AF3" s="7">
        <v>436800</v>
      </c>
      <c r="AG3" s="7">
        <v>36200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660</v>
      </c>
      <c r="AS3" s="7">
        <v>64300</v>
      </c>
      <c r="AT3" s="7">
        <v>1700</v>
      </c>
      <c r="AU3" s="9">
        <v>539300</v>
      </c>
      <c r="AV3" s="13">
        <f t="shared" ref="AV3:AV66" si="0">AU3-AN3</f>
        <v>539300</v>
      </c>
      <c r="AW3" s="14">
        <f t="shared" ref="AW3:AW66" si="1">AV3*70%</f>
        <v>377510</v>
      </c>
    </row>
    <row r="4" spans="1:49" ht="19.2" x14ac:dyDescent="0.4">
      <c r="A4" s="1" t="s">
        <v>183</v>
      </c>
      <c r="B4" s="4" t="s">
        <v>201</v>
      </c>
      <c r="C4" s="4">
        <v>451051</v>
      </c>
      <c r="D4" s="5"/>
      <c r="E4" s="4" t="s">
        <v>28</v>
      </c>
      <c r="F4" s="4" t="s">
        <v>172</v>
      </c>
      <c r="G4" s="4" t="str">
        <f>VLOOKUP(F4,[1]Sheet1!$B$2:$C$1111,2,FALSE)</f>
        <v>에필로그</v>
      </c>
      <c r="H4" s="6" t="s">
        <v>135</v>
      </c>
      <c r="I4" s="6" t="s">
        <v>202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7">
        <v>2347</v>
      </c>
      <c r="AF4" s="7">
        <v>227700</v>
      </c>
      <c r="AG4" s="7">
        <v>7000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862</v>
      </c>
      <c r="AS4" s="7">
        <v>82900</v>
      </c>
      <c r="AT4" s="7">
        <v>3300</v>
      </c>
      <c r="AU4" s="9">
        <v>320900</v>
      </c>
      <c r="AV4" s="13">
        <f t="shared" si="0"/>
        <v>320900</v>
      </c>
      <c r="AW4" s="14">
        <f t="shared" si="1"/>
        <v>224630</v>
      </c>
    </row>
    <row r="5" spans="1:49" ht="19.2" x14ac:dyDescent="0.4">
      <c r="A5" s="1" t="s">
        <v>183</v>
      </c>
      <c r="B5" s="4" t="s">
        <v>126</v>
      </c>
      <c r="C5" s="4">
        <v>456187</v>
      </c>
      <c r="D5" s="5"/>
      <c r="E5" s="4" t="s">
        <v>28</v>
      </c>
      <c r="F5" s="4" t="s">
        <v>65</v>
      </c>
      <c r="G5" s="4" t="str">
        <f>VLOOKUP(F5,[1]Sheet1!$B$2:$C$1111,2,FALSE)</f>
        <v>더컴퍼니</v>
      </c>
      <c r="H5" s="6" t="s">
        <v>9</v>
      </c>
      <c r="I5" s="6" t="s">
        <v>127</v>
      </c>
      <c r="J5" s="6">
        <v>0</v>
      </c>
      <c r="K5" s="6">
        <v>455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7">
        <v>1909</v>
      </c>
      <c r="AF5" s="7">
        <v>180700</v>
      </c>
      <c r="AG5" s="7">
        <v>10200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139</v>
      </c>
      <c r="AS5" s="7">
        <v>13900</v>
      </c>
      <c r="AT5" s="6">
        <v>0</v>
      </c>
      <c r="AU5" s="9">
        <v>204800</v>
      </c>
      <c r="AV5" s="13">
        <f t="shared" si="0"/>
        <v>204800</v>
      </c>
      <c r="AW5" s="14">
        <f t="shared" si="1"/>
        <v>143360</v>
      </c>
    </row>
    <row r="6" spans="1:49" ht="19.2" x14ac:dyDescent="0.4">
      <c r="A6" s="1" t="s">
        <v>183</v>
      </c>
      <c r="B6" s="4" t="s">
        <v>203</v>
      </c>
      <c r="C6" s="4">
        <v>461450</v>
      </c>
      <c r="D6" s="5"/>
      <c r="E6" s="4" t="s">
        <v>28</v>
      </c>
      <c r="F6" s="4" t="s">
        <v>172</v>
      </c>
      <c r="G6" s="4" t="str">
        <f>VLOOKUP(F6,[1]Sheet1!$B$2:$C$1111,2,FALSE)</f>
        <v>에필로그</v>
      </c>
      <c r="H6" s="6" t="s">
        <v>135</v>
      </c>
      <c r="I6" s="6" t="s">
        <v>200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144</v>
      </c>
      <c r="AC6" s="7">
        <v>127800</v>
      </c>
      <c r="AD6" s="7">
        <v>1500</v>
      </c>
      <c r="AE6" s="6">
        <v>0</v>
      </c>
      <c r="AF6" s="6">
        <v>0</v>
      </c>
      <c r="AG6" s="6">
        <v>0</v>
      </c>
      <c r="AH6" s="6">
        <v>12</v>
      </c>
      <c r="AI6" s="6">
        <v>0</v>
      </c>
      <c r="AJ6" s="7">
        <v>10800</v>
      </c>
      <c r="AK6" s="6">
        <v>0</v>
      </c>
      <c r="AL6" s="6">
        <v>0</v>
      </c>
      <c r="AM6" s="6">
        <v>0</v>
      </c>
      <c r="AN6" s="6">
        <v>0</v>
      </c>
      <c r="AO6" s="6">
        <v>39</v>
      </c>
      <c r="AP6" s="7">
        <v>32300</v>
      </c>
      <c r="AQ6" s="7">
        <v>2200</v>
      </c>
      <c r="AR6" s="6">
        <v>0</v>
      </c>
      <c r="AS6" s="6">
        <v>0</v>
      </c>
      <c r="AT6" s="6">
        <v>0</v>
      </c>
      <c r="AU6" s="9">
        <v>174600</v>
      </c>
      <c r="AV6" s="13">
        <f t="shared" si="0"/>
        <v>174600</v>
      </c>
      <c r="AW6" s="14">
        <f t="shared" si="1"/>
        <v>122219.99999999999</v>
      </c>
    </row>
    <row r="7" spans="1:49" x14ac:dyDescent="0.4">
      <c r="A7" s="1" t="s">
        <v>183</v>
      </c>
      <c r="B7" s="4" t="s">
        <v>52</v>
      </c>
      <c r="C7" s="4">
        <v>369060</v>
      </c>
      <c r="D7" s="5"/>
      <c r="E7" s="4" t="s">
        <v>28</v>
      </c>
      <c r="F7" s="4" t="s">
        <v>31</v>
      </c>
      <c r="G7" s="4" t="str">
        <f>VLOOKUP(F7,[1]Sheet1!$B$2:$C$1111,2,FALSE)</f>
        <v>에필로그</v>
      </c>
      <c r="H7" s="6" t="s">
        <v>8</v>
      </c>
      <c r="I7" s="6" t="s">
        <v>53</v>
      </c>
      <c r="J7" s="6">
        <v>0</v>
      </c>
      <c r="K7" s="6">
        <v>10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124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7">
        <v>1103</v>
      </c>
      <c r="AF7" s="7">
        <v>106700</v>
      </c>
      <c r="AG7" s="7">
        <v>3600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622</v>
      </c>
      <c r="AS7" s="7">
        <v>60000</v>
      </c>
      <c r="AT7" s="7">
        <v>2200</v>
      </c>
      <c r="AU7" s="9">
        <v>172500</v>
      </c>
      <c r="AV7" s="13">
        <f t="shared" si="0"/>
        <v>172500</v>
      </c>
      <c r="AW7" s="14">
        <f t="shared" si="1"/>
        <v>120749.99999999999</v>
      </c>
    </row>
    <row r="8" spans="1:49" x14ac:dyDescent="0.4">
      <c r="A8" s="1" t="s">
        <v>183</v>
      </c>
      <c r="B8" s="4" t="s">
        <v>129</v>
      </c>
      <c r="C8" s="4">
        <v>455900</v>
      </c>
      <c r="D8" s="5"/>
      <c r="E8" s="4" t="s">
        <v>28</v>
      </c>
      <c r="F8" s="4" t="s">
        <v>172</v>
      </c>
      <c r="G8" s="4" t="str">
        <f>VLOOKUP(F8,[1]Sheet1!$B$2:$C$1111,2,FALSE)</f>
        <v>에필로그</v>
      </c>
      <c r="H8" s="6" t="s">
        <v>8</v>
      </c>
      <c r="I8" s="6" t="s">
        <v>130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115</v>
      </c>
      <c r="AC8" s="7">
        <v>84900</v>
      </c>
      <c r="AD8" s="7">
        <v>16600</v>
      </c>
      <c r="AE8" s="6">
        <v>5</v>
      </c>
      <c r="AF8" s="7">
        <v>10000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40</v>
      </c>
      <c r="AP8" s="7">
        <v>33100</v>
      </c>
      <c r="AQ8" s="7">
        <v>1300</v>
      </c>
      <c r="AR8" s="6">
        <v>0</v>
      </c>
      <c r="AS8" s="6">
        <v>0</v>
      </c>
      <c r="AT8" s="6">
        <v>0</v>
      </c>
      <c r="AU8" s="9">
        <v>145900</v>
      </c>
      <c r="AV8" s="13">
        <f t="shared" si="0"/>
        <v>145900</v>
      </c>
      <c r="AW8" s="14">
        <f t="shared" si="1"/>
        <v>102130</v>
      </c>
    </row>
    <row r="9" spans="1:49" x14ac:dyDescent="0.4">
      <c r="A9" s="1" t="s">
        <v>183</v>
      </c>
      <c r="B9" s="4" t="s">
        <v>82</v>
      </c>
      <c r="C9" s="4">
        <v>380954</v>
      </c>
      <c r="D9" s="5"/>
      <c r="E9" s="4" t="s">
        <v>28</v>
      </c>
      <c r="F9" s="4" t="s">
        <v>31</v>
      </c>
      <c r="G9" s="4" t="str">
        <f>VLOOKUP(F9,[1]Sheet1!$B$2:$C$1111,2,FALSE)</f>
        <v>에필로그</v>
      </c>
      <c r="H9" s="6" t="s">
        <v>8</v>
      </c>
      <c r="I9" s="6" t="s">
        <v>32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93</v>
      </c>
      <c r="AC9" s="7">
        <v>83700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26</v>
      </c>
      <c r="AP9" s="7">
        <v>22500</v>
      </c>
      <c r="AQ9" s="6">
        <v>900</v>
      </c>
      <c r="AR9" s="6">
        <v>0</v>
      </c>
      <c r="AS9" s="6">
        <v>0</v>
      </c>
      <c r="AT9" s="6">
        <v>0</v>
      </c>
      <c r="AU9" s="9">
        <v>107100</v>
      </c>
      <c r="AV9" s="13">
        <f t="shared" si="0"/>
        <v>107100</v>
      </c>
      <c r="AW9" s="14">
        <f t="shared" si="1"/>
        <v>74970</v>
      </c>
    </row>
    <row r="10" spans="1:49" x14ac:dyDescent="0.4">
      <c r="A10" s="1" t="s">
        <v>183</v>
      </c>
      <c r="B10" s="4" t="s">
        <v>59</v>
      </c>
      <c r="C10" s="4">
        <v>354950</v>
      </c>
      <c r="D10" s="5" t="s">
        <v>60</v>
      </c>
      <c r="E10" s="4" t="s">
        <v>28</v>
      </c>
      <c r="F10" s="4" t="s">
        <v>172</v>
      </c>
      <c r="G10" s="4" t="str">
        <f>VLOOKUP(F10,[1]Sheet1!$B$2:$C$1111,2,FALSE)</f>
        <v>에필로그</v>
      </c>
      <c r="H10" s="6" t="s">
        <v>8</v>
      </c>
      <c r="I10" s="6" t="s">
        <v>61</v>
      </c>
      <c r="J10" s="6">
        <v>0</v>
      </c>
      <c r="K10" s="6">
        <v>92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141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800</v>
      </c>
      <c r="AF10" s="7">
        <v>61200</v>
      </c>
      <c r="AG10" s="7">
        <v>18800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145</v>
      </c>
      <c r="AS10" s="7">
        <v>14500</v>
      </c>
      <c r="AT10" s="6">
        <v>0</v>
      </c>
      <c r="AU10" s="9">
        <v>94500</v>
      </c>
      <c r="AV10" s="13">
        <f t="shared" si="0"/>
        <v>94500</v>
      </c>
      <c r="AW10" s="14">
        <f t="shared" si="1"/>
        <v>66150</v>
      </c>
    </row>
    <row r="11" spans="1:49" x14ac:dyDescent="0.4">
      <c r="A11" s="1" t="s">
        <v>183</v>
      </c>
      <c r="B11" s="4" t="s">
        <v>128</v>
      </c>
      <c r="C11" s="4">
        <v>367412</v>
      </c>
      <c r="D11" s="5"/>
      <c r="E11" s="4" t="s">
        <v>28</v>
      </c>
      <c r="F11" s="4" t="s">
        <v>31</v>
      </c>
      <c r="G11" s="4" t="str">
        <f>VLOOKUP(F11,[1]Sheet1!$B$2:$C$1111,2,FALSE)</f>
        <v>에필로그</v>
      </c>
      <c r="H11" s="6" t="s">
        <v>8</v>
      </c>
      <c r="I11" s="6" t="s">
        <v>32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20</v>
      </c>
      <c r="AF11" s="7">
        <v>64000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64000</v>
      </c>
      <c r="AV11" s="13">
        <f t="shared" si="0"/>
        <v>64000</v>
      </c>
      <c r="AW11" s="14">
        <f t="shared" si="1"/>
        <v>44800</v>
      </c>
    </row>
    <row r="12" spans="1:49" x14ac:dyDescent="0.4">
      <c r="A12" s="1" t="s">
        <v>183</v>
      </c>
      <c r="B12" s="4" t="s">
        <v>94</v>
      </c>
      <c r="C12" s="4">
        <v>440710</v>
      </c>
      <c r="D12" s="5"/>
      <c r="E12" s="4" t="s">
        <v>28</v>
      </c>
      <c r="F12" s="4" t="s">
        <v>95</v>
      </c>
      <c r="G12" s="4" t="str">
        <f>VLOOKUP(F12,[1]Sheet1!$B$2:$C$1111,2,FALSE)</f>
        <v>아크스튜디오</v>
      </c>
      <c r="H12" s="6" t="s">
        <v>8</v>
      </c>
      <c r="I12" s="6" t="s">
        <v>119</v>
      </c>
      <c r="J12" s="6">
        <v>9</v>
      </c>
      <c r="K12" s="7">
        <v>1584</v>
      </c>
      <c r="L12" s="6">
        <v>900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393</v>
      </c>
      <c r="AF12" s="7">
        <v>25700</v>
      </c>
      <c r="AG12" s="7">
        <v>13600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164</v>
      </c>
      <c r="AS12" s="7">
        <v>16400</v>
      </c>
      <c r="AT12" s="6">
        <v>0</v>
      </c>
      <c r="AU12" s="9">
        <v>56600</v>
      </c>
      <c r="AV12" s="13">
        <f t="shared" si="0"/>
        <v>56600</v>
      </c>
      <c r="AW12" s="14">
        <f t="shared" si="1"/>
        <v>39620</v>
      </c>
    </row>
    <row r="13" spans="1:49" ht="19.2" x14ac:dyDescent="0.4">
      <c r="A13" s="1" t="s">
        <v>183</v>
      </c>
      <c r="B13" s="4" t="s">
        <v>137</v>
      </c>
      <c r="C13" s="4">
        <v>368432</v>
      </c>
      <c r="D13" s="5"/>
      <c r="E13" s="4" t="s">
        <v>28</v>
      </c>
      <c r="F13" s="4" t="s">
        <v>37</v>
      </c>
      <c r="G13" s="4" t="str">
        <f>VLOOKUP(F13,[1]Sheet1!$B$2:$C$1111,2,FALSE)</f>
        <v>더컴퍼니</v>
      </c>
      <c r="H13" s="6" t="s">
        <v>9</v>
      </c>
      <c r="I13" s="6" t="s">
        <v>138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266</v>
      </c>
      <c r="AF13" s="7">
        <v>26600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215</v>
      </c>
      <c r="AS13" s="7">
        <v>21500</v>
      </c>
      <c r="AT13" s="6">
        <v>0</v>
      </c>
      <c r="AU13" s="9">
        <v>48100</v>
      </c>
      <c r="AV13" s="13">
        <f t="shared" si="0"/>
        <v>48100</v>
      </c>
      <c r="AW13" s="14">
        <f t="shared" si="1"/>
        <v>33670</v>
      </c>
    </row>
    <row r="14" spans="1:49" x14ac:dyDescent="0.4">
      <c r="A14" s="1" t="s">
        <v>183</v>
      </c>
      <c r="B14" s="4" t="s">
        <v>50</v>
      </c>
      <c r="C14" s="4">
        <v>382098</v>
      </c>
      <c r="D14" s="5"/>
      <c r="E14" s="4" t="s">
        <v>28</v>
      </c>
      <c r="F14" s="4" t="s">
        <v>172</v>
      </c>
      <c r="G14" s="4" t="str">
        <f>VLOOKUP(F14,[1]Sheet1!$B$2:$C$1111,2,FALSE)</f>
        <v>에필로그</v>
      </c>
      <c r="H14" s="6" t="s">
        <v>8</v>
      </c>
      <c r="I14" s="6" t="s">
        <v>51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42</v>
      </c>
      <c r="AC14" s="7">
        <v>35800</v>
      </c>
      <c r="AD14" s="7">
        <v>2000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11</v>
      </c>
      <c r="AP14" s="7">
        <v>9400</v>
      </c>
      <c r="AQ14" s="6">
        <v>500</v>
      </c>
      <c r="AR14" s="6">
        <v>0</v>
      </c>
      <c r="AS14" s="6">
        <v>0</v>
      </c>
      <c r="AT14" s="6">
        <v>0</v>
      </c>
      <c r="AU14" s="9">
        <v>47700</v>
      </c>
      <c r="AV14" s="13">
        <f t="shared" si="0"/>
        <v>47700</v>
      </c>
      <c r="AW14" s="14">
        <f t="shared" si="1"/>
        <v>33390</v>
      </c>
    </row>
    <row r="15" spans="1:49" ht="19.2" x14ac:dyDescent="0.4">
      <c r="A15" s="1" t="s">
        <v>183</v>
      </c>
      <c r="B15" s="4" t="s">
        <v>27</v>
      </c>
      <c r="C15" s="4">
        <v>395341</v>
      </c>
      <c r="D15" s="5"/>
      <c r="E15" s="4" t="s">
        <v>28</v>
      </c>
      <c r="F15" s="4" t="s">
        <v>29</v>
      </c>
      <c r="G15" s="4" t="str">
        <f>VLOOKUP(F15,[1]Sheet1!$B$2:$C$1111,2,FALSE)</f>
        <v>더컴퍼니</v>
      </c>
      <c r="H15" s="6" t="s">
        <v>9</v>
      </c>
      <c r="I15" s="6" t="s">
        <v>30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379</v>
      </c>
      <c r="AF15" s="7">
        <v>24900</v>
      </c>
      <c r="AG15" s="7">
        <v>13000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72</v>
      </c>
      <c r="AS15" s="7">
        <v>7200</v>
      </c>
      <c r="AT15" s="6">
        <v>0</v>
      </c>
      <c r="AU15" s="9">
        <v>45100</v>
      </c>
      <c r="AV15" s="13">
        <f t="shared" si="0"/>
        <v>45100</v>
      </c>
      <c r="AW15" s="14">
        <f t="shared" si="1"/>
        <v>31569.999999999996</v>
      </c>
    </row>
    <row r="16" spans="1:49" ht="19.2" x14ac:dyDescent="0.4">
      <c r="A16" s="1" t="s">
        <v>183</v>
      </c>
      <c r="B16" s="4" t="s">
        <v>113</v>
      </c>
      <c r="C16" s="4">
        <v>453445</v>
      </c>
      <c r="D16" s="5"/>
      <c r="E16" s="4" t="s">
        <v>28</v>
      </c>
      <c r="F16" s="4" t="s">
        <v>172</v>
      </c>
      <c r="G16" s="4" t="str">
        <f>VLOOKUP(F16,[1]Sheet1!$B$2:$C$1111,2,FALSE)</f>
        <v>에필로그</v>
      </c>
      <c r="H16" s="6" t="s">
        <v>9</v>
      </c>
      <c r="I16" s="6" t="s">
        <v>112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46</v>
      </c>
      <c r="AC16" s="7">
        <v>35200</v>
      </c>
      <c r="AD16" s="7">
        <v>6200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41400</v>
      </c>
      <c r="AV16" s="13">
        <f t="shared" si="0"/>
        <v>41400</v>
      </c>
      <c r="AW16" s="14">
        <f t="shared" si="1"/>
        <v>28979.999999999996</v>
      </c>
    </row>
    <row r="17" spans="1:49" ht="19.2" x14ac:dyDescent="0.4">
      <c r="A17" s="1" t="s">
        <v>183</v>
      </c>
      <c r="B17" s="4" t="s">
        <v>57</v>
      </c>
      <c r="C17" s="4">
        <v>372841</v>
      </c>
      <c r="D17" s="5"/>
      <c r="E17" s="4" t="s">
        <v>28</v>
      </c>
      <c r="F17" s="4" t="s">
        <v>46</v>
      </c>
      <c r="G17" s="4" t="str">
        <f>VLOOKUP(F17,[1]Sheet1!$B$2:$C$1111,2,FALSE)</f>
        <v>더컴퍼니</v>
      </c>
      <c r="H17" s="6" t="s">
        <v>9</v>
      </c>
      <c r="I17" s="6" t="s">
        <v>58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366</v>
      </c>
      <c r="AF17" s="7">
        <v>36100</v>
      </c>
      <c r="AG17" s="6">
        <v>500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4</v>
      </c>
      <c r="AS17" s="6">
        <v>200</v>
      </c>
      <c r="AT17" s="6">
        <v>200</v>
      </c>
      <c r="AU17" s="9">
        <v>37000</v>
      </c>
      <c r="AV17" s="13">
        <f t="shared" si="0"/>
        <v>37000</v>
      </c>
      <c r="AW17" s="14">
        <f t="shared" si="1"/>
        <v>25900</v>
      </c>
    </row>
    <row r="18" spans="1:49" x14ac:dyDescent="0.4">
      <c r="A18" s="1" t="s">
        <v>183</v>
      </c>
      <c r="B18" s="4" t="s">
        <v>55</v>
      </c>
      <c r="C18" s="4">
        <v>361185</v>
      </c>
      <c r="D18" s="5"/>
      <c r="E18" s="4" t="s">
        <v>28</v>
      </c>
      <c r="F18" s="4" t="s">
        <v>34</v>
      </c>
      <c r="G18" s="4" t="str">
        <f>VLOOKUP(F18,[1]Sheet1!$B$2:$C$1111,2,FALSE)</f>
        <v>에필로그</v>
      </c>
      <c r="H18" s="6" t="s">
        <v>8</v>
      </c>
      <c r="I18" s="6" t="s">
        <v>56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6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141</v>
      </c>
      <c r="AF18" s="7">
        <v>11500</v>
      </c>
      <c r="AG18" s="7">
        <v>2600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216</v>
      </c>
      <c r="AS18" s="7">
        <v>21600</v>
      </c>
      <c r="AT18" s="6">
        <v>0</v>
      </c>
      <c r="AU18" s="9">
        <v>35700</v>
      </c>
      <c r="AV18" s="13">
        <f t="shared" si="0"/>
        <v>35700</v>
      </c>
      <c r="AW18" s="14">
        <f t="shared" si="1"/>
        <v>24990</v>
      </c>
    </row>
    <row r="19" spans="1:49" ht="19.2" x14ac:dyDescent="0.4">
      <c r="A19" s="1" t="s">
        <v>183</v>
      </c>
      <c r="B19" s="4" t="s">
        <v>174</v>
      </c>
      <c r="C19" s="4">
        <v>460820</v>
      </c>
      <c r="D19" s="5"/>
      <c r="E19" s="4" t="s">
        <v>28</v>
      </c>
      <c r="F19" s="4" t="s">
        <v>175</v>
      </c>
      <c r="G19" s="4" t="str">
        <f>VLOOKUP(F19,[1]Sheet1!$B$2:$C$1111,2,FALSE)</f>
        <v>더컴퍼니</v>
      </c>
      <c r="H19" s="6" t="s">
        <v>9</v>
      </c>
      <c r="I19" s="6" t="s">
        <v>176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314</v>
      </c>
      <c r="AF19" s="7">
        <v>18600</v>
      </c>
      <c r="AG19" s="7">
        <v>12800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35</v>
      </c>
      <c r="AS19" s="7">
        <v>3500</v>
      </c>
      <c r="AT19" s="6">
        <v>0</v>
      </c>
      <c r="AU19" s="9">
        <v>34900</v>
      </c>
      <c r="AV19" s="13">
        <f t="shared" si="0"/>
        <v>34900</v>
      </c>
      <c r="AW19" s="14">
        <f t="shared" si="1"/>
        <v>24430</v>
      </c>
    </row>
    <row r="20" spans="1:49" ht="19.2" x14ac:dyDescent="0.4">
      <c r="A20" s="1" t="s">
        <v>183</v>
      </c>
      <c r="B20" s="4" t="s">
        <v>106</v>
      </c>
      <c r="C20" s="4">
        <v>448030</v>
      </c>
      <c r="D20" s="5"/>
      <c r="E20" s="4" t="s">
        <v>28</v>
      </c>
      <c r="F20" s="4" t="s">
        <v>73</v>
      </c>
      <c r="G20" s="4" t="str">
        <f>VLOOKUP(F20,[1]Sheet1!$B$2:$C$1111,2,FALSE)</f>
        <v>더컴퍼니</v>
      </c>
      <c r="H20" s="6" t="s">
        <v>9</v>
      </c>
      <c r="I20" s="6" t="s">
        <v>107</v>
      </c>
      <c r="J20" s="6">
        <v>0</v>
      </c>
      <c r="K20" s="7">
        <v>1029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192</v>
      </c>
      <c r="AF20" s="7">
        <v>16300</v>
      </c>
      <c r="AG20" s="7">
        <v>2900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134</v>
      </c>
      <c r="AS20" s="7">
        <v>13400</v>
      </c>
      <c r="AT20" s="6">
        <v>0</v>
      </c>
      <c r="AU20" s="9">
        <v>32600</v>
      </c>
      <c r="AV20" s="13">
        <f t="shared" si="0"/>
        <v>32600</v>
      </c>
      <c r="AW20" s="14">
        <f t="shared" si="1"/>
        <v>22820</v>
      </c>
    </row>
    <row r="21" spans="1:49" x14ac:dyDescent="0.4">
      <c r="A21" s="1" t="s">
        <v>183</v>
      </c>
      <c r="B21" s="4" t="s">
        <v>115</v>
      </c>
      <c r="C21" s="4">
        <v>454228</v>
      </c>
      <c r="D21" s="5"/>
      <c r="E21" s="4" t="s">
        <v>28</v>
      </c>
      <c r="F21" s="4" t="s">
        <v>172</v>
      </c>
      <c r="G21" s="4" t="str">
        <f>VLOOKUP(F21,[1]Sheet1!$B$2:$C$1111,2,FALSE)</f>
        <v>에필로그</v>
      </c>
      <c r="H21" s="6" t="s">
        <v>8</v>
      </c>
      <c r="I21" s="6" t="s">
        <v>116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3</v>
      </c>
      <c r="AC21" s="7">
        <v>2700</v>
      </c>
      <c r="AD21" s="6">
        <v>0</v>
      </c>
      <c r="AE21" s="6">
        <v>7</v>
      </c>
      <c r="AF21" s="7">
        <v>13800</v>
      </c>
      <c r="AG21" s="6">
        <v>200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3</v>
      </c>
      <c r="AP21" s="7">
        <v>2700</v>
      </c>
      <c r="AQ21" s="6">
        <v>0</v>
      </c>
      <c r="AR21" s="6">
        <v>4</v>
      </c>
      <c r="AS21" s="7">
        <v>8000</v>
      </c>
      <c r="AT21" s="6">
        <v>0</v>
      </c>
      <c r="AU21" s="9">
        <v>27400</v>
      </c>
      <c r="AV21" s="13">
        <f t="shared" si="0"/>
        <v>27400</v>
      </c>
      <c r="AW21" s="14">
        <f t="shared" si="1"/>
        <v>19180</v>
      </c>
    </row>
    <row r="22" spans="1:49" x14ac:dyDescent="0.4">
      <c r="A22" s="1" t="s">
        <v>183</v>
      </c>
      <c r="B22" s="4" t="s">
        <v>41</v>
      </c>
      <c r="C22" s="4">
        <v>379289</v>
      </c>
      <c r="D22" s="5"/>
      <c r="E22" s="4" t="s">
        <v>28</v>
      </c>
      <c r="F22" s="4" t="s">
        <v>34</v>
      </c>
      <c r="G22" s="4" t="str">
        <f>VLOOKUP(F22,[1]Sheet1!$B$2:$C$1111,2,FALSE)</f>
        <v>에필로그</v>
      </c>
      <c r="H22" s="6" t="s">
        <v>8</v>
      </c>
      <c r="I22" s="6" t="s">
        <v>42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17</v>
      </c>
      <c r="AC22" s="7">
        <v>13900</v>
      </c>
      <c r="AD22" s="7">
        <v>1400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7</v>
      </c>
      <c r="AP22" s="7">
        <v>6100</v>
      </c>
      <c r="AQ22" s="6">
        <v>200</v>
      </c>
      <c r="AR22" s="6">
        <v>1</v>
      </c>
      <c r="AS22" s="7">
        <v>2500</v>
      </c>
      <c r="AT22" s="6">
        <v>0</v>
      </c>
      <c r="AU22" s="9">
        <v>24100</v>
      </c>
      <c r="AV22" s="13">
        <f t="shared" si="0"/>
        <v>24100</v>
      </c>
      <c r="AW22" s="14">
        <f t="shared" si="1"/>
        <v>16870</v>
      </c>
    </row>
    <row r="23" spans="1:49" ht="19.2" x14ac:dyDescent="0.4">
      <c r="A23" s="1" t="s">
        <v>183</v>
      </c>
      <c r="B23" s="4" t="s">
        <v>132</v>
      </c>
      <c r="C23" s="4">
        <v>372422</v>
      </c>
      <c r="D23" s="5"/>
      <c r="E23" s="4" t="s">
        <v>28</v>
      </c>
      <c r="F23" s="4" t="s">
        <v>46</v>
      </c>
      <c r="G23" s="4" t="str">
        <f>VLOOKUP(F23,[1]Sheet1!$B$2:$C$1111,2,FALSE)</f>
        <v>더컴퍼니</v>
      </c>
      <c r="H23" s="6" t="s">
        <v>9</v>
      </c>
      <c r="I23" s="6" t="s">
        <v>133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217</v>
      </c>
      <c r="AF23" s="7">
        <v>20800</v>
      </c>
      <c r="AG23" s="6">
        <v>900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19</v>
      </c>
      <c r="AS23" s="7">
        <v>1700</v>
      </c>
      <c r="AT23" s="6">
        <v>200</v>
      </c>
      <c r="AU23" s="9">
        <v>23600</v>
      </c>
      <c r="AV23" s="13">
        <f t="shared" si="0"/>
        <v>23600</v>
      </c>
      <c r="AW23" s="14">
        <f t="shared" si="1"/>
        <v>16520</v>
      </c>
    </row>
    <row r="24" spans="1:49" x14ac:dyDescent="0.4">
      <c r="A24" s="1" t="s">
        <v>183</v>
      </c>
      <c r="B24" s="4" t="s">
        <v>104</v>
      </c>
      <c r="C24" s="4">
        <v>442342</v>
      </c>
      <c r="D24" s="5"/>
      <c r="E24" s="4" t="s">
        <v>28</v>
      </c>
      <c r="F24" s="4" t="s">
        <v>105</v>
      </c>
      <c r="G24" s="4" t="str">
        <f>VLOOKUP(F24,[1]Sheet1!$B$2:$C$1111,2,FALSE)</f>
        <v>아크스튜디오</v>
      </c>
      <c r="H24" s="6" t="s">
        <v>8</v>
      </c>
      <c r="I24" s="6" t="s">
        <v>173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217</v>
      </c>
      <c r="AF24" s="7">
        <v>19200</v>
      </c>
      <c r="AG24" s="7">
        <v>2500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18</v>
      </c>
      <c r="AS24" s="7">
        <v>1800</v>
      </c>
      <c r="AT24" s="6">
        <v>0</v>
      </c>
      <c r="AU24" s="9">
        <v>23500</v>
      </c>
      <c r="AV24" s="13">
        <f t="shared" si="0"/>
        <v>23500</v>
      </c>
      <c r="AW24" s="14">
        <f t="shared" si="1"/>
        <v>16450</v>
      </c>
    </row>
    <row r="25" spans="1:49" ht="19.2" x14ac:dyDescent="0.4">
      <c r="A25" s="1" t="s">
        <v>183</v>
      </c>
      <c r="B25" s="4" t="s">
        <v>111</v>
      </c>
      <c r="C25" s="4">
        <v>453397</v>
      </c>
      <c r="D25" s="5"/>
      <c r="E25" s="4" t="s">
        <v>28</v>
      </c>
      <c r="F25" s="4" t="s">
        <v>172</v>
      </c>
      <c r="G25" s="4" t="str">
        <f>VLOOKUP(F25,[1]Sheet1!$B$2:$C$1111,2,FALSE)</f>
        <v>에필로그</v>
      </c>
      <c r="H25" s="6" t="s">
        <v>9</v>
      </c>
      <c r="I25" s="6" t="s">
        <v>112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215</v>
      </c>
      <c r="AF25" s="7">
        <v>21500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21500</v>
      </c>
      <c r="AV25" s="13">
        <f t="shared" si="0"/>
        <v>21500</v>
      </c>
      <c r="AW25" s="14">
        <f t="shared" si="1"/>
        <v>15049.999999999998</v>
      </c>
    </row>
    <row r="26" spans="1:49" x14ac:dyDescent="0.4">
      <c r="A26" s="1" t="s">
        <v>183</v>
      </c>
      <c r="B26" s="4" t="s">
        <v>114</v>
      </c>
      <c r="C26" s="4">
        <v>451947</v>
      </c>
      <c r="D26" s="5"/>
      <c r="E26" s="4" t="s">
        <v>28</v>
      </c>
      <c r="F26" s="4" t="s">
        <v>172</v>
      </c>
      <c r="G26" s="4" t="str">
        <f>VLOOKUP(F26,[1]Sheet1!$B$2:$C$1111,2,FALSE)</f>
        <v>에필로그</v>
      </c>
      <c r="H26" s="6" t="s">
        <v>8</v>
      </c>
      <c r="I26" s="6" t="s">
        <v>112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185</v>
      </c>
      <c r="AF26" s="7">
        <v>13500</v>
      </c>
      <c r="AG26" s="7">
        <v>5000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18500</v>
      </c>
      <c r="AV26" s="13">
        <f t="shared" si="0"/>
        <v>18500</v>
      </c>
      <c r="AW26" s="14">
        <f t="shared" si="1"/>
        <v>12950</v>
      </c>
    </row>
    <row r="27" spans="1:49" ht="19.2" x14ac:dyDescent="0.4">
      <c r="A27" s="1" t="s">
        <v>183</v>
      </c>
      <c r="B27" s="4" t="s">
        <v>120</v>
      </c>
      <c r="C27" s="4">
        <v>443543</v>
      </c>
      <c r="D27" s="5"/>
      <c r="E27" s="4" t="s">
        <v>28</v>
      </c>
      <c r="F27" s="4" t="s">
        <v>46</v>
      </c>
      <c r="G27" s="4" t="str">
        <f>VLOOKUP(F27,[1]Sheet1!$B$2:$C$1111,2,FALSE)</f>
        <v>더컴퍼니</v>
      </c>
      <c r="H27" s="6" t="s">
        <v>9</v>
      </c>
      <c r="I27" s="6" t="s">
        <v>87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184</v>
      </c>
      <c r="AF27" s="7">
        <v>17800</v>
      </c>
      <c r="AG27" s="6">
        <v>600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18400</v>
      </c>
      <c r="AV27" s="13">
        <f t="shared" si="0"/>
        <v>18400</v>
      </c>
      <c r="AW27" s="14">
        <f t="shared" si="1"/>
        <v>12880</v>
      </c>
    </row>
    <row r="28" spans="1:49" x14ac:dyDescent="0.4">
      <c r="A28" s="1" t="s">
        <v>183</v>
      </c>
      <c r="B28" s="4" t="s">
        <v>47</v>
      </c>
      <c r="C28" s="4">
        <v>424315</v>
      </c>
      <c r="D28" s="5"/>
      <c r="E28" s="4" t="s">
        <v>28</v>
      </c>
      <c r="F28" s="4" t="s">
        <v>34</v>
      </c>
      <c r="G28" s="4" t="str">
        <f>VLOOKUP(F28,[1]Sheet1!$B$2:$C$1111,2,FALSE)</f>
        <v>에필로그</v>
      </c>
      <c r="H28" s="6" t="s">
        <v>8</v>
      </c>
      <c r="I28" s="6" t="s">
        <v>48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13</v>
      </c>
      <c r="AC28" s="7">
        <v>11700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7</v>
      </c>
      <c r="AP28" s="7">
        <v>6100</v>
      </c>
      <c r="AQ28" s="6">
        <v>200</v>
      </c>
      <c r="AR28" s="6">
        <v>0</v>
      </c>
      <c r="AS28" s="6">
        <v>0</v>
      </c>
      <c r="AT28" s="6">
        <v>0</v>
      </c>
      <c r="AU28" s="9">
        <v>18000</v>
      </c>
      <c r="AV28" s="13">
        <f t="shared" si="0"/>
        <v>18000</v>
      </c>
      <c r="AW28" s="14">
        <f t="shared" si="1"/>
        <v>12600</v>
      </c>
    </row>
    <row r="29" spans="1:49" x14ac:dyDescent="0.4">
      <c r="A29" s="1" t="s">
        <v>183</v>
      </c>
      <c r="B29" s="4" t="s">
        <v>39</v>
      </c>
      <c r="C29" s="4">
        <v>367415</v>
      </c>
      <c r="D29" s="5"/>
      <c r="E29" s="4" t="s">
        <v>28</v>
      </c>
      <c r="F29" s="4" t="s">
        <v>31</v>
      </c>
      <c r="G29" s="4" t="str">
        <f>VLOOKUP(F29,[1]Sheet1!$B$2:$C$1111,2,FALSE)</f>
        <v>에필로그</v>
      </c>
      <c r="H29" s="6" t="s">
        <v>8</v>
      </c>
      <c r="I29" s="6" t="s">
        <v>40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8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83</v>
      </c>
      <c r="AF29" s="7">
        <v>7200</v>
      </c>
      <c r="AG29" s="7">
        <v>1100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80</v>
      </c>
      <c r="AS29" s="7">
        <v>7800</v>
      </c>
      <c r="AT29" s="6">
        <v>200</v>
      </c>
      <c r="AU29" s="9">
        <v>16300</v>
      </c>
      <c r="AV29" s="13">
        <f t="shared" si="0"/>
        <v>16300</v>
      </c>
      <c r="AW29" s="14">
        <f t="shared" si="1"/>
        <v>11410</v>
      </c>
    </row>
    <row r="30" spans="1:49" ht="19.2" x14ac:dyDescent="0.4">
      <c r="A30" s="1" t="s">
        <v>183</v>
      </c>
      <c r="B30" s="4" t="s">
        <v>36</v>
      </c>
      <c r="C30" s="4">
        <v>354768</v>
      </c>
      <c r="D30" s="5"/>
      <c r="E30" s="4" t="s">
        <v>28</v>
      </c>
      <c r="F30" s="4" t="s">
        <v>37</v>
      </c>
      <c r="G30" s="4" t="str">
        <f>VLOOKUP(F30,[1]Sheet1!$B$2:$C$1111,2,FALSE)</f>
        <v>더컴퍼니</v>
      </c>
      <c r="H30" s="6" t="s">
        <v>9</v>
      </c>
      <c r="I30" s="6" t="s">
        <v>38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62</v>
      </c>
      <c r="AF30" s="7">
        <v>6200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73</v>
      </c>
      <c r="AS30" s="7">
        <v>7300</v>
      </c>
      <c r="AT30" s="6">
        <v>0</v>
      </c>
      <c r="AU30" s="9">
        <v>13500</v>
      </c>
      <c r="AV30" s="13">
        <f t="shared" si="0"/>
        <v>13500</v>
      </c>
      <c r="AW30" s="14">
        <f t="shared" si="1"/>
        <v>9450</v>
      </c>
    </row>
    <row r="31" spans="1:49" x14ac:dyDescent="0.4">
      <c r="A31" s="1" t="s">
        <v>183</v>
      </c>
      <c r="B31" s="4" t="s">
        <v>49</v>
      </c>
      <c r="C31" s="4">
        <v>408836</v>
      </c>
      <c r="D31" s="5"/>
      <c r="E31" s="4" t="s">
        <v>28</v>
      </c>
      <c r="F31" s="4" t="s">
        <v>34</v>
      </c>
      <c r="G31" s="4" t="str">
        <f>VLOOKUP(F31,[1]Sheet1!$B$2:$C$1111,2,FALSE)</f>
        <v>에필로그</v>
      </c>
      <c r="H31" s="6" t="s">
        <v>8</v>
      </c>
      <c r="I31" s="6" t="s">
        <v>11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6</v>
      </c>
      <c r="AC31" s="7">
        <v>4200</v>
      </c>
      <c r="AD31" s="6">
        <v>0</v>
      </c>
      <c r="AE31" s="6">
        <v>4</v>
      </c>
      <c r="AF31" s="7">
        <v>8000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9">
        <v>12200</v>
      </c>
      <c r="AV31" s="13">
        <f t="shared" si="0"/>
        <v>12200</v>
      </c>
      <c r="AW31" s="14">
        <f t="shared" si="1"/>
        <v>8540</v>
      </c>
    </row>
    <row r="32" spans="1:49" x14ac:dyDescent="0.4">
      <c r="A32" s="1" t="s">
        <v>183</v>
      </c>
      <c r="B32" s="4" t="s">
        <v>177</v>
      </c>
      <c r="C32" s="4">
        <v>459224</v>
      </c>
      <c r="D32" s="5"/>
      <c r="E32" s="4" t="s">
        <v>28</v>
      </c>
      <c r="F32" s="4" t="s">
        <v>178</v>
      </c>
      <c r="G32" s="4" t="str">
        <f>VLOOKUP(F32,[1]Sheet1!$B$2:$C$1111,2,FALSE)</f>
        <v>밀리의 서재</v>
      </c>
      <c r="H32" s="6" t="s">
        <v>8</v>
      </c>
      <c r="I32" s="6" t="s">
        <v>179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6</v>
      </c>
      <c r="AF32" s="7">
        <v>12000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9">
        <v>12000</v>
      </c>
      <c r="AV32" s="13">
        <f t="shared" si="0"/>
        <v>12000</v>
      </c>
      <c r="AW32" s="14">
        <f t="shared" si="1"/>
        <v>8400</v>
      </c>
    </row>
    <row r="33" spans="1:49" ht="19.2" x14ac:dyDescent="0.4">
      <c r="A33" s="1" t="s">
        <v>183</v>
      </c>
      <c r="B33" s="4" t="s">
        <v>76</v>
      </c>
      <c r="C33" s="4">
        <v>401407</v>
      </c>
      <c r="D33" s="5"/>
      <c r="E33" s="4" t="s">
        <v>28</v>
      </c>
      <c r="F33" s="4" t="s">
        <v>46</v>
      </c>
      <c r="G33" s="4" t="str">
        <f>VLOOKUP(F33,[1]Sheet1!$B$2:$C$1111,2,FALSE)</f>
        <v>더컴퍼니</v>
      </c>
      <c r="H33" s="6" t="s">
        <v>9</v>
      </c>
      <c r="I33" s="6" t="s">
        <v>77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115</v>
      </c>
      <c r="AF33" s="7">
        <v>11500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9">
        <v>11500</v>
      </c>
      <c r="AV33" s="13">
        <f t="shared" si="0"/>
        <v>11500</v>
      </c>
      <c r="AW33" s="14">
        <f t="shared" si="1"/>
        <v>8049.9999999999991</v>
      </c>
    </row>
    <row r="34" spans="1:49" ht="19.2" x14ac:dyDescent="0.4">
      <c r="A34" s="1" t="s">
        <v>183</v>
      </c>
      <c r="B34" s="4" t="s">
        <v>89</v>
      </c>
      <c r="C34" s="4">
        <v>443833</v>
      </c>
      <c r="D34" s="5"/>
      <c r="E34" s="4" t="s">
        <v>28</v>
      </c>
      <c r="F34" s="4" t="s">
        <v>90</v>
      </c>
      <c r="G34" s="4" t="str">
        <f>VLOOKUP(F34,[1]Sheet1!$B$2:$C$1111,2,FALSE)</f>
        <v>더컴퍼니</v>
      </c>
      <c r="H34" s="6" t="s">
        <v>9</v>
      </c>
      <c r="I34" s="6" t="s">
        <v>88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110</v>
      </c>
      <c r="AF34" s="7">
        <v>11000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9">
        <v>11000</v>
      </c>
      <c r="AV34" s="13">
        <f t="shared" si="0"/>
        <v>11000</v>
      </c>
      <c r="AW34" s="14">
        <f t="shared" si="1"/>
        <v>7699.9999999999991</v>
      </c>
    </row>
    <row r="35" spans="1:49" ht="19.2" x14ac:dyDescent="0.4">
      <c r="A35" s="1" t="s">
        <v>183</v>
      </c>
      <c r="B35" s="4" t="s">
        <v>99</v>
      </c>
      <c r="C35" s="4">
        <v>445954</v>
      </c>
      <c r="D35" s="5"/>
      <c r="E35" s="4" t="s">
        <v>28</v>
      </c>
      <c r="F35" s="4" t="s">
        <v>73</v>
      </c>
      <c r="G35" s="4" t="str">
        <f>VLOOKUP(F35,[1]Sheet1!$B$2:$C$1111,2,FALSE)</f>
        <v>더컴퍼니</v>
      </c>
      <c r="H35" s="6" t="s">
        <v>9</v>
      </c>
      <c r="I35" s="6" t="s">
        <v>100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103</v>
      </c>
      <c r="AF35" s="7">
        <v>10200</v>
      </c>
      <c r="AG35" s="6">
        <v>100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9">
        <v>10300</v>
      </c>
      <c r="AV35" s="13">
        <f t="shared" si="0"/>
        <v>10300</v>
      </c>
      <c r="AW35" s="14">
        <f t="shared" si="1"/>
        <v>7209.9999999999991</v>
      </c>
    </row>
    <row r="36" spans="1:49" ht="19.2" x14ac:dyDescent="0.4">
      <c r="A36" s="1" t="s">
        <v>183</v>
      </c>
      <c r="B36" s="4" t="s">
        <v>79</v>
      </c>
      <c r="C36" s="4">
        <v>438289</v>
      </c>
      <c r="D36" s="5"/>
      <c r="E36" s="4" t="s">
        <v>28</v>
      </c>
      <c r="F36" s="4" t="s">
        <v>80</v>
      </c>
      <c r="G36" s="4" t="str">
        <f>VLOOKUP(F36,[1]Sheet1!$B$2:$C$1111,2,FALSE)</f>
        <v>더컴퍼니</v>
      </c>
      <c r="H36" s="6" t="s">
        <v>9</v>
      </c>
      <c r="I36" s="6" t="s">
        <v>81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5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33</v>
      </c>
      <c r="AF36" s="7">
        <v>1200</v>
      </c>
      <c r="AG36" s="7">
        <v>2100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63</v>
      </c>
      <c r="AS36" s="7">
        <v>6300</v>
      </c>
      <c r="AT36" s="6">
        <v>0</v>
      </c>
      <c r="AU36" s="9">
        <v>9600</v>
      </c>
      <c r="AV36" s="13">
        <f t="shared" si="0"/>
        <v>9600</v>
      </c>
      <c r="AW36" s="14">
        <f t="shared" si="1"/>
        <v>6720</v>
      </c>
    </row>
    <row r="37" spans="1:49" x14ac:dyDescent="0.4">
      <c r="A37" s="1" t="s">
        <v>183</v>
      </c>
      <c r="B37" s="4" t="s">
        <v>117</v>
      </c>
      <c r="C37" s="4">
        <v>451972</v>
      </c>
      <c r="D37" s="5"/>
      <c r="E37" s="4" t="s">
        <v>28</v>
      </c>
      <c r="F37" s="4" t="s">
        <v>172</v>
      </c>
      <c r="G37" s="4" t="str">
        <f>VLOOKUP(F37,[1]Sheet1!$B$2:$C$1111,2,FALSE)</f>
        <v>에필로그</v>
      </c>
      <c r="H37" s="6" t="s">
        <v>8</v>
      </c>
      <c r="I37" s="6" t="s">
        <v>112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10</v>
      </c>
      <c r="AC37" s="7">
        <v>8600</v>
      </c>
      <c r="AD37" s="6">
        <v>400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9">
        <v>9000</v>
      </c>
      <c r="AV37" s="13">
        <f t="shared" si="0"/>
        <v>9000</v>
      </c>
      <c r="AW37" s="14">
        <f t="shared" si="1"/>
        <v>6300</v>
      </c>
    </row>
    <row r="38" spans="1:49" ht="19.2" x14ac:dyDescent="0.4">
      <c r="A38" s="1" t="s">
        <v>183</v>
      </c>
      <c r="B38" s="4" t="s">
        <v>139</v>
      </c>
      <c r="C38" s="4">
        <v>317429</v>
      </c>
      <c r="D38" s="5"/>
      <c r="E38" s="4" t="s">
        <v>28</v>
      </c>
      <c r="F38" s="4" t="s">
        <v>29</v>
      </c>
      <c r="G38" s="4" t="str">
        <f>VLOOKUP(F38,[1]Sheet1!$B$2:$C$1111,2,FALSE)</f>
        <v>더컴퍼니</v>
      </c>
      <c r="H38" s="6" t="s">
        <v>9</v>
      </c>
      <c r="I38" s="6" t="s">
        <v>140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2</v>
      </c>
      <c r="AF38" s="7">
        <v>8800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9">
        <v>8800</v>
      </c>
      <c r="AV38" s="13">
        <f t="shared" si="0"/>
        <v>8800</v>
      </c>
      <c r="AW38" s="14">
        <f t="shared" si="1"/>
        <v>6160</v>
      </c>
    </row>
    <row r="39" spans="1:49" x14ac:dyDescent="0.4">
      <c r="A39" s="1" t="s">
        <v>183</v>
      </c>
      <c r="B39" s="4" t="s">
        <v>204</v>
      </c>
      <c r="C39" s="4">
        <v>365225</v>
      </c>
      <c r="D39" s="5"/>
      <c r="E39" s="4" t="s">
        <v>28</v>
      </c>
      <c r="F39" s="4" t="s">
        <v>34</v>
      </c>
      <c r="G39" s="4" t="str">
        <f>VLOOKUP(F39,[1]Sheet1!$B$2:$C$1111,2,FALSE)</f>
        <v>에필로그</v>
      </c>
      <c r="H39" s="6" t="s">
        <v>8</v>
      </c>
      <c r="I39" s="6" t="s">
        <v>205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9</v>
      </c>
      <c r="AC39" s="7">
        <v>8100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8100</v>
      </c>
      <c r="AV39" s="13">
        <f t="shared" si="0"/>
        <v>8100</v>
      </c>
      <c r="AW39" s="14">
        <f t="shared" si="1"/>
        <v>5670</v>
      </c>
    </row>
    <row r="40" spans="1:49" x14ac:dyDescent="0.4">
      <c r="A40" s="1" t="s">
        <v>183</v>
      </c>
      <c r="B40" s="4" t="s">
        <v>124</v>
      </c>
      <c r="C40" s="4">
        <v>408834</v>
      </c>
      <c r="D40" s="5"/>
      <c r="E40" s="4" t="s">
        <v>28</v>
      </c>
      <c r="F40" s="4" t="s">
        <v>34</v>
      </c>
      <c r="G40" s="4" t="str">
        <f>VLOOKUP(F40,[1]Sheet1!$B$2:$C$1111,2,FALSE)</f>
        <v>에필로그</v>
      </c>
      <c r="H40" s="6" t="s">
        <v>8</v>
      </c>
      <c r="I40" s="6" t="s">
        <v>125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9</v>
      </c>
      <c r="AC40" s="7">
        <v>7900</v>
      </c>
      <c r="AD40" s="6">
        <v>200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9">
        <v>8100</v>
      </c>
      <c r="AV40" s="13">
        <f t="shared" si="0"/>
        <v>8100</v>
      </c>
      <c r="AW40" s="14">
        <f t="shared" si="1"/>
        <v>5670</v>
      </c>
    </row>
    <row r="41" spans="1:49" x14ac:dyDescent="0.4">
      <c r="A41" s="1" t="s">
        <v>183</v>
      </c>
      <c r="B41" s="4" t="s">
        <v>96</v>
      </c>
      <c r="C41" s="4">
        <v>445598</v>
      </c>
      <c r="D41" s="5"/>
      <c r="E41" s="4" t="s">
        <v>28</v>
      </c>
      <c r="F41" s="4" t="s">
        <v>172</v>
      </c>
      <c r="G41" s="4" t="str">
        <f>VLOOKUP(F41,[1]Sheet1!$B$2:$C$1111,2,FALSE)</f>
        <v>에필로그</v>
      </c>
      <c r="H41" s="6" t="s">
        <v>8</v>
      </c>
      <c r="I41" s="6" t="s">
        <v>93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71</v>
      </c>
      <c r="AF41" s="7">
        <v>7100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1</v>
      </c>
      <c r="AS41" s="6">
        <v>100</v>
      </c>
      <c r="AT41" s="6">
        <v>0</v>
      </c>
      <c r="AU41" s="9">
        <v>7200</v>
      </c>
      <c r="AV41" s="13">
        <f t="shared" si="0"/>
        <v>7200</v>
      </c>
      <c r="AW41" s="14">
        <f t="shared" si="1"/>
        <v>5040</v>
      </c>
    </row>
    <row r="42" spans="1:49" ht="19.2" x14ac:dyDescent="0.4">
      <c r="A42" s="1" t="s">
        <v>183</v>
      </c>
      <c r="B42" s="4" t="s">
        <v>157</v>
      </c>
      <c r="C42" s="4">
        <v>442669</v>
      </c>
      <c r="D42" s="5"/>
      <c r="E42" s="4" t="s">
        <v>28</v>
      </c>
      <c r="F42" s="4" t="s">
        <v>83</v>
      </c>
      <c r="G42" s="4" t="str">
        <f>VLOOKUP(F42,[1]Sheet1!$B$2:$C$1111,2,FALSE)</f>
        <v>더컴퍼니</v>
      </c>
      <c r="H42" s="6" t="s">
        <v>54</v>
      </c>
      <c r="I42" s="6" t="s">
        <v>158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2</v>
      </c>
      <c r="AF42" s="7">
        <v>7000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7000</v>
      </c>
      <c r="AV42" s="13">
        <f t="shared" si="0"/>
        <v>7000</v>
      </c>
      <c r="AW42" s="14">
        <f t="shared" si="1"/>
        <v>4900</v>
      </c>
    </row>
    <row r="43" spans="1:49" ht="19.2" x14ac:dyDescent="0.4">
      <c r="A43" s="1" t="s">
        <v>183</v>
      </c>
      <c r="B43" s="4" t="s">
        <v>206</v>
      </c>
      <c r="C43" s="4">
        <v>423996</v>
      </c>
      <c r="D43" s="5"/>
      <c r="E43" s="4" t="s">
        <v>28</v>
      </c>
      <c r="F43" s="4" t="s">
        <v>64</v>
      </c>
      <c r="G43" s="4" t="str">
        <f>VLOOKUP(F43,[1]Sheet1!$B$2:$C$1111,2,FALSE)</f>
        <v>더컴퍼니</v>
      </c>
      <c r="H43" s="6" t="s">
        <v>54</v>
      </c>
      <c r="I43" s="6" t="s">
        <v>207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2</v>
      </c>
      <c r="AS43" s="7">
        <v>6800</v>
      </c>
      <c r="AT43" s="6">
        <v>0</v>
      </c>
      <c r="AU43" s="9">
        <v>6800</v>
      </c>
      <c r="AV43" s="13">
        <f t="shared" si="0"/>
        <v>6800</v>
      </c>
      <c r="AW43" s="14">
        <f t="shared" si="1"/>
        <v>4760</v>
      </c>
    </row>
    <row r="44" spans="1:49" ht="19.2" x14ac:dyDescent="0.4">
      <c r="A44" s="1" t="s">
        <v>183</v>
      </c>
      <c r="B44" s="4" t="s">
        <v>208</v>
      </c>
      <c r="C44" s="4">
        <v>461348</v>
      </c>
      <c r="D44" s="5"/>
      <c r="E44" s="4" t="s">
        <v>28</v>
      </c>
      <c r="F44" s="4" t="s">
        <v>209</v>
      </c>
      <c r="G44" s="4" t="str">
        <f>VLOOKUP(F44,[1]Sheet1!$B$2:$C$1111,2,FALSE)</f>
        <v>밀리의 서재</v>
      </c>
      <c r="H44" s="6" t="s">
        <v>135</v>
      </c>
      <c r="I44" s="6" t="s">
        <v>210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3</v>
      </c>
      <c r="AF44" s="7">
        <v>4000</v>
      </c>
      <c r="AG44" s="7">
        <v>1000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1</v>
      </c>
      <c r="AS44" s="7">
        <v>1000</v>
      </c>
      <c r="AT44" s="6">
        <v>0</v>
      </c>
      <c r="AU44" s="9">
        <v>6000</v>
      </c>
      <c r="AV44" s="13">
        <f t="shared" si="0"/>
        <v>6000</v>
      </c>
      <c r="AW44" s="14">
        <f t="shared" si="1"/>
        <v>4200</v>
      </c>
    </row>
    <row r="45" spans="1:49" ht="19.2" x14ac:dyDescent="0.4">
      <c r="A45" s="1" t="s">
        <v>183</v>
      </c>
      <c r="B45" s="4" t="s">
        <v>184</v>
      </c>
      <c r="C45" s="4">
        <v>459229</v>
      </c>
      <c r="D45" s="5"/>
      <c r="E45" s="4" t="s">
        <v>28</v>
      </c>
      <c r="F45" s="4" t="s">
        <v>185</v>
      </c>
      <c r="G45" s="4" t="str">
        <f>VLOOKUP(F45,[1]Sheet1!$B$2:$C$1111,2,FALSE)</f>
        <v>밀리의 서재</v>
      </c>
      <c r="H45" s="6" t="s">
        <v>54</v>
      </c>
      <c r="I45" s="6" t="s">
        <v>186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2</v>
      </c>
      <c r="AF45" s="7">
        <v>1000</v>
      </c>
      <c r="AG45" s="7">
        <v>5000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6000</v>
      </c>
      <c r="AV45" s="13">
        <f t="shared" si="0"/>
        <v>6000</v>
      </c>
      <c r="AW45" s="14">
        <f t="shared" si="1"/>
        <v>4200</v>
      </c>
    </row>
    <row r="46" spans="1:49" ht="19.2" x14ac:dyDescent="0.4">
      <c r="A46" s="1" t="s">
        <v>183</v>
      </c>
      <c r="B46" s="4" t="s">
        <v>211</v>
      </c>
      <c r="C46" s="4">
        <v>366373</v>
      </c>
      <c r="D46" s="5"/>
      <c r="E46" s="4" t="s">
        <v>28</v>
      </c>
      <c r="F46" s="4" t="s">
        <v>212</v>
      </c>
      <c r="G46" s="4" t="str">
        <f>VLOOKUP(F46,[1]Sheet1!$B$2:$C$1111,2,FALSE)</f>
        <v>더컴퍼니</v>
      </c>
      <c r="H46" s="6" t="s">
        <v>9</v>
      </c>
      <c r="I46" s="6" t="s">
        <v>213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58</v>
      </c>
      <c r="AF46" s="7">
        <v>5000</v>
      </c>
      <c r="AG46" s="6">
        <v>800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9">
        <v>5800</v>
      </c>
      <c r="AV46" s="13">
        <f t="shared" si="0"/>
        <v>5800</v>
      </c>
      <c r="AW46" s="14">
        <f t="shared" si="1"/>
        <v>4059.9999999999995</v>
      </c>
    </row>
    <row r="47" spans="1:49" ht="19.2" x14ac:dyDescent="0.4">
      <c r="A47" s="1" t="s">
        <v>183</v>
      </c>
      <c r="B47" s="4" t="s">
        <v>134</v>
      </c>
      <c r="C47" s="4">
        <v>312154</v>
      </c>
      <c r="D47" s="5"/>
      <c r="E47" s="4" t="s">
        <v>28</v>
      </c>
      <c r="F47" s="4" t="s">
        <v>46</v>
      </c>
      <c r="G47" s="4" t="str">
        <f>VLOOKUP(F47,[1]Sheet1!$B$2:$C$1111,2,FALSE)</f>
        <v>더컴퍼니</v>
      </c>
      <c r="H47" s="6" t="s">
        <v>135</v>
      </c>
      <c r="I47" s="6" t="s">
        <v>136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2</v>
      </c>
      <c r="AF47" s="7">
        <v>5600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9">
        <v>5600</v>
      </c>
      <c r="AV47" s="13">
        <f t="shared" si="0"/>
        <v>5600</v>
      </c>
      <c r="AW47" s="14">
        <f t="shared" si="1"/>
        <v>3919.9999999999995</v>
      </c>
    </row>
    <row r="48" spans="1:49" x14ac:dyDescent="0.4">
      <c r="A48" s="1" t="s">
        <v>183</v>
      </c>
      <c r="B48" s="4" t="s">
        <v>33</v>
      </c>
      <c r="C48" s="4">
        <v>397687</v>
      </c>
      <c r="D48" s="5"/>
      <c r="E48" s="4" t="s">
        <v>28</v>
      </c>
      <c r="F48" s="4" t="s">
        <v>34</v>
      </c>
      <c r="G48" s="4" t="str">
        <f>VLOOKUP(F48,[1]Sheet1!$B$2:$C$1111,2,FALSE)</f>
        <v>에필로그</v>
      </c>
      <c r="H48" s="6" t="s">
        <v>8</v>
      </c>
      <c r="I48" s="6" t="s">
        <v>35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54</v>
      </c>
      <c r="AF48" s="7">
        <v>4900</v>
      </c>
      <c r="AG48" s="6">
        <v>500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1</v>
      </c>
      <c r="AS48" s="6">
        <v>100</v>
      </c>
      <c r="AT48" s="6">
        <v>0</v>
      </c>
      <c r="AU48" s="9">
        <v>5500</v>
      </c>
      <c r="AV48" s="13">
        <f t="shared" si="0"/>
        <v>5500</v>
      </c>
      <c r="AW48" s="14">
        <f t="shared" si="1"/>
        <v>3849.9999999999995</v>
      </c>
    </row>
    <row r="49" spans="1:49" x14ac:dyDescent="0.4">
      <c r="A49" s="1" t="s">
        <v>183</v>
      </c>
      <c r="B49" s="4" t="s">
        <v>118</v>
      </c>
      <c r="C49" s="4">
        <v>454224</v>
      </c>
      <c r="D49" s="5"/>
      <c r="E49" s="4" t="s">
        <v>28</v>
      </c>
      <c r="F49" s="4" t="s">
        <v>172</v>
      </c>
      <c r="G49" s="4" t="str">
        <f>VLOOKUP(F49,[1]Sheet1!$B$2:$C$1111,2,FALSE)</f>
        <v>에필로그</v>
      </c>
      <c r="H49" s="6" t="s">
        <v>8</v>
      </c>
      <c r="I49" s="6" t="s">
        <v>116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30</v>
      </c>
      <c r="AF49" s="7">
        <v>3000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16</v>
      </c>
      <c r="AS49" s="7">
        <v>1600</v>
      </c>
      <c r="AT49" s="6">
        <v>0</v>
      </c>
      <c r="AU49" s="9">
        <v>4600</v>
      </c>
      <c r="AV49" s="13">
        <f t="shared" si="0"/>
        <v>4600</v>
      </c>
      <c r="AW49" s="14">
        <f t="shared" si="1"/>
        <v>3220</v>
      </c>
    </row>
    <row r="50" spans="1:49" x14ac:dyDescent="0.4">
      <c r="A50" s="1" t="s">
        <v>183</v>
      </c>
      <c r="B50" s="4" t="s">
        <v>214</v>
      </c>
      <c r="C50" s="4">
        <v>461355</v>
      </c>
      <c r="D50" s="5"/>
      <c r="E50" s="4" t="s">
        <v>28</v>
      </c>
      <c r="F50" s="4" t="s">
        <v>215</v>
      </c>
      <c r="G50" s="4" t="str">
        <f>VLOOKUP(F50,[1]Sheet1!$B$2:$C$1111,2,FALSE)</f>
        <v>밀리의 서재</v>
      </c>
      <c r="H50" s="6" t="s">
        <v>8</v>
      </c>
      <c r="I50" s="6" t="s">
        <v>216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2</v>
      </c>
      <c r="AF50" s="7">
        <v>4000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9">
        <v>4000</v>
      </c>
      <c r="AV50" s="13">
        <f t="shared" si="0"/>
        <v>4000</v>
      </c>
      <c r="AW50" s="14">
        <f t="shared" si="1"/>
        <v>2800</v>
      </c>
    </row>
    <row r="51" spans="1:49" ht="19.2" x14ac:dyDescent="0.4">
      <c r="A51" s="1" t="s">
        <v>183</v>
      </c>
      <c r="B51" s="4" t="s">
        <v>141</v>
      </c>
      <c r="C51" s="4">
        <v>359498</v>
      </c>
      <c r="D51" s="5"/>
      <c r="E51" s="4" t="s">
        <v>28</v>
      </c>
      <c r="F51" s="4" t="s">
        <v>142</v>
      </c>
      <c r="G51" s="4" t="str">
        <f>VLOOKUP(F51,[1]Sheet1!$B$2:$C$1111,2,FALSE)</f>
        <v>더컴퍼니</v>
      </c>
      <c r="H51" s="6" t="s">
        <v>9</v>
      </c>
      <c r="I51" s="6" t="s">
        <v>143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38</v>
      </c>
      <c r="AF51" s="7">
        <v>3800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9">
        <v>3800</v>
      </c>
      <c r="AV51" s="13">
        <f t="shared" si="0"/>
        <v>3800</v>
      </c>
      <c r="AW51" s="14">
        <f t="shared" si="1"/>
        <v>2660</v>
      </c>
    </row>
    <row r="52" spans="1:49" ht="19.2" x14ac:dyDescent="0.4">
      <c r="A52" s="1" t="s">
        <v>183</v>
      </c>
      <c r="B52" s="4" t="s">
        <v>44</v>
      </c>
      <c r="C52" s="4">
        <v>418030</v>
      </c>
      <c r="D52" s="5"/>
      <c r="E52" s="4" t="s">
        <v>28</v>
      </c>
      <c r="F52" s="4" t="s">
        <v>37</v>
      </c>
      <c r="G52" s="4" t="str">
        <f>VLOOKUP(F52,[1]Sheet1!$B$2:$C$1111,2,FALSE)</f>
        <v>더컴퍼니</v>
      </c>
      <c r="H52" s="6" t="s">
        <v>9</v>
      </c>
      <c r="I52" s="6" t="s">
        <v>45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</v>
      </c>
      <c r="AF52" s="6">
        <v>100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36</v>
      </c>
      <c r="AS52" s="7">
        <v>3600</v>
      </c>
      <c r="AT52" s="6">
        <v>0</v>
      </c>
      <c r="AU52" s="9">
        <v>3700</v>
      </c>
      <c r="AV52" s="13">
        <f t="shared" si="0"/>
        <v>3700</v>
      </c>
      <c r="AW52" s="14">
        <f t="shared" si="1"/>
        <v>2590</v>
      </c>
    </row>
    <row r="53" spans="1:49" ht="19.2" x14ac:dyDescent="0.4">
      <c r="A53" s="1" t="s">
        <v>183</v>
      </c>
      <c r="B53" s="4" t="s">
        <v>169</v>
      </c>
      <c r="C53" s="4">
        <v>355068</v>
      </c>
      <c r="D53" s="5"/>
      <c r="E53" s="4" t="s">
        <v>28</v>
      </c>
      <c r="F53" s="4" t="s">
        <v>170</v>
      </c>
      <c r="G53" s="4" t="str">
        <f>VLOOKUP(F53,[1]Sheet1!$B$2:$C$1111,2,FALSE)</f>
        <v>더컴퍼니</v>
      </c>
      <c r="H53" s="6" t="s">
        <v>54</v>
      </c>
      <c r="I53" s="6" t="s">
        <v>171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1</v>
      </c>
      <c r="AF53" s="7">
        <v>3600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9">
        <v>3600</v>
      </c>
      <c r="AV53" s="13">
        <f t="shared" si="0"/>
        <v>3600</v>
      </c>
      <c r="AW53" s="14">
        <f t="shared" si="1"/>
        <v>2520</v>
      </c>
    </row>
    <row r="54" spans="1:49" ht="19.2" x14ac:dyDescent="0.4">
      <c r="A54" s="1" t="s">
        <v>183</v>
      </c>
      <c r="B54" s="4" t="s">
        <v>217</v>
      </c>
      <c r="C54" s="4">
        <v>355226</v>
      </c>
      <c r="D54" s="5"/>
      <c r="E54" s="4" t="s">
        <v>28</v>
      </c>
      <c r="F54" s="4" t="s">
        <v>218</v>
      </c>
      <c r="G54" s="4" t="str">
        <f>VLOOKUP(F54,[1]Sheet1!$B$2:$C$1111,2,FALSE)</f>
        <v>더컴퍼니</v>
      </c>
      <c r="H54" s="6" t="s">
        <v>54</v>
      </c>
      <c r="I54" s="6" t="s">
        <v>219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7">
        <v>3400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9">
        <v>3400</v>
      </c>
      <c r="AV54" s="13">
        <f t="shared" si="0"/>
        <v>3400</v>
      </c>
      <c r="AW54" s="14">
        <f t="shared" si="1"/>
        <v>2380</v>
      </c>
    </row>
    <row r="55" spans="1:49" ht="19.2" x14ac:dyDescent="0.4">
      <c r="A55" s="1" t="s">
        <v>183</v>
      </c>
      <c r="B55" s="4" t="s">
        <v>180</v>
      </c>
      <c r="C55" s="4">
        <v>460821</v>
      </c>
      <c r="D55" s="5"/>
      <c r="E55" s="4" t="s">
        <v>28</v>
      </c>
      <c r="F55" s="4" t="s">
        <v>175</v>
      </c>
      <c r="G55" s="4" t="str">
        <f>VLOOKUP(F55,[1]Sheet1!$B$2:$C$1111,2,FALSE)</f>
        <v>더컴퍼니</v>
      </c>
      <c r="H55" s="6" t="s">
        <v>9</v>
      </c>
      <c r="I55" s="6" t="s">
        <v>176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1</v>
      </c>
      <c r="AF55" s="7">
        <v>3400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9">
        <v>3400</v>
      </c>
      <c r="AV55" s="13">
        <f t="shared" si="0"/>
        <v>3400</v>
      </c>
      <c r="AW55" s="14">
        <f t="shared" si="1"/>
        <v>2380</v>
      </c>
    </row>
    <row r="56" spans="1:49" ht="19.2" x14ac:dyDescent="0.4">
      <c r="A56" s="1" t="s">
        <v>183</v>
      </c>
      <c r="B56" s="4" t="s">
        <v>220</v>
      </c>
      <c r="C56" s="4">
        <v>389249</v>
      </c>
      <c r="D56" s="5"/>
      <c r="E56" s="4" t="s">
        <v>28</v>
      </c>
      <c r="F56" s="4" t="s">
        <v>43</v>
      </c>
      <c r="G56" s="4" t="str">
        <f>VLOOKUP(F56,[1]Sheet1!$B$2:$C$1111,2,FALSE)</f>
        <v>더컴퍼니</v>
      </c>
      <c r="H56" s="6" t="s">
        <v>9</v>
      </c>
      <c r="I56" s="6" t="s">
        <v>221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30</v>
      </c>
      <c r="AF56" s="7">
        <v>3000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9">
        <v>3000</v>
      </c>
      <c r="AV56" s="13">
        <f t="shared" si="0"/>
        <v>3000</v>
      </c>
      <c r="AW56" s="14">
        <f t="shared" si="1"/>
        <v>2100</v>
      </c>
    </row>
    <row r="57" spans="1:49" ht="19.2" x14ac:dyDescent="0.4">
      <c r="A57" s="1" t="s">
        <v>183</v>
      </c>
      <c r="B57" s="4" t="s">
        <v>101</v>
      </c>
      <c r="C57" s="4">
        <v>443978</v>
      </c>
      <c r="D57" s="5"/>
      <c r="E57" s="4" t="s">
        <v>28</v>
      </c>
      <c r="F57" s="4" t="s">
        <v>85</v>
      </c>
      <c r="G57" s="4" t="str">
        <f>VLOOKUP(F57,[1]Sheet1!$B$2:$C$1111,2,FALSE)</f>
        <v>더컴퍼니</v>
      </c>
      <c r="H57" s="6" t="s">
        <v>9</v>
      </c>
      <c r="I57" s="6" t="s">
        <v>102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28</v>
      </c>
      <c r="AF57" s="6">
        <v>400</v>
      </c>
      <c r="AG57" s="7">
        <v>2400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9">
        <v>2800</v>
      </c>
      <c r="AV57" s="13">
        <f t="shared" si="0"/>
        <v>2800</v>
      </c>
      <c r="AW57" s="14">
        <f t="shared" si="1"/>
        <v>1959.9999999999998</v>
      </c>
    </row>
    <row r="58" spans="1:49" ht="19.2" x14ac:dyDescent="0.4">
      <c r="A58" s="1" t="s">
        <v>183</v>
      </c>
      <c r="B58" s="4" t="s">
        <v>110</v>
      </c>
      <c r="C58" s="4">
        <v>430442</v>
      </c>
      <c r="D58" s="5"/>
      <c r="E58" s="4" t="s">
        <v>28</v>
      </c>
      <c r="F58" s="4" t="s">
        <v>67</v>
      </c>
      <c r="G58" s="4" t="str">
        <f>VLOOKUP(F58,[1]Sheet1!$B$2:$C$1111,2,FALSE)</f>
        <v>더컴퍼니</v>
      </c>
      <c r="H58" s="6" t="s">
        <v>54</v>
      </c>
      <c r="I58" s="6" t="s">
        <v>72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7">
        <v>1800</v>
      </c>
      <c r="AG58" s="7">
        <v>1000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9">
        <v>2800</v>
      </c>
      <c r="AV58" s="13">
        <f t="shared" si="0"/>
        <v>2800</v>
      </c>
      <c r="AW58" s="14">
        <f t="shared" si="1"/>
        <v>1959.9999999999998</v>
      </c>
    </row>
    <row r="59" spans="1:49" x14ac:dyDescent="0.4">
      <c r="A59" s="1" t="s">
        <v>183</v>
      </c>
      <c r="B59" s="4" t="s">
        <v>166</v>
      </c>
      <c r="C59" s="4">
        <v>457676</v>
      </c>
      <c r="D59" s="5"/>
      <c r="E59" s="4" t="s">
        <v>28</v>
      </c>
      <c r="F59" s="4" t="s">
        <v>167</v>
      </c>
      <c r="G59" s="4" t="str">
        <f>VLOOKUP(F59,[1]Sheet1!$B$2:$C$1111,2,FALSE)</f>
        <v>밀리의 서재</v>
      </c>
      <c r="H59" s="6" t="s">
        <v>8</v>
      </c>
      <c r="I59" s="6" t="s">
        <v>168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1</v>
      </c>
      <c r="AF59" s="6">
        <v>0</v>
      </c>
      <c r="AG59" s="7">
        <v>2500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2500</v>
      </c>
      <c r="AV59" s="13">
        <f t="shared" si="0"/>
        <v>2500</v>
      </c>
      <c r="AW59" s="14">
        <f t="shared" si="1"/>
        <v>1750</v>
      </c>
    </row>
    <row r="60" spans="1:49" x14ac:dyDescent="0.4">
      <c r="A60" s="1" t="s">
        <v>183</v>
      </c>
      <c r="B60" s="4" t="s">
        <v>222</v>
      </c>
      <c r="C60" s="4">
        <v>461357</v>
      </c>
      <c r="D60" s="5"/>
      <c r="E60" s="4" t="s">
        <v>28</v>
      </c>
      <c r="F60" s="4" t="s">
        <v>223</v>
      </c>
      <c r="G60" s="4" t="str">
        <f>VLOOKUP(F60,[1]Sheet1!$B$2:$C$1111,2,FALSE)</f>
        <v>밀리의 서재</v>
      </c>
      <c r="H60" s="6" t="s">
        <v>8</v>
      </c>
      <c r="I60" s="6" t="s">
        <v>224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1</v>
      </c>
      <c r="AF60" s="7">
        <v>2500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9">
        <v>2500</v>
      </c>
      <c r="AV60" s="13">
        <f t="shared" si="0"/>
        <v>2500</v>
      </c>
      <c r="AW60" s="14">
        <f t="shared" si="1"/>
        <v>1750</v>
      </c>
    </row>
    <row r="61" spans="1:49" ht="19.2" x14ac:dyDescent="0.4">
      <c r="A61" s="1" t="s">
        <v>183</v>
      </c>
      <c r="B61" s="4" t="s">
        <v>225</v>
      </c>
      <c r="C61" s="4">
        <v>405099</v>
      </c>
      <c r="D61" s="5"/>
      <c r="E61" s="4" t="s">
        <v>28</v>
      </c>
      <c r="F61" s="4" t="s">
        <v>226</v>
      </c>
      <c r="G61" s="4" t="str">
        <f>VLOOKUP(F61,[1]Sheet1!$B$2:$C$1111,2,FALSE)</f>
        <v>더컴퍼니</v>
      </c>
      <c r="H61" s="6" t="s">
        <v>9</v>
      </c>
      <c r="I61" s="6" t="s">
        <v>227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24</v>
      </c>
      <c r="AF61" s="7">
        <v>2400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9">
        <v>2400</v>
      </c>
      <c r="AV61" s="13">
        <f t="shared" si="0"/>
        <v>2400</v>
      </c>
      <c r="AW61" s="14">
        <f t="shared" si="1"/>
        <v>1680</v>
      </c>
    </row>
    <row r="62" spans="1:49" ht="19.2" x14ac:dyDescent="0.4">
      <c r="A62" s="1" t="s">
        <v>183</v>
      </c>
      <c r="B62" s="4" t="s">
        <v>97</v>
      </c>
      <c r="C62" s="4">
        <v>445220</v>
      </c>
      <c r="D62" s="5"/>
      <c r="E62" s="4" t="s">
        <v>28</v>
      </c>
      <c r="F62" s="4" t="s">
        <v>83</v>
      </c>
      <c r="G62" s="4" t="str">
        <f>VLOOKUP(F62,[1]Sheet1!$B$2:$C$1111,2,FALSE)</f>
        <v>더컴퍼니</v>
      </c>
      <c r="H62" s="6" t="s">
        <v>9</v>
      </c>
      <c r="I62" s="6" t="s">
        <v>98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21</v>
      </c>
      <c r="AF62" s="7">
        <v>1000</v>
      </c>
      <c r="AG62" s="7">
        <v>1100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9">
        <v>2100</v>
      </c>
      <c r="AV62" s="13">
        <f t="shared" si="0"/>
        <v>2100</v>
      </c>
      <c r="AW62" s="14">
        <f t="shared" si="1"/>
        <v>1470</v>
      </c>
    </row>
    <row r="63" spans="1:49" x14ac:dyDescent="0.4">
      <c r="A63" s="1" t="s">
        <v>183</v>
      </c>
      <c r="B63" s="4" t="s">
        <v>150</v>
      </c>
      <c r="C63" s="4">
        <v>408838</v>
      </c>
      <c r="D63" s="5"/>
      <c r="E63" s="4" t="s">
        <v>28</v>
      </c>
      <c r="F63" s="4" t="s">
        <v>34</v>
      </c>
      <c r="G63" s="4" t="str">
        <f>VLOOKUP(F63,[1]Sheet1!$B$2:$C$1111,2,FALSE)</f>
        <v>에필로그</v>
      </c>
      <c r="H63" s="6" t="s">
        <v>8</v>
      </c>
      <c r="I63" s="6" t="s">
        <v>125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17</v>
      </c>
      <c r="AF63" s="7">
        <v>1500</v>
      </c>
      <c r="AG63" s="6">
        <v>200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9">
        <v>1700</v>
      </c>
      <c r="AV63" s="13">
        <f t="shared" si="0"/>
        <v>1700</v>
      </c>
      <c r="AW63" s="14">
        <f t="shared" si="1"/>
        <v>1190</v>
      </c>
    </row>
    <row r="64" spans="1:49" ht="19.2" x14ac:dyDescent="0.4">
      <c r="A64" s="1" t="s">
        <v>183</v>
      </c>
      <c r="B64" s="4" t="s">
        <v>228</v>
      </c>
      <c r="C64" s="4">
        <v>443839</v>
      </c>
      <c r="D64" s="5"/>
      <c r="E64" s="4" t="s">
        <v>28</v>
      </c>
      <c r="F64" s="4" t="s">
        <v>65</v>
      </c>
      <c r="G64" s="4" t="str">
        <f>VLOOKUP(F64,[1]Sheet1!$B$2:$C$1111,2,FALSE)</f>
        <v>더컴퍼니</v>
      </c>
      <c r="H64" s="6" t="s">
        <v>9</v>
      </c>
      <c r="I64" s="6" t="s">
        <v>88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13</v>
      </c>
      <c r="AF64" s="6">
        <v>200</v>
      </c>
      <c r="AG64" s="7">
        <v>1100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9">
        <v>1300</v>
      </c>
      <c r="AV64" s="13">
        <f t="shared" si="0"/>
        <v>1300</v>
      </c>
      <c r="AW64" s="14">
        <f t="shared" si="1"/>
        <v>909.99999999999989</v>
      </c>
    </row>
    <row r="65" spans="1:49" ht="19.2" x14ac:dyDescent="0.4">
      <c r="A65" s="1" t="s">
        <v>183</v>
      </c>
      <c r="B65" s="4" t="s">
        <v>92</v>
      </c>
      <c r="C65" s="4">
        <v>445576</v>
      </c>
      <c r="D65" s="5"/>
      <c r="E65" s="4" t="s">
        <v>28</v>
      </c>
      <c r="F65" s="4" t="s">
        <v>172</v>
      </c>
      <c r="G65" s="4" t="str">
        <f>VLOOKUP(F65,[1]Sheet1!$B$2:$C$1111,2,FALSE)</f>
        <v>에필로그</v>
      </c>
      <c r="H65" s="6" t="s">
        <v>8</v>
      </c>
      <c r="I65" s="6" t="s">
        <v>93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1</v>
      </c>
      <c r="AC65" s="6">
        <v>0</v>
      </c>
      <c r="AD65" s="6">
        <v>900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10">
        <v>900</v>
      </c>
      <c r="AV65" s="13">
        <f t="shared" si="0"/>
        <v>900</v>
      </c>
      <c r="AW65" s="14">
        <f t="shared" si="1"/>
        <v>630</v>
      </c>
    </row>
    <row r="66" spans="1:49" ht="19.2" x14ac:dyDescent="0.4">
      <c r="A66" s="1" t="s">
        <v>183</v>
      </c>
      <c r="B66" s="4" t="s">
        <v>66</v>
      </c>
      <c r="C66" s="4">
        <v>396049</v>
      </c>
      <c r="D66" s="5"/>
      <c r="E66" s="4" t="s">
        <v>28</v>
      </c>
      <c r="F66" s="4" t="s">
        <v>67</v>
      </c>
      <c r="G66" s="4" t="str">
        <f>VLOOKUP(F66,[1]Sheet1!$B$2:$C$1111,2,FALSE)</f>
        <v>더컴퍼니</v>
      </c>
      <c r="H66" s="6" t="s">
        <v>9</v>
      </c>
      <c r="I66" s="6" t="s">
        <v>68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9</v>
      </c>
      <c r="AF66" s="6">
        <v>700</v>
      </c>
      <c r="AG66" s="6">
        <v>200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10">
        <v>900</v>
      </c>
      <c r="AV66" s="13">
        <f t="shared" si="0"/>
        <v>900</v>
      </c>
      <c r="AW66" s="14">
        <f t="shared" si="1"/>
        <v>630</v>
      </c>
    </row>
    <row r="67" spans="1:49" x14ac:dyDescent="0.4">
      <c r="A67" s="1" t="s">
        <v>183</v>
      </c>
      <c r="B67" s="4" t="s">
        <v>229</v>
      </c>
      <c r="C67" s="4">
        <v>408846</v>
      </c>
      <c r="D67" s="5"/>
      <c r="E67" s="4" t="s">
        <v>28</v>
      </c>
      <c r="F67" s="4" t="s">
        <v>34</v>
      </c>
      <c r="G67" s="4" t="str">
        <f>VLOOKUP(F67,[1]Sheet1!$B$2:$C$1111,2,FALSE)</f>
        <v>에필로그</v>
      </c>
      <c r="H67" s="6" t="s">
        <v>8</v>
      </c>
      <c r="I67" s="6" t="s">
        <v>230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1</v>
      </c>
      <c r="AC67" s="6">
        <v>900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10">
        <v>900</v>
      </c>
      <c r="AV67" s="13">
        <f t="shared" ref="AV67:AV120" si="2">AU67-AN67</f>
        <v>900</v>
      </c>
      <c r="AW67" s="14">
        <f t="shared" ref="AW67:AW120" si="3">AV67*70%</f>
        <v>630</v>
      </c>
    </row>
    <row r="68" spans="1:49" x14ac:dyDescent="0.4">
      <c r="A68" s="1" t="s">
        <v>183</v>
      </c>
      <c r="B68" s="4" t="s">
        <v>108</v>
      </c>
      <c r="C68" s="4">
        <v>408833</v>
      </c>
      <c r="D68" s="5"/>
      <c r="E68" s="4" t="s">
        <v>28</v>
      </c>
      <c r="F68" s="4" t="s">
        <v>34</v>
      </c>
      <c r="G68" s="4" t="str">
        <f>VLOOKUP(F68,[1]Sheet1!$B$2:$C$1111,2,FALSE)</f>
        <v>에필로그</v>
      </c>
      <c r="H68" s="6" t="s">
        <v>8</v>
      </c>
      <c r="I68" s="6" t="s">
        <v>109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1</v>
      </c>
      <c r="AC68" s="6">
        <v>900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10">
        <v>900</v>
      </c>
      <c r="AV68" s="13">
        <f t="shared" si="2"/>
        <v>900</v>
      </c>
      <c r="AW68" s="14">
        <f t="shared" si="3"/>
        <v>630</v>
      </c>
    </row>
    <row r="69" spans="1:49" ht="19.2" x14ac:dyDescent="0.4">
      <c r="A69" s="1" t="s">
        <v>183</v>
      </c>
      <c r="B69" s="4" t="s">
        <v>231</v>
      </c>
      <c r="C69" s="4">
        <v>443989</v>
      </c>
      <c r="D69" s="5"/>
      <c r="E69" s="4" t="s">
        <v>28</v>
      </c>
      <c r="F69" s="4" t="s">
        <v>232</v>
      </c>
      <c r="G69" s="4" t="str">
        <f>VLOOKUP(F69,[1]Sheet1!$B$2:$C$1111,2,FALSE)</f>
        <v>더컴퍼니</v>
      </c>
      <c r="H69" s="6" t="s">
        <v>9</v>
      </c>
      <c r="I69" s="6" t="s">
        <v>102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5</v>
      </c>
      <c r="AF69" s="6">
        <v>500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10">
        <v>500</v>
      </c>
      <c r="AV69" s="13">
        <f t="shared" si="2"/>
        <v>500</v>
      </c>
      <c r="AW69" s="14">
        <f t="shared" si="3"/>
        <v>350</v>
      </c>
    </row>
    <row r="70" spans="1:49" ht="19.2" x14ac:dyDescent="0.4">
      <c r="A70" s="1" t="s">
        <v>183</v>
      </c>
      <c r="B70" s="4" t="s">
        <v>181</v>
      </c>
      <c r="C70" s="4">
        <v>443843</v>
      </c>
      <c r="D70" s="5"/>
      <c r="E70" s="4" t="s">
        <v>28</v>
      </c>
      <c r="F70" s="4" t="s">
        <v>65</v>
      </c>
      <c r="G70" s="4" t="str">
        <f>VLOOKUP(F70,[1]Sheet1!$B$2:$C$1111,2,FALSE)</f>
        <v>더컴퍼니</v>
      </c>
      <c r="H70" s="6" t="s">
        <v>9</v>
      </c>
      <c r="I70" s="6" t="s">
        <v>88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2</v>
      </c>
      <c r="AF70" s="6">
        <v>200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10">
        <v>200</v>
      </c>
      <c r="AV70" s="13">
        <f t="shared" si="2"/>
        <v>200</v>
      </c>
      <c r="AW70" s="14">
        <f t="shared" si="3"/>
        <v>140</v>
      </c>
    </row>
    <row r="71" spans="1:49" ht="19.2" x14ac:dyDescent="0.4">
      <c r="A71" s="1" t="s">
        <v>194</v>
      </c>
      <c r="B71" s="4" t="s">
        <v>184</v>
      </c>
      <c r="C71" s="4">
        <v>459229</v>
      </c>
      <c r="D71" s="5"/>
      <c r="E71" s="4" t="s">
        <v>28</v>
      </c>
      <c r="F71" s="4" t="s">
        <v>185</v>
      </c>
      <c r="G71" s="4" t="str">
        <f>VLOOKUP(F71,[1]Sheet1!$B$2:$C$1111,2,FALSE)</f>
        <v>밀리의 서재</v>
      </c>
      <c r="H71" s="6" t="s">
        <v>54</v>
      </c>
      <c r="I71" s="6" t="s">
        <v>186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31</v>
      </c>
      <c r="AF71" s="7">
        <v>68200</v>
      </c>
      <c r="AG71" s="7">
        <v>22700</v>
      </c>
      <c r="AH71" s="6">
        <v>0</v>
      </c>
      <c r="AI71" s="6">
        <v>0</v>
      </c>
      <c r="AJ71" s="6">
        <v>0</v>
      </c>
      <c r="AK71" s="6">
        <v>1</v>
      </c>
      <c r="AL71" s="6">
        <v>0</v>
      </c>
      <c r="AM71" s="7">
        <v>2100</v>
      </c>
      <c r="AN71" s="6">
        <v>0</v>
      </c>
      <c r="AO71" s="6">
        <v>0</v>
      </c>
      <c r="AP71" s="6">
        <v>0</v>
      </c>
      <c r="AQ71" s="6">
        <v>0</v>
      </c>
      <c r="AR71" s="6">
        <v>5</v>
      </c>
      <c r="AS71" s="7">
        <v>15000</v>
      </c>
      <c r="AT71" s="6">
        <v>0</v>
      </c>
      <c r="AU71" s="9">
        <v>108000</v>
      </c>
      <c r="AV71" s="13">
        <f t="shared" si="2"/>
        <v>108000</v>
      </c>
      <c r="AW71" s="14">
        <f t="shared" si="3"/>
        <v>75600</v>
      </c>
    </row>
    <row r="72" spans="1:49" ht="19.2" x14ac:dyDescent="0.4">
      <c r="A72" s="1" t="s">
        <v>194</v>
      </c>
      <c r="B72" s="4" t="s">
        <v>233</v>
      </c>
      <c r="C72" s="4">
        <v>461347</v>
      </c>
      <c r="D72" s="5"/>
      <c r="E72" s="4" t="s">
        <v>28</v>
      </c>
      <c r="F72" s="4" t="s">
        <v>234</v>
      </c>
      <c r="G72" s="4" t="s">
        <v>255</v>
      </c>
      <c r="H72" s="6" t="s">
        <v>54</v>
      </c>
      <c r="I72" s="6" t="s">
        <v>235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34</v>
      </c>
      <c r="AF72" s="7">
        <v>41600</v>
      </c>
      <c r="AG72" s="7">
        <v>26400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5</v>
      </c>
      <c r="AS72" s="7">
        <v>9800</v>
      </c>
      <c r="AT72" s="6">
        <v>200</v>
      </c>
      <c r="AU72" s="9">
        <v>78000</v>
      </c>
      <c r="AV72" s="13">
        <f t="shared" si="2"/>
        <v>78000</v>
      </c>
      <c r="AW72" s="14">
        <f t="shared" si="3"/>
        <v>54600</v>
      </c>
    </row>
    <row r="73" spans="1:49" ht="19.2" x14ac:dyDescent="0.4">
      <c r="A73" s="1" t="s">
        <v>194</v>
      </c>
      <c r="B73" s="4" t="s">
        <v>199</v>
      </c>
      <c r="C73" s="4">
        <v>461432</v>
      </c>
      <c r="D73" s="5"/>
      <c r="E73" s="4" t="s">
        <v>28</v>
      </c>
      <c r="F73" s="4" t="s">
        <v>172</v>
      </c>
      <c r="G73" s="4" t="str">
        <f>VLOOKUP(F73,[1]Sheet1!$B$2:$C$1111,2,FALSE)</f>
        <v>에필로그</v>
      </c>
      <c r="H73" s="6" t="s">
        <v>135</v>
      </c>
      <c r="I73" s="6" t="s">
        <v>200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300</v>
      </c>
      <c r="AF73" s="7">
        <v>29000</v>
      </c>
      <c r="AG73" s="7">
        <v>1000</v>
      </c>
      <c r="AH73" s="6">
        <v>0</v>
      </c>
      <c r="AI73" s="6">
        <v>0</v>
      </c>
      <c r="AJ73" s="6">
        <v>0</v>
      </c>
      <c r="AK73" s="6">
        <v>49</v>
      </c>
      <c r="AL73" s="7">
        <v>6321</v>
      </c>
      <c r="AM73" s="6">
        <v>0</v>
      </c>
      <c r="AN73" s="8">
        <v>1896.3</v>
      </c>
      <c r="AO73" s="6">
        <v>0</v>
      </c>
      <c r="AP73" s="6">
        <v>0</v>
      </c>
      <c r="AQ73" s="6">
        <v>0</v>
      </c>
      <c r="AR73" s="6">
        <v>374</v>
      </c>
      <c r="AS73" s="7">
        <v>33500</v>
      </c>
      <c r="AT73" s="7">
        <v>3900</v>
      </c>
      <c r="AU73" s="9">
        <v>73721</v>
      </c>
      <c r="AV73" s="13">
        <f t="shared" si="2"/>
        <v>71824.7</v>
      </c>
      <c r="AW73" s="14">
        <f t="shared" si="3"/>
        <v>50277.289999999994</v>
      </c>
    </row>
    <row r="74" spans="1:49" x14ac:dyDescent="0.4">
      <c r="A74" s="1" t="s">
        <v>194</v>
      </c>
      <c r="B74" s="4" t="s">
        <v>59</v>
      </c>
      <c r="C74" s="4">
        <v>354950</v>
      </c>
      <c r="D74" s="5" t="s">
        <v>60</v>
      </c>
      <c r="E74" s="4" t="s">
        <v>28</v>
      </c>
      <c r="F74" s="4" t="s">
        <v>172</v>
      </c>
      <c r="G74" s="4" t="str">
        <f>VLOOKUP(F74,[1]Sheet1!$B$2:$C$1111,2,FALSE)</f>
        <v>에필로그</v>
      </c>
      <c r="H74" s="6" t="s">
        <v>8</v>
      </c>
      <c r="I74" s="6" t="s">
        <v>61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28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477</v>
      </c>
      <c r="AF74" s="7">
        <v>47700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9">
        <v>47700</v>
      </c>
      <c r="AV74" s="13">
        <f t="shared" si="2"/>
        <v>47700</v>
      </c>
      <c r="AW74" s="14">
        <f t="shared" si="3"/>
        <v>33390</v>
      </c>
    </row>
    <row r="75" spans="1:49" ht="19.2" x14ac:dyDescent="0.4">
      <c r="A75" s="1" t="s">
        <v>194</v>
      </c>
      <c r="B75" s="4" t="s">
        <v>151</v>
      </c>
      <c r="C75" s="4">
        <v>457533</v>
      </c>
      <c r="D75" s="5"/>
      <c r="E75" s="4" t="s">
        <v>28</v>
      </c>
      <c r="F75" s="4" t="s">
        <v>152</v>
      </c>
      <c r="G75" s="4" t="str">
        <f>VLOOKUP(F75,[1]Sheet1!$B$2:$C$1111,2,FALSE)</f>
        <v>밀리의 서재</v>
      </c>
      <c r="H75" s="6" t="s">
        <v>54</v>
      </c>
      <c r="I75" s="6" t="s">
        <v>153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16</v>
      </c>
      <c r="AF75" s="7">
        <v>30200</v>
      </c>
      <c r="AG75" s="7">
        <v>7500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2</v>
      </c>
      <c r="AS75" s="7">
        <v>2500</v>
      </c>
      <c r="AT75" s="7">
        <v>2300</v>
      </c>
      <c r="AU75" s="9">
        <v>42500</v>
      </c>
      <c r="AV75" s="13">
        <f t="shared" si="2"/>
        <v>42500</v>
      </c>
      <c r="AW75" s="14">
        <f t="shared" si="3"/>
        <v>29749.999999999996</v>
      </c>
    </row>
    <row r="76" spans="1:49" ht="19.2" x14ac:dyDescent="0.4">
      <c r="A76" s="1" t="s">
        <v>194</v>
      </c>
      <c r="B76" s="4" t="s">
        <v>62</v>
      </c>
      <c r="C76" s="4">
        <v>395231</v>
      </c>
      <c r="D76" s="5"/>
      <c r="E76" s="4" t="s">
        <v>28</v>
      </c>
      <c r="F76" s="4" t="s">
        <v>29</v>
      </c>
      <c r="G76" s="4" t="str">
        <f>VLOOKUP(F76,[1]Sheet1!$B$2:$C$1111,2,FALSE)</f>
        <v>더컴퍼니</v>
      </c>
      <c r="H76" s="6" t="s">
        <v>54</v>
      </c>
      <c r="I76" s="6" t="s">
        <v>63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11</v>
      </c>
      <c r="AF76" s="7">
        <v>36300</v>
      </c>
      <c r="AG76" s="7">
        <v>2200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9">
        <v>38500</v>
      </c>
      <c r="AV76" s="13">
        <f t="shared" si="2"/>
        <v>38500</v>
      </c>
      <c r="AW76" s="14">
        <f t="shared" si="3"/>
        <v>26950</v>
      </c>
    </row>
    <row r="77" spans="1:49" x14ac:dyDescent="0.4">
      <c r="A77" s="1" t="s">
        <v>194</v>
      </c>
      <c r="B77" s="4" t="s">
        <v>131</v>
      </c>
      <c r="C77" s="4">
        <v>455896</v>
      </c>
      <c r="D77" s="5"/>
      <c r="E77" s="4" t="s">
        <v>28</v>
      </c>
      <c r="F77" s="4" t="s">
        <v>172</v>
      </c>
      <c r="G77" s="4" t="str">
        <f>VLOOKUP(F77,[1]Sheet1!$B$2:$C$1111,2,FALSE)</f>
        <v>에필로그</v>
      </c>
      <c r="H77" s="6" t="s">
        <v>8</v>
      </c>
      <c r="I77" s="6" t="s">
        <v>130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341</v>
      </c>
      <c r="AF77" s="7">
        <v>34100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5</v>
      </c>
      <c r="AS77" s="6">
        <v>500</v>
      </c>
      <c r="AT77" s="6">
        <v>0</v>
      </c>
      <c r="AU77" s="9">
        <v>34600</v>
      </c>
      <c r="AV77" s="13">
        <f t="shared" si="2"/>
        <v>34600</v>
      </c>
      <c r="AW77" s="14">
        <f t="shared" si="3"/>
        <v>24220</v>
      </c>
    </row>
    <row r="78" spans="1:49" ht="19.2" x14ac:dyDescent="0.4">
      <c r="A78" s="1" t="s">
        <v>194</v>
      </c>
      <c r="B78" s="4" t="s">
        <v>69</v>
      </c>
      <c r="C78" s="4">
        <v>387161</v>
      </c>
      <c r="D78" s="5"/>
      <c r="E78" s="4" t="s">
        <v>28</v>
      </c>
      <c r="F78" s="4" t="s">
        <v>70</v>
      </c>
      <c r="G78" s="4" t="str">
        <f>VLOOKUP(F78,[1]Sheet1!$B$2:$C$1111,2,FALSE)</f>
        <v>더컴퍼니</v>
      </c>
      <c r="H78" s="6" t="s">
        <v>54</v>
      </c>
      <c r="I78" s="6" t="s">
        <v>71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8</v>
      </c>
      <c r="AF78" s="7">
        <v>19900</v>
      </c>
      <c r="AG78" s="7">
        <v>5700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9">
        <v>25600</v>
      </c>
      <c r="AV78" s="13">
        <f t="shared" si="2"/>
        <v>25600</v>
      </c>
      <c r="AW78" s="14">
        <f t="shared" si="3"/>
        <v>17920</v>
      </c>
    </row>
    <row r="79" spans="1:49" ht="19.2" x14ac:dyDescent="0.4">
      <c r="A79" s="1" t="s">
        <v>194</v>
      </c>
      <c r="B79" s="4" t="s">
        <v>126</v>
      </c>
      <c r="C79" s="4">
        <v>456187</v>
      </c>
      <c r="D79" s="5"/>
      <c r="E79" s="4" t="s">
        <v>28</v>
      </c>
      <c r="F79" s="4" t="s">
        <v>65</v>
      </c>
      <c r="G79" s="4" t="str">
        <f>VLOOKUP(F79,[1]Sheet1!$B$2:$C$1111,2,FALSE)</f>
        <v>더컴퍼니</v>
      </c>
      <c r="H79" s="6" t="s">
        <v>9</v>
      </c>
      <c r="I79" s="6" t="s">
        <v>127</v>
      </c>
      <c r="J79" s="6">
        <v>0</v>
      </c>
      <c r="K79" s="6">
        <v>101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198</v>
      </c>
      <c r="AF79" s="7">
        <v>19100</v>
      </c>
      <c r="AG79" s="6">
        <v>700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9">
        <v>19800</v>
      </c>
      <c r="AV79" s="13">
        <f t="shared" si="2"/>
        <v>19800</v>
      </c>
      <c r="AW79" s="14">
        <f t="shared" si="3"/>
        <v>13860</v>
      </c>
    </row>
    <row r="80" spans="1:49" ht="19.2" x14ac:dyDescent="0.4">
      <c r="A80" s="1" t="s">
        <v>194</v>
      </c>
      <c r="B80" s="4" t="s">
        <v>84</v>
      </c>
      <c r="C80" s="4">
        <v>442667</v>
      </c>
      <c r="D80" s="5"/>
      <c r="E80" s="4" t="s">
        <v>28</v>
      </c>
      <c r="F80" s="4" t="s">
        <v>85</v>
      </c>
      <c r="G80" s="4" t="str">
        <f>VLOOKUP(F80,[1]Sheet1!$B$2:$C$1111,2,FALSE)</f>
        <v>더컴퍼니</v>
      </c>
      <c r="H80" s="6" t="s">
        <v>54</v>
      </c>
      <c r="I80" s="6" t="s">
        <v>86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6</v>
      </c>
      <c r="AF80" s="6">
        <v>700</v>
      </c>
      <c r="AG80" s="7">
        <v>17300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9">
        <v>18000</v>
      </c>
      <c r="AV80" s="13">
        <f t="shared" si="2"/>
        <v>18000</v>
      </c>
      <c r="AW80" s="14">
        <f t="shared" si="3"/>
        <v>12600</v>
      </c>
    </row>
    <row r="81" spans="1:49" ht="19.2" x14ac:dyDescent="0.4">
      <c r="A81" s="1" t="s">
        <v>194</v>
      </c>
      <c r="B81" s="4" t="s">
        <v>236</v>
      </c>
      <c r="C81" s="4">
        <v>414543</v>
      </c>
      <c r="D81" s="5"/>
      <c r="E81" s="4" t="s">
        <v>28</v>
      </c>
      <c r="F81" s="4" t="s">
        <v>65</v>
      </c>
      <c r="G81" s="4" t="str">
        <f>VLOOKUP(F81,[1]Sheet1!$B$2:$C$1111,2,FALSE)</f>
        <v>더컴퍼니</v>
      </c>
      <c r="H81" s="6" t="s">
        <v>54</v>
      </c>
      <c r="I81" s="6" t="s">
        <v>237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5</v>
      </c>
      <c r="AF81" s="7">
        <v>11800</v>
      </c>
      <c r="AG81" s="7">
        <v>5200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9">
        <v>17000</v>
      </c>
      <c r="AV81" s="13">
        <f t="shared" si="2"/>
        <v>17000</v>
      </c>
      <c r="AW81" s="14">
        <f t="shared" si="3"/>
        <v>11900</v>
      </c>
    </row>
    <row r="82" spans="1:49" x14ac:dyDescent="0.4">
      <c r="A82" s="1" t="s">
        <v>194</v>
      </c>
      <c r="B82" s="4" t="s">
        <v>82</v>
      </c>
      <c r="C82" s="4">
        <v>380954</v>
      </c>
      <c r="D82" s="5"/>
      <c r="E82" s="4" t="s">
        <v>28</v>
      </c>
      <c r="F82" s="4" t="s">
        <v>31</v>
      </c>
      <c r="G82" s="4" t="str">
        <f>VLOOKUP(F82,[1]Sheet1!$B$2:$C$1111,2,FALSE)</f>
        <v>에필로그</v>
      </c>
      <c r="H82" s="6" t="s">
        <v>8</v>
      </c>
      <c r="I82" s="6" t="s">
        <v>32</v>
      </c>
      <c r="J82" s="6">
        <v>0</v>
      </c>
      <c r="K82" s="6">
        <v>1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11</v>
      </c>
      <c r="AC82" s="7">
        <v>6800</v>
      </c>
      <c r="AD82" s="7">
        <v>2700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7</v>
      </c>
      <c r="AP82" s="7">
        <v>5800</v>
      </c>
      <c r="AQ82" s="6">
        <v>0</v>
      </c>
      <c r="AR82" s="6">
        <v>0</v>
      </c>
      <c r="AS82" s="6">
        <v>0</v>
      </c>
      <c r="AT82" s="6">
        <v>0</v>
      </c>
      <c r="AU82" s="9">
        <v>15300</v>
      </c>
      <c r="AV82" s="13">
        <f t="shared" si="2"/>
        <v>15300</v>
      </c>
      <c r="AW82" s="14">
        <f t="shared" si="3"/>
        <v>10710</v>
      </c>
    </row>
    <row r="83" spans="1:49" ht="19.2" x14ac:dyDescent="0.4">
      <c r="A83" s="1" t="s">
        <v>194</v>
      </c>
      <c r="B83" s="4" t="s">
        <v>132</v>
      </c>
      <c r="C83" s="4">
        <v>372422</v>
      </c>
      <c r="D83" s="5"/>
      <c r="E83" s="4" t="s">
        <v>28</v>
      </c>
      <c r="F83" s="4" t="s">
        <v>46</v>
      </c>
      <c r="G83" s="4" t="str">
        <f>VLOOKUP(F83,[1]Sheet1!$B$2:$C$1111,2,FALSE)</f>
        <v>더컴퍼니</v>
      </c>
      <c r="H83" s="6" t="s">
        <v>9</v>
      </c>
      <c r="I83" s="6" t="s">
        <v>133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136</v>
      </c>
      <c r="AF83" s="7">
        <v>13600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2</v>
      </c>
      <c r="AS83" s="6">
        <v>200</v>
      </c>
      <c r="AT83" s="6">
        <v>0</v>
      </c>
      <c r="AU83" s="9">
        <v>13800</v>
      </c>
      <c r="AV83" s="13">
        <f t="shared" si="2"/>
        <v>13800</v>
      </c>
      <c r="AW83" s="14">
        <f t="shared" si="3"/>
        <v>9660</v>
      </c>
    </row>
    <row r="84" spans="1:49" ht="19.2" x14ac:dyDescent="0.4">
      <c r="A84" s="1" t="s">
        <v>194</v>
      </c>
      <c r="B84" s="4" t="s">
        <v>113</v>
      </c>
      <c r="C84" s="4">
        <v>453445</v>
      </c>
      <c r="D84" s="5"/>
      <c r="E84" s="4" t="s">
        <v>28</v>
      </c>
      <c r="F84" s="4" t="s">
        <v>172</v>
      </c>
      <c r="G84" s="4" t="str">
        <f>VLOOKUP(F84,[1]Sheet1!$B$2:$C$1111,2,FALSE)</f>
        <v>에필로그</v>
      </c>
      <c r="H84" s="6" t="s">
        <v>9</v>
      </c>
      <c r="I84" s="6" t="s">
        <v>112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15</v>
      </c>
      <c r="AC84" s="7">
        <v>13500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9">
        <v>13500</v>
      </c>
      <c r="AV84" s="13">
        <f t="shared" si="2"/>
        <v>13500</v>
      </c>
      <c r="AW84" s="14">
        <f t="shared" si="3"/>
        <v>9450</v>
      </c>
    </row>
    <row r="85" spans="1:49" ht="19.2" x14ac:dyDescent="0.4">
      <c r="A85" s="1" t="s">
        <v>194</v>
      </c>
      <c r="B85" s="4" t="s">
        <v>154</v>
      </c>
      <c r="C85" s="4">
        <v>457534</v>
      </c>
      <c r="D85" s="5"/>
      <c r="E85" s="4" t="s">
        <v>28</v>
      </c>
      <c r="F85" s="4" t="s">
        <v>155</v>
      </c>
      <c r="G85" s="4" t="str">
        <f>VLOOKUP(F85,[1]Sheet1!$B$2:$C$1111,2,FALSE)</f>
        <v>밀리의 서재</v>
      </c>
      <c r="H85" s="6" t="s">
        <v>54</v>
      </c>
      <c r="I85" s="6" t="s">
        <v>156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5</v>
      </c>
      <c r="AF85" s="7">
        <v>10000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1</v>
      </c>
      <c r="AS85" s="7">
        <v>2000</v>
      </c>
      <c r="AT85" s="6">
        <v>0</v>
      </c>
      <c r="AU85" s="9">
        <v>12000</v>
      </c>
      <c r="AV85" s="13">
        <f t="shared" si="2"/>
        <v>12000</v>
      </c>
      <c r="AW85" s="14">
        <f t="shared" si="3"/>
        <v>8400</v>
      </c>
    </row>
    <row r="86" spans="1:49" ht="19.2" x14ac:dyDescent="0.4">
      <c r="A86" s="1" t="s">
        <v>194</v>
      </c>
      <c r="B86" s="4" t="s">
        <v>111</v>
      </c>
      <c r="C86" s="4">
        <v>453397</v>
      </c>
      <c r="D86" s="5"/>
      <c r="E86" s="4" t="s">
        <v>28</v>
      </c>
      <c r="F86" s="4" t="s">
        <v>172</v>
      </c>
      <c r="G86" s="4" t="str">
        <f>VLOOKUP(F86,[1]Sheet1!$B$2:$C$1111,2,FALSE)</f>
        <v>에필로그</v>
      </c>
      <c r="H86" s="6" t="s">
        <v>9</v>
      </c>
      <c r="I86" s="6" t="s">
        <v>112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110</v>
      </c>
      <c r="AF86" s="7">
        <v>11000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9">
        <v>11000</v>
      </c>
      <c r="AV86" s="13">
        <f t="shared" si="2"/>
        <v>11000</v>
      </c>
      <c r="AW86" s="14">
        <f t="shared" si="3"/>
        <v>7699.9999999999991</v>
      </c>
    </row>
    <row r="87" spans="1:49" ht="19.2" x14ac:dyDescent="0.4">
      <c r="A87" s="1" t="s">
        <v>194</v>
      </c>
      <c r="B87" s="4" t="s">
        <v>157</v>
      </c>
      <c r="C87" s="4">
        <v>442669</v>
      </c>
      <c r="D87" s="5"/>
      <c r="E87" s="4" t="s">
        <v>28</v>
      </c>
      <c r="F87" s="4" t="s">
        <v>83</v>
      </c>
      <c r="G87" s="4" t="str">
        <f>VLOOKUP(F87,[1]Sheet1!$B$2:$C$1111,2,FALSE)</f>
        <v>더컴퍼니</v>
      </c>
      <c r="H87" s="6" t="s">
        <v>54</v>
      </c>
      <c r="I87" s="6" t="s">
        <v>158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3</v>
      </c>
      <c r="AF87" s="7">
        <v>10500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9">
        <v>10500</v>
      </c>
      <c r="AV87" s="13">
        <f t="shared" si="2"/>
        <v>10500</v>
      </c>
      <c r="AW87" s="14">
        <f t="shared" si="3"/>
        <v>7349.9999999999991</v>
      </c>
    </row>
    <row r="88" spans="1:49" x14ac:dyDescent="0.4">
      <c r="A88" s="1" t="s">
        <v>194</v>
      </c>
      <c r="B88" s="4" t="s">
        <v>177</v>
      </c>
      <c r="C88" s="4">
        <v>459224</v>
      </c>
      <c r="D88" s="5"/>
      <c r="E88" s="4" t="s">
        <v>28</v>
      </c>
      <c r="F88" s="4" t="s">
        <v>178</v>
      </c>
      <c r="G88" s="4" t="str">
        <f>VLOOKUP(F88,[1]Sheet1!$B$2:$C$1111,2,FALSE)</f>
        <v>밀리의 서재</v>
      </c>
      <c r="H88" s="6" t="s">
        <v>8</v>
      </c>
      <c r="I88" s="6" t="s">
        <v>179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5</v>
      </c>
      <c r="AF88" s="7">
        <v>6000</v>
      </c>
      <c r="AG88" s="7">
        <v>4000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9">
        <v>10000</v>
      </c>
      <c r="AV88" s="13">
        <f t="shared" si="2"/>
        <v>10000</v>
      </c>
      <c r="AW88" s="14">
        <f t="shared" si="3"/>
        <v>7000</v>
      </c>
    </row>
    <row r="89" spans="1:49" ht="19.2" x14ac:dyDescent="0.4">
      <c r="A89" s="1" t="s">
        <v>194</v>
      </c>
      <c r="B89" s="4" t="s">
        <v>27</v>
      </c>
      <c r="C89" s="4">
        <v>395341</v>
      </c>
      <c r="D89" s="5"/>
      <c r="E89" s="4" t="s">
        <v>28</v>
      </c>
      <c r="F89" s="4" t="s">
        <v>29</v>
      </c>
      <c r="G89" s="4" t="str">
        <f>VLOOKUP(F89,[1]Sheet1!$B$2:$C$1111,2,FALSE)</f>
        <v>더컴퍼니</v>
      </c>
      <c r="H89" s="6" t="s">
        <v>9</v>
      </c>
      <c r="I89" s="6" t="s">
        <v>30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86</v>
      </c>
      <c r="AF89" s="7">
        <v>3100</v>
      </c>
      <c r="AG89" s="7">
        <v>5500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9">
        <v>8600</v>
      </c>
      <c r="AV89" s="13">
        <f t="shared" si="2"/>
        <v>8600</v>
      </c>
      <c r="AW89" s="14">
        <f t="shared" si="3"/>
        <v>6020</v>
      </c>
    </row>
    <row r="90" spans="1:49" ht="19.2" x14ac:dyDescent="0.4">
      <c r="A90" s="1" t="s">
        <v>194</v>
      </c>
      <c r="B90" s="4" t="s">
        <v>57</v>
      </c>
      <c r="C90" s="4">
        <v>372841</v>
      </c>
      <c r="D90" s="5"/>
      <c r="E90" s="4" t="s">
        <v>28</v>
      </c>
      <c r="F90" s="4" t="s">
        <v>46</v>
      </c>
      <c r="G90" s="4" t="str">
        <f>VLOOKUP(F90,[1]Sheet1!$B$2:$C$1111,2,FALSE)</f>
        <v>더컴퍼니</v>
      </c>
      <c r="H90" s="6" t="s">
        <v>9</v>
      </c>
      <c r="I90" s="6" t="s">
        <v>58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86</v>
      </c>
      <c r="AF90" s="7">
        <v>8600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9">
        <v>8600</v>
      </c>
      <c r="AV90" s="13">
        <f t="shared" si="2"/>
        <v>8600</v>
      </c>
      <c r="AW90" s="14">
        <f t="shared" si="3"/>
        <v>6020</v>
      </c>
    </row>
    <row r="91" spans="1:49" ht="19.2" x14ac:dyDescent="0.4">
      <c r="A91" s="1" t="s">
        <v>194</v>
      </c>
      <c r="B91" s="4" t="s">
        <v>103</v>
      </c>
      <c r="C91" s="4">
        <v>443969</v>
      </c>
      <c r="D91" s="5"/>
      <c r="E91" s="4" t="s">
        <v>28</v>
      </c>
      <c r="F91" s="4" t="s">
        <v>65</v>
      </c>
      <c r="G91" s="4" t="str">
        <f>VLOOKUP(F91,[1]Sheet1!$B$2:$C$1111,2,FALSE)</f>
        <v>더컴퍼니</v>
      </c>
      <c r="H91" s="6" t="s">
        <v>9</v>
      </c>
      <c r="I91" s="6" t="s">
        <v>102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82</v>
      </c>
      <c r="AF91" s="7">
        <v>8200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9">
        <v>8200</v>
      </c>
      <c r="AV91" s="13">
        <f t="shared" si="2"/>
        <v>8200</v>
      </c>
      <c r="AW91" s="14">
        <f t="shared" si="3"/>
        <v>5740</v>
      </c>
    </row>
    <row r="92" spans="1:49" x14ac:dyDescent="0.4">
      <c r="A92" s="1" t="s">
        <v>194</v>
      </c>
      <c r="B92" s="4" t="s">
        <v>129</v>
      </c>
      <c r="C92" s="4">
        <v>455900</v>
      </c>
      <c r="D92" s="5"/>
      <c r="E92" s="4" t="s">
        <v>28</v>
      </c>
      <c r="F92" s="4" t="s">
        <v>172</v>
      </c>
      <c r="G92" s="4" t="str">
        <f>VLOOKUP(F92,[1]Sheet1!$B$2:$C$1111,2,FALSE)</f>
        <v>에필로그</v>
      </c>
      <c r="H92" s="6" t="s">
        <v>8</v>
      </c>
      <c r="I92" s="6" t="s">
        <v>130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8</v>
      </c>
      <c r="AC92" s="7">
        <v>7200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1</v>
      </c>
      <c r="AP92" s="6">
        <v>900</v>
      </c>
      <c r="AQ92" s="6">
        <v>0</v>
      </c>
      <c r="AR92" s="6">
        <v>0</v>
      </c>
      <c r="AS92" s="6">
        <v>0</v>
      </c>
      <c r="AT92" s="6">
        <v>0</v>
      </c>
      <c r="AU92" s="9">
        <v>8100</v>
      </c>
      <c r="AV92" s="13">
        <f t="shared" si="2"/>
        <v>8100</v>
      </c>
      <c r="AW92" s="14">
        <f t="shared" si="3"/>
        <v>5670</v>
      </c>
    </row>
    <row r="93" spans="1:49" ht="19.2" x14ac:dyDescent="0.4">
      <c r="A93" s="1" t="s">
        <v>194</v>
      </c>
      <c r="B93" s="4" t="s">
        <v>238</v>
      </c>
      <c r="C93" s="4">
        <v>461351</v>
      </c>
      <c r="D93" s="5"/>
      <c r="E93" s="4" t="s">
        <v>28</v>
      </c>
      <c r="F93" s="4" t="s">
        <v>239</v>
      </c>
      <c r="G93" s="4" t="s">
        <v>256</v>
      </c>
      <c r="H93" s="6" t="s">
        <v>54</v>
      </c>
      <c r="I93" s="6" t="s">
        <v>240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4</v>
      </c>
      <c r="AF93" s="7">
        <v>6000</v>
      </c>
      <c r="AG93" s="7">
        <v>2000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9">
        <v>8000</v>
      </c>
      <c r="AV93" s="13">
        <f t="shared" si="2"/>
        <v>8000</v>
      </c>
      <c r="AW93" s="14">
        <f t="shared" si="3"/>
        <v>5600</v>
      </c>
    </row>
    <row r="94" spans="1:49" ht="19.2" x14ac:dyDescent="0.4">
      <c r="A94" s="1" t="s">
        <v>194</v>
      </c>
      <c r="B94" s="4" t="s">
        <v>169</v>
      </c>
      <c r="C94" s="4">
        <v>355068</v>
      </c>
      <c r="D94" s="5"/>
      <c r="E94" s="4" t="s">
        <v>28</v>
      </c>
      <c r="F94" s="4" t="s">
        <v>170</v>
      </c>
      <c r="G94" s="4" t="str">
        <f>VLOOKUP(F94,[1]Sheet1!$B$2:$C$1111,2,FALSE)</f>
        <v>더컴퍼니</v>
      </c>
      <c r="H94" s="6" t="s">
        <v>54</v>
      </c>
      <c r="I94" s="6" t="s">
        <v>171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2</v>
      </c>
      <c r="AF94" s="6">
        <v>0</v>
      </c>
      <c r="AG94" s="7">
        <v>7200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9">
        <v>7200</v>
      </c>
      <c r="AV94" s="13">
        <f t="shared" si="2"/>
        <v>7200</v>
      </c>
      <c r="AW94" s="14">
        <f t="shared" si="3"/>
        <v>5040</v>
      </c>
    </row>
    <row r="95" spans="1:49" ht="19.2" x14ac:dyDescent="0.4">
      <c r="A95" s="1" t="s">
        <v>194</v>
      </c>
      <c r="B95" s="4" t="s">
        <v>121</v>
      </c>
      <c r="C95" s="4">
        <v>381424</v>
      </c>
      <c r="D95" s="5"/>
      <c r="E95" s="4" t="s">
        <v>28</v>
      </c>
      <c r="F95" s="4" t="s">
        <v>29</v>
      </c>
      <c r="G95" s="4" t="str">
        <f>VLOOKUP(F95,[1]Sheet1!$B$2:$C$1111,2,FALSE)</f>
        <v>더컴퍼니</v>
      </c>
      <c r="H95" s="6" t="s">
        <v>54</v>
      </c>
      <c r="I95" s="6" t="s">
        <v>122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2</v>
      </c>
      <c r="AF95" s="7">
        <v>7000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9">
        <v>7000</v>
      </c>
      <c r="AV95" s="13">
        <f t="shared" si="2"/>
        <v>7000</v>
      </c>
      <c r="AW95" s="14">
        <f t="shared" si="3"/>
        <v>4900</v>
      </c>
    </row>
    <row r="96" spans="1:49" ht="19.2" x14ac:dyDescent="0.4">
      <c r="A96" s="1" t="s">
        <v>194</v>
      </c>
      <c r="B96" s="4" t="s">
        <v>241</v>
      </c>
      <c r="C96" s="4">
        <v>322722</v>
      </c>
      <c r="D96" s="5"/>
      <c r="E96" s="4" t="s">
        <v>28</v>
      </c>
      <c r="F96" s="4" t="s">
        <v>46</v>
      </c>
      <c r="G96" s="4" t="str">
        <f>VLOOKUP(F96,[1]Sheet1!$B$2:$C$1111,2,FALSE)</f>
        <v>더컴퍼니</v>
      </c>
      <c r="H96" s="6" t="s">
        <v>54</v>
      </c>
      <c r="I96" s="6" t="s">
        <v>242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2</v>
      </c>
      <c r="AS96" s="7">
        <v>6400</v>
      </c>
      <c r="AT96" s="6">
        <v>0</v>
      </c>
      <c r="AU96" s="9">
        <v>6400</v>
      </c>
      <c r="AV96" s="13">
        <f t="shared" si="2"/>
        <v>6400</v>
      </c>
      <c r="AW96" s="14">
        <f t="shared" si="3"/>
        <v>4480</v>
      </c>
    </row>
    <row r="97" spans="1:49" ht="19.2" x14ac:dyDescent="0.4">
      <c r="A97" s="1" t="s">
        <v>194</v>
      </c>
      <c r="B97" s="4" t="s">
        <v>162</v>
      </c>
      <c r="C97" s="4">
        <v>316013</v>
      </c>
      <c r="D97" s="5"/>
      <c r="E97" s="4" t="s">
        <v>28</v>
      </c>
      <c r="F97" s="4" t="s">
        <v>46</v>
      </c>
      <c r="G97" s="4" t="str">
        <f>VLOOKUP(F97,[1]Sheet1!$B$2:$C$1111,2,FALSE)</f>
        <v>더컴퍼니</v>
      </c>
      <c r="H97" s="6" t="s">
        <v>54</v>
      </c>
      <c r="I97" s="6" t="s">
        <v>163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2</v>
      </c>
      <c r="AF97" s="7">
        <v>6400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9">
        <v>6400</v>
      </c>
      <c r="AV97" s="13">
        <f t="shared" si="2"/>
        <v>6400</v>
      </c>
      <c r="AW97" s="14">
        <f t="shared" si="3"/>
        <v>4480</v>
      </c>
    </row>
    <row r="98" spans="1:49" ht="19.2" x14ac:dyDescent="0.4">
      <c r="A98" s="1" t="s">
        <v>194</v>
      </c>
      <c r="B98" s="4" t="s">
        <v>187</v>
      </c>
      <c r="C98" s="4">
        <v>360498</v>
      </c>
      <c r="D98" s="5"/>
      <c r="E98" s="4" t="s">
        <v>28</v>
      </c>
      <c r="F98" s="4" t="s">
        <v>46</v>
      </c>
      <c r="G98" s="4" t="str">
        <f>VLOOKUP(F98,[1]Sheet1!$B$2:$C$1111,2,FALSE)</f>
        <v>더컴퍼니</v>
      </c>
      <c r="H98" s="6" t="s">
        <v>54</v>
      </c>
      <c r="I98" s="6" t="s">
        <v>188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2</v>
      </c>
      <c r="AF98" s="7">
        <v>6400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9">
        <v>6400</v>
      </c>
      <c r="AV98" s="13">
        <f t="shared" si="2"/>
        <v>6400</v>
      </c>
      <c r="AW98" s="14">
        <f t="shared" si="3"/>
        <v>4480</v>
      </c>
    </row>
    <row r="99" spans="1:49" x14ac:dyDescent="0.4">
      <c r="A99" s="1" t="s">
        <v>194</v>
      </c>
      <c r="B99" s="4" t="s">
        <v>39</v>
      </c>
      <c r="C99" s="4">
        <v>367415</v>
      </c>
      <c r="D99" s="5"/>
      <c r="E99" s="4" t="s">
        <v>28</v>
      </c>
      <c r="F99" s="4" t="s">
        <v>31</v>
      </c>
      <c r="G99" s="4" t="str">
        <f>VLOOKUP(F99,[1]Sheet1!$B$2:$C$1111,2,FALSE)</f>
        <v>에필로그</v>
      </c>
      <c r="H99" s="6" t="s">
        <v>8</v>
      </c>
      <c r="I99" s="6" t="s">
        <v>40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53</v>
      </c>
      <c r="AS99" s="7">
        <v>5300</v>
      </c>
      <c r="AT99" s="6">
        <v>0</v>
      </c>
      <c r="AU99" s="9">
        <v>5300</v>
      </c>
      <c r="AV99" s="13">
        <f t="shared" si="2"/>
        <v>5300</v>
      </c>
      <c r="AW99" s="14">
        <f t="shared" si="3"/>
        <v>3709.9999999999995</v>
      </c>
    </row>
    <row r="100" spans="1:49" ht="19.2" x14ac:dyDescent="0.4">
      <c r="A100" s="1" t="s">
        <v>194</v>
      </c>
      <c r="B100" s="4" t="s">
        <v>201</v>
      </c>
      <c r="C100" s="4">
        <v>451051</v>
      </c>
      <c r="D100" s="5"/>
      <c r="E100" s="4" t="s">
        <v>28</v>
      </c>
      <c r="F100" s="4" t="s">
        <v>172</v>
      </c>
      <c r="G100" s="4" t="str">
        <f>VLOOKUP(F100,[1]Sheet1!$B$2:$C$1111,2,FALSE)</f>
        <v>에필로그</v>
      </c>
      <c r="H100" s="6" t="s">
        <v>135</v>
      </c>
      <c r="I100" s="6" t="s">
        <v>202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52</v>
      </c>
      <c r="AF100" s="7">
        <v>5100</v>
      </c>
      <c r="AG100" s="6">
        <v>100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9">
        <v>5200</v>
      </c>
      <c r="AV100" s="13">
        <f t="shared" si="2"/>
        <v>5200</v>
      </c>
      <c r="AW100" s="14">
        <f t="shared" si="3"/>
        <v>3639.9999999999995</v>
      </c>
    </row>
    <row r="101" spans="1:49" ht="19.2" x14ac:dyDescent="0.4">
      <c r="A101" s="1" t="s">
        <v>194</v>
      </c>
      <c r="B101" s="4" t="s">
        <v>159</v>
      </c>
      <c r="C101" s="4">
        <v>457068</v>
      </c>
      <c r="D101" s="5"/>
      <c r="E101" s="4" t="s">
        <v>28</v>
      </c>
      <c r="F101" s="4" t="s">
        <v>160</v>
      </c>
      <c r="G101" s="4" t="str">
        <f>VLOOKUP(F101,[1]Sheet1!$B$2:$C$1111,2,FALSE)</f>
        <v>밀리의 서재</v>
      </c>
      <c r="H101" s="6" t="s">
        <v>54</v>
      </c>
      <c r="I101" s="6" t="s">
        <v>161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2</v>
      </c>
      <c r="AF101" s="7">
        <v>2800</v>
      </c>
      <c r="AG101" s="7">
        <v>2200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9">
        <v>5000</v>
      </c>
      <c r="AV101" s="13">
        <f t="shared" si="2"/>
        <v>5000</v>
      </c>
      <c r="AW101" s="14">
        <f t="shared" si="3"/>
        <v>3500</v>
      </c>
    </row>
    <row r="102" spans="1:49" ht="19.2" x14ac:dyDescent="0.4">
      <c r="A102" s="1" t="s">
        <v>194</v>
      </c>
      <c r="B102" s="4" t="s">
        <v>106</v>
      </c>
      <c r="C102" s="4">
        <v>448030</v>
      </c>
      <c r="D102" s="5"/>
      <c r="E102" s="4" t="s">
        <v>28</v>
      </c>
      <c r="F102" s="4" t="s">
        <v>73</v>
      </c>
      <c r="G102" s="4" t="str">
        <f>VLOOKUP(F102,[1]Sheet1!$B$2:$C$1111,2,FALSE)</f>
        <v>더컴퍼니</v>
      </c>
      <c r="H102" s="6" t="s">
        <v>9</v>
      </c>
      <c r="I102" s="6" t="s">
        <v>107</v>
      </c>
      <c r="J102" s="6">
        <v>0</v>
      </c>
      <c r="K102" s="6">
        <v>465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35</v>
      </c>
      <c r="AF102" s="7">
        <v>2500</v>
      </c>
      <c r="AG102" s="7">
        <v>1000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11</v>
      </c>
      <c r="AS102" s="7">
        <v>1100</v>
      </c>
      <c r="AT102" s="6">
        <v>0</v>
      </c>
      <c r="AU102" s="9">
        <v>4600</v>
      </c>
      <c r="AV102" s="13">
        <f t="shared" si="2"/>
        <v>4600</v>
      </c>
      <c r="AW102" s="14">
        <f t="shared" si="3"/>
        <v>3220</v>
      </c>
    </row>
    <row r="103" spans="1:49" ht="19.2" x14ac:dyDescent="0.4">
      <c r="A103" s="1" t="s">
        <v>194</v>
      </c>
      <c r="B103" s="4" t="s">
        <v>139</v>
      </c>
      <c r="C103" s="4">
        <v>317429</v>
      </c>
      <c r="D103" s="5"/>
      <c r="E103" s="4" t="s">
        <v>28</v>
      </c>
      <c r="F103" s="4" t="s">
        <v>29</v>
      </c>
      <c r="G103" s="4" t="str">
        <f>VLOOKUP(F103,[1]Sheet1!$B$2:$C$1111,2,FALSE)</f>
        <v>더컴퍼니</v>
      </c>
      <c r="H103" s="6" t="s">
        <v>9</v>
      </c>
      <c r="I103" s="6" t="s">
        <v>140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1</v>
      </c>
      <c r="AF103" s="7">
        <v>4400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9">
        <v>4400</v>
      </c>
      <c r="AV103" s="13">
        <f t="shared" si="2"/>
        <v>4400</v>
      </c>
      <c r="AW103" s="14">
        <f t="shared" si="3"/>
        <v>3080</v>
      </c>
    </row>
    <row r="104" spans="1:49" ht="19.2" x14ac:dyDescent="0.4">
      <c r="A104" s="1" t="s">
        <v>194</v>
      </c>
      <c r="B104" s="4" t="s">
        <v>243</v>
      </c>
      <c r="C104" s="4">
        <v>329865</v>
      </c>
      <c r="D104" s="5"/>
      <c r="E104" s="4" t="s">
        <v>28</v>
      </c>
      <c r="F104" s="4" t="s">
        <v>244</v>
      </c>
      <c r="G104" s="4" t="str">
        <f>VLOOKUP(F104,[1]Sheet1!$B$2:$C$1111,2,FALSE)</f>
        <v>더컴퍼니</v>
      </c>
      <c r="H104" s="6" t="s">
        <v>54</v>
      </c>
      <c r="I104" s="6" t="s">
        <v>245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1</v>
      </c>
      <c r="AF104" s="7">
        <v>4200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9">
        <v>4200</v>
      </c>
      <c r="AV104" s="13">
        <f t="shared" si="2"/>
        <v>4200</v>
      </c>
      <c r="AW104" s="14">
        <f t="shared" si="3"/>
        <v>2940</v>
      </c>
    </row>
    <row r="105" spans="1:49" ht="19.2" x14ac:dyDescent="0.4">
      <c r="A105" s="1" t="s">
        <v>194</v>
      </c>
      <c r="B105" s="4" t="s">
        <v>144</v>
      </c>
      <c r="C105" s="4">
        <v>457673</v>
      </c>
      <c r="D105" s="5"/>
      <c r="E105" s="4" t="s">
        <v>28</v>
      </c>
      <c r="F105" s="4" t="s">
        <v>145</v>
      </c>
      <c r="G105" s="4" t="str">
        <f>VLOOKUP(F105,[1]Sheet1!$B$2:$C$1111,2,FALSE)</f>
        <v>밀리의 서재</v>
      </c>
      <c r="H105" s="6" t="s">
        <v>54</v>
      </c>
      <c r="I105" s="6" t="s">
        <v>146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2</v>
      </c>
      <c r="AF105" s="7">
        <v>4000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9">
        <v>4000</v>
      </c>
      <c r="AV105" s="13">
        <f t="shared" si="2"/>
        <v>4000</v>
      </c>
      <c r="AW105" s="14">
        <f t="shared" si="3"/>
        <v>2800</v>
      </c>
    </row>
    <row r="106" spans="1:49" ht="19.2" x14ac:dyDescent="0.4">
      <c r="A106" s="1" t="s">
        <v>194</v>
      </c>
      <c r="B106" s="4" t="s">
        <v>147</v>
      </c>
      <c r="C106" s="4">
        <v>457239</v>
      </c>
      <c r="D106" s="5"/>
      <c r="E106" s="4" t="s">
        <v>28</v>
      </c>
      <c r="F106" s="4" t="s">
        <v>148</v>
      </c>
      <c r="G106" s="4" t="str">
        <f>VLOOKUP(F106,[1]Sheet1!$B$2:$C$1111,2,FALSE)</f>
        <v>밀리의 서재</v>
      </c>
      <c r="H106" s="6" t="s">
        <v>54</v>
      </c>
      <c r="I106" s="6" t="s">
        <v>149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2</v>
      </c>
      <c r="AF106" s="7">
        <v>4000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9">
        <v>4000</v>
      </c>
      <c r="AV106" s="13">
        <f t="shared" si="2"/>
        <v>4000</v>
      </c>
      <c r="AW106" s="14">
        <f t="shared" si="3"/>
        <v>2800</v>
      </c>
    </row>
    <row r="107" spans="1:49" ht="19.2" x14ac:dyDescent="0.4">
      <c r="A107" s="1" t="s">
        <v>194</v>
      </c>
      <c r="B107" s="4" t="s">
        <v>191</v>
      </c>
      <c r="C107" s="4">
        <v>352027</v>
      </c>
      <c r="D107" s="5"/>
      <c r="E107" s="4" t="s">
        <v>28</v>
      </c>
      <c r="F107" s="4" t="s">
        <v>43</v>
      </c>
      <c r="G107" s="4" t="str">
        <f>VLOOKUP(F107,[1]Sheet1!$B$2:$C$1111,2,FALSE)</f>
        <v>더컴퍼니</v>
      </c>
      <c r="H107" s="6" t="s">
        <v>54</v>
      </c>
      <c r="I107" s="6" t="s">
        <v>192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7">
        <v>3800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9">
        <v>3800</v>
      </c>
      <c r="AV107" s="13">
        <f t="shared" si="2"/>
        <v>3800</v>
      </c>
      <c r="AW107" s="14">
        <f t="shared" si="3"/>
        <v>2660</v>
      </c>
    </row>
    <row r="108" spans="1:49" ht="19.2" x14ac:dyDescent="0.4">
      <c r="A108" s="1" t="s">
        <v>194</v>
      </c>
      <c r="B108" s="4" t="s">
        <v>246</v>
      </c>
      <c r="C108" s="4">
        <v>326776</v>
      </c>
      <c r="D108" s="5"/>
      <c r="E108" s="4" t="s">
        <v>28</v>
      </c>
      <c r="F108" s="4" t="s">
        <v>247</v>
      </c>
      <c r="G108" s="4" t="str">
        <f>VLOOKUP(F108,[1]Sheet1!$B$2:$C$1111,2,FALSE)</f>
        <v>더컴퍼니</v>
      </c>
      <c r="H108" s="6" t="s">
        <v>54</v>
      </c>
      <c r="I108" s="6" t="s">
        <v>248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1</v>
      </c>
      <c r="AF108" s="7">
        <v>3800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9">
        <v>3800</v>
      </c>
      <c r="AV108" s="13">
        <f t="shared" si="2"/>
        <v>3800</v>
      </c>
      <c r="AW108" s="14">
        <f t="shared" si="3"/>
        <v>2660</v>
      </c>
    </row>
    <row r="109" spans="1:49" ht="19.2" x14ac:dyDescent="0.4">
      <c r="A109" s="1" t="s">
        <v>194</v>
      </c>
      <c r="B109" s="4" t="s">
        <v>99</v>
      </c>
      <c r="C109" s="4">
        <v>445954</v>
      </c>
      <c r="D109" s="5"/>
      <c r="E109" s="4" t="s">
        <v>28</v>
      </c>
      <c r="F109" s="4" t="s">
        <v>73</v>
      </c>
      <c r="G109" s="4" t="str">
        <f>VLOOKUP(F109,[1]Sheet1!$B$2:$C$1111,2,FALSE)</f>
        <v>더컴퍼니</v>
      </c>
      <c r="H109" s="6" t="s">
        <v>9</v>
      </c>
      <c r="I109" s="6" t="s">
        <v>100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36</v>
      </c>
      <c r="AF109" s="7">
        <v>3600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1</v>
      </c>
      <c r="AS109" s="6">
        <v>100</v>
      </c>
      <c r="AT109" s="6">
        <v>0</v>
      </c>
      <c r="AU109" s="9">
        <v>3700</v>
      </c>
      <c r="AV109" s="13">
        <f t="shared" si="2"/>
        <v>3700</v>
      </c>
      <c r="AW109" s="14">
        <f t="shared" si="3"/>
        <v>2590</v>
      </c>
    </row>
    <row r="110" spans="1:49" ht="19.2" x14ac:dyDescent="0.4">
      <c r="A110" s="1" t="s">
        <v>194</v>
      </c>
      <c r="B110" s="4" t="s">
        <v>164</v>
      </c>
      <c r="C110" s="4">
        <v>351091</v>
      </c>
      <c r="D110" s="5"/>
      <c r="E110" s="4" t="s">
        <v>28</v>
      </c>
      <c r="F110" s="4" t="s">
        <v>46</v>
      </c>
      <c r="G110" s="4" t="str">
        <f>VLOOKUP(F110,[1]Sheet1!$B$2:$C$1111,2,FALSE)</f>
        <v>더컴퍼니</v>
      </c>
      <c r="H110" s="6" t="s">
        <v>54</v>
      </c>
      <c r="I110" s="6" t="s">
        <v>165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1</v>
      </c>
      <c r="AF110" s="7">
        <v>3600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9">
        <v>3600</v>
      </c>
      <c r="AV110" s="13">
        <f t="shared" si="2"/>
        <v>3600</v>
      </c>
      <c r="AW110" s="14">
        <f t="shared" si="3"/>
        <v>2520</v>
      </c>
    </row>
    <row r="111" spans="1:49" ht="19.2" x14ac:dyDescent="0.4">
      <c r="A111" s="1" t="s">
        <v>194</v>
      </c>
      <c r="B111" s="4" t="s">
        <v>74</v>
      </c>
      <c r="C111" s="4">
        <v>423507</v>
      </c>
      <c r="D111" s="5"/>
      <c r="E111" s="4" t="s">
        <v>28</v>
      </c>
      <c r="F111" s="4" t="s">
        <v>67</v>
      </c>
      <c r="G111" s="4" t="str">
        <f>VLOOKUP(F111,[1]Sheet1!$B$2:$C$1111,2,FALSE)</f>
        <v>더컴퍼니</v>
      </c>
      <c r="H111" s="6" t="s">
        <v>54</v>
      </c>
      <c r="I111" s="6" t="s">
        <v>75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1</v>
      </c>
      <c r="AF111" s="7">
        <v>3200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9">
        <v>3200</v>
      </c>
      <c r="AV111" s="13">
        <f t="shared" si="2"/>
        <v>3200</v>
      </c>
      <c r="AW111" s="14">
        <f t="shared" si="3"/>
        <v>2240</v>
      </c>
    </row>
    <row r="112" spans="1:49" ht="19.2" x14ac:dyDescent="0.4">
      <c r="A112" s="1" t="s">
        <v>194</v>
      </c>
      <c r="B112" s="4" t="s">
        <v>174</v>
      </c>
      <c r="C112" s="4">
        <v>460820</v>
      </c>
      <c r="D112" s="5"/>
      <c r="E112" s="4" t="s">
        <v>28</v>
      </c>
      <c r="F112" s="4" t="s">
        <v>175</v>
      </c>
      <c r="G112" s="4" t="str">
        <f>VLOOKUP(F112,[1]Sheet1!$B$2:$C$1111,2,FALSE)</f>
        <v>더컴퍼니</v>
      </c>
      <c r="H112" s="6" t="s">
        <v>9</v>
      </c>
      <c r="I112" s="6" t="s">
        <v>176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30</v>
      </c>
      <c r="AF112" s="7">
        <v>3000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9">
        <v>3000</v>
      </c>
      <c r="AV112" s="13">
        <f t="shared" si="2"/>
        <v>3000</v>
      </c>
      <c r="AW112" s="14">
        <f t="shared" si="3"/>
        <v>2100</v>
      </c>
    </row>
    <row r="113" spans="1:49" ht="19.2" x14ac:dyDescent="0.4">
      <c r="A113" s="1" t="s">
        <v>194</v>
      </c>
      <c r="B113" s="4" t="s">
        <v>249</v>
      </c>
      <c r="C113" s="4">
        <v>371107</v>
      </c>
      <c r="D113" s="5"/>
      <c r="E113" s="4" t="s">
        <v>28</v>
      </c>
      <c r="F113" s="4" t="s">
        <v>46</v>
      </c>
      <c r="G113" s="4" t="str">
        <f>VLOOKUP(F113,[1]Sheet1!$B$2:$C$1111,2,FALSE)</f>
        <v>더컴퍼니</v>
      </c>
      <c r="H113" s="6" t="s">
        <v>54</v>
      </c>
      <c r="I113" s="6" t="s">
        <v>250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1</v>
      </c>
      <c r="AF113" s="7">
        <v>3000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9">
        <v>3000</v>
      </c>
      <c r="AV113" s="13">
        <f t="shared" si="2"/>
        <v>3000</v>
      </c>
      <c r="AW113" s="14">
        <f t="shared" si="3"/>
        <v>2100</v>
      </c>
    </row>
    <row r="114" spans="1:49" ht="19.2" x14ac:dyDescent="0.4">
      <c r="A114" s="1" t="s">
        <v>194</v>
      </c>
      <c r="B114" s="4" t="s">
        <v>120</v>
      </c>
      <c r="C114" s="4">
        <v>443543</v>
      </c>
      <c r="D114" s="5"/>
      <c r="E114" s="4" t="s">
        <v>28</v>
      </c>
      <c r="F114" s="4" t="s">
        <v>46</v>
      </c>
      <c r="G114" s="4" t="str">
        <f>VLOOKUP(F114,[1]Sheet1!$B$2:$C$1111,2,FALSE)</f>
        <v>더컴퍼니</v>
      </c>
      <c r="H114" s="6" t="s">
        <v>9</v>
      </c>
      <c r="I114" s="6" t="s">
        <v>87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26</v>
      </c>
      <c r="AF114" s="7">
        <v>2500</v>
      </c>
      <c r="AG114" s="6">
        <v>100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9">
        <v>2600</v>
      </c>
      <c r="AV114" s="13">
        <f t="shared" si="2"/>
        <v>2600</v>
      </c>
      <c r="AW114" s="14">
        <f t="shared" si="3"/>
        <v>1819.9999999999998</v>
      </c>
    </row>
    <row r="115" spans="1:49" ht="19.2" x14ac:dyDescent="0.4">
      <c r="A115" s="1" t="s">
        <v>194</v>
      </c>
      <c r="B115" s="4" t="s">
        <v>190</v>
      </c>
      <c r="C115" s="4">
        <v>317397</v>
      </c>
      <c r="D115" s="5"/>
      <c r="E115" s="4" t="s">
        <v>28</v>
      </c>
      <c r="F115" s="4" t="s">
        <v>189</v>
      </c>
      <c r="G115" s="4" t="str">
        <f>VLOOKUP(F115,[1]Sheet1!$B$2:$C$1111,2,FALSE)</f>
        <v>더컴퍼니</v>
      </c>
      <c r="H115" s="6" t="s">
        <v>54</v>
      </c>
      <c r="I115" s="6" t="s">
        <v>140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1</v>
      </c>
      <c r="AF115" s="7">
        <v>2500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9">
        <v>2500</v>
      </c>
      <c r="AV115" s="13">
        <f t="shared" si="2"/>
        <v>2500</v>
      </c>
      <c r="AW115" s="14">
        <f t="shared" si="3"/>
        <v>1750</v>
      </c>
    </row>
    <row r="116" spans="1:49" ht="19.2" x14ac:dyDescent="0.4">
      <c r="A116" s="1" t="s">
        <v>194</v>
      </c>
      <c r="B116" s="4" t="s">
        <v>76</v>
      </c>
      <c r="C116" s="4">
        <v>401407</v>
      </c>
      <c r="D116" s="5"/>
      <c r="E116" s="4" t="s">
        <v>28</v>
      </c>
      <c r="F116" s="4" t="s">
        <v>46</v>
      </c>
      <c r="G116" s="4" t="str">
        <f>VLOOKUP(F116,[1]Sheet1!$B$2:$C$1111,2,FALSE)</f>
        <v>더컴퍼니</v>
      </c>
      <c r="H116" s="6" t="s">
        <v>9</v>
      </c>
      <c r="I116" s="6" t="s">
        <v>77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20</v>
      </c>
      <c r="AF116" s="7">
        <v>2000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9">
        <v>2000</v>
      </c>
      <c r="AV116" s="13">
        <f t="shared" si="2"/>
        <v>2000</v>
      </c>
      <c r="AW116" s="14">
        <f t="shared" si="3"/>
        <v>1400</v>
      </c>
    </row>
    <row r="117" spans="1:49" x14ac:dyDescent="0.4">
      <c r="A117" s="1" t="s">
        <v>194</v>
      </c>
      <c r="B117" s="4" t="s">
        <v>214</v>
      </c>
      <c r="C117" s="4">
        <v>461355</v>
      </c>
      <c r="D117" s="5"/>
      <c r="E117" s="4" t="s">
        <v>28</v>
      </c>
      <c r="F117" s="4" t="s">
        <v>215</v>
      </c>
      <c r="G117" s="4" t="str">
        <f>VLOOKUP(F117,[1]Sheet1!$B$2:$C$1111,2,FALSE)</f>
        <v>밀리의 서재</v>
      </c>
      <c r="H117" s="6" t="s">
        <v>8</v>
      </c>
      <c r="I117" s="6" t="s">
        <v>216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1</v>
      </c>
      <c r="AF117" s="7">
        <v>1700</v>
      </c>
      <c r="AG117" s="6">
        <v>300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9">
        <v>2000</v>
      </c>
      <c r="AV117" s="13">
        <f t="shared" si="2"/>
        <v>2000</v>
      </c>
      <c r="AW117" s="14">
        <f t="shared" si="3"/>
        <v>1400</v>
      </c>
    </row>
    <row r="118" spans="1:49" ht="19.2" x14ac:dyDescent="0.4">
      <c r="A118" s="1" t="s">
        <v>194</v>
      </c>
      <c r="B118" s="4" t="s">
        <v>203</v>
      </c>
      <c r="C118" s="4">
        <v>461450</v>
      </c>
      <c r="D118" s="5"/>
      <c r="E118" s="4" t="s">
        <v>28</v>
      </c>
      <c r="F118" s="4" t="s">
        <v>172</v>
      </c>
      <c r="G118" s="4" t="str">
        <f>VLOOKUP(F118,[1]Sheet1!$B$2:$C$1111,2,FALSE)</f>
        <v>에필로그</v>
      </c>
      <c r="H118" s="6" t="s">
        <v>135</v>
      </c>
      <c r="I118" s="6" t="s">
        <v>200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2</v>
      </c>
      <c r="AC118" s="7">
        <v>1800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9">
        <v>1800</v>
      </c>
      <c r="AV118" s="13">
        <f t="shared" si="2"/>
        <v>1800</v>
      </c>
      <c r="AW118" s="14">
        <f t="shared" si="3"/>
        <v>1260</v>
      </c>
    </row>
    <row r="119" spans="1:49" ht="19.2" x14ac:dyDescent="0.4">
      <c r="A119" s="1" t="s">
        <v>194</v>
      </c>
      <c r="B119" s="4" t="s">
        <v>193</v>
      </c>
      <c r="C119" s="4">
        <v>430443</v>
      </c>
      <c r="D119" s="5"/>
      <c r="E119" s="4" t="s">
        <v>28</v>
      </c>
      <c r="F119" s="4" t="s">
        <v>67</v>
      </c>
      <c r="G119" s="4" t="str">
        <f>VLOOKUP(F119,[1]Sheet1!$B$2:$C$1111,2,FALSE)</f>
        <v>더컴퍼니</v>
      </c>
      <c r="H119" s="6" t="s">
        <v>54</v>
      </c>
      <c r="I119" s="6" t="s">
        <v>72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6">
        <v>0</v>
      </c>
      <c r="AG119" s="7">
        <v>1000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9">
        <v>1000</v>
      </c>
      <c r="AV119" s="13">
        <f t="shared" si="2"/>
        <v>1000</v>
      </c>
      <c r="AW119" s="14">
        <f t="shared" si="3"/>
        <v>700</v>
      </c>
    </row>
    <row r="120" spans="1:49" ht="19.2" x14ac:dyDescent="0.4">
      <c r="A120" s="1" t="s">
        <v>194</v>
      </c>
      <c r="B120" s="4" t="s">
        <v>97</v>
      </c>
      <c r="C120" s="4">
        <v>445220</v>
      </c>
      <c r="D120" s="5"/>
      <c r="E120" s="4" t="s">
        <v>28</v>
      </c>
      <c r="F120" s="4" t="s">
        <v>83</v>
      </c>
      <c r="G120" s="4" t="str">
        <f>VLOOKUP(F120,[1]Sheet1!$B$2:$C$1111,2,FALSE)</f>
        <v>더컴퍼니</v>
      </c>
      <c r="H120" s="6" t="s">
        <v>9</v>
      </c>
      <c r="I120" s="6" t="s">
        <v>98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7</v>
      </c>
      <c r="AF120" s="6">
        <v>700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10">
        <v>700</v>
      </c>
      <c r="AV120" s="13">
        <f t="shared" si="2"/>
        <v>700</v>
      </c>
      <c r="AW120" s="14">
        <f t="shared" si="3"/>
        <v>489.99999999999994</v>
      </c>
    </row>
    <row r="121" spans="1:49" ht="19.2" x14ac:dyDescent="0.4">
      <c r="A121" s="1" t="s">
        <v>194</v>
      </c>
      <c r="B121" s="4" t="s">
        <v>251</v>
      </c>
      <c r="C121" s="4">
        <v>331754</v>
      </c>
      <c r="D121" s="5"/>
      <c r="E121" s="4" t="s">
        <v>28</v>
      </c>
      <c r="F121" s="4" t="s">
        <v>247</v>
      </c>
      <c r="G121" s="4" t="str">
        <f>VLOOKUP(F121,[1]Sheet1!$B$2:$C$1111,2,FALSE)</f>
        <v>더컴퍼니</v>
      </c>
      <c r="H121" s="6" t="s">
        <v>54</v>
      </c>
      <c r="I121" s="6" t="s">
        <v>123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1</v>
      </c>
      <c r="AS121" s="6">
        <v>600</v>
      </c>
      <c r="AT121" s="6">
        <v>0</v>
      </c>
      <c r="AU121" s="10">
        <v>600</v>
      </c>
      <c r="AV121" s="13">
        <f t="shared" ref="AV121:AV159" si="4">AU121-AN121</f>
        <v>600</v>
      </c>
      <c r="AW121" s="14">
        <f t="shared" ref="AW121:AW159" si="5">AV121*70%</f>
        <v>420</v>
      </c>
    </row>
    <row r="122" spans="1:49" ht="19.2" x14ac:dyDescent="0.4">
      <c r="A122" s="1" t="s">
        <v>194</v>
      </c>
      <c r="B122" s="4" t="s">
        <v>252</v>
      </c>
      <c r="C122" s="4">
        <v>423519</v>
      </c>
      <c r="D122" s="5"/>
      <c r="E122" s="4" t="s">
        <v>28</v>
      </c>
      <c r="F122" s="4" t="s">
        <v>67</v>
      </c>
      <c r="G122" s="4" t="str">
        <f>VLOOKUP(F122,[1]Sheet1!$B$2:$C$1111,2,FALSE)</f>
        <v>더컴퍼니</v>
      </c>
      <c r="H122" s="6" t="s">
        <v>54</v>
      </c>
      <c r="I122" s="6" t="s">
        <v>75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1</v>
      </c>
      <c r="AF122" s="6">
        <v>600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10">
        <v>600</v>
      </c>
      <c r="AV122" s="13">
        <f t="shared" si="4"/>
        <v>600</v>
      </c>
      <c r="AW122" s="14">
        <f t="shared" si="5"/>
        <v>420</v>
      </c>
    </row>
    <row r="123" spans="1:49" ht="19.2" x14ac:dyDescent="0.4">
      <c r="A123" s="1" t="s">
        <v>194</v>
      </c>
      <c r="B123" s="4" t="s">
        <v>182</v>
      </c>
      <c r="C123" s="4">
        <v>443823</v>
      </c>
      <c r="D123" s="5"/>
      <c r="E123" s="4" t="s">
        <v>28</v>
      </c>
      <c r="F123" s="4" t="s">
        <v>64</v>
      </c>
      <c r="G123" s="4" t="str">
        <f>VLOOKUP(F123,[1]Sheet1!$B$2:$C$1111,2,FALSE)</f>
        <v>더컴퍼니</v>
      </c>
      <c r="H123" s="6" t="s">
        <v>9</v>
      </c>
      <c r="I123" s="6" t="s">
        <v>88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5</v>
      </c>
      <c r="AF123" s="6">
        <v>500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10">
        <v>500</v>
      </c>
      <c r="AV123" s="13">
        <f t="shared" si="4"/>
        <v>500</v>
      </c>
      <c r="AW123" s="14">
        <f t="shared" si="5"/>
        <v>350</v>
      </c>
    </row>
    <row r="124" spans="1:49" ht="19.2" x14ac:dyDescent="0.4">
      <c r="A124" s="1" t="s">
        <v>194</v>
      </c>
      <c r="B124" s="4" t="s">
        <v>137</v>
      </c>
      <c r="C124" s="4">
        <v>368432</v>
      </c>
      <c r="D124" s="5"/>
      <c r="E124" s="4" t="s">
        <v>28</v>
      </c>
      <c r="F124" s="4" t="s">
        <v>37</v>
      </c>
      <c r="G124" s="4" t="str">
        <f>VLOOKUP(F124,[1]Sheet1!$B$2:$C$1111,2,FALSE)</f>
        <v>더컴퍼니</v>
      </c>
      <c r="H124" s="6" t="s">
        <v>9</v>
      </c>
      <c r="I124" s="6" t="s">
        <v>138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4</v>
      </c>
      <c r="AF124" s="6">
        <v>400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10">
        <v>400</v>
      </c>
      <c r="AV124" s="13">
        <f t="shared" si="4"/>
        <v>400</v>
      </c>
      <c r="AW124" s="14">
        <f t="shared" si="5"/>
        <v>280</v>
      </c>
    </row>
    <row r="125" spans="1:49" x14ac:dyDescent="0.4">
      <c r="A125" s="1" t="s">
        <v>194</v>
      </c>
      <c r="B125" s="4" t="s">
        <v>94</v>
      </c>
      <c r="C125" s="4">
        <v>440710</v>
      </c>
      <c r="D125" s="5"/>
      <c r="E125" s="4" t="s">
        <v>28</v>
      </c>
      <c r="F125" s="4" t="s">
        <v>95</v>
      </c>
      <c r="G125" s="4" t="str">
        <f>VLOOKUP(F125,[1]Sheet1!$B$2:$C$1111,2,FALSE)</f>
        <v>아크스튜디오</v>
      </c>
      <c r="H125" s="6" t="s">
        <v>8</v>
      </c>
      <c r="I125" s="6" t="s">
        <v>119</v>
      </c>
      <c r="J125" s="6">
        <v>0</v>
      </c>
      <c r="K125" s="6">
        <v>159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4</v>
      </c>
      <c r="AF125" s="6">
        <v>400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10">
        <v>400</v>
      </c>
      <c r="AV125" s="13">
        <f t="shared" si="4"/>
        <v>400</v>
      </c>
      <c r="AW125" s="14">
        <f t="shared" si="5"/>
        <v>280</v>
      </c>
    </row>
    <row r="126" spans="1:49" ht="19.2" x14ac:dyDescent="0.4">
      <c r="A126" s="1" t="s">
        <v>194</v>
      </c>
      <c r="B126" s="4" t="s">
        <v>78</v>
      </c>
      <c r="C126" s="4">
        <v>395237</v>
      </c>
      <c r="D126" s="5"/>
      <c r="E126" s="4" t="s">
        <v>28</v>
      </c>
      <c r="F126" s="4" t="s">
        <v>29</v>
      </c>
      <c r="G126" s="4" t="str">
        <f>VLOOKUP(F126,[1]Sheet1!$B$2:$C$1111,2,FALSE)</f>
        <v>더컴퍼니</v>
      </c>
      <c r="H126" s="6" t="s">
        <v>54</v>
      </c>
      <c r="I126" s="6" t="s">
        <v>63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1</v>
      </c>
      <c r="AF126" s="6">
        <v>0</v>
      </c>
      <c r="AG126" s="6">
        <v>200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10">
        <v>200</v>
      </c>
      <c r="AV126" s="13">
        <f t="shared" si="4"/>
        <v>200</v>
      </c>
      <c r="AW126" s="14">
        <f t="shared" si="5"/>
        <v>140</v>
      </c>
    </row>
    <row r="127" spans="1:49" ht="19.2" x14ac:dyDescent="0.4">
      <c r="A127" s="1" t="s">
        <v>194</v>
      </c>
      <c r="B127" s="4" t="s">
        <v>253</v>
      </c>
      <c r="C127" s="4">
        <v>415999</v>
      </c>
      <c r="D127" s="5"/>
      <c r="E127" s="4" t="s">
        <v>28</v>
      </c>
      <c r="F127" s="4" t="s">
        <v>73</v>
      </c>
      <c r="G127" s="4" t="str">
        <f>VLOOKUP(F127,[1]Sheet1!$B$2:$C$1111,2,FALSE)</f>
        <v>더컴퍼니</v>
      </c>
      <c r="H127" s="6" t="s">
        <v>54</v>
      </c>
      <c r="I127" s="6" t="s">
        <v>254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1</v>
      </c>
      <c r="AS127" s="6">
        <v>200</v>
      </c>
      <c r="AT127" s="6">
        <v>0</v>
      </c>
      <c r="AU127" s="10">
        <v>200</v>
      </c>
      <c r="AV127" s="13">
        <f t="shared" si="4"/>
        <v>200</v>
      </c>
      <c r="AW127" s="14">
        <f t="shared" si="5"/>
        <v>140</v>
      </c>
    </row>
    <row r="128" spans="1:49" ht="19.2" x14ac:dyDescent="0.4">
      <c r="A128" s="1" t="s">
        <v>194</v>
      </c>
      <c r="B128" s="4" t="s">
        <v>89</v>
      </c>
      <c r="C128" s="4">
        <v>443833</v>
      </c>
      <c r="D128" s="5"/>
      <c r="E128" s="4" t="s">
        <v>28</v>
      </c>
      <c r="F128" s="4" t="s">
        <v>90</v>
      </c>
      <c r="G128" s="4" t="str">
        <f>VLOOKUP(F128,[1]Sheet1!$B$2:$C$1111,2,FALSE)</f>
        <v>더컴퍼니</v>
      </c>
      <c r="H128" s="6" t="s">
        <v>9</v>
      </c>
      <c r="I128" s="6" t="s">
        <v>88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2</v>
      </c>
      <c r="AF128" s="6">
        <v>200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10">
        <v>200</v>
      </c>
      <c r="AV128" s="13">
        <f t="shared" si="4"/>
        <v>200</v>
      </c>
      <c r="AW128" s="14">
        <f t="shared" si="5"/>
        <v>140</v>
      </c>
    </row>
    <row r="129" spans="1:49" ht="19.2" x14ac:dyDescent="0.4">
      <c r="A129" s="1" t="s">
        <v>194</v>
      </c>
      <c r="B129" s="4" t="s">
        <v>44</v>
      </c>
      <c r="C129" s="4">
        <v>418030</v>
      </c>
      <c r="D129" s="5"/>
      <c r="E129" s="4" t="s">
        <v>28</v>
      </c>
      <c r="F129" s="4" t="s">
        <v>37</v>
      </c>
      <c r="G129" s="4" t="str">
        <f>VLOOKUP(F129,[1]Sheet1!$B$2:$C$1111,2,FALSE)</f>
        <v>더컴퍼니</v>
      </c>
      <c r="H129" s="6" t="s">
        <v>9</v>
      </c>
      <c r="I129" s="6" t="s">
        <v>45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1</v>
      </c>
      <c r="AF129" s="6">
        <v>100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10">
        <v>100</v>
      </c>
      <c r="AV129" s="13">
        <f t="shared" si="4"/>
        <v>100</v>
      </c>
      <c r="AW129" s="14">
        <f t="shared" si="5"/>
        <v>70</v>
      </c>
    </row>
    <row r="130" spans="1:49" ht="19.2" x14ac:dyDescent="0.4">
      <c r="A130" s="1" t="s">
        <v>194</v>
      </c>
      <c r="B130" s="4" t="s">
        <v>36</v>
      </c>
      <c r="C130" s="4">
        <v>354768</v>
      </c>
      <c r="D130" s="5"/>
      <c r="E130" s="4" t="s">
        <v>28</v>
      </c>
      <c r="F130" s="4" t="s">
        <v>37</v>
      </c>
      <c r="G130" s="4" t="str">
        <f>VLOOKUP(F130,[1]Sheet1!$B$2:$C$1111,2,FALSE)</f>
        <v>더컴퍼니</v>
      </c>
      <c r="H130" s="6" t="s">
        <v>9</v>
      </c>
      <c r="I130" s="6" t="s">
        <v>38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1</v>
      </c>
      <c r="AF130" s="6">
        <v>100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10">
        <v>100</v>
      </c>
      <c r="AV130" s="13">
        <f t="shared" si="4"/>
        <v>100</v>
      </c>
      <c r="AW130" s="14">
        <f t="shared" si="5"/>
        <v>70</v>
      </c>
    </row>
    <row r="131" spans="1:49" ht="19.2" x14ac:dyDescent="0.4">
      <c r="A131" s="1" t="s">
        <v>195</v>
      </c>
      <c r="B131" s="4" t="s">
        <v>199</v>
      </c>
      <c r="C131" s="4">
        <v>461432</v>
      </c>
      <c r="D131" s="5"/>
      <c r="E131" s="4" t="s">
        <v>28</v>
      </c>
      <c r="F131" s="4" t="s">
        <v>172</v>
      </c>
      <c r="G131" s="4" t="str">
        <f>VLOOKUP(F131,[1]Sheet1!$B$2:$C$1111,2,FALSE)</f>
        <v>에필로그</v>
      </c>
      <c r="H131" s="6" t="s">
        <v>135</v>
      </c>
      <c r="I131" s="6" t="s">
        <v>200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156</v>
      </c>
      <c r="AF131" s="7">
        <v>15600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0</v>
      </c>
      <c r="AM131" s="6">
        <v>100</v>
      </c>
      <c r="AN131" s="6">
        <v>0</v>
      </c>
      <c r="AO131" s="6">
        <v>0</v>
      </c>
      <c r="AP131" s="6">
        <v>0</v>
      </c>
      <c r="AQ131" s="6">
        <v>0</v>
      </c>
      <c r="AR131" s="6">
        <v>650</v>
      </c>
      <c r="AS131" s="7">
        <v>65000</v>
      </c>
      <c r="AT131" s="6">
        <v>0</v>
      </c>
      <c r="AU131" s="9">
        <v>80700</v>
      </c>
      <c r="AV131" s="13">
        <f t="shared" si="4"/>
        <v>80700</v>
      </c>
      <c r="AW131" s="14">
        <f t="shared" si="5"/>
        <v>56490</v>
      </c>
    </row>
    <row r="132" spans="1:49" x14ac:dyDescent="0.4">
      <c r="A132" s="1" t="s">
        <v>195</v>
      </c>
      <c r="B132" s="4" t="s">
        <v>131</v>
      </c>
      <c r="C132" s="4">
        <v>455896</v>
      </c>
      <c r="D132" s="5"/>
      <c r="E132" s="4" t="s">
        <v>28</v>
      </c>
      <c r="F132" s="4" t="s">
        <v>172</v>
      </c>
      <c r="G132" s="4" t="str">
        <f>VLOOKUP(F132,[1]Sheet1!$B$2:$C$1111,2,FALSE)</f>
        <v>에필로그</v>
      </c>
      <c r="H132" s="6" t="s">
        <v>8</v>
      </c>
      <c r="I132" s="6" t="s">
        <v>130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258</v>
      </c>
      <c r="AF132" s="7">
        <v>25800</v>
      </c>
      <c r="AG132" s="6">
        <v>0</v>
      </c>
      <c r="AH132" s="6">
        <v>0</v>
      </c>
      <c r="AI132" s="6">
        <v>0</v>
      </c>
      <c r="AJ132" s="6">
        <v>0</v>
      </c>
      <c r="AK132" s="6">
        <v>189</v>
      </c>
      <c r="AL132" s="7">
        <v>22080</v>
      </c>
      <c r="AM132" s="6">
        <v>500</v>
      </c>
      <c r="AN132" s="8">
        <v>6624</v>
      </c>
      <c r="AO132" s="6">
        <v>0</v>
      </c>
      <c r="AP132" s="6">
        <v>0</v>
      </c>
      <c r="AQ132" s="6">
        <v>0</v>
      </c>
      <c r="AR132" s="6">
        <v>151</v>
      </c>
      <c r="AS132" s="7">
        <v>14900</v>
      </c>
      <c r="AT132" s="6">
        <v>200</v>
      </c>
      <c r="AU132" s="9">
        <v>63480</v>
      </c>
      <c r="AV132" s="13">
        <f t="shared" si="4"/>
        <v>56856</v>
      </c>
      <c r="AW132" s="14">
        <f t="shared" si="5"/>
        <v>39799.199999999997</v>
      </c>
    </row>
    <row r="133" spans="1:49" ht="19.2" x14ac:dyDescent="0.4">
      <c r="A133" s="1" t="s">
        <v>195</v>
      </c>
      <c r="B133" s="4" t="s">
        <v>201</v>
      </c>
      <c r="C133" s="4">
        <v>451051</v>
      </c>
      <c r="D133" s="5"/>
      <c r="E133" s="4" t="s">
        <v>28</v>
      </c>
      <c r="F133" s="4" t="s">
        <v>172</v>
      </c>
      <c r="G133" s="4" t="str">
        <f>VLOOKUP(F133,[1]Sheet1!$B$2:$C$1111,2,FALSE)</f>
        <v>에필로그</v>
      </c>
      <c r="H133" s="6" t="s">
        <v>135</v>
      </c>
      <c r="I133" s="6" t="s">
        <v>202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280</v>
      </c>
      <c r="AF133" s="7">
        <v>26000</v>
      </c>
      <c r="AG133" s="7">
        <v>2000</v>
      </c>
      <c r="AH133" s="6">
        <v>0</v>
      </c>
      <c r="AI133" s="6">
        <v>0</v>
      </c>
      <c r="AJ133" s="6">
        <v>0</v>
      </c>
      <c r="AK133" s="6">
        <v>122</v>
      </c>
      <c r="AL133" s="7">
        <v>14400</v>
      </c>
      <c r="AM133" s="6">
        <v>200</v>
      </c>
      <c r="AN133" s="8">
        <v>4320</v>
      </c>
      <c r="AO133" s="6">
        <v>0</v>
      </c>
      <c r="AP133" s="6">
        <v>0</v>
      </c>
      <c r="AQ133" s="6">
        <v>0</v>
      </c>
      <c r="AR133" s="6">
        <v>5</v>
      </c>
      <c r="AS133" s="6">
        <v>400</v>
      </c>
      <c r="AT133" s="6">
        <v>100</v>
      </c>
      <c r="AU133" s="9">
        <v>43100</v>
      </c>
      <c r="AV133" s="13">
        <f t="shared" si="4"/>
        <v>38780</v>
      </c>
      <c r="AW133" s="14">
        <f t="shared" si="5"/>
        <v>27146</v>
      </c>
    </row>
    <row r="134" spans="1:49" x14ac:dyDescent="0.4">
      <c r="A134" s="1" t="s">
        <v>195</v>
      </c>
      <c r="B134" s="4" t="s">
        <v>82</v>
      </c>
      <c r="C134" s="4">
        <v>380954</v>
      </c>
      <c r="D134" s="5"/>
      <c r="E134" s="4" t="s">
        <v>28</v>
      </c>
      <c r="F134" s="4" t="s">
        <v>31</v>
      </c>
      <c r="G134" s="4" t="str">
        <f>VLOOKUP(F134,[1]Sheet1!$B$2:$C$1111,2,FALSE)</f>
        <v>에필로그</v>
      </c>
      <c r="H134" s="6" t="s">
        <v>8</v>
      </c>
      <c r="I134" s="6" t="s">
        <v>32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28</v>
      </c>
      <c r="AC134" s="7">
        <v>24400</v>
      </c>
      <c r="AD134" s="6">
        <v>0</v>
      </c>
      <c r="AE134" s="6">
        <v>0</v>
      </c>
      <c r="AF134" s="6">
        <v>0</v>
      </c>
      <c r="AG134" s="6">
        <v>0</v>
      </c>
      <c r="AH134" s="6">
        <v>10</v>
      </c>
      <c r="AI134" s="7">
        <v>10680</v>
      </c>
      <c r="AJ134" s="6">
        <v>0</v>
      </c>
      <c r="AK134" s="6">
        <v>0</v>
      </c>
      <c r="AL134" s="6">
        <v>0</v>
      </c>
      <c r="AM134" s="6">
        <v>0</v>
      </c>
      <c r="AN134" s="8">
        <v>3204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9">
        <v>35080</v>
      </c>
      <c r="AV134" s="13">
        <f t="shared" si="4"/>
        <v>31876</v>
      </c>
      <c r="AW134" s="14">
        <f t="shared" si="5"/>
        <v>22313.199999999997</v>
      </c>
    </row>
    <row r="135" spans="1:49" ht="19.2" x14ac:dyDescent="0.4">
      <c r="A135" s="1" t="s">
        <v>195</v>
      </c>
      <c r="B135" s="4" t="s">
        <v>174</v>
      </c>
      <c r="C135" s="4">
        <v>460820</v>
      </c>
      <c r="D135" s="5"/>
      <c r="E135" s="4" t="s">
        <v>28</v>
      </c>
      <c r="F135" s="4" t="s">
        <v>175</v>
      </c>
      <c r="G135" s="4" t="str">
        <f>VLOOKUP(F135,[1]Sheet1!$B$2:$C$1111,2,FALSE)</f>
        <v>더컴퍼니</v>
      </c>
      <c r="H135" s="6" t="s">
        <v>9</v>
      </c>
      <c r="I135" s="6" t="s">
        <v>176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65</v>
      </c>
      <c r="AF135" s="7">
        <v>6300</v>
      </c>
      <c r="AG135" s="6">
        <v>200</v>
      </c>
      <c r="AH135" s="6">
        <v>0</v>
      </c>
      <c r="AI135" s="6">
        <v>0</v>
      </c>
      <c r="AJ135" s="6">
        <v>0</v>
      </c>
      <c r="AK135" s="6">
        <v>111</v>
      </c>
      <c r="AL135" s="7">
        <v>9096</v>
      </c>
      <c r="AM135" s="7">
        <v>3500</v>
      </c>
      <c r="AN135" s="8">
        <v>2728.8</v>
      </c>
      <c r="AO135" s="6">
        <v>0</v>
      </c>
      <c r="AP135" s="6">
        <v>0</v>
      </c>
      <c r="AQ135" s="6">
        <v>0</v>
      </c>
      <c r="AR135" s="6">
        <v>84</v>
      </c>
      <c r="AS135" s="7">
        <v>8200</v>
      </c>
      <c r="AT135" s="6">
        <v>200</v>
      </c>
      <c r="AU135" s="9">
        <v>27496</v>
      </c>
      <c r="AV135" s="13">
        <f t="shared" si="4"/>
        <v>24767.200000000001</v>
      </c>
      <c r="AW135" s="14">
        <f t="shared" si="5"/>
        <v>17337.04</v>
      </c>
    </row>
    <row r="136" spans="1:49" ht="19.2" x14ac:dyDescent="0.4">
      <c r="A136" s="1" t="s">
        <v>195</v>
      </c>
      <c r="B136" s="4" t="s">
        <v>126</v>
      </c>
      <c r="C136" s="4">
        <v>456187</v>
      </c>
      <c r="D136" s="5"/>
      <c r="E136" s="4" t="s">
        <v>28</v>
      </c>
      <c r="F136" s="4" t="s">
        <v>65</v>
      </c>
      <c r="G136" s="4" t="str">
        <f>VLOOKUP(F136,[1]Sheet1!$B$2:$C$1111,2,FALSE)</f>
        <v>더컴퍼니</v>
      </c>
      <c r="H136" s="6" t="s">
        <v>9</v>
      </c>
      <c r="I136" s="6" t="s">
        <v>127</v>
      </c>
      <c r="J136" s="6">
        <v>0</v>
      </c>
      <c r="K136" s="6">
        <v>115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23</v>
      </c>
      <c r="AF136" s="7">
        <v>2300</v>
      </c>
      <c r="AG136" s="6">
        <v>0</v>
      </c>
      <c r="AH136" s="6">
        <v>0</v>
      </c>
      <c r="AI136" s="6">
        <v>0</v>
      </c>
      <c r="AJ136" s="6">
        <v>0</v>
      </c>
      <c r="AK136" s="6">
        <v>190</v>
      </c>
      <c r="AL136" s="7">
        <v>20160</v>
      </c>
      <c r="AM136" s="7">
        <v>2200</v>
      </c>
      <c r="AN136" s="8">
        <v>6048</v>
      </c>
      <c r="AO136" s="6">
        <v>0</v>
      </c>
      <c r="AP136" s="6">
        <v>0</v>
      </c>
      <c r="AQ136" s="6">
        <v>0</v>
      </c>
      <c r="AR136" s="6">
        <v>24</v>
      </c>
      <c r="AS136" s="7">
        <v>2400</v>
      </c>
      <c r="AT136" s="6">
        <v>0</v>
      </c>
      <c r="AU136" s="9">
        <v>27060</v>
      </c>
      <c r="AV136" s="13">
        <f t="shared" si="4"/>
        <v>21012</v>
      </c>
      <c r="AW136" s="14">
        <f t="shared" si="5"/>
        <v>14708.4</v>
      </c>
    </row>
    <row r="137" spans="1:49" ht="19.2" x14ac:dyDescent="0.4">
      <c r="A137" s="1" t="s">
        <v>195</v>
      </c>
      <c r="B137" s="4" t="s">
        <v>97</v>
      </c>
      <c r="C137" s="4">
        <v>445220</v>
      </c>
      <c r="D137" s="5"/>
      <c r="E137" s="4" t="s">
        <v>28</v>
      </c>
      <c r="F137" s="4" t="s">
        <v>83</v>
      </c>
      <c r="G137" s="4" t="str">
        <f>VLOOKUP(F137,[1]Sheet1!$B$2:$C$1111,2,FALSE)</f>
        <v>더컴퍼니</v>
      </c>
      <c r="H137" s="6" t="s">
        <v>9</v>
      </c>
      <c r="I137" s="6" t="s">
        <v>98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169</v>
      </c>
      <c r="AL137" s="7">
        <v>20160</v>
      </c>
      <c r="AM137" s="6">
        <v>100</v>
      </c>
      <c r="AN137" s="8">
        <v>6048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9">
        <v>20260</v>
      </c>
      <c r="AV137" s="13">
        <f t="shared" si="4"/>
        <v>14212</v>
      </c>
      <c r="AW137" s="14">
        <f t="shared" si="5"/>
        <v>9948.4</v>
      </c>
    </row>
    <row r="138" spans="1:49" x14ac:dyDescent="0.4">
      <c r="A138" s="1" t="s">
        <v>195</v>
      </c>
      <c r="B138" s="4" t="s">
        <v>41</v>
      </c>
      <c r="C138" s="4">
        <v>379289</v>
      </c>
      <c r="D138" s="5"/>
      <c r="E138" s="4" t="s">
        <v>28</v>
      </c>
      <c r="F138" s="4" t="s">
        <v>34</v>
      </c>
      <c r="G138" s="4" t="str">
        <f>VLOOKUP(F138,[1]Sheet1!$B$2:$C$1111,2,FALSE)</f>
        <v>에필로그</v>
      </c>
      <c r="H138" s="6" t="s">
        <v>8</v>
      </c>
      <c r="I138" s="6" t="s">
        <v>42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8</v>
      </c>
      <c r="AF138" s="7">
        <v>18300</v>
      </c>
      <c r="AG138" s="7">
        <v>1700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9">
        <v>20000</v>
      </c>
      <c r="AV138" s="13">
        <f t="shared" si="4"/>
        <v>20000</v>
      </c>
      <c r="AW138" s="14">
        <f t="shared" si="5"/>
        <v>14000</v>
      </c>
    </row>
    <row r="139" spans="1:49" ht="19.2" x14ac:dyDescent="0.4">
      <c r="A139" s="1" t="s">
        <v>195</v>
      </c>
      <c r="B139" s="4" t="s">
        <v>106</v>
      </c>
      <c r="C139" s="4">
        <v>448030</v>
      </c>
      <c r="D139" s="5"/>
      <c r="E139" s="4" t="s">
        <v>28</v>
      </c>
      <c r="F139" s="4" t="s">
        <v>73</v>
      </c>
      <c r="G139" s="4" t="str">
        <f>VLOOKUP(F139,[1]Sheet1!$B$2:$C$1111,2,FALSE)</f>
        <v>더컴퍼니</v>
      </c>
      <c r="H139" s="6" t="s">
        <v>9</v>
      </c>
      <c r="I139" s="6" t="s">
        <v>107</v>
      </c>
      <c r="J139" s="6">
        <v>0</v>
      </c>
      <c r="K139" s="6">
        <v>200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83</v>
      </c>
      <c r="AL139" s="7">
        <v>7920</v>
      </c>
      <c r="AM139" s="7">
        <v>1700</v>
      </c>
      <c r="AN139" s="8">
        <v>2376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9">
        <v>9620</v>
      </c>
      <c r="AV139" s="13">
        <f t="shared" si="4"/>
        <v>7244</v>
      </c>
      <c r="AW139" s="14">
        <f t="shared" si="5"/>
        <v>5070.7999999999993</v>
      </c>
    </row>
    <row r="140" spans="1:49" ht="19.2" x14ac:dyDescent="0.4">
      <c r="A140" s="1" t="s">
        <v>195</v>
      </c>
      <c r="B140" s="4" t="s">
        <v>27</v>
      </c>
      <c r="C140" s="4">
        <v>395341</v>
      </c>
      <c r="D140" s="5"/>
      <c r="E140" s="4" t="s">
        <v>28</v>
      </c>
      <c r="F140" s="4" t="s">
        <v>29</v>
      </c>
      <c r="G140" s="4" t="str">
        <f>VLOOKUP(F140,[1]Sheet1!$B$2:$C$1111,2,FALSE)</f>
        <v>더컴퍼니</v>
      </c>
      <c r="H140" s="6" t="s">
        <v>9</v>
      </c>
      <c r="I140" s="6" t="s">
        <v>30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64</v>
      </c>
      <c r="AF140" s="7">
        <v>6400</v>
      </c>
      <c r="AG140" s="6">
        <v>0</v>
      </c>
      <c r="AH140" s="6">
        <v>0</v>
      </c>
      <c r="AI140" s="6">
        <v>0</v>
      </c>
      <c r="AJ140" s="6">
        <v>0</v>
      </c>
      <c r="AK140" s="6">
        <v>29</v>
      </c>
      <c r="AL140" s="6">
        <v>0</v>
      </c>
      <c r="AM140" s="7">
        <v>2900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9">
        <v>9300</v>
      </c>
      <c r="AV140" s="13">
        <f t="shared" si="4"/>
        <v>9300</v>
      </c>
      <c r="AW140" s="14">
        <f t="shared" si="5"/>
        <v>6510</v>
      </c>
    </row>
    <row r="141" spans="1:49" ht="19.2" x14ac:dyDescent="0.4">
      <c r="A141" s="1" t="s">
        <v>195</v>
      </c>
      <c r="B141" s="4" t="s">
        <v>137</v>
      </c>
      <c r="C141" s="4">
        <v>368432</v>
      </c>
      <c r="D141" s="5"/>
      <c r="E141" s="4" t="s">
        <v>28</v>
      </c>
      <c r="F141" s="4" t="s">
        <v>37</v>
      </c>
      <c r="G141" s="4" t="str">
        <f>VLOOKUP(F141,[1]Sheet1!$B$2:$C$1111,2,FALSE)</f>
        <v>더컴퍼니</v>
      </c>
      <c r="H141" s="6" t="s">
        <v>9</v>
      </c>
      <c r="I141" s="6" t="s">
        <v>138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2</v>
      </c>
      <c r="AF141" s="6">
        <v>200</v>
      </c>
      <c r="AG141" s="6">
        <v>0</v>
      </c>
      <c r="AH141" s="6">
        <v>0</v>
      </c>
      <c r="AI141" s="6">
        <v>0</v>
      </c>
      <c r="AJ141" s="6">
        <v>0</v>
      </c>
      <c r="AK141" s="6">
        <v>42</v>
      </c>
      <c r="AL141" s="7">
        <v>4800</v>
      </c>
      <c r="AM141" s="6">
        <v>200</v>
      </c>
      <c r="AN141" s="8">
        <v>1440</v>
      </c>
      <c r="AO141" s="6">
        <v>0</v>
      </c>
      <c r="AP141" s="6">
        <v>0</v>
      </c>
      <c r="AQ141" s="6">
        <v>0</v>
      </c>
      <c r="AR141" s="6">
        <v>38</v>
      </c>
      <c r="AS141" s="7">
        <v>3800</v>
      </c>
      <c r="AT141" s="6">
        <v>0</v>
      </c>
      <c r="AU141" s="9">
        <v>9000</v>
      </c>
      <c r="AV141" s="13">
        <f t="shared" si="4"/>
        <v>7560</v>
      </c>
      <c r="AW141" s="14">
        <f t="shared" si="5"/>
        <v>5292</v>
      </c>
    </row>
    <row r="142" spans="1:49" ht="19.2" x14ac:dyDescent="0.4">
      <c r="A142" s="1" t="s">
        <v>195</v>
      </c>
      <c r="B142" s="4" t="s">
        <v>57</v>
      </c>
      <c r="C142" s="4">
        <v>372841</v>
      </c>
      <c r="D142" s="5"/>
      <c r="E142" s="4" t="s">
        <v>28</v>
      </c>
      <c r="F142" s="4" t="s">
        <v>46</v>
      </c>
      <c r="G142" s="4" t="str">
        <f>VLOOKUP(F142,[1]Sheet1!$B$2:$C$1111,2,FALSE)</f>
        <v>더컴퍼니</v>
      </c>
      <c r="H142" s="6" t="s">
        <v>9</v>
      </c>
      <c r="I142" s="6" t="s">
        <v>58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74</v>
      </c>
      <c r="AL142" s="7">
        <v>8880</v>
      </c>
      <c r="AM142" s="6">
        <v>0</v>
      </c>
      <c r="AN142" s="8">
        <v>2664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9">
        <v>8880</v>
      </c>
      <c r="AV142" s="13">
        <f t="shared" si="4"/>
        <v>6216</v>
      </c>
      <c r="AW142" s="14">
        <f t="shared" si="5"/>
        <v>4351.2</v>
      </c>
    </row>
    <row r="143" spans="1:49" x14ac:dyDescent="0.4">
      <c r="A143" s="1" t="s">
        <v>195</v>
      </c>
      <c r="B143" s="4" t="s">
        <v>129</v>
      </c>
      <c r="C143" s="4">
        <v>455900</v>
      </c>
      <c r="D143" s="5"/>
      <c r="E143" s="4" t="s">
        <v>28</v>
      </c>
      <c r="F143" s="4" t="s">
        <v>172</v>
      </c>
      <c r="G143" s="4" t="str">
        <f>VLOOKUP(F143,[1]Sheet1!$B$2:$C$1111,2,FALSE)</f>
        <v>에필로그</v>
      </c>
      <c r="H143" s="6" t="s">
        <v>8</v>
      </c>
      <c r="I143" s="6" t="s">
        <v>130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4</v>
      </c>
      <c r="AI143" s="7">
        <v>3240</v>
      </c>
      <c r="AJ143" s="6">
        <v>0</v>
      </c>
      <c r="AK143" s="6">
        <v>0</v>
      </c>
      <c r="AL143" s="6">
        <v>0</v>
      </c>
      <c r="AM143" s="6">
        <v>0</v>
      </c>
      <c r="AN143" s="6">
        <v>972</v>
      </c>
      <c r="AO143" s="6">
        <v>6</v>
      </c>
      <c r="AP143" s="7">
        <v>4300</v>
      </c>
      <c r="AQ143" s="6">
        <v>200</v>
      </c>
      <c r="AR143" s="6">
        <v>0</v>
      </c>
      <c r="AS143" s="6">
        <v>0</v>
      </c>
      <c r="AT143" s="6">
        <v>0</v>
      </c>
      <c r="AU143" s="9">
        <v>7740</v>
      </c>
      <c r="AV143" s="13">
        <f t="shared" si="4"/>
        <v>6768</v>
      </c>
      <c r="AW143" s="14">
        <f t="shared" si="5"/>
        <v>4737.5999999999995</v>
      </c>
    </row>
    <row r="144" spans="1:49" ht="19.2" x14ac:dyDescent="0.4">
      <c r="A144" s="1" t="s">
        <v>195</v>
      </c>
      <c r="B144" s="4" t="s">
        <v>101</v>
      </c>
      <c r="C144" s="4">
        <v>443978</v>
      </c>
      <c r="D144" s="5"/>
      <c r="E144" s="4" t="s">
        <v>28</v>
      </c>
      <c r="F144" s="4" t="s">
        <v>85</v>
      </c>
      <c r="G144" s="4" t="str">
        <f>VLOOKUP(F144,[1]Sheet1!$B$2:$C$1111,2,FALSE)</f>
        <v>더컴퍼니</v>
      </c>
      <c r="H144" s="6" t="s">
        <v>9</v>
      </c>
      <c r="I144" s="6" t="s">
        <v>102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66</v>
      </c>
      <c r="AF144" s="7">
        <v>6600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9">
        <v>6600</v>
      </c>
      <c r="AV144" s="13">
        <f t="shared" si="4"/>
        <v>6600</v>
      </c>
      <c r="AW144" s="14">
        <f t="shared" si="5"/>
        <v>4620</v>
      </c>
    </row>
    <row r="145" spans="1:49" ht="19.2" x14ac:dyDescent="0.4">
      <c r="A145" s="1" t="s">
        <v>195</v>
      </c>
      <c r="B145" s="4" t="s">
        <v>151</v>
      </c>
      <c r="C145" s="4">
        <v>457533</v>
      </c>
      <c r="D145" s="5"/>
      <c r="E145" s="4" t="s">
        <v>28</v>
      </c>
      <c r="F145" s="4" t="s">
        <v>152</v>
      </c>
      <c r="G145" s="4" t="str">
        <f>VLOOKUP(F145,[1]Sheet1!$B$2:$C$1111,2,FALSE)</f>
        <v>밀리의 서재</v>
      </c>
      <c r="H145" s="6" t="s">
        <v>54</v>
      </c>
      <c r="I145" s="6" t="s">
        <v>153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1</v>
      </c>
      <c r="AF145" s="6">
        <v>0</v>
      </c>
      <c r="AG145" s="7">
        <v>2500</v>
      </c>
      <c r="AH145" s="6">
        <v>0</v>
      </c>
      <c r="AI145" s="6">
        <v>0</v>
      </c>
      <c r="AJ145" s="6">
        <v>0</v>
      </c>
      <c r="AK145" s="6">
        <v>1</v>
      </c>
      <c r="AL145" s="6">
        <v>0</v>
      </c>
      <c r="AM145" s="7">
        <v>2500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9">
        <v>5000</v>
      </c>
      <c r="AV145" s="13">
        <f t="shared" si="4"/>
        <v>5000</v>
      </c>
      <c r="AW145" s="14">
        <f t="shared" si="5"/>
        <v>3500</v>
      </c>
    </row>
    <row r="146" spans="1:49" x14ac:dyDescent="0.4">
      <c r="A146" s="1" t="s">
        <v>195</v>
      </c>
      <c r="B146" s="4" t="s">
        <v>177</v>
      </c>
      <c r="C146" s="4">
        <v>459224</v>
      </c>
      <c r="D146" s="5"/>
      <c r="E146" s="4" t="s">
        <v>28</v>
      </c>
      <c r="F146" s="4" t="s">
        <v>178</v>
      </c>
      <c r="G146" s="4" t="str">
        <f>VLOOKUP(F146,[1]Sheet1!$B$2:$C$1111,2,FALSE)</f>
        <v>밀리의 서재</v>
      </c>
      <c r="H146" s="6" t="s">
        <v>8</v>
      </c>
      <c r="I146" s="6" t="s">
        <v>179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7">
        <v>2160</v>
      </c>
      <c r="AM146" s="6">
        <v>0</v>
      </c>
      <c r="AN146" s="6">
        <v>648</v>
      </c>
      <c r="AO146" s="6">
        <v>0</v>
      </c>
      <c r="AP146" s="6">
        <v>0</v>
      </c>
      <c r="AQ146" s="6">
        <v>0</v>
      </c>
      <c r="AR146" s="6">
        <v>1</v>
      </c>
      <c r="AS146" s="7">
        <v>2000</v>
      </c>
      <c r="AT146" s="6">
        <v>0</v>
      </c>
      <c r="AU146" s="9">
        <v>4160</v>
      </c>
      <c r="AV146" s="13">
        <f t="shared" si="4"/>
        <v>3512</v>
      </c>
      <c r="AW146" s="14">
        <f t="shared" si="5"/>
        <v>2458.3999999999996</v>
      </c>
    </row>
    <row r="147" spans="1:49" ht="19.2" x14ac:dyDescent="0.4">
      <c r="A147" s="1" t="s">
        <v>195</v>
      </c>
      <c r="B147" s="4" t="s">
        <v>69</v>
      </c>
      <c r="C147" s="4">
        <v>387161</v>
      </c>
      <c r="D147" s="5"/>
      <c r="E147" s="4" t="s">
        <v>28</v>
      </c>
      <c r="F147" s="4" t="s">
        <v>70</v>
      </c>
      <c r="G147" s="4" t="str">
        <f>VLOOKUP(F147,[1]Sheet1!$B$2:$C$1111,2,FALSE)</f>
        <v>더컴퍼니</v>
      </c>
      <c r="H147" s="6" t="s">
        <v>54</v>
      </c>
      <c r="I147" s="6" t="s">
        <v>71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1</v>
      </c>
      <c r="AL147" s="7">
        <v>3840</v>
      </c>
      <c r="AM147" s="6">
        <v>0</v>
      </c>
      <c r="AN147" s="8">
        <v>1152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9">
        <v>3840</v>
      </c>
      <c r="AV147" s="13">
        <f t="shared" si="4"/>
        <v>2688</v>
      </c>
      <c r="AW147" s="14">
        <f t="shared" si="5"/>
        <v>1881.6</v>
      </c>
    </row>
    <row r="148" spans="1:49" ht="19.2" x14ac:dyDescent="0.4">
      <c r="A148" s="1" t="s">
        <v>195</v>
      </c>
      <c r="B148" s="4" t="s">
        <v>36</v>
      </c>
      <c r="C148" s="4">
        <v>354768</v>
      </c>
      <c r="D148" s="5"/>
      <c r="E148" s="4" t="s">
        <v>28</v>
      </c>
      <c r="F148" s="4" t="s">
        <v>37</v>
      </c>
      <c r="G148" s="4" t="str">
        <f>VLOOKUP(F148,[1]Sheet1!$B$2:$C$1111,2,FALSE)</f>
        <v>더컴퍼니</v>
      </c>
      <c r="H148" s="6" t="s">
        <v>9</v>
      </c>
      <c r="I148" s="6" t="s">
        <v>38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38</v>
      </c>
      <c r="AS148" s="7">
        <v>3800</v>
      </c>
      <c r="AT148" s="6">
        <v>0</v>
      </c>
      <c r="AU148" s="9">
        <v>3800</v>
      </c>
      <c r="AV148" s="13">
        <f t="shared" si="4"/>
        <v>3800</v>
      </c>
      <c r="AW148" s="14">
        <f t="shared" si="5"/>
        <v>2660</v>
      </c>
    </row>
    <row r="149" spans="1:49" ht="19.2" x14ac:dyDescent="0.4">
      <c r="A149" s="1" t="s">
        <v>195</v>
      </c>
      <c r="B149" s="4" t="s">
        <v>169</v>
      </c>
      <c r="C149" s="4">
        <v>355068</v>
      </c>
      <c r="D149" s="5"/>
      <c r="E149" s="4" t="s">
        <v>28</v>
      </c>
      <c r="F149" s="4" t="s">
        <v>170</v>
      </c>
      <c r="G149" s="4" t="str">
        <f>VLOOKUP(F149,[1]Sheet1!$B$2:$C$1111,2,FALSE)</f>
        <v>더컴퍼니</v>
      </c>
      <c r="H149" s="6" t="s">
        <v>54</v>
      </c>
      <c r="I149" s="6" t="s">
        <v>171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1</v>
      </c>
      <c r="AF149" s="7">
        <v>3600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9">
        <v>3600</v>
      </c>
      <c r="AV149" s="13">
        <f t="shared" si="4"/>
        <v>3600</v>
      </c>
      <c r="AW149" s="14">
        <f t="shared" si="5"/>
        <v>2520</v>
      </c>
    </row>
    <row r="150" spans="1:49" x14ac:dyDescent="0.4">
      <c r="A150" s="1" t="s">
        <v>195</v>
      </c>
      <c r="B150" s="4" t="s">
        <v>114</v>
      </c>
      <c r="C150" s="4">
        <v>451947</v>
      </c>
      <c r="D150" s="5"/>
      <c r="E150" s="4" t="s">
        <v>28</v>
      </c>
      <c r="F150" s="4" t="s">
        <v>172</v>
      </c>
      <c r="G150" s="4" t="str">
        <f>VLOOKUP(F150,[1]Sheet1!$B$2:$C$1111,2,FALSE)</f>
        <v>에필로그</v>
      </c>
      <c r="H150" s="6" t="s">
        <v>8</v>
      </c>
      <c r="I150" s="6" t="s">
        <v>112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23</v>
      </c>
      <c r="AL150" s="7">
        <v>2760</v>
      </c>
      <c r="AM150" s="6">
        <v>0</v>
      </c>
      <c r="AN150" s="6">
        <v>828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9">
        <v>2760</v>
      </c>
      <c r="AV150" s="13">
        <f t="shared" si="4"/>
        <v>1932</v>
      </c>
      <c r="AW150" s="14">
        <f t="shared" si="5"/>
        <v>1352.3999999999999</v>
      </c>
    </row>
    <row r="151" spans="1:49" ht="19.2" x14ac:dyDescent="0.4">
      <c r="A151" s="1" t="s">
        <v>195</v>
      </c>
      <c r="B151" s="4" t="s">
        <v>66</v>
      </c>
      <c r="C151" s="4">
        <v>396049</v>
      </c>
      <c r="D151" s="5"/>
      <c r="E151" s="4" t="s">
        <v>28</v>
      </c>
      <c r="F151" s="4" t="s">
        <v>67</v>
      </c>
      <c r="G151" s="4" t="str">
        <f>VLOOKUP(F151,[1]Sheet1!$B$2:$C$1111,2,FALSE)</f>
        <v>더컴퍼니</v>
      </c>
      <c r="H151" s="6" t="s">
        <v>9</v>
      </c>
      <c r="I151" s="6" t="s">
        <v>68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4</v>
      </c>
      <c r="AF151" s="6">
        <v>400</v>
      </c>
      <c r="AG151" s="6">
        <v>0</v>
      </c>
      <c r="AH151" s="6">
        <v>0</v>
      </c>
      <c r="AI151" s="6">
        <v>0</v>
      </c>
      <c r="AJ151" s="6">
        <v>0</v>
      </c>
      <c r="AK151" s="6">
        <v>16</v>
      </c>
      <c r="AL151" s="7">
        <v>1920</v>
      </c>
      <c r="AM151" s="6">
        <v>0</v>
      </c>
      <c r="AN151" s="6">
        <v>576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9">
        <v>2320</v>
      </c>
      <c r="AV151" s="13">
        <f t="shared" si="4"/>
        <v>1744</v>
      </c>
      <c r="AW151" s="14">
        <f t="shared" si="5"/>
        <v>1220.8</v>
      </c>
    </row>
    <row r="152" spans="1:49" ht="19.2" x14ac:dyDescent="0.4">
      <c r="A152" s="1" t="s">
        <v>195</v>
      </c>
      <c r="B152" s="4" t="s">
        <v>233</v>
      </c>
      <c r="C152" s="4">
        <v>461347</v>
      </c>
      <c r="D152" s="5"/>
      <c r="E152" s="4" t="s">
        <v>28</v>
      </c>
      <c r="F152" s="4" t="s">
        <v>234</v>
      </c>
      <c r="G152" s="4" t="s">
        <v>256</v>
      </c>
      <c r="H152" s="6" t="s">
        <v>54</v>
      </c>
      <c r="I152" s="6" t="s">
        <v>235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1</v>
      </c>
      <c r="AF152" s="6">
        <v>0</v>
      </c>
      <c r="AG152" s="7">
        <v>1200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800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9">
        <v>2000</v>
      </c>
      <c r="AV152" s="13">
        <f t="shared" si="4"/>
        <v>2000</v>
      </c>
      <c r="AW152" s="14">
        <f t="shared" si="5"/>
        <v>1400</v>
      </c>
    </row>
    <row r="153" spans="1:49" ht="19.2" x14ac:dyDescent="0.4">
      <c r="A153" s="1" t="s">
        <v>195</v>
      </c>
      <c r="B153" s="4" t="s">
        <v>203</v>
      </c>
      <c r="C153" s="4">
        <v>461450</v>
      </c>
      <c r="D153" s="5"/>
      <c r="E153" s="4" t="s">
        <v>28</v>
      </c>
      <c r="F153" s="4" t="s">
        <v>172</v>
      </c>
      <c r="G153" s="4" t="str">
        <f>VLOOKUP(F153,[1]Sheet1!$B$2:$C$1111,2,FALSE)</f>
        <v>에필로그</v>
      </c>
      <c r="H153" s="6" t="s">
        <v>135</v>
      </c>
      <c r="I153" s="6" t="s">
        <v>200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1</v>
      </c>
      <c r="AC153" s="6">
        <v>900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10">
        <v>900</v>
      </c>
      <c r="AV153" s="13">
        <f t="shared" si="4"/>
        <v>900</v>
      </c>
      <c r="AW153" s="14">
        <f t="shared" si="5"/>
        <v>630</v>
      </c>
    </row>
    <row r="154" spans="1:49" x14ac:dyDescent="0.4">
      <c r="A154" s="1" t="s">
        <v>195</v>
      </c>
      <c r="B154" s="4" t="s">
        <v>94</v>
      </c>
      <c r="C154" s="4">
        <v>440710</v>
      </c>
      <c r="D154" s="5"/>
      <c r="E154" s="4" t="s">
        <v>28</v>
      </c>
      <c r="F154" s="4" t="s">
        <v>95</v>
      </c>
      <c r="G154" s="4" t="str">
        <f>VLOOKUP(F154,[1]Sheet1!$B$2:$C$1111,2,FALSE)</f>
        <v>아크스튜디오</v>
      </c>
      <c r="H154" s="6" t="s">
        <v>8</v>
      </c>
      <c r="I154" s="6" t="s">
        <v>119</v>
      </c>
      <c r="J154" s="6">
        <v>0</v>
      </c>
      <c r="K154" s="6">
        <v>222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100</v>
      </c>
      <c r="AG154" s="6">
        <v>0</v>
      </c>
      <c r="AH154" s="6">
        <v>0</v>
      </c>
      <c r="AI154" s="6">
        <v>0</v>
      </c>
      <c r="AJ154" s="6">
        <v>0</v>
      </c>
      <c r="AK154" s="6">
        <v>6</v>
      </c>
      <c r="AL154" s="6">
        <v>120</v>
      </c>
      <c r="AM154" s="6">
        <v>500</v>
      </c>
      <c r="AN154" s="6">
        <v>36</v>
      </c>
      <c r="AO154" s="6">
        <v>0</v>
      </c>
      <c r="AP154" s="6">
        <v>0</v>
      </c>
      <c r="AQ154" s="6">
        <v>0</v>
      </c>
      <c r="AR154" s="6">
        <v>1</v>
      </c>
      <c r="AS154" s="6">
        <v>100</v>
      </c>
      <c r="AT154" s="6">
        <v>0</v>
      </c>
      <c r="AU154" s="10">
        <v>820</v>
      </c>
      <c r="AV154" s="13">
        <f t="shared" si="4"/>
        <v>784</v>
      </c>
      <c r="AW154" s="14">
        <f t="shared" si="5"/>
        <v>548.79999999999995</v>
      </c>
    </row>
    <row r="155" spans="1:49" ht="19.2" x14ac:dyDescent="0.4">
      <c r="A155" s="1" t="s">
        <v>195</v>
      </c>
      <c r="B155" s="4" t="s">
        <v>89</v>
      </c>
      <c r="C155" s="4">
        <v>443833</v>
      </c>
      <c r="D155" s="5"/>
      <c r="E155" s="4" t="s">
        <v>28</v>
      </c>
      <c r="F155" s="4" t="s">
        <v>90</v>
      </c>
      <c r="G155" s="4" t="str">
        <f>VLOOKUP(F155,[1]Sheet1!$B$2:$C$1111,2,FALSE)</f>
        <v>더컴퍼니</v>
      </c>
      <c r="H155" s="6" t="s">
        <v>9</v>
      </c>
      <c r="I155" s="6" t="s">
        <v>88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8</v>
      </c>
      <c r="AS155" s="6">
        <v>800</v>
      </c>
      <c r="AT155" s="6">
        <v>0</v>
      </c>
      <c r="AU155" s="10">
        <v>800</v>
      </c>
      <c r="AV155" s="13">
        <f t="shared" si="4"/>
        <v>800</v>
      </c>
      <c r="AW155" s="14">
        <f t="shared" si="5"/>
        <v>560</v>
      </c>
    </row>
    <row r="156" spans="1:49" x14ac:dyDescent="0.4">
      <c r="A156" s="1" t="s">
        <v>195</v>
      </c>
      <c r="B156" s="4" t="s">
        <v>59</v>
      </c>
      <c r="C156" s="4">
        <v>354950</v>
      </c>
      <c r="D156" s="5" t="s">
        <v>60</v>
      </c>
      <c r="E156" s="4" t="s">
        <v>28</v>
      </c>
      <c r="F156" s="4" t="s">
        <v>172</v>
      </c>
      <c r="G156" s="4" t="str">
        <f>VLOOKUP(F156,[1]Sheet1!$B$2:$C$1111,2,FALSE)</f>
        <v>에필로그</v>
      </c>
      <c r="H156" s="6" t="s">
        <v>8</v>
      </c>
      <c r="I156" s="6" t="s">
        <v>61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7</v>
      </c>
      <c r="AF156" s="6">
        <v>700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10">
        <v>700</v>
      </c>
      <c r="AV156" s="13">
        <f t="shared" si="4"/>
        <v>700</v>
      </c>
      <c r="AW156" s="14">
        <f t="shared" si="5"/>
        <v>489.99999999999994</v>
      </c>
    </row>
    <row r="157" spans="1:49" ht="19.2" x14ac:dyDescent="0.4">
      <c r="A157" s="1" t="s">
        <v>195</v>
      </c>
      <c r="B157" s="4" t="s">
        <v>132</v>
      </c>
      <c r="C157" s="4">
        <v>372422</v>
      </c>
      <c r="D157" s="5"/>
      <c r="E157" s="4" t="s">
        <v>28</v>
      </c>
      <c r="F157" s="4" t="s">
        <v>46</v>
      </c>
      <c r="G157" s="4" t="str">
        <f>VLOOKUP(F157,[1]Sheet1!$B$2:$C$1111,2,FALSE)</f>
        <v>더컴퍼니</v>
      </c>
      <c r="H157" s="6" t="s">
        <v>9</v>
      </c>
      <c r="I157" s="6" t="s">
        <v>133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1</v>
      </c>
      <c r="AF157" s="6">
        <v>100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3</v>
      </c>
      <c r="AS157" s="6">
        <v>300</v>
      </c>
      <c r="AT157" s="6">
        <v>0</v>
      </c>
      <c r="AU157" s="10">
        <v>400</v>
      </c>
      <c r="AV157" s="13">
        <f t="shared" si="4"/>
        <v>400</v>
      </c>
      <c r="AW157" s="14">
        <f t="shared" si="5"/>
        <v>280</v>
      </c>
    </row>
    <row r="158" spans="1:49" ht="19.2" x14ac:dyDescent="0.4">
      <c r="A158" s="1" t="s">
        <v>195</v>
      </c>
      <c r="B158" s="4" t="s">
        <v>76</v>
      </c>
      <c r="C158" s="4">
        <v>401407</v>
      </c>
      <c r="D158" s="5"/>
      <c r="E158" s="4" t="s">
        <v>28</v>
      </c>
      <c r="F158" s="4" t="s">
        <v>46</v>
      </c>
      <c r="G158" s="4" t="str">
        <f>VLOOKUP(F158,[1]Sheet1!$B$2:$C$1111,2,FALSE)</f>
        <v>더컴퍼니</v>
      </c>
      <c r="H158" s="6" t="s">
        <v>9</v>
      </c>
      <c r="I158" s="6" t="s">
        <v>77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3</v>
      </c>
      <c r="AF158" s="6">
        <v>300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10">
        <v>300</v>
      </c>
      <c r="AV158" s="13">
        <f t="shared" si="4"/>
        <v>300</v>
      </c>
      <c r="AW158" s="14">
        <f t="shared" si="5"/>
        <v>210</v>
      </c>
    </row>
    <row r="159" spans="1:49" ht="19.2" x14ac:dyDescent="0.4">
      <c r="A159" s="1" t="s">
        <v>195</v>
      </c>
      <c r="B159" s="4" t="s">
        <v>120</v>
      </c>
      <c r="C159" s="4">
        <v>443543</v>
      </c>
      <c r="D159" s="5"/>
      <c r="E159" s="4" t="s">
        <v>28</v>
      </c>
      <c r="F159" s="4" t="s">
        <v>46</v>
      </c>
      <c r="G159" s="4" t="str">
        <f>VLOOKUP(F159,[1]Sheet1!$B$2:$C$1111,2,FALSE)</f>
        <v>더컴퍼니</v>
      </c>
      <c r="H159" s="6" t="s">
        <v>9</v>
      </c>
      <c r="I159" s="6" t="s">
        <v>87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  <c r="AF159" s="6">
        <v>100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10">
        <v>100</v>
      </c>
      <c r="AV159" s="13">
        <f t="shared" si="4"/>
        <v>100</v>
      </c>
      <c r="AW159" s="14">
        <f t="shared" si="5"/>
        <v>70</v>
      </c>
    </row>
    <row r="160" spans="1:49" x14ac:dyDescent="0.4">
      <c r="AW160" s="15">
        <f>SUM(AW2:AW159)</f>
        <v>3073403.13</v>
      </c>
    </row>
    <row r="161" spans="47:47" x14ac:dyDescent="0.4">
      <c r="AU161" s="16"/>
    </row>
  </sheetData>
  <phoneticPr fontId="2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W50"/>
  <sheetViews>
    <sheetView topLeftCell="T43" workbookViewId="0">
      <selection activeCell="AD57" sqref="AD57"/>
    </sheetView>
  </sheetViews>
  <sheetFormatPr defaultRowHeight="17.399999999999999" x14ac:dyDescent="0.4"/>
  <cols>
    <col min="1" max="1" width="10" bestFit="1" customWidth="1"/>
    <col min="2" max="2" width="9.19921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6.7968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28" width="3.59765625" bestFit="1" customWidth="1"/>
    <col min="29" max="29" width="5.69921875" bestFit="1" customWidth="1"/>
    <col min="30" max="30" width="5" bestFit="1" customWidth="1"/>
    <col min="31" max="31" width="3.59765625" bestFit="1" customWidth="1"/>
    <col min="32" max="32" width="5.69921875" bestFit="1" customWidth="1"/>
    <col min="33" max="33" width="5" bestFit="1" customWidth="1"/>
    <col min="34" max="34" width="3.59765625" bestFit="1" customWidth="1"/>
    <col min="35" max="35" width="5.69921875" bestFit="1" customWidth="1"/>
    <col min="36" max="36" width="5" bestFit="1" customWidth="1"/>
    <col min="37" max="37" width="3.59765625" bestFit="1" customWidth="1"/>
    <col min="38" max="38" width="5.69921875" bestFit="1" customWidth="1"/>
    <col min="39" max="39" width="5" bestFit="1" customWidth="1"/>
    <col min="40" max="40" width="7.8984375" bestFit="1" customWidth="1"/>
    <col min="41" max="41" width="3.59765625" bestFit="1" customWidth="1"/>
    <col min="42" max="42" width="5.69921875" bestFit="1" customWidth="1"/>
    <col min="43" max="43" width="5" bestFit="1" customWidth="1"/>
    <col min="44" max="44" width="3.59765625" bestFit="1" customWidth="1"/>
    <col min="45" max="45" width="5.69921875" bestFit="1" customWidth="1"/>
    <col min="46" max="46" width="5" bestFit="1" customWidth="1"/>
    <col min="47" max="47" width="7.3984375" bestFit="1" customWidth="1"/>
    <col min="48" max="48" width="9.796875" bestFit="1" customWidth="1"/>
    <col min="49" max="49" width="10.6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183</v>
      </c>
      <c r="B2" s="4" t="s">
        <v>199</v>
      </c>
      <c r="C2" s="4">
        <v>461432</v>
      </c>
      <c r="D2" s="5"/>
      <c r="E2" s="4" t="s">
        <v>28</v>
      </c>
      <c r="F2" s="4" t="s">
        <v>172</v>
      </c>
      <c r="G2" s="4" t="s">
        <v>91</v>
      </c>
      <c r="H2" s="6" t="s">
        <v>135</v>
      </c>
      <c r="I2" s="6" t="s">
        <v>200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9">
        <v>681300</v>
      </c>
      <c r="AV2" s="13">
        <v>681300</v>
      </c>
      <c r="AW2" s="14">
        <v>476909.99999999994</v>
      </c>
    </row>
    <row r="3" spans="1:49" x14ac:dyDescent="0.4">
      <c r="A3" s="1" t="s">
        <v>183</v>
      </c>
      <c r="B3" s="4" t="s">
        <v>131</v>
      </c>
      <c r="C3" s="4">
        <v>455896</v>
      </c>
      <c r="D3" s="5"/>
      <c r="E3" s="4" t="s">
        <v>28</v>
      </c>
      <c r="F3" s="4" t="s">
        <v>172</v>
      </c>
      <c r="G3" s="4" t="s">
        <v>91</v>
      </c>
      <c r="H3" s="6" t="s">
        <v>8</v>
      </c>
      <c r="I3" s="6" t="s">
        <v>130</v>
      </c>
      <c r="J3" s="6">
        <v>3</v>
      </c>
      <c r="K3" s="6">
        <v>0</v>
      </c>
      <c r="L3" s="6">
        <v>300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3</v>
      </c>
      <c r="T3" s="6">
        <v>0</v>
      </c>
      <c r="U3" s="6">
        <v>300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3</v>
      </c>
      <c r="AC3" s="6">
        <v>0</v>
      </c>
      <c r="AD3" s="6">
        <v>0</v>
      </c>
      <c r="AE3" s="6">
        <v>3</v>
      </c>
      <c r="AF3" s="6">
        <v>0</v>
      </c>
      <c r="AG3" s="6">
        <v>0</v>
      </c>
      <c r="AH3" s="6">
        <v>3</v>
      </c>
      <c r="AI3" s="6">
        <v>0</v>
      </c>
      <c r="AJ3" s="6">
        <v>0</v>
      </c>
      <c r="AK3" s="6">
        <v>3</v>
      </c>
      <c r="AL3" s="6">
        <v>0</v>
      </c>
      <c r="AM3" s="6">
        <v>0</v>
      </c>
      <c r="AN3" s="6">
        <v>0</v>
      </c>
      <c r="AO3" s="6">
        <v>3</v>
      </c>
      <c r="AP3" s="6">
        <v>0</v>
      </c>
      <c r="AQ3" s="6">
        <v>0</v>
      </c>
      <c r="AR3" s="6">
        <v>3</v>
      </c>
      <c r="AS3" s="6">
        <v>0</v>
      </c>
      <c r="AT3" s="6">
        <v>0</v>
      </c>
      <c r="AU3" s="9">
        <v>539300</v>
      </c>
      <c r="AV3" s="13">
        <v>539300</v>
      </c>
      <c r="AW3" s="14">
        <v>377510</v>
      </c>
    </row>
    <row r="4" spans="1:49" ht="19.2" x14ac:dyDescent="0.4">
      <c r="A4" s="1" t="s">
        <v>183</v>
      </c>
      <c r="B4" s="4" t="s">
        <v>201</v>
      </c>
      <c r="C4" s="4">
        <v>451051</v>
      </c>
      <c r="D4" s="5"/>
      <c r="E4" s="4" t="s">
        <v>28</v>
      </c>
      <c r="F4" s="4" t="s">
        <v>172</v>
      </c>
      <c r="G4" s="4" t="s">
        <v>91</v>
      </c>
      <c r="H4" s="6" t="s">
        <v>135</v>
      </c>
      <c r="I4" s="6" t="s">
        <v>202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9">
        <v>320900</v>
      </c>
      <c r="AV4" s="13">
        <v>320900</v>
      </c>
      <c r="AW4" s="14">
        <v>224630</v>
      </c>
    </row>
    <row r="5" spans="1:49" ht="19.2" x14ac:dyDescent="0.4">
      <c r="A5" s="1" t="s">
        <v>183</v>
      </c>
      <c r="B5" s="4" t="s">
        <v>203</v>
      </c>
      <c r="C5" s="4">
        <v>461450</v>
      </c>
      <c r="D5" s="5"/>
      <c r="E5" s="4" t="s">
        <v>28</v>
      </c>
      <c r="F5" s="4" t="s">
        <v>172</v>
      </c>
      <c r="G5" s="4" t="s">
        <v>91</v>
      </c>
      <c r="H5" s="6" t="s">
        <v>135</v>
      </c>
      <c r="I5" s="6" t="s">
        <v>200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7">
        <v>127800</v>
      </c>
      <c r="AD5" s="7">
        <v>1500</v>
      </c>
      <c r="AE5" s="6">
        <v>0</v>
      </c>
      <c r="AF5" s="7">
        <v>127800</v>
      </c>
      <c r="AG5" s="7">
        <v>1500</v>
      </c>
      <c r="AH5" s="6">
        <v>0</v>
      </c>
      <c r="AI5" s="7">
        <v>127800</v>
      </c>
      <c r="AJ5" s="7">
        <v>1500</v>
      </c>
      <c r="AK5" s="6">
        <v>0</v>
      </c>
      <c r="AL5" s="7">
        <v>127800</v>
      </c>
      <c r="AM5" s="7">
        <v>1500</v>
      </c>
      <c r="AN5" s="6">
        <v>0</v>
      </c>
      <c r="AO5" s="6">
        <v>0</v>
      </c>
      <c r="AP5" s="7">
        <v>127800</v>
      </c>
      <c r="AQ5" s="7">
        <v>1500</v>
      </c>
      <c r="AR5" s="6">
        <v>0</v>
      </c>
      <c r="AS5" s="7">
        <v>127800</v>
      </c>
      <c r="AT5" s="7">
        <v>1500</v>
      </c>
      <c r="AU5" s="9">
        <v>174600</v>
      </c>
      <c r="AV5" s="13">
        <v>174600</v>
      </c>
      <c r="AW5" s="14">
        <v>122219.99999999999</v>
      </c>
    </row>
    <row r="6" spans="1:49" ht="19.2" x14ac:dyDescent="0.4">
      <c r="A6" s="1" t="s">
        <v>183</v>
      </c>
      <c r="B6" s="4" t="s">
        <v>52</v>
      </c>
      <c r="C6" s="4">
        <v>369060</v>
      </c>
      <c r="D6" s="5"/>
      <c r="E6" s="4" t="s">
        <v>28</v>
      </c>
      <c r="F6" s="4" t="s">
        <v>31</v>
      </c>
      <c r="G6" s="4" t="s">
        <v>91</v>
      </c>
      <c r="H6" s="6" t="s">
        <v>8</v>
      </c>
      <c r="I6" s="6" t="s">
        <v>53</v>
      </c>
      <c r="J6" s="6">
        <v>0</v>
      </c>
      <c r="K6" s="6">
        <v>10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9">
        <v>172500</v>
      </c>
      <c r="AV6" s="13">
        <v>172500</v>
      </c>
      <c r="AW6" s="14">
        <v>120749.99999999999</v>
      </c>
    </row>
    <row r="7" spans="1:49" ht="19.2" x14ac:dyDescent="0.4">
      <c r="A7" s="1" t="s">
        <v>183</v>
      </c>
      <c r="B7" s="4" t="s">
        <v>129</v>
      </c>
      <c r="C7" s="4">
        <v>455900</v>
      </c>
      <c r="D7" s="5"/>
      <c r="E7" s="4" t="s">
        <v>28</v>
      </c>
      <c r="F7" s="4" t="s">
        <v>172</v>
      </c>
      <c r="G7" s="4" t="s">
        <v>91</v>
      </c>
      <c r="H7" s="6" t="s">
        <v>8</v>
      </c>
      <c r="I7" s="6" t="s">
        <v>130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7">
        <v>84900</v>
      </c>
      <c r="AD7" s="7">
        <v>16600</v>
      </c>
      <c r="AE7" s="6">
        <v>0</v>
      </c>
      <c r="AF7" s="7">
        <v>84900</v>
      </c>
      <c r="AG7" s="7">
        <v>16600</v>
      </c>
      <c r="AH7" s="6">
        <v>0</v>
      </c>
      <c r="AI7" s="7">
        <v>84900</v>
      </c>
      <c r="AJ7" s="7">
        <v>16600</v>
      </c>
      <c r="AK7" s="6">
        <v>0</v>
      </c>
      <c r="AL7" s="7">
        <v>84900</v>
      </c>
      <c r="AM7" s="7">
        <v>16600</v>
      </c>
      <c r="AN7" s="6">
        <v>0</v>
      </c>
      <c r="AO7" s="6">
        <v>0</v>
      </c>
      <c r="AP7" s="7">
        <v>84900</v>
      </c>
      <c r="AQ7" s="7">
        <v>16600</v>
      </c>
      <c r="AR7" s="6">
        <v>0</v>
      </c>
      <c r="AS7" s="7">
        <v>84900</v>
      </c>
      <c r="AT7" s="7">
        <v>16600</v>
      </c>
      <c r="AU7" s="9">
        <v>145900</v>
      </c>
      <c r="AV7" s="13">
        <v>145900</v>
      </c>
      <c r="AW7" s="14">
        <v>102130</v>
      </c>
    </row>
    <row r="8" spans="1:49" ht="19.2" x14ac:dyDescent="0.4">
      <c r="A8" s="1" t="s">
        <v>183</v>
      </c>
      <c r="B8" s="4" t="s">
        <v>82</v>
      </c>
      <c r="C8" s="4">
        <v>380954</v>
      </c>
      <c r="D8" s="5"/>
      <c r="E8" s="4" t="s">
        <v>28</v>
      </c>
      <c r="F8" s="4" t="s">
        <v>31</v>
      </c>
      <c r="G8" s="4" t="s">
        <v>91</v>
      </c>
      <c r="H8" s="6" t="s">
        <v>8</v>
      </c>
      <c r="I8" s="6" t="s">
        <v>32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7">
        <v>83700</v>
      </c>
      <c r="AD8" s="6">
        <v>0</v>
      </c>
      <c r="AE8" s="6">
        <v>0</v>
      </c>
      <c r="AF8" s="7">
        <v>83700</v>
      </c>
      <c r="AG8" s="6">
        <v>0</v>
      </c>
      <c r="AH8" s="6">
        <v>0</v>
      </c>
      <c r="AI8" s="7">
        <v>83700</v>
      </c>
      <c r="AJ8" s="6">
        <v>0</v>
      </c>
      <c r="AK8" s="6">
        <v>0</v>
      </c>
      <c r="AL8" s="7">
        <v>83700</v>
      </c>
      <c r="AM8" s="6">
        <v>0</v>
      </c>
      <c r="AN8" s="6">
        <v>0</v>
      </c>
      <c r="AO8" s="6">
        <v>0</v>
      </c>
      <c r="AP8" s="7">
        <v>83700</v>
      </c>
      <c r="AQ8" s="6">
        <v>0</v>
      </c>
      <c r="AR8" s="6">
        <v>0</v>
      </c>
      <c r="AS8" s="7">
        <v>83700</v>
      </c>
      <c r="AT8" s="6">
        <v>0</v>
      </c>
      <c r="AU8" s="9">
        <v>107100</v>
      </c>
      <c r="AV8" s="13">
        <v>107100</v>
      </c>
      <c r="AW8" s="14">
        <v>74970</v>
      </c>
    </row>
    <row r="9" spans="1:49" x14ac:dyDescent="0.4">
      <c r="A9" s="1" t="s">
        <v>183</v>
      </c>
      <c r="B9" s="4" t="s">
        <v>59</v>
      </c>
      <c r="C9" s="4">
        <v>354950</v>
      </c>
      <c r="D9" s="5" t="s">
        <v>60</v>
      </c>
      <c r="E9" s="4" t="s">
        <v>28</v>
      </c>
      <c r="F9" s="4" t="s">
        <v>172</v>
      </c>
      <c r="G9" s="4" t="s">
        <v>91</v>
      </c>
      <c r="H9" s="6" t="s">
        <v>8</v>
      </c>
      <c r="I9" s="6" t="s">
        <v>61</v>
      </c>
      <c r="J9" s="6">
        <v>0</v>
      </c>
      <c r="K9" s="6">
        <v>92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92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9">
        <v>94500</v>
      </c>
      <c r="AV9" s="13">
        <v>94500</v>
      </c>
      <c r="AW9" s="14">
        <v>66150</v>
      </c>
    </row>
    <row r="10" spans="1:49" ht="19.2" x14ac:dyDescent="0.4">
      <c r="A10" s="1" t="s">
        <v>183</v>
      </c>
      <c r="B10" s="4" t="s">
        <v>128</v>
      </c>
      <c r="C10" s="4">
        <v>367412</v>
      </c>
      <c r="D10" s="5"/>
      <c r="E10" s="4" t="s">
        <v>28</v>
      </c>
      <c r="F10" s="4" t="s">
        <v>31</v>
      </c>
      <c r="G10" s="4" t="s">
        <v>91</v>
      </c>
      <c r="H10" s="6" t="s">
        <v>8</v>
      </c>
      <c r="I10" s="6" t="s">
        <v>32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64000</v>
      </c>
      <c r="AV10" s="13">
        <v>64000</v>
      </c>
      <c r="AW10" s="14">
        <v>44800</v>
      </c>
    </row>
    <row r="11" spans="1:49" ht="19.2" x14ac:dyDescent="0.4">
      <c r="A11" s="1" t="s">
        <v>183</v>
      </c>
      <c r="B11" s="4" t="s">
        <v>50</v>
      </c>
      <c r="C11" s="4">
        <v>382098</v>
      </c>
      <c r="D11" s="5"/>
      <c r="E11" s="4" t="s">
        <v>28</v>
      </c>
      <c r="F11" s="4" t="s">
        <v>172</v>
      </c>
      <c r="G11" s="4" t="s">
        <v>91</v>
      </c>
      <c r="H11" s="6" t="s">
        <v>8</v>
      </c>
      <c r="I11" s="6" t="s">
        <v>51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7">
        <v>35800</v>
      </c>
      <c r="AD11" s="7">
        <v>2000</v>
      </c>
      <c r="AE11" s="6">
        <v>0</v>
      </c>
      <c r="AF11" s="7">
        <v>35800</v>
      </c>
      <c r="AG11" s="7">
        <v>2000</v>
      </c>
      <c r="AH11" s="6">
        <v>0</v>
      </c>
      <c r="AI11" s="7">
        <v>35800</v>
      </c>
      <c r="AJ11" s="7">
        <v>2000</v>
      </c>
      <c r="AK11" s="6">
        <v>0</v>
      </c>
      <c r="AL11" s="7">
        <v>35800</v>
      </c>
      <c r="AM11" s="7">
        <v>2000</v>
      </c>
      <c r="AN11" s="6">
        <v>0</v>
      </c>
      <c r="AO11" s="6">
        <v>0</v>
      </c>
      <c r="AP11" s="7">
        <v>35800</v>
      </c>
      <c r="AQ11" s="7">
        <v>2000</v>
      </c>
      <c r="AR11" s="6">
        <v>0</v>
      </c>
      <c r="AS11" s="7">
        <v>35800</v>
      </c>
      <c r="AT11" s="7">
        <v>2000</v>
      </c>
      <c r="AU11" s="9">
        <v>47700</v>
      </c>
      <c r="AV11" s="13">
        <v>47700</v>
      </c>
      <c r="AW11" s="14">
        <v>33390</v>
      </c>
    </row>
    <row r="12" spans="1:49" ht="19.2" x14ac:dyDescent="0.4">
      <c r="A12" s="1" t="s">
        <v>183</v>
      </c>
      <c r="B12" s="4" t="s">
        <v>113</v>
      </c>
      <c r="C12" s="4">
        <v>453445</v>
      </c>
      <c r="D12" s="5"/>
      <c r="E12" s="4" t="s">
        <v>28</v>
      </c>
      <c r="F12" s="4" t="s">
        <v>172</v>
      </c>
      <c r="G12" s="4" t="s">
        <v>91</v>
      </c>
      <c r="H12" s="6" t="s">
        <v>9</v>
      </c>
      <c r="I12" s="6" t="s">
        <v>112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7">
        <v>35200</v>
      </c>
      <c r="AD12" s="7">
        <v>6200</v>
      </c>
      <c r="AE12" s="6">
        <v>0</v>
      </c>
      <c r="AF12" s="7">
        <v>35200</v>
      </c>
      <c r="AG12" s="7">
        <v>6200</v>
      </c>
      <c r="AH12" s="6">
        <v>0</v>
      </c>
      <c r="AI12" s="7">
        <v>35200</v>
      </c>
      <c r="AJ12" s="7">
        <v>6200</v>
      </c>
      <c r="AK12" s="6">
        <v>0</v>
      </c>
      <c r="AL12" s="7">
        <v>35200</v>
      </c>
      <c r="AM12" s="7">
        <v>6200</v>
      </c>
      <c r="AN12" s="6">
        <v>0</v>
      </c>
      <c r="AO12" s="6">
        <v>0</v>
      </c>
      <c r="AP12" s="7">
        <v>35200</v>
      </c>
      <c r="AQ12" s="7">
        <v>6200</v>
      </c>
      <c r="AR12" s="6">
        <v>0</v>
      </c>
      <c r="AS12" s="7">
        <v>35200</v>
      </c>
      <c r="AT12" s="7">
        <v>6200</v>
      </c>
      <c r="AU12" s="9">
        <v>41400</v>
      </c>
      <c r="AV12" s="13">
        <v>41400</v>
      </c>
      <c r="AW12" s="14">
        <v>28979.999999999996</v>
      </c>
    </row>
    <row r="13" spans="1:49" ht="19.2" x14ac:dyDescent="0.4">
      <c r="A13" s="1" t="s">
        <v>183</v>
      </c>
      <c r="B13" s="4" t="s">
        <v>55</v>
      </c>
      <c r="C13" s="4">
        <v>361185</v>
      </c>
      <c r="D13" s="5"/>
      <c r="E13" s="4" t="s">
        <v>28</v>
      </c>
      <c r="F13" s="4" t="s">
        <v>34</v>
      </c>
      <c r="G13" s="4" t="s">
        <v>91</v>
      </c>
      <c r="H13" s="6" t="s">
        <v>8</v>
      </c>
      <c r="I13" s="6" t="s">
        <v>56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35700</v>
      </c>
      <c r="AV13" s="13">
        <v>35700</v>
      </c>
      <c r="AW13" s="14">
        <v>24990</v>
      </c>
    </row>
    <row r="14" spans="1:49" ht="19.2" x14ac:dyDescent="0.4">
      <c r="A14" s="1" t="s">
        <v>183</v>
      </c>
      <c r="B14" s="4" t="s">
        <v>115</v>
      </c>
      <c r="C14" s="4">
        <v>454228</v>
      </c>
      <c r="D14" s="5"/>
      <c r="E14" s="4" t="s">
        <v>28</v>
      </c>
      <c r="F14" s="4" t="s">
        <v>172</v>
      </c>
      <c r="G14" s="4" t="s">
        <v>91</v>
      </c>
      <c r="H14" s="6" t="s">
        <v>8</v>
      </c>
      <c r="I14" s="6" t="s">
        <v>116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7">
        <v>2700</v>
      </c>
      <c r="AD14" s="6">
        <v>0</v>
      </c>
      <c r="AE14" s="6">
        <v>0</v>
      </c>
      <c r="AF14" s="7">
        <v>2700</v>
      </c>
      <c r="AG14" s="6">
        <v>0</v>
      </c>
      <c r="AH14" s="6">
        <v>0</v>
      </c>
      <c r="AI14" s="7">
        <v>2700</v>
      </c>
      <c r="AJ14" s="6">
        <v>0</v>
      </c>
      <c r="AK14" s="6">
        <v>0</v>
      </c>
      <c r="AL14" s="7">
        <v>2700</v>
      </c>
      <c r="AM14" s="6">
        <v>0</v>
      </c>
      <c r="AN14" s="6">
        <v>0</v>
      </c>
      <c r="AO14" s="6">
        <v>0</v>
      </c>
      <c r="AP14" s="7">
        <v>2700</v>
      </c>
      <c r="AQ14" s="6">
        <v>0</v>
      </c>
      <c r="AR14" s="6">
        <v>0</v>
      </c>
      <c r="AS14" s="7">
        <v>2700</v>
      </c>
      <c r="AT14" s="6">
        <v>0</v>
      </c>
      <c r="AU14" s="9">
        <v>27400</v>
      </c>
      <c r="AV14" s="13">
        <v>27400</v>
      </c>
      <c r="AW14" s="14">
        <v>19180</v>
      </c>
    </row>
    <row r="15" spans="1:49" ht="19.2" x14ac:dyDescent="0.4">
      <c r="A15" s="1" t="s">
        <v>183</v>
      </c>
      <c r="B15" s="4" t="s">
        <v>41</v>
      </c>
      <c r="C15" s="4">
        <v>379289</v>
      </c>
      <c r="D15" s="5"/>
      <c r="E15" s="4" t="s">
        <v>28</v>
      </c>
      <c r="F15" s="4" t="s">
        <v>34</v>
      </c>
      <c r="G15" s="4" t="s">
        <v>91</v>
      </c>
      <c r="H15" s="6" t="s">
        <v>8</v>
      </c>
      <c r="I15" s="6" t="s">
        <v>42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7">
        <v>13900</v>
      </c>
      <c r="AD15" s="7">
        <v>1400</v>
      </c>
      <c r="AE15" s="6">
        <v>0</v>
      </c>
      <c r="AF15" s="7">
        <v>13900</v>
      </c>
      <c r="AG15" s="7">
        <v>1400</v>
      </c>
      <c r="AH15" s="6">
        <v>0</v>
      </c>
      <c r="AI15" s="7">
        <v>13900</v>
      </c>
      <c r="AJ15" s="7">
        <v>1400</v>
      </c>
      <c r="AK15" s="6">
        <v>0</v>
      </c>
      <c r="AL15" s="7">
        <v>13900</v>
      </c>
      <c r="AM15" s="7">
        <v>1400</v>
      </c>
      <c r="AN15" s="6">
        <v>0</v>
      </c>
      <c r="AO15" s="6">
        <v>0</v>
      </c>
      <c r="AP15" s="7">
        <v>13900</v>
      </c>
      <c r="AQ15" s="7">
        <v>1400</v>
      </c>
      <c r="AR15" s="6">
        <v>0</v>
      </c>
      <c r="AS15" s="7">
        <v>13900</v>
      </c>
      <c r="AT15" s="7">
        <v>1400</v>
      </c>
      <c r="AU15" s="9">
        <v>24100</v>
      </c>
      <c r="AV15" s="13">
        <v>24100</v>
      </c>
      <c r="AW15" s="14">
        <v>16870</v>
      </c>
    </row>
    <row r="16" spans="1:49" ht="19.2" x14ac:dyDescent="0.4">
      <c r="A16" s="1" t="s">
        <v>183</v>
      </c>
      <c r="B16" s="4" t="s">
        <v>111</v>
      </c>
      <c r="C16" s="4">
        <v>453397</v>
      </c>
      <c r="D16" s="5"/>
      <c r="E16" s="4" t="s">
        <v>28</v>
      </c>
      <c r="F16" s="4" t="s">
        <v>172</v>
      </c>
      <c r="G16" s="4" t="s">
        <v>91</v>
      </c>
      <c r="H16" s="6" t="s">
        <v>9</v>
      </c>
      <c r="I16" s="6" t="s">
        <v>112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21500</v>
      </c>
      <c r="AV16" s="13">
        <v>21500</v>
      </c>
      <c r="AW16" s="14">
        <v>15049.999999999998</v>
      </c>
    </row>
    <row r="17" spans="1:49" x14ac:dyDescent="0.4">
      <c r="A17" s="1" t="s">
        <v>183</v>
      </c>
      <c r="B17" s="4" t="s">
        <v>114</v>
      </c>
      <c r="C17" s="4">
        <v>451947</v>
      </c>
      <c r="D17" s="5"/>
      <c r="E17" s="4" t="s">
        <v>28</v>
      </c>
      <c r="F17" s="4" t="s">
        <v>172</v>
      </c>
      <c r="G17" s="4" t="s">
        <v>91</v>
      </c>
      <c r="H17" s="6" t="s">
        <v>8</v>
      </c>
      <c r="I17" s="6" t="s">
        <v>112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18500</v>
      </c>
      <c r="AV17" s="13">
        <v>18500</v>
      </c>
      <c r="AW17" s="14">
        <v>12950</v>
      </c>
    </row>
    <row r="18" spans="1:49" ht="19.2" x14ac:dyDescent="0.4">
      <c r="A18" s="1" t="s">
        <v>183</v>
      </c>
      <c r="B18" s="4" t="s">
        <v>47</v>
      </c>
      <c r="C18" s="4">
        <v>424315</v>
      </c>
      <c r="D18" s="5"/>
      <c r="E18" s="4" t="s">
        <v>28</v>
      </c>
      <c r="F18" s="4" t="s">
        <v>34</v>
      </c>
      <c r="G18" s="4" t="s">
        <v>91</v>
      </c>
      <c r="H18" s="6" t="s">
        <v>8</v>
      </c>
      <c r="I18" s="6" t="s">
        <v>48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7">
        <v>11700</v>
      </c>
      <c r="AD18" s="6">
        <v>0</v>
      </c>
      <c r="AE18" s="6">
        <v>0</v>
      </c>
      <c r="AF18" s="7">
        <v>11700</v>
      </c>
      <c r="AG18" s="6">
        <v>0</v>
      </c>
      <c r="AH18" s="6">
        <v>0</v>
      </c>
      <c r="AI18" s="7">
        <v>11700</v>
      </c>
      <c r="AJ18" s="6">
        <v>0</v>
      </c>
      <c r="AK18" s="6">
        <v>0</v>
      </c>
      <c r="AL18" s="7">
        <v>11700</v>
      </c>
      <c r="AM18" s="6">
        <v>0</v>
      </c>
      <c r="AN18" s="6">
        <v>0</v>
      </c>
      <c r="AO18" s="6">
        <v>0</v>
      </c>
      <c r="AP18" s="7">
        <v>11700</v>
      </c>
      <c r="AQ18" s="6">
        <v>0</v>
      </c>
      <c r="AR18" s="6">
        <v>0</v>
      </c>
      <c r="AS18" s="7">
        <v>11700</v>
      </c>
      <c r="AT18" s="6">
        <v>0</v>
      </c>
      <c r="AU18" s="9">
        <v>18000</v>
      </c>
      <c r="AV18" s="13">
        <v>18000</v>
      </c>
      <c r="AW18" s="14">
        <v>12600</v>
      </c>
    </row>
    <row r="19" spans="1:49" x14ac:dyDescent="0.4">
      <c r="A19" s="1" t="s">
        <v>183</v>
      </c>
      <c r="B19" s="4" t="s">
        <v>39</v>
      </c>
      <c r="C19" s="4">
        <v>367415</v>
      </c>
      <c r="D19" s="5"/>
      <c r="E19" s="4" t="s">
        <v>28</v>
      </c>
      <c r="F19" s="4" t="s">
        <v>31</v>
      </c>
      <c r="G19" s="4" t="s">
        <v>91</v>
      </c>
      <c r="H19" s="6" t="s">
        <v>8</v>
      </c>
      <c r="I19" s="6" t="s">
        <v>40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16300</v>
      </c>
      <c r="AV19" s="13">
        <v>16300</v>
      </c>
      <c r="AW19" s="14">
        <v>11410</v>
      </c>
    </row>
    <row r="20" spans="1:49" ht="19.2" x14ac:dyDescent="0.4">
      <c r="A20" s="1" t="s">
        <v>183</v>
      </c>
      <c r="B20" s="4" t="s">
        <v>49</v>
      </c>
      <c r="C20" s="4">
        <v>408836</v>
      </c>
      <c r="D20" s="5"/>
      <c r="E20" s="4" t="s">
        <v>28</v>
      </c>
      <c r="F20" s="4" t="s">
        <v>34</v>
      </c>
      <c r="G20" s="4" t="s">
        <v>91</v>
      </c>
      <c r="H20" s="6" t="s">
        <v>8</v>
      </c>
      <c r="I20" s="6" t="s">
        <v>11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7">
        <v>4200</v>
      </c>
      <c r="AD20" s="6">
        <v>0</v>
      </c>
      <c r="AE20" s="6">
        <v>0</v>
      </c>
      <c r="AF20" s="7">
        <v>4200</v>
      </c>
      <c r="AG20" s="6">
        <v>0</v>
      </c>
      <c r="AH20" s="6">
        <v>0</v>
      </c>
      <c r="AI20" s="7">
        <v>4200</v>
      </c>
      <c r="AJ20" s="6">
        <v>0</v>
      </c>
      <c r="AK20" s="6">
        <v>0</v>
      </c>
      <c r="AL20" s="7">
        <v>4200</v>
      </c>
      <c r="AM20" s="6">
        <v>0</v>
      </c>
      <c r="AN20" s="6">
        <v>0</v>
      </c>
      <c r="AO20" s="6">
        <v>0</v>
      </c>
      <c r="AP20" s="7">
        <v>4200</v>
      </c>
      <c r="AQ20" s="6">
        <v>0</v>
      </c>
      <c r="AR20" s="6">
        <v>0</v>
      </c>
      <c r="AS20" s="7">
        <v>4200</v>
      </c>
      <c r="AT20" s="6">
        <v>0</v>
      </c>
      <c r="AU20" s="9">
        <v>12200</v>
      </c>
      <c r="AV20" s="13">
        <v>12200</v>
      </c>
      <c r="AW20" s="14">
        <v>8540</v>
      </c>
    </row>
    <row r="21" spans="1:49" ht="19.2" x14ac:dyDescent="0.4">
      <c r="A21" s="1" t="s">
        <v>183</v>
      </c>
      <c r="B21" s="4" t="s">
        <v>117</v>
      </c>
      <c r="C21" s="4">
        <v>451972</v>
      </c>
      <c r="D21" s="5"/>
      <c r="E21" s="4" t="s">
        <v>28</v>
      </c>
      <c r="F21" s="4" t="s">
        <v>172</v>
      </c>
      <c r="G21" s="4" t="s">
        <v>91</v>
      </c>
      <c r="H21" s="6" t="s">
        <v>8</v>
      </c>
      <c r="I21" s="6" t="s">
        <v>112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7">
        <v>8600</v>
      </c>
      <c r="AD21" s="6">
        <v>400</v>
      </c>
      <c r="AE21" s="6">
        <v>0</v>
      </c>
      <c r="AF21" s="7">
        <v>8600</v>
      </c>
      <c r="AG21" s="6">
        <v>400</v>
      </c>
      <c r="AH21" s="6">
        <v>0</v>
      </c>
      <c r="AI21" s="7">
        <v>8600</v>
      </c>
      <c r="AJ21" s="6">
        <v>400</v>
      </c>
      <c r="AK21" s="6">
        <v>0</v>
      </c>
      <c r="AL21" s="7">
        <v>8600</v>
      </c>
      <c r="AM21" s="6">
        <v>400</v>
      </c>
      <c r="AN21" s="6">
        <v>0</v>
      </c>
      <c r="AO21" s="6">
        <v>0</v>
      </c>
      <c r="AP21" s="7">
        <v>8600</v>
      </c>
      <c r="AQ21" s="6">
        <v>400</v>
      </c>
      <c r="AR21" s="6">
        <v>0</v>
      </c>
      <c r="AS21" s="7">
        <v>8600</v>
      </c>
      <c r="AT21" s="6">
        <v>400</v>
      </c>
      <c r="AU21" s="9">
        <v>9000</v>
      </c>
      <c r="AV21" s="13">
        <v>9000</v>
      </c>
      <c r="AW21" s="14">
        <v>6300</v>
      </c>
    </row>
    <row r="22" spans="1:49" ht="19.2" x14ac:dyDescent="0.4">
      <c r="A22" s="1" t="s">
        <v>183</v>
      </c>
      <c r="B22" s="4" t="s">
        <v>204</v>
      </c>
      <c r="C22" s="4">
        <v>365225</v>
      </c>
      <c r="D22" s="5"/>
      <c r="E22" s="4" t="s">
        <v>28</v>
      </c>
      <c r="F22" s="4" t="s">
        <v>34</v>
      </c>
      <c r="G22" s="4" t="s">
        <v>91</v>
      </c>
      <c r="H22" s="6" t="s">
        <v>8</v>
      </c>
      <c r="I22" s="6" t="s">
        <v>205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7">
        <v>8100</v>
      </c>
      <c r="AD22" s="6">
        <v>0</v>
      </c>
      <c r="AE22" s="6">
        <v>0</v>
      </c>
      <c r="AF22" s="7">
        <v>8100</v>
      </c>
      <c r="AG22" s="6">
        <v>0</v>
      </c>
      <c r="AH22" s="6">
        <v>0</v>
      </c>
      <c r="AI22" s="7">
        <v>8100</v>
      </c>
      <c r="AJ22" s="6">
        <v>0</v>
      </c>
      <c r="AK22" s="6">
        <v>0</v>
      </c>
      <c r="AL22" s="7">
        <v>8100</v>
      </c>
      <c r="AM22" s="6">
        <v>0</v>
      </c>
      <c r="AN22" s="6">
        <v>0</v>
      </c>
      <c r="AO22" s="6">
        <v>0</v>
      </c>
      <c r="AP22" s="7">
        <v>8100</v>
      </c>
      <c r="AQ22" s="6">
        <v>0</v>
      </c>
      <c r="AR22" s="6">
        <v>0</v>
      </c>
      <c r="AS22" s="7">
        <v>8100</v>
      </c>
      <c r="AT22" s="6">
        <v>0</v>
      </c>
      <c r="AU22" s="9">
        <v>8100</v>
      </c>
      <c r="AV22" s="13">
        <v>8100</v>
      </c>
      <c r="AW22" s="14">
        <v>5670</v>
      </c>
    </row>
    <row r="23" spans="1:49" ht="19.2" x14ac:dyDescent="0.4">
      <c r="A23" s="1" t="s">
        <v>183</v>
      </c>
      <c r="B23" s="4" t="s">
        <v>124</v>
      </c>
      <c r="C23" s="4">
        <v>408834</v>
      </c>
      <c r="D23" s="5"/>
      <c r="E23" s="4" t="s">
        <v>28</v>
      </c>
      <c r="F23" s="4" t="s">
        <v>34</v>
      </c>
      <c r="G23" s="4" t="s">
        <v>91</v>
      </c>
      <c r="H23" s="6" t="s">
        <v>8</v>
      </c>
      <c r="I23" s="6" t="s">
        <v>125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7">
        <v>7900</v>
      </c>
      <c r="AD23" s="6">
        <v>200</v>
      </c>
      <c r="AE23" s="6">
        <v>0</v>
      </c>
      <c r="AF23" s="7">
        <v>7900</v>
      </c>
      <c r="AG23" s="6">
        <v>200</v>
      </c>
      <c r="AH23" s="6">
        <v>0</v>
      </c>
      <c r="AI23" s="7">
        <v>7900</v>
      </c>
      <c r="AJ23" s="6">
        <v>200</v>
      </c>
      <c r="AK23" s="6">
        <v>0</v>
      </c>
      <c r="AL23" s="7">
        <v>7900</v>
      </c>
      <c r="AM23" s="6">
        <v>200</v>
      </c>
      <c r="AN23" s="6">
        <v>0</v>
      </c>
      <c r="AO23" s="6">
        <v>0</v>
      </c>
      <c r="AP23" s="7">
        <v>7900</v>
      </c>
      <c r="AQ23" s="6">
        <v>200</v>
      </c>
      <c r="AR23" s="6">
        <v>0</v>
      </c>
      <c r="AS23" s="7">
        <v>7900</v>
      </c>
      <c r="AT23" s="6">
        <v>200</v>
      </c>
      <c r="AU23" s="9">
        <v>8100</v>
      </c>
      <c r="AV23" s="13">
        <v>8100</v>
      </c>
      <c r="AW23" s="14">
        <v>5670</v>
      </c>
    </row>
    <row r="24" spans="1:49" ht="28.8" x14ac:dyDescent="0.4">
      <c r="A24" s="1" t="s">
        <v>183</v>
      </c>
      <c r="B24" s="4" t="s">
        <v>96</v>
      </c>
      <c r="C24" s="4">
        <v>445598</v>
      </c>
      <c r="D24" s="5"/>
      <c r="E24" s="4" t="s">
        <v>28</v>
      </c>
      <c r="F24" s="4" t="s">
        <v>172</v>
      </c>
      <c r="G24" s="4" t="s">
        <v>91</v>
      </c>
      <c r="H24" s="6" t="s">
        <v>8</v>
      </c>
      <c r="I24" s="6" t="s">
        <v>93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7200</v>
      </c>
      <c r="AV24" s="13">
        <v>7200</v>
      </c>
      <c r="AW24" s="14">
        <v>5040</v>
      </c>
    </row>
    <row r="25" spans="1:49" x14ac:dyDescent="0.4">
      <c r="A25" s="1" t="s">
        <v>183</v>
      </c>
      <c r="B25" s="4" t="s">
        <v>33</v>
      </c>
      <c r="C25" s="4">
        <v>397687</v>
      </c>
      <c r="D25" s="5"/>
      <c r="E25" s="4" t="s">
        <v>28</v>
      </c>
      <c r="F25" s="4" t="s">
        <v>34</v>
      </c>
      <c r="G25" s="4" t="s">
        <v>91</v>
      </c>
      <c r="H25" s="6" t="s">
        <v>8</v>
      </c>
      <c r="I25" s="6" t="s">
        <v>35</v>
      </c>
      <c r="J25" s="6">
        <v>0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5500</v>
      </c>
      <c r="AV25" s="13">
        <v>5500</v>
      </c>
      <c r="AW25" s="14">
        <v>3849.9999999999995</v>
      </c>
    </row>
    <row r="26" spans="1:49" x14ac:dyDescent="0.4">
      <c r="A26" s="1" t="s">
        <v>183</v>
      </c>
      <c r="B26" s="4" t="s">
        <v>118</v>
      </c>
      <c r="C26" s="4">
        <v>454224</v>
      </c>
      <c r="D26" s="5"/>
      <c r="E26" s="4" t="s">
        <v>28</v>
      </c>
      <c r="F26" s="4" t="s">
        <v>172</v>
      </c>
      <c r="G26" s="4" t="s">
        <v>91</v>
      </c>
      <c r="H26" s="6" t="s">
        <v>8</v>
      </c>
      <c r="I26" s="6" t="s">
        <v>116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4600</v>
      </c>
      <c r="AV26" s="13">
        <v>4600</v>
      </c>
      <c r="AW26" s="14">
        <v>3220</v>
      </c>
    </row>
    <row r="27" spans="1:49" x14ac:dyDescent="0.4">
      <c r="A27" s="1" t="s">
        <v>183</v>
      </c>
      <c r="B27" s="4" t="s">
        <v>150</v>
      </c>
      <c r="C27" s="4">
        <v>408838</v>
      </c>
      <c r="D27" s="5"/>
      <c r="E27" s="4" t="s">
        <v>28</v>
      </c>
      <c r="F27" s="4" t="s">
        <v>34</v>
      </c>
      <c r="G27" s="4" t="s">
        <v>91</v>
      </c>
      <c r="H27" s="6" t="s">
        <v>8</v>
      </c>
      <c r="I27" s="6" t="s">
        <v>125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1700</v>
      </c>
      <c r="AV27" s="13">
        <v>1700</v>
      </c>
      <c r="AW27" s="14">
        <v>1190</v>
      </c>
    </row>
    <row r="28" spans="1:49" ht="28.8" x14ac:dyDescent="0.4">
      <c r="A28" s="1" t="s">
        <v>183</v>
      </c>
      <c r="B28" s="4" t="s">
        <v>92</v>
      </c>
      <c r="C28" s="4">
        <v>445576</v>
      </c>
      <c r="D28" s="5"/>
      <c r="E28" s="4" t="s">
        <v>28</v>
      </c>
      <c r="F28" s="4" t="s">
        <v>172</v>
      </c>
      <c r="G28" s="4" t="s">
        <v>91</v>
      </c>
      <c r="H28" s="6" t="s">
        <v>8</v>
      </c>
      <c r="I28" s="6" t="s">
        <v>93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900</v>
      </c>
      <c r="AE28" s="6">
        <v>0</v>
      </c>
      <c r="AF28" s="6">
        <v>0</v>
      </c>
      <c r="AG28" s="6">
        <v>900</v>
      </c>
      <c r="AH28" s="6">
        <v>0</v>
      </c>
      <c r="AI28" s="6">
        <v>0</v>
      </c>
      <c r="AJ28" s="6">
        <v>900</v>
      </c>
      <c r="AK28" s="6">
        <v>0</v>
      </c>
      <c r="AL28" s="6">
        <v>0</v>
      </c>
      <c r="AM28" s="6">
        <v>900</v>
      </c>
      <c r="AN28" s="6">
        <v>0</v>
      </c>
      <c r="AO28" s="6">
        <v>0</v>
      </c>
      <c r="AP28" s="6">
        <v>0</v>
      </c>
      <c r="AQ28" s="6">
        <v>900</v>
      </c>
      <c r="AR28" s="6">
        <v>0</v>
      </c>
      <c r="AS28" s="6">
        <v>0</v>
      </c>
      <c r="AT28" s="6">
        <v>900</v>
      </c>
      <c r="AU28" s="10">
        <v>900</v>
      </c>
      <c r="AV28" s="13">
        <v>900</v>
      </c>
      <c r="AW28" s="14">
        <v>630</v>
      </c>
    </row>
    <row r="29" spans="1:49" ht="19.2" x14ac:dyDescent="0.4">
      <c r="A29" s="1" t="s">
        <v>183</v>
      </c>
      <c r="B29" s="4" t="s">
        <v>229</v>
      </c>
      <c r="C29" s="4">
        <v>408846</v>
      </c>
      <c r="D29" s="5"/>
      <c r="E29" s="4" t="s">
        <v>28</v>
      </c>
      <c r="F29" s="4" t="s">
        <v>34</v>
      </c>
      <c r="G29" s="4" t="s">
        <v>91</v>
      </c>
      <c r="H29" s="6" t="s">
        <v>8</v>
      </c>
      <c r="I29" s="6" t="s">
        <v>230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900</v>
      </c>
      <c r="AD29" s="6">
        <v>0</v>
      </c>
      <c r="AE29" s="6">
        <v>0</v>
      </c>
      <c r="AF29" s="6">
        <v>900</v>
      </c>
      <c r="AG29" s="6">
        <v>0</v>
      </c>
      <c r="AH29" s="6">
        <v>0</v>
      </c>
      <c r="AI29" s="6">
        <v>900</v>
      </c>
      <c r="AJ29" s="6">
        <v>0</v>
      </c>
      <c r="AK29" s="6">
        <v>0</v>
      </c>
      <c r="AL29" s="6">
        <v>900</v>
      </c>
      <c r="AM29" s="6">
        <v>0</v>
      </c>
      <c r="AN29" s="6">
        <v>0</v>
      </c>
      <c r="AO29" s="6">
        <v>0</v>
      </c>
      <c r="AP29" s="6">
        <v>900</v>
      </c>
      <c r="AQ29" s="6">
        <v>0</v>
      </c>
      <c r="AR29" s="6">
        <v>0</v>
      </c>
      <c r="AS29" s="6">
        <v>900</v>
      </c>
      <c r="AT29" s="6">
        <v>0</v>
      </c>
      <c r="AU29" s="10">
        <v>900</v>
      </c>
      <c r="AV29" s="13">
        <v>900</v>
      </c>
      <c r="AW29" s="14">
        <v>630</v>
      </c>
    </row>
    <row r="30" spans="1:49" ht="19.2" x14ac:dyDescent="0.4">
      <c r="A30" s="1" t="s">
        <v>183</v>
      </c>
      <c r="B30" s="4" t="s">
        <v>108</v>
      </c>
      <c r="C30" s="4">
        <v>408833</v>
      </c>
      <c r="D30" s="5"/>
      <c r="E30" s="4" t="s">
        <v>28</v>
      </c>
      <c r="F30" s="4" t="s">
        <v>34</v>
      </c>
      <c r="G30" s="4" t="s">
        <v>91</v>
      </c>
      <c r="H30" s="6" t="s">
        <v>8</v>
      </c>
      <c r="I30" s="6" t="s">
        <v>109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900</v>
      </c>
      <c r="AD30" s="6">
        <v>0</v>
      </c>
      <c r="AE30" s="6">
        <v>0</v>
      </c>
      <c r="AF30" s="6">
        <v>900</v>
      </c>
      <c r="AG30" s="6">
        <v>0</v>
      </c>
      <c r="AH30" s="6">
        <v>0</v>
      </c>
      <c r="AI30" s="6">
        <v>900</v>
      </c>
      <c r="AJ30" s="6">
        <v>0</v>
      </c>
      <c r="AK30" s="6">
        <v>0</v>
      </c>
      <c r="AL30" s="6">
        <v>900</v>
      </c>
      <c r="AM30" s="6">
        <v>0</v>
      </c>
      <c r="AN30" s="6">
        <v>0</v>
      </c>
      <c r="AO30" s="6">
        <v>0</v>
      </c>
      <c r="AP30" s="6">
        <v>900</v>
      </c>
      <c r="AQ30" s="6">
        <v>0</v>
      </c>
      <c r="AR30" s="6">
        <v>0</v>
      </c>
      <c r="AS30" s="6">
        <v>900</v>
      </c>
      <c r="AT30" s="6">
        <v>0</v>
      </c>
      <c r="AU30" s="10">
        <v>900</v>
      </c>
      <c r="AV30" s="13">
        <v>900</v>
      </c>
      <c r="AW30" s="14">
        <v>630</v>
      </c>
    </row>
    <row r="31" spans="1:49" ht="19.2" x14ac:dyDescent="0.4">
      <c r="A31" s="1" t="s">
        <v>194</v>
      </c>
      <c r="B31" s="4" t="s">
        <v>199</v>
      </c>
      <c r="C31" s="4">
        <v>461432</v>
      </c>
      <c r="D31" s="5"/>
      <c r="E31" s="4" t="s">
        <v>28</v>
      </c>
      <c r="F31" s="4" t="s">
        <v>172</v>
      </c>
      <c r="G31" s="4" t="s">
        <v>91</v>
      </c>
      <c r="H31" s="6" t="s">
        <v>135</v>
      </c>
      <c r="I31" s="6" t="s">
        <v>200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8">
        <v>1896.3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9">
        <v>73721</v>
      </c>
      <c r="AV31" s="13">
        <v>71824.7</v>
      </c>
      <c r="AW31" s="14">
        <v>50277.289999999994</v>
      </c>
    </row>
    <row r="32" spans="1:49" x14ac:dyDescent="0.4">
      <c r="A32" s="1" t="s">
        <v>194</v>
      </c>
      <c r="B32" s="4" t="s">
        <v>59</v>
      </c>
      <c r="C32" s="4">
        <v>354950</v>
      </c>
      <c r="D32" s="5" t="s">
        <v>60</v>
      </c>
      <c r="E32" s="4" t="s">
        <v>28</v>
      </c>
      <c r="F32" s="4" t="s">
        <v>172</v>
      </c>
      <c r="G32" s="4" t="s">
        <v>91</v>
      </c>
      <c r="H32" s="6" t="s">
        <v>8</v>
      </c>
      <c r="I32" s="6" t="s">
        <v>61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9">
        <v>47700</v>
      </c>
      <c r="AV32" s="13">
        <v>47700</v>
      </c>
      <c r="AW32" s="14">
        <v>33390</v>
      </c>
    </row>
    <row r="33" spans="1:49" x14ac:dyDescent="0.4">
      <c r="A33" s="1" t="s">
        <v>194</v>
      </c>
      <c r="B33" s="4" t="s">
        <v>131</v>
      </c>
      <c r="C33" s="4">
        <v>455896</v>
      </c>
      <c r="D33" s="5"/>
      <c r="E33" s="4" t="s">
        <v>28</v>
      </c>
      <c r="F33" s="4" t="s">
        <v>172</v>
      </c>
      <c r="G33" s="4" t="s">
        <v>91</v>
      </c>
      <c r="H33" s="6" t="s">
        <v>8</v>
      </c>
      <c r="I33" s="6" t="s">
        <v>130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9">
        <v>34600</v>
      </c>
      <c r="AV33" s="13">
        <v>34600</v>
      </c>
      <c r="AW33" s="14">
        <v>24220</v>
      </c>
    </row>
    <row r="34" spans="1:49" ht="19.2" x14ac:dyDescent="0.4">
      <c r="A34" s="1" t="s">
        <v>194</v>
      </c>
      <c r="B34" s="4" t="s">
        <v>82</v>
      </c>
      <c r="C34" s="4">
        <v>380954</v>
      </c>
      <c r="D34" s="5"/>
      <c r="E34" s="4" t="s">
        <v>28</v>
      </c>
      <c r="F34" s="4" t="s">
        <v>31</v>
      </c>
      <c r="G34" s="4" t="s">
        <v>91</v>
      </c>
      <c r="H34" s="6" t="s">
        <v>8</v>
      </c>
      <c r="I34" s="6" t="s">
        <v>32</v>
      </c>
      <c r="J34" s="6">
        <v>0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7">
        <v>6800</v>
      </c>
      <c r="AD34" s="7">
        <v>2700</v>
      </c>
      <c r="AE34" s="6">
        <v>0</v>
      </c>
      <c r="AF34" s="7">
        <v>6800</v>
      </c>
      <c r="AG34" s="7">
        <v>2700</v>
      </c>
      <c r="AH34" s="6">
        <v>0</v>
      </c>
      <c r="AI34" s="7">
        <v>6800</v>
      </c>
      <c r="AJ34" s="7">
        <v>2700</v>
      </c>
      <c r="AK34" s="6">
        <v>0</v>
      </c>
      <c r="AL34" s="7">
        <v>6800</v>
      </c>
      <c r="AM34" s="7">
        <v>2700</v>
      </c>
      <c r="AN34" s="6">
        <v>0</v>
      </c>
      <c r="AO34" s="6">
        <v>0</v>
      </c>
      <c r="AP34" s="7">
        <v>6800</v>
      </c>
      <c r="AQ34" s="7">
        <v>2700</v>
      </c>
      <c r="AR34" s="6">
        <v>0</v>
      </c>
      <c r="AS34" s="7">
        <v>6800</v>
      </c>
      <c r="AT34" s="7">
        <v>2700</v>
      </c>
      <c r="AU34" s="9">
        <v>15300</v>
      </c>
      <c r="AV34" s="13">
        <v>15300</v>
      </c>
      <c r="AW34" s="14">
        <v>10710</v>
      </c>
    </row>
    <row r="35" spans="1:49" ht="19.2" x14ac:dyDescent="0.4">
      <c r="A35" s="1" t="s">
        <v>194</v>
      </c>
      <c r="B35" s="4" t="s">
        <v>113</v>
      </c>
      <c r="C35" s="4">
        <v>453445</v>
      </c>
      <c r="D35" s="5"/>
      <c r="E35" s="4" t="s">
        <v>28</v>
      </c>
      <c r="F35" s="4" t="s">
        <v>172</v>
      </c>
      <c r="G35" s="4" t="s">
        <v>91</v>
      </c>
      <c r="H35" s="6" t="s">
        <v>9</v>
      </c>
      <c r="I35" s="6" t="s">
        <v>112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7">
        <v>13500</v>
      </c>
      <c r="AD35" s="6">
        <v>0</v>
      </c>
      <c r="AE35" s="6">
        <v>0</v>
      </c>
      <c r="AF35" s="7">
        <v>13500</v>
      </c>
      <c r="AG35" s="6">
        <v>0</v>
      </c>
      <c r="AH35" s="6">
        <v>0</v>
      </c>
      <c r="AI35" s="7">
        <v>13500</v>
      </c>
      <c r="AJ35" s="6">
        <v>0</v>
      </c>
      <c r="AK35" s="6">
        <v>0</v>
      </c>
      <c r="AL35" s="7">
        <v>13500</v>
      </c>
      <c r="AM35" s="6">
        <v>0</v>
      </c>
      <c r="AN35" s="6">
        <v>0</v>
      </c>
      <c r="AO35" s="6">
        <v>0</v>
      </c>
      <c r="AP35" s="7">
        <v>13500</v>
      </c>
      <c r="AQ35" s="6">
        <v>0</v>
      </c>
      <c r="AR35" s="6">
        <v>0</v>
      </c>
      <c r="AS35" s="7">
        <v>13500</v>
      </c>
      <c r="AT35" s="6">
        <v>0</v>
      </c>
      <c r="AU35" s="9">
        <v>13500</v>
      </c>
      <c r="AV35" s="13">
        <v>13500</v>
      </c>
      <c r="AW35" s="14">
        <v>9450</v>
      </c>
    </row>
    <row r="36" spans="1:49" ht="19.2" x14ac:dyDescent="0.4">
      <c r="A36" s="1" t="s">
        <v>194</v>
      </c>
      <c r="B36" s="4" t="s">
        <v>111</v>
      </c>
      <c r="C36" s="4">
        <v>453397</v>
      </c>
      <c r="D36" s="5"/>
      <c r="E36" s="4" t="s">
        <v>28</v>
      </c>
      <c r="F36" s="4" t="s">
        <v>172</v>
      </c>
      <c r="G36" s="4" t="s">
        <v>91</v>
      </c>
      <c r="H36" s="6" t="s">
        <v>9</v>
      </c>
      <c r="I36" s="6" t="s">
        <v>112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9">
        <v>11000</v>
      </c>
      <c r="AV36" s="13">
        <v>11000</v>
      </c>
      <c r="AW36" s="14">
        <v>7699.9999999999991</v>
      </c>
    </row>
    <row r="37" spans="1:49" ht="19.2" x14ac:dyDescent="0.4">
      <c r="A37" s="1" t="s">
        <v>194</v>
      </c>
      <c r="B37" s="4" t="s">
        <v>129</v>
      </c>
      <c r="C37" s="4">
        <v>455900</v>
      </c>
      <c r="D37" s="5"/>
      <c r="E37" s="4" t="s">
        <v>28</v>
      </c>
      <c r="F37" s="4" t="s">
        <v>172</v>
      </c>
      <c r="G37" s="4" t="s">
        <v>91</v>
      </c>
      <c r="H37" s="6" t="s">
        <v>8</v>
      </c>
      <c r="I37" s="6" t="s">
        <v>130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7">
        <v>7200</v>
      </c>
      <c r="AD37" s="6">
        <v>0</v>
      </c>
      <c r="AE37" s="6">
        <v>0</v>
      </c>
      <c r="AF37" s="7">
        <v>7200</v>
      </c>
      <c r="AG37" s="6">
        <v>0</v>
      </c>
      <c r="AH37" s="6">
        <v>0</v>
      </c>
      <c r="AI37" s="7">
        <v>7200</v>
      </c>
      <c r="AJ37" s="6">
        <v>0</v>
      </c>
      <c r="AK37" s="6">
        <v>0</v>
      </c>
      <c r="AL37" s="7">
        <v>7200</v>
      </c>
      <c r="AM37" s="6">
        <v>0</v>
      </c>
      <c r="AN37" s="6">
        <v>0</v>
      </c>
      <c r="AO37" s="6">
        <v>0</v>
      </c>
      <c r="AP37" s="7">
        <v>7200</v>
      </c>
      <c r="AQ37" s="6">
        <v>0</v>
      </c>
      <c r="AR37" s="6">
        <v>0</v>
      </c>
      <c r="AS37" s="7">
        <v>7200</v>
      </c>
      <c r="AT37" s="6">
        <v>0</v>
      </c>
      <c r="AU37" s="9">
        <v>8100</v>
      </c>
      <c r="AV37" s="13">
        <v>8100</v>
      </c>
      <c r="AW37" s="14">
        <v>5670</v>
      </c>
    </row>
    <row r="38" spans="1:49" x14ac:dyDescent="0.4">
      <c r="A38" s="1" t="s">
        <v>194</v>
      </c>
      <c r="B38" s="4" t="s">
        <v>39</v>
      </c>
      <c r="C38" s="4">
        <v>367415</v>
      </c>
      <c r="D38" s="5"/>
      <c r="E38" s="4" t="s">
        <v>28</v>
      </c>
      <c r="F38" s="4" t="s">
        <v>31</v>
      </c>
      <c r="G38" s="4" t="s">
        <v>91</v>
      </c>
      <c r="H38" s="6" t="s">
        <v>8</v>
      </c>
      <c r="I38" s="6" t="s">
        <v>40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9">
        <v>5300</v>
      </c>
      <c r="AV38" s="13">
        <v>5300</v>
      </c>
      <c r="AW38" s="14">
        <v>3709.9999999999995</v>
      </c>
    </row>
    <row r="39" spans="1:49" ht="19.2" x14ac:dyDescent="0.4">
      <c r="A39" s="1" t="s">
        <v>194</v>
      </c>
      <c r="B39" s="4" t="s">
        <v>201</v>
      </c>
      <c r="C39" s="4">
        <v>451051</v>
      </c>
      <c r="D39" s="5"/>
      <c r="E39" s="4" t="s">
        <v>28</v>
      </c>
      <c r="F39" s="4" t="s">
        <v>172</v>
      </c>
      <c r="G39" s="4" t="s">
        <v>91</v>
      </c>
      <c r="H39" s="6" t="s">
        <v>135</v>
      </c>
      <c r="I39" s="6" t="s">
        <v>202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5200</v>
      </c>
      <c r="AV39" s="13">
        <v>5200</v>
      </c>
      <c r="AW39" s="14">
        <v>3639.9999999999995</v>
      </c>
    </row>
    <row r="40" spans="1:49" ht="19.2" x14ac:dyDescent="0.4">
      <c r="A40" s="1" t="s">
        <v>194</v>
      </c>
      <c r="B40" s="4" t="s">
        <v>203</v>
      </c>
      <c r="C40" s="4">
        <v>461450</v>
      </c>
      <c r="D40" s="5"/>
      <c r="E40" s="4" t="s">
        <v>28</v>
      </c>
      <c r="F40" s="4" t="s">
        <v>172</v>
      </c>
      <c r="G40" s="4" t="s">
        <v>91</v>
      </c>
      <c r="H40" s="6" t="s">
        <v>135</v>
      </c>
      <c r="I40" s="6" t="s">
        <v>200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7">
        <v>1800</v>
      </c>
      <c r="AD40" s="6">
        <v>0</v>
      </c>
      <c r="AE40" s="6">
        <v>0</v>
      </c>
      <c r="AF40" s="7">
        <v>1800</v>
      </c>
      <c r="AG40" s="6">
        <v>0</v>
      </c>
      <c r="AH40" s="6">
        <v>0</v>
      </c>
      <c r="AI40" s="7">
        <v>1800</v>
      </c>
      <c r="AJ40" s="6">
        <v>0</v>
      </c>
      <c r="AK40" s="6">
        <v>0</v>
      </c>
      <c r="AL40" s="7">
        <v>1800</v>
      </c>
      <c r="AM40" s="6">
        <v>0</v>
      </c>
      <c r="AN40" s="6">
        <v>0</v>
      </c>
      <c r="AO40" s="6">
        <v>0</v>
      </c>
      <c r="AP40" s="7">
        <v>1800</v>
      </c>
      <c r="AQ40" s="6">
        <v>0</v>
      </c>
      <c r="AR40" s="6">
        <v>0</v>
      </c>
      <c r="AS40" s="7">
        <v>1800</v>
      </c>
      <c r="AT40" s="6">
        <v>0</v>
      </c>
      <c r="AU40" s="9">
        <v>1800</v>
      </c>
      <c r="AV40" s="13">
        <v>1800</v>
      </c>
      <c r="AW40" s="14">
        <v>1260</v>
      </c>
    </row>
    <row r="41" spans="1:49" ht="19.2" x14ac:dyDescent="0.4">
      <c r="A41" s="1" t="s">
        <v>195</v>
      </c>
      <c r="B41" s="4" t="s">
        <v>199</v>
      </c>
      <c r="C41" s="4">
        <v>461432</v>
      </c>
      <c r="D41" s="5"/>
      <c r="E41" s="4" t="s">
        <v>28</v>
      </c>
      <c r="F41" s="4" t="s">
        <v>172</v>
      </c>
      <c r="G41" s="4" t="s">
        <v>91</v>
      </c>
      <c r="H41" s="6" t="s">
        <v>135</v>
      </c>
      <c r="I41" s="6" t="s">
        <v>200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9">
        <v>80700</v>
      </c>
      <c r="AV41" s="13">
        <v>80700</v>
      </c>
      <c r="AW41" s="14">
        <v>56490</v>
      </c>
    </row>
    <row r="42" spans="1:49" x14ac:dyDescent="0.4">
      <c r="A42" s="1" t="s">
        <v>195</v>
      </c>
      <c r="B42" s="4" t="s">
        <v>131</v>
      </c>
      <c r="C42" s="4">
        <v>455896</v>
      </c>
      <c r="D42" s="5"/>
      <c r="E42" s="4" t="s">
        <v>28</v>
      </c>
      <c r="F42" s="4" t="s">
        <v>172</v>
      </c>
      <c r="G42" s="4" t="s">
        <v>91</v>
      </c>
      <c r="H42" s="6" t="s">
        <v>8</v>
      </c>
      <c r="I42" s="6" t="s">
        <v>130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8">
        <v>6624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63480</v>
      </c>
      <c r="AV42" s="13">
        <v>56856</v>
      </c>
      <c r="AW42" s="14">
        <v>39799.199999999997</v>
      </c>
    </row>
    <row r="43" spans="1:49" ht="19.2" x14ac:dyDescent="0.4">
      <c r="A43" s="1" t="s">
        <v>195</v>
      </c>
      <c r="B43" s="4" t="s">
        <v>201</v>
      </c>
      <c r="C43" s="4">
        <v>451051</v>
      </c>
      <c r="D43" s="5"/>
      <c r="E43" s="4" t="s">
        <v>28</v>
      </c>
      <c r="F43" s="4" t="s">
        <v>172</v>
      </c>
      <c r="G43" s="4" t="s">
        <v>91</v>
      </c>
      <c r="H43" s="6" t="s">
        <v>135</v>
      </c>
      <c r="I43" s="6" t="s">
        <v>202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8">
        <v>4320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9">
        <v>43100</v>
      </c>
      <c r="AV43" s="13">
        <v>38780</v>
      </c>
      <c r="AW43" s="14">
        <v>27146</v>
      </c>
    </row>
    <row r="44" spans="1:49" ht="19.2" x14ac:dyDescent="0.4">
      <c r="A44" s="1" t="s">
        <v>195</v>
      </c>
      <c r="B44" s="4" t="s">
        <v>82</v>
      </c>
      <c r="C44" s="4">
        <v>380954</v>
      </c>
      <c r="D44" s="5"/>
      <c r="E44" s="4" t="s">
        <v>28</v>
      </c>
      <c r="F44" s="4" t="s">
        <v>31</v>
      </c>
      <c r="G44" s="4" t="s">
        <v>91</v>
      </c>
      <c r="H44" s="6" t="s">
        <v>8</v>
      </c>
      <c r="I44" s="6" t="s">
        <v>32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7">
        <v>24400</v>
      </c>
      <c r="AD44" s="6">
        <v>0</v>
      </c>
      <c r="AE44" s="6">
        <v>0</v>
      </c>
      <c r="AF44" s="7">
        <v>24400</v>
      </c>
      <c r="AG44" s="6">
        <v>0</v>
      </c>
      <c r="AH44" s="6">
        <v>0</v>
      </c>
      <c r="AI44" s="7">
        <v>24400</v>
      </c>
      <c r="AJ44" s="6">
        <v>0</v>
      </c>
      <c r="AK44" s="6">
        <v>0</v>
      </c>
      <c r="AL44" s="7">
        <v>24400</v>
      </c>
      <c r="AM44" s="6">
        <v>0</v>
      </c>
      <c r="AN44" s="8">
        <v>3204</v>
      </c>
      <c r="AO44" s="6">
        <v>0</v>
      </c>
      <c r="AP44" s="7">
        <v>24400</v>
      </c>
      <c r="AQ44" s="6">
        <v>0</v>
      </c>
      <c r="AR44" s="6">
        <v>0</v>
      </c>
      <c r="AS44" s="7">
        <v>24400</v>
      </c>
      <c r="AT44" s="6">
        <v>0</v>
      </c>
      <c r="AU44" s="9">
        <v>35080</v>
      </c>
      <c r="AV44" s="13">
        <v>31876</v>
      </c>
      <c r="AW44" s="14">
        <v>22313.199999999997</v>
      </c>
    </row>
    <row r="45" spans="1:49" ht="19.2" x14ac:dyDescent="0.4">
      <c r="A45" s="1" t="s">
        <v>195</v>
      </c>
      <c r="B45" s="4" t="s">
        <v>41</v>
      </c>
      <c r="C45" s="4">
        <v>379289</v>
      </c>
      <c r="D45" s="5"/>
      <c r="E45" s="4" t="s">
        <v>28</v>
      </c>
      <c r="F45" s="4" t="s">
        <v>34</v>
      </c>
      <c r="G45" s="4" t="s">
        <v>91</v>
      </c>
      <c r="H45" s="6" t="s">
        <v>8</v>
      </c>
      <c r="I45" s="6" t="s">
        <v>42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20000</v>
      </c>
      <c r="AV45" s="13">
        <v>20000</v>
      </c>
      <c r="AW45" s="14">
        <v>14000</v>
      </c>
    </row>
    <row r="46" spans="1:49" ht="19.2" x14ac:dyDescent="0.4">
      <c r="A46" s="1" t="s">
        <v>195</v>
      </c>
      <c r="B46" s="4" t="s">
        <v>129</v>
      </c>
      <c r="C46" s="4">
        <v>455900</v>
      </c>
      <c r="D46" s="5"/>
      <c r="E46" s="4" t="s">
        <v>28</v>
      </c>
      <c r="F46" s="4" t="s">
        <v>172</v>
      </c>
      <c r="G46" s="4" t="s">
        <v>91</v>
      </c>
      <c r="H46" s="6" t="s">
        <v>8</v>
      </c>
      <c r="I46" s="6" t="s">
        <v>130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972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9">
        <v>7740</v>
      </c>
      <c r="AV46" s="13">
        <v>6768</v>
      </c>
      <c r="AW46" s="14">
        <v>4737.5999999999995</v>
      </c>
    </row>
    <row r="47" spans="1:49" x14ac:dyDescent="0.4">
      <c r="A47" s="1" t="s">
        <v>195</v>
      </c>
      <c r="B47" s="4" t="s">
        <v>114</v>
      </c>
      <c r="C47" s="4">
        <v>451947</v>
      </c>
      <c r="D47" s="5"/>
      <c r="E47" s="4" t="s">
        <v>28</v>
      </c>
      <c r="F47" s="4" t="s">
        <v>172</v>
      </c>
      <c r="G47" s="4" t="s">
        <v>91</v>
      </c>
      <c r="H47" s="6" t="s">
        <v>8</v>
      </c>
      <c r="I47" s="6" t="s">
        <v>112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828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9">
        <v>2760</v>
      </c>
      <c r="AV47" s="13">
        <v>1932</v>
      </c>
      <c r="AW47" s="14">
        <v>1352.3999999999999</v>
      </c>
    </row>
    <row r="48" spans="1:49" ht="19.2" x14ac:dyDescent="0.4">
      <c r="A48" s="1" t="s">
        <v>195</v>
      </c>
      <c r="B48" s="4" t="s">
        <v>203</v>
      </c>
      <c r="C48" s="4">
        <v>461450</v>
      </c>
      <c r="D48" s="5"/>
      <c r="E48" s="4" t="s">
        <v>28</v>
      </c>
      <c r="F48" s="4" t="s">
        <v>172</v>
      </c>
      <c r="G48" s="4" t="s">
        <v>91</v>
      </c>
      <c r="H48" s="6" t="s">
        <v>135</v>
      </c>
      <c r="I48" s="6" t="s">
        <v>200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900</v>
      </c>
      <c r="AD48" s="6">
        <v>0</v>
      </c>
      <c r="AE48" s="6">
        <v>0</v>
      </c>
      <c r="AF48" s="6">
        <v>900</v>
      </c>
      <c r="AG48" s="6">
        <v>0</v>
      </c>
      <c r="AH48" s="6">
        <v>0</v>
      </c>
      <c r="AI48" s="6">
        <v>900</v>
      </c>
      <c r="AJ48" s="6">
        <v>0</v>
      </c>
      <c r="AK48" s="6">
        <v>0</v>
      </c>
      <c r="AL48" s="6">
        <v>900</v>
      </c>
      <c r="AM48" s="6">
        <v>0</v>
      </c>
      <c r="AN48" s="6">
        <v>0</v>
      </c>
      <c r="AO48" s="6">
        <v>0</v>
      </c>
      <c r="AP48" s="6">
        <v>900</v>
      </c>
      <c r="AQ48" s="6">
        <v>0</v>
      </c>
      <c r="AR48" s="6">
        <v>0</v>
      </c>
      <c r="AS48" s="6">
        <v>900</v>
      </c>
      <c r="AT48" s="6">
        <v>0</v>
      </c>
      <c r="AU48" s="10">
        <v>900</v>
      </c>
      <c r="AV48" s="13">
        <v>900</v>
      </c>
      <c r="AW48" s="14">
        <v>630</v>
      </c>
    </row>
    <row r="49" spans="1:49" x14ac:dyDescent="0.4">
      <c r="A49" s="1" t="s">
        <v>195</v>
      </c>
      <c r="B49" s="4" t="s">
        <v>59</v>
      </c>
      <c r="C49" s="4">
        <v>354950</v>
      </c>
      <c r="D49" s="5" t="s">
        <v>60</v>
      </c>
      <c r="E49" s="4" t="s">
        <v>28</v>
      </c>
      <c r="F49" s="4" t="s">
        <v>172</v>
      </c>
      <c r="G49" s="4" t="s">
        <v>91</v>
      </c>
      <c r="H49" s="6" t="s">
        <v>8</v>
      </c>
      <c r="I49" s="6" t="s">
        <v>61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10">
        <v>700</v>
      </c>
      <c r="AV49" s="13">
        <v>700</v>
      </c>
      <c r="AW49" s="14">
        <v>489.99999999999994</v>
      </c>
    </row>
    <row r="50" spans="1:49" x14ac:dyDescent="0.4">
      <c r="AW50" s="15">
        <f>SUM(AW2:AW49)</f>
        <v>2143845.6900000004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W89"/>
  <sheetViews>
    <sheetView topLeftCell="Q76" workbookViewId="0">
      <selection activeCell="AA90" sqref="AA90"/>
    </sheetView>
  </sheetViews>
  <sheetFormatPr defaultRowHeight="17.399999999999999" x14ac:dyDescent="0.4"/>
  <cols>
    <col min="1" max="1" width="10" bestFit="1" customWidth="1"/>
    <col min="2" max="2" width="9.3984375" bestFit="1" customWidth="1"/>
    <col min="3" max="3" width="6.5" bestFit="1" customWidth="1"/>
    <col min="4" max="4" width="7.19921875" bestFit="1" customWidth="1"/>
    <col min="5" max="6" width="8.39843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796875" bestFit="1" customWidth="1"/>
    <col min="49" max="49" width="9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183</v>
      </c>
      <c r="B2" s="4" t="s">
        <v>126</v>
      </c>
      <c r="C2" s="4">
        <v>456187</v>
      </c>
      <c r="D2" s="5"/>
      <c r="E2" s="4" t="s">
        <v>28</v>
      </c>
      <c r="F2" s="4" t="s">
        <v>65</v>
      </c>
      <c r="G2" s="4" t="s">
        <v>196</v>
      </c>
      <c r="H2" s="6" t="s">
        <v>9</v>
      </c>
      <c r="I2" s="6" t="s">
        <v>127</v>
      </c>
      <c r="J2" s="6">
        <v>0</v>
      </c>
      <c r="K2" s="6">
        <v>455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455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9">
        <v>204800</v>
      </c>
      <c r="AV2" s="13">
        <v>204800</v>
      </c>
      <c r="AW2" s="14">
        <v>143360</v>
      </c>
    </row>
    <row r="3" spans="1:49" ht="19.2" x14ac:dyDescent="0.4">
      <c r="A3" s="1" t="s">
        <v>183</v>
      </c>
      <c r="B3" s="4" t="s">
        <v>137</v>
      </c>
      <c r="C3" s="4">
        <v>368432</v>
      </c>
      <c r="D3" s="5"/>
      <c r="E3" s="4" t="s">
        <v>28</v>
      </c>
      <c r="F3" s="4" t="s">
        <v>37</v>
      </c>
      <c r="G3" s="4" t="s">
        <v>196</v>
      </c>
      <c r="H3" s="6" t="s">
        <v>9</v>
      </c>
      <c r="I3" s="6" t="s">
        <v>138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9">
        <v>48100</v>
      </c>
      <c r="AV3" s="13">
        <v>48100</v>
      </c>
      <c r="AW3" s="14">
        <v>33670</v>
      </c>
    </row>
    <row r="4" spans="1:49" ht="19.2" x14ac:dyDescent="0.4">
      <c r="A4" s="1" t="s">
        <v>183</v>
      </c>
      <c r="B4" s="4" t="s">
        <v>27</v>
      </c>
      <c r="C4" s="4">
        <v>395341</v>
      </c>
      <c r="D4" s="5"/>
      <c r="E4" s="4" t="s">
        <v>28</v>
      </c>
      <c r="F4" s="4" t="s">
        <v>29</v>
      </c>
      <c r="G4" s="4" t="s">
        <v>196</v>
      </c>
      <c r="H4" s="6" t="s">
        <v>9</v>
      </c>
      <c r="I4" s="6" t="s">
        <v>30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9">
        <v>45100</v>
      </c>
      <c r="AV4" s="13">
        <v>45100</v>
      </c>
      <c r="AW4" s="14">
        <v>31569.999999999996</v>
      </c>
    </row>
    <row r="5" spans="1:49" ht="19.2" x14ac:dyDescent="0.4">
      <c r="A5" s="1" t="s">
        <v>183</v>
      </c>
      <c r="B5" s="4" t="s">
        <v>57</v>
      </c>
      <c r="C5" s="4">
        <v>372841</v>
      </c>
      <c r="D5" s="5"/>
      <c r="E5" s="4" t="s">
        <v>28</v>
      </c>
      <c r="F5" s="4" t="s">
        <v>46</v>
      </c>
      <c r="G5" s="4" t="s">
        <v>196</v>
      </c>
      <c r="H5" s="6" t="s">
        <v>9</v>
      </c>
      <c r="I5" s="6" t="s">
        <v>58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9">
        <v>37000</v>
      </c>
      <c r="AV5" s="13">
        <v>37000</v>
      </c>
      <c r="AW5" s="14">
        <v>25900</v>
      </c>
    </row>
    <row r="6" spans="1:49" ht="28.8" x14ac:dyDescent="0.4">
      <c r="A6" s="1" t="s">
        <v>183</v>
      </c>
      <c r="B6" s="4" t="s">
        <v>174</v>
      </c>
      <c r="C6" s="4">
        <v>460820</v>
      </c>
      <c r="D6" s="5"/>
      <c r="E6" s="4" t="s">
        <v>28</v>
      </c>
      <c r="F6" s="4" t="s">
        <v>175</v>
      </c>
      <c r="G6" s="4" t="s">
        <v>196</v>
      </c>
      <c r="H6" s="6" t="s">
        <v>9</v>
      </c>
      <c r="I6" s="6" t="s">
        <v>176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9">
        <v>34900</v>
      </c>
      <c r="AV6" s="13">
        <v>34900</v>
      </c>
      <c r="AW6" s="14">
        <v>24430</v>
      </c>
    </row>
    <row r="7" spans="1:49" ht="19.2" x14ac:dyDescent="0.4">
      <c r="A7" s="1" t="s">
        <v>183</v>
      </c>
      <c r="B7" s="4" t="s">
        <v>106</v>
      </c>
      <c r="C7" s="4">
        <v>448030</v>
      </c>
      <c r="D7" s="5"/>
      <c r="E7" s="4" t="s">
        <v>28</v>
      </c>
      <c r="F7" s="4" t="s">
        <v>73</v>
      </c>
      <c r="G7" s="4" t="s">
        <v>196</v>
      </c>
      <c r="H7" s="6" t="s">
        <v>9</v>
      </c>
      <c r="I7" s="6" t="s">
        <v>107</v>
      </c>
      <c r="J7" s="6">
        <v>0</v>
      </c>
      <c r="K7" s="7">
        <v>1029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7">
        <v>1029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32600</v>
      </c>
      <c r="AV7" s="13">
        <v>32600</v>
      </c>
      <c r="AW7" s="14">
        <v>22820</v>
      </c>
    </row>
    <row r="8" spans="1:49" ht="19.2" x14ac:dyDescent="0.4">
      <c r="A8" s="1" t="s">
        <v>183</v>
      </c>
      <c r="B8" s="4" t="s">
        <v>132</v>
      </c>
      <c r="C8" s="4">
        <v>372422</v>
      </c>
      <c r="D8" s="5"/>
      <c r="E8" s="4" t="s">
        <v>28</v>
      </c>
      <c r="F8" s="4" t="s">
        <v>46</v>
      </c>
      <c r="G8" s="4" t="s">
        <v>196</v>
      </c>
      <c r="H8" s="6" t="s">
        <v>9</v>
      </c>
      <c r="I8" s="6" t="s">
        <v>133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23600</v>
      </c>
      <c r="AV8" s="13">
        <v>23600</v>
      </c>
      <c r="AW8" s="14">
        <v>16520</v>
      </c>
    </row>
    <row r="9" spans="1:49" ht="19.2" x14ac:dyDescent="0.4">
      <c r="A9" s="1" t="s">
        <v>183</v>
      </c>
      <c r="B9" s="4" t="s">
        <v>120</v>
      </c>
      <c r="C9" s="4">
        <v>443543</v>
      </c>
      <c r="D9" s="5"/>
      <c r="E9" s="4" t="s">
        <v>28</v>
      </c>
      <c r="F9" s="4" t="s">
        <v>46</v>
      </c>
      <c r="G9" s="4" t="s">
        <v>196</v>
      </c>
      <c r="H9" s="6" t="s">
        <v>9</v>
      </c>
      <c r="I9" s="6" t="s">
        <v>87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9">
        <v>18400</v>
      </c>
      <c r="AV9" s="13">
        <v>18400</v>
      </c>
      <c r="AW9" s="14">
        <v>12880</v>
      </c>
    </row>
    <row r="10" spans="1:49" ht="19.2" x14ac:dyDescent="0.4">
      <c r="A10" s="1" t="s">
        <v>183</v>
      </c>
      <c r="B10" s="4" t="s">
        <v>36</v>
      </c>
      <c r="C10" s="4">
        <v>354768</v>
      </c>
      <c r="D10" s="5"/>
      <c r="E10" s="4" t="s">
        <v>28</v>
      </c>
      <c r="F10" s="4" t="s">
        <v>37</v>
      </c>
      <c r="G10" s="4" t="s">
        <v>196</v>
      </c>
      <c r="H10" s="6" t="s">
        <v>9</v>
      </c>
      <c r="I10" s="6" t="s">
        <v>38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13500</v>
      </c>
      <c r="AV10" s="13">
        <v>13500</v>
      </c>
      <c r="AW10" s="14">
        <v>9450</v>
      </c>
    </row>
    <row r="11" spans="1:49" ht="19.2" x14ac:dyDescent="0.4">
      <c r="A11" s="1" t="s">
        <v>183</v>
      </c>
      <c r="B11" s="4" t="s">
        <v>76</v>
      </c>
      <c r="C11" s="4">
        <v>401407</v>
      </c>
      <c r="D11" s="5"/>
      <c r="E11" s="4" t="s">
        <v>28</v>
      </c>
      <c r="F11" s="4" t="s">
        <v>46</v>
      </c>
      <c r="G11" s="4" t="s">
        <v>196</v>
      </c>
      <c r="H11" s="6" t="s">
        <v>9</v>
      </c>
      <c r="I11" s="6" t="s">
        <v>77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11500</v>
      </c>
      <c r="AV11" s="13">
        <v>11500</v>
      </c>
      <c r="AW11" s="14">
        <v>8049.9999999999991</v>
      </c>
    </row>
    <row r="12" spans="1:49" ht="19.2" x14ac:dyDescent="0.4">
      <c r="A12" s="1" t="s">
        <v>183</v>
      </c>
      <c r="B12" s="4" t="s">
        <v>89</v>
      </c>
      <c r="C12" s="4">
        <v>443833</v>
      </c>
      <c r="D12" s="5"/>
      <c r="E12" s="4" t="s">
        <v>28</v>
      </c>
      <c r="F12" s="4" t="s">
        <v>90</v>
      </c>
      <c r="G12" s="4" t="s">
        <v>196</v>
      </c>
      <c r="H12" s="6" t="s">
        <v>9</v>
      </c>
      <c r="I12" s="6" t="s">
        <v>88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11000</v>
      </c>
      <c r="AV12" s="13">
        <v>11000</v>
      </c>
      <c r="AW12" s="14">
        <v>7699.9999999999991</v>
      </c>
    </row>
    <row r="13" spans="1:49" ht="19.2" x14ac:dyDescent="0.4">
      <c r="A13" s="1" t="s">
        <v>183</v>
      </c>
      <c r="B13" s="4" t="s">
        <v>99</v>
      </c>
      <c r="C13" s="4">
        <v>445954</v>
      </c>
      <c r="D13" s="5"/>
      <c r="E13" s="4" t="s">
        <v>28</v>
      </c>
      <c r="F13" s="4" t="s">
        <v>73</v>
      </c>
      <c r="G13" s="4" t="s">
        <v>196</v>
      </c>
      <c r="H13" s="6" t="s">
        <v>9</v>
      </c>
      <c r="I13" s="6" t="s">
        <v>100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10300</v>
      </c>
      <c r="AV13" s="13">
        <v>10300</v>
      </c>
      <c r="AW13" s="14">
        <v>7209.9999999999991</v>
      </c>
    </row>
    <row r="14" spans="1:49" ht="19.2" x14ac:dyDescent="0.4">
      <c r="A14" s="1" t="s">
        <v>183</v>
      </c>
      <c r="B14" s="4" t="s">
        <v>79</v>
      </c>
      <c r="C14" s="4">
        <v>438289</v>
      </c>
      <c r="D14" s="5"/>
      <c r="E14" s="4" t="s">
        <v>28</v>
      </c>
      <c r="F14" s="4" t="s">
        <v>80</v>
      </c>
      <c r="G14" s="4" t="s">
        <v>196</v>
      </c>
      <c r="H14" s="6" t="s">
        <v>9</v>
      </c>
      <c r="I14" s="6" t="s">
        <v>81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9">
        <v>9600</v>
      </c>
      <c r="AV14" s="13">
        <v>9600</v>
      </c>
      <c r="AW14" s="14">
        <v>6720</v>
      </c>
    </row>
    <row r="15" spans="1:49" ht="19.2" x14ac:dyDescent="0.4">
      <c r="A15" s="1" t="s">
        <v>183</v>
      </c>
      <c r="B15" s="4" t="s">
        <v>139</v>
      </c>
      <c r="C15" s="4">
        <v>317429</v>
      </c>
      <c r="D15" s="5"/>
      <c r="E15" s="4" t="s">
        <v>28</v>
      </c>
      <c r="F15" s="4" t="s">
        <v>29</v>
      </c>
      <c r="G15" s="4" t="s">
        <v>196</v>
      </c>
      <c r="H15" s="6" t="s">
        <v>9</v>
      </c>
      <c r="I15" s="6" t="s">
        <v>140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9">
        <v>8800</v>
      </c>
      <c r="AV15" s="13">
        <v>8800</v>
      </c>
      <c r="AW15" s="14">
        <v>6160</v>
      </c>
    </row>
    <row r="16" spans="1:49" ht="28.8" x14ac:dyDescent="0.4">
      <c r="A16" s="1" t="s">
        <v>183</v>
      </c>
      <c r="B16" s="4" t="s">
        <v>157</v>
      </c>
      <c r="C16" s="4">
        <v>442669</v>
      </c>
      <c r="D16" s="5"/>
      <c r="E16" s="4" t="s">
        <v>28</v>
      </c>
      <c r="F16" s="4" t="s">
        <v>83</v>
      </c>
      <c r="G16" s="4" t="s">
        <v>196</v>
      </c>
      <c r="H16" s="6" t="s">
        <v>54</v>
      </c>
      <c r="I16" s="6" t="s">
        <v>158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7000</v>
      </c>
      <c r="AV16" s="13">
        <v>7000</v>
      </c>
      <c r="AW16" s="14">
        <v>4900</v>
      </c>
    </row>
    <row r="17" spans="1:49" ht="28.8" x14ac:dyDescent="0.4">
      <c r="A17" s="1" t="s">
        <v>183</v>
      </c>
      <c r="B17" s="4" t="s">
        <v>206</v>
      </c>
      <c r="C17" s="4">
        <v>423996</v>
      </c>
      <c r="D17" s="5"/>
      <c r="E17" s="4" t="s">
        <v>28</v>
      </c>
      <c r="F17" s="4" t="s">
        <v>64</v>
      </c>
      <c r="G17" s="4" t="s">
        <v>196</v>
      </c>
      <c r="H17" s="6" t="s">
        <v>54</v>
      </c>
      <c r="I17" s="6" t="s">
        <v>207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6800</v>
      </c>
      <c r="AV17" s="13">
        <v>6800</v>
      </c>
      <c r="AW17" s="14">
        <v>4760</v>
      </c>
    </row>
    <row r="18" spans="1:49" ht="19.2" x14ac:dyDescent="0.4">
      <c r="A18" s="1" t="s">
        <v>183</v>
      </c>
      <c r="B18" s="4" t="s">
        <v>211</v>
      </c>
      <c r="C18" s="4">
        <v>366373</v>
      </c>
      <c r="D18" s="5"/>
      <c r="E18" s="4" t="s">
        <v>28</v>
      </c>
      <c r="F18" s="4" t="s">
        <v>212</v>
      </c>
      <c r="G18" s="4" t="s">
        <v>196</v>
      </c>
      <c r="H18" s="6" t="s">
        <v>9</v>
      </c>
      <c r="I18" s="6" t="s">
        <v>213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5800</v>
      </c>
      <c r="AV18" s="13">
        <v>5800</v>
      </c>
      <c r="AW18" s="14">
        <v>4059.9999999999995</v>
      </c>
    </row>
    <row r="19" spans="1:49" ht="19.2" x14ac:dyDescent="0.4">
      <c r="A19" s="1" t="s">
        <v>183</v>
      </c>
      <c r="B19" s="4" t="s">
        <v>134</v>
      </c>
      <c r="C19" s="4">
        <v>312154</v>
      </c>
      <c r="D19" s="5"/>
      <c r="E19" s="4" t="s">
        <v>28</v>
      </c>
      <c r="F19" s="4" t="s">
        <v>46</v>
      </c>
      <c r="G19" s="4" t="s">
        <v>196</v>
      </c>
      <c r="H19" s="6" t="s">
        <v>135</v>
      </c>
      <c r="I19" s="6" t="s">
        <v>136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5600</v>
      </c>
      <c r="AV19" s="13">
        <v>5600</v>
      </c>
      <c r="AW19" s="14">
        <v>3919.9999999999995</v>
      </c>
    </row>
    <row r="20" spans="1:49" ht="19.2" x14ac:dyDescent="0.4">
      <c r="A20" s="1" t="s">
        <v>183</v>
      </c>
      <c r="B20" s="4" t="s">
        <v>141</v>
      </c>
      <c r="C20" s="4">
        <v>359498</v>
      </c>
      <c r="D20" s="5"/>
      <c r="E20" s="4" t="s">
        <v>28</v>
      </c>
      <c r="F20" s="4" t="s">
        <v>142</v>
      </c>
      <c r="G20" s="4" t="s">
        <v>196</v>
      </c>
      <c r="H20" s="6" t="s">
        <v>9</v>
      </c>
      <c r="I20" s="6" t="s">
        <v>143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3800</v>
      </c>
      <c r="AV20" s="13">
        <v>3800</v>
      </c>
      <c r="AW20" s="14">
        <v>2660</v>
      </c>
    </row>
    <row r="21" spans="1:49" ht="19.2" x14ac:dyDescent="0.4">
      <c r="A21" s="1" t="s">
        <v>183</v>
      </c>
      <c r="B21" s="4" t="s">
        <v>44</v>
      </c>
      <c r="C21" s="4">
        <v>418030</v>
      </c>
      <c r="D21" s="5"/>
      <c r="E21" s="4" t="s">
        <v>28</v>
      </c>
      <c r="F21" s="4" t="s">
        <v>37</v>
      </c>
      <c r="G21" s="4" t="s">
        <v>196</v>
      </c>
      <c r="H21" s="6" t="s">
        <v>9</v>
      </c>
      <c r="I21" s="6" t="s">
        <v>45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3700</v>
      </c>
      <c r="AV21" s="13">
        <v>3700</v>
      </c>
      <c r="AW21" s="14">
        <v>2590</v>
      </c>
    </row>
    <row r="22" spans="1:49" ht="19.2" x14ac:dyDescent="0.4">
      <c r="A22" s="1" t="s">
        <v>183</v>
      </c>
      <c r="B22" s="4" t="s">
        <v>169</v>
      </c>
      <c r="C22" s="4">
        <v>355068</v>
      </c>
      <c r="D22" s="5"/>
      <c r="E22" s="4" t="s">
        <v>28</v>
      </c>
      <c r="F22" s="4" t="s">
        <v>170</v>
      </c>
      <c r="G22" s="4" t="s">
        <v>196</v>
      </c>
      <c r="H22" s="6" t="s">
        <v>54</v>
      </c>
      <c r="I22" s="6" t="s">
        <v>171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3600</v>
      </c>
      <c r="AV22" s="13">
        <v>3600</v>
      </c>
      <c r="AW22" s="14">
        <v>2520</v>
      </c>
    </row>
    <row r="23" spans="1:49" ht="19.2" x14ac:dyDescent="0.4">
      <c r="A23" s="1" t="s">
        <v>183</v>
      </c>
      <c r="B23" s="4" t="s">
        <v>217</v>
      </c>
      <c r="C23" s="4">
        <v>355226</v>
      </c>
      <c r="D23" s="5"/>
      <c r="E23" s="4" t="s">
        <v>28</v>
      </c>
      <c r="F23" s="4" t="s">
        <v>218</v>
      </c>
      <c r="G23" s="4" t="s">
        <v>196</v>
      </c>
      <c r="H23" s="6" t="s">
        <v>54</v>
      </c>
      <c r="I23" s="6" t="s">
        <v>219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9">
        <v>3400</v>
      </c>
      <c r="AV23" s="13">
        <v>3400</v>
      </c>
      <c r="AW23" s="14">
        <v>2380</v>
      </c>
    </row>
    <row r="24" spans="1:49" ht="28.8" x14ac:dyDescent="0.4">
      <c r="A24" s="1" t="s">
        <v>183</v>
      </c>
      <c r="B24" s="4" t="s">
        <v>180</v>
      </c>
      <c r="C24" s="4">
        <v>460821</v>
      </c>
      <c r="D24" s="5"/>
      <c r="E24" s="4" t="s">
        <v>28</v>
      </c>
      <c r="F24" s="4" t="s">
        <v>175</v>
      </c>
      <c r="G24" s="4" t="s">
        <v>196</v>
      </c>
      <c r="H24" s="6" t="s">
        <v>9</v>
      </c>
      <c r="I24" s="6" t="s">
        <v>176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3400</v>
      </c>
      <c r="AV24" s="13">
        <v>3400</v>
      </c>
      <c r="AW24" s="14">
        <v>2380</v>
      </c>
    </row>
    <row r="25" spans="1:49" ht="19.2" x14ac:dyDescent="0.4">
      <c r="A25" s="1" t="s">
        <v>183</v>
      </c>
      <c r="B25" s="4" t="s">
        <v>220</v>
      </c>
      <c r="C25" s="4">
        <v>389249</v>
      </c>
      <c r="D25" s="5"/>
      <c r="E25" s="4" t="s">
        <v>28</v>
      </c>
      <c r="F25" s="4" t="s">
        <v>43</v>
      </c>
      <c r="G25" s="4" t="s">
        <v>196</v>
      </c>
      <c r="H25" s="6" t="s">
        <v>9</v>
      </c>
      <c r="I25" s="6" t="s">
        <v>221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3000</v>
      </c>
      <c r="AV25" s="13">
        <v>3000</v>
      </c>
      <c r="AW25" s="14">
        <v>2100</v>
      </c>
    </row>
    <row r="26" spans="1:49" ht="19.2" x14ac:dyDescent="0.4">
      <c r="A26" s="1" t="s">
        <v>183</v>
      </c>
      <c r="B26" s="4" t="s">
        <v>101</v>
      </c>
      <c r="C26" s="4">
        <v>443978</v>
      </c>
      <c r="D26" s="5"/>
      <c r="E26" s="4" t="s">
        <v>28</v>
      </c>
      <c r="F26" s="4" t="s">
        <v>85</v>
      </c>
      <c r="G26" s="4" t="s">
        <v>196</v>
      </c>
      <c r="H26" s="6" t="s">
        <v>9</v>
      </c>
      <c r="I26" s="6" t="s">
        <v>102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2800</v>
      </c>
      <c r="AV26" s="13">
        <v>2800</v>
      </c>
      <c r="AW26" s="14">
        <v>1959.9999999999998</v>
      </c>
    </row>
    <row r="27" spans="1:49" ht="19.2" x14ac:dyDescent="0.4">
      <c r="A27" s="1" t="s">
        <v>183</v>
      </c>
      <c r="B27" s="4" t="s">
        <v>110</v>
      </c>
      <c r="C27" s="4">
        <v>430442</v>
      </c>
      <c r="D27" s="5"/>
      <c r="E27" s="4" t="s">
        <v>28</v>
      </c>
      <c r="F27" s="4" t="s">
        <v>67</v>
      </c>
      <c r="G27" s="4" t="s">
        <v>196</v>
      </c>
      <c r="H27" s="6" t="s">
        <v>54</v>
      </c>
      <c r="I27" s="6" t="s">
        <v>72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2800</v>
      </c>
      <c r="AV27" s="13">
        <v>2800</v>
      </c>
      <c r="AW27" s="14">
        <v>1959.9999999999998</v>
      </c>
    </row>
    <row r="28" spans="1:49" ht="19.2" x14ac:dyDescent="0.4">
      <c r="A28" s="1" t="s">
        <v>183</v>
      </c>
      <c r="B28" s="4" t="s">
        <v>225</v>
      </c>
      <c r="C28" s="4">
        <v>405099</v>
      </c>
      <c r="D28" s="5"/>
      <c r="E28" s="4" t="s">
        <v>28</v>
      </c>
      <c r="F28" s="4" t="s">
        <v>226</v>
      </c>
      <c r="G28" s="4" t="s">
        <v>196</v>
      </c>
      <c r="H28" s="6" t="s">
        <v>9</v>
      </c>
      <c r="I28" s="6" t="s">
        <v>227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9">
        <v>2400</v>
      </c>
      <c r="AV28" s="13">
        <v>2400</v>
      </c>
      <c r="AW28" s="14">
        <v>1680</v>
      </c>
    </row>
    <row r="29" spans="1:49" ht="19.2" x14ac:dyDescent="0.4">
      <c r="A29" s="1" t="s">
        <v>183</v>
      </c>
      <c r="B29" s="4" t="s">
        <v>97</v>
      </c>
      <c r="C29" s="4">
        <v>445220</v>
      </c>
      <c r="D29" s="5"/>
      <c r="E29" s="4" t="s">
        <v>28</v>
      </c>
      <c r="F29" s="4" t="s">
        <v>83</v>
      </c>
      <c r="G29" s="4" t="s">
        <v>196</v>
      </c>
      <c r="H29" s="6" t="s">
        <v>9</v>
      </c>
      <c r="I29" s="6" t="s">
        <v>98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9">
        <v>2100</v>
      </c>
      <c r="AV29" s="13">
        <v>2100</v>
      </c>
      <c r="AW29" s="14">
        <v>1470</v>
      </c>
    </row>
    <row r="30" spans="1:49" ht="19.2" x14ac:dyDescent="0.4">
      <c r="A30" s="1" t="s">
        <v>183</v>
      </c>
      <c r="B30" s="4" t="s">
        <v>228</v>
      </c>
      <c r="C30" s="4">
        <v>443839</v>
      </c>
      <c r="D30" s="5"/>
      <c r="E30" s="4" t="s">
        <v>28</v>
      </c>
      <c r="F30" s="4" t="s">
        <v>65</v>
      </c>
      <c r="G30" s="4" t="s">
        <v>196</v>
      </c>
      <c r="H30" s="6" t="s">
        <v>9</v>
      </c>
      <c r="I30" s="6" t="s">
        <v>88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9">
        <v>1300</v>
      </c>
      <c r="AV30" s="13">
        <v>1300</v>
      </c>
      <c r="AW30" s="14">
        <v>909.99999999999989</v>
      </c>
    </row>
    <row r="31" spans="1:49" ht="19.2" x14ac:dyDescent="0.4">
      <c r="A31" s="1" t="s">
        <v>183</v>
      </c>
      <c r="B31" s="4" t="s">
        <v>66</v>
      </c>
      <c r="C31" s="4">
        <v>396049</v>
      </c>
      <c r="D31" s="5"/>
      <c r="E31" s="4" t="s">
        <v>28</v>
      </c>
      <c r="F31" s="4" t="s">
        <v>67</v>
      </c>
      <c r="G31" s="4" t="s">
        <v>196</v>
      </c>
      <c r="H31" s="6" t="s">
        <v>9</v>
      </c>
      <c r="I31" s="6" t="s">
        <v>68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10">
        <v>900</v>
      </c>
      <c r="AV31" s="13">
        <v>900</v>
      </c>
      <c r="AW31" s="14">
        <v>630</v>
      </c>
    </row>
    <row r="32" spans="1:49" ht="19.2" x14ac:dyDescent="0.4">
      <c r="A32" s="1" t="s">
        <v>183</v>
      </c>
      <c r="B32" s="4" t="s">
        <v>231</v>
      </c>
      <c r="C32" s="4">
        <v>443989</v>
      </c>
      <c r="D32" s="5"/>
      <c r="E32" s="4" t="s">
        <v>28</v>
      </c>
      <c r="F32" s="4" t="s">
        <v>232</v>
      </c>
      <c r="G32" s="4" t="s">
        <v>196</v>
      </c>
      <c r="H32" s="6" t="s">
        <v>9</v>
      </c>
      <c r="I32" s="6" t="s">
        <v>102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10">
        <v>500</v>
      </c>
      <c r="AV32" s="13">
        <v>500</v>
      </c>
      <c r="AW32" s="14">
        <v>350</v>
      </c>
    </row>
    <row r="33" spans="1:49" ht="19.2" x14ac:dyDescent="0.4">
      <c r="A33" s="1" t="s">
        <v>183</v>
      </c>
      <c r="B33" s="4" t="s">
        <v>181</v>
      </c>
      <c r="C33" s="4">
        <v>443843</v>
      </c>
      <c r="D33" s="5"/>
      <c r="E33" s="4" t="s">
        <v>28</v>
      </c>
      <c r="F33" s="4" t="s">
        <v>65</v>
      </c>
      <c r="G33" s="4" t="s">
        <v>196</v>
      </c>
      <c r="H33" s="6" t="s">
        <v>9</v>
      </c>
      <c r="I33" s="6" t="s">
        <v>88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10">
        <v>200</v>
      </c>
      <c r="AV33" s="13">
        <v>200</v>
      </c>
      <c r="AW33" s="14">
        <v>140</v>
      </c>
    </row>
    <row r="34" spans="1:49" ht="19.2" x14ac:dyDescent="0.4">
      <c r="A34" s="1" t="s">
        <v>194</v>
      </c>
      <c r="B34" s="4" t="s">
        <v>62</v>
      </c>
      <c r="C34" s="4">
        <v>395231</v>
      </c>
      <c r="D34" s="5"/>
      <c r="E34" s="4" t="s">
        <v>28</v>
      </c>
      <c r="F34" s="4" t="s">
        <v>29</v>
      </c>
      <c r="G34" s="4" t="s">
        <v>196</v>
      </c>
      <c r="H34" s="6" t="s">
        <v>54</v>
      </c>
      <c r="I34" s="6" t="s">
        <v>63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9">
        <v>38500</v>
      </c>
      <c r="AV34" s="13">
        <v>38500</v>
      </c>
      <c r="AW34" s="14">
        <v>26950</v>
      </c>
    </row>
    <row r="35" spans="1:49" ht="19.2" x14ac:dyDescent="0.4">
      <c r="A35" s="1" t="s">
        <v>194</v>
      </c>
      <c r="B35" s="4" t="s">
        <v>69</v>
      </c>
      <c r="C35" s="4">
        <v>387161</v>
      </c>
      <c r="D35" s="5"/>
      <c r="E35" s="4" t="s">
        <v>28</v>
      </c>
      <c r="F35" s="4" t="s">
        <v>70</v>
      </c>
      <c r="G35" s="4" t="s">
        <v>196</v>
      </c>
      <c r="H35" s="6" t="s">
        <v>54</v>
      </c>
      <c r="I35" s="6" t="s">
        <v>71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9">
        <v>25600</v>
      </c>
      <c r="AV35" s="13">
        <v>25600</v>
      </c>
      <c r="AW35" s="14">
        <v>17920</v>
      </c>
    </row>
    <row r="36" spans="1:49" ht="19.2" x14ac:dyDescent="0.4">
      <c r="A36" s="1" t="s">
        <v>194</v>
      </c>
      <c r="B36" s="4" t="s">
        <v>126</v>
      </c>
      <c r="C36" s="4">
        <v>456187</v>
      </c>
      <c r="D36" s="5"/>
      <c r="E36" s="4" t="s">
        <v>28</v>
      </c>
      <c r="F36" s="4" t="s">
        <v>65</v>
      </c>
      <c r="G36" s="4" t="s">
        <v>196</v>
      </c>
      <c r="H36" s="6" t="s">
        <v>9</v>
      </c>
      <c r="I36" s="6" t="s">
        <v>127</v>
      </c>
      <c r="J36" s="6">
        <v>0</v>
      </c>
      <c r="K36" s="6">
        <v>101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101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9">
        <v>19800</v>
      </c>
      <c r="AV36" s="13">
        <v>19800</v>
      </c>
      <c r="AW36" s="14">
        <v>13860</v>
      </c>
    </row>
    <row r="37" spans="1:49" ht="28.8" x14ac:dyDescent="0.4">
      <c r="A37" s="1" t="s">
        <v>194</v>
      </c>
      <c r="B37" s="4" t="s">
        <v>84</v>
      </c>
      <c r="C37" s="4">
        <v>442667</v>
      </c>
      <c r="D37" s="5"/>
      <c r="E37" s="4" t="s">
        <v>28</v>
      </c>
      <c r="F37" s="4" t="s">
        <v>85</v>
      </c>
      <c r="G37" s="4" t="s">
        <v>196</v>
      </c>
      <c r="H37" s="6" t="s">
        <v>54</v>
      </c>
      <c r="I37" s="6" t="s">
        <v>86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9">
        <v>18000</v>
      </c>
      <c r="AV37" s="13">
        <v>18000</v>
      </c>
      <c r="AW37" s="14">
        <v>12600</v>
      </c>
    </row>
    <row r="38" spans="1:49" ht="19.2" x14ac:dyDescent="0.4">
      <c r="A38" s="1" t="s">
        <v>194</v>
      </c>
      <c r="B38" s="4" t="s">
        <v>236</v>
      </c>
      <c r="C38" s="4">
        <v>414543</v>
      </c>
      <c r="D38" s="5"/>
      <c r="E38" s="4" t="s">
        <v>28</v>
      </c>
      <c r="F38" s="4" t="s">
        <v>65</v>
      </c>
      <c r="G38" s="4" t="s">
        <v>196</v>
      </c>
      <c r="H38" s="6" t="s">
        <v>54</v>
      </c>
      <c r="I38" s="6" t="s">
        <v>237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9">
        <v>17000</v>
      </c>
      <c r="AV38" s="13">
        <v>17000</v>
      </c>
      <c r="AW38" s="14">
        <v>11900</v>
      </c>
    </row>
    <row r="39" spans="1:49" ht="19.2" x14ac:dyDescent="0.4">
      <c r="A39" s="1" t="s">
        <v>194</v>
      </c>
      <c r="B39" s="4" t="s">
        <v>132</v>
      </c>
      <c r="C39" s="4">
        <v>372422</v>
      </c>
      <c r="D39" s="5"/>
      <c r="E39" s="4" t="s">
        <v>28</v>
      </c>
      <c r="F39" s="4" t="s">
        <v>46</v>
      </c>
      <c r="G39" s="4" t="s">
        <v>196</v>
      </c>
      <c r="H39" s="6" t="s">
        <v>9</v>
      </c>
      <c r="I39" s="6" t="s">
        <v>133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13800</v>
      </c>
      <c r="AV39" s="13">
        <v>13800</v>
      </c>
      <c r="AW39" s="14">
        <v>9660</v>
      </c>
    </row>
    <row r="40" spans="1:49" ht="28.8" x14ac:dyDescent="0.4">
      <c r="A40" s="1" t="s">
        <v>194</v>
      </c>
      <c r="B40" s="4" t="s">
        <v>157</v>
      </c>
      <c r="C40" s="4">
        <v>442669</v>
      </c>
      <c r="D40" s="5"/>
      <c r="E40" s="4" t="s">
        <v>28</v>
      </c>
      <c r="F40" s="4" t="s">
        <v>83</v>
      </c>
      <c r="G40" s="4" t="s">
        <v>196</v>
      </c>
      <c r="H40" s="6" t="s">
        <v>54</v>
      </c>
      <c r="I40" s="6" t="s">
        <v>158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9">
        <v>10500</v>
      </c>
      <c r="AV40" s="13">
        <v>10500</v>
      </c>
      <c r="AW40" s="14">
        <v>7349.9999999999991</v>
      </c>
    </row>
    <row r="41" spans="1:49" ht="19.2" x14ac:dyDescent="0.4">
      <c r="A41" s="1" t="s">
        <v>194</v>
      </c>
      <c r="B41" s="4" t="s">
        <v>27</v>
      </c>
      <c r="C41" s="4">
        <v>395341</v>
      </c>
      <c r="D41" s="5"/>
      <c r="E41" s="4" t="s">
        <v>28</v>
      </c>
      <c r="F41" s="4" t="s">
        <v>29</v>
      </c>
      <c r="G41" s="4" t="s">
        <v>196</v>
      </c>
      <c r="H41" s="6" t="s">
        <v>9</v>
      </c>
      <c r="I41" s="6" t="s">
        <v>30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9">
        <v>8600</v>
      </c>
      <c r="AV41" s="13">
        <v>8600</v>
      </c>
      <c r="AW41" s="14">
        <v>6020</v>
      </c>
    </row>
    <row r="42" spans="1:49" ht="19.2" x14ac:dyDescent="0.4">
      <c r="A42" s="1" t="s">
        <v>194</v>
      </c>
      <c r="B42" s="4" t="s">
        <v>57</v>
      </c>
      <c r="C42" s="4">
        <v>372841</v>
      </c>
      <c r="D42" s="5"/>
      <c r="E42" s="4" t="s">
        <v>28</v>
      </c>
      <c r="F42" s="4" t="s">
        <v>46</v>
      </c>
      <c r="G42" s="4" t="s">
        <v>196</v>
      </c>
      <c r="H42" s="6" t="s">
        <v>9</v>
      </c>
      <c r="I42" s="6" t="s">
        <v>58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8600</v>
      </c>
      <c r="AV42" s="13">
        <v>8600</v>
      </c>
      <c r="AW42" s="14">
        <v>6020</v>
      </c>
    </row>
    <row r="43" spans="1:49" ht="19.2" x14ac:dyDescent="0.4">
      <c r="A43" s="1" t="s">
        <v>194</v>
      </c>
      <c r="B43" s="4" t="s">
        <v>103</v>
      </c>
      <c r="C43" s="4">
        <v>443969</v>
      </c>
      <c r="D43" s="5"/>
      <c r="E43" s="4" t="s">
        <v>28</v>
      </c>
      <c r="F43" s="4" t="s">
        <v>65</v>
      </c>
      <c r="G43" s="4" t="s">
        <v>196</v>
      </c>
      <c r="H43" s="6" t="s">
        <v>9</v>
      </c>
      <c r="I43" s="6" t="s">
        <v>102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9">
        <v>8200</v>
      </c>
      <c r="AV43" s="13">
        <v>8200</v>
      </c>
      <c r="AW43" s="14">
        <v>5740</v>
      </c>
    </row>
    <row r="44" spans="1:49" ht="19.2" x14ac:dyDescent="0.4">
      <c r="A44" s="1" t="s">
        <v>194</v>
      </c>
      <c r="B44" s="4" t="s">
        <v>169</v>
      </c>
      <c r="C44" s="4">
        <v>355068</v>
      </c>
      <c r="D44" s="5"/>
      <c r="E44" s="4" t="s">
        <v>28</v>
      </c>
      <c r="F44" s="4" t="s">
        <v>170</v>
      </c>
      <c r="G44" s="4" t="s">
        <v>196</v>
      </c>
      <c r="H44" s="6" t="s">
        <v>54</v>
      </c>
      <c r="I44" s="6" t="s">
        <v>171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7200</v>
      </c>
      <c r="AV44" s="13">
        <v>7200</v>
      </c>
      <c r="AW44" s="14">
        <v>5040</v>
      </c>
    </row>
    <row r="45" spans="1:49" ht="19.2" x14ac:dyDescent="0.4">
      <c r="A45" s="1" t="s">
        <v>194</v>
      </c>
      <c r="B45" s="4" t="s">
        <v>121</v>
      </c>
      <c r="C45" s="4">
        <v>381424</v>
      </c>
      <c r="D45" s="5"/>
      <c r="E45" s="4" t="s">
        <v>28</v>
      </c>
      <c r="F45" s="4" t="s">
        <v>29</v>
      </c>
      <c r="G45" s="4" t="s">
        <v>196</v>
      </c>
      <c r="H45" s="6" t="s">
        <v>54</v>
      </c>
      <c r="I45" s="6" t="s">
        <v>122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7000</v>
      </c>
      <c r="AV45" s="13">
        <v>7000</v>
      </c>
      <c r="AW45" s="14">
        <v>4900</v>
      </c>
    </row>
    <row r="46" spans="1:49" ht="19.2" x14ac:dyDescent="0.4">
      <c r="A46" s="1" t="s">
        <v>194</v>
      </c>
      <c r="B46" s="4" t="s">
        <v>241</v>
      </c>
      <c r="C46" s="4">
        <v>322722</v>
      </c>
      <c r="D46" s="5"/>
      <c r="E46" s="4" t="s">
        <v>28</v>
      </c>
      <c r="F46" s="4" t="s">
        <v>46</v>
      </c>
      <c r="G46" s="4" t="s">
        <v>196</v>
      </c>
      <c r="H46" s="6" t="s">
        <v>54</v>
      </c>
      <c r="I46" s="6" t="s">
        <v>242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9">
        <v>6400</v>
      </c>
      <c r="AV46" s="13">
        <v>6400</v>
      </c>
      <c r="AW46" s="14">
        <v>4480</v>
      </c>
    </row>
    <row r="47" spans="1:49" ht="38.4" x14ac:dyDescent="0.4">
      <c r="A47" s="1" t="s">
        <v>194</v>
      </c>
      <c r="B47" s="4" t="s">
        <v>162</v>
      </c>
      <c r="C47" s="4">
        <v>316013</v>
      </c>
      <c r="D47" s="5"/>
      <c r="E47" s="4" t="s">
        <v>28</v>
      </c>
      <c r="F47" s="4" t="s">
        <v>46</v>
      </c>
      <c r="G47" s="4" t="s">
        <v>196</v>
      </c>
      <c r="H47" s="6" t="s">
        <v>54</v>
      </c>
      <c r="I47" s="6" t="s">
        <v>163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9">
        <v>6400</v>
      </c>
      <c r="AV47" s="13">
        <v>6400</v>
      </c>
      <c r="AW47" s="14">
        <v>4480</v>
      </c>
    </row>
    <row r="48" spans="1:49" ht="28.8" x14ac:dyDescent="0.4">
      <c r="A48" s="1" t="s">
        <v>194</v>
      </c>
      <c r="B48" s="4" t="s">
        <v>187</v>
      </c>
      <c r="C48" s="4">
        <v>360498</v>
      </c>
      <c r="D48" s="5"/>
      <c r="E48" s="4" t="s">
        <v>28</v>
      </c>
      <c r="F48" s="4" t="s">
        <v>46</v>
      </c>
      <c r="G48" s="4" t="s">
        <v>196</v>
      </c>
      <c r="H48" s="6" t="s">
        <v>54</v>
      </c>
      <c r="I48" s="6" t="s">
        <v>188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9">
        <v>6400</v>
      </c>
      <c r="AV48" s="13">
        <v>6400</v>
      </c>
      <c r="AW48" s="14">
        <v>4480</v>
      </c>
    </row>
    <row r="49" spans="1:49" ht="19.2" x14ac:dyDescent="0.4">
      <c r="A49" s="1" t="s">
        <v>194</v>
      </c>
      <c r="B49" s="4" t="s">
        <v>106</v>
      </c>
      <c r="C49" s="4">
        <v>448030</v>
      </c>
      <c r="D49" s="5"/>
      <c r="E49" s="4" t="s">
        <v>28</v>
      </c>
      <c r="F49" s="4" t="s">
        <v>73</v>
      </c>
      <c r="G49" s="4" t="s">
        <v>196</v>
      </c>
      <c r="H49" s="6" t="s">
        <v>9</v>
      </c>
      <c r="I49" s="6" t="s">
        <v>107</v>
      </c>
      <c r="J49" s="6">
        <v>0</v>
      </c>
      <c r="K49" s="6">
        <v>465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465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9">
        <v>4600</v>
      </c>
      <c r="AV49" s="13">
        <v>4600</v>
      </c>
      <c r="AW49" s="14">
        <v>3220</v>
      </c>
    </row>
    <row r="50" spans="1:49" ht="19.2" x14ac:dyDescent="0.4">
      <c r="A50" s="1" t="s">
        <v>194</v>
      </c>
      <c r="B50" s="4" t="s">
        <v>139</v>
      </c>
      <c r="C50" s="4">
        <v>317429</v>
      </c>
      <c r="D50" s="5"/>
      <c r="E50" s="4" t="s">
        <v>28</v>
      </c>
      <c r="F50" s="4" t="s">
        <v>29</v>
      </c>
      <c r="G50" s="4" t="s">
        <v>196</v>
      </c>
      <c r="H50" s="6" t="s">
        <v>9</v>
      </c>
      <c r="I50" s="6" t="s">
        <v>140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9">
        <v>4400</v>
      </c>
      <c r="AV50" s="13">
        <v>4400</v>
      </c>
      <c r="AW50" s="14">
        <v>3080</v>
      </c>
    </row>
    <row r="51" spans="1:49" ht="19.2" x14ac:dyDescent="0.4">
      <c r="A51" s="1" t="s">
        <v>194</v>
      </c>
      <c r="B51" s="4" t="s">
        <v>243</v>
      </c>
      <c r="C51" s="4">
        <v>329865</v>
      </c>
      <c r="D51" s="5"/>
      <c r="E51" s="4" t="s">
        <v>28</v>
      </c>
      <c r="F51" s="4" t="s">
        <v>244</v>
      </c>
      <c r="G51" s="4" t="s">
        <v>196</v>
      </c>
      <c r="H51" s="6" t="s">
        <v>54</v>
      </c>
      <c r="I51" s="6" t="s">
        <v>245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9">
        <v>4200</v>
      </c>
      <c r="AV51" s="13">
        <v>4200</v>
      </c>
      <c r="AW51" s="14">
        <v>2940</v>
      </c>
    </row>
    <row r="52" spans="1:49" ht="19.2" x14ac:dyDescent="0.4">
      <c r="A52" s="1" t="s">
        <v>194</v>
      </c>
      <c r="B52" s="4" t="s">
        <v>191</v>
      </c>
      <c r="C52" s="4">
        <v>352027</v>
      </c>
      <c r="D52" s="5"/>
      <c r="E52" s="4" t="s">
        <v>28</v>
      </c>
      <c r="F52" s="4" t="s">
        <v>43</v>
      </c>
      <c r="G52" s="4" t="s">
        <v>196</v>
      </c>
      <c r="H52" s="6" t="s">
        <v>54</v>
      </c>
      <c r="I52" s="6" t="s">
        <v>192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9">
        <v>3800</v>
      </c>
      <c r="AV52" s="13">
        <v>3800</v>
      </c>
      <c r="AW52" s="14">
        <v>2660</v>
      </c>
    </row>
    <row r="53" spans="1:49" ht="19.2" x14ac:dyDescent="0.4">
      <c r="A53" s="1" t="s">
        <v>194</v>
      </c>
      <c r="B53" s="4" t="s">
        <v>246</v>
      </c>
      <c r="C53" s="4">
        <v>326776</v>
      </c>
      <c r="D53" s="5"/>
      <c r="E53" s="4" t="s">
        <v>28</v>
      </c>
      <c r="F53" s="4" t="s">
        <v>247</v>
      </c>
      <c r="G53" s="4" t="s">
        <v>196</v>
      </c>
      <c r="H53" s="6" t="s">
        <v>54</v>
      </c>
      <c r="I53" s="6" t="s">
        <v>248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9">
        <v>3800</v>
      </c>
      <c r="AV53" s="13">
        <v>3800</v>
      </c>
      <c r="AW53" s="14">
        <v>2660</v>
      </c>
    </row>
    <row r="54" spans="1:49" ht="19.2" x14ac:dyDescent="0.4">
      <c r="A54" s="1" t="s">
        <v>194</v>
      </c>
      <c r="B54" s="4" t="s">
        <v>99</v>
      </c>
      <c r="C54" s="4">
        <v>445954</v>
      </c>
      <c r="D54" s="5"/>
      <c r="E54" s="4" t="s">
        <v>28</v>
      </c>
      <c r="F54" s="4" t="s">
        <v>73</v>
      </c>
      <c r="G54" s="4" t="s">
        <v>196</v>
      </c>
      <c r="H54" s="6" t="s">
        <v>9</v>
      </c>
      <c r="I54" s="6" t="s">
        <v>100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9">
        <v>3700</v>
      </c>
      <c r="AV54" s="13">
        <v>3700</v>
      </c>
      <c r="AW54" s="14">
        <v>2590</v>
      </c>
    </row>
    <row r="55" spans="1:49" ht="28.8" x14ac:dyDescent="0.4">
      <c r="A55" s="1" t="s">
        <v>194</v>
      </c>
      <c r="B55" s="4" t="s">
        <v>164</v>
      </c>
      <c r="C55" s="4">
        <v>351091</v>
      </c>
      <c r="D55" s="5"/>
      <c r="E55" s="4" t="s">
        <v>28</v>
      </c>
      <c r="F55" s="4" t="s">
        <v>46</v>
      </c>
      <c r="G55" s="4" t="s">
        <v>196</v>
      </c>
      <c r="H55" s="6" t="s">
        <v>54</v>
      </c>
      <c r="I55" s="6" t="s">
        <v>165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9">
        <v>3600</v>
      </c>
      <c r="AV55" s="13">
        <v>3600</v>
      </c>
      <c r="AW55" s="14">
        <v>2520</v>
      </c>
    </row>
    <row r="56" spans="1:49" ht="19.2" x14ac:dyDescent="0.4">
      <c r="A56" s="1" t="s">
        <v>194</v>
      </c>
      <c r="B56" s="4" t="s">
        <v>74</v>
      </c>
      <c r="C56" s="4">
        <v>423507</v>
      </c>
      <c r="D56" s="5"/>
      <c r="E56" s="4" t="s">
        <v>28</v>
      </c>
      <c r="F56" s="4" t="s">
        <v>67</v>
      </c>
      <c r="G56" s="4" t="s">
        <v>196</v>
      </c>
      <c r="H56" s="6" t="s">
        <v>54</v>
      </c>
      <c r="I56" s="6" t="s">
        <v>75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9">
        <v>3200</v>
      </c>
      <c r="AV56" s="13">
        <v>3200</v>
      </c>
      <c r="AW56" s="14">
        <v>2240</v>
      </c>
    </row>
    <row r="57" spans="1:49" ht="28.8" x14ac:dyDescent="0.4">
      <c r="A57" s="1" t="s">
        <v>194</v>
      </c>
      <c r="B57" s="4" t="s">
        <v>174</v>
      </c>
      <c r="C57" s="4">
        <v>460820</v>
      </c>
      <c r="D57" s="5"/>
      <c r="E57" s="4" t="s">
        <v>28</v>
      </c>
      <c r="F57" s="4" t="s">
        <v>175</v>
      </c>
      <c r="G57" s="4" t="s">
        <v>196</v>
      </c>
      <c r="H57" s="6" t="s">
        <v>9</v>
      </c>
      <c r="I57" s="6" t="s">
        <v>176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9">
        <v>3000</v>
      </c>
      <c r="AV57" s="13">
        <v>3000</v>
      </c>
      <c r="AW57" s="14">
        <v>2100</v>
      </c>
    </row>
    <row r="58" spans="1:49" ht="19.2" x14ac:dyDescent="0.4">
      <c r="A58" s="1" t="s">
        <v>194</v>
      </c>
      <c r="B58" s="4" t="s">
        <v>249</v>
      </c>
      <c r="C58" s="4">
        <v>371107</v>
      </c>
      <c r="D58" s="5"/>
      <c r="E58" s="4" t="s">
        <v>28</v>
      </c>
      <c r="F58" s="4" t="s">
        <v>46</v>
      </c>
      <c r="G58" s="4" t="s">
        <v>196</v>
      </c>
      <c r="H58" s="6" t="s">
        <v>54</v>
      </c>
      <c r="I58" s="6" t="s">
        <v>250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9">
        <v>3000</v>
      </c>
      <c r="AV58" s="13">
        <v>3000</v>
      </c>
      <c r="AW58" s="14">
        <v>2100</v>
      </c>
    </row>
    <row r="59" spans="1:49" ht="19.2" x14ac:dyDescent="0.4">
      <c r="A59" s="1" t="s">
        <v>194</v>
      </c>
      <c r="B59" s="4" t="s">
        <v>120</v>
      </c>
      <c r="C59" s="4">
        <v>443543</v>
      </c>
      <c r="D59" s="5"/>
      <c r="E59" s="4" t="s">
        <v>28</v>
      </c>
      <c r="F59" s="4" t="s">
        <v>46</v>
      </c>
      <c r="G59" s="4" t="s">
        <v>196</v>
      </c>
      <c r="H59" s="6" t="s">
        <v>9</v>
      </c>
      <c r="I59" s="6" t="s">
        <v>87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2600</v>
      </c>
      <c r="AV59" s="13">
        <v>2600</v>
      </c>
      <c r="AW59" s="14">
        <v>1819.9999999999998</v>
      </c>
    </row>
    <row r="60" spans="1:49" ht="28.8" x14ac:dyDescent="0.4">
      <c r="A60" s="1" t="s">
        <v>194</v>
      </c>
      <c r="B60" s="4" t="s">
        <v>190</v>
      </c>
      <c r="C60" s="4">
        <v>317397</v>
      </c>
      <c r="D60" s="5"/>
      <c r="E60" s="4" t="s">
        <v>28</v>
      </c>
      <c r="F60" s="4" t="s">
        <v>189</v>
      </c>
      <c r="G60" s="4" t="s">
        <v>196</v>
      </c>
      <c r="H60" s="6" t="s">
        <v>54</v>
      </c>
      <c r="I60" s="6" t="s">
        <v>140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9">
        <v>2500</v>
      </c>
      <c r="AV60" s="13">
        <v>2500</v>
      </c>
      <c r="AW60" s="14">
        <v>1750</v>
      </c>
    </row>
    <row r="61" spans="1:49" ht="19.2" x14ac:dyDescent="0.4">
      <c r="A61" s="1" t="s">
        <v>194</v>
      </c>
      <c r="B61" s="4" t="s">
        <v>76</v>
      </c>
      <c r="C61" s="4">
        <v>401407</v>
      </c>
      <c r="D61" s="5"/>
      <c r="E61" s="4" t="s">
        <v>28</v>
      </c>
      <c r="F61" s="4" t="s">
        <v>46</v>
      </c>
      <c r="G61" s="4" t="s">
        <v>196</v>
      </c>
      <c r="H61" s="6" t="s">
        <v>9</v>
      </c>
      <c r="I61" s="6" t="s">
        <v>77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9">
        <v>2000</v>
      </c>
      <c r="AV61" s="13">
        <v>2000</v>
      </c>
      <c r="AW61" s="14">
        <v>1400</v>
      </c>
    </row>
    <row r="62" spans="1:49" ht="28.8" x14ac:dyDescent="0.4">
      <c r="A62" s="1" t="s">
        <v>194</v>
      </c>
      <c r="B62" s="4" t="s">
        <v>193</v>
      </c>
      <c r="C62" s="4">
        <v>430443</v>
      </c>
      <c r="D62" s="5"/>
      <c r="E62" s="4" t="s">
        <v>28</v>
      </c>
      <c r="F62" s="4" t="s">
        <v>67</v>
      </c>
      <c r="G62" s="4" t="s">
        <v>196</v>
      </c>
      <c r="H62" s="6" t="s">
        <v>54</v>
      </c>
      <c r="I62" s="6" t="s">
        <v>72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9">
        <v>1000</v>
      </c>
      <c r="AV62" s="13">
        <v>1000</v>
      </c>
      <c r="AW62" s="14">
        <v>700</v>
      </c>
    </row>
    <row r="63" spans="1:49" ht="19.2" x14ac:dyDescent="0.4">
      <c r="A63" s="1" t="s">
        <v>194</v>
      </c>
      <c r="B63" s="4" t="s">
        <v>97</v>
      </c>
      <c r="C63" s="4">
        <v>445220</v>
      </c>
      <c r="D63" s="5"/>
      <c r="E63" s="4" t="s">
        <v>28</v>
      </c>
      <c r="F63" s="4" t="s">
        <v>83</v>
      </c>
      <c r="G63" s="4" t="s">
        <v>196</v>
      </c>
      <c r="H63" s="6" t="s">
        <v>9</v>
      </c>
      <c r="I63" s="6" t="s">
        <v>98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10">
        <v>700</v>
      </c>
      <c r="AV63" s="13">
        <v>700</v>
      </c>
      <c r="AW63" s="14">
        <v>489.99999999999994</v>
      </c>
    </row>
    <row r="64" spans="1:49" ht="19.2" x14ac:dyDescent="0.4">
      <c r="A64" s="1" t="s">
        <v>194</v>
      </c>
      <c r="B64" s="4" t="s">
        <v>251</v>
      </c>
      <c r="C64" s="4">
        <v>331754</v>
      </c>
      <c r="D64" s="5"/>
      <c r="E64" s="4" t="s">
        <v>28</v>
      </c>
      <c r="F64" s="4" t="s">
        <v>247</v>
      </c>
      <c r="G64" s="4" t="s">
        <v>196</v>
      </c>
      <c r="H64" s="6" t="s">
        <v>54</v>
      </c>
      <c r="I64" s="6" t="s">
        <v>123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10">
        <v>600</v>
      </c>
      <c r="AV64" s="13">
        <v>600</v>
      </c>
      <c r="AW64" s="14">
        <v>420</v>
      </c>
    </row>
    <row r="65" spans="1:49" ht="28.8" x14ac:dyDescent="0.4">
      <c r="A65" s="1" t="s">
        <v>194</v>
      </c>
      <c r="B65" s="4" t="s">
        <v>252</v>
      </c>
      <c r="C65" s="4">
        <v>423519</v>
      </c>
      <c r="D65" s="5"/>
      <c r="E65" s="4" t="s">
        <v>28</v>
      </c>
      <c r="F65" s="4" t="s">
        <v>67</v>
      </c>
      <c r="G65" s="4" t="s">
        <v>196</v>
      </c>
      <c r="H65" s="6" t="s">
        <v>54</v>
      </c>
      <c r="I65" s="6" t="s">
        <v>75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10">
        <v>600</v>
      </c>
      <c r="AV65" s="13">
        <v>600</v>
      </c>
      <c r="AW65" s="14">
        <v>420</v>
      </c>
    </row>
    <row r="66" spans="1:49" ht="28.8" x14ac:dyDescent="0.4">
      <c r="A66" s="1" t="s">
        <v>194</v>
      </c>
      <c r="B66" s="4" t="s">
        <v>182</v>
      </c>
      <c r="C66" s="4">
        <v>443823</v>
      </c>
      <c r="D66" s="5"/>
      <c r="E66" s="4" t="s">
        <v>28</v>
      </c>
      <c r="F66" s="4" t="s">
        <v>64</v>
      </c>
      <c r="G66" s="4" t="s">
        <v>196</v>
      </c>
      <c r="H66" s="6" t="s">
        <v>9</v>
      </c>
      <c r="I66" s="6" t="s">
        <v>88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10">
        <v>500</v>
      </c>
      <c r="AV66" s="13">
        <v>500</v>
      </c>
      <c r="AW66" s="14">
        <v>350</v>
      </c>
    </row>
    <row r="67" spans="1:49" ht="19.2" x14ac:dyDescent="0.4">
      <c r="A67" s="1" t="s">
        <v>194</v>
      </c>
      <c r="B67" s="4" t="s">
        <v>137</v>
      </c>
      <c r="C67" s="4">
        <v>368432</v>
      </c>
      <c r="D67" s="5"/>
      <c r="E67" s="4" t="s">
        <v>28</v>
      </c>
      <c r="F67" s="4" t="s">
        <v>37</v>
      </c>
      <c r="G67" s="4" t="s">
        <v>196</v>
      </c>
      <c r="H67" s="6" t="s">
        <v>9</v>
      </c>
      <c r="I67" s="6" t="s">
        <v>138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10">
        <v>400</v>
      </c>
      <c r="AV67" s="13">
        <v>400</v>
      </c>
      <c r="AW67" s="14">
        <v>280</v>
      </c>
    </row>
    <row r="68" spans="1:49" ht="19.2" x14ac:dyDescent="0.4">
      <c r="A68" s="1" t="s">
        <v>194</v>
      </c>
      <c r="B68" s="4" t="s">
        <v>78</v>
      </c>
      <c r="C68" s="4">
        <v>395237</v>
      </c>
      <c r="D68" s="5"/>
      <c r="E68" s="4" t="s">
        <v>28</v>
      </c>
      <c r="F68" s="4" t="s">
        <v>29</v>
      </c>
      <c r="G68" s="4" t="s">
        <v>196</v>
      </c>
      <c r="H68" s="6" t="s">
        <v>54</v>
      </c>
      <c r="I68" s="6" t="s">
        <v>63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10">
        <v>200</v>
      </c>
      <c r="AV68" s="13">
        <v>200</v>
      </c>
      <c r="AW68" s="14">
        <v>140</v>
      </c>
    </row>
    <row r="69" spans="1:49" ht="28.8" x14ac:dyDescent="0.4">
      <c r="A69" s="1" t="s">
        <v>194</v>
      </c>
      <c r="B69" s="4" t="s">
        <v>253</v>
      </c>
      <c r="C69" s="4">
        <v>415999</v>
      </c>
      <c r="D69" s="5"/>
      <c r="E69" s="4" t="s">
        <v>28</v>
      </c>
      <c r="F69" s="4" t="s">
        <v>73</v>
      </c>
      <c r="G69" s="4" t="s">
        <v>196</v>
      </c>
      <c r="H69" s="6" t="s">
        <v>54</v>
      </c>
      <c r="I69" s="6" t="s">
        <v>254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10">
        <v>200</v>
      </c>
      <c r="AV69" s="13">
        <v>200</v>
      </c>
      <c r="AW69" s="14">
        <v>140</v>
      </c>
    </row>
    <row r="70" spans="1:49" ht="19.2" x14ac:dyDescent="0.4">
      <c r="A70" s="1" t="s">
        <v>194</v>
      </c>
      <c r="B70" s="4" t="s">
        <v>89</v>
      </c>
      <c r="C70" s="4">
        <v>443833</v>
      </c>
      <c r="D70" s="5"/>
      <c r="E70" s="4" t="s">
        <v>28</v>
      </c>
      <c r="F70" s="4" t="s">
        <v>90</v>
      </c>
      <c r="G70" s="4" t="s">
        <v>196</v>
      </c>
      <c r="H70" s="6" t="s">
        <v>9</v>
      </c>
      <c r="I70" s="6" t="s">
        <v>88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10">
        <v>200</v>
      </c>
      <c r="AV70" s="13">
        <v>200</v>
      </c>
      <c r="AW70" s="14">
        <v>140</v>
      </c>
    </row>
    <row r="71" spans="1:49" ht="19.2" x14ac:dyDescent="0.4">
      <c r="A71" s="1" t="s">
        <v>194</v>
      </c>
      <c r="B71" s="4" t="s">
        <v>44</v>
      </c>
      <c r="C71" s="4">
        <v>418030</v>
      </c>
      <c r="D71" s="5"/>
      <c r="E71" s="4" t="s">
        <v>28</v>
      </c>
      <c r="F71" s="4" t="s">
        <v>37</v>
      </c>
      <c r="G71" s="4" t="s">
        <v>196</v>
      </c>
      <c r="H71" s="6" t="s">
        <v>9</v>
      </c>
      <c r="I71" s="6" t="s">
        <v>45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10">
        <v>100</v>
      </c>
      <c r="AV71" s="13">
        <v>100</v>
      </c>
      <c r="AW71" s="14">
        <v>70</v>
      </c>
    </row>
    <row r="72" spans="1:49" ht="19.2" x14ac:dyDescent="0.4">
      <c r="A72" s="1" t="s">
        <v>194</v>
      </c>
      <c r="B72" s="4" t="s">
        <v>36</v>
      </c>
      <c r="C72" s="4">
        <v>354768</v>
      </c>
      <c r="D72" s="5"/>
      <c r="E72" s="4" t="s">
        <v>28</v>
      </c>
      <c r="F72" s="4" t="s">
        <v>37</v>
      </c>
      <c r="G72" s="4" t="s">
        <v>196</v>
      </c>
      <c r="H72" s="6" t="s">
        <v>9</v>
      </c>
      <c r="I72" s="6" t="s">
        <v>38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10">
        <v>100</v>
      </c>
      <c r="AV72" s="13">
        <v>100</v>
      </c>
      <c r="AW72" s="14">
        <v>70</v>
      </c>
    </row>
    <row r="73" spans="1:49" ht="28.8" x14ac:dyDescent="0.4">
      <c r="A73" s="1" t="s">
        <v>195</v>
      </c>
      <c r="B73" s="4" t="s">
        <v>174</v>
      </c>
      <c r="C73" s="4">
        <v>460820</v>
      </c>
      <c r="D73" s="5"/>
      <c r="E73" s="4" t="s">
        <v>28</v>
      </c>
      <c r="F73" s="4" t="s">
        <v>175</v>
      </c>
      <c r="G73" s="4" t="s">
        <v>196</v>
      </c>
      <c r="H73" s="6" t="s">
        <v>9</v>
      </c>
      <c r="I73" s="6" t="s">
        <v>176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8">
        <v>2728.8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9">
        <v>27496</v>
      </c>
      <c r="AV73" s="13">
        <v>24767.200000000001</v>
      </c>
      <c r="AW73" s="14">
        <v>17337.04</v>
      </c>
    </row>
    <row r="74" spans="1:49" ht="19.2" x14ac:dyDescent="0.4">
      <c r="A74" s="1" t="s">
        <v>195</v>
      </c>
      <c r="B74" s="4" t="s">
        <v>126</v>
      </c>
      <c r="C74" s="4">
        <v>456187</v>
      </c>
      <c r="D74" s="5"/>
      <c r="E74" s="4" t="s">
        <v>28</v>
      </c>
      <c r="F74" s="4" t="s">
        <v>65</v>
      </c>
      <c r="G74" s="4" t="s">
        <v>196</v>
      </c>
      <c r="H74" s="6" t="s">
        <v>9</v>
      </c>
      <c r="I74" s="6" t="s">
        <v>127</v>
      </c>
      <c r="J74" s="6">
        <v>0</v>
      </c>
      <c r="K74" s="6">
        <v>115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115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8">
        <v>6048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9">
        <v>27060</v>
      </c>
      <c r="AV74" s="13">
        <v>21012</v>
      </c>
      <c r="AW74" s="14">
        <v>14708.4</v>
      </c>
    </row>
    <row r="75" spans="1:49" ht="19.2" x14ac:dyDescent="0.4">
      <c r="A75" s="1" t="s">
        <v>195</v>
      </c>
      <c r="B75" s="4" t="s">
        <v>97</v>
      </c>
      <c r="C75" s="4">
        <v>445220</v>
      </c>
      <c r="D75" s="5"/>
      <c r="E75" s="4" t="s">
        <v>28</v>
      </c>
      <c r="F75" s="4" t="s">
        <v>83</v>
      </c>
      <c r="G75" s="4" t="s">
        <v>196</v>
      </c>
      <c r="H75" s="6" t="s">
        <v>9</v>
      </c>
      <c r="I75" s="6" t="s">
        <v>98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8">
        <v>6048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9">
        <v>20260</v>
      </c>
      <c r="AV75" s="13">
        <v>14212</v>
      </c>
      <c r="AW75" s="14">
        <v>9948.4</v>
      </c>
    </row>
    <row r="76" spans="1:49" ht="19.2" x14ac:dyDescent="0.4">
      <c r="A76" s="1" t="s">
        <v>195</v>
      </c>
      <c r="B76" s="4" t="s">
        <v>106</v>
      </c>
      <c r="C76" s="4">
        <v>448030</v>
      </c>
      <c r="D76" s="5"/>
      <c r="E76" s="4" t="s">
        <v>28</v>
      </c>
      <c r="F76" s="4" t="s">
        <v>73</v>
      </c>
      <c r="G76" s="4" t="s">
        <v>196</v>
      </c>
      <c r="H76" s="6" t="s">
        <v>9</v>
      </c>
      <c r="I76" s="6" t="s">
        <v>107</v>
      </c>
      <c r="J76" s="6">
        <v>0</v>
      </c>
      <c r="K76" s="6">
        <v>200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200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8">
        <v>2376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9">
        <v>9620</v>
      </c>
      <c r="AV76" s="13">
        <v>7244</v>
      </c>
      <c r="AW76" s="14">
        <v>5070.7999999999993</v>
      </c>
    </row>
    <row r="77" spans="1:49" ht="19.2" x14ac:dyDescent="0.4">
      <c r="A77" s="1" t="s">
        <v>195</v>
      </c>
      <c r="B77" s="4" t="s">
        <v>27</v>
      </c>
      <c r="C77" s="4">
        <v>395341</v>
      </c>
      <c r="D77" s="5"/>
      <c r="E77" s="4" t="s">
        <v>28</v>
      </c>
      <c r="F77" s="4" t="s">
        <v>29</v>
      </c>
      <c r="G77" s="4" t="s">
        <v>196</v>
      </c>
      <c r="H77" s="6" t="s">
        <v>9</v>
      </c>
      <c r="I77" s="6" t="s">
        <v>30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9">
        <v>9300</v>
      </c>
      <c r="AV77" s="13">
        <v>9300</v>
      </c>
      <c r="AW77" s="14">
        <v>6510</v>
      </c>
    </row>
    <row r="78" spans="1:49" ht="19.2" x14ac:dyDescent="0.4">
      <c r="A78" s="1" t="s">
        <v>195</v>
      </c>
      <c r="B78" s="4" t="s">
        <v>137</v>
      </c>
      <c r="C78" s="4">
        <v>368432</v>
      </c>
      <c r="D78" s="5"/>
      <c r="E78" s="4" t="s">
        <v>28</v>
      </c>
      <c r="F78" s="4" t="s">
        <v>37</v>
      </c>
      <c r="G78" s="4" t="s">
        <v>196</v>
      </c>
      <c r="H78" s="6" t="s">
        <v>9</v>
      </c>
      <c r="I78" s="6" t="s">
        <v>138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8">
        <v>1440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9">
        <v>9000</v>
      </c>
      <c r="AV78" s="13">
        <v>7560</v>
      </c>
      <c r="AW78" s="14">
        <v>5292</v>
      </c>
    </row>
    <row r="79" spans="1:49" ht="19.2" x14ac:dyDescent="0.4">
      <c r="A79" s="1" t="s">
        <v>195</v>
      </c>
      <c r="B79" s="4" t="s">
        <v>57</v>
      </c>
      <c r="C79" s="4">
        <v>372841</v>
      </c>
      <c r="D79" s="5"/>
      <c r="E79" s="4" t="s">
        <v>28</v>
      </c>
      <c r="F79" s="4" t="s">
        <v>46</v>
      </c>
      <c r="G79" s="4" t="s">
        <v>196</v>
      </c>
      <c r="H79" s="6" t="s">
        <v>9</v>
      </c>
      <c r="I79" s="6" t="s">
        <v>58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8">
        <v>2664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9">
        <v>8880</v>
      </c>
      <c r="AV79" s="13">
        <v>6216</v>
      </c>
      <c r="AW79" s="14">
        <v>4351.2</v>
      </c>
    </row>
    <row r="80" spans="1:49" ht="19.2" x14ac:dyDescent="0.4">
      <c r="A80" s="1" t="s">
        <v>195</v>
      </c>
      <c r="B80" s="4" t="s">
        <v>101</v>
      </c>
      <c r="C80" s="4">
        <v>443978</v>
      </c>
      <c r="D80" s="5"/>
      <c r="E80" s="4" t="s">
        <v>28</v>
      </c>
      <c r="F80" s="4" t="s">
        <v>85</v>
      </c>
      <c r="G80" s="4" t="s">
        <v>196</v>
      </c>
      <c r="H80" s="6" t="s">
        <v>9</v>
      </c>
      <c r="I80" s="6" t="s">
        <v>102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9">
        <v>6600</v>
      </c>
      <c r="AV80" s="13">
        <v>6600</v>
      </c>
      <c r="AW80" s="14">
        <v>4620</v>
      </c>
    </row>
    <row r="81" spans="1:49" ht="19.2" x14ac:dyDescent="0.4">
      <c r="A81" s="1" t="s">
        <v>195</v>
      </c>
      <c r="B81" s="4" t="s">
        <v>69</v>
      </c>
      <c r="C81" s="4">
        <v>387161</v>
      </c>
      <c r="D81" s="5"/>
      <c r="E81" s="4" t="s">
        <v>28</v>
      </c>
      <c r="F81" s="4" t="s">
        <v>70</v>
      </c>
      <c r="G81" s="4" t="s">
        <v>196</v>
      </c>
      <c r="H81" s="6" t="s">
        <v>54</v>
      </c>
      <c r="I81" s="6" t="s">
        <v>71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8">
        <v>1152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9">
        <v>3840</v>
      </c>
      <c r="AV81" s="13">
        <v>2688</v>
      </c>
      <c r="AW81" s="14">
        <v>1881.6</v>
      </c>
    </row>
    <row r="82" spans="1:49" ht="19.2" x14ac:dyDescent="0.4">
      <c r="A82" s="1" t="s">
        <v>195</v>
      </c>
      <c r="B82" s="4" t="s">
        <v>36</v>
      </c>
      <c r="C82" s="4">
        <v>354768</v>
      </c>
      <c r="D82" s="5"/>
      <c r="E82" s="4" t="s">
        <v>28</v>
      </c>
      <c r="F82" s="4" t="s">
        <v>37</v>
      </c>
      <c r="G82" s="4" t="s">
        <v>196</v>
      </c>
      <c r="H82" s="6" t="s">
        <v>9</v>
      </c>
      <c r="I82" s="6" t="s">
        <v>38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9">
        <v>3800</v>
      </c>
      <c r="AV82" s="13">
        <v>3800</v>
      </c>
      <c r="AW82" s="14">
        <v>2660</v>
      </c>
    </row>
    <row r="83" spans="1:49" ht="19.2" x14ac:dyDescent="0.4">
      <c r="A83" s="1" t="s">
        <v>195</v>
      </c>
      <c r="B83" s="4" t="s">
        <v>169</v>
      </c>
      <c r="C83" s="4">
        <v>355068</v>
      </c>
      <c r="D83" s="5"/>
      <c r="E83" s="4" t="s">
        <v>28</v>
      </c>
      <c r="F83" s="4" t="s">
        <v>170</v>
      </c>
      <c r="G83" s="4" t="s">
        <v>196</v>
      </c>
      <c r="H83" s="6" t="s">
        <v>54</v>
      </c>
      <c r="I83" s="6" t="s">
        <v>171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9">
        <v>3600</v>
      </c>
      <c r="AV83" s="13">
        <v>3600</v>
      </c>
      <c r="AW83" s="14">
        <v>2520</v>
      </c>
    </row>
    <row r="84" spans="1:49" ht="19.2" x14ac:dyDescent="0.4">
      <c r="A84" s="1" t="s">
        <v>195</v>
      </c>
      <c r="B84" s="4" t="s">
        <v>66</v>
      </c>
      <c r="C84" s="4">
        <v>396049</v>
      </c>
      <c r="D84" s="5"/>
      <c r="E84" s="4" t="s">
        <v>28</v>
      </c>
      <c r="F84" s="4" t="s">
        <v>67</v>
      </c>
      <c r="G84" s="4" t="s">
        <v>196</v>
      </c>
      <c r="H84" s="6" t="s">
        <v>9</v>
      </c>
      <c r="I84" s="6" t="s">
        <v>68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576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9">
        <v>2320</v>
      </c>
      <c r="AV84" s="13">
        <v>1744</v>
      </c>
      <c r="AW84" s="14">
        <v>1220.8</v>
      </c>
    </row>
    <row r="85" spans="1:49" ht="19.2" x14ac:dyDescent="0.4">
      <c r="A85" s="1" t="s">
        <v>195</v>
      </c>
      <c r="B85" s="4" t="s">
        <v>89</v>
      </c>
      <c r="C85" s="4">
        <v>443833</v>
      </c>
      <c r="D85" s="5"/>
      <c r="E85" s="4" t="s">
        <v>28</v>
      </c>
      <c r="F85" s="4" t="s">
        <v>90</v>
      </c>
      <c r="G85" s="4" t="s">
        <v>196</v>
      </c>
      <c r="H85" s="6" t="s">
        <v>9</v>
      </c>
      <c r="I85" s="6" t="s">
        <v>88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10">
        <v>800</v>
      </c>
      <c r="AV85" s="13">
        <v>800</v>
      </c>
      <c r="AW85" s="14">
        <v>560</v>
      </c>
    </row>
    <row r="86" spans="1:49" ht="19.2" x14ac:dyDescent="0.4">
      <c r="A86" s="1" t="s">
        <v>195</v>
      </c>
      <c r="B86" s="4" t="s">
        <v>132</v>
      </c>
      <c r="C86" s="4">
        <v>372422</v>
      </c>
      <c r="D86" s="5"/>
      <c r="E86" s="4" t="s">
        <v>28</v>
      </c>
      <c r="F86" s="4" t="s">
        <v>46</v>
      </c>
      <c r="G86" s="4" t="s">
        <v>196</v>
      </c>
      <c r="H86" s="6" t="s">
        <v>9</v>
      </c>
      <c r="I86" s="6" t="s">
        <v>133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10">
        <v>400</v>
      </c>
      <c r="AV86" s="13">
        <v>400</v>
      </c>
      <c r="AW86" s="14">
        <v>280</v>
      </c>
    </row>
    <row r="87" spans="1:49" ht="19.2" x14ac:dyDescent="0.4">
      <c r="A87" s="1" t="s">
        <v>195</v>
      </c>
      <c r="B87" s="4" t="s">
        <v>76</v>
      </c>
      <c r="C87" s="4">
        <v>401407</v>
      </c>
      <c r="D87" s="5"/>
      <c r="E87" s="4" t="s">
        <v>28</v>
      </c>
      <c r="F87" s="4" t="s">
        <v>46</v>
      </c>
      <c r="G87" s="4" t="s">
        <v>196</v>
      </c>
      <c r="H87" s="6" t="s">
        <v>9</v>
      </c>
      <c r="I87" s="6" t="s">
        <v>77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10">
        <v>300</v>
      </c>
      <c r="AV87" s="13">
        <v>300</v>
      </c>
      <c r="AW87" s="14">
        <v>210</v>
      </c>
    </row>
    <row r="88" spans="1:49" ht="19.2" x14ac:dyDescent="0.4">
      <c r="A88" s="1" t="s">
        <v>195</v>
      </c>
      <c r="B88" s="4" t="s">
        <v>120</v>
      </c>
      <c r="C88" s="4">
        <v>443543</v>
      </c>
      <c r="D88" s="5"/>
      <c r="E88" s="4" t="s">
        <v>28</v>
      </c>
      <c r="F88" s="4" t="s">
        <v>46</v>
      </c>
      <c r="G88" s="4" t="s">
        <v>196</v>
      </c>
      <c r="H88" s="6" t="s">
        <v>9</v>
      </c>
      <c r="I88" s="6" t="s">
        <v>87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10">
        <v>100</v>
      </c>
      <c r="AV88" s="13">
        <v>100</v>
      </c>
      <c r="AW88" s="14">
        <v>70</v>
      </c>
    </row>
    <row r="89" spans="1:49" x14ac:dyDescent="0.4">
      <c r="AW89" s="15">
        <f>SUM(AW2:AW88)</f>
        <v>650750.24000000011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W6"/>
  <sheetViews>
    <sheetView workbookViewId="0">
      <selection activeCell="H13" sqref="H13"/>
    </sheetView>
  </sheetViews>
  <sheetFormatPr defaultRowHeight="17.399999999999999" x14ac:dyDescent="0.4"/>
  <cols>
    <col min="1" max="1" width="10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796875" bestFit="1" customWidth="1"/>
    <col min="7" max="7" width="8.3984375" bestFit="1" customWidth="1"/>
    <col min="8" max="8" width="7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9" max="49" width="8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28.8" x14ac:dyDescent="0.4">
      <c r="A2" s="1" t="s">
        <v>183</v>
      </c>
      <c r="B2" s="4" t="s">
        <v>94</v>
      </c>
      <c r="C2" s="4">
        <v>440710</v>
      </c>
      <c r="D2" s="5"/>
      <c r="E2" s="4" t="s">
        <v>28</v>
      </c>
      <c r="F2" s="4" t="s">
        <v>95</v>
      </c>
      <c r="G2" s="4" t="s">
        <v>197</v>
      </c>
      <c r="H2" s="6" t="s">
        <v>8</v>
      </c>
      <c r="I2" s="6" t="s">
        <v>119</v>
      </c>
      <c r="J2" s="6">
        <v>9</v>
      </c>
      <c r="K2" s="7">
        <v>1584</v>
      </c>
      <c r="L2" s="6">
        <v>900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9</v>
      </c>
      <c r="T2" s="7">
        <v>1584</v>
      </c>
      <c r="U2" s="6">
        <v>900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9</v>
      </c>
      <c r="AC2" s="6">
        <v>0</v>
      </c>
      <c r="AD2" s="6">
        <v>0</v>
      </c>
      <c r="AE2" s="6">
        <v>9</v>
      </c>
      <c r="AF2" s="6">
        <v>0</v>
      </c>
      <c r="AG2" s="6">
        <v>0</v>
      </c>
      <c r="AH2" s="6">
        <v>9</v>
      </c>
      <c r="AI2" s="6">
        <v>0</v>
      </c>
      <c r="AJ2" s="6">
        <v>0</v>
      </c>
      <c r="AK2" s="6">
        <v>9</v>
      </c>
      <c r="AL2" s="6">
        <v>0</v>
      </c>
      <c r="AM2" s="6">
        <v>0</v>
      </c>
      <c r="AN2" s="6">
        <v>0</v>
      </c>
      <c r="AO2" s="6">
        <v>9</v>
      </c>
      <c r="AP2" s="6">
        <v>0</v>
      </c>
      <c r="AQ2" s="6">
        <v>0</v>
      </c>
      <c r="AR2" s="6">
        <v>9</v>
      </c>
      <c r="AS2" s="6">
        <v>0</v>
      </c>
      <c r="AT2" s="6">
        <v>0</v>
      </c>
      <c r="AU2" s="9">
        <v>56600</v>
      </c>
      <c r="AV2" s="13">
        <v>56600</v>
      </c>
      <c r="AW2" s="14">
        <v>39620</v>
      </c>
    </row>
    <row r="3" spans="1:49" ht="19.2" x14ac:dyDescent="0.4">
      <c r="A3" s="1" t="s">
        <v>183</v>
      </c>
      <c r="B3" s="4" t="s">
        <v>104</v>
      </c>
      <c r="C3" s="4">
        <v>442342</v>
      </c>
      <c r="D3" s="5"/>
      <c r="E3" s="4" t="s">
        <v>28</v>
      </c>
      <c r="F3" s="4" t="s">
        <v>105</v>
      </c>
      <c r="G3" s="4" t="s">
        <v>197</v>
      </c>
      <c r="H3" s="6" t="s">
        <v>8</v>
      </c>
      <c r="I3" s="6" t="s">
        <v>173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9">
        <v>23500</v>
      </c>
      <c r="AV3" s="13">
        <v>23500</v>
      </c>
      <c r="AW3" s="14">
        <v>16450</v>
      </c>
    </row>
    <row r="4" spans="1:49" ht="28.8" x14ac:dyDescent="0.4">
      <c r="A4" s="1" t="s">
        <v>194</v>
      </c>
      <c r="B4" s="4" t="s">
        <v>94</v>
      </c>
      <c r="C4" s="4">
        <v>440710</v>
      </c>
      <c r="D4" s="5"/>
      <c r="E4" s="4" t="s">
        <v>28</v>
      </c>
      <c r="F4" s="4" t="s">
        <v>95</v>
      </c>
      <c r="G4" s="4" t="s">
        <v>197</v>
      </c>
      <c r="H4" s="6" t="s">
        <v>8</v>
      </c>
      <c r="I4" s="6" t="s">
        <v>119</v>
      </c>
      <c r="J4" s="6">
        <v>0</v>
      </c>
      <c r="K4" s="6">
        <v>159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159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10">
        <v>400</v>
      </c>
      <c r="AV4" s="13">
        <v>400</v>
      </c>
      <c r="AW4" s="14">
        <v>280</v>
      </c>
    </row>
    <row r="5" spans="1:49" ht="28.8" x14ac:dyDescent="0.4">
      <c r="A5" s="1" t="s">
        <v>195</v>
      </c>
      <c r="B5" s="4" t="s">
        <v>94</v>
      </c>
      <c r="C5" s="4">
        <v>440710</v>
      </c>
      <c r="D5" s="5"/>
      <c r="E5" s="4" t="s">
        <v>28</v>
      </c>
      <c r="F5" s="4" t="s">
        <v>95</v>
      </c>
      <c r="G5" s="4" t="s">
        <v>197</v>
      </c>
      <c r="H5" s="6" t="s">
        <v>8</v>
      </c>
      <c r="I5" s="6" t="s">
        <v>119</v>
      </c>
      <c r="J5" s="6">
        <v>0</v>
      </c>
      <c r="K5" s="6">
        <v>222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222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36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10">
        <v>820</v>
      </c>
      <c r="AV5" s="13">
        <v>784</v>
      </c>
      <c r="AW5" s="14">
        <v>548.79999999999995</v>
      </c>
    </row>
    <row r="6" spans="1:49" x14ac:dyDescent="0.4">
      <c r="AW6" s="15">
        <f>SUM(AW2:AW5)</f>
        <v>56898.8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W21"/>
  <sheetViews>
    <sheetView workbookViewId="0">
      <selection activeCell="F12" sqref="F12"/>
    </sheetView>
  </sheetViews>
  <sheetFormatPr defaultRowHeight="17.399999999999999" x14ac:dyDescent="0.4"/>
  <cols>
    <col min="1" max="1" width="10" bestFit="1" customWidth="1"/>
    <col min="2" max="2" width="9.296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7.19921875" bestFit="1" customWidth="1"/>
    <col min="7" max="7" width="7.5976562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796875" bestFit="1" customWidth="1"/>
    <col min="49" max="49" width="9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2" x14ac:dyDescent="0.4">
      <c r="A2" s="1" t="s">
        <v>183</v>
      </c>
      <c r="B2" s="4" t="s">
        <v>177</v>
      </c>
      <c r="C2" s="4">
        <v>459224</v>
      </c>
      <c r="D2" s="5"/>
      <c r="E2" s="4" t="s">
        <v>28</v>
      </c>
      <c r="F2" s="4" t="s">
        <v>178</v>
      </c>
      <c r="G2" s="4" t="s">
        <v>198</v>
      </c>
      <c r="H2" s="6" t="s">
        <v>8</v>
      </c>
      <c r="I2" s="6" t="s">
        <v>179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9">
        <v>12000</v>
      </c>
      <c r="AV2" s="13">
        <v>12000</v>
      </c>
      <c r="AW2" s="14">
        <v>8400</v>
      </c>
    </row>
    <row r="3" spans="1:49" ht="19.2" x14ac:dyDescent="0.4">
      <c r="A3" s="1" t="s">
        <v>183</v>
      </c>
      <c r="B3" s="4" t="s">
        <v>208</v>
      </c>
      <c r="C3" s="4">
        <v>461348</v>
      </c>
      <c r="D3" s="5"/>
      <c r="E3" s="4" t="s">
        <v>28</v>
      </c>
      <c r="F3" s="4" t="s">
        <v>209</v>
      </c>
      <c r="G3" s="4" t="s">
        <v>198</v>
      </c>
      <c r="H3" s="6" t="s">
        <v>135</v>
      </c>
      <c r="I3" s="6" t="s">
        <v>210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9">
        <v>6000</v>
      </c>
      <c r="AV3" s="13">
        <v>6000</v>
      </c>
      <c r="AW3" s="14">
        <v>4200</v>
      </c>
    </row>
    <row r="4" spans="1:49" ht="19.2" x14ac:dyDescent="0.4">
      <c r="A4" s="1" t="s">
        <v>183</v>
      </c>
      <c r="B4" s="4" t="s">
        <v>184</v>
      </c>
      <c r="C4" s="4">
        <v>459229</v>
      </c>
      <c r="D4" s="5"/>
      <c r="E4" s="4" t="s">
        <v>28</v>
      </c>
      <c r="F4" s="4" t="s">
        <v>185</v>
      </c>
      <c r="G4" s="4" t="s">
        <v>198</v>
      </c>
      <c r="H4" s="6" t="s">
        <v>54</v>
      </c>
      <c r="I4" s="6" t="s">
        <v>186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9">
        <v>6000</v>
      </c>
      <c r="AV4" s="13">
        <v>6000</v>
      </c>
      <c r="AW4" s="14">
        <v>4200</v>
      </c>
    </row>
    <row r="5" spans="1:49" ht="19.2" x14ac:dyDescent="0.4">
      <c r="A5" s="1" t="s">
        <v>183</v>
      </c>
      <c r="B5" s="4" t="s">
        <v>214</v>
      </c>
      <c r="C5" s="4">
        <v>461355</v>
      </c>
      <c r="D5" s="5"/>
      <c r="E5" s="4" t="s">
        <v>28</v>
      </c>
      <c r="F5" s="4" t="s">
        <v>215</v>
      </c>
      <c r="G5" s="4" t="s">
        <v>198</v>
      </c>
      <c r="H5" s="6" t="s">
        <v>8</v>
      </c>
      <c r="I5" s="6" t="s">
        <v>216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9">
        <v>4000</v>
      </c>
      <c r="AV5" s="13">
        <v>4000</v>
      </c>
      <c r="AW5" s="14">
        <v>2800</v>
      </c>
    </row>
    <row r="6" spans="1:49" ht="19.2" x14ac:dyDescent="0.4">
      <c r="A6" s="1" t="s">
        <v>183</v>
      </c>
      <c r="B6" s="4" t="s">
        <v>166</v>
      </c>
      <c r="C6" s="4">
        <v>457676</v>
      </c>
      <c r="D6" s="5"/>
      <c r="E6" s="4" t="s">
        <v>28</v>
      </c>
      <c r="F6" s="4" t="s">
        <v>167</v>
      </c>
      <c r="G6" s="4" t="s">
        <v>198</v>
      </c>
      <c r="H6" s="6" t="s">
        <v>8</v>
      </c>
      <c r="I6" s="6" t="s">
        <v>168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9">
        <v>2500</v>
      </c>
      <c r="AV6" s="13">
        <v>2500</v>
      </c>
      <c r="AW6" s="14">
        <v>1750</v>
      </c>
    </row>
    <row r="7" spans="1:49" ht="19.2" x14ac:dyDescent="0.4">
      <c r="A7" s="1" t="s">
        <v>183</v>
      </c>
      <c r="B7" s="4" t="s">
        <v>222</v>
      </c>
      <c r="C7" s="4">
        <v>461357</v>
      </c>
      <c r="D7" s="5"/>
      <c r="E7" s="4" t="s">
        <v>28</v>
      </c>
      <c r="F7" s="4" t="s">
        <v>223</v>
      </c>
      <c r="G7" s="4" t="s">
        <v>198</v>
      </c>
      <c r="H7" s="6" t="s">
        <v>8</v>
      </c>
      <c r="I7" s="6" t="s">
        <v>224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2500</v>
      </c>
      <c r="AV7" s="13">
        <v>2500</v>
      </c>
      <c r="AW7" s="14">
        <v>1750</v>
      </c>
    </row>
    <row r="8" spans="1:49" ht="19.2" x14ac:dyDescent="0.4">
      <c r="A8" s="1" t="s">
        <v>194</v>
      </c>
      <c r="B8" s="4" t="s">
        <v>184</v>
      </c>
      <c r="C8" s="4">
        <v>459229</v>
      </c>
      <c r="D8" s="5"/>
      <c r="E8" s="4" t="s">
        <v>28</v>
      </c>
      <c r="F8" s="4" t="s">
        <v>185</v>
      </c>
      <c r="G8" s="4" t="s">
        <v>198</v>
      </c>
      <c r="H8" s="6" t="s">
        <v>54</v>
      </c>
      <c r="I8" s="6" t="s">
        <v>186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108000</v>
      </c>
      <c r="AV8" s="13">
        <v>108000</v>
      </c>
      <c r="AW8" s="14">
        <v>75600</v>
      </c>
    </row>
    <row r="9" spans="1:49" ht="19.2" x14ac:dyDescent="0.4">
      <c r="A9" s="1" t="s">
        <v>194</v>
      </c>
      <c r="B9" s="4" t="s">
        <v>233</v>
      </c>
      <c r="C9" s="4">
        <v>461347</v>
      </c>
      <c r="D9" s="5"/>
      <c r="E9" s="4" t="s">
        <v>28</v>
      </c>
      <c r="F9" s="4" t="s">
        <v>234</v>
      </c>
      <c r="G9" s="4" t="s">
        <v>255</v>
      </c>
      <c r="H9" s="6" t="s">
        <v>54</v>
      </c>
      <c r="I9" s="6" t="s">
        <v>235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9">
        <v>78000</v>
      </c>
      <c r="AV9" s="13">
        <v>78000</v>
      </c>
      <c r="AW9" s="14">
        <v>54600</v>
      </c>
    </row>
    <row r="10" spans="1:49" ht="19.2" x14ac:dyDescent="0.4">
      <c r="A10" s="1" t="s">
        <v>194</v>
      </c>
      <c r="B10" s="4" t="s">
        <v>151</v>
      </c>
      <c r="C10" s="4">
        <v>457533</v>
      </c>
      <c r="D10" s="5"/>
      <c r="E10" s="4" t="s">
        <v>28</v>
      </c>
      <c r="F10" s="4" t="s">
        <v>152</v>
      </c>
      <c r="G10" s="4" t="s">
        <v>198</v>
      </c>
      <c r="H10" s="6" t="s">
        <v>54</v>
      </c>
      <c r="I10" s="6" t="s">
        <v>153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42500</v>
      </c>
      <c r="AV10" s="13">
        <v>42500</v>
      </c>
      <c r="AW10" s="14">
        <v>29749.999999999996</v>
      </c>
    </row>
    <row r="11" spans="1:49" ht="19.2" x14ac:dyDescent="0.4">
      <c r="A11" s="1" t="s">
        <v>194</v>
      </c>
      <c r="B11" s="4" t="s">
        <v>154</v>
      </c>
      <c r="C11" s="4">
        <v>457534</v>
      </c>
      <c r="D11" s="5"/>
      <c r="E11" s="4" t="s">
        <v>28</v>
      </c>
      <c r="F11" s="4" t="s">
        <v>155</v>
      </c>
      <c r="G11" s="4" t="s">
        <v>198</v>
      </c>
      <c r="H11" s="6" t="s">
        <v>54</v>
      </c>
      <c r="I11" s="6" t="s">
        <v>156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12000</v>
      </c>
      <c r="AV11" s="13">
        <v>12000</v>
      </c>
      <c r="AW11" s="14">
        <v>8400</v>
      </c>
    </row>
    <row r="12" spans="1:49" ht="19.2" x14ac:dyDescent="0.4">
      <c r="A12" s="1" t="s">
        <v>194</v>
      </c>
      <c r="B12" s="4" t="s">
        <v>177</v>
      </c>
      <c r="C12" s="4">
        <v>459224</v>
      </c>
      <c r="D12" s="5"/>
      <c r="E12" s="4" t="s">
        <v>28</v>
      </c>
      <c r="F12" s="4" t="s">
        <v>178</v>
      </c>
      <c r="G12" s="4" t="s">
        <v>198</v>
      </c>
      <c r="H12" s="6" t="s">
        <v>8</v>
      </c>
      <c r="I12" s="6" t="s">
        <v>179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10000</v>
      </c>
      <c r="AV12" s="13">
        <v>10000</v>
      </c>
      <c r="AW12" s="14">
        <v>7000</v>
      </c>
    </row>
    <row r="13" spans="1:49" ht="19.2" x14ac:dyDescent="0.4">
      <c r="A13" s="1" t="s">
        <v>194</v>
      </c>
      <c r="B13" s="4" t="s">
        <v>238</v>
      </c>
      <c r="C13" s="4">
        <v>461351</v>
      </c>
      <c r="D13" s="5"/>
      <c r="E13" s="4" t="s">
        <v>28</v>
      </c>
      <c r="F13" s="4" t="s">
        <v>239</v>
      </c>
      <c r="G13" s="4" t="s">
        <v>256</v>
      </c>
      <c r="H13" s="6" t="s">
        <v>54</v>
      </c>
      <c r="I13" s="6" t="s">
        <v>240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8000</v>
      </c>
      <c r="AV13" s="13">
        <v>8000</v>
      </c>
      <c r="AW13" s="14">
        <v>5600</v>
      </c>
    </row>
    <row r="14" spans="1:49" ht="19.2" x14ac:dyDescent="0.4">
      <c r="A14" s="1" t="s">
        <v>194</v>
      </c>
      <c r="B14" s="4" t="s">
        <v>159</v>
      </c>
      <c r="C14" s="4">
        <v>457068</v>
      </c>
      <c r="D14" s="5"/>
      <c r="E14" s="4" t="s">
        <v>28</v>
      </c>
      <c r="F14" s="4" t="s">
        <v>160</v>
      </c>
      <c r="G14" s="4" t="s">
        <v>198</v>
      </c>
      <c r="H14" s="6" t="s">
        <v>54</v>
      </c>
      <c r="I14" s="6" t="s">
        <v>161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9">
        <v>5000</v>
      </c>
      <c r="AV14" s="13">
        <v>5000</v>
      </c>
      <c r="AW14" s="14">
        <v>3500</v>
      </c>
    </row>
    <row r="15" spans="1:49" ht="19.2" x14ac:dyDescent="0.4">
      <c r="A15" s="1" t="s">
        <v>194</v>
      </c>
      <c r="B15" s="4" t="s">
        <v>144</v>
      </c>
      <c r="C15" s="4">
        <v>457673</v>
      </c>
      <c r="D15" s="5"/>
      <c r="E15" s="4" t="s">
        <v>28</v>
      </c>
      <c r="F15" s="4" t="s">
        <v>145</v>
      </c>
      <c r="G15" s="4" t="s">
        <v>198</v>
      </c>
      <c r="H15" s="6" t="s">
        <v>54</v>
      </c>
      <c r="I15" s="6" t="s">
        <v>146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9">
        <v>4000</v>
      </c>
      <c r="AV15" s="13">
        <v>4000</v>
      </c>
      <c r="AW15" s="14">
        <v>2800</v>
      </c>
    </row>
    <row r="16" spans="1:49" ht="19.2" x14ac:dyDescent="0.4">
      <c r="A16" s="1" t="s">
        <v>194</v>
      </c>
      <c r="B16" s="4" t="s">
        <v>147</v>
      </c>
      <c r="C16" s="4">
        <v>457239</v>
      </c>
      <c r="D16" s="5"/>
      <c r="E16" s="4" t="s">
        <v>28</v>
      </c>
      <c r="F16" s="4" t="s">
        <v>148</v>
      </c>
      <c r="G16" s="4" t="s">
        <v>198</v>
      </c>
      <c r="H16" s="6" t="s">
        <v>54</v>
      </c>
      <c r="I16" s="6" t="s">
        <v>149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4000</v>
      </c>
      <c r="AV16" s="13">
        <v>4000</v>
      </c>
      <c r="AW16" s="14">
        <v>2800</v>
      </c>
    </row>
    <row r="17" spans="1:49" ht="19.2" x14ac:dyDescent="0.4">
      <c r="A17" s="1" t="s">
        <v>194</v>
      </c>
      <c r="B17" s="4" t="s">
        <v>214</v>
      </c>
      <c r="C17" s="4">
        <v>461355</v>
      </c>
      <c r="D17" s="5"/>
      <c r="E17" s="4" t="s">
        <v>28</v>
      </c>
      <c r="F17" s="4" t="s">
        <v>215</v>
      </c>
      <c r="G17" s="4" t="s">
        <v>198</v>
      </c>
      <c r="H17" s="6" t="s">
        <v>8</v>
      </c>
      <c r="I17" s="6" t="s">
        <v>216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2000</v>
      </c>
      <c r="AV17" s="13">
        <v>2000</v>
      </c>
      <c r="AW17" s="14">
        <v>1400</v>
      </c>
    </row>
    <row r="18" spans="1:49" ht="19.2" x14ac:dyDescent="0.4">
      <c r="A18" s="1" t="s">
        <v>195</v>
      </c>
      <c r="B18" s="4" t="s">
        <v>151</v>
      </c>
      <c r="C18" s="4">
        <v>457533</v>
      </c>
      <c r="D18" s="5"/>
      <c r="E18" s="4" t="s">
        <v>28</v>
      </c>
      <c r="F18" s="4" t="s">
        <v>152</v>
      </c>
      <c r="G18" s="4" t="s">
        <v>198</v>
      </c>
      <c r="H18" s="6" t="s">
        <v>54</v>
      </c>
      <c r="I18" s="6" t="s">
        <v>153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5000</v>
      </c>
      <c r="AV18" s="13">
        <v>5000</v>
      </c>
      <c r="AW18" s="14">
        <v>3500</v>
      </c>
    </row>
    <row r="19" spans="1:49" ht="19.2" x14ac:dyDescent="0.4">
      <c r="A19" s="1" t="s">
        <v>195</v>
      </c>
      <c r="B19" s="4" t="s">
        <v>177</v>
      </c>
      <c r="C19" s="4">
        <v>459224</v>
      </c>
      <c r="D19" s="5"/>
      <c r="E19" s="4" t="s">
        <v>28</v>
      </c>
      <c r="F19" s="4" t="s">
        <v>178</v>
      </c>
      <c r="G19" s="4" t="s">
        <v>198</v>
      </c>
      <c r="H19" s="6" t="s">
        <v>8</v>
      </c>
      <c r="I19" s="6" t="s">
        <v>179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648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4160</v>
      </c>
      <c r="AV19" s="13">
        <v>3512</v>
      </c>
      <c r="AW19" s="14">
        <v>2458.3999999999996</v>
      </c>
    </row>
    <row r="20" spans="1:49" ht="19.2" x14ac:dyDescent="0.4">
      <c r="A20" s="1" t="s">
        <v>195</v>
      </c>
      <c r="B20" s="4" t="s">
        <v>233</v>
      </c>
      <c r="C20" s="4">
        <v>461347</v>
      </c>
      <c r="D20" s="5"/>
      <c r="E20" s="4" t="s">
        <v>28</v>
      </c>
      <c r="F20" s="4" t="s">
        <v>234</v>
      </c>
      <c r="G20" s="4" t="s">
        <v>256</v>
      </c>
      <c r="H20" s="6" t="s">
        <v>54</v>
      </c>
      <c r="I20" s="6" t="s">
        <v>235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2000</v>
      </c>
      <c r="AV20" s="13">
        <v>2000</v>
      </c>
      <c r="AW20" s="14">
        <v>1400</v>
      </c>
    </row>
    <row r="21" spans="1:49" x14ac:dyDescent="0.4">
      <c r="AW21" s="15">
        <f>SUM(AW2:AW20)</f>
        <v>221908.4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 (3)</vt:lpstr>
      <vt:lpstr>에필로그</vt:lpstr>
      <vt:lpstr>더컴퍼니</vt:lpstr>
      <vt:lpstr>아크스튜디오</vt:lpstr>
      <vt:lpstr>밀리의 서재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2022-04-06T06:09:18Z</dcterms:modified>
</cp:coreProperties>
</file>