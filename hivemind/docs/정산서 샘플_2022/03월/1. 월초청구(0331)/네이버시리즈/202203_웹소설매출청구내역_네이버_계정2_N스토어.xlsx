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3월 마감\1. 월초청구(0331)\네이버시리즈\"/>
    </mc:Choice>
  </mc:AlternateContent>
  <bookViews>
    <workbookView xWindow="0" yWindow="0" windowWidth="23040" windowHeight="8952" tabRatio="863"/>
  </bookViews>
  <sheets>
    <sheet name="합계 (3)" sheetId="230" r:id="rId1"/>
  </sheets>
  <definedNames>
    <definedName name="_xlnm._FilterDatabase" localSheetId="0" hidden="1">'합계 (3)'!$A$1:$AM$32</definedName>
    <definedName name="_xlnm.Extract" localSheetId="0">'합계 (3)'!#REF!</definedName>
  </definedNames>
  <calcPr calcId="152511"/>
</workbook>
</file>

<file path=xl/calcChain.xml><?xml version="1.0" encoding="utf-8"?>
<calcChain xmlns="http://schemas.openxmlformats.org/spreadsheetml/2006/main">
  <c r="AU81" i="230" l="1"/>
  <c r="AW81" i="230"/>
  <c r="AV79" i="230" l="1"/>
  <c r="AW79" i="230" s="1"/>
  <c r="AV80" i="230"/>
  <c r="AW80" i="230" s="1"/>
  <c r="AV75" i="230" l="1"/>
  <c r="AW75" i="230" s="1"/>
  <c r="AV76" i="230"/>
  <c r="AW76" i="230" s="1"/>
  <c r="AV77" i="230"/>
  <c r="AW77" i="230" s="1"/>
  <c r="AV78" i="230"/>
  <c r="AW78" i="230" s="1"/>
  <c r="AV74" i="230" l="1"/>
  <c r="AW74" i="230" s="1"/>
  <c r="AV73" i="230" l="1"/>
  <c r="AW73" i="230" s="1"/>
  <c r="AV56" i="230" l="1"/>
  <c r="AW56" i="230" s="1"/>
  <c r="AV57" i="230"/>
  <c r="AW57" i="230" s="1"/>
  <c r="AV58" i="230"/>
  <c r="AW58" i="230" s="1"/>
  <c r="AV59" i="230"/>
  <c r="AW59" i="230" s="1"/>
  <c r="AV60" i="230"/>
  <c r="AW60" i="230" s="1"/>
  <c r="AV61" i="230"/>
  <c r="AW61" i="230" s="1"/>
  <c r="AV62" i="230"/>
  <c r="AW62" i="230" s="1"/>
  <c r="AV63" i="230"/>
  <c r="AW63" i="230" s="1"/>
  <c r="AV64" i="230"/>
  <c r="AW64" i="230" s="1"/>
  <c r="AV65" i="230"/>
  <c r="AW65" i="230" s="1"/>
  <c r="AV66" i="230"/>
  <c r="AW66" i="230" s="1"/>
  <c r="AV67" i="230"/>
  <c r="AW67" i="230" s="1"/>
  <c r="AV68" i="230"/>
  <c r="AW68" i="230" s="1"/>
  <c r="AV69" i="230"/>
  <c r="AW69" i="230" s="1"/>
  <c r="AV70" i="230"/>
  <c r="AW70" i="230" s="1"/>
  <c r="AV71" i="230"/>
  <c r="AW71" i="230" s="1"/>
  <c r="AV72" i="230"/>
  <c r="AW72" i="230" s="1"/>
  <c r="AV51" i="230" l="1"/>
  <c r="AW51" i="230" s="1"/>
  <c r="AV52" i="230"/>
  <c r="AW52" i="230" s="1"/>
  <c r="AV53" i="230"/>
  <c r="AW53" i="230" s="1"/>
  <c r="AV54" i="230"/>
  <c r="AW54" i="230" s="1"/>
  <c r="AV55" i="230"/>
  <c r="AW55" i="230" s="1"/>
  <c r="AV3" i="230" l="1"/>
  <c r="AW3" i="230" s="1"/>
  <c r="AV4" i="230"/>
  <c r="AW4" i="230" s="1"/>
  <c r="AV5" i="230"/>
  <c r="AW5" i="230" s="1"/>
  <c r="AV6" i="230"/>
  <c r="AW6" i="230" s="1"/>
  <c r="AV7" i="230"/>
  <c r="AW7" i="230" s="1"/>
  <c r="AV8" i="230"/>
  <c r="AW8" i="230" s="1"/>
  <c r="AV9" i="230"/>
  <c r="AW9" i="230" s="1"/>
  <c r="AV10" i="230"/>
  <c r="AW10" i="230" s="1"/>
  <c r="AV11" i="230"/>
  <c r="AW11" i="230" s="1"/>
  <c r="AV12" i="230"/>
  <c r="AW12" i="230" s="1"/>
  <c r="AV13" i="230"/>
  <c r="AW13" i="230" s="1"/>
  <c r="AV14" i="230"/>
  <c r="AW14" i="230" s="1"/>
  <c r="AV15" i="230"/>
  <c r="AW15" i="230" s="1"/>
  <c r="AV16" i="230"/>
  <c r="AW16" i="230" s="1"/>
  <c r="AV17" i="230"/>
  <c r="AW17" i="230" s="1"/>
  <c r="AV18" i="230"/>
  <c r="AW18" i="230" s="1"/>
  <c r="AV19" i="230"/>
  <c r="AW19" i="230" s="1"/>
  <c r="AV20" i="230"/>
  <c r="AW20" i="230" s="1"/>
  <c r="AV21" i="230"/>
  <c r="AW21" i="230" s="1"/>
  <c r="AV22" i="230"/>
  <c r="AW22" i="230" s="1"/>
  <c r="AV23" i="230"/>
  <c r="AW23" i="230" s="1"/>
  <c r="AV24" i="230"/>
  <c r="AW24" i="230" s="1"/>
  <c r="AV25" i="230"/>
  <c r="AW25" i="230" s="1"/>
  <c r="AV26" i="230"/>
  <c r="AW26" i="230" s="1"/>
  <c r="AV27" i="230"/>
  <c r="AW27" i="230" s="1"/>
  <c r="AV28" i="230"/>
  <c r="AW28" i="230" s="1"/>
  <c r="AV29" i="230"/>
  <c r="AW29" i="230" s="1"/>
  <c r="AV30" i="230"/>
  <c r="AW30" i="230" s="1"/>
  <c r="AV31" i="230"/>
  <c r="AW31" i="230" s="1"/>
  <c r="AV32" i="230"/>
  <c r="AW32" i="230" s="1"/>
  <c r="AV33" i="230"/>
  <c r="AW33" i="230" s="1"/>
  <c r="AV34" i="230"/>
  <c r="AW34" i="230" s="1"/>
  <c r="AV35" i="230"/>
  <c r="AW35" i="230" s="1"/>
  <c r="AV36" i="230"/>
  <c r="AW36" i="230" s="1"/>
  <c r="AV37" i="230"/>
  <c r="AW37" i="230" s="1"/>
  <c r="AV38" i="230"/>
  <c r="AW38" i="230" s="1"/>
  <c r="AV39" i="230"/>
  <c r="AW39" i="230" s="1"/>
  <c r="AV40" i="230"/>
  <c r="AW40" i="230" s="1"/>
  <c r="AV41" i="230"/>
  <c r="AW41" i="230" s="1"/>
  <c r="AV42" i="230"/>
  <c r="AW42" i="230" s="1"/>
  <c r="AV43" i="230"/>
  <c r="AW43" i="230" s="1"/>
  <c r="AV44" i="230"/>
  <c r="AW44" i="230" s="1"/>
  <c r="AV45" i="230"/>
  <c r="AW45" i="230" s="1"/>
  <c r="AV46" i="230"/>
  <c r="AW46" i="230" s="1"/>
  <c r="AV47" i="230"/>
  <c r="AW47" i="230" s="1"/>
  <c r="AV48" i="230"/>
  <c r="AW48" i="230" s="1"/>
  <c r="AV49" i="230"/>
  <c r="AW49" i="230" s="1"/>
  <c r="AV50" i="230"/>
  <c r="AW50" i="230" s="1"/>
  <c r="AV2" i="230"/>
  <c r="AW2" i="230" l="1"/>
</calcChain>
</file>

<file path=xl/sharedStrings.xml><?xml version="1.0" encoding="utf-8"?>
<sst xmlns="http://schemas.openxmlformats.org/spreadsheetml/2006/main" count="603" uniqueCount="133">
  <si>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</si>
  <si>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</si>
  <si>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</si>
  <si>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</si>
  <si>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</si>
  <si>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</si>
  <si>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</si>
  <si>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</si>
  <si>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전체이용가</t>
  </si>
  <si>
    <t>김광수</t>
  </si>
  <si>
    <t>구분</t>
    <phoneticPr fontId="18" type="noConversion"/>
  </si>
  <si>
    <t>15세 이상 이용가능</t>
  </si>
  <si>
    <t>스토리위즈</t>
  </si>
  <si>
    <t>12세 이상 이용가능</t>
  </si>
  <si>
    <t>최종 보스 : 빛을 향해 달리는 그림자 [독점]</t>
  </si>
  <si>
    <t>스토리위즈_1</t>
  </si>
  <si>
    <t>무장</t>
  </si>
  <si>
    <t>회귀의 전설 [단행본]</t>
  </si>
  <si>
    <t>예로나</t>
  </si>
  <si>
    <t>BJ소드마스터 [독점]</t>
  </si>
  <si>
    <t>이동열</t>
  </si>
  <si>
    <t>2020.07.24</t>
  </si>
  <si>
    <t>구유</t>
  </si>
  <si>
    <t>로드 오브 머니</t>
  </si>
  <si>
    <t>2018.08.02</t>
  </si>
  <si>
    <t>SSS급 마왕의 귀환</t>
  </si>
  <si>
    <t>2019.06.14</t>
  </si>
  <si>
    <t>형사의 게임</t>
  </si>
  <si>
    <t>2017.04.11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</si>
  <si>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</si>
  <si>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</si>
  <si>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</si>
  <si>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</si>
  <si>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</si>
  <si>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</si>
  <si>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</si>
  <si>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</si>
  <si>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</si>
  <si>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</si>
  <si>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</si>
  <si>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i쿠키 수수료</t>
  </si>
  <si>
    <t>합계</t>
  </si>
  <si>
    <t>순매출(합계-수수료)</t>
    <phoneticPr fontId="18" type="noConversion"/>
  </si>
  <si>
    <t>SW매출</t>
    <phoneticPr fontId="18" type="noConversion"/>
  </si>
  <si>
    <t>2021.02.19</t>
  </si>
  <si>
    <t>2021.03.06</t>
  </si>
  <si>
    <t>2021.03.26</t>
  </si>
  <si>
    <t>세상</t>
  </si>
  <si>
    <t>망작 리메이커 [독점]</t>
  </si>
  <si>
    <t>덕킹</t>
  </si>
  <si>
    <t>진문</t>
  </si>
  <si>
    <t>올마스터가 된 비전서고 [독점]</t>
  </si>
  <si>
    <t>글면증</t>
  </si>
  <si>
    <t>위험한 신혼부부 [독점]</t>
  </si>
  <si>
    <t>박수정(방울마마)</t>
  </si>
  <si>
    <t>2016.07.20</t>
  </si>
  <si>
    <t>2021.08.03</t>
  </si>
  <si>
    <t>리얼 머니 [독점]</t>
  </si>
  <si>
    <t>2020.06.03</t>
  </si>
  <si>
    <t>회귀자의 슬기로운 복수생활 [독점]</t>
  </si>
  <si>
    <t>구공</t>
  </si>
  <si>
    <t>화산검제 [은천검제 2부 연재]</t>
  </si>
  <si>
    <t>2020.03.24</t>
  </si>
  <si>
    <t>위대한 가문의 망나니가 되다 [독점]</t>
  </si>
  <si>
    <t>바나바다</t>
  </si>
  <si>
    <t>공작가의 남루한 신부</t>
  </si>
  <si>
    <t>무성매직</t>
  </si>
  <si>
    <t>2021.04.08</t>
  </si>
  <si>
    <t>갓 오브 블랙필드 [개정판][단행본]</t>
  </si>
  <si>
    <t>2020.06.24</t>
  </si>
  <si>
    <t>갓 오브 블랙필드</t>
  </si>
  <si>
    <t>2017.02.27</t>
  </si>
  <si>
    <t>2021.11.18</t>
  </si>
  <si>
    <t>강호유정</t>
  </si>
  <si>
    <t>2020.08.25</t>
  </si>
  <si>
    <t>청빙</t>
  </si>
  <si>
    <t>라스트 서바이버 : 진화로 살아남아라!</t>
  </si>
  <si>
    <t>그라운드의 지배자</t>
  </si>
  <si>
    <t>2016.05.30</t>
  </si>
  <si>
    <t>나 혼자 스킬융합 [독점]</t>
  </si>
  <si>
    <t>붕어빵</t>
  </si>
  <si>
    <t>도폐풍운록</t>
  </si>
  <si>
    <t>2021.01.29</t>
  </si>
  <si>
    <t>컬러 러쉬 [BL]</t>
  </si>
  <si>
    <t>2021.04.07</t>
  </si>
  <si>
    <t>신입사원이 이렇게 일을 잘했다고? [독점]</t>
  </si>
  <si>
    <t>왕십리글쟁이</t>
  </si>
  <si>
    <t>2022.01.27</t>
  </si>
  <si>
    <t>선유문주</t>
  </si>
  <si>
    <t>로드 오브 머니 [단행본]</t>
  </si>
  <si>
    <t>2019.08.05</t>
  </si>
  <si>
    <t>선유문주 [단행본]</t>
  </si>
  <si>
    <t>기사가문 망나니는 10클래스 [단행본]</t>
  </si>
  <si>
    <t>2020.08.26</t>
  </si>
  <si>
    <t>컬러 러쉬 [BL][단행본]</t>
  </si>
  <si>
    <t>2021.04.13</t>
  </si>
  <si>
    <t>2022.04.05</t>
  </si>
  <si>
    <t>은천검제(2부 화산검제) [단행본]</t>
  </si>
  <si>
    <t>2022.04.06</t>
  </si>
  <si>
    <t>마신부활 [단행본]</t>
  </si>
  <si>
    <t>만렙도끼</t>
  </si>
  <si>
    <t>2022.03.23</t>
  </si>
  <si>
    <t>나 혼자만 일일 보상 [단행본]</t>
  </si>
  <si>
    <t>2020.03.05</t>
  </si>
  <si>
    <t>형사의 게임 [단행본]</t>
  </si>
  <si>
    <t>2017.10.27</t>
  </si>
  <si>
    <t>헌터인데 내공이 좀 많네요</t>
  </si>
  <si>
    <t>돈문어</t>
  </si>
  <si>
    <t>2022.03.25</t>
  </si>
  <si>
    <t>원코인 게이머 아포칼립스</t>
  </si>
  <si>
    <t>이한애비</t>
  </si>
  <si>
    <t>2022.03.30</t>
  </si>
  <si>
    <t>얼굴 천재 교주가 되었다</t>
  </si>
  <si>
    <t>비고</t>
  </si>
  <si>
    <t>던전 공략 LIVE</t>
  </si>
  <si>
    <t>2018.06.20</t>
  </si>
  <si>
    <t>나 혼자만 일일 보상</t>
  </si>
  <si>
    <t>2018.12.20</t>
  </si>
  <si>
    <t>N스토어(PC)</t>
  </si>
  <si>
    <t>슈퍼스타의 비밀 어플</t>
  </si>
  <si>
    <t>2022.03.11</t>
  </si>
  <si>
    <t>슈퍼스타의 비밀 어플 [단행본]</t>
  </si>
  <si>
    <t>2022.03.10</t>
  </si>
  <si>
    <t>강호유정 [단행본]</t>
  </si>
  <si>
    <t>131100761</t>
  </si>
  <si>
    <t>2013.11.15</t>
  </si>
  <si>
    <t>기사가문 망나니는 10클래스</t>
  </si>
  <si>
    <t>2020.03.11</t>
  </si>
  <si>
    <t>게임 속 유닛</t>
  </si>
  <si>
    <t>찬동</t>
  </si>
  <si>
    <t>2020.08.18</t>
  </si>
  <si>
    <t>PC뷰어(PC)</t>
  </si>
  <si>
    <t>N스토어(MW)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</si>
</sst>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.0_ 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7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Border="1">
      <alignment vertical="center"/>
    </xf>
    <xf numFmtId="0" fontId="19" fillId="33" borderId="0" xfId="0" applyFont="1" applyFill="1" applyBorder="1" applyAlignment="1">
      <alignment vertical="center" wrapText="1"/>
    </xf>
    <xf numFmtId="0" fontId="20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9" fillId="33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49" fontId="22" fillId="0" borderId="0" xfId="0" applyNumberFormat="1" applyFont="1" applyAlignment="1">
      <alignment vertical="center" wrapText="1"/>
    </xf>
    <xf numFmtId="0" fontId="22" fillId="0" borderId="0" xfId="0" applyFont="1" applyAlignment="1">
      <alignment vertical="center" wrapText="1"/>
    </xf>
    <xf numFmtId="3" fontId="22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23" fillId="33" borderId="0" xfId="0" applyFont="1" applyFill="1" applyAlignment="1">
      <alignment horizontal="center" vertical="center" wrapText="1"/>
    </xf>
    <xf numFmtId="0" fontId="23" fillId="34" borderId="0" xfId="0" applyFont="1" applyFill="1" applyAlignment="1">
      <alignment horizontal="center" vertical="center" wrapText="1"/>
    </xf>
    <xf numFmtId="0" fontId="23" fillId="33" borderId="0" xfId="0" applyFont="1" applyFill="1" applyBorder="1" applyAlignment="1">
      <alignment horizontal="center" vertical="center" wrapText="1"/>
    </xf>
    <xf numFmtId="0" fontId="23" fillId="34" borderId="0" xfId="0" applyFont="1" applyFill="1" applyBorder="1" applyAlignment="1">
      <alignment horizontal="center" vertical="center" wrapText="1"/>
    </xf>
    <xf numFmtId="176" fontId="0" fillId="0" borderId="0" xfId="0" applyNumberFormat="1" applyBorder="1">
      <alignment vertical="center"/>
    </xf>
    <xf numFmtId="4" fontId="22" fillId="0" borderId="0" xfId="0" applyNumberFormat="1" applyFont="1" applyAlignment="1">
      <alignment vertical="center" wrapText="1"/>
    </xf>
    <xf numFmtId="41" fontId="0" fillId="34" borderId="0" xfId="42" applyFont="1" applyFill="1" applyBorder="1">
      <alignment vertical="center"/>
    </xf>
    <xf numFmtId="4" fontId="0" fillId="0" borderId="0" xfId="0" applyNumberFormat="1" applyBorder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81"/>
  <sheetViews>
    <sheetView tabSelected="1" zoomScale="81" zoomScaleNormal="81" workbookViewId="0"/>
  </sheetViews>
  <sheetFormatPr defaultColWidth="8.69921875" defaultRowHeight="17.399999999999999" x14ac:dyDescent="0.4"/>
  <cols>
    <col min="1" max="1" width="13.59765625" style="6" customWidth="1"/>
    <col min="2" max="2" width="20" style="1" bestFit="1" customWidth="1"/>
    <col min="3" max="3" width="6.5" style="1" customWidth="1"/>
    <col min="4" max="4" width="7.19921875" style="1" customWidth="1"/>
    <col min="5" max="5" width="6.796875" style="1" customWidth="1"/>
    <col min="6" max="6" width="4.796875" style="1" customWidth="1"/>
    <col min="7" max="7" width="16" style="1" bestFit="1" customWidth="1"/>
    <col min="8" max="8" width="12" style="1" bestFit="1" customWidth="1"/>
    <col min="9" max="9" width="7.3984375" style="1" customWidth="1"/>
    <col min="10" max="10" width="4.296875" style="1" customWidth="1"/>
    <col min="11" max="11" width="4.796875" style="1" customWidth="1"/>
    <col min="12" max="12" width="7.19921875" style="1" customWidth="1"/>
    <col min="13" max="13" width="6.69921875" style="1" customWidth="1"/>
    <col min="14" max="14" width="6" style="1" customWidth="1"/>
    <col min="15" max="16" width="6.296875" style="1" customWidth="1"/>
    <col min="17" max="17" width="5" style="1" customWidth="1"/>
    <col min="18" max="18" width="4.796875" style="1" customWidth="1"/>
    <col min="19" max="19" width="7.19921875" style="1" customWidth="1"/>
    <col min="20" max="20" width="6.69921875" style="1" customWidth="1"/>
    <col min="21" max="21" width="6" style="1" customWidth="1"/>
    <col min="22" max="23" width="6.296875" style="1" customWidth="1"/>
    <col min="24" max="24" width="3.59765625" style="1" customWidth="1"/>
    <col min="25" max="25" width="5" style="1" customWidth="1"/>
    <col min="26" max="27" width="3.59765625" style="1" customWidth="1"/>
    <col min="28" max="28" width="5" style="1" customWidth="1"/>
    <col min="29" max="29" width="4.296875" style="1" customWidth="1"/>
    <col min="30" max="35" width="3.59765625" style="1" customWidth="1"/>
    <col min="36" max="36" width="7.8984375" style="1" customWidth="1"/>
    <col min="37" max="37" width="12.8984375" style="1" bestFit="1" customWidth="1"/>
    <col min="38" max="38" width="12.796875" style="1" bestFit="1" customWidth="1"/>
    <col min="39" max="39" width="12.8984375" style="1" bestFit="1" customWidth="1"/>
    <col min="40" max="46" width="8.69921875" style="1"/>
    <col min="47" max="47" width="13.09765625" style="1" bestFit="1" customWidth="1"/>
    <col min="48" max="48" width="11.69921875" style="1" bestFit="1" customWidth="1"/>
    <col min="49" max="49" width="11.09765625" style="1" bestFit="1" customWidth="1"/>
    <col min="50" max="16384" width="8.69921875" style="1"/>
  </cols>
  <sheetData>
    <row r="1" spans="1:49" ht="38.4" x14ac:dyDescent="0.4">
      <c r="A1" s="5" t="s">
        <v>10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6</v>
      </c>
      <c r="I1" s="3" t="s">
        <v>7</v>
      </c>
      <c r="J1" s="13" t="s">
        <v>29</v>
      </c>
      <c r="K1" s="13" t="s">
        <v>30</v>
      </c>
      <c r="L1" s="13" t="s">
        <v>31</v>
      </c>
      <c r="M1" s="13" t="s">
        <v>32</v>
      </c>
      <c r="N1" s="13" t="s">
        <v>33</v>
      </c>
      <c r="O1" s="13" t="s">
        <v>34</v>
      </c>
      <c r="P1" s="13" t="s">
        <v>35</v>
      </c>
      <c r="Q1" s="13" t="s">
        <v>36</v>
      </c>
      <c r="R1" s="13" t="s">
        <v>37</v>
      </c>
      <c r="S1" s="13" t="s">
        <v>29</v>
      </c>
      <c r="T1" s="13" t="s">
        <v>30</v>
      </c>
      <c r="U1" s="13" t="s">
        <v>31</v>
      </c>
      <c r="V1" s="13" t="s">
        <v>32</v>
      </c>
      <c r="W1" s="13" t="s">
        <v>33</v>
      </c>
      <c r="X1" s="13" t="s">
        <v>34</v>
      </c>
      <c r="Y1" s="13" t="s">
        <v>35</v>
      </c>
      <c r="Z1" s="13" t="s">
        <v>36</v>
      </c>
      <c r="AA1" s="13" t="s">
        <v>37</v>
      </c>
      <c r="AB1" s="13" t="s">
        <v>29</v>
      </c>
      <c r="AC1" s="13" t="s">
        <v>38</v>
      </c>
      <c r="AD1" s="13" t="s">
        <v>39</v>
      </c>
      <c r="AE1" s="13" t="s">
        <v>29</v>
      </c>
      <c r="AF1" s="13" t="s">
        <v>38</v>
      </c>
      <c r="AG1" s="13" t="s">
        <v>39</v>
      </c>
      <c r="AH1" s="13" t="s">
        <v>29</v>
      </c>
      <c r="AI1" s="13" t="s">
        <v>38</v>
      </c>
      <c r="AJ1" s="13" t="s">
        <v>39</v>
      </c>
      <c r="AK1" s="13" t="s">
        <v>29</v>
      </c>
      <c r="AL1" s="13" t="s">
        <v>38</v>
      </c>
      <c r="AM1" s="13" t="s">
        <v>39</v>
      </c>
      <c r="AN1" s="14" t="s">
        <v>40</v>
      </c>
      <c r="AO1" s="13" t="s">
        <v>29</v>
      </c>
      <c r="AP1" s="13" t="s">
        <v>38</v>
      </c>
      <c r="AQ1" s="13" t="s">
        <v>39</v>
      </c>
      <c r="AR1" s="13" t="s">
        <v>29</v>
      </c>
      <c r="AS1" s="13" t="s">
        <v>38</v>
      </c>
      <c r="AT1" s="13" t="s">
        <v>39</v>
      </c>
      <c r="AU1" s="14" t="s">
        <v>41</v>
      </c>
      <c r="AV1" s="15" t="s">
        <v>42</v>
      </c>
      <c r="AW1" s="16" t="s">
        <v>43</v>
      </c>
    </row>
    <row r="2" spans="1:49" ht="19.2" x14ac:dyDescent="0.4">
      <c r="A2" s="7" t="s">
        <v>118</v>
      </c>
      <c r="B2" s="7" t="s">
        <v>68</v>
      </c>
      <c r="C2" s="7">
        <v>324335</v>
      </c>
      <c r="D2" s="8"/>
      <c r="E2" s="7" t="s">
        <v>15</v>
      </c>
      <c r="F2" s="7" t="s">
        <v>16</v>
      </c>
      <c r="G2" s="7" t="s">
        <v>12</v>
      </c>
      <c r="H2" s="9" t="s">
        <v>13</v>
      </c>
      <c r="I2" s="9" t="s">
        <v>69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>
        <v>0</v>
      </c>
      <c r="AE2" s="9">
        <v>8</v>
      </c>
      <c r="AF2" s="10">
        <v>25600</v>
      </c>
      <c r="AG2" s="9">
        <v>0</v>
      </c>
      <c r="AH2" s="9">
        <v>0</v>
      </c>
      <c r="AI2" s="9">
        <v>0</v>
      </c>
      <c r="AJ2" s="9">
        <v>0</v>
      </c>
      <c r="AK2" s="9">
        <v>0</v>
      </c>
      <c r="AL2" s="9">
        <v>0</v>
      </c>
      <c r="AM2" s="9">
        <v>0</v>
      </c>
      <c r="AN2" s="9">
        <v>0</v>
      </c>
      <c r="AO2" s="9">
        <v>0</v>
      </c>
      <c r="AP2" s="9">
        <v>0</v>
      </c>
      <c r="AQ2" s="9">
        <v>0</v>
      </c>
      <c r="AR2" s="9">
        <v>10</v>
      </c>
      <c r="AS2" s="10">
        <v>31000</v>
      </c>
      <c r="AT2" s="10">
        <v>1000</v>
      </c>
      <c r="AU2" s="11">
        <v>57600</v>
      </c>
      <c r="AV2" s="17">
        <f>AU2-AN2</f>
        <v>57600</v>
      </c>
      <c r="AW2" s="1">
        <f>AV2*70%</f>
        <v>40320</v>
      </c>
    </row>
    <row r="3" spans="1:49" ht="19.2" x14ac:dyDescent="0.4">
      <c r="A3" s="7" t="s">
        <v>118</v>
      </c>
      <c r="B3" s="7" t="s">
        <v>85</v>
      </c>
      <c r="C3" s="7">
        <v>454534</v>
      </c>
      <c r="D3" s="8"/>
      <c r="E3" s="7" t="s">
        <v>15</v>
      </c>
      <c r="F3" s="7" t="s">
        <v>86</v>
      </c>
      <c r="G3" s="7" t="s">
        <v>12</v>
      </c>
      <c r="H3" s="9" t="s">
        <v>8</v>
      </c>
      <c r="I3" s="9" t="s">
        <v>96</v>
      </c>
      <c r="J3" s="9">
        <v>50</v>
      </c>
      <c r="K3" s="9">
        <v>502</v>
      </c>
      <c r="L3" s="10">
        <v>5000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143</v>
      </c>
      <c r="AF3" s="10">
        <v>11600</v>
      </c>
      <c r="AG3" s="10">
        <v>2700</v>
      </c>
      <c r="AH3" s="9">
        <v>0</v>
      </c>
      <c r="AI3" s="9">
        <v>0</v>
      </c>
      <c r="AJ3" s="9">
        <v>0</v>
      </c>
      <c r="AK3" s="9">
        <v>2</v>
      </c>
      <c r="AL3" s="9">
        <v>120</v>
      </c>
      <c r="AM3" s="9">
        <v>100</v>
      </c>
      <c r="AN3" s="9">
        <v>36</v>
      </c>
      <c r="AO3" s="9">
        <v>0</v>
      </c>
      <c r="AP3" s="9">
        <v>0</v>
      </c>
      <c r="AQ3" s="9">
        <v>0</v>
      </c>
      <c r="AR3" s="9">
        <v>40</v>
      </c>
      <c r="AS3" s="10">
        <v>3800</v>
      </c>
      <c r="AT3" s="9">
        <v>200</v>
      </c>
      <c r="AU3" s="11">
        <v>23520</v>
      </c>
      <c r="AV3" s="17">
        <f t="shared" ref="AV3:AV50" si="0">AU3-AN3</f>
        <v>23484</v>
      </c>
      <c r="AW3" s="1">
        <f t="shared" ref="AW3:AW50" si="1">AV3*70%</f>
        <v>16438.8</v>
      </c>
    </row>
    <row r="4" spans="1:49" ht="19.2" x14ac:dyDescent="0.4">
      <c r="A4" s="7" t="s">
        <v>118</v>
      </c>
      <c r="B4" s="7" t="s">
        <v>17</v>
      </c>
      <c r="C4" s="7">
        <v>414278</v>
      </c>
      <c r="D4" s="8"/>
      <c r="E4" s="7" t="s">
        <v>15</v>
      </c>
      <c r="F4" s="7" t="s">
        <v>9</v>
      </c>
      <c r="G4" s="7" t="s">
        <v>12</v>
      </c>
      <c r="H4" s="9" t="s">
        <v>11</v>
      </c>
      <c r="I4" s="9" t="s">
        <v>44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4</v>
      </c>
      <c r="AF4" s="10">
        <v>9600</v>
      </c>
      <c r="AG4" s="10">
        <v>3200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  <c r="AU4" s="11">
        <v>12800</v>
      </c>
      <c r="AV4" s="17">
        <f t="shared" si="0"/>
        <v>12800</v>
      </c>
      <c r="AW4" s="1">
        <f t="shared" si="1"/>
        <v>8960</v>
      </c>
    </row>
    <row r="5" spans="1:49" ht="19.2" x14ac:dyDescent="0.4">
      <c r="A5" s="7" t="s">
        <v>118</v>
      </c>
      <c r="B5" s="7" t="s">
        <v>97</v>
      </c>
      <c r="C5" s="7">
        <v>408579</v>
      </c>
      <c r="D5" s="8"/>
      <c r="E5" s="7" t="s">
        <v>15</v>
      </c>
      <c r="F5" s="7" t="s">
        <v>16</v>
      </c>
      <c r="G5" s="7" t="s">
        <v>12</v>
      </c>
      <c r="H5" s="9" t="s">
        <v>8</v>
      </c>
      <c r="I5" s="9" t="s">
        <v>93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3</v>
      </c>
      <c r="AF5" s="10">
        <v>9600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11">
        <v>9600</v>
      </c>
      <c r="AV5" s="17">
        <f t="shared" si="0"/>
        <v>9600</v>
      </c>
      <c r="AW5" s="1">
        <f t="shared" si="1"/>
        <v>6720</v>
      </c>
    </row>
    <row r="6" spans="1:49" ht="19.2" x14ac:dyDescent="0.4">
      <c r="A6" s="7" t="s">
        <v>118</v>
      </c>
      <c r="B6" s="7" t="s">
        <v>63</v>
      </c>
      <c r="C6" s="7">
        <v>445688</v>
      </c>
      <c r="D6" s="8"/>
      <c r="E6" s="7" t="s">
        <v>15</v>
      </c>
      <c r="F6" s="7" t="s">
        <v>64</v>
      </c>
      <c r="G6" s="7" t="s">
        <v>12</v>
      </c>
      <c r="H6" s="9" t="s">
        <v>8</v>
      </c>
      <c r="I6" s="9" t="s">
        <v>98</v>
      </c>
      <c r="J6" s="9">
        <v>0</v>
      </c>
      <c r="K6" s="9">
        <v>90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49</v>
      </c>
      <c r="AF6" s="10">
        <v>4500</v>
      </c>
      <c r="AG6" s="9">
        <v>400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16</v>
      </c>
      <c r="AS6" s="10">
        <v>1600</v>
      </c>
      <c r="AT6" s="9">
        <v>0</v>
      </c>
      <c r="AU6" s="11">
        <v>6500</v>
      </c>
      <c r="AV6" s="17">
        <f t="shared" si="0"/>
        <v>6500</v>
      </c>
      <c r="AW6" s="1">
        <f t="shared" si="1"/>
        <v>4550</v>
      </c>
    </row>
    <row r="7" spans="1:49" ht="19.2" x14ac:dyDescent="0.4">
      <c r="A7" s="7" t="s">
        <v>118</v>
      </c>
      <c r="B7" s="7" t="s">
        <v>27</v>
      </c>
      <c r="C7" s="7">
        <v>245889</v>
      </c>
      <c r="D7" s="8"/>
      <c r="E7" s="7" t="s">
        <v>15</v>
      </c>
      <c r="F7" s="7" t="s">
        <v>16</v>
      </c>
      <c r="G7" s="7" t="s">
        <v>12</v>
      </c>
      <c r="H7" s="9" t="s">
        <v>8</v>
      </c>
      <c r="I7" s="9" t="s">
        <v>28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46</v>
      </c>
      <c r="AF7" s="9">
        <v>100</v>
      </c>
      <c r="AG7" s="10">
        <v>4500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1</v>
      </c>
      <c r="AS7" s="9">
        <v>100</v>
      </c>
      <c r="AT7" s="9">
        <v>0</v>
      </c>
      <c r="AU7" s="11">
        <v>4700</v>
      </c>
      <c r="AV7" s="17">
        <f t="shared" si="0"/>
        <v>4700</v>
      </c>
      <c r="AW7" s="1">
        <f t="shared" si="1"/>
        <v>3290</v>
      </c>
    </row>
    <row r="8" spans="1:49" ht="19.2" x14ac:dyDescent="0.4">
      <c r="A8" s="7" t="s">
        <v>118</v>
      </c>
      <c r="B8" s="7" t="s">
        <v>91</v>
      </c>
      <c r="C8" s="7">
        <v>458566</v>
      </c>
      <c r="D8" s="8"/>
      <c r="E8" s="7" t="s">
        <v>15</v>
      </c>
      <c r="F8" s="7" t="s">
        <v>16</v>
      </c>
      <c r="G8" s="7" t="s">
        <v>12</v>
      </c>
      <c r="H8" s="9" t="s">
        <v>8</v>
      </c>
      <c r="I8" s="9" t="s">
        <v>87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1</v>
      </c>
      <c r="AF8" s="10">
        <v>3200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11">
        <v>3200</v>
      </c>
      <c r="AV8" s="17">
        <f t="shared" si="0"/>
        <v>3200</v>
      </c>
      <c r="AW8" s="1">
        <f t="shared" si="1"/>
        <v>2240</v>
      </c>
    </row>
    <row r="9" spans="1:49" ht="19.2" x14ac:dyDescent="0.4">
      <c r="A9" s="7" t="s">
        <v>118</v>
      </c>
      <c r="B9" s="7" t="s">
        <v>89</v>
      </c>
      <c r="C9" s="7">
        <v>370935</v>
      </c>
      <c r="D9" s="8"/>
      <c r="E9" s="7" t="s">
        <v>15</v>
      </c>
      <c r="F9" s="7" t="s">
        <v>16</v>
      </c>
      <c r="G9" s="7" t="s">
        <v>12</v>
      </c>
      <c r="H9" s="9" t="s">
        <v>8</v>
      </c>
      <c r="I9" s="9" t="s">
        <v>90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1</v>
      </c>
      <c r="AS9" s="10">
        <v>3200</v>
      </c>
      <c r="AT9" s="9">
        <v>0</v>
      </c>
      <c r="AU9" s="11">
        <v>3200</v>
      </c>
      <c r="AV9" s="17">
        <f t="shared" si="0"/>
        <v>3200</v>
      </c>
      <c r="AW9" s="1">
        <f t="shared" si="1"/>
        <v>2240</v>
      </c>
    </row>
    <row r="10" spans="1:49" ht="19.2" x14ac:dyDescent="0.4">
      <c r="A10" s="7" t="s">
        <v>118</v>
      </c>
      <c r="B10" s="7" t="s">
        <v>99</v>
      </c>
      <c r="C10" s="7">
        <v>463950</v>
      </c>
      <c r="D10" s="8"/>
      <c r="E10" s="7" t="s">
        <v>15</v>
      </c>
      <c r="F10" s="7" t="s">
        <v>100</v>
      </c>
      <c r="G10" s="7" t="s">
        <v>12</v>
      </c>
      <c r="H10" s="9" t="s">
        <v>8</v>
      </c>
      <c r="I10" s="9" t="s">
        <v>101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1</v>
      </c>
      <c r="AF10" s="10">
        <v>3200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11">
        <v>3200</v>
      </c>
      <c r="AV10" s="17">
        <f t="shared" si="0"/>
        <v>3200</v>
      </c>
      <c r="AW10" s="1">
        <f t="shared" si="1"/>
        <v>2240</v>
      </c>
    </row>
    <row r="11" spans="1:49" ht="19.2" x14ac:dyDescent="0.4">
      <c r="A11" s="7" t="s">
        <v>118</v>
      </c>
      <c r="B11" s="7" t="s">
        <v>102</v>
      </c>
      <c r="C11" s="7">
        <v>391329</v>
      </c>
      <c r="D11" s="8"/>
      <c r="E11" s="7" t="s">
        <v>15</v>
      </c>
      <c r="F11" s="7" t="s">
        <v>20</v>
      </c>
      <c r="G11" s="7" t="s">
        <v>12</v>
      </c>
      <c r="H11" s="9" t="s">
        <v>8</v>
      </c>
      <c r="I11" s="9" t="s">
        <v>103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1</v>
      </c>
      <c r="AF11" s="10">
        <v>3200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11">
        <v>3200</v>
      </c>
      <c r="AV11" s="17">
        <f t="shared" si="0"/>
        <v>3200</v>
      </c>
      <c r="AW11" s="1">
        <f t="shared" si="1"/>
        <v>2240</v>
      </c>
    </row>
    <row r="12" spans="1:49" ht="19.2" x14ac:dyDescent="0.4">
      <c r="A12" s="7" t="s">
        <v>118</v>
      </c>
      <c r="B12" s="7" t="s">
        <v>104</v>
      </c>
      <c r="C12" s="7">
        <v>290890</v>
      </c>
      <c r="D12" s="8"/>
      <c r="E12" s="7" t="s">
        <v>15</v>
      </c>
      <c r="F12" s="7" t="s">
        <v>16</v>
      </c>
      <c r="G12" s="7" t="s">
        <v>12</v>
      </c>
      <c r="H12" s="9" t="s">
        <v>8</v>
      </c>
      <c r="I12" s="9" t="s">
        <v>105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3</v>
      </c>
      <c r="AC12" s="10">
        <v>2700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11">
        <v>2700</v>
      </c>
      <c r="AV12" s="17">
        <f t="shared" si="0"/>
        <v>2700</v>
      </c>
      <c r="AW12" s="1">
        <f t="shared" si="1"/>
        <v>1889.9999999999998</v>
      </c>
    </row>
    <row r="13" spans="1:49" ht="19.2" x14ac:dyDescent="0.4">
      <c r="A13" s="7" t="s">
        <v>118</v>
      </c>
      <c r="B13" s="7" t="s">
        <v>79</v>
      </c>
      <c r="C13" s="7">
        <v>449889</v>
      </c>
      <c r="D13" s="8"/>
      <c r="E13" s="7" t="s">
        <v>15</v>
      </c>
      <c r="F13" s="7" t="s">
        <v>80</v>
      </c>
      <c r="G13" s="7" t="s">
        <v>12</v>
      </c>
      <c r="H13" s="9" t="s">
        <v>8</v>
      </c>
      <c r="I13" s="9" t="s">
        <v>98</v>
      </c>
      <c r="J13" s="9">
        <v>0</v>
      </c>
      <c r="K13" s="9">
        <v>278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18</v>
      </c>
      <c r="AF13" s="10">
        <v>1400</v>
      </c>
      <c r="AG13" s="9">
        <v>400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4</v>
      </c>
      <c r="AS13" s="9">
        <v>400</v>
      </c>
      <c r="AT13" s="9">
        <v>0</v>
      </c>
      <c r="AU13" s="11">
        <v>2200</v>
      </c>
      <c r="AV13" s="17">
        <f t="shared" si="0"/>
        <v>2200</v>
      </c>
      <c r="AW13" s="1">
        <f t="shared" si="1"/>
        <v>1540</v>
      </c>
    </row>
    <row r="14" spans="1:49" ht="19.2" x14ac:dyDescent="0.4">
      <c r="A14" s="7" t="s">
        <v>118</v>
      </c>
      <c r="B14" s="7" t="s">
        <v>70</v>
      </c>
      <c r="C14" s="7">
        <v>178856</v>
      </c>
      <c r="D14" s="8"/>
      <c r="E14" s="7" t="s">
        <v>15</v>
      </c>
      <c r="F14" s="7" t="s">
        <v>16</v>
      </c>
      <c r="G14" s="7" t="s">
        <v>12</v>
      </c>
      <c r="H14" s="9" t="s">
        <v>13</v>
      </c>
      <c r="I14" s="9" t="s">
        <v>71</v>
      </c>
      <c r="J14" s="9">
        <v>0</v>
      </c>
      <c r="K14" s="9">
        <v>1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1</v>
      </c>
      <c r="T14" s="9">
        <v>25</v>
      </c>
      <c r="U14" s="9">
        <v>0</v>
      </c>
      <c r="V14" s="9">
        <v>100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19</v>
      </c>
      <c r="AF14" s="10">
        <v>1900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11">
        <v>2000</v>
      </c>
      <c r="AV14" s="17">
        <f t="shared" si="0"/>
        <v>2000</v>
      </c>
      <c r="AW14" s="1">
        <f t="shared" si="1"/>
        <v>1400</v>
      </c>
    </row>
    <row r="15" spans="1:49" ht="28.8" x14ac:dyDescent="0.4">
      <c r="A15" s="7" t="s">
        <v>118</v>
      </c>
      <c r="B15" s="7" t="s">
        <v>53</v>
      </c>
      <c r="C15" s="7">
        <v>219203</v>
      </c>
      <c r="D15" s="8"/>
      <c r="E15" s="7" t="s">
        <v>15</v>
      </c>
      <c r="F15" s="7" t="s">
        <v>54</v>
      </c>
      <c r="G15" s="7" t="s">
        <v>12</v>
      </c>
      <c r="H15" s="9" t="s">
        <v>8</v>
      </c>
      <c r="I15" s="9" t="s">
        <v>55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8</v>
      </c>
      <c r="AC15" s="9">
        <v>700</v>
      </c>
      <c r="AD15" s="9">
        <v>100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8</v>
      </c>
      <c r="AP15" s="9">
        <v>800</v>
      </c>
      <c r="AQ15" s="9">
        <v>0</v>
      </c>
      <c r="AR15" s="9">
        <v>0</v>
      </c>
      <c r="AS15" s="9">
        <v>0</v>
      </c>
      <c r="AT15" s="9">
        <v>0</v>
      </c>
      <c r="AU15" s="11">
        <v>1600</v>
      </c>
      <c r="AV15" s="17">
        <f t="shared" si="0"/>
        <v>1600</v>
      </c>
      <c r="AW15" s="1">
        <f t="shared" si="1"/>
        <v>1120</v>
      </c>
    </row>
    <row r="16" spans="1:49" ht="19.2" x14ac:dyDescent="0.4">
      <c r="A16" s="7" t="s">
        <v>118</v>
      </c>
      <c r="B16" s="7" t="s">
        <v>65</v>
      </c>
      <c r="C16" s="7">
        <v>429621</v>
      </c>
      <c r="D16" s="8"/>
      <c r="E16" s="7" t="s">
        <v>15</v>
      </c>
      <c r="F16" s="7" t="s">
        <v>66</v>
      </c>
      <c r="G16" s="7" t="s">
        <v>12</v>
      </c>
      <c r="H16" s="9" t="s">
        <v>11</v>
      </c>
      <c r="I16" s="9" t="s">
        <v>67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8</v>
      </c>
      <c r="AF16" s="9">
        <v>800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12">
        <v>800</v>
      </c>
      <c r="AV16" s="17">
        <f t="shared" si="0"/>
        <v>800</v>
      </c>
      <c r="AW16" s="1">
        <f t="shared" si="1"/>
        <v>560</v>
      </c>
    </row>
    <row r="17" spans="1:49" ht="19.2" x14ac:dyDescent="0.4">
      <c r="A17" s="7" t="s">
        <v>118</v>
      </c>
      <c r="B17" s="7" t="s">
        <v>61</v>
      </c>
      <c r="C17" s="7">
        <v>379813</v>
      </c>
      <c r="D17" s="8"/>
      <c r="E17" s="7" t="s">
        <v>15</v>
      </c>
      <c r="F17" s="7" t="s">
        <v>16</v>
      </c>
      <c r="G17" s="7" t="s">
        <v>12</v>
      </c>
      <c r="H17" s="9" t="s">
        <v>8</v>
      </c>
      <c r="I17" s="9" t="s">
        <v>62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6</v>
      </c>
      <c r="AF17" s="9">
        <v>600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12">
        <v>600</v>
      </c>
      <c r="AV17" s="17">
        <f t="shared" si="0"/>
        <v>600</v>
      </c>
      <c r="AW17" s="1">
        <f t="shared" si="1"/>
        <v>420</v>
      </c>
    </row>
    <row r="18" spans="1:49" ht="19.2" x14ac:dyDescent="0.4">
      <c r="A18" s="7" t="s">
        <v>118</v>
      </c>
      <c r="B18" s="7" t="s">
        <v>106</v>
      </c>
      <c r="C18" s="7">
        <v>463944</v>
      </c>
      <c r="D18" s="8"/>
      <c r="E18" s="7" t="s">
        <v>15</v>
      </c>
      <c r="F18" s="7" t="s">
        <v>107</v>
      </c>
      <c r="G18" s="7" t="s">
        <v>12</v>
      </c>
      <c r="H18" s="9" t="s">
        <v>13</v>
      </c>
      <c r="I18" s="9" t="s">
        <v>108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5</v>
      </c>
      <c r="AF18" s="9">
        <v>500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12">
        <v>500</v>
      </c>
      <c r="AV18" s="17">
        <f t="shared" si="0"/>
        <v>500</v>
      </c>
      <c r="AW18" s="1">
        <f t="shared" si="1"/>
        <v>350</v>
      </c>
    </row>
    <row r="19" spans="1:49" ht="19.2" x14ac:dyDescent="0.4">
      <c r="A19" s="7" t="s">
        <v>118</v>
      </c>
      <c r="B19" s="7" t="s">
        <v>23</v>
      </c>
      <c r="C19" s="7">
        <v>321812</v>
      </c>
      <c r="D19" s="8"/>
      <c r="E19" s="7" t="s">
        <v>15</v>
      </c>
      <c r="F19" s="7" t="s">
        <v>16</v>
      </c>
      <c r="G19" s="7" t="s">
        <v>12</v>
      </c>
      <c r="H19" s="9" t="s">
        <v>8</v>
      </c>
      <c r="I19" s="9" t="s">
        <v>24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4</v>
      </c>
      <c r="AF19" s="9">
        <v>300</v>
      </c>
      <c r="AG19" s="9">
        <v>100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12">
        <v>400</v>
      </c>
      <c r="AV19" s="17">
        <f t="shared" si="0"/>
        <v>400</v>
      </c>
      <c r="AW19" s="1">
        <f t="shared" si="1"/>
        <v>280</v>
      </c>
    </row>
    <row r="20" spans="1:49" ht="19.2" x14ac:dyDescent="0.4">
      <c r="A20" s="7" t="s">
        <v>118</v>
      </c>
      <c r="B20" s="7" t="s">
        <v>109</v>
      </c>
      <c r="C20" s="7">
        <v>463946</v>
      </c>
      <c r="D20" s="8"/>
      <c r="E20" s="7" t="s">
        <v>15</v>
      </c>
      <c r="F20" s="7" t="s">
        <v>110</v>
      </c>
      <c r="G20" s="7" t="s">
        <v>12</v>
      </c>
      <c r="H20" s="9" t="s">
        <v>8</v>
      </c>
      <c r="I20" s="9" t="s">
        <v>101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3</v>
      </c>
      <c r="AF20" s="9">
        <v>300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12">
        <v>300</v>
      </c>
      <c r="AV20" s="17">
        <f t="shared" si="0"/>
        <v>300</v>
      </c>
      <c r="AW20" s="1">
        <f t="shared" si="1"/>
        <v>210</v>
      </c>
    </row>
    <row r="21" spans="1:49" ht="19.2" x14ac:dyDescent="0.4">
      <c r="A21" s="7" t="s">
        <v>118</v>
      </c>
      <c r="B21" s="7" t="s">
        <v>59</v>
      </c>
      <c r="C21" s="7">
        <v>442274</v>
      </c>
      <c r="D21" s="8"/>
      <c r="E21" s="7" t="s">
        <v>15</v>
      </c>
      <c r="F21" s="7" t="s">
        <v>60</v>
      </c>
      <c r="G21" s="7" t="s">
        <v>12</v>
      </c>
      <c r="H21" s="9" t="s">
        <v>8</v>
      </c>
      <c r="I21" s="9" t="s">
        <v>111</v>
      </c>
      <c r="J21" s="9">
        <v>0</v>
      </c>
      <c r="K21" s="9">
        <v>129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2</v>
      </c>
      <c r="AF21" s="9">
        <v>200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1</v>
      </c>
      <c r="AS21" s="9">
        <v>100</v>
      </c>
      <c r="AT21" s="9">
        <v>0</v>
      </c>
      <c r="AU21" s="12">
        <v>300</v>
      </c>
      <c r="AV21" s="17">
        <f t="shared" si="0"/>
        <v>300</v>
      </c>
      <c r="AW21" s="1">
        <f t="shared" si="1"/>
        <v>210</v>
      </c>
    </row>
    <row r="22" spans="1:49" ht="19.2" x14ac:dyDescent="0.4">
      <c r="A22" s="7" t="s">
        <v>118</v>
      </c>
      <c r="B22" s="7" t="s">
        <v>76</v>
      </c>
      <c r="C22" s="7">
        <v>428319</v>
      </c>
      <c r="D22" s="8"/>
      <c r="E22" s="7" t="s">
        <v>15</v>
      </c>
      <c r="F22" s="7" t="s">
        <v>75</v>
      </c>
      <c r="G22" s="7" t="s">
        <v>12</v>
      </c>
      <c r="H22" s="9" t="s">
        <v>8</v>
      </c>
      <c r="I22" s="9" t="s">
        <v>46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1</v>
      </c>
      <c r="AF22" s="9">
        <v>100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2</v>
      </c>
      <c r="AS22" s="9">
        <v>200</v>
      </c>
      <c r="AT22" s="9">
        <v>0</v>
      </c>
      <c r="AU22" s="12">
        <v>300</v>
      </c>
      <c r="AV22" s="17">
        <f t="shared" si="0"/>
        <v>300</v>
      </c>
      <c r="AW22" s="1">
        <f t="shared" si="1"/>
        <v>210</v>
      </c>
    </row>
    <row r="23" spans="1:49" ht="19.2" x14ac:dyDescent="0.4">
      <c r="A23" s="7" t="s">
        <v>118</v>
      </c>
      <c r="B23" s="7" t="s">
        <v>112</v>
      </c>
      <c r="C23" s="7">
        <v>463949</v>
      </c>
      <c r="D23" s="8"/>
      <c r="E23" s="7" t="s">
        <v>15</v>
      </c>
      <c r="F23" s="7" t="s">
        <v>113</v>
      </c>
      <c r="G23" s="7" t="s">
        <v>12</v>
      </c>
      <c r="H23" s="9" t="s">
        <v>8</v>
      </c>
      <c r="I23" s="9" t="s">
        <v>101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2</v>
      </c>
      <c r="AF23" s="9">
        <v>100</v>
      </c>
      <c r="AG23" s="9">
        <v>100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12">
        <v>200</v>
      </c>
      <c r="AV23" s="17">
        <f t="shared" si="0"/>
        <v>200</v>
      </c>
      <c r="AW23" s="1">
        <f t="shared" si="1"/>
        <v>140</v>
      </c>
    </row>
    <row r="24" spans="1:49" ht="19.2" x14ac:dyDescent="0.4">
      <c r="A24" s="7" t="s">
        <v>118</v>
      </c>
      <c r="B24" s="7" t="s">
        <v>114</v>
      </c>
      <c r="C24" s="7">
        <v>251205</v>
      </c>
      <c r="D24" s="8"/>
      <c r="E24" s="7" t="s">
        <v>15</v>
      </c>
      <c r="F24" s="7" t="s">
        <v>20</v>
      </c>
      <c r="G24" s="7" t="s">
        <v>12</v>
      </c>
      <c r="H24" s="9" t="s">
        <v>8</v>
      </c>
      <c r="I24" s="9" t="s">
        <v>115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2</v>
      </c>
      <c r="AF24" s="9">
        <v>200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12">
        <v>200</v>
      </c>
      <c r="AV24" s="17">
        <f t="shared" si="0"/>
        <v>200</v>
      </c>
      <c r="AW24" s="1">
        <f t="shared" si="1"/>
        <v>140</v>
      </c>
    </row>
    <row r="25" spans="1:49" ht="19.2" x14ac:dyDescent="0.4">
      <c r="A25" s="7" t="s">
        <v>118</v>
      </c>
      <c r="B25" s="7" t="s">
        <v>14</v>
      </c>
      <c r="C25" s="7">
        <v>369220</v>
      </c>
      <c r="D25" s="8"/>
      <c r="E25" s="7" t="s">
        <v>15</v>
      </c>
      <c r="F25" s="7" t="s">
        <v>16</v>
      </c>
      <c r="G25" s="7" t="s">
        <v>12</v>
      </c>
      <c r="H25" s="9" t="s">
        <v>8</v>
      </c>
      <c r="I25" s="9" t="s">
        <v>45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2</v>
      </c>
      <c r="AF25" s="9">
        <v>100</v>
      </c>
      <c r="AG25" s="9">
        <v>100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12">
        <v>200</v>
      </c>
      <c r="AV25" s="17">
        <f t="shared" si="0"/>
        <v>200</v>
      </c>
      <c r="AW25" s="1">
        <f t="shared" si="1"/>
        <v>140</v>
      </c>
    </row>
    <row r="26" spans="1:49" ht="19.2" x14ac:dyDescent="0.4">
      <c r="A26" s="7" t="s">
        <v>118</v>
      </c>
      <c r="B26" s="7" t="s">
        <v>57</v>
      </c>
      <c r="C26" s="7">
        <v>371774</v>
      </c>
      <c r="D26" s="8"/>
      <c r="E26" s="7" t="s">
        <v>15</v>
      </c>
      <c r="F26" s="7" t="s">
        <v>50</v>
      </c>
      <c r="G26" s="7" t="s">
        <v>12</v>
      </c>
      <c r="H26" s="9" t="s">
        <v>8</v>
      </c>
      <c r="I26" s="9" t="s">
        <v>58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1</v>
      </c>
      <c r="AF26" s="9">
        <v>100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12">
        <v>100</v>
      </c>
      <c r="AV26" s="17">
        <f t="shared" si="0"/>
        <v>100</v>
      </c>
      <c r="AW26" s="1">
        <f t="shared" si="1"/>
        <v>70</v>
      </c>
    </row>
    <row r="27" spans="1:49" ht="19.2" x14ac:dyDescent="0.4">
      <c r="A27" s="7" t="s">
        <v>118</v>
      </c>
      <c r="B27" s="7" t="s">
        <v>19</v>
      </c>
      <c r="C27" s="7">
        <v>387417</v>
      </c>
      <c r="D27" s="8"/>
      <c r="E27" s="7" t="s">
        <v>15</v>
      </c>
      <c r="F27" s="7" t="s">
        <v>20</v>
      </c>
      <c r="G27" s="7" t="s">
        <v>12</v>
      </c>
      <c r="H27" s="9" t="s">
        <v>8</v>
      </c>
      <c r="I27" s="9" t="s">
        <v>21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1</v>
      </c>
      <c r="AF27" s="9">
        <v>0</v>
      </c>
      <c r="AG27" s="9">
        <v>100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12">
        <v>100</v>
      </c>
      <c r="AV27" s="17">
        <f t="shared" si="0"/>
        <v>100</v>
      </c>
      <c r="AW27" s="1">
        <f t="shared" si="1"/>
        <v>70</v>
      </c>
    </row>
    <row r="28" spans="1:49" ht="19.2" x14ac:dyDescent="0.4">
      <c r="A28" s="7" t="s">
        <v>118</v>
      </c>
      <c r="B28" s="7" t="s">
        <v>77</v>
      </c>
      <c r="C28" s="7">
        <v>211158</v>
      </c>
      <c r="D28" s="8"/>
      <c r="E28" s="7" t="s">
        <v>15</v>
      </c>
      <c r="F28" s="7" t="s">
        <v>16</v>
      </c>
      <c r="G28" s="7" t="s">
        <v>12</v>
      </c>
      <c r="H28" s="9" t="s">
        <v>8</v>
      </c>
      <c r="I28" s="9" t="s">
        <v>78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1</v>
      </c>
      <c r="AF28" s="9">
        <v>100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12">
        <v>100</v>
      </c>
      <c r="AV28" s="17">
        <f t="shared" si="0"/>
        <v>100</v>
      </c>
      <c r="AW28" s="1">
        <f t="shared" si="1"/>
        <v>70</v>
      </c>
    </row>
    <row r="29" spans="1:49" ht="19.2" x14ac:dyDescent="0.4">
      <c r="A29" s="7" t="s">
        <v>118</v>
      </c>
      <c r="B29" s="7" t="s">
        <v>116</v>
      </c>
      <c r="C29" s="7">
        <v>316658</v>
      </c>
      <c r="D29" s="8"/>
      <c r="E29" s="7" t="s">
        <v>15</v>
      </c>
      <c r="F29" s="7" t="s">
        <v>20</v>
      </c>
      <c r="G29" s="7" t="s">
        <v>12</v>
      </c>
      <c r="H29" s="9" t="s">
        <v>8</v>
      </c>
      <c r="I29" s="9" t="s">
        <v>117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1</v>
      </c>
      <c r="AF29" s="9">
        <v>100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12">
        <v>100</v>
      </c>
      <c r="AV29" s="17">
        <f t="shared" si="0"/>
        <v>100</v>
      </c>
      <c r="AW29" s="1">
        <f t="shared" si="1"/>
        <v>70</v>
      </c>
    </row>
    <row r="30" spans="1:49" ht="19.2" x14ac:dyDescent="0.4">
      <c r="A30" s="7" t="s">
        <v>118</v>
      </c>
      <c r="B30" s="7" t="s">
        <v>51</v>
      </c>
      <c r="C30" s="7">
        <v>434558</v>
      </c>
      <c r="D30" s="8"/>
      <c r="E30" s="7" t="s">
        <v>15</v>
      </c>
      <c r="F30" s="7" t="s">
        <v>52</v>
      </c>
      <c r="G30" s="7" t="s">
        <v>12</v>
      </c>
      <c r="H30" s="9" t="s">
        <v>8</v>
      </c>
      <c r="I30" s="9" t="s">
        <v>72</v>
      </c>
      <c r="J30" s="9">
        <v>0</v>
      </c>
      <c r="K30" s="9">
        <v>4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12">
        <v>0</v>
      </c>
      <c r="AV30" s="17">
        <f t="shared" si="0"/>
        <v>0</v>
      </c>
      <c r="AW30" s="1">
        <f t="shared" si="1"/>
        <v>0</v>
      </c>
    </row>
    <row r="31" spans="1:49" ht="19.2" x14ac:dyDescent="0.4">
      <c r="A31" s="7" t="s">
        <v>131</v>
      </c>
      <c r="B31" s="7" t="s">
        <v>85</v>
      </c>
      <c r="C31" s="7">
        <v>454534</v>
      </c>
      <c r="D31" s="8"/>
      <c r="E31" s="7" t="s">
        <v>15</v>
      </c>
      <c r="F31" s="7" t="s">
        <v>86</v>
      </c>
      <c r="G31" s="7" t="s">
        <v>12</v>
      </c>
      <c r="H31" s="9" t="s">
        <v>8</v>
      </c>
      <c r="I31" s="9" t="s">
        <v>96</v>
      </c>
      <c r="J31" s="9">
        <v>501</v>
      </c>
      <c r="K31" s="9">
        <v>208</v>
      </c>
      <c r="L31" s="10">
        <v>50100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10">
        <v>2605</v>
      </c>
      <c r="AF31" s="10">
        <v>250700</v>
      </c>
      <c r="AG31" s="10">
        <v>9800</v>
      </c>
      <c r="AH31" s="9">
        <v>0</v>
      </c>
      <c r="AI31" s="9">
        <v>0</v>
      </c>
      <c r="AJ31" s="9">
        <v>0</v>
      </c>
      <c r="AK31" s="9">
        <v>9</v>
      </c>
      <c r="AL31" s="10">
        <v>1080</v>
      </c>
      <c r="AM31" s="9">
        <v>0</v>
      </c>
      <c r="AN31" s="9">
        <v>324</v>
      </c>
      <c r="AO31" s="9">
        <v>0</v>
      </c>
      <c r="AP31" s="9">
        <v>0</v>
      </c>
      <c r="AQ31" s="9">
        <v>0</v>
      </c>
      <c r="AR31" s="9">
        <v>751</v>
      </c>
      <c r="AS31" s="10">
        <v>74100</v>
      </c>
      <c r="AT31" s="10">
        <v>1000</v>
      </c>
      <c r="AU31" s="11">
        <v>386780</v>
      </c>
      <c r="AV31" s="17">
        <f t="shared" si="0"/>
        <v>386456</v>
      </c>
      <c r="AW31" s="1">
        <f t="shared" si="1"/>
        <v>270519.2</v>
      </c>
    </row>
    <row r="32" spans="1:49" ht="19.2" x14ac:dyDescent="0.4">
      <c r="A32" s="7" t="s">
        <v>131</v>
      </c>
      <c r="B32" s="7" t="s">
        <v>63</v>
      </c>
      <c r="C32" s="7">
        <v>445688</v>
      </c>
      <c r="D32" s="8"/>
      <c r="E32" s="7" t="s">
        <v>15</v>
      </c>
      <c r="F32" s="7" t="s">
        <v>64</v>
      </c>
      <c r="G32" s="7" t="s">
        <v>12</v>
      </c>
      <c r="H32" s="9" t="s">
        <v>8</v>
      </c>
      <c r="I32" s="9" t="s">
        <v>98</v>
      </c>
      <c r="J32" s="9">
        <v>0</v>
      </c>
      <c r="K32" s="9">
        <v>44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10">
        <v>2267</v>
      </c>
      <c r="AF32" s="10">
        <v>222200</v>
      </c>
      <c r="AG32" s="10">
        <v>4500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273</v>
      </c>
      <c r="AS32" s="10">
        <v>27200</v>
      </c>
      <c r="AT32" s="9">
        <v>100</v>
      </c>
      <c r="AU32" s="11">
        <v>254000</v>
      </c>
      <c r="AV32" s="17">
        <f t="shared" si="0"/>
        <v>254000</v>
      </c>
      <c r="AW32" s="1">
        <f t="shared" si="1"/>
        <v>177800</v>
      </c>
    </row>
    <row r="33" spans="1:49" ht="19.2" x14ac:dyDescent="0.4">
      <c r="A33" s="7" t="s">
        <v>131</v>
      </c>
      <c r="B33" s="7" t="s">
        <v>68</v>
      </c>
      <c r="C33" s="7">
        <v>324335</v>
      </c>
      <c r="D33" s="8"/>
      <c r="E33" s="7" t="s">
        <v>15</v>
      </c>
      <c r="F33" s="7" t="s">
        <v>16</v>
      </c>
      <c r="G33" s="7" t="s">
        <v>12</v>
      </c>
      <c r="H33" s="9" t="s">
        <v>13</v>
      </c>
      <c r="I33" s="9" t="s">
        <v>69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24</v>
      </c>
      <c r="AF33" s="10">
        <v>76800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10</v>
      </c>
      <c r="AS33" s="10">
        <v>30200</v>
      </c>
      <c r="AT33" s="10">
        <v>1800</v>
      </c>
      <c r="AU33" s="11">
        <v>108800</v>
      </c>
      <c r="AV33" s="17">
        <f t="shared" si="0"/>
        <v>108800</v>
      </c>
      <c r="AW33" s="1">
        <f t="shared" si="1"/>
        <v>76160</v>
      </c>
    </row>
    <row r="34" spans="1:49" ht="19.2" x14ac:dyDescent="0.4">
      <c r="A34" s="7" t="s">
        <v>131</v>
      </c>
      <c r="B34" s="7" t="s">
        <v>70</v>
      </c>
      <c r="C34" s="7">
        <v>178856</v>
      </c>
      <c r="D34" s="8"/>
      <c r="E34" s="7" t="s">
        <v>15</v>
      </c>
      <c r="F34" s="7" t="s">
        <v>16</v>
      </c>
      <c r="G34" s="7" t="s">
        <v>12</v>
      </c>
      <c r="H34" s="9" t="s">
        <v>13</v>
      </c>
      <c r="I34" s="9" t="s">
        <v>71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2</v>
      </c>
      <c r="T34" s="9">
        <v>183</v>
      </c>
      <c r="U34" s="9">
        <v>0</v>
      </c>
      <c r="V34" s="9">
        <v>200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716</v>
      </c>
      <c r="AF34" s="10">
        <v>71600</v>
      </c>
      <c r="AG34" s="9">
        <v>0</v>
      </c>
      <c r="AH34" s="9">
        <v>0</v>
      </c>
      <c r="AI34" s="9">
        <v>0</v>
      </c>
      <c r="AJ34" s="9">
        <v>0</v>
      </c>
      <c r="AK34" s="9">
        <v>46</v>
      </c>
      <c r="AL34" s="10">
        <v>5520</v>
      </c>
      <c r="AM34" s="9">
        <v>0</v>
      </c>
      <c r="AN34" s="18">
        <v>1656</v>
      </c>
      <c r="AO34" s="9">
        <v>0</v>
      </c>
      <c r="AP34" s="9">
        <v>0</v>
      </c>
      <c r="AQ34" s="9">
        <v>0</v>
      </c>
      <c r="AR34" s="9">
        <v>11</v>
      </c>
      <c r="AS34" s="9">
        <v>0</v>
      </c>
      <c r="AT34" s="10">
        <v>1100</v>
      </c>
      <c r="AU34" s="11">
        <v>78420</v>
      </c>
      <c r="AV34" s="17">
        <f t="shared" si="0"/>
        <v>76764</v>
      </c>
      <c r="AW34" s="1">
        <f t="shared" si="1"/>
        <v>53734.799999999996</v>
      </c>
    </row>
    <row r="35" spans="1:49" ht="19.2" x14ac:dyDescent="0.4">
      <c r="A35" s="7" t="s">
        <v>131</v>
      </c>
      <c r="B35" s="7" t="s">
        <v>14</v>
      </c>
      <c r="C35" s="7">
        <v>369220</v>
      </c>
      <c r="D35" s="8"/>
      <c r="E35" s="7" t="s">
        <v>15</v>
      </c>
      <c r="F35" s="7" t="s">
        <v>16</v>
      </c>
      <c r="G35" s="7" t="s">
        <v>12</v>
      </c>
      <c r="H35" s="9" t="s">
        <v>8</v>
      </c>
      <c r="I35" s="9" t="s">
        <v>45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699</v>
      </c>
      <c r="AF35" s="10">
        <v>69900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11">
        <v>69900</v>
      </c>
      <c r="AV35" s="17">
        <f t="shared" si="0"/>
        <v>69900</v>
      </c>
      <c r="AW35" s="1">
        <f t="shared" si="1"/>
        <v>48930</v>
      </c>
    </row>
    <row r="36" spans="1:49" ht="19.2" x14ac:dyDescent="0.4">
      <c r="A36" s="7" t="s">
        <v>131</v>
      </c>
      <c r="B36" s="7" t="s">
        <v>27</v>
      </c>
      <c r="C36" s="7">
        <v>245889</v>
      </c>
      <c r="D36" s="8"/>
      <c r="E36" s="7" t="s">
        <v>15</v>
      </c>
      <c r="F36" s="7" t="s">
        <v>16</v>
      </c>
      <c r="G36" s="7" t="s">
        <v>12</v>
      </c>
      <c r="H36" s="9" t="s">
        <v>8</v>
      </c>
      <c r="I36" s="9" t="s">
        <v>28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103</v>
      </c>
      <c r="AF36" s="10">
        <v>8800</v>
      </c>
      <c r="AG36" s="10">
        <v>1500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229</v>
      </c>
      <c r="AS36" s="10">
        <v>21400</v>
      </c>
      <c r="AT36" s="10">
        <v>1500</v>
      </c>
      <c r="AU36" s="11">
        <v>33200</v>
      </c>
      <c r="AV36" s="17">
        <f t="shared" si="0"/>
        <v>33200</v>
      </c>
      <c r="AW36" s="1">
        <f t="shared" si="1"/>
        <v>23240</v>
      </c>
    </row>
    <row r="37" spans="1:49" ht="19.2" x14ac:dyDescent="0.4">
      <c r="A37" s="7" t="s">
        <v>131</v>
      </c>
      <c r="B37" s="7" t="s">
        <v>23</v>
      </c>
      <c r="C37" s="7">
        <v>321812</v>
      </c>
      <c r="D37" s="8"/>
      <c r="E37" s="7" t="s">
        <v>15</v>
      </c>
      <c r="F37" s="7" t="s">
        <v>16</v>
      </c>
      <c r="G37" s="7" t="s">
        <v>12</v>
      </c>
      <c r="H37" s="9" t="s">
        <v>8</v>
      </c>
      <c r="I37" s="9" t="s">
        <v>24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200</v>
      </c>
      <c r="AF37" s="10">
        <v>19200</v>
      </c>
      <c r="AG37" s="9">
        <v>800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117</v>
      </c>
      <c r="AS37" s="10">
        <v>11700</v>
      </c>
      <c r="AT37" s="9">
        <v>0</v>
      </c>
      <c r="AU37" s="11">
        <v>31700</v>
      </c>
      <c r="AV37" s="17">
        <f t="shared" si="0"/>
        <v>31700</v>
      </c>
      <c r="AW37" s="1">
        <f t="shared" si="1"/>
        <v>22190</v>
      </c>
    </row>
    <row r="38" spans="1:49" ht="19.2" x14ac:dyDescent="0.4">
      <c r="A38" s="7" t="s">
        <v>131</v>
      </c>
      <c r="B38" s="7" t="s">
        <v>76</v>
      </c>
      <c r="C38" s="7">
        <v>428319</v>
      </c>
      <c r="D38" s="8"/>
      <c r="E38" s="7" t="s">
        <v>15</v>
      </c>
      <c r="F38" s="7" t="s">
        <v>75</v>
      </c>
      <c r="G38" s="7" t="s">
        <v>12</v>
      </c>
      <c r="H38" s="9" t="s">
        <v>8</v>
      </c>
      <c r="I38" s="9" t="s">
        <v>46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1</v>
      </c>
      <c r="AF38" s="9">
        <v>100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289</v>
      </c>
      <c r="AS38" s="10">
        <v>28900</v>
      </c>
      <c r="AT38" s="9">
        <v>0</v>
      </c>
      <c r="AU38" s="11">
        <v>29000</v>
      </c>
      <c r="AV38" s="17">
        <f t="shared" si="0"/>
        <v>29000</v>
      </c>
      <c r="AW38" s="1">
        <f t="shared" si="1"/>
        <v>20300</v>
      </c>
    </row>
    <row r="39" spans="1:49" ht="19.2" x14ac:dyDescent="0.4">
      <c r="A39" s="7" t="s">
        <v>131</v>
      </c>
      <c r="B39" s="7" t="s">
        <v>116</v>
      </c>
      <c r="C39" s="7">
        <v>316658</v>
      </c>
      <c r="D39" s="8"/>
      <c r="E39" s="7" t="s">
        <v>15</v>
      </c>
      <c r="F39" s="7" t="s">
        <v>20</v>
      </c>
      <c r="G39" s="7" t="s">
        <v>12</v>
      </c>
      <c r="H39" s="9" t="s">
        <v>8</v>
      </c>
      <c r="I39" s="9" t="s">
        <v>117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257</v>
      </c>
      <c r="AF39" s="10">
        <v>25700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11">
        <v>25700</v>
      </c>
      <c r="AV39" s="17">
        <f t="shared" si="0"/>
        <v>25700</v>
      </c>
      <c r="AW39" s="1">
        <f t="shared" si="1"/>
        <v>17990</v>
      </c>
    </row>
    <row r="40" spans="1:49" ht="19.2" x14ac:dyDescent="0.4">
      <c r="A40" s="7" t="s">
        <v>131</v>
      </c>
      <c r="B40" s="7" t="s">
        <v>89</v>
      </c>
      <c r="C40" s="7">
        <v>370935</v>
      </c>
      <c r="D40" s="8"/>
      <c r="E40" s="7" t="s">
        <v>15</v>
      </c>
      <c r="F40" s="7" t="s">
        <v>16</v>
      </c>
      <c r="G40" s="7" t="s">
        <v>12</v>
      </c>
      <c r="H40" s="9" t="s">
        <v>8</v>
      </c>
      <c r="I40" s="9" t="s">
        <v>90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7</v>
      </c>
      <c r="AS40" s="10">
        <v>22400</v>
      </c>
      <c r="AT40" s="9">
        <v>0</v>
      </c>
      <c r="AU40" s="11">
        <v>22400</v>
      </c>
      <c r="AV40" s="17">
        <f t="shared" si="0"/>
        <v>22400</v>
      </c>
      <c r="AW40" s="1">
        <f t="shared" si="1"/>
        <v>15679.999999999998</v>
      </c>
    </row>
    <row r="41" spans="1:49" ht="19.2" x14ac:dyDescent="0.4">
      <c r="A41" s="7" t="s">
        <v>131</v>
      </c>
      <c r="B41" s="7" t="s">
        <v>17</v>
      </c>
      <c r="C41" s="7">
        <v>414278</v>
      </c>
      <c r="D41" s="8"/>
      <c r="E41" s="7" t="s">
        <v>15</v>
      </c>
      <c r="F41" s="7" t="s">
        <v>9</v>
      </c>
      <c r="G41" s="7" t="s">
        <v>12</v>
      </c>
      <c r="H41" s="9" t="s">
        <v>11</v>
      </c>
      <c r="I41" s="9" t="s">
        <v>44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7</v>
      </c>
      <c r="AF41" s="10">
        <v>22400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11">
        <v>22400</v>
      </c>
      <c r="AV41" s="17">
        <f t="shared" si="0"/>
        <v>22400</v>
      </c>
      <c r="AW41" s="1">
        <f t="shared" si="1"/>
        <v>15679.999999999998</v>
      </c>
    </row>
    <row r="42" spans="1:49" ht="19.2" x14ac:dyDescent="0.4">
      <c r="A42" s="7" t="s">
        <v>131</v>
      </c>
      <c r="B42" s="7" t="s">
        <v>59</v>
      </c>
      <c r="C42" s="7">
        <v>442274</v>
      </c>
      <c r="D42" s="8"/>
      <c r="E42" s="7" t="s">
        <v>15</v>
      </c>
      <c r="F42" s="7" t="s">
        <v>60</v>
      </c>
      <c r="G42" s="7" t="s">
        <v>12</v>
      </c>
      <c r="H42" s="9" t="s">
        <v>8</v>
      </c>
      <c r="I42" s="9" t="s">
        <v>111</v>
      </c>
      <c r="J42" s="9">
        <v>0</v>
      </c>
      <c r="K42" s="9">
        <v>16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90</v>
      </c>
      <c r="AF42" s="10">
        <v>9000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115</v>
      </c>
      <c r="AS42" s="10">
        <v>10600</v>
      </c>
      <c r="AT42" s="9">
        <v>900</v>
      </c>
      <c r="AU42" s="11">
        <v>20500</v>
      </c>
      <c r="AV42" s="17">
        <f t="shared" si="0"/>
        <v>20500</v>
      </c>
      <c r="AW42" s="1">
        <f t="shared" si="1"/>
        <v>14349.999999999998</v>
      </c>
    </row>
    <row r="43" spans="1:49" ht="19.2" x14ac:dyDescent="0.4">
      <c r="A43" s="7" t="s">
        <v>131</v>
      </c>
      <c r="B43" s="7" t="s">
        <v>119</v>
      </c>
      <c r="C43" s="7">
        <v>462353</v>
      </c>
      <c r="D43" s="8"/>
      <c r="E43" s="7" t="s">
        <v>15</v>
      </c>
      <c r="F43" s="7" t="s">
        <v>86</v>
      </c>
      <c r="G43" s="7" t="s">
        <v>12</v>
      </c>
      <c r="H43" s="9" t="s">
        <v>8</v>
      </c>
      <c r="I43" s="9" t="s">
        <v>120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167</v>
      </c>
      <c r="AF43" s="10">
        <v>16700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11">
        <v>16700</v>
      </c>
      <c r="AV43" s="17">
        <f t="shared" si="0"/>
        <v>16700</v>
      </c>
      <c r="AW43" s="1">
        <f t="shared" si="1"/>
        <v>11690</v>
      </c>
    </row>
    <row r="44" spans="1:49" ht="19.2" x14ac:dyDescent="0.4">
      <c r="A44" s="7" t="s">
        <v>131</v>
      </c>
      <c r="B44" s="7" t="s">
        <v>99</v>
      </c>
      <c r="C44" s="7">
        <v>463950</v>
      </c>
      <c r="D44" s="8"/>
      <c r="E44" s="7" t="s">
        <v>15</v>
      </c>
      <c r="F44" s="7" t="s">
        <v>100</v>
      </c>
      <c r="G44" s="7" t="s">
        <v>12</v>
      </c>
      <c r="H44" s="9" t="s">
        <v>8</v>
      </c>
      <c r="I44" s="9" t="s">
        <v>101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5</v>
      </c>
      <c r="AF44" s="10">
        <v>16000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11">
        <v>16000</v>
      </c>
      <c r="AV44" s="17">
        <f t="shared" si="0"/>
        <v>16000</v>
      </c>
      <c r="AW44" s="1">
        <f t="shared" si="1"/>
        <v>11200</v>
      </c>
    </row>
    <row r="45" spans="1:49" ht="19.2" x14ac:dyDescent="0.4">
      <c r="A45" s="7" t="s">
        <v>131</v>
      </c>
      <c r="B45" s="7" t="s">
        <v>77</v>
      </c>
      <c r="C45" s="7">
        <v>211158</v>
      </c>
      <c r="D45" s="8"/>
      <c r="E45" s="7" t="s">
        <v>15</v>
      </c>
      <c r="F45" s="7" t="s">
        <v>16</v>
      </c>
      <c r="G45" s="7" t="s">
        <v>12</v>
      </c>
      <c r="H45" s="9" t="s">
        <v>8</v>
      </c>
      <c r="I45" s="9" t="s">
        <v>78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133</v>
      </c>
      <c r="AF45" s="10">
        <v>13300</v>
      </c>
      <c r="AG45" s="9">
        <v>0</v>
      </c>
      <c r="AH45" s="9">
        <v>0</v>
      </c>
      <c r="AI45" s="9">
        <v>0</v>
      </c>
      <c r="AJ45" s="9">
        <v>0</v>
      </c>
      <c r="AK45" s="9">
        <v>2</v>
      </c>
      <c r="AL45" s="9">
        <v>0</v>
      </c>
      <c r="AM45" s="9">
        <v>200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11">
        <v>13500</v>
      </c>
      <c r="AV45" s="17">
        <f t="shared" si="0"/>
        <v>13500</v>
      </c>
      <c r="AW45" s="1">
        <f t="shared" si="1"/>
        <v>9450</v>
      </c>
    </row>
    <row r="46" spans="1:49" ht="19.2" x14ac:dyDescent="0.4">
      <c r="A46" s="7" t="s">
        <v>131</v>
      </c>
      <c r="B46" s="7" t="s">
        <v>79</v>
      </c>
      <c r="C46" s="7">
        <v>449889</v>
      </c>
      <c r="D46" s="8"/>
      <c r="E46" s="7" t="s">
        <v>15</v>
      </c>
      <c r="F46" s="7" t="s">
        <v>80</v>
      </c>
      <c r="G46" s="7" t="s">
        <v>12</v>
      </c>
      <c r="H46" s="9" t="s">
        <v>8</v>
      </c>
      <c r="I46" s="9" t="s">
        <v>98</v>
      </c>
      <c r="J46" s="9">
        <v>0</v>
      </c>
      <c r="K46" s="9">
        <v>60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54</v>
      </c>
      <c r="AF46" s="10">
        <v>4700</v>
      </c>
      <c r="AG46" s="9">
        <v>700</v>
      </c>
      <c r="AH46" s="9">
        <v>0</v>
      </c>
      <c r="AI46" s="9">
        <v>0</v>
      </c>
      <c r="AJ46" s="9">
        <v>0</v>
      </c>
      <c r="AK46" s="9">
        <v>20</v>
      </c>
      <c r="AL46" s="10">
        <v>1920</v>
      </c>
      <c r="AM46" s="9">
        <v>400</v>
      </c>
      <c r="AN46" s="9">
        <v>576</v>
      </c>
      <c r="AO46" s="9">
        <v>0</v>
      </c>
      <c r="AP46" s="9">
        <v>0</v>
      </c>
      <c r="AQ46" s="9">
        <v>0</v>
      </c>
      <c r="AR46" s="9">
        <v>47</v>
      </c>
      <c r="AS46" s="10">
        <v>3800</v>
      </c>
      <c r="AT46" s="9">
        <v>900</v>
      </c>
      <c r="AU46" s="11">
        <v>12420</v>
      </c>
      <c r="AV46" s="17">
        <f t="shared" si="0"/>
        <v>11844</v>
      </c>
      <c r="AW46" s="1">
        <f t="shared" si="1"/>
        <v>8290.7999999999993</v>
      </c>
    </row>
    <row r="47" spans="1:49" ht="19.2" x14ac:dyDescent="0.4">
      <c r="A47" s="7" t="s">
        <v>131</v>
      </c>
      <c r="B47" s="7" t="s">
        <v>51</v>
      </c>
      <c r="C47" s="7">
        <v>434558</v>
      </c>
      <c r="D47" s="8"/>
      <c r="E47" s="7" t="s">
        <v>15</v>
      </c>
      <c r="F47" s="7" t="s">
        <v>52</v>
      </c>
      <c r="G47" s="7" t="s">
        <v>12</v>
      </c>
      <c r="H47" s="9" t="s">
        <v>8</v>
      </c>
      <c r="I47" s="9" t="s">
        <v>72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104</v>
      </c>
      <c r="AF47" s="10">
        <v>10400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5</v>
      </c>
      <c r="AS47" s="9">
        <v>500</v>
      </c>
      <c r="AT47" s="9">
        <v>0</v>
      </c>
      <c r="AU47" s="11">
        <v>10900</v>
      </c>
      <c r="AV47" s="17">
        <f t="shared" si="0"/>
        <v>10900</v>
      </c>
      <c r="AW47" s="1">
        <f t="shared" si="1"/>
        <v>7629.9999999999991</v>
      </c>
    </row>
    <row r="48" spans="1:49" ht="19.2" x14ac:dyDescent="0.4">
      <c r="A48" s="7" t="s">
        <v>131</v>
      </c>
      <c r="B48" s="7" t="s">
        <v>106</v>
      </c>
      <c r="C48" s="7">
        <v>463944</v>
      </c>
      <c r="D48" s="8"/>
      <c r="E48" s="7" t="s">
        <v>15</v>
      </c>
      <c r="F48" s="7" t="s">
        <v>107</v>
      </c>
      <c r="G48" s="7" t="s">
        <v>12</v>
      </c>
      <c r="H48" s="9" t="s">
        <v>13</v>
      </c>
      <c r="I48" s="9" t="s">
        <v>108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28</v>
      </c>
      <c r="AF48" s="10">
        <v>2800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79</v>
      </c>
      <c r="AS48" s="10">
        <v>7000</v>
      </c>
      <c r="AT48" s="9">
        <v>900</v>
      </c>
      <c r="AU48" s="11">
        <v>10700</v>
      </c>
      <c r="AV48" s="17">
        <f t="shared" si="0"/>
        <v>10700</v>
      </c>
      <c r="AW48" s="1">
        <f t="shared" si="1"/>
        <v>7489.9999999999991</v>
      </c>
    </row>
    <row r="49" spans="1:49" ht="19.2" x14ac:dyDescent="0.4">
      <c r="A49" s="7" t="s">
        <v>131</v>
      </c>
      <c r="B49" s="7" t="s">
        <v>61</v>
      </c>
      <c r="C49" s="7">
        <v>379813</v>
      </c>
      <c r="D49" s="8"/>
      <c r="E49" s="7" t="s">
        <v>15</v>
      </c>
      <c r="F49" s="7" t="s">
        <v>16</v>
      </c>
      <c r="G49" s="7" t="s">
        <v>12</v>
      </c>
      <c r="H49" s="9" t="s">
        <v>8</v>
      </c>
      <c r="I49" s="9" t="s">
        <v>62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102</v>
      </c>
      <c r="AF49" s="10">
        <v>9900</v>
      </c>
      <c r="AG49" s="9">
        <v>300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  <c r="AU49" s="11">
        <v>10200</v>
      </c>
      <c r="AV49" s="17">
        <f t="shared" si="0"/>
        <v>10200</v>
      </c>
      <c r="AW49" s="1">
        <f t="shared" si="1"/>
        <v>7140</v>
      </c>
    </row>
    <row r="50" spans="1:49" ht="19.2" x14ac:dyDescent="0.4">
      <c r="A50" s="7" t="s">
        <v>131</v>
      </c>
      <c r="B50" s="7" t="s">
        <v>121</v>
      </c>
      <c r="C50" s="7">
        <v>462361</v>
      </c>
      <c r="D50" s="8"/>
      <c r="E50" s="7" t="s">
        <v>15</v>
      </c>
      <c r="F50" s="7" t="s">
        <v>86</v>
      </c>
      <c r="G50" s="7" t="s">
        <v>12</v>
      </c>
      <c r="H50" s="9" t="s">
        <v>8</v>
      </c>
      <c r="I50" s="9" t="s">
        <v>122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3</v>
      </c>
      <c r="AS50" s="10">
        <v>9600</v>
      </c>
      <c r="AT50" s="9">
        <v>0</v>
      </c>
      <c r="AU50" s="11">
        <v>9600</v>
      </c>
      <c r="AV50" s="17">
        <f t="shared" si="0"/>
        <v>9600</v>
      </c>
      <c r="AW50" s="1">
        <f t="shared" si="1"/>
        <v>6720</v>
      </c>
    </row>
    <row r="51" spans="1:49" ht="19.2" x14ac:dyDescent="0.4">
      <c r="A51" s="7" t="s">
        <v>131</v>
      </c>
      <c r="B51" s="7" t="s">
        <v>104</v>
      </c>
      <c r="C51" s="7">
        <v>290890</v>
      </c>
      <c r="D51" s="8"/>
      <c r="E51" s="7" t="s">
        <v>15</v>
      </c>
      <c r="F51" s="7" t="s">
        <v>16</v>
      </c>
      <c r="G51" s="7" t="s">
        <v>12</v>
      </c>
      <c r="H51" s="9" t="s">
        <v>8</v>
      </c>
      <c r="I51" s="9" t="s">
        <v>105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6</v>
      </c>
      <c r="AC51" s="10">
        <v>5400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>
        <v>1</v>
      </c>
      <c r="AS51" s="10">
        <v>1200</v>
      </c>
      <c r="AT51" s="10">
        <v>2000</v>
      </c>
      <c r="AU51" s="11">
        <v>8600</v>
      </c>
      <c r="AV51" s="17">
        <f t="shared" ref="AV51:AV55" si="2">AU51-AN51</f>
        <v>8600</v>
      </c>
      <c r="AW51" s="1">
        <f t="shared" ref="AW51:AW55" si="3">AV51*70%</f>
        <v>6020</v>
      </c>
    </row>
    <row r="52" spans="1:49" ht="19.2" x14ac:dyDescent="0.4">
      <c r="A52" s="7" t="s">
        <v>131</v>
      </c>
      <c r="B52" s="7" t="s">
        <v>114</v>
      </c>
      <c r="C52" s="7">
        <v>251205</v>
      </c>
      <c r="D52" s="8"/>
      <c r="E52" s="7" t="s">
        <v>15</v>
      </c>
      <c r="F52" s="7" t="s">
        <v>20</v>
      </c>
      <c r="G52" s="7" t="s">
        <v>12</v>
      </c>
      <c r="H52" s="9" t="s">
        <v>8</v>
      </c>
      <c r="I52" s="9" t="s">
        <v>115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81</v>
      </c>
      <c r="AF52" s="10">
        <v>8100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11">
        <v>8100</v>
      </c>
      <c r="AV52" s="17">
        <f t="shared" si="2"/>
        <v>8100</v>
      </c>
      <c r="AW52" s="1">
        <f t="shared" si="3"/>
        <v>5670</v>
      </c>
    </row>
    <row r="53" spans="1:49" ht="28.8" x14ac:dyDescent="0.4">
      <c r="A53" s="7" t="s">
        <v>131</v>
      </c>
      <c r="B53" s="7" t="s">
        <v>53</v>
      </c>
      <c r="C53" s="7">
        <v>219203</v>
      </c>
      <c r="D53" s="8"/>
      <c r="E53" s="7" t="s">
        <v>15</v>
      </c>
      <c r="F53" s="7" t="s">
        <v>54</v>
      </c>
      <c r="G53" s="7" t="s">
        <v>12</v>
      </c>
      <c r="H53" s="9" t="s">
        <v>8</v>
      </c>
      <c r="I53" s="9" t="s">
        <v>55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18</v>
      </c>
      <c r="AC53" s="10">
        <v>1800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59</v>
      </c>
      <c r="AP53" s="10">
        <v>5900</v>
      </c>
      <c r="AQ53" s="9">
        <v>0</v>
      </c>
      <c r="AR53" s="9">
        <v>0</v>
      </c>
      <c r="AS53" s="9">
        <v>0</v>
      </c>
      <c r="AT53" s="9">
        <v>0</v>
      </c>
      <c r="AU53" s="11">
        <v>7700</v>
      </c>
      <c r="AV53" s="17">
        <f t="shared" si="2"/>
        <v>7700</v>
      </c>
      <c r="AW53" s="1">
        <f t="shared" si="3"/>
        <v>5390</v>
      </c>
    </row>
    <row r="54" spans="1:49" ht="19.2" x14ac:dyDescent="0.4">
      <c r="A54" s="7" t="s">
        <v>131</v>
      </c>
      <c r="B54" s="7" t="s">
        <v>25</v>
      </c>
      <c r="C54" s="7">
        <v>364724</v>
      </c>
      <c r="D54" s="8"/>
      <c r="E54" s="7" t="s">
        <v>15</v>
      </c>
      <c r="F54" s="7" t="s">
        <v>22</v>
      </c>
      <c r="G54" s="7" t="s">
        <v>12</v>
      </c>
      <c r="H54" s="9" t="s">
        <v>8</v>
      </c>
      <c r="I54" s="9" t="s">
        <v>26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68</v>
      </c>
      <c r="AF54" s="10">
        <v>6800</v>
      </c>
      <c r="AG54" s="9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9">
        <v>0</v>
      </c>
      <c r="AQ54" s="9">
        <v>0</v>
      </c>
      <c r="AR54" s="9">
        <v>0</v>
      </c>
      <c r="AS54" s="9">
        <v>0</v>
      </c>
      <c r="AT54" s="9">
        <v>0</v>
      </c>
      <c r="AU54" s="11">
        <v>6800</v>
      </c>
      <c r="AV54" s="17">
        <f t="shared" si="2"/>
        <v>6800</v>
      </c>
      <c r="AW54" s="1">
        <f t="shared" si="3"/>
        <v>4760</v>
      </c>
    </row>
    <row r="55" spans="1:49" ht="19.2" x14ac:dyDescent="0.4">
      <c r="A55" s="7" t="s">
        <v>131</v>
      </c>
      <c r="B55" s="7" t="s">
        <v>102</v>
      </c>
      <c r="C55" s="7">
        <v>391329</v>
      </c>
      <c r="D55" s="8"/>
      <c r="E55" s="7" t="s">
        <v>15</v>
      </c>
      <c r="F55" s="7" t="s">
        <v>20</v>
      </c>
      <c r="G55" s="7" t="s">
        <v>12</v>
      </c>
      <c r="H55" s="9" t="s">
        <v>8</v>
      </c>
      <c r="I55" s="9" t="s">
        <v>103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2</v>
      </c>
      <c r="AF55" s="10">
        <v>6400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0</v>
      </c>
      <c r="AU55" s="11">
        <v>6400</v>
      </c>
      <c r="AV55" s="17">
        <f t="shared" si="2"/>
        <v>6400</v>
      </c>
      <c r="AW55" s="1">
        <f t="shared" si="3"/>
        <v>4480</v>
      </c>
    </row>
    <row r="56" spans="1:49" ht="19.2" x14ac:dyDescent="0.4">
      <c r="A56" s="7" t="s">
        <v>131</v>
      </c>
      <c r="B56" s="7" t="s">
        <v>65</v>
      </c>
      <c r="C56" s="7">
        <v>429621</v>
      </c>
      <c r="D56" s="8"/>
      <c r="E56" s="7" t="s">
        <v>15</v>
      </c>
      <c r="F56" s="7" t="s">
        <v>66</v>
      </c>
      <c r="G56" s="7" t="s">
        <v>12</v>
      </c>
      <c r="H56" s="9" t="s">
        <v>11</v>
      </c>
      <c r="I56" s="9" t="s">
        <v>67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55</v>
      </c>
      <c r="AF56" s="10">
        <v>5500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11">
        <v>5500</v>
      </c>
      <c r="AV56" s="17">
        <f t="shared" ref="AV56:AV72" si="4">AU56-AN56</f>
        <v>5500</v>
      </c>
      <c r="AW56" s="1">
        <f t="shared" ref="AW56:AW72" si="5">AV56*70%</f>
        <v>3849.9999999999995</v>
      </c>
    </row>
    <row r="57" spans="1:49" ht="19.2" x14ac:dyDescent="0.4">
      <c r="A57" s="7" t="s">
        <v>131</v>
      </c>
      <c r="B57" s="7" t="s">
        <v>19</v>
      </c>
      <c r="C57" s="7">
        <v>387417</v>
      </c>
      <c r="D57" s="8"/>
      <c r="E57" s="7" t="s">
        <v>15</v>
      </c>
      <c r="F57" s="7" t="s">
        <v>20</v>
      </c>
      <c r="G57" s="7" t="s">
        <v>12</v>
      </c>
      <c r="H57" s="9" t="s">
        <v>8</v>
      </c>
      <c r="I57" s="9" t="s">
        <v>21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49</v>
      </c>
      <c r="AF57" s="10">
        <v>4600</v>
      </c>
      <c r="AG57" s="9">
        <v>300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0</v>
      </c>
      <c r="AU57" s="11">
        <v>4900</v>
      </c>
      <c r="AV57" s="17">
        <f t="shared" si="4"/>
        <v>4900</v>
      </c>
      <c r="AW57" s="1">
        <f t="shared" si="5"/>
        <v>3430</v>
      </c>
    </row>
    <row r="58" spans="1:49" ht="19.2" x14ac:dyDescent="0.4">
      <c r="A58" s="7" t="s">
        <v>131</v>
      </c>
      <c r="B58" s="7" t="s">
        <v>112</v>
      </c>
      <c r="C58" s="7">
        <v>463949</v>
      </c>
      <c r="D58" s="8"/>
      <c r="E58" s="7" t="s">
        <v>15</v>
      </c>
      <c r="F58" s="7" t="s">
        <v>113</v>
      </c>
      <c r="G58" s="7" t="s">
        <v>12</v>
      </c>
      <c r="H58" s="9" t="s">
        <v>8</v>
      </c>
      <c r="I58" s="9" t="s">
        <v>101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45</v>
      </c>
      <c r="AF58" s="10">
        <v>3900</v>
      </c>
      <c r="AG58" s="9">
        <v>600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  <c r="AU58" s="11">
        <v>4500</v>
      </c>
      <c r="AV58" s="17">
        <f t="shared" si="4"/>
        <v>4500</v>
      </c>
      <c r="AW58" s="1">
        <f t="shared" si="5"/>
        <v>3150</v>
      </c>
    </row>
    <row r="59" spans="1:49" ht="19.2" x14ac:dyDescent="0.4">
      <c r="A59" s="7" t="s">
        <v>131</v>
      </c>
      <c r="B59" s="7" t="s">
        <v>57</v>
      </c>
      <c r="C59" s="7">
        <v>371774</v>
      </c>
      <c r="D59" s="8"/>
      <c r="E59" s="7" t="s">
        <v>15</v>
      </c>
      <c r="F59" s="7" t="s">
        <v>50</v>
      </c>
      <c r="G59" s="7" t="s">
        <v>12</v>
      </c>
      <c r="H59" s="9" t="s">
        <v>8</v>
      </c>
      <c r="I59" s="9" t="s">
        <v>58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35</v>
      </c>
      <c r="AF59" s="10">
        <v>3500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11">
        <v>3500</v>
      </c>
      <c r="AV59" s="17">
        <f t="shared" si="4"/>
        <v>3500</v>
      </c>
      <c r="AW59" s="1">
        <f t="shared" si="5"/>
        <v>2450</v>
      </c>
    </row>
    <row r="60" spans="1:49" ht="19.2" x14ac:dyDescent="0.4">
      <c r="A60" s="7" t="s">
        <v>131</v>
      </c>
      <c r="B60" s="7" t="s">
        <v>123</v>
      </c>
      <c r="C60" s="7">
        <v>134596</v>
      </c>
      <c r="D60" s="8" t="s">
        <v>124</v>
      </c>
      <c r="E60" s="7" t="s">
        <v>15</v>
      </c>
      <c r="F60" s="7" t="s">
        <v>16</v>
      </c>
      <c r="G60" s="7" t="s">
        <v>12</v>
      </c>
      <c r="H60" s="9" t="s">
        <v>8</v>
      </c>
      <c r="I60" s="9" t="s">
        <v>125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1</v>
      </c>
      <c r="AS60" s="10">
        <v>3200</v>
      </c>
      <c r="AT60" s="9">
        <v>0</v>
      </c>
      <c r="AU60" s="11">
        <v>3200</v>
      </c>
      <c r="AV60" s="17">
        <f t="shared" si="4"/>
        <v>3200</v>
      </c>
      <c r="AW60" s="1">
        <f t="shared" si="5"/>
        <v>2240</v>
      </c>
    </row>
    <row r="61" spans="1:49" ht="19.2" x14ac:dyDescent="0.4">
      <c r="A61" s="7" t="s">
        <v>131</v>
      </c>
      <c r="B61" s="7" t="s">
        <v>126</v>
      </c>
      <c r="C61" s="7">
        <v>387942</v>
      </c>
      <c r="D61" s="8"/>
      <c r="E61" s="7" t="s">
        <v>15</v>
      </c>
      <c r="F61" s="7" t="s">
        <v>18</v>
      </c>
      <c r="G61" s="7" t="s">
        <v>12</v>
      </c>
      <c r="H61" s="9" t="s">
        <v>8</v>
      </c>
      <c r="I61" s="9" t="s">
        <v>127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31</v>
      </c>
      <c r="AF61" s="10">
        <v>3100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9">
        <v>1</v>
      </c>
      <c r="AS61" s="9">
        <v>100</v>
      </c>
      <c r="AT61" s="9">
        <v>0</v>
      </c>
      <c r="AU61" s="11">
        <v>3200</v>
      </c>
      <c r="AV61" s="17">
        <f t="shared" si="4"/>
        <v>3200</v>
      </c>
      <c r="AW61" s="1">
        <f t="shared" si="5"/>
        <v>2240</v>
      </c>
    </row>
    <row r="62" spans="1:49" ht="19.2" x14ac:dyDescent="0.4">
      <c r="A62" s="7" t="s">
        <v>131</v>
      </c>
      <c r="B62" s="7" t="s">
        <v>92</v>
      </c>
      <c r="C62" s="7">
        <v>408593</v>
      </c>
      <c r="D62" s="8"/>
      <c r="E62" s="7" t="s">
        <v>15</v>
      </c>
      <c r="F62" s="7" t="s">
        <v>18</v>
      </c>
      <c r="G62" s="7" t="s">
        <v>12</v>
      </c>
      <c r="H62" s="9" t="s">
        <v>8</v>
      </c>
      <c r="I62" s="9" t="s">
        <v>93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9">
        <v>0</v>
      </c>
      <c r="AQ62" s="9">
        <v>0</v>
      </c>
      <c r="AR62" s="9">
        <v>1</v>
      </c>
      <c r="AS62" s="10">
        <v>3200</v>
      </c>
      <c r="AT62" s="9">
        <v>0</v>
      </c>
      <c r="AU62" s="11">
        <v>3200</v>
      </c>
      <c r="AV62" s="17">
        <f t="shared" si="4"/>
        <v>3200</v>
      </c>
      <c r="AW62" s="1">
        <f t="shared" si="5"/>
        <v>2240</v>
      </c>
    </row>
    <row r="63" spans="1:49" ht="19.2" x14ac:dyDescent="0.4">
      <c r="A63" s="7" t="s">
        <v>131</v>
      </c>
      <c r="B63" s="7" t="s">
        <v>97</v>
      </c>
      <c r="C63" s="7">
        <v>408579</v>
      </c>
      <c r="D63" s="8"/>
      <c r="E63" s="7" t="s">
        <v>15</v>
      </c>
      <c r="F63" s="7" t="s">
        <v>16</v>
      </c>
      <c r="G63" s="7" t="s">
        <v>12</v>
      </c>
      <c r="H63" s="9" t="s">
        <v>8</v>
      </c>
      <c r="I63" s="9" t="s">
        <v>93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1</v>
      </c>
      <c r="AF63" s="10">
        <v>3200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11">
        <v>3200</v>
      </c>
      <c r="AV63" s="17">
        <f t="shared" si="4"/>
        <v>3200</v>
      </c>
      <c r="AW63" s="1">
        <f t="shared" si="5"/>
        <v>2240</v>
      </c>
    </row>
    <row r="64" spans="1:49" ht="19.2" x14ac:dyDescent="0.4">
      <c r="A64" s="7" t="s">
        <v>131</v>
      </c>
      <c r="B64" s="7" t="s">
        <v>48</v>
      </c>
      <c r="C64" s="7">
        <v>425414</v>
      </c>
      <c r="D64" s="8"/>
      <c r="E64" s="7" t="s">
        <v>15</v>
      </c>
      <c r="F64" s="7" t="s">
        <v>49</v>
      </c>
      <c r="G64" s="7" t="s">
        <v>12</v>
      </c>
      <c r="H64" s="9" t="s">
        <v>8</v>
      </c>
      <c r="I64" s="9" t="s">
        <v>56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30</v>
      </c>
      <c r="AF64" s="10">
        <v>3000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9">
        <v>0</v>
      </c>
      <c r="AQ64" s="9">
        <v>0</v>
      </c>
      <c r="AR64" s="9">
        <v>0</v>
      </c>
      <c r="AS64" s="9">
        <v>0</v>
      </c>
      <c r="AT64" s="9">
        <v>0</v>
      </c>
      <c r="AU64" s="11">
        <v>3000</v>
      </c>
      <c r="AV64" s="17">
        <f t="shared" si="4"/>
        <v>3000</v>
      </c>
      <c r="AW64" s="1">
        <f t="shared" si="5"/>
        <v>2100</v>
      </c>
    </row>
    <row r="65" spans="1:49" ht="19.2" x14ac:dyDescent="0.4">
      <c r="A65" s="7" t="s">
        <v>131</v>
      </c>
      <c r="B65" s="7" t="s">
        <v>128</v>
      </c>
      <c r="C65" s="7">
        <v>406849</v>
      </c>
      <c r="D65" s="8"/>
      <c r="E65" s="7" t="s">
        <v>15</v>
      </c>
      <c r="F65" s="7" t="s">
        <v>129</v>
      </c>
      <c r="G65" s="7" t="s">
        <v>12</v>
      </c>
      <c r="H65" s="9" t="s">
        <v>8</v>
      </c>
      <c r="I65" s="9" t="s">
        <v>130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</v>
      </c>
      <c r="AR65" s="9">
        <v>28</v>
      </c>
      <c r="AS65" s="10">
        <v>2400</v>
      </c>
      <c r="AT65" s="9">
        <v>400</v>
      </c>
      <c r="AU65" s="11">
        <v>2800</v>
      </c>
      <c r="AV65" s="17">
        <f t="shared" si="4"/>
        <v>2800</v>
      </c>
      <c r="AW65" s="1">
        <f t="shared" si="5"/>
        <v>1959.9999999999998</v>
      </c>
    </row>
    <row r="66" spans="1:49" ht="19.2" x14ac:dyDescent="0.4">
      <c r="A66" s="7" t="s">
        <v>131</v>
      </c>
      <c r="B66" s="7" t="s">
        <v>94</v>
      </c>
      <c r="C66" s="7">
        <v>429534</v>
      </c>
      <c r="D66" s="8"/>
      <c r="E66" s="7" t="s">
        <v>15</v>
      </c>
      <c r="F66" s="7" t="s">
        <v>47</v>
      </c>
      <c r="G66" s="7" t="s">
        <v>12</v>
      </c>
      <c r="H66" s="9" t="s">
        <v>8</v>
      </c>
      <c r="I66" s="9" t="s">
        <v>95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1</v>
      </c>
      <c r="AF66" s="10">
        <v>2800</v>
      </c>
      <c r="AG66" s="9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9">
        <v>0</v>
      </c>
      <c r="AO66" s="9">
        <v>0</v>
      </c>
      <c r="AP66" s="9">
        <v>0</v>
      </c>
      <c r="AQ66" s="9">
        <v>0</v>
      </c>
      <c r="AR66" s="9">
        <v>0</v>
      </c>
      <c r="AS66" s="9">
        <v>0</v>
      </c>
      <c r="AT66" s="9">
        <v>0</v>
      </c>
      <c r="AU66" s="11">
        <v>2800</v>
      </c>
      <c r="AV66" s="17">
        <f t="shared" si="4"/>
        <v>2800</v>
      </c>
      <c r="AW66" s="1">
        <f t="shared" si="5"/>
        <v>1959.9999999999998</v>
      </c>
    </row>
    <row r="67" spans="1:49" ht="19.2" x14ac:dyDescent="0.4">
      <c r="A67" s="7" t="s">
        <v>131</v>
      </c>
      <c r="B67" s="7" t="s">
        <v>109</v>
      </c>
      <c r="C67" s="7">
        <v>463946</v>
      </c>
      <c r="D67" s="8"/>
      <c r="E67" s="7" t="s">
        <v>15</v>
      </c>
      <c r="F67" s="7" t="s">
        <v>110</v>
      </c>
      <c r="G67" s="7" t="s">
        <v>12</v>
      </c>
      <c r="H67" s="9" t="s">
        <v>8</v>
      </c>
      <c r="I67" s="9" t="s">
        <v>101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22</v>
      </c>
      <c r="AF67" s="10">
        <v>2200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</v>
      </c>
      <c r="AR67" s="9">
        <v>2</v>
      </c>
      <c r="AS67" s="9">
        <v>200</v>
      </c>
      <c r="AT67" s="9">
        <v>0</v>
      </c>
      <c r="AU67" s="11">
        <v>2400</v>
      </c>
      <c r="AV67" s="17">
        <f t="shared" si="4"/>
        <v>2400</v>
      </c>
      <c r="AW67" s="1">
        <f t="shared" si="5"/>
        <v>1680</v>
      </c>
    </row>
    <row r="68" spans="1:49" ht="19.2" x14ac:dyDescent="0.4">
      <c r="A68" s="7" t="s">
        <v>131</v>
      </c>
      <c r="B68" s="7" t="s">
        <v>83</v>
      </c>
      <c r="C68" s="7">
        <v>429496</v>
      </c>
      <c r="D68" s="8"/>
      <c r="E68" s="7" t="s">
        <v>15</v>
      </c>
      <c r="F68" s="7" t="s">
        <v>47</v>
      </c>
      <c r="G68" s="7" t="s">
        <v>12</v>
      </c>
      <c r="H68" s="9" t="s">
        <v>8</v>
      </c>
      <c r="I68" s="9" t="s">
        <v>84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0</v>
      </c>
      <c r="AO68" s="9">
        <v>0</v>
      </c>
      <c r="AP68" s="9">
        <v>0</v>
      </c>
      <c r="AQ68" s="9">
        <v>0</v>
      </c>
      <c r="AR68" s="9">
        <v>23</v>
      </c>
      <c r="AS68" s="10">
        <v>2100</v>
      </c>
      <c r="AT68" s="9">
        <v>200</v>
      </c>
      <c r="AU68" s="11">
        <v>2300</v>
      </c>
      <c r="AV68" s="17">
        <f t="shared" si="4"/>
        <v>2300</v>
      </c>
      <c r="AW68" s="1">
        <f t="shared" si="5"/>
        <v>1610</v>
      </c>
    </row>
    <row r="69" spans="1:49" ht="19.2" x14ac:dyDescent="0.4">
      <c r="A69" s="7" t="s">
        <v>131</v>
      </c>
      <c r="B69" s="7" t="s">
        <v>73</v>
      </c>
      <c r="C69" s="7">
        <v>407733</v>
      </c>
      <c r="D69" s="8"/>
      <c r="E69" s="7" t="s">
        <v>15</v>
      </c>
      <c r="F69" s="7" t="s">
        <v>16</v>
      </c>
      <c r="G69" s="7" t="s">
        <v>12</v>
      </c>
      <c r="H69" s="9" t="s">
        <v>8</v>
      </c>
      <c r="I69" s="9" t="s">
        <v>74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13</v>
      </c>
      <c r="AF69" s="10">
        <v>1300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0</v>
      </c>
      <c r="AT69" s="9">
        <v>0</v>
      </c>
      <c r="AU69" s="11">
        <v>1300</v>
      </c>
      <c r="AV69" s="17">
        <f t="shared" si="4"/>
        <v>1300</v>
      </c>
      <c r="AW69" s="1">
        <f t="shared" si="5"/>
        <v>909.99999999999989</v>
      </c>
    </row>
    <row r="70" spans="1:49" ht="19.2" x14ac:dyDescent="0.4">
      <c r="A70" s="7" t="s">
        <v>131</v>
      </c>
      <c r="B70" s="7" t="s">
        <v>88</v>
      </c>
      <c r="C70" s="7">
        <v>458561</v>
      </c>
      <c r="D70" s="8"/>
      <c r="E70" s="7" t="s">
        <v>15</v>
      </c>
      <c r="F70" s="7" t="s">
        <v>16</v>
      </c>
      <c r="G70" s="7" t="s">
        <v>12</v>
      </c>
      <c r="H70" s="9" t="s">
        <v>8</v>
      </c>
      <c r="I70" s="9" t="s">
        <v>87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2</v>
      </c>
      <c r="AF70" s="9">
        <v>200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0</v>
      </c>
      <c r="AT70" s="9">
        <v>0</v>
      </c>
      <c r="AU70" s="12">
        <v>200</v>
      </c>
      <c r="AV70" s="17">
        <f t="shared" si="4"/>
        <v>200</v>
      </c>
      <c r="AW70" s="1">
        <f t="shared" si="5"/>
        <v>140</v>
      </c>
    </row>
    <row r="71" spans="1:49" ht="19.2" x14ac:dyDescent="0.4">
      <c r="A71" s="7" t="s">
        <v>131</v>
      </c>
      <c r="B71" s="7" t="s">
        <v>81</v>
      </c>
      <c r="C71" s="7">
        <v>423328</v>
      </c>
      <c r="D71" s="8"/>
      <c r="E71" s="7" t="s">
        <v>15</v>
      </c>
      <c r="F71" s="7" t="s">
        <v>16</v>
      </c>
      <c r="G71" s="7" t="s">
        <v>12</v>
      </c>
      <c r="H71" s="9" t="s">
        <v>8</v>
      </c>
      <c r="I71" s="9" t="s">
        <v>82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1</v>
      </c>
      <c r="AF71" s="9">
        <v>100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</v>
      </c>
      <c r="AR71" s="9">
        <v>0</v>
      </c>
      <c r="AS71" s="9">
        <v>0</v>
      </c>
      <c r="AT71" s="9">
        <v>0</v>
      </c>
      <c r="AU71" s="12">
        <v>100</v>
      </c>
      <c r="AV71" s="17">
        <f t="shared" si="4"/>
        <v>100</v>
      </c>
      <c r="AW71" s="1">
        <f t="shared" si="5"/>
        <v>70</v>
      </c>
    </row>
    <row r="72" spans="1:49" ht="19.2" x14ac:dyDescent="0.4">
      <c r="A72" s="7" t="s">
        <v>132</v>
      </c>
      <c r="B72" s="7" t="s">
        <v>17</v>
      </c>
      <c r="C72" s="7">
        <v>414278</v>
      </c>
      <c r="D72" s="8"/>
      <c r="E72" s="7" t="s">
        <v>15</v>
      </c>
      <c r="F72" s="7" t="s">
        <v>9</v>
      </c>
      <c r="G72" s="7" t="s">
        <v>12</v>
      </c>
      <c r="H72" s="9" t="s">
        <v>11</v>
      </c>
      <c r="I72" s="9" t="s">
        <v>44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1</v>
      </c>
      <c r="AF72" s="10">
        <v>3200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9">
        <v>0</v>
      </c>
      <c r="AQ72" s="9">
        <v>0</v>
      </c>
      <c r="AR72" s="9">
        <v>0</v>
      </c>
      <c r="AS72" s="9">
        <v>0</v>
      </c>
      <c r="AT72" s="9">
        <v>0</v>
      </c>
      <c r="AU72" s="11">
        <v>3200</v>
      </c>
      <c r="AV72" s="17">
        <f t="shared" si="4"/>
        <v>3200</v>
      </c>
      <c r="AW72" s="1">
        <f t="shared" si="5"/>
        <v>2240</v>
      </c>
    </row>
    <row r="73" spans="1:49" ht="19.2" x14ac:dyDescent="0.4">
      <c r="A73" s="7" t="s">
        <v>132</v>
      </c>
      <c r="B73" s="7" t="s">
        <v>68</v>
      </c>
      <c r="C73" s="7">
        <v>324335</v>
      </c>
      <c r="D73" s="8"/>
      <c r="E73" s="7" t="s">
        <v>15</v>
      </c>
      <c r="F73" s="7" t="s">
        <v>16</v>
      </c>
      <c r="G73" s="7" t="s">
        <v>12</v>
      </c>
      <c r="H73" s="9" t="s">
        <v>13</v>
      </c>
      <c r="I73" s="9" t="s">
        <v>69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1</v>
      </c>
      <c r="AF73" s="10">
        <v>3200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S73" s="9">
        <v>0</v>
      </c>
      <c r="AT73" s="9">
        <v>0</v>
      </c>
      <c r="AU73" s="11">
        <v>3200</v>
      </c>
      <c r="AV73" s="17">
        <f t="shared" ref="AV73:AV74" si="6">AU73-AN73</f>
        <v>3200</v>
      </c>
      <c r="AW73" s="1">
        <f t="shared" ref="AW73:AW74" si="7">AV73*70%</f>
        <v>2240</v>
      </c>
    </row>
    <row r="74" spans="1:49" ht="19.2" x14ac:dyDescent="0.4">
      <c r="A74" s="7" t="s">
        <v>132</v>
      </c>
      <c r="B74" s="7" t="s">
        <v>94</v>
      </c>
      <c r="C74" s="7">
        <v>429534</v>
      </c>
      <c r="D74" s="8"/>
      <c r="E74" s="7" t="s">
        <v>15</v>
      </c>
      <c r="F74" s="7" t="s">
        <v>47</v>
      </c>
      <c r="G74" s="7" t="s">
        <v>12</v>
      </c>
      <c r="H74" s="9" t="s">
        <v>8</v>
      </c>
      <c r="I74" s="9" t="s">
        <v>95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1</v>
      </c>
      <c r="AF74" s="10">
        <v>2800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9">
        <v>0</v>
      </c>
      <c r="AQ74" s="9">
        <v>0</v>
      </c>
      <c r="AR74" s="9">
        <v>0</v>
      </c>
      <c r="AS74" s="9">
        <v>0</v>
      </c>
      <c r="AT74" s="9">
        <v>0</v>
      </c>
      <c r="AU74" s="11">
        <v>2800</v>
      </c>
      <c r="AV74" s="17">
        <f t="shared" si="6"/>
        <v>2800</v>
      </c>
      <c r="AW74" s="1">
        <f t="shared" si="7"/>
        <v>1959.9999999999998</v>
      </c>
    </row>
    <row r="75" spans="1:49" ht="19.2" x14ac:dyDescent="0.4">
      <c r="A75" s="7" t="s">
        <v>132</v>
      </c>
      <c r="B75" s="7" t="s">
        <v>85</v>
      </c>
      <c r="C75" s="7">
        <v>454534</v>
      </c>
      <c r="D75" s="8"/>
      <c r="E75" s="7" t="s">
        <v>15</v>
      </c>
      <c r="F75" s="7" t="s">
        <v>86</v>
      </c>
      <c r="G75" s="7" t="s">
        <v>12</v>
      </c>
      <c r="H75" s="9" t="s">
        <v>8</v>
      </c>
      <c r="I75" s="9" t="s">
        <v>96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19</v>
      </c>
      <c r="AF75" s="10">
        <v>1800</v>
      </c>
      <c r="AG75" s="9">
        <v>100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  <c r="AU75" s="11">
        <v>1900</v>
      </c>
      <c r="AV75" s="17">
        <f t="shared" ref="AV75:AV78" si="8">AU75-AN75</f>
        <v>1900</v>
      </c>
      <c r="AW75" s="1">
        <f t="shared" ref="AW75:AW78" si="9">AV75*70%</f>
        <v>1330</v>
      </c>
    </row>
    <row r="76" spans="1:49" ht="19.2" x14ac:dyDescent="0.4">
      <c r="A76" s="7" t="s">
        <v>132</v>
      </c>
      <c r="B76" s="7" t="s">
        <v>23</v>
      </c>
      <c r="C76" s="7">
        <v>321812</v>
      </c>
      <c r="D76" s="8"/>
      <c r="E76" s="7" t="s">
        <v>15</v>
      </c>
      <c r="F76" s="7" t="s">
        <v>16</v>
      </c>
      <c r="G76" s="7" t="s">
        <v>12</v>
      </c>
      <c r="H76" s="9" t="s">
        <v>8</v>
      </c>
      <c r="I76" s="9" t="s">
        <v>24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10</v>
      </c>
      <c r="AF76" s="9">
        <v>800</v>
      </c>
      <c r="AG76" s="9">
        <v>200</v>
      </c>
      <c r="AH76" s="9">
        <v>0</v>
      </c>
      <c r="AI76" s="9">
        <v>0</v>
      </c>
      <c r="AJ76" s="9">
        <v>0</v>
      </c>
      <c r="AK76" s="9">
        <v>2</v>
      </c>
      <c r="AL76" s="9">
        <v>240</v>
      </c>
      <c r="AM76" s="9">
        <v>0</v>
      </c>
      <c r="AN76" s="9">
        <v>72</v>
      </c>
      <c r="AO76" s="9">
        <v>0</v>
      </c>
      <c r="AP76" s="9">
        <v>0</v>
      </c>
      <c r="AQ76" s="9">
        <v>0</v>
      </c>
      <c r="AR76" s="9">
        <v>0</v>
      </c>
      <c r="AS76" s="9">
        <v>0</v>
      </c>
      <c r="AT76" s="9">
        <v>0</v>
      </c>
      <c r="AU76" s="11">
        <v>1240</v>
      </c>
      <c r="AV76" s="17">
        <f t="shared" si="8"/>
        <v>1168</v>
      </c>
      <c r="AW76" s="1">
        <f t="shared" si="9"/>
        <v>817.59999999999991</v>
      </c>
    </row>
    <row r="77" spans="1:49" ht="19.2" x14ac:dyDescent="0.4">
      <c r="A77" s="7" t="s">
        <v>132</v>
      </c>
      <c r="B77" s="7" t="s">
        <v>70</v>
      </c>
      <c r="C77" s="7">
        <v>178856</v>
      </c>
      <c r="D77" s="8"/>
      <c r="E77" s="7" t="s">
        <v>15</v>
      </c>
      <c r="F77" s="7" t="s">
        <v>16</v>
      </c>
      <c r="G77" s="7" t="s">
        <v>12</v>
      </c>
      <c r="H77" s="9" t="s">
        <v>13</v>
      </c>
      <c r="I77" s="9" t="s">
        <v>71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2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11</v>
      </c>
      <c r="AF77" s="9">
        <v>700</v>
      </c>
      <c r="AG77" s="9">
        <v>400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</v>
      </c>
      <c r="AR77" s="9">
        <v>1</v>
      </c>
      <c r="AS77" s="9">
        <v>100</v>
      </c>
      <c r="AT77" s="9">
        <v>0</v>
      </c>
      <c r="AU77" s="11">
        <v>1200</v>
      </c>
      <c r="AV77" s="17">
        <f t="shared" si="8"/>
        <v>1200</v>
      </c>
      <c r="AW77" s="1">
        <f t="shared" si="9"/>
        <v>840</v>
      </c>
    </row>
    <row r="78" spans="1:49" ht="19.2" x14ac:dyDescent="0.4">
      <c r="A78" s="7" t="s">
        <v>132</v>
      </c>
      <c r="B78" s="7" t="s">
        <v>83</v>
      </c>
      <c r="C78" s="7">
        <v>429496</v>
      </c>
      <c r="D78" s="8"/>
      <c r="E78" s="7" t="s">
        <v>15</v>
      </c>
      <c r="F78" s="7" t="s">
        <v>47</v>
      </c>
      <c r="G78" s="7" t="s">
        <v>12</v>
      </c>
      <c r="H78" s="9" t="s">
        <v>8</v>
      </c>
      <c r="I78" s="9" t="s">
        <v>84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4</v>
      </c>
      <c r="AF78" s="9">
        <v>200</v>
      </c>
      <c r="AG78" s="9">
        <v>200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0</v>
      </c>
      <c r="AU78" s="12">
        <v>400</v>
      </c>
      <c r="AV78" s="17">
        <f t="shared" si="8"/>
        <v>400</v>
      </c>
      <c r="AW78" s="1">
        <f t="shared" si="9"/>
        <v>280</v>
      </c>
    </row>
    <row r="79" spans="1:49" ht="19.2" x14ac:dyDescent="0.4">
      <c r="A79" s="7" t="s">
        <v>132</v>
      </c>
      <c r="B79" s="7" t="s">
        <v>63</v>
      </c>
      <c r="C79" s="7">
        <v>445688</v>
      </c>
      <c r="D79" s="8"/>
      <c r="E79" s="7" t="s">
        <v>15</v>
      </c>
      <c r="F79" s="7" t="s">
        <v>64</v>
      </c>
      <c r="G79" s="7" t="s">
        <v>12</v>
      </c>
      <c r="H79" s="9" t="s">
        <v>8</v>
      </c>
      <c r="I79" s="9" t="s">
        <v>98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2</v>
      </c>
      <c r="AF79" s="9">
        <v>200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>
        <v>0</v>
      </c>
      <c r="AU79" s="12">
        <v>200</v>
      </c>
      <c r="AV79" s="17">
        <f t="shared" ref="AV79:AV80" si="10">AU79-AN79</f>
        <v>200</v>
      </c>
      <c r="AW79" s="1">
        <f t="shared" ref="AW79:AW80" si="11">AV79*70%</f>
        <v>140</v>
      </c>
    </row>
    <row r="80" spans="1:49" ht="28.8" x14ac:dyDescent="0.4">
      <c r="A80" s="7" t="s">
        <v>132</v>
      </c>
      <c r="B80" s="7" t="s">
        <v>53</v>
      </c>
      <c r="C80" s="7">
        <v>219203</v>
      </c>
      <c r="D80" s="8"/>
      <c r="E80" s="7" t="s">
        <v>15</v>
      </c>
      <c r="F80" s="7" t="s">
        <v>54</v>
      </c>
      <c r="G80" s="7" t="s">
        <v>12</v>
      </c>
      <c r="H80" s="9" t="s">
        <v>8</v>
      </c>
      <c r="I80" s="9" t="s">
        <v>55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2</v>
      </c>
      <c r="AC80" s="9">
        <v>200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9">
        <v>0</v>
      </c>
      <c r="AQ80" s="9">
        <v>0</v>
      </c>
      <c r="AR80" s="9">
        <v>0</v>
      </c>
      <c r="AS80" s="9">
        <v>0</v>
      </c>
      <c r="AT80" s="9">
        <v>0</v>
      </c>
      <c r="AU80" s="12">
        <v>200</v>
      </c>
      <c r="AV80" s="17">
        <f t="shared" si="10"/>
        <v>200</v>
      </c>
      <c r="AW80" s="1">
        <f t="shared" si="11"/>
        <v>140</v>
      </c>
    </row>
    <row r="81" spans="47:49" x14ac:dyDescent="0.4">
      <c r="AU81" s="20">
        <f>SUM(AU2:AU80)</f>
        <v>1421080</v>
      </c>
      <c r="AW81" s="19">
        <f>SUM(AW2:AW80)</f>
        <v>992891.20000000007</v>
      </c>
    </row>
  </sheetData>
  <phoneticPr fontId="18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(3)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2022-04-06T03:29:14Z</dcterms:modified>
</cp:coreProperties>
</file>