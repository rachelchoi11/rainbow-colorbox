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763"/>
  </bookViews>
  <sheets>
    <sheet name="합계 (3)" sheetId="64" r:id="rId1"/>
  </sheets>
  <definedNames>
    <definedName name="_xlnm._FilterDatabase" localSheetId="0" hidden="1">'합계 (3)'!$A$1:$AW$14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15" i="64" l="1"/>
  <c r="AW15" i="64"/>
  <c r="AV2" i="64" l="1"/>
  <c r="AW2" i="64" s="1"/>
  <c r="AV3" i="64"/>
  <c r="AW3" i="64" s="1"/>
  <c r="AV4" i="64"/>
  <c r="AW4" i="64" s="1"/>
  <c r="AV5" i="64"/>
  <c r="AW5" i="64" s="1"/>
  <c r="AV6" i="64"/>
  <c r="AW6" i="64" s="1"/>
  <c r="AV7" i="64"/>
  <c r="AW7" i="64" s="1"/>
  <c r="AV8" i="64"/>
  <c r="AW8" i="64" s="1"/>
  <c r="AV9" i="64"/>
  <c r="AW9" i="64" s="1"/>
  <c r="AV10" i="64"/>
  <c r="AW10" i="64" s="1"/>
  <c r="AV11" i="64"/>
  <c r="AW11" i="64" s="1"/>
  <c r="AV12" i="64"/>
  <c r="AW12" i="64" s="1"/>
  <c r="AV13" i="64"/>
  <c r="AW13" i="64" s="1"/>
  <c r="AV14" i="64"/>
  <c r="AW14" i="64" s="1"/>
</calcChain>
</file>

<file path=xl/sharedStrings.xml><?xml version="1.0" encoding="utf-8"?>
<sst xmlns="http://schemas.openxmlformats.org/spreadsheetml/2006/main" count="140" uniqueCount="57">
  <si>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</si>
  <si>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</si>
  <si>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</si>
  <si>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</si>
  <si>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</si>
  <si>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</si>
  <si>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</si>
  <si>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</si>
  <si>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</si>
  <si>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스토리위즈_만화</t>
  </si>
  <si>
    <t>스토리위즈</t>
  </si>
  <si>
    <t>2020.07.13</t>
  </si>
  <si>
    <t>너랑 나랑 하면[BL]</t>
  </si>
  <si>
    <t>15세 이상 이용가능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</si>
  <si>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</si>
  <si>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</si>
  <si>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</si>
  <si>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</si>
  <si>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</si>
  <si>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</si>
  <si>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</si>
  <si>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</si>
  <si>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</si>
  <si>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</si>
  <si>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</si>
  <si>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</si>
  <si>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</si>
  <si>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</si>
  <si>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</si>
  <si>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</si>
  <si>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Ice×FANFAN COMIC</t>
  </si>
  <si>
    <t>건일</t>
  </si>
  <si>
    <t>폭군의 눈물</t>
  </si>
  <si>
    <t>별빛 아래 우리</t>
  </si>
  <si>
    <t>마스코마스코 [독점]</t>
  </si>
  <si>
    <t>남정훈</t>
  </si>
  <si>
    <t>2021.10.25</t>
  </si>
  <si>
    <t>NISANSUI/ZIQUAN</t>
  </si>
  <si>
    <t>공주전쟁</t>
  </si>
  <si>
    <t>Luojie</t>
  </si>
  <si>
    <t>내 남편의 스토커</t>
  </si>
  <si>
    <t>혜원</t>
  </si>
  <si>
    <t>이세계 소환은 두 번째라구요</t>
  </si>
  <si>
    <t>Arashiyama</t>
  </si>
  <si>
    <t>2021.07.23</t>
  </si>
  <si>
    <t>폐하, 옥체 보존하세요!</t>
  </si>
  <si>
    <t>IvyeqianheXyouzhijiaozi</t>
  </si>
  <si>
    <t>2022.02.09</t>
  </si>
  <si>
    <t>N스토어PC</t>
  </si>
  <si>
    <t>N스토어(MW)</t>
  </si>
  <si>
    <t>2022.03.16</t>
  </si>
  <si>
    <t>2022.03.31</t>
  </si>
  <si>
    <t>PC뷰어(PC)</t>
  </si>
  <si>
    <t>2022.04.01</t>
  </si>
  <si>
    <t>백스테이지 키스신</t>
  </si>
  <si>
    <t>수정과</t>
  </si>
  <si>
    <t>2019.12.07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</si>
</sst>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24" fillId="0" borderId="0" xfId="0" applyNumberFormat="1" applyFont="1">
      <alignment vertical="center"/>
    </xf>
    <xf numFmtId="0" fontId="24" fillId="0" borderId="0" xfId="0" applyFont="1">
      <alignment vertical="center"/>
    </xf>
    <xf numFmtId="4" fontId="18" fillId="0" borderId="0" xfId="0" applyNumberFormat="1" applyFont="1" applyBorder="1">
      <alignment vertical="center"/>
    </xf>
    <xf numFmtId="0" fontId="18" fillId="34" borderId="0" xfId="0" applyFont="1" applyFill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5"/>
  <sheetViews>
    <sheetView tabSelected="1" zoomScale="75" zoomScaleNormal="75" workbookViewId="0"/>
  </sheetViews>
  <sheetFormatPr defaultColWidth="8.69921875" defaultRowHeight="10.8" x14ac:dyDescent="0.4"/>
  <cols>
    <col min="1" max="1" width="8.69921875" style="14"/>
    <col min="2" max="2" width="9.3984375" style="4" customWidth="1"/>
    <col min="3" max="3" width="20" style="3" bestFit="1" customWidth="1"/>
    <col min="4" max="5" width="6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38.4" x14ac:dyDescent="0.4">
      <c r="A1" s="12" t="s">
        <v>27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14</v>
      </c>
      <c r="AC1" s="11" t="s">
        <v>23</v>
      </c>
      <c r="AD1" s="11" t="s">
        <v>24</v>
      </c>
      <c r="AE1" s="11" t="s">
        <v>14</v>
      </c>
      <c r="AF1" s="11" t="s">
        <v>23</v>
      </c>
      <c r="AG1" s="11" t="s">
        <v>24</v>
      </c>
      <c r="AH1" s="11" t="s">
        <v>14</v>
      </c>
      <c r="AI1" s="11" t="s">
        <v>23</v>
      </c>
      <c r="AJ1" s="11" t="s">
        <v>24</v>
      </c>
      <c r="AK1" s="11" t="s">
        <v>14</v>
      </c>
      <c r="AL1" s="11" t="s">
        <v>23</v>
      </c>
      <c r="AM1" s="11" t="s">
        <v>24</v>
      </c>
      <c r="AN1" s="15" t="s">
        <v>25</v>
      </c>
      <c r="AO1" s="11" t="s">
        <v>14</v>
      </c>
      <c r="AP1" s="11" t="s">
        <v>23</v>
      </c>
      <c r="AQ1" s="11" t="s">
        <v>24</v>
      </c>
      <c r="AR1" s="11" t="s">
        <v>14</v>
      </c>
      <c r="AS1" s="11" t="s">
        <v>23</v>
      </c>
      <c r="AT1" s="11" t="s">
        <v>24</v>
      </c>
      <c r="AU1" s="16" t="s">
        <v>26</v>
      </c>
      <c r="AV1" s="11" t="s">
        <v>28</v>
      </c>
      <c r="AW1" s="11" t="s">
        <v>29</v>
      </c>
    </row>
    <row r="2" spans="1:49" customFormat="1" ht="28.8" x14ac:dyDescent="0.4">
      <c r="A2" s="13" t="s">
        <v>48</v>
      </c>
      <c r="B2" s="5" t="s">
        <v>32</v>
      </c>
      <c r="C2" s="5">
        <v>434897</v>
      </c>
      <c r="D2" s="6"/>
      <c r="E2" s="5" t="s">
        <v>9</v>
      </c>
      <c r="F2" s="5" t="s">
        <v>30</v>
      </c>
      <c r="G2" s="5" t="s">
        <v>10</v>
      </c>
      <c r="H2" s="7" t="s">
        <v>13</v>
      </c>
      <c r="I2" s="7" t="s">
        <v>50</v>
      </c>
      <c r="J2" s="7">
        <v>0</v>
      </c>
      <c r="K2" s="7">
        <v>10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3</v>
      </c>
      <c r="AP2" s="7">
        <v>600</v>
      </c>
      <c r="AQ2" s="7">
        <v>0</v>
      </c>
      <c r="AR2" s="7">
        <v>0</v>
      </c>
      <c r="AS2" s="7">
        <v>0</v>
      </c>
      <c r="AT2" s="7">
        <v>0</v>
      </c>
      <c r="AU2" s="8">
        <v>600</v>
      </c>
      <c r="AV2" s="17">
        <f>AU2-AN2</f>
        <v>600</v>
      </c>
      <c r="AW2" s="18">
        <f>AV2*70%</f>
        <v>420</v>
      </c>
    </row>
    <row r="3" spans="1:49" customFormat="1" ht="19.2" x14ac:dyDescent="0.4">
      <c r="A3" s="13" t="s">
        <v>48</v>
      </c>
      <c r="B3" s="5" t="s">
        <v>34</v>
      </c>
      <c r="C3" s="5">
        <v>448747</v>
      </c>
      <c r="D3" s="6"/>
      <c r="E3" s="5" t="s">
        <v>9</v>
      </c>
      <c r="F3" s="5" t="s">
        <v>35</v>
      </c>
      <c r="G3" s="5" t="s">
        <v>10</v>
      </c>
      <c r="H3" s="7" t="s">
        <v>8</v>
      </c>
      <c r="I3" s="7" t="s">
        <v>36</v>
      </c>
      <c r="J3" s="7">
        <v>0</v>
      </c>
      <c r="K3" s="7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8">
        <v>0</v>
      </c>
      <c r="AV3" s="17">
        <f t="shared" ref="AV3:AV14" si="0">AU3-AN3</f>
        <v>0</v>
      </c>
      <c r="AW3" s="18">
        <f t="shared" ref="AW3:AW14" si="1">AV3*70%</f>
        <v>0</v>
      </c>
    </row>
    <row r="4" spans="1:49" customFormat="1" ht="19.2" x14ac:dyDescent="0.4">
      <c r="A4" s="13" t="s">
        <v>48</v>
      </c>
      <c r="B4" s="5" t="s">
        <v>33</v>
      </c>
      <c r="C4" s="5">
        <v>435954</v>
      </c>
      <c r="D4" s="6"/>
      <c r="E4" s="5" t="s">
        <v>9</v>
      </c>
      <c r="F4" s="5" t="s">
        <v>31</v>
      </c>
      <c r="G4" s="5" t="s">
        <v>10</v>
      </c>
      <c r="H4" s="7" t="s">
        <v>8</v>
      </c>
      <c r="I4" s="7" t="s">
        <v>51</v>
      </c>
      <c r="J4" s="7">
        <v>0</v>
      </c>
      <c r="K4" s="7">
        <v>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8">
        <v>0</v>
      </c>
      <c r="AV4" s="17">
        <f t="shared" si="0"/>
        <v>0</v>
      </c>
      <c r="AW4" s="18">
        <f t="shared" si="1"/>
        <v>0</v>
      </c>
    </row>
    <row r="5" spans="1:49" customFormat="1" ht="28.8" x14ac:dyDescent="0.4">
      <c r="A5" s="13" t="s">
        <v>52</v>
      </c>
      <c r="B5" s="5" t="s">
        <v>32</v>
      </c>
      <c r="C5" s="5">
        <v>434897</v>
      </c>
      <c r="D5" s="6"/>
      <c r="E5" s="5" t="s">
        <v>9</v>
      </c>
      <c r="F5" s="5" t="s">
        <v>30</v>
      </c>
      <c r="G5" s="5" t="s">
        <v>10</v>
      </c>
      <c r="H5" s="7" t="s">
        <v>13</v>
      </c>
      <c r="I5" s="7" t="s">
        <v>50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7</v>
      </c>
      <c r="AP5" s="9">
        <v>1400</v>
      </c>
      <c r="AQ5" s="7">
        <v>0</v>
      </c>
      <c r="AR5" s="7">
        <v>0</v>
      </c>
      <c r="AS5" s="7">
        <v>0</v>
      </c>
      <c r="AT5" s="7">
        <v>0</v>
      </c>
      <c r="AU5" s="10">
        <v>1400</v>
      </c>
      <c r="AV5" s="17">
        <f t="shared" si="0"/>
        <v>1400</v>
      </c>
      <c r="AW5" s="18">
        <f t="shared" si="1"/>
        <v>979.99999999999989</v>
      </c>
    </row>
    <row r="6" spans="1:49" customFormat="1" ht="19.2" x14ac:dyDescent="0.4">
      <c r="A6" s="13" t="s">
        <v>52</v>
      </c>
      <c r="B6" s="5" t="s">
        <v>45</v>
      </c>
      <c r="C6" s="5">
        <v>380491</v>
      </c>
      <c r="D6" s="6"/>
      <c r="E6" s="5" t="s">
        <v>9</v>
      </c>
      <c r="F6" s="5" t="s">
        <v>46</v>
      </c>
      <c r="G6" s="5" t="s">
        <v>10</v>
      </c>
      <c r="H6" s="7" t="s">
        <v>8</v>
      </c>
      <c r="I6" s="7" t="s">
        <v>11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100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8">
        <v>100</v>
      </c>
      <c r="AV6" s="17">
        <f t="shared" si="0"/>
        <v>100</v>
      </c>
      <c r="AW6" s="18">
        <f t="shared" si="1"/>
        <v>70</v>
      </c>
    </row>
    <row r="7" spans="1:49" customFormat="1" ht="19.2" x14ac:dyDescent="0.4">
      <c r="A7" s="13" t="s">
        <v>52</v>
      </c>
      <c r="B7" s="5" t="s">
        <v>34</v>
      </c>
      <c r="C7" s="5">
        <v>448747</v>
      </c>
      <c r="D7" s="6"/>
      <c r="E7" s="5" t="s">
        <v>9</v>
      </c>
      <c r="F7" s="5" t="s">
        <v>35</v>
      </c>
      <c r="G7" s="5" t="s">
        <v>10</v>
      </c>
      <c r="H7" s="7" t="s">
        <v>8</v>
      </c>
      <c r="I7" s="7" t="s">
        <v>36</v>
      </c>
      <c r="J7" s="7">
        <v>0</v>
      </c>
      <c r="K7" s="7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8">
        <v>0</v>
      </c>
      <c r="AV7" s="17">
        <f t="shared" si="0"/>
        <v>0</v>
      </c>
      <c r="AW7" s="18">
        <f t="shared" si="1"/>
        <v>0</v>
      </c>
    </row>
    <row r="8" spans="1:49" customFormat="1" ht="19.2" x14ac:dyDescent="0.4">
      <c r="A8" s="13" t="s">
        <v>49</v>
      </c>
      <c r="B8" s="5" t="s">
        <v>33</v>
      </c>
      <c r="C8" s="5">
        <v>435954</v>
      </c>
      <c r="D8" s="6"/>
      <c r="E8" s="5" t="s">
        <v>9</v>
      </c>
      <c r="F8" s="5" t="s">
        <v>31</v>
      </c>
      <c r="G8" s="5" t="s">
        <v>10</v>
      </c>
      <c r="H8" s="7" t="s">
        <v>8</v>
      </c>
      <c r="I8" s="7" t="s">
        <v>51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5</v>
      </c>
      <c r="AC8" s="7">
        <v>800</v>
      </c>
      <c r="AD8" s="7">
        <v>200</v>
      </c>
      <c r="AE8" s="7">
        <v>1</v>
      </c>
      <c r="AF8" s="7">
        <v>0</v>
      </c>
      <c r="AG8" s="7">
        <v>400</v>
      </c>
      <c r="AH8" s="7">
        <v>1</v>
      </c>
      <c r="AI8" s="7">
        <v>240</v>
      </c>
      <c r="AJ8" s="7">
        <v>0</v>
      </c>
      <c r="AK8" s="7">
        <v>0</v>
      </c>
      <c r="AL8" s="7">
        <v>0</v>
      </c>
      <c r="AM8" s="7">
        <v>0</v>
      </c>
      <c r="AN8" s="7">
        <v>72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10">
        <v>1640</v>
      </c>
      <c r="AV8" s="17">
        <f t="shared" si="0"/>
        <v>1568</v>
      </c>
      <c r="AW8" s="18">
        <f t="shared" si="1"/>
        <v>1097.5999999999999</v>
      </c>
    </row>
    <row r="9" spans="1:49" ht="28.8" x14ac:dyDescent="0.4">
      <c r="A9" s="13" t="s">
        <v>49</v>
      </c>
      <c r="B9" s="5" t="s">
        <v>32</v>
      </c>
      <c r="C9" s="5">
        <v>434897</v>
      </c>
      <c r="D9" s="6"/>
      <c r="E9" s="5" t="s">
        <v>9</v>
      </c>
      <c r="F9" s="5" t="s">
        <v>30</v>
      </c>
      <c r="G9" s="5" t="s">
        <v>10</v>
      </c>
      <c r="H9" s="7" t="s">
        <v>13</v>
      </c>
      <c r="I9" s="7" t="s">
        <v>50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3</v>
      </c>
      <c r="AC9" s="7">
        <v>600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8">
        <v>600</v>
      </c>
      <c r="AV9" s="17">
        <f t="shared" si="0"/>
        <v>600</v>
      </c>
      <c r="AW9" s="18">
        <f t="shared" si="1"/>
        <v>420</v>
      </c>
    </row>
    <row r="10" spans="1:49" ht="19.2" x14ac:dyDescent="0.4">
      <c r="A10" s="13" t="s">
        <v>49</v>
      </c>
      <c r="B10" s="5" t="s">
        <v>38</v>
      </c>
      <c r="C10" s="5">
        <v>423525</v>
      </c>
      <c r="D10" s="6"/>
      <c r="E10" s="5" t="s">
        <v>9</v>
      </c>
      <c r="F10" s="5" t="s">
        <v>39</v>
      </c>
      <c r="G10" s="5" t="s">
        <v>10</v>
      </c>
      <c r="H10" s="7" t="s">
        <v>8</v>
      </c>
      <c r="I10" s="7" t="s">
        <v>53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</v>
      </c>
      <c r="AC10" s="7">
        <v>400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8">
        <v>400</v>
      </c>
      <c r="AV10" s="17">
        <f t="shared" si="0"/>
        <v>400</v>
      </c>
      <c r="AW10" s="18">
        <f t="shared" si="1"/>
        <v>280</v>
      </c>
    </row>
    <row r="11" spans="1:49" ht="19.2" x14ac:dyDescent="0.4">
      <c r="A11" s="13" t="s">
        <v>49</v>
      </c>
      <c r="B11" s="5" t="s">
        <v>42</v>
      </c>
      <c r="C11" s="5">
        <v>419155</v>
      </c>
      <c r="D11" s="6"/>
      <c r="E11" s="5" t="s">
        <v>9</v>
      </c>
      <c r="F11" s="5" t="s">
        <v>43</v>
      </c>
      <c r="G11" s="5" t="s">
        <v>10</v>
      </c>
      <c r="H11" s="7" t="s">
        <v>8</v>
      </c>
      <c r="I11" s="7" t="s">
        <v>44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300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8">
        <v>300</v>
      </c>
      <c r="AV11" s="17">
        <f t="shared" si="0"/>
        <v>300</v>
      </c>
      <c r="AW11" s="18">
        <f t="shared" si="1"/>
        <v>210</v>
      </c>
    </row>
    <row r="12" spans="1:49" ht="19.2" x14ac:dyDescent="0.4">
      <c r="A12" s="13" t="s">
        <v>49</v>
      </c>
      <c r="B12" s="5" t="s">
        <v>12</v>
      </c>
      <c r="C12" s="5">
        <v>412451</v>
      </c>
      <c r="D12" s="6"/>
      <c r="E12" s="5" t="s">
        <v>9</v>
      </c>
      <c r="F12" s="5" t="s">
        <v>37</v>
      </c>
      <c r="G12" s="5" t="s">
        <v>10</v>
      </c>
      <c r="H12" s="7" t="s">
        <v>13</v>
      </c>
      <c r="I12" s="7" t="s">
        <v>47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200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8">
        <v>200</v>
      </c>
      <c r="AV12" s="17">
        <f t="shared" si="0"/>
        <v>200</v>
      </c>
      <c r="AW12" s="18">
        <f t="shared" si="1"/>
        <v>140</v>
      </c>
    </row>
    <row r="13" spans="1:49" ht="19.2" x14ac:dyDescent="0.4">
      <c r="A13" s="13" t="s">
        <v>49</v>
      </c>
      <c r="B13" s="5" t="s">
        <v>40</v>
      </c>
      <c r="C13" s="5">
        <v>403837</v>
      </c>
      <c r="D13" s="6"/>
      <c r="E13" s="5" t="s">
        <v>9</v>
      </c>
      <c r="F13" s="5" t="s">
        <v>41</v>
      </c>
      <c r="G13" s="5" t="s">
        <v>10</v>
      </c>
      <c r="H13" s="7" t="s">
        <v>8</v>
      </c>
      <c r="I13" s="7" t="s">
        <v>11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200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8">
        <v>200</v>
      </c>
      <c r="AV13" s="17">
        <f t="shared" si="0"/>
        <v>200</v>
      </c>
      <c r="AW13" s="18">
        <f t="shared" si="1"/>
        <v>140</v>
      </c>
    </row>
    <row r="14" spans="1:49" ht="19.2" x14ac:dyDescent="0.4">
      <c r="A14" s="13" t="s">
        <v>49</v>
      </c>
      <c r="B14" s="5" t="s">
        <v>54</v>
      </c>
      <c r="C14" s="5">
        <v>383201</v>
      </c>
      <c r="D14" s="6"/>
      <c r="E14" s="5" t="s">
        <v>9</v>
      </c>
      <c r="F14" s="5" t="s">
        <v>55</v>
      </c>
      <c r="G14" s="5" t="s">
        <v>10</v>
      </c>
      <c r="H14" s="7" t="s">
        <v>8</v>
      </c>
      <c r="I14" s="7" t="s">
        <v>56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200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8">
        <v>200</v>
      </c>
      <c r="AV14" s="17">
        <f t="shared" si="0"/>
        <v>200</v>
      </c>
      <c r="AW14" s="18">
        <f t="shared" si="1"/>
        <v>140</v>
      </c>
    </row>
    <row r="15" spans="1:49" x14ac:dyDescent="0.4">
      <c r="AU15" s="19">
        <f>SUM(AU2:AU14)</f>
        <v>5640</v>
      </c>
      <c r="AW15" s="20">
        <f>SUM(AW2:AW14)</f>
        <v>3897.6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2022-04-06T05:01:40Z</dcterms:modified>
</cp:coreProperties>
</file>