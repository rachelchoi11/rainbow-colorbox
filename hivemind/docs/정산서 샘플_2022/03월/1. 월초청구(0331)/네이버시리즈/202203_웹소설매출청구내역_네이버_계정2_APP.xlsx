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네이버시리즈\"/>
    </mc:Choice>
  </mc:AlternateContent>
  <bookViews>
    <workbookView xWindow="0" yWindow="0" windowWidth="23040" windowHeight="8952"/>
  </bookViews>
  <sheets>
    <sheet name="합계 (3)" sheetId="253" r:id="rId1"/>
  </sheets>
  <definedNames>
    <definedName name="_xlnm._FilterDatabase" localSheetId="0" hidden="1">'합계 (3)'!$A$1:$AM$6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AU197" i="253" l="1"/>
  <c r="AW197" i="253"/>
  <c r="AV194" i="253" l="1"/>
  <c r="AW194" i="253" s="1"/>
  <c r="AV195" i="253"/>
  <c r="AW195" i="253" s="1"/>
  <c r="AV196" i="253"/>
  <c r="AW196" i="253" s="1"/>
  <c r="AV175" i="253" l="1"/>
  <c r="AW175" i="253" s="1"/>
  <c r="AV176" i="253"/>
  <c r="AW176" i="253" s="1"/>
  <c r="AV177" i="253"/>
  <c r="AW177" i="253" s="1"/>
  <c r="AV178" i="253"/>
  <c r="AW178" i="253" s="1"/>
  <c r="AV179" i="253"/>
  <c r="AW179" i="253" s="1"/>
  <c r="AV180" i="253"/>
  <c r="AW180" i="253" s="1"/>
  <c r="AV181" i="253"/>
  <c r="AW181" i="253" s="1"/>
  <c r="AV182" i="253"/>
  <c r="AW182" i="253" s="1"/>
  <c r="AV183" i="253"/>
  <c r="AW183" i="253" s="1"/>
  <c r="AV184" i="253"/>
  <c r="AW184" i="253" s="1"/>
  <c r="AV185" i="253"/>
  <c r="AW185" i="253" s="1"/>
  <c r="AV186" i="253"/>
  <c r="AW186" i="253" s="1"/>
  <c r="AV187" i="253"/>
  <c r="AW187" i="253" s="1"/>
  <c r="AV188" i="253"/>
  <c r="AW188" i="253" s="1"/>
  <c r="AV189" i="253"/>
  <c r="AW189" i="253" s="1"/>
  <c r="AV190" i="253"/>
  <c r="AW190" i="253" s="1"/>
  <c r="AV191" i="253"/>
  <c r="AW191" i="253" s="1"/>
  <c r="AV192" i="253"/>
  <c r="AW192" i="253" s="1"/>
  <c r="AV193" i="253"/>
  <c r="AW193" i="253" s="1"/>
  <c r="AV165" i="253" l="1"/>
  <c r="AW165" i="253" s="1"/>
  <c r="AV166" i="253"/>
  <c r="AW166" i="253" s="1"/>
  <c r="AV167" i="253"/>
  <c r="AW167" i="253" s="1"/>
  <c r="AV168" i="253"/>
  <c r="AW168" i="253" s="1"/>
  <c r="AV169" i="253"/>
  <c r="AW169" i="253" s="1"/>
  <c r="AV170" i="253"/>
  <c r="AW170" i="253" s="1"/>
  <c r="AV171" i="253"/>
  <c r="AW171" i="253" s="1"/>
  <c r="AV172" i="253"/>
  <c r="AW172" i="253" s="1"/>
  <c r="AV173" i="253"/>
  <c r="AW173" i="253" s="1"/>
  <c r="AV174" i="253"/>
  <c r="AW174" i="253" s="1"/>
  <c r="AV164" i="253" l="1"/>
  <c r="AW164" i="253" s="1"/>
  <c r="AV3" i="253"/>
  <c r="AV4" i="253"/>
  <c r="AV5" i="253"/>
  <c r="AV6" i="253"/>
  <c r="AV7" i="253"/>
  <c r="AV8" i="253"/>
  <c r="AV9" i="253"/>
  <c r="AV10" i="253"/>
  <c r="AV11" i="253"/>
  <c r="AV12" i="253"/>
  <c r="AV13" i="253"/>
  <c r="AV14" i="253"/>
  <c r="AV15" i="253"/>
  <c r="AV16" i="253"/>
  <c r="AV17" i="253"/>
  <c r="AV18" i="253"/>
  <c r="AV19" i="253"/>
  <c r="AV20" i="253"/>
  <c r="AV21" i="253"/>
  <c r="AV22" i="253"/>
  <c r="AV23" i="253"/>
  <c r="AV24" i="253"/>
  <c r="AV25" i="253"/>
  <c r="AV26" i="253"/>
  <c r="AV27" i="253"/>
  <c r="AV28" i="253"/>
  <c r="AV29" i="253"/>
  <c r="AV30" i="253"/>
  <c r="AV31" i="253"/>
  <c r="AV32" i="253"/>
  <c r="AV33" i="253"/>
  <c r="AV34" i="253"/>
  <c r="AV35" i="253"/>
  <c r="AV36" i="253"/>
  <c r="AV37" i="253"/>
  <c r="AV38" i="253"/>
  <c r="AV39" i="253"/>
  <c r="AV40" i="253"/>
  <c r="AV41" i="253"/>
  <c r="AV42" i="253"/>
  <c r="AV43" i="253"/>
  <c r="AV44" i="253"/>
  <c r="AV45" i="253"/>
  <c r="AV46" i="253"/>
  <c r="AV47" i="253"/>
  <c r="AV48" i="253"/>
  <c r="AV49" i="253"/>
  <c r="AV50" i="253"/>
  <c r="AV51" i="253"/>
  <c r="AV52" i="253"/>
  <c r="AV53" i="253"/>
  <c r="AV54" i="253"/>
  <c r="AV55" i="253"/>
  <c r="AV56" i="253"/>
  <c r="AV57" i="253"/>
  <c r="AV58" i="253"/>
  <c r="AV59" i="253"/>
  <c r="AV60" i="253"/>
  <c r="AV61" i="253"/>
  <c r="AV62" i="253"/>
  <c r="AV63" i="253"/>
  <c r="AV64" i="253"/>
  <c r="AV65" i="253"/>
  <c r="AV66" i="253"/>
  <c r="AV67" i="253"/>
  <c r="AV68" i="253"/>
  <c r="AV69" i="253"/>
  <c r="AV70" i="253"/>
  <c r="AV71" i="253"/>
  <c r="AV72" i="253"/>
  <c r="AV73" i="253"/>
  <c r="AV74" i="253"/>
  <c r="AV75" i="253"/>
  <c r="AV76" i="253"/>
  <c r="AV77" i="253"/>
  <c r="AV78" i="253"/>
  <c r="AV79" i="253"/>
  <c r="AV80" i="253"/>
  <c r="AV81" i="253"/>
  <c r="AV82" i="253"/>
  <c r="AV83" i="253"/>
  <c r="AV84" i="253"/>
  <c r="AV85" i="253"/>
  <c r="AV86" i="253"/>
  <c r="AV87" i="253"/>
  <c r="AV88" i="253"/>
  <c r="AV89" i="253"/>
  <c r="AV90" i="253"/>
  <c r="AV91" i="253"/>
  <c r="AV92" i="253"/>
  <c r="AV93" i="253"/>
  <c r="AV94" i="253"/>
  <c r="AV95" i="253"/>
  <c r="AV96" i="253"/>
  <c r="AV97" i="253"/>
  <c r="AV98" i="253"/>
  <c r="AV99" i="253"/>
  <c r="AV100" i="253"/>
  <c r="AV101" i="253"/>
  <c r="AV102" i="253"/>
  <c r="AV103" i="253"/>
  <c r="AV104" i="253"/>
  <c r="AV105" i="253"/>
  <c r="AV106" i="253"/>
  <c r="AV107" i="253"/>
  <c r="AV108" i="253"/>
  <c r="AV109" i="253"/>
  <c r="AV110" i="253"/>
  <c r="AV111" i="253"/>
  <c r="AV112" i="253"/>
  <c r="AV113" i="253"/>
  <c r="AV114" i="253"/>
  <c r="AV115" i="253"/>
  <c r="AV116" i="253"/>
  <c r="AV117" i="253"/>
  <c r="AV118" i="253"/>
  <c r="AV119" i="253"/>
  <c r="AV120" i="253"/>
  <c r="AV121" i="253"/>
  <c r="AV122" i="253"/>
  <c r="AV123" i="253"/>
  <c r="AV124" i="253"/>
  <c r="AV125" i="253"/>
  <c r="AV126" i="253"/>
  <c r="AV127" i="253"/>
  <c r="AV128" i="253"/>
  <c r="AV129" i="253"/>
  <c r="AV130" i="253"/>
  <c r="AV131" i="253"/>
  <c r="AV132" i="253"/>
  <c r="AV133" i="253"/>
  <c r="AV134" i="253"/>
  <c r="AV135" i="253"/>
  <c r="AV136" i="253"/>
  <c r="AV137" i="253"/>
  <c r="AV138" i="253"/>
  <c r="AV139" i="253"/>
  <c r="AV140" i="253"/>
  <c r="AV141" i="253"/>
  <c r="AV142" i="253"/>
  <c r="AV143" i="253"/>
  <c r="AV144" i="253"/>
  <c r="AV145" i="253"/>
  <c r="AV146" i="253"/>
  <c r="AV147" i="253"/>
  <c r="AV148" i="253"/>
  <c r="AV149" i="253"/>
  <c r="AV150" i="253"/>
  <c r="AV151" i="253"/>
  <c r="AV152" i="253"/>
  <c r="AV153" i="253"/>
  <c r="AV154" i="253"/>
  <c r="AV155" i="253"/>
  <c r="AV156" i="253"/>
  <c r="AV157" i="253"/>
  <c r="AV158" i="253"/>
  <c r="AV159" i="253"/>
  <c r="AV160" i="253"/>
  <c r="AV161" i="253"/>
  <c r="AV162" i="253"/>
  <c r="AV163" i="253"/>
  <c r="AV2" i="253"/>
  <c r="AW161" i="253" l="1"/>
  <c r="AW162" i="253"/>
  <c r="AW163" i="253"/>
  <c r="AW122" i="253" l="1"/>
  <c r="AW123" i="253"/>
  <c r="AW124" i="253"/>
  <c r="AW125" i="253"/>
  <c r="AW126" i="253"/>
  <c r="AW127" i="253"/>
  <c r="AW128" i="253"/>
  <c r="AW129" i="253"/>
  <c r="AW130" i="253"/>
  <c r="AW131" i="253"/>
  <c r="AW132" i="253"/>
  <c r="AW133" i="253"/>
  <c r="AW134" i="253"/>
  <c r="AW135" i="253"/>
  <c r="AW136" i="253"/>
  <c r="AW137" i="253"/>
  <c r="AW138" i="253"/>
  <c r="AW139" i="253"/>
  <c r="AW140" i="253"/>
  <c r="AW141" i="253"/>
  <c r="AW142" i="253"/>
  <c r="AW143" i="253"/>
  <c r="AW144" i="253"/>
  <c r="AW145" i="253"/>
  <c r="AW146" i="253"/>
  <c r="AW147" i="253"/>
  <c r="AW148" i="253"/>
  <c r="AW149" i="253"/>
  <c r="AW150" i="253"/>
  <c r="AW151" i="253"/>
  <c r="AW152" i="253"/>
  <c r="AW153" i="253"/>
  <c r="AW154" i="253"/>
  <c r="AW155" i="253"/>
  <c r="AW156" i="253"/>
  <c r="AW157" i="253"/>
  <c r="AW158" i="253"/>
  <c r="AW159" i="253"/>
  <c r="AW160" i="253"/>
  <c r="AW111" i="253" l="1"/>
  <c r="AW112" i="253"/>
  <c r="AW113" i="253"/>
  <c r="AW114" i="253"/>
  <c r="AW115" i="253"/>
  <c r="AW116" i="253"/>
  <c r="AW117" i="253"/>
  <c r="AW118" i="253"/>
  <c r="AW119" i="253"/>
  <c r="AW120" i="253"/>
  <c r="AW121" i="253"/>
  <c r="AW60" i="253" l="1"/>
  <c r="AW61" i="253"/>
  <c r="AW62" i="253"/>
  <c r="AW63" i="253"/>
  <c r="AW64" i="253"/>
  <c r="AW65" i="253"/>
  <c r="AW66" i="253"/>
  <c r="AW67" i="253"/>
  <c r="AW68" i="253"/>
  <c r="AW69" i="253"/>
  <c r="AW70" i="253"/>
  <c r="AW71" i="253"/>
  <c r="AW72" i="253"/>
  <c r="AW73" i="253"/>
  <c r="AW74" i="253"/>
  <c r="AW75" i="253"/>
  <c r="AW76" i="253"/>
  <c r="AW77" i="253"/>
  <c r="AW78" i="253"/>
  <c r="AW79" i="253"/>
  <c r="AW80" i="253"/>
  <c r="AW81" i="253"/>
  <c r="AW82" i="253"/>
  <c r="AW83" i="253"/>
  <c r="AW84" i="253"/>
  <c r="AW85" i="253"/>
  <c r="AW86" i="253"/>
  <c r="AW87" i="253"/>
  <c r="AW88" i="253"/>
  <c r="AW89" i="253"/>
  <c r="AW90" i="253"/>
  <c r="AW91" i="253"/>
  <c r="AW92" i="253"/>
  <c r="AW93" i="253"/>
  <c r="AW94" i="253"/>
  <c r="AW95" i="253"/>
  <c r="AW96" i="253"/>
  <c r="AW97" i="253"/>
  <c r="AW98" i="253"/>
  <c r="AW99" i="253"/>
  <c r="AW100" i="253"/>
  <c r="AW101" i="253"/>
  <c r="AW102" i="253"/>
  <c r="AW103" i="253"/>
  <c r="AW104" i="253"/>
  <c r="AW105" i="253"/>
  <c r="AW106" i="253"/>
  <c r="AW107" i="253"/>
  <c r="AW108" i="253"/>
  <c r="AW109" i="253"/>
  <c r="AW110" i="253"/>
  <c r="AW3" i="253"/>
  <c r="AW4" i="253"/>
  <c r="AW5" i="253"/>
  <c r="AW6" i="253"/>
  <c r="AW7" i="253"/>
  <c r="AW8" i="253"/>
  <c r="AW9" i="253"/>
  <c r="AW10" i="253"/>
  <c r="AW11" i="253"/>
  <c r="AW12" i="253"/>
  <c r="AW13" i="253"/>
  <c r="AW14" i="253"/>
  <c r="AW15" i="253"/>
  <c r="AW16" i="253"/>
  <c r="AW17" i="253"/>
  <c r="AW18" i="253"/>
  <c r="AW19" i="253"/>
  <c r="AW20" i="253"/>
  <c r="AW21" i="253"/>
  <c r="AW22" i="253"/>
  <c r="AW23" i="253"/>
  <c r="AW24" i="253"/>
  <c r="AW25" i="253"/>
  <c r="AW26" i="253"/>
  <c r="AW27" i="253"/>
  <c r="AW28" i="253"/>
  <c r="AW29" i="253"/>
  <c r="AW30" i="253"/>
  <c r="AW31" i="253"/>
  <c r="AW32" i="253"/>
  <c r="AW33" i="253"/>
  <c r="AW34" i="253"/>
  <c r="AW35" i="253"/>
  <c r="AW36" i="253"/>
  <c r="AW37" i="253"/>
  <c r="AW38" i="253"/>
  <c r="AW39" i="253"/>
  <c r="AW40" i="253"/>
  <c r="AW41" i="253"/>
  <c r="AW42" i="253"/>
  <c r="AW43" i="253"/>
  <c r="AW44" i="253"/>
  <c r="AW45" i="253"/>
  <c r="AW46" i="253"/>
  <c r="AW47" i="253"/>
  <c r="AW48" i="253"/>
  <c r="AW49" i="253"/>
  <c r="AW50" i="253"/>
  <c r="AW51" i="253"/>
  <c r="AW52" i="253"/>
  <c r="AW53" i="253"/>
  <c r="AW54" i="253"/>
  <c r="AW55" i="253"/>
  <c r="AW56" i="253"/>
  <c r="AW57" i="253"/>
  <c r="AW58" i="253"/>
  <c r="AW59" i="253"/>
  <c r="AW2" i="253"/>
</calcChain>
</file>

<file path=xl/sharedStrings.xml><?xml version="1.0" encoding="utf-8"?>
<sst xmlns="http://schemas.openxmlformats.org/spreadsheetml/2006/main" count="1419" uniqueCount="235">
  <si>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</si>
  <si>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</si>
  <si>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</si>
  <si>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</si>
  <si>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</si>
  <si>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</si>
  <si>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</si>
  <si>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</si>
  <si>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</si>
  <si>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김광수</t>
  </si>
  <si>
    <t>구분</t>
    <phoneticPr fontId="18" type="noConversion"/>
  </si>
  <si>
    <t>15세 이상 이용가능</t>
  </si>
  <si>
    <t>12세 이상 이용가능</t>
  </si>
  <si>
    <t>스토리위즈</t>
  </si>
  <si>
    <t>2020.09.08</t>
  </si>
  <si>
    <t>최종 보스 : 빛을 향해 달리는 그림자 [독점]</t>
  </si>
  <si>
    <t>스토리위즈_1</t>
  </si>
  <si>
    <t>무장</t>
  </si>
  <si>
    <t>BJ소드마스터 [독점]</t>
  </si>
  <si>
    <t>이동열</t>
  </si>
  <si>
    <t>2020.07.24</t>
  </si>
  <si>
    <t>로드 오브 머니</t>
  </si>
  <si>
    <t>2018.08.02</t>
  </si>
  <si>
    <t>로드 오브 머니 [단행본]</t>
  </si>
  <si>
    <t>2019.08.05</t>
  </si>
  <si>
    <t>회귀의 전설 [단행본]</t>
  </si>
  <si>
    <t>리얼 머니 [독점]</t>
  </si>
  <si>
    <t>진문</t>
  </si>
  <si>
    <t>2020.06.03</t>
  </si>
  <si>
    <t>형사의 게임</t>
  </si>
  <si>
    <t>2017.04.11</t>
  </si>
  <si>
    <t>성군이십니다 [독점]</t>
  </si>
  <si>
    <t>이준영</t>
  </si>
  <si>
    <t>2019.04.17</t>
  </si>
  <si>
    <t>은천검제(2부 화산검제) [단행본]</t>
  </si>
  <si>
    <t>2020.08.26</t>
  </si>
  <si>
    <t>기사가문 망나니는 10클래스</t>
  </si>
  <si>
    <t>예로나</t>
  </si>
  <si>
    <t>2020.03.11</t>
  </si>
  <si>
    <t>말빨</t>
  </si>
  <si>
    <t>2020.02.12</t>
  </si>
  <si>
    <t>SSS급 마왕의 귀환</t>
  </si>
  <si>
    <t>구유</t>
  </si>
  <si>
    <t>2019.06.14</t>
  </si>
  <si>
    <t>형사의 게임 [단행본]</t>
  </si>
  <si>
    <t>2017.10.27</t>
  </si>
  <si>
    <t>간신이 나라를 살림</t>
  </si>
  <si>
    <t>루이세</t>
  </si>
  <si>
    <t>2020.01.22</t>
  </si>
  <si>
    <t>화산검제 [은천검제 2부 연재]</t>
  </si>
  <si>
    <t>2020.03.24</t>
  </si>
  <si>
    <t>게임 속 유닛</t>
  </si>
  <si>
    <t>찬동</t>
  </si>
  <si>
    <t>2020.08.18</t>
  </si>
  <si>
    <t>절대자의 귀환</t>
  </si>
  <si>
    <t>장유진</t>
  </si>
  <si>
    <t>2021.01.19</t>
  </si>
  <si>
    <t>나 혼자만 일일 보상</t>
  </si>
  <si>
    <t>2018.12.20</t>
  </si>
  <si>
    <t>던전 공략 LIVE</t>
  </si>
  <si>
    <t>2018.06.20</t>
  </si>
  <si>
    <t>리얼 머니 [단행본]</t>
  </si>
  <si>
    <t>2020.12.11</t>
  </si>
  <si>
    <t>나 혼자만 일일 보상 [단행본]</t>
  </si>
  <si>
    <t>2020.03.05</t>
  </si>
  <si>
    <t>간신이 나라를 살림 [단행본]</t>
  </si>
  <si>
    <t>라지에르의 서</t>
  </si>
  <si>
    <t>공든탑</t>
  </si>
  <si>
    <t>2017.07.03</t>
  </si>
  <si>
    <t>레이디 스칼렛</t>
  </si>
  <si>
    <t>불고기자리</t>
  </si>
  <si>
    <t>2020.08.20</t>
  </si>
  <si>
    <t>꿈속의 보스</t>
  </si>
  <si>
    <t>온서</t>
  </si>
  <si>
    <t>2021.01.12</t>
  </si>
  <si>
    <t>여왕 아델</t>
  </si>
  <si>
    <t>이린비</t>
  </si>
  <si>
    <t>2018.01.25</t>
  </si>
  <si>
    <t>2021.02.19</t>
  </si>
  <si>
    <t>회귀했는데 FFF급 부두술사 [독점]</t>
  </si>
  <si>
    <t>빡선생</t>
  </si>
  <si>
    <t>삼국지 호접몽전 [단행본]</t>
  </si>
  <si>
    <t>청빙</t>
  </si>
  <si>
    <t>2020.05.05</t>
  </si>
  <si>
    <t>문답무용 - 삼국지 유비의 모사가 되었다</t>
  </si>
  <si>
    <t>2021.02.24</t>
  </si>
  <si>
    <t>여왕 아델 [단행본]</t>
  </si>
  <si>
    <t>2020.10.21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</si>
  <si>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</si>
  <si>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</si>
  <si>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</si>
  <si>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</si>
  <si>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</si>
  <si>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</si>
  <si>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</si>
  <si>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</si>
  <si>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</si>
  <si>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</si>
  <si>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</si>
  <si>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</si>
  <si>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</si>
  <si>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18" type="noConversion"/>
  </si>
  <si>
    <t>SW매출</t>
    <phoneticPr fontId="18" type="noConversion"/>
  </si>
  <si>
    <t>2021.03.06</t>
  </si>
  <si>
    <t>2021.03.29</t>
  </si>
  <si>
    <t>2021.03.26</t>
  </si>
  <si>
    <t>라스트 서바이버 : 진화로 살아남아라!</t>
  </si>
  <si>
    <t>공작가의 남루한 신부</t>
  </si>
  <si>
    <t>무성매직</t>
  </si>
  <si>
    <t>2021.04.08</t>
  </si>
  <si>
    <t>망작 리메이커 [독점]</t>
  </si>
  <si>
    <t>덕킹</t>
  </si>
  <si>
    <t>컬러 러쉬 [BL]</t>
  </si>
  <si>
    <t>세상</t>
  </si>
  <si>
    <t>2021.04.07</t>
  </si>
  <si>
    <t>아저씨, 내 기분 왜 이래요?</t>
  </si>
  <si>
    <t>Livingston</t>
  </si>
  <si>
    <t>컬러 러쉬 [BL][단행본]</t>
  </si>
  <si>
    <t>2021.04.13</t>
  </si>
  <si>
    <t>컬러 러쉬 외전 [BL][단행본]</t>
  </si>
  <si>
    <t>낚싯대 하나로 세계최강 [독점]</t>
  </si>
  <si>
    <t>단팥크림빵7</t>
  </si>
  <si>
    <t>서강후</t>
  </si>
  <si>
    <t>와그작 [BL]</t>
  </si>
  <si>
    <t>19세 이상 이용가능</t>
  </si>
  <si>
    <t>2021.06.02</t>
  </si>
  <si>
    <t>올마스터가 된 비전서고 [독점]</t>
  </si>
  <si>
    <t>글면증</t>
  </si>
  <si>
    <t>칵테일로 레벨업 [독점]</t>
  </si>
  <si>
    <t>유성하소월 [1~83화]</t>
  </si>
  <si>
    <t>se1392001</t>
  </si>
  <si>
    <t>2019.01.31</t>
  </si>
  <si>
    <t>유성하소월 [84~122화]</t>
  </si>
  <si>
    <t>se1392084</t>
  </si>
  <si>
    <t>2014.09.12</t>
  </si>
  <si>
    <t>폴딩</t>
  </si>
  <si>
    <t>2021.08.03</t>
  </si>
  <si>
    <t>2021.08.20</t>
  </si>
  <si>
    <t>위험한 신혼부부 [독점]</t>
  </si>
  <si>
    <t>박수정(방울마마)</t>
  </si>
  <si>
    <t>2016.07.20</t>
  </si>
  <si>
    <t>호랑이 신을 길들여 버렸다</t>
  </si>
  <si>
    <t>부엉이콩</t>
  </si>
  <si>
    <t>버그 걸린 드래곤 [독점]</t>
  </si>
  <si>
    <t>내 안에 흑염룡이 산다! [독점]</t>
  </si>
  <si>
    <t>리세마라</t>
  </si>
  <si>
    <t>2020.10.29</t>
  </si>
  <si>
    <t>신인류 좀비의 아포칼립스 [독점]</t>
  </si>
  <si>
    <t>모험왕선우</t>
  </si>
  <si>
    <t>먼나무</t>
  </si>
  <si>
    <t>구공</t>
  </si>
  <si>
    <t>회귀자의 슬기로운 복수생활 [독점]</t>
  </si>
  <si>
    <t>기사가문 망나니는 10클래스 [단행본]</t>
  </si>
  <si>
    <t>2021.11.01</t>
  </si>
  <si>
    <t>2021.10.15</t>
  </si>
  <si>
    <t>위대한 가문의 망나니가 되다 [독점]</t>
  </si>
  <si>
    <t>바나바다</t>
  </si>
  <si>
    <t>붕어빵</t>
  </si>
  <si>
    <t>검산도해 [단행본]</t>
  </si>
  <si>
    <t>권용찬</t>
  </si>
  <si>
    <t>갓 오브 블랙필드</t>
  </si>
  <si>
    <t>2017.02.27</t>
  </si>
  <si>
    <t>갓 오브 블랙필드 [개정판][단행본]</t>
  </si>
  <si>
    <t>2020.06.24</t>
  </si>
  <si>
    <t>2021.11.18</t>
  </si>
  <si>
    <t>2021.11.17</t>
  </si>
  <si>
    <t>그라운드의 지배자</t>
  </si>
  <si>
    <t>2016.05.30</t>
  </si>
  <si>
    <t>그라운드의 지배자 [단행본]</t>
  </si>
  <si>
    <t>2017.09.06</t>
  </si>
  <si>
    <t>강호유정</t>
  </si>
  <si>
    <t>2020.08.25</t>
  </si>
  <si>
    <t>쉿, 그놈을 부탁해</t>
  </si>
  <si>
    <t>2021.11.15</t>
  </si>
  <si>
    <t>2021.11.19</t>
  </si>
  <si>
    <t>나 혼자 스킬융합 [독점]</t>
  </si>
  <si>
    <t>도폐풍운록</t>
  </si>
  <si>
    <t>2021.01.29</t>
  </si>
  <si>
    <t>강호유정 [단행본]</t>
  </si>
  <si>
    <t>131100761</t>
  </si>
  <si>
    <t>2013.11.15</t>
  </si>
  <si>
    <t>SSS급 마왕의 귀환 [단행본]</t>
  </si>
  <si>
    <t>2020.03.19</t>
  </si>
  <si>
    <t>2021.12.08</t>
  </si>
  <si>
    <t>복수하는 회귀 사서 [독점]</t>
  </si>
  <si>
    <t>백일하</t>
  </si>
  <si>
    <t>왕십리글쟁이</t>
  </si>
  <si>
    <t>임신부터 할까요?</t>
  </si>
  <si>
    <t>신입사원이 이렇게 일을 잘했다고? [독점]</t>
  </si>
  <si>
    <t>영웅 [개정판][단행본]</t>
  </si>
  <si>
    <t>문답무용 - 삼국지 유비의 모사가 되었다 [단행본]</t>
  </si>
  <si>
    <t>2021.05.20</t>
  </si>
  <si>
    <t>게임 속 유닛 [단행본]</t>
  </si>
  <si>
    <t>2021.01.21</t>
  </si>
  <si>
    <t>시계태엽오란씨</t>
  </si>
  <si>
    <t>라스트 서바이버 : 진화로 살아남아라! [단행본]</t>
  </si>
  <si>
    <t>임신부터 할까요? [단행본]</t>
  </si>
  <si>
    <t>2022.01.26</t>
  </si>
  <si>
    <t>선유문주</t>
  </si>
  <si>
    <t>2022.01.27</t>
  </si>
  <si>
    <t>이과생 둘이 회귀했다</t>
  </si>
  <si>
    <t>하이후</t>
  </si>
  <si>
    <t>2020.07.10</t>
  </si>
  <si>
    <t>공작가의 남루한 신부 [단행본]</t>
  </si>
  <si>
    <t>베놈 마스터 [단행본]</t>
  </si>
  <si>
    <t>도폐풍운록 [단행본]</t>
  </si>
  <si>
    <t>선유문주 [단행본]</t>
  </si>
  <si>
    <t>2022.02.10</t>
  </si>
  <si>
    <t>이과생 둘이 회귀했다 [단행본]</t>
  </si>
  <si>
    <t>성군이십니다 [단행본]</t>
  </si>
  <si>
    <t>2020.03.26</t>
  </si>
  <si>
    <t>완전판APP</t>
  </si>
  <si>
    <t>시리즈(IOS)</t>
  </si>
  <si>
    <t>2022.04.05</t>
  </si>
  <si>
    <t>2022.04.06</t>
  </si>
  <si>
    <t>2022.03.30</t>
  </si>
  <si>
    <t>슈퍼스타의 비밀 어플</t>
  </si>
  <si>
    <t>2022.03.11</t>
  </si>
  <si>
    <t>슈퍼스타의 비밀 어플 [단행본]</t>
  </si>
  <si>
    <t>2022.03.10</t>
  </si>
  <si>
    <t>원코인 게이머 아포칼립스</t>
  </si>
  <si>
    <t>이한애비</t>
  </si>
  <si>
    <t>2022.03.23</t>
  </si>
  <si>
    <t>마신부활 [단행본]</t>
  </si>
  <si>
    <t>만렙도끼</t>
  </si>
  <si>
    <t>얼굴 천재 교주가 되었다</t>
  </si>
  <si>
    <t>비고</t>
  </si>
  <si>
    <t>헌터인데 내공이 좀 많네요</t>
  </si>
  <si>
    <t>돈문어</t>
  </si>
  <si>
    <t>2022.03.25</t>
  </si>
  <si>
    <t>낚싯대 하나로 세계최강 [단행본]</t>
  </si>
  <si>
    <t>내일은 이혼해요</t>
  </si>
  <si>
    <t>윤비밀</t>
  </si>
  <si>
    <t>2020.02.24</t>
  </si>
  <si>
    <t>시리즈(APP)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</si>
</sst>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33" borderId="0" xfId="0" applyFont="1" applyFill="1" applyBorder="1" applyAlignment="1">
      <alignment vertical="center" wrapText="1"/>
    </xf>
    <xf numFmtId="0" fontId="20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" fontId="22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3" fillId="33" borderId="0" xfId="0" applyFont="1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41" fontId="0" fillId="0" borderId="0" xfId="1" applyFont="1" applyBorder="1">
      <alignment vertical="center"/>
    </xf>
    <xf numFmtId="41" fontId="23" fillId="34" borderId="0" xfId="1" applyFont="1" applyFill="1" applyBorder="1" applyAlignment="1">
      <alignment horizontal="center" vertical="center" wrapText="1"/>
    </xf>
    <xf numFmtId="41" fontId="0" fillId="34" borderId="0" xfId="1" applyFont="1" applyFill="1" applyBorder="1">
      <alignment vertical="center"/>
    </xf>
    <xf numFmtId="4" fontId="0" fillId="0" borderId="0" xfId="0" applyNumberFormat="1" applyBorder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98"/>
  <sheetViews>
    <sheetView tabSelected="1" zoomScale="85" zoomScaleNormal="85" workbookViewId="0"/>
  </sheetViews>
  <sheetFormatPr defaultColWidth="8.69921875" defaultRowHeight="17.399999999999999" x14ac:dyDescent="0.4"/>
  <cols>
    <col min="1" max="1" width="9.3984375" style="1" customWidth="1"/>
    <col min="2" max="2" width="20" style="1" bestFit="1" customWidth="1"/>
    <col min="3" max="3" width="6.5" style="1" customWidth="1"/>
    <col min="4" max="4" width="7.19921875" style="1" customWidth="1"/>
    <col min="5" max="5" width="6.796875" style="1" customWidth="1"/>
    <col min="6" max="6" width="4.796875" style="1" customWidth="1"/>
    <col min="7" max="7" width="10" style="1" bestFit="1" customWidth="1"/>
    <col min="8" max="8" width="12" style="1" bestFit="1" customWidth="1"/>
    <col min="9" max="9" width="7.3984375" style="1" customWidth="1"/>
    <col min="10" max="10" width="4.296875" style="1" customWidth="1"/>
    <col min="11" max="11" width="4.796875" style="1" customWidth="1"/>
    <col min="12" max="12" width="7.19921875" style="1" customWidth="1"/>
    <col min="13" max="13" width="6.69921875" style="1" customWidth="1"/>
    <col min="14" max="14" width="6" style="1" customWidth="1"/>
    <col min="15" max="16" width="6.296875" style="1" customWidth="1"/>
    <col min="17" max="17" width="5" style="1" customWidth="1"/>
    <col min="18" max="18" width="4.796875" style="1" customWidth="1"/>
    <col min="19" max="19" width="7.19921875" style="1" customWidth="1"/>
    <col min="20" max="20" width="6.69921875" style="1" customWidth="1"/>
    <col min="21" max="21" width="6" style="1" customWidth="1"/>
    <col min="22" max="23" width="6.296875" style="1" customWidth="1"/>
    <col min="24" max="24" width="3.59765625" style="1" customWidth="1"/>
    <col min="25" max="25" width="5" style="1" customWidth="1"/>
    <col min="26" max="27" width="3.59765625" style="1" customWidth="1"/>
    <col min="28" max="28" width="5" style="1" customWidth="1"/>
    <col min="29" max="29" width="4.296875" style="1" customWidth="1"/>
    <col min="30" max="35" width="3.59765625" style="1" customWidth="1"/>
    <col min="36" max="36" width="7.8984375" style="1" customWidth="1"/>
    <col min="37" max="37" width="12.8984375" style="1" bestFit="1" customWidth="1"/>
    <col min="38" max="38" width="12.796875" style="1" bestFit="1" customWidth="1"/>
    <col min="39" max="39" width="12.8984375" style="1" bestFit="1" customWidth="1"/>
    <col min="40" max="46" width="8.69921875" style="1"/>
    <col min="47" max="47" width="13.8984375" style="1" bestFit="1" customWidth="1"/>
    <col min="48" max="48" width="13.5" style="1" bestFit="1" customWidth="1"/>
    <col min="49" max="49" width="13.59765625" style="16" customWidth="1"/>
    <col min="50" max="16384" width="8.69921875" style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2" t="s">
        <v>88</v>
      </c>
      <c r="K1" s="12" t="s">
        <v>89</v>
      </c>
      <c r="L1" s="12" t="s">
        <v>90</v>
      </c>
      <c r="M1" s="12" t="s">
        <v>91</v>
      </c>
      <c r="N1" s="12" t="s">
        <v>92</v>
      </c>
      <c r="O1" s="12" t="s">
        <v>93</v>
      </c>
      <c r="P1" s="12" t="s">
        <v>94</v>
      </c>
      <c r="Q1" s="12" t="s">
        <v>95</v>
      </c>
      <c r="R1" s="12" t="s">
        <v>96</v>
      </c>
      <c r="S1" s="12" t="s">
        <v>88</v>
      </c>
      <c r="T1" s="12" t="s">
        <v>89</v>
      </c>
      <c r="U1" s="12" t="s">
        <v>90</v>
      </c>
      <c r="V1" s="12" t="s">
        <v>91</v>
      </c>
      <c r="W1" s="12" t="s">
        <v>92</v>
      </c>
      <c r="X1" s="12" t="s">
        <v>93</v>
      </c>
      <c r="Y1" s="12" t="s">
        <v>94</v>
      </c>
      <c r="Z1" s="12" t="s">
        <v>95</v>
      </c>
      <c r="AA1" s="12" t="s">
        <v>96</v>
      </c>
      <c r="AB1" s="12" t="s">
        <v>88</v>
      </c>
      <c r="AC1" s="12" t="s">
        <v>97</v>
      </c>
      <c r="AD1" s="12" t="s">
        <v>98</v>
      </c>
      <c r="AE1" s="12" t="s">
        <v>88</v>
      </c>
      <c r="AF1" s="12" t="s">
        <v>97</v>
      </c>
      <c r="AG1" s="12" t="s">
        <v>98</v>
      </c>
      <c r="AH1" s="12" t="s">
        <v>88</v>
      </c>
      <c r="AI1" s="12" t="s">
        <v>97</v>
      </c>
      <c r="AJ1" s="12" t="s">
        <v>98</v>
      </c>
      <c r="AK1" s="12" t="s">
        <v>88</v>
      </c>
      <c r="AL1" s="12" t="s">
        <v>97</v>
      </c>
      <c r="AM1" s="12" t="s">
        <v>98</v>
      </c>
      <c r="AN1" s="13" t="s">
        <v>99</v>
      </c>
      <c r="AO1" s="12" t="s">
        <v>88</v>
      </c>
      <c r="AP1" s="12" t="s">
        <v>97</v>
      </c>
      <c r="AQ1" s="12" t="s">
        <v>98</v>
      </c>
      <c r="AR1" s="12" t="s">
        <v>88</v>
      </c>
      <c r="AS1" s="12" t="s">
        <v>97</v>
      </c>
      <c r="AT1" s="12" t="s">
        <v>98</v>
      </c>
      <c r="AU1" s="13" t="s">
        <v>100</v>
      </c>
      <c r="AV1" s="14" t="s">
        <v>101</v>
      </c>
      <c r="AW1" s="17" t="s">
        <v>102</v>
      </c>
    </row>
    <row r="2" spans="1:49" ht="19.2" x14ac:dyDescent="0.4">
      <c r="A2" s="5" t="s">
        <v>234</v>
      </c>
      <c r="B2" s="5" t="s">
        <v>188</v>
      </c>
      <c r="C2" s="5">
        <v>454534</v>
      </c>
      <c r="D2" s="6"/>
      <c r="E2" s="5" t="s">
        <v>16</v>
      </c>
      <c r="F2" s="5" t="s">
        <v>186</v>
      </c>
      <c r="G2" s="5" t="s">
        <v>13</v>
      </c>
      <c r="H2" s="7" t="s">
        <v>8</v>
      </c>
      <c r="I2" s="7" t="s">
        <v>213</v>
      </c>
      <c r="J2" s="8">
        <v>48483</v>
      </c>
      <c r="K2" s="8">
        <v>56479</v>
      </c>
      <c r="L2" s="8">
        <v>4848300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8">
        <v>1028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71630</v>
      </c>
      <c r="AF2" s="8">
        <v>5638400</v>
      </c>
      <c r="AG2" s="8">
        <v>1524600</v>
      </c>
      <c r="AH2" s="7">
        <v>0</v>
      </c>
      <c r="AI2" s="7">
        <v>0</v>
      </c>
      <c r="AJ2" s="7">
        <v>0</v>
      </c>
      <c r="AK2" s="7">
        <v>134</v>
      </c>
      <c r="AL2" s="8">
        <v>11036</v>
      </c>
      <c r="AM2" s="8">
        <v>4200</v>
      </c>
      <c r="AN2" s="9">
        <v>3310.8</v>
      </c>
      <c r="AO2" s="7">
        <v>0</v>
      </c>
      <c r="AP2" s="7">
        <v>0</v>
      </c>
      <c r="AQ2" s="7">
        <v>0</v>
      </c>
      <c r="AR2" s="8">
        <v>12755</v>
      </c>
      <c r="AS2" s="8">
        <v>1243300</v>
      </c>
      <c r="AT2" s="8">
        <v>32200</v>
      </c>
      <c r="AU2" s="10">
        <v>13302036</v>
      </c>
      <c r="AV2" s="15">
        <f>AU2-AN2</f>
        <v>13298725.199999999</v>
      </c>
      <c r="AW2" s="16">
        <f>AV2*70%</f>
        <v>9309107.6399999987</v>
      </c>
    </row>
    <row r="3" spans="1:49" ht="19.2" x14ac:dyDescent="0.4">
      <c r="A3" s="5" t="s">
        <v>234</v>
      </c>
      <c r="B3" s="5" t="s">
        <v>160</v>
      </c>
      <c r="C3" s="5">
        <v>178856</v>
      </c>
      <c r="D3" s="6"/>
      <c r="E3" s="5" t="s">
        <v>16</v>
      </c>
      <c r="F3" s="5" t="s">
        <v>17</v>
      </c>
      <c r="G3" s="5" t="s">
        <v>13</v>
      </c>
      <c r="H3" s="7" t="s">
        <v>12</v>
      </c>
      <c r="I3" s="7" t="s">
        <v>161</v>
      </c>
      <c r="J3" s="7">
        <v>0</v>
      </c>
      <c r="K3" s="7">
        <v>45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171</v>
      </c>
      <c r="T3" s="8">
        <v>4627</v>
      </c>
      <c r="U3" s="7">
        <v>0</v>
      </c>
      <c r="V3" s="8">
        <v>3700</v>
      </c>
      <c r="W3" s="8">
        <v>13400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24398</v>
      </c>
      <c r="AF3" s="8">
        <v>1967700</v>
      </c>
      <c r="AG3" s="8">
        <v>472100</v>
      </c>
      <c r="AH3" s="7">
        <v>0</v>
      </c>
      <c r="AI3" s="7">
        <v>0</v>
      </c>
      <c r="AJ3" s="7">
        <v>0</v>
      </c>
      <c r="AK3" s="7">
        <v>65</v>
      </c>
      <c r="AL3" s="8">
        <v>1200</v>
      </c>
      <c r="AM3" s="8">
        <v>5500</v>
      </c>
      <c r="AN3" s="7">
        <v>360</v>
      </c>
      <c r="AO3" s="7">
        <v>0</v>
      </c>
      <c r="AP3" s="7">
        <v>0</v>
      </c>
      <c r="AQ3" s="7">
        <v>0</v>
      </c>
      <c r="AR3" s="8">
        <v>3420</v>
      </c>
      <c r="AS3" s="8">
        <v>335000</v>
      </c>
      <c r="AT3" s="8">
        <v>7000</v>
      </c>
      <c r="AU3" s="10">
        <v>2805600</v>
      </c>
      <c r="AV3" s="15">
        <f t="shared" ref="AV3:AV66" si="0">AU3-AN3</f>
        <v>2805240</v>
      </c>
      <c r="AW3" s="16">
        <f t="shared" ref="AW3:AW66" si="1">AV3*70%</f>
        <v>1963667.9999999998</v>
      </c>
    </row>
    <row r="4" spans="1:49" ht="19.2" x14ac:dyDescent="0.4">
      <c r="A4" s="5" t="s">
        <v>234</v>
      </c>
      <c r="B4" s="5" t="s">
        <v>15</v>
      </c>
      <c r="C4" s="5">
        <v>369220</v>
      </c>
      <c r="D4" s="6"/>
      <c r="E4" s="5" t="s">
        <v>16</v>
      </c>
      <c r="F4" s="5" t="s">
        <v>17</v>
      </c>
      <c r="G4" s="5" t="s">
        <v>13</v>
      </c>
      <c r="H4" s="7" t="s">
        <v>8</v>
      </c>
      <c r="I4" s="7" t="s">
        <v>103</v>
      </c>
      <c r="J4" s="7">
        <v>14</v>
      </c>
      <c r="K4" s="7">
        <v>258</v>
      </c>
      <c r="L4" s="8">
        <v>1400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830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20873</v>
      </c>
      <c r="AF4" s="8">
        <v>1773400</v>
      </c>
      <c r="AG4" s="8">
        <v>313900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8">
        <v>2471</v>
      </c>
      <c r="AS4" s="8">
        <v>240400</v>
      </c>
      <c r="AT4" s="8">
        <v>6700</v>
      </c>
      <c r="AU4" s="10">
        <v>2335800</v>
      </c>
      <c r="AV4" s="15">
        <f t="shared" si="0"/>
        <v>2335800</v>
      </c>
      <c r="AW4" s="16">
        <f t="shared" si="1"/>
        <v>1635060</v>
      </c>
    </row>
    <row r="5" spans="1:49" ht="19.2" x14ac:dyDescent="0.4">
      <c r="A5" s="5" t="s">
        <v>234</v>
      </c>
      <c r="B5" s="5" t="s">
        <v>155</v>
      </c>
      <c r="C5" s="5">
        <v>445688</v>
      </c>
      <c r="D5" s="6"/>
      <c r="E5" s="5" t="s">
        <v>16</v>
      </c>
      <c r="F5" s="5" t="s">
        <v>156</v>
      </c>
      <c r="G5" s="5" t="s">
        <v>13</v>
      </c>
      <c r="H5" s="7" t="s">
        <v>8</v>
      </c>
      <c r="I5" s="7" t="s">
        <v>214</v>
      </c>
      <c r="J5" s="7">
        <v>0</v>
      </c>
      <c r="K5" s="8">
        <v>10734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19450</v>
      </c>
      <c r="AF5" s="8">
        <v>1689900</v>
      </c>
      <c r="AG5" s="8">
        <v>255100</v>
      </c>
      <c r="AH5" s="7">
        <v>0</v>
      </c>
      <c r="AI5" s="7">
        <v>0</v>
      </c>
      <c r="AJ5" s="7">
        <v>0</v>
      </c>
      <c r="AK5" s="7">
        <v>18</v>
      </c>
      <c r="AL5" s="8">
        <v>1920</v>
      </c>
      <c r="AM5" s="7">
        <v>200</v>
      </c>
      <c r="AN5" s="7">
        <v>576</v>
      </c>
      <c r="AO5" s="7">
        <v>0</v>
      </c>
      <c r="AP5" s="7">
        <v>0</v>
      </c>
      <c r="AQ5" s="7">
        <v>0</v>
      </c>
      <c r="AR5" s="8">
        <v>3144</v>
      </c>
      <c r="AS5" s="8">
        <v>301000</v>
      </c>
      <c r="AT5" s="8">
        <v>13400</v>
      </c>
      <c r="AU5" s="10">
        <v>2261520</v>
      </c>
      <c r="AV5" s="15">
        <f t="shared" si="0"/>
        <v>2260944</v>
      </c>
      <c r="AW5" s="16">
        <f t="shared" si="1"/>
        <v>1582660.7999999998</v>
      </c>
    </row>
    <row r="6" spans="1:49" ht="19.2" x14ac:dyDescent="0.4">
      <c r="A6" s="5" t="s">
        <v>234</v>
      </c>
      <c r="B6" s="5" t="s">
        <v>25</v>
      </c>
      <c r="C6" s="5">
        <v>414278</v>
      </c>
      <c r="D6" s="6"/>
      <c r="E6" s="5" t="s">
        <v>16</v>
      </c>
      <c r="F6" s="5" t="s">
        <v>9</v>
      </c>
      <c r="G6" s="5" t="s">
        <v>13</v>
      </c>
      <c r="H6" s="7" t="s">
        <v>11</v>
      </c>
      <c r="I6" s="7" t="s">
        <v>78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382</v>
      </c>
      <c r="AF6" s="8">
        <v>1140900</v>
      </c>
      <c r="AG6" s="8">
        <v>72200</v>
      </c>
      <c r="AH6" s="7">
        <v>0</v>
      </c>
      <c r="AI6" s="7">
        <v>0</v>
      </c>
      <c r="AJ6" s="7">
        <v>0</v>
      </c>
      <c r="AK6" s="7">
        <v>1</v>
      </c>
      <c r="AL6" s="8">
        <v>3840</v>
      </c>
      <c r="AM6" s="7">
        <v>0</v>
      </c>
      <c r="AN6" s="9">
        <v>1152</v>
      </c>
      <c r="AO6" s="7">
        <v>0</v>
      </c>
      <c r="AP6" s="7">
        <v>0</v>
      </c>
      <c r="AQ6" s="7">
        <v>0</v>
      </c>
      <c r="AR6" s="7">
        <v>134</v>
      </c>
      <c r="AS6" s="8">
        <v>414400</v>
      </c>
      <c r="AT6" s="8">
        <v>7700</v>
      </c>
      <c r="AU6" s="10">
        <v>1639040</v>
      </c>
      <c r="AV6" s="15">
        <f t="shared" si="0"/>
        <v>1637888</v>
      </c>
      <c r="AW6" s="16">
        <f t="shared" si="1"/>
        <v>1146521.5999999999</v>
      </c>
    </row>
    <row r="7" spans="1:49" ht="19.2" x14ac:dyDescent="0.4">
      <c r="A7" s="5" t="s">
        <v>234</v>
      </c>
      <c r="B7" s="5" t="s">
        <v>162</v>
      </c>
      <c r="C7" s="5">
        <v>324335</v>
      </c>
      <c r="D7" s="6"/>
      <c r="E7" s="5" t="s">
        <v>16</v>
      </c>
      <c r="F7" s="5" t="s">
        <v>17</v>
      </c>
      <c r="G7" s="5" t="s">
        <v>13</v>
      </c>
      <c r="H7" s="7" t="s">
        <v>12</v>
      </c>
      <c r="I7" s="7" t="s">
        <v>163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413</v>
      </c>
      <c r="AF7" s="8">
        <v>1282100</v>
      </c>
      <c r="AG7" s="8">
        <v>30000</v>
      </c>
      <c r="AH7" s="7">
        <v>0</v>
      </c>
      <c r="AI7" s="7">
        <v>0</v>
      </c>
      <c r="AJ7" s="7">
        <v>0</v>
      </c>
      <c r="AK7" s="7">
        <v>1</v>
      </c>
      <c r="AL7" s="8">
        <v>3840</v>
      </c>
      <c r="AM7" s="7">
        <v>0</v>
      </c>
      <c r="AN7" s="9">
        <v>1152</v>
      </c>
      <c r="AO7" s="7">
        <v>0</v>
      </c>
      <c r="AP7" s="7">
        <v>0</v>
      </c>
      <c r="AQ7" s="7">
        <v>0</v>
      </c>
      <c r="AR7" s="7">
        <v>22</v>
      </c>
      <c r="AS7" s="8">
        <v>65500</v>
      </c>
      <c r="AT7" s="8">
        <v>1600</v>
      </c>
      <c r="AU7" s="10">
        <v>1383040</v>
      </c>
      <c r="AV7" s="15">
        <f t="shared" si="0"/>
        <v>1381888</v>
      </c>
      <c r="AW7" s="16">
        <f t="shared" si="1"/>
        <v>967321.59999999998</v>
      </c>
    </row>
    <row r="8" spans="1:49" ht="19.2" x14ac:dyDescent="0.4">
      <c r="A8" s="5" t="s">
        <v>234</v>
      </c>
      <c r="B8" s="5" t="s">
        <v>175</v>
      </c>
      <c r="C8" s="5">
        <v>449889</v>
      </c>
      <c r="D8" s="6"/>
      <c r="E8" s="5" t="s">
        <v>16</v>
      </c>
      <c r="F8" s="5" t="s">
        <v>157</v>
      </c>
      <c r="G8" s="5" t="s">
        <v>13</v>
      </c>
      <c r="H8" s="7" t="s">
        <v>8</v>
      </c>
      <c r="I8" s="7" t="s">
        <v>214</v>
      </c>
      <c r="J8" s="7">
        <v>0</v>
      </c>
      <c r="K8" s="8">
        <v>27714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191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8">
        <v>11020</v>
      </c>
      <c r="AF8" s="8">
        <v>866500</v>
      </c>
      <c r="AG8" s="8">
        <v>235500</v>
      </c>
      <c r="AH8" s="7">
        <v>0</v>
      </c>
      <c r="AI8" s="7">
        <v>0</v>
      </c>
      <c r="AJ8" s="7">
        <v>0</v>
      </c>
      <c r="AK8" s="7">
        <v>93</v>
      </c>
      <c r="AL8" s="8">
        <v>11160</v>
      </c>
      <c r="AM8" s="7">
        <v>0</v>
      </c>
      <c r="AN8" s="9">
        <v>3348</v>
      </c>
      <c r="AO8" s="7">
        <v>0</v>
      </c>
      <c r="AP8" s="7">
        <v>0</v>
      </c>
      <c r="AQ8" s="7">
        <v>0</v>
      </c>
      <c r="AR8" s="8">
        <v>1928</v>
      </c>
      <c r="AS8" s="8">
        <v>188600</v>
      </c>
      <c r="AT8" s="8">
        <v>4200</v>
      </c>
      <c r="AU8" s="10">
        <v>1305960</v>
      </c>
      <c r="AV8" s="15">
        <f t="shared" si="0"/>
        <v>1302612</v>
      </c>
      <c r="AW8" s="16">
        <f t="shared" si="1"/>
        <v>911828.39999999991</v>
      </c>
    </row>
    <row r="9" spans="1:49" ht="19.2" x14ac:dyDescent="0.4">
      <c r="A9" s="5" t="s">
        <v>234</v>
      </c>
      <c r="B9" s="5" t="s">
        <v>21</v>
      </c>
      <c r="C9" s="5">
        <v>321812</v>
      </c>
      <c r="D9" s="6"/>
      <c r="E9" s="5" t="s">
        <v>16</v>
      </c>
      <c r="F9" s="5" t="s">
        <v>17</v>
      </c>
      <c r="G9" s="5" t="s">
        <v>13</v>
      </c>
      <c r="H9" s="7" t="s">
        <v>8</v>
      </c>
      <c r="I9" s="7" t="s">
        <v>22</v>
      </c>
      <c r="J9" s="7">
        <v>0</v>
      </c>
      <c r="K9" s="7">
        <v>5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306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8057</v>
      </c>
      <c r="AF9" s="8">
        <v>626400</v>
      </c>
      <c r="AG9" s="8">
        <v>179300</v>
      </c>
      <c r="AH9" s="7">
        <v>0</v>
      </c>
      <c r="AI9" s="7">
        <v>0</v>
      </c>
      <c r="AJ9" s="7">
        <v>0</v>
      </c>
      <c r="AK9" s="7">
        <v>2</v>
      </c>
      <c r="AL9" s="7">
        <v>0</v>
      </c>
      <c r="AM9" s="7">
        <v>200</v>
      </c>
      <c r="AN9" s="7">
        <v>0</v>
      </c>
      <c r="AO9" s="7">
        <v>0</v>
      </c>
      <c r="AP9" s="7">
        <v>0</v>
      </c>
      <c r="AQ9" s="7">
        <v>0</v>
      </c>
      <c r="AR9" s="7">
        <v>914</v>
      </c>
      <c r="AS9" s="8">
        <v>89200</v>
      </c>
      <c r="AT9" s="8">
        <v>2200</v>
      </c>
      <c r="AU9" s="10">
        <v>897300</v>
      </c>
      <c r="AV9" s="15">
        <f t="shared" si="0"/>
        <v>897300</v>
      </c>
      <c r="AW9" s="16">
        <f t="shared" si="1"/>
        <v>628110</v>
      </c>
    </row>
    <row r="10" spans="1:49" ht="19.2" x14ac:dyDescent="0.4">
      <c r="A10" s="5" t="s">
        <v>234</v>
      </c>
      <c r="B10" s="5" t="s">
        <v>41</v>
      </c>
      <c r="C10" s="5">
        <v>364724</v>
      </c>
      <c r="D10" s="6"/>
      <c r="E10" s="5" t="s">
        <v>16</v>
      </c>
      <c r="F10" s="5" t="s">
        <v>42</v>
      </c>
      <c r="G10" s="5" t="s">
        <v>13</v>
      </c>
      <c r="H10" s="7" t="s">
        <v>8</v>
      </c>
      <c r="I10" s="7" t="s">
        <v>43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148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8">
        <v>5458</v>
      </c>
      <c r="AF10" s="8">
        <v>532100</v>
      </c>
      <c r="AG10" s="8">
        <v>13700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8">
        <v>1214</v>
      </c>
      <c r="AS10" s="8">
        <v>120100</v>
      </c>
      <c r="AT10" s="8">
        <v>1300</v>
      </c>
      <c r="AU10" s="10">
        <v>667200</v>
      </c>
      <c r="AV10" s="15">
        <f t="shared" si="0"/>
        <v>667200</v>
      </c>
      <c r="AW10" s="16">
        <f t="shared" si="1"/>
        <v>467039.99999999994</v>
      </c>
    </row>
    <row r="11" spans="1:49" ht="19.2" x14ac:dyDescent="0.4">
      <c r="A11" s="5" t="s">
        <v>234</v>
      </c>
      <c r="B11" s="5" t="s">
        <v>107</v>
      </c>
      <c r="C11" s="5">
        <v>429621</v>
      </c>
      <c r="D11" s="6"/>
      <c r="E11" s="5" t="s">
        <v>16</v>
      </c>
      <c r="F11" s="5" t="s">
        <v>108</v>
      </c>
      <c r="G11" s="5" t="s">
        <v>13</v>
      </c>
      <c r="H11" s="7" t="s">
        <v>11</v>
      </c>
      <c r="I11" s="7" t="s">
        <v>109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62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8">
        <v>5123</v>
      </c>
      <c r="AF11" s="8">
        <v>501500</v>
      </c>
      <c r="AG11" s="8">
        <v>10800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780</v>
      </c>
      <c r="AS11" s="8">
        <v>75100</v>
      </c>
      <c r="AT11" s="8">
        <v>2900</v>
      </c>
      <c r="AU11" s="10">
        <v>590300</v>
      </c>
      <c r="AV11" s="15">
        <f t="shared" si="0"/>
        <v>590300</v>
      </c>
      <c r="AW11" s="16">
        <f t="shared" si="1"/>
        <v>413210</v>
      </c>
    </row>
    <row r="12" spans="1:49" ht="19.2" x14ac:dyDescent="0.4">
      <c r="A12" s="5" t="s">
        <v>234</v>
      </c>
      <c r="B12" s="5" t="s">
        <v>151</v>
      </c>
      <c r="C12" s="5">
        <v>442274</v>
      </c>
      <c r="D12" s="6"/>
      <c r="E12" s="5" t="s">
        <v>16</v>
      </c>
      <c r="F12" s="5" t="s">
        <v>150</v>
      </c>
      <c r="G12" s="5" t="s">
        <v>13</v>
      </c>
      <c r="H12" s="7" t="s">
        <v>8</v>
      </c>
      <c r="I12" s="7" t="s">
        <v>215</v>
      </c>
      <c r="J12" s="7">
        <v>21</v>
      </c>
      <c r="K12" s="8">
        <v>8223</v>
      </c>
      <c r="L12" s="8">
        <v>2100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8">
        <v>3182</v>
      </c>
      <c r="AF12" s="8">
        <v>273700</v>
      </c>
      <c r="AG12" s="8">
        <v>44500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553</v>
      </c>
      <c r="AS12" s="8">
        <v>52600</v>
      </c>
      <c r="AT12" s="8">
        <v>2700</v>
      </c>
      <c r="AU12" s="10">
        <v>375600</v>
      </c>
      <c r="AV12" s="15">
        <f t="shared" si="0"/>
        <v>375600</v>
      </c>
      <c r="AW12" s="16">
        <f t="shared" si="1"/>
        <v>262920</v>
      </c>
    </row>
    <row r="13" spans="1:49" ht="19.2" x14ac:dyDescent="0.4">
      <c r="A13" s="5" t="s">
        <v>234</v>
      </c>
      <c r="B13" s="5" t="s">
        <v>84</v>
      </c>
      <c r="C13" s="5">
        <v>425289</v>
      </c>
      <c r="D13" s="6"/>
      <c r="E13" s="5" t="s">
        <v>16</v>
      </c>
      <c r="F13" s="5" t="s">
        <v>82</v>
      </c>
      <c r="G13" s="5" t="s">
        <v>13</v>
      </c>
      <c r="H13" s="7" t="s">
        <v>8</v>
      </c>
      <c r="I13" s="7" t="s">
        <v>85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168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2934</v>
      </c>
      <c r="AF13" s="8">
        <v>274100</v>
      </c>
      <c r="AG13" s="8">
        <v>19300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796</v>
      </c>
      <c r="AS13" s="8">
        <v>79400</v>
      </c>
      <c r="AT13" s="7">
        <v>200</v>
      </c>
      <c r="AU13" s="10">
        <v>373000</v>
      </c>
      <c r="AV13" s="15">
        <f t="shared" si="0"/>
        <v>373000</v>
      </c>
      <c r="AW13" s="16">
        <f t="shared" si="1"/>
        <v>261099.99999999997</v>
      </c>
    </row>
    <row r="14" spans="1:49" ht="19.2" x14ac:dyDescent="0.4">
      <c r="A14" s="5" t="s">
        <v>234</v>
      </c>
      <c r="B14" s="5" t="s">
        <v>29</v>
      </c>
      <c r="C14" s="5">
        <v>245889</v>
      </c>
      <c r="D14" s="6"/>
      <c r="E14" s="5" t="s">
        <v>16</v>
      </c>
      <c r="F14" s="5" t="s">
        <v>17</v>
      </c>
      <c r="G14" s="5" t="s">
        <v>13</v>
      </c>
      <c r="H14" s="7" t="s">
        <v>8</v>
      </c>
      <c r="I14" s="7" t="s">
        <v>30</v>
      </c>
      <c r="J14" s="7">
        <v>1</v>
      </c>
      <c r="K14" s="7">
        <v>0</v>
      </c>
      <c r="L14" s="7">
        <v>100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106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3092</v>
      </c>
      <c r="AF14" s="8">
        <v>254500</v>
      </c>
      <c r="AG14" s="8">
        <v>54700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256</v>
      </c>
      <c r="AS14" s="8">
        <v>25400</v>
      </c>
      <c r="AT14" s="7">
        <v>200</v>
      </c>
      <c r="AU14" s="10">
        <v>334900</v>
      </c>
      <c r="AV14" s="15">
        <f t="shared" si="0"/>
        <v>334900</v>
      </c>
      <c r="AW14" s="16">
        <f t="shared" si="1"/>
        <v>234429.99999999997</v>
      </c>
    </row>
    <row r="15" spans="1:49" ht="19.2" x14ac:dyDescent="0.4">
      <c r="A15" s="5" t="s">
        <v>234</v>
      </c>
      <c r="B15" s="5" t="s">
        <v>18</v>
      </c>
      <c r="C15" s="5">
        <v>387417</v>
      </c>
      <c r="D15" s="6"/>
      <c r="E15" s="5" t="s">
        <v>16</v>
      </c>
      <c r="F15" s="5" t="s">
        <v>19</v>
      </c>
      <c r="G15" s="5" t="s">
        <v>13</v>
      </c>
      <c r="H15" s="7" t="s">
        <v>8</v>
      </c>
      <c r="I15" s="7" t="s">
        <v>20</v>
      </c>
      <c r="J15" s="7">
        <v>0</v>
      </c>
      <c r="K15" s="7">
        <v>119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6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8">
        <v>2757</v>
      </c>
      <c r="AF15" s="8">
        <v>204200</v>
      </c>
      <c r="AG15" s="8">
        <v>71500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380</v>
      </c>
      <c r="AS15" s="8">
        <v>37700</v>
      </c>
      <c r="AT15" s="7">
        <v>300</v>
      </c>
      <c r="AU15" s="10">
        <v>313700</v>
      </c>
      <c r="AV15" s="15">
        <f t="shared" si="0"/>
        <v>313700</v>
      </c>
      <c r="AW15" s="16">
        <f t="shared" si="1"/>
        <v>219590</v>
      </c>
    </row>
    <row r="16" spans="1:49" ht="19.2" x14ac:dyDescent="0.4">
      <c r="A16" s="5" t="s">
        <v>234</v>
      </c>
      <c r="B16" s="5" t="s">
        <v>36</v>
      </c>
      <c r="C16" s="5">
        <v>387942</v>
      </c>
      <c r="D16" s="6"/>
      <c r="E16" s="5" t="s">
        <v>16</v>
      </c>
      <c r="F16" s="5" t="s">
        <v>37</v>
      </c>
      <c r="G16" s="5" t="s">
        <v>13</v>
      </c>
      <c r="H16" s="7" t="s">
        <v>8</v>
      </c>
      <c r="I16" s="7" t="s">
        <v>38</v>
      </c>
      <c r="J16" s="7">
        <v>0</v>
      </c>
      <c r="K16" s="7">
        <v>5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77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2372</v>
      </c>
      <c r="AF16" s="8">
        <v>221700</v>
      </c>
      <c r="AG16" s="8">
        <v>15500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727</v>
      </c>
      <c r="AS16" s="8">
        <v>71300</v>
      </c>
      <c r="AT16" s="8">
        <v>1400</v>
      </c>
      <c r="AU16" s="10">
        <v>309900</v>
      </c>
      <c r="AV16" s="15">
        <f t="shared" si="0"/>
        <v>309900</v>
      </c>
      <c r="AW16" s="16">
        <f t="shared" si="1"/>
        <v>216930</v>
      </c>
    </row>
    <row r="17" spans="1:49" ht="19.2" x14ac:dyDescent="0.4">
      <c r="A17" s="5" t="s">
        <v>234</v>
      </c>
      <c r="B17" s="5" t="s">
        <v>216</v>
      </c>
      <c r="C17" s="5">
        <v>462353</v>
      </c>
      <c r="D17" s="6"/>
      <c r="E17" s="5" t="s">
        <v>16</v>
      </c>
      <c r="F17" s="5" t="s">
        <v>186</v>
      </c>
      <c r="G17" s="5" t="s">
        <v>13</v>
      </c>
      <c r="H17" s="7" t="s">
        <v>8</v>
      </c>
      <c r="I17" s="7" t="s">
        <v>217</v>
      </c>
      <c r="J17" s="7">
        <v>10</v>
      </c>
      <c r="K17" s="7">
        <v>0</v>
      </c>
      <c r="L17" s="8">
        <v>1000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67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2466</v>
      </c>
      <c r="AF17" s="8">
        <v>231400</v>
      </c>
      <c r="AG17" s="8">
        <v>15200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367</v>
      </c>
      <c r="AS17" s="8">
        <v>34400</v>
      </c>
      <c r="AT17" s="8">
        <v>2300</v>
      </c>
      <c r="AU17" s="10">
        <v>284300</v>
      </c>
      <c r="AV17" s="15">
        <f t="shared" si="0"/>
        <v>284300</v>
      </c>
      <c r="AW17" s="16">
        <f t="shared" si="1"/>
        <v>199010</v>
      </c>
    </row>
    <row r="18" spans="1:49" ht="19.2" x14ac:dyDescent="0.4">
      <c r="A18" s="5" t="s">
        <v>234</v>
      </c>
      <c r="B18" s="5" t="s">
        <v>23</v>
      </c>
      <c r="C18" s="5">
        <v>370935</v>
      </c>
      <c r="D18" s="6"/>
      <c r="E18" s="5" t="s">
        <v>16</v>
      </c>
      <c r="F18" s="5" t="s">
        <v>17</v>
      </c>
      <c r="G18" s="5" t="s">
        <v>13</v>
      </c>
      <c r="H18" s="7" t="s">
        <v>8</v>
      </c>
      <c r="I18" s="7" t="s">
        <v>24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87</v>
      </c>
      <c r="AF18" s="8">
        <v>273900</v>
      </c>
      <c r="AG18" s="8">
        <v>4500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10">
        <v>278400</v>
      </c>
      <c r="AV18" s="15">
        <f t="shared" si="0"/>
        <v>278400</v>
      </c>
      <c r="AW18" s="16">
        <f t="shared" si="1"/>
        <v>194880</v>
      </c>
    </row>
    <row r="19" spans="1:49" ht="28.8" x14ac:dyDescent="0.4">
      <c r="A19" s="5" t="s">
        <v>234</v>
      </c>
      <c r="B19" s="5" t="s">
        <v>138</v>
      </c>
      <c r="C19" s="5">
        <v>219203</v>
      </c>
      <c r="D19" s="6"/>
      <c r="E19" s="5" t="s">
        <v>16</v>
      </c>
      <c r="F19" s="5" t="s">
        <v>139</v>
      </c>
      <c r="G19" s="5" t="s">
        <v>13</v>
      </c>
      <c r="H19" s="7" t="s">
        <v>8</v>
      </c>
      <c r="I19" s="7" t="s">
        <v>140</v>
      </c>
      <c r="J19" s="7">
        <v>7</v>
      </c>
      <c r="K19" s="7">
        <v>36</v>
      </c>
      <c r="L19" s="7">
        <v>700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8">
        <v>1604</v>
      </c>
      <c r="AC19" s="8">
        <v>116900</v>
      </c>
      <c r="AD19" s="8">
        <v>43500</v>
      </c>
      <c r="AE19" s="7">
        <v>91</v>
      </c>
      <c r="AF19" s="8">
        <v>10400</v>
      </c>
      <c r="AG19" s="8">
        <v>16900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149</v>
      </c>
      <c r="AP19" s="8">
        <v>14700</v>
      </c>
      <c r="AQ19" s="7">
        <v>200</v>
      </c>
      <c r="AR19" s="7">
        <v>0</v>
      </c>
      <c r="AS19" s="7">
        <v>0</v>
      </c>
      <c r="AT19" s="7">
        <v>0</v>
      </c>
      <c r="AU19" s="10">
        <v>203300</v>
      </c>
      <c r="AV19" s="15">
        <f t="shared" si="0"/>
        <v>203300</v>
      </c>
      <c r="AW19" s="16">
        <f t="shared" si="1"/>
        <v>142310</v>
      </c>
    </row>
    <row r="20" spans="1:49" ht="19.2" x14ac:dyDescent="0.4">
      <c r="A20" s="5" t="s">
        <v>234</v>
      </c>
      <c r="B20" s="5" t="s">
        <v>181</v>
      </c>
      <c r="C20" s="5">
        <v>392777</v>
      </c>
      <c r="D20" s="6"/>
      <c r="E20" s="5" t="s">
        <v>16</v>
      </c>
      <c r="F20" s="5" t="s">
        <v>42</v>
      </c>
      <c r="G20" s="5" t="s">
        <v>13</v>
      </c>
      <c r="H20" s="7" t="s">
        <v>8</v>
      </c>
      <c r="I20" s="7" t="s">
        <v>182</v>
      </c>
      <c r="J20" s="7">
        <v>0</v>
      </c>
      <c r="K20" s="7">
        <v>1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52</v>
      </c>
      <c r="AF20" s="8">
        <v>156000</v>
      </c>
      <c r="AG20" s="8">
        <v>10400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9</v>
      </c>
      <c r="AS20" s="8">
        <v>28600</v>
      </c>
      <c r="AT20" s="7">
        <v>200</v>
      </c>
      <c r="AU20" s="10">
        <v>195200</v>
      </c>
      <c r="AV20" s="15">
        <f t="shared" si="0"/>
        <v>195200</v>
      </c>
      <c r="AW20" s="16">
        <f t="shared" si="1"/>
        <v>136640</v>
      </c>
    </row>
    <row r="21" spans="1:49" ht="19.2" x14ac:dyDescent="0.4">
      <c r="A21" s="5" t="s">
        <v>234</v>
      </c>
      <c r="B21" s="5" t="s">
        <v>57</v>
      </c>
      <c r="C21" s="5">
        <v>316658</v>
      </c>
      <c r="D21" s="6"/>
      <c r="E21" s="5" t="s">
        <v>16</v>
      </c>
      <c r="F21" s="5" t="s">
        <v>19</v>
      </c>
      <c r="G21" s="5" t="s">
        <v>13</v>
      </c>
      <c r="H21" s="7" t="s">
        <v>8</v>
      </c>
      <c r="I21" s="7" t="s">
        <v>58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67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8">
        <v>1246</v>
      </c>
      <c r="AF21" s="8">
        <v>112600</v>
      </c>
      <c r="AG21" s="8">
        <v>12000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294</v>
      </c>
      <c r="AS21" s="8">
        <v>29400</v>
      </c>
      <c r="AT21" s="7">
        <v>0</v>
      </c>
      <c r="AU21" s="10">
        <v>154000</v>
      </c>
      <c r="AV21" s="15">
        <f t="shared" si="0"/>
        <v>154000</v>
      </c>
      <c r="AW21" s="16">
        <f t="shared" si="1"/>
        <v>107800</v>
      </c>
    </row>
    <row r="22" spans="1:49" ht="19.2" x14ac:dyDescent="0.4">
      <c r="A22" s="5" t="s">
        <v>234</v>
      </c>
      <c r="B22" s="5" t="s">
        <v>39</v>
      </c>
      <c r="C22" s="5">
        <v>388999</v>
      </c>
      <c r="D22" s="6"/>
      <c r="E22" s="5" t="s">
        <v>16</v>
      </c>
      <c r="F22" s="5" t="s">
        <v>19</v>
      </c>
      <c r="G22" s="5" t="s">
        <v>13</v>
      </c>
      <c r="H22" s="7" t="s">
        <v>8</v>
      </c>
      <c r="I22" s="7" t="s">
        <v>40</v>
      </c>
      <c r="J22" s="7">
        <v>0</v>
      </c>
      <c r="K22" s="7">
        <v>9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58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8">
        <v>1246</v>
      </c>
      <c r="AF22" s="8">
        <v>116000</v>
      </c>
      <c r="AG22" s="8">
        <v>8600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65</v>
      </c>
      <c r="AS22" s="8">
        <v>1500</v>
      </c>
      <c r="AT22" s="8">
        <v>5000</v>
      </c>
      <c r="AU22" s="10">
        <v>131100</v>
      </c>
      <c r="AV22" s="15">
        <f t="shared" si="0"/>
        <v>131100</v>
      </c>
      <c r="AW22" s="16">
        <f t="shared" si="1"/>
        <v>91770</v>
      </c>
    </row>
    <row r="23" spans="1:49" ht="19.2" x14ac:dyDescent="0.4">
      <c r="A23" s="5" t="s">
        <v>234</v>
      </c>
      <c r="B23" s="5" t="s">
        <v>166</v>
      </c>
      <c r="C23" s="5">
        <v>211158</v>
      </c>
      <c r="D23" s="6"/>
      <c r="E23" s="5" t="s">
        <v>16</v>
      </c>
      <c r="F23" s="5" t="s">
        <v>17</v>
      </c>
      <c r="G23" s="5" t="s">
        <v>13</v>
      </c>
      <c r="H23" s="7" t="s">
        <v>8</v>
      </c>
      <c r="I23" s="7" t="s">
        <v>167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20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8">
        <v>1247</v>
      </c>
      <c r="AF23" s="8">
        <v>110000</v>
      </c>
      <c r="AG23" s="8">
        <v>14700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8</v>
      </c>
      <c r="AS23" s="7">
        <v>800</v>
      </c>
      <c r="AT23" s="7">
        <v>0</v>
      </c>
      <c r="AU23" s="10">
        <v>125500</v>
      </c>
      <c r="AV23" s="15">
        <f t="shared" si="0"/>
        <v>125500</v>
      </c>
      <c r="AW23" s="16">
        <f t="shared" si="1"/>
        <v>87850</v>
      </c>
    </row>
    <row r="24" spans="1:49" ht="19.2" x14ac:dyDescent="0.4">
      <c r="A24" s="5" t="s">
        <v>234</v>
      </c>
      <c r="B24" s="5" t="s">
        <v>46</v>
      </c>
      <c r="C24" s="5">
        <v>386960</v>
      </c>
      <c r="D24" s="6"/>
      <c r="E24" s="5" t="s">
        <v>16</v>
      </c>
      <c r="F24" s="5" t="s">
        <v>47</v>
      </c>
      <c r="G24" s="5" t="s">
        <v>13</v>
      </c>
      <c r="H24" s="7" t="s">
        <v>8</v>
      </c>
      <c r="I24" s="7" t="s">
        <v>48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32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893</v>
      </c>
      <c r="AF24" s="8">
        <v>79500</v>
      </c>
      <c r="AG24" s="8">
        <v>9800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111</v>
      </c>
      <c r="AS24" s="8">
        <v>11100</v>
      </c>
      <c r="AT24" s="7">
        <v>0</v>
      </c>
      <c r="AU24" s="10">
        <v>100400</v>
      </c>
      <c r="AV24" s="15">
        <f t="shared" si="0"/>
        <v>100400</v>
      </c>
      <c r="AW24" s="16">
        <f t="shared" si="1"/>
        <v>70280</v>
      </c>
    </row>
    <row r="25" spans="1:49" ht="19.2" x14ac:dyDescent="0.4">
      <c r="A25" s="5" t="s">
        <v>234</v>
      </c>
      <c r="B25" s="5" t="s">
        <v>49</v>
      </c>
      <c r="C25" s="5">
        <v>379813</v>
      </c>
      <c r="D25" s="6"/>
      <c r="E25" s="5" t="s">
        <v>16</v>
      </c>
      <c r="F25" s="5" t="s">
        <v>17</v>
      </c>
      <c r="G25" s="5" t="s">
        <v>13</v>
      </c>
      <c r="H25" s="7" t="s">
        <v>8</v>
      </c>
      <c r="I25" s="7" t="s">
        <v>50</v>
      </c>
      <c r="J25" s="7">
        <v>0</v>
      </c>
      <c r="K25" s="7">
        <v>5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19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981</v>
      </c>
      <c r="AF25" s="8">
        <v>74200</v>
      </c>
      <c r="AG25" s="8">
        <v>23900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12</v>
      </c>
      <c r="AS25" s="8">
        <v>1000</v>
      </c>
      <c r="AT25" s="7">
        <v>200</v>
      </c>
      <c r="AU25" s="10">
        <v>99300</v>
      </c>
      <c r="AV25" s="15">
        <f t="shared" si="0"/>
        <v>99300</v>
      </c>
      <c r="AW25" s="16">
        <f t="shared" si="1"/>
        <v>69510</v>
      </c>
    </row>
    <row r="26" spans="1:49" ht="19.2" x14ac:dyDescent="0.4">
      <c r="A26" s="5" t="s">
        <v>234</v>
      </c>
      <c r="B26" s="5" t="s">
        <v>81</v>
      </c>
      <c r="C26" s="5">
        <v>395179</v>
      </c>
      <c r="D26" s="6"/>
      <c r="E26" s="5" t="s">
        <v>16</v>
      </c>
      <c r="F26" s="5" t="s">
        <v>82</v>
      </c>
      <c r="G26" s="5" t="s">
        <v>13</v>
      </c>
      <c r="H26" s="7" t="s">
        <v>8</v>
      </c>
      <c r="I26" s="7" t="s">
        <v>83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29</v>
      </c>
      <c r="AF26" s="8">
        <v>92800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10">
        <v>92800</v>
      </c>
      <c r="AV26" s="15">
        <f t="shared" si="0"/>
        <v>92800</v>
      </c>
      <c r="AW26" s="16">
        <f t="shared" si="1"/>
        <v>64959.999999999993</v>
      </c>
    </row>
    <row r="27" spans="1:49" ht="19.2" x14ac:dyDescent="0.4">
      <c r="A27" s="5" t="s">
        <v>234</v>
      </c>
      <c r="B27" s="5" t="s">
        <v>187</v>
      </c>
      <c r="C27" s="5">
        <v>428379</v>
      </c>
      <c r="D27" s="6"/>
      <c r="E27" s="5" t="s">
        <v>16</v>
      </c>
      <c r="F27" s="5" t="s">
        <v>73</v>
      </c>
      <c r="G27" s="5" t="s">
        <v>13</v>
      </c>
      <c r="H27" s="7" t="s">
        <v>11</v>
      </c>
      <c r="I27" s="7" t="s">
        <v>105</v>
      </c>
      <c r="J27" s="7">
        <v>0</v>
      </c>
      <c r="K27" s="7">
        <v>633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864</v>
      </c>
      <c r="AF27" s="8">
        <v>72600</v>
      </c>
      <c r="AG27" s="8">
        <v>13800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23</v>
      </c>
      <c r="AS27" s="8">
        <v>2300</v>
      </c>
      <c r="AT27" s="7">
        <v>0</v>
      </c>
      <c r="AU27" s="10">
        <v>88700</v>
      </c>
      <c r="AV27" s="15">
        <f t="shared" si="0"/>
        <v>88700</v>
      </c>
      <c r="AW27" s="16">
        <f t="shared" si="1"/>
        <v>62089.999999999993</v>
      </c>
    </row>
    <row r="28" spans="1:49" ht="19.2" x14ac:dyDescent="0.4">
      <c r="A28" s="5" t="s">
        <v>234</v>
      </c>
      <c r="B28" s="5" t="s">
        <v>205</v>
      </c>
      <c r="C28" s="5">
        <v>458568</v>
      </c>
      <c r="D28" s="6"/>
      <c r="E28" s="5" t="s">
        <v>16</v>
      </c>
      <c r="F28" s="5" t="s">
        <v>17</v>
      </c>
      <c r="G28" s="5" t="s">
        <v>13</v>
      </c>
      <c r="H28" s="7" t="s">
        <v>8</v>
      </c>
      <c r="I28" s="7" t="s">
        <v>199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16</v>
      </c>
      <c r="AF28" s="8">
        <v>41300</v>
      </c>
      <c r="AG28" s="8">
        <v>9900</v>
      </c>
      <c r="AH28" s="7">
        <v>0</v>
      </c>
      <c r="AI28" s="7">
        <v>0</v>
      </c>
      <c r="AJ28" s="7">
        <v>0</v>
      </c>
      <c r="AK28" s="7">
        <v>3</v>
      </c>
      <c r="AL28" s="8">
        <v>11520</v>
      </c>
      <c r="AM28" s="7">
        <v>0</v>
      </c>
      <c r="AN28" s="9">
        <v>3456</v>
      </c>
      <c r="AO28" s="7">
        <v>0</v>
      </c>
      <c r="AP28" s="7">
        <v>0</v>
      </c>
      <c r="AQ28" s="7">
        <v>0</v>
      </c>
      <c r="AR28" s="7">
        <v>8</v>
      </c>
      <c r="AS28" s="8">
        <v>25400</v>
      </c>
      <c r="AT28" s="7">
        <v>200</v>
      </c>
      <c r="AU28" s="10">
        <v>88320</v>
      </c>
      <c r="AV28" s="15">
        <f t="shared" si="0"/>
        <v>84864</v>
      </c>
      <c r="AW28" s="16">
        <f t="shared" si="1"/>
        <v>59404.799999999996</v>
      </c>
    </row>
    <row r="29" spans="1:49" ht="19.2" x14ac:dyDescent="0.4">
      <c r="A29" s="5" t="s">
        <v>234</v>
      </c>
      <c r="B29" s="5" t="s">
        <v>218</v>
      </c>
      <c r="C29" s="5">
        <v>462361</v>
      </c>
      <c r="D29" s="6"/>
      <c r="E29" s="5" t="s">
        <v>16</v>
      </c>
      <c r="F29" s="5" t="s">
        <v>186</v>
      </c>
      <c r="G29" s="5" t="s">
        <v>13</v>
      </c>
      <c r="H29" s="7" t="s">
        <v>8</v>
      </c>
      <c r="I29" s="7" t="s">
        <v>219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19</v>
      </c>
      <c r="AF29" s="8">
        <v>57600</v>
      </c>
      <c r="AG29" s="8">
        <v>3200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7</v>
      </c>
      <c r="AS29" s="8">
        <v>22200</v>
      </c>
      <c r="AT29" s="7">
        <v>200</v>
      </c>
      <c r="AU29" s="10">
        <v>83200</v>
      </c>
      <c r="AV29" s="15">
        <f t="shared" si="0"/>
        <v>83200</v>
      </c>
      <c r="AW29" s="16">
        <f t="shared" si="1"/>
        <v>58239.999999999993</v>
      </c>
    </row>
    <row r="30" spans="1:49" ht="19.2" x14ac:dyDescent="0.4">
      <c r="A30" s="5" t="s">
        <v>234</v>
      </c>
      <c r="B30" s="5" t="s">
        <v>112</v>
      </c>
      <c r="C30" s="5">
        <v>429496</v>
      </c>
      <c r="D30" s="6"/>
      <c r="E30" s="5" t="s">
        <v>16</v>
      </c>
      <c r="F30" s="5" t="s">
        <v>113</v>
      </c>
      <c r="G30" s="5" t="s">
        <v>13</v>
      </c>
      <c r="H30" s="7" t="s">
        <v>8</v>
      </c>
      <c r="I30" s="7" t="s">
        <v>114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16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638</v>
      </c>
      <c r="AF30" s="8">
        <v>40400</v>
      </c>
      <c r="AG30" s="8">
        <v>23400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149</v>
      </c>
      <c r="AS30" s="8">
        <v>14700</v>
      </c>
      <c r="AT30" s="7">
        <v>200</v>
      </c>
      <c r="AU30" s="10">
        <v>78700</v>
      </c>
      <c r="AV30" s="15">
        <f t="shared" si="0"/>
        <v>78700</v>
      </c>
      <c r="AW30" s="16">
        <f t="shared" si="1"/>
        <v>55090</v>
      </c>
    </row>
    <row r="31" spans="1:49" ht="19.2" x14ac:dyDescent="0.4">
      <c r="A31" s="5" t="s">
        <v>234</v>
      </c>
      <c r="B31" s="5" t="s">
        <v>220</v>
      </c>
      <c r="C31" s="5">
        <v>463946</v>
      </c>
      <c r="D31" s="6"/>
      <c r="E31" s="5" t="s">
        <v>16</v>
      </c>
      <c r="F31" s="5" t="s">
        <v>221</v>
      </c>
      <c r="G31" s="5" t="s">
        <v>13</v>
      </c>
      <c r="H31" s="7" t="s">
        <v>8</v>
      </c>
      <c r="I31" s="7" t="s">
        <v>222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4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621</v>
      </c>
      <c r="AF31" s="8">
        <v>56400</v>
      </c>
      <c r="AG31" s="8">
        <v>5700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137</v>
      </c>
      <c r="AS31" s="8">
        <v>12900</v>
      </c>
      <c r="AT31" s="7">
        <v>800</v>
      </c>
      <c r="AU31" s="10">
        <v>75800</v>
      </c>
      <c r="AV31" s="15">
        <f t="shared" si="0"/>
        <v>75800</v>
      </c>
      <c r="AW31" s="16">
        <f t="shared" si="1"/>
        <v>53060</v>
      </c>
    </row>
    <row r="32" spans="1:49" ht="19.2" x14ac:dyDescent="0.4">
      <c r="A32" s="5" t="s">
        <v>234</v>
      </c>
      <c r="B32" s="5" t="s">
        <v>176</v>
      </c>
      <c r="C32" s="5">
        <v>423328</v>
      </c>
      <c r="D32" s="6"/>
      <c r="E32" s="5" t="s">
        <v>16</v>
      </c>
      <c r="F32" s="5" t="s">
        <v>17</v>
      </c>
      <c r="G32" s="5" t="s">
        <v>13</v>
      </c>
      <c r="H32" s="7" t="s">
        <v>8</v>
      </c>
      <c r="I32" s="7" t="s">
        <v>177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22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664</v>
      </c>
      <c r="AF32" s="8">
        <v>62800</v>
      </c>
      <c r="AG32" s="8">
        <v>3600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85</v>
      </c>
      <c r="AS32" s="8">
        <v>8100</v>
      </c>
      <c r="AT32" s="7">
        <v>400</v>
      </c>
      <c r="AU32" s="10">
        <v>74900</v>
      </c>
      <c r="AV32" s="15">
        <f t="shared" si="0"/>
        <v>74900</v>
      </c>
      <c r="AW32" s="16">
        <f t="shared" si="1"/>
        <v>52430</v>
      </c>
    </row>
    <row r="33" spans="1:49" ht="19.2" x14ac:dyDescent="0.4">
      <c r="A33" s="5" t="s">
        <v>234</v>
      </c>
      <c r="B33" s="5" t="s">
        <v>126</v>
      </c>
      <c r="C33" s="5">
        <v>434558</v>
      </c>
      <c r="D33" s="6"/>
      <c r="E33" s="5" t="s">
        <v>16</v>
      </c>
      <c r="F33" s="5" t="s">
        <v>127</v>
      </c>
      <c r="G33" s="5" t="s">
        <v>13</v>
      </c>
      <c r="H33" s="7" t="s">
        <v>8</v>
      </c>
      <c r="I33" s="7" t="s">
        <v>164</v>
      </c>
      <c r="J33" s="7">
        <v>1</v>
      </c>
      <c r="K33" s="8">
        <v>1279</v>
      </c>
      <c r="L33" s="7">
        <v>100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9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491</v>
      </c>
      <c r="AF33" s="8">
        <v>41200</v>
      </c>
      <c r="AG33" s="8">
        <v>7900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220</v>
      </c>
      <c r="AS33" s="8">
        <v>21800</v>
      </c>
      <c r="AT33" s="7">
        <v>200</v>
      </c>
      <c r="AU33" s="10">
        <v>71200</v>
      </c>
      <c r="AV33" s="15">
        <f t="shared" si="0"/>
        <v>71200</v>
      </c>
      <c r="AW33" s="16">
        <f t="shared" si="1"/>
        <v>49840</v>
      </c>
    </row>
    <row r="34" spans="1:49" ht="19.2" x14ac:dyDescent="0.4">
      <c r="A34" s="5" t="s">
        <v>234</v>
      </c>
      <c r="B34" s="5" t="s">
        <v>203</v>
      </c>
      <c r="C34" s="5">
        <v>441958</v>
      </c>
      <c r="D34" s="6"/>
      <c r="E34" s="5" t="s">
        <v>16</v>
      </c>
      <c r="F34" s="5" t="s">
        <v>108</v>
      </c>
      <c r="G34" s="5" t="s">
        <v>13</v>
      </c>
      <c r="H34" s="7" t="s">
        <v>11</v>
      </c>
      <c r="I34" s="7" t="s">
        <v>197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17</v>
      </c>
      <c r="AC34" s="8">
        <v>28900</v>
      </c>
      <c r="AD34" s="7">
        <v>0</v>
      </c>
      <c r="AE34" s="7">
        <v>9</v>
      </c>
      <c r="AF34" s="8">
        <v>20600</v>
      </c>
      <c r="AG34" s="8">
        <v>1000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5</v>
      </c>
      <c r="AP34" s="8">
        <v>8500</v>
      </c>
      <c r="AQ34" s="7">
        <v>0</v>
      </c>
      <c r="AR34" s="7">
        <v>5</v>
      </c>
      <c r="AS34" s="8">
        <v>10000</v>
      </c>
      <c r="AT34" s="8">
        <v>2000</v>
      </c>
      <c r="AU34" s="10">
        <v>71000</v>
      </c>
      <c r="AV34" s="15">
        <f t="shared" si="0"/>
        <v>71000</v>
      </c>
      <c r="AW34" s="16">
        <f t="shared" si="1"/>
        <v>49700</v>
      </c>
    </row>
    <row r="35" spans="1:49" ht="19.2" x14ac:dyDescent="0.4">
      <c r="A35" s="5" t="s">
        <v>234</v>
      </c>
      <c r="B35" s="5" t="s">
        <v>206</v>
      </c>
      <c r="C35" s="5">
        <v>458566</v>
      </c>
      <c r="D35" s="6"/>
      <c r="E35" s="5" t="s">
        <v>16</v>
      </c>
      <c r="F35" s="5" t="s">
        <v>17</v>
      </c>
      <c r="G35" s="5" t="s">
        <v>13</v>
      </c>
      <c r="H35" s="7" t="s">
        <v>8</v>
      </c>
      <c r="I35" s="7" t="s">
        <v>199</v>
      </c>
      <c r="J35" s="7">
        <v>4</v>
      </c>
      <c r="K35" s="7">
        <v>0</v>
      </c>
      <c r="L35" s="8">
        <v>12800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13</v>
      </c>
      <c r="AF35" s="8">
        <v>41600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5</v>
      </c>
      <c r="AS35" s="8">
        <v>16000</v>
      </c>
      <c r="AT35" s="7">
        <v>0</v>
      </c>
      <c r="AU35" s="10">
        <v>70400</v>
      </c>
      <c r="AV35" s="15">
        <f t="shared" si="0"/>
        <v>70400</v>
      </c>
      <c r="AW35" s="16">
        <f t="shared" si="1"/>
        <v>49280</v>
      </c>
    </row>
    <row r="36" spans="1:49" ht="19.2" x14ac:dyDescent="0.4">
      <c r="A36" s="5" t="s">
        <v>234</v>
      </c>
      <c r="B36" s="5" t="s">
        <v>44</v>
      </c>
      <c r="C36" s="5">
        <v>290890</v>
      </c>
      <c r="D36" s="6"/>
      <c r="E36" s="5" t="s">
        <v>16</v>
      </c>
      <c r="F36" s="5" t="s">
        <v>17</v>
      </c>
      <c r="G36" s="5" t="s">
        <v>13</v>
      </c>
      <c r="H36" s="7" t="s">
        <v>8</v>
      </c>
      <c r="I36" s="7" t="s">
        <v>45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73</v>
      </c>
      <c r="AC36" s="8">
        <v>56700</v>
      </c>
      <c r="AD36" s="8">
        <v>8300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6</v>
      </c>
      <c r="AP36" s="8">
        <v>5200</v>
      </c>
      <c r="AQ36" s="7">
        <v>0</v>
      </c>
      <c r="AR36" s="7">
        <v>0</v>
      </c>
      <c r="AS36" s="7">
        <v>0</v>
      </c>
      <c r="AT36" s="7">
        <v>0</v>
      </c>
      <c r="AU36" s="10">
        <v>70200</v>
      </c>
      <c r="AV36" s="15">
        <f t="shared" si="0"/>
        <v>70200</v>
      </c>
      <c r="AW36" s="16">
        <f t="shared" si="1"/>
        <v>49140</v>
      </c>
    </row>
    <row r="37" spans="1:49" ht="19.2" x14ac:dyDescent="0.4">
      <c r="A37" s="5" t="s">
        <v>234</v>
      </c>
      <c r="B37" s="5" t="s">
        <v>170</v>
      </c>
      <c r="C37" s="5">
        <v>407733</v>
      </c>
      <c r="D37" s="6"/>
      <c r="E37" s="5" t="s">
        <v>16</v>
      </c>
      <c r="F37" s="5" t="s">
        <v>17</v>
      </c>
      <c r="G37" s="5" t="s">
        <v>13</v>
      </c>
      <c r="H37" s="7" t="s">
        <v>8</v>
      </c>
      <c r="I37" s="7" t="s">
        <v>171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23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609</v>
      </c>
      <c r="AF37" s="8">
        <v>44400</v>
      </c>
      <c r="AG37" s="8">
        <v>16500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78</v>
      </c>
      <c r="AS37" s="8">
        <v>7800</v>
      </c>
      <c r="AT37" s="7">
        <v>0</v>
      </c>
      <c r="AU37" s="10">
        <v>68700</v>
      </c>
      <c r="AV37" s="15">
        <f t="shared" si="0"/>
        <v>68700</v>
      </c>
      <c r="AW37" s="16">
        <f t="shared" si="1"/>
        <v>48090</v>
      </c>
    </row>
    <row r="38" spans="1:49" ht="19.2" x14ac:dyDescent="0.4">
      <c r="A38" s="5" t="s">
        <v>234</v>
      </c>
      <c r="B38" s="5" t="s">
        <v>34</v>
      </c>
      <c r="C38" s="5">
        <v>408579</v>
      </c>
      <c r="D38" s="6"/>
      <c r="E38" s="5" t="s">
        <v>16</v>
      </c>
      <c r="F38" s="5" t="s">
        <v>17</v>
      </c>
      <c r="G38" s="5" t="s">
        <v>13</v>
      </c>
      <c r="H38" s="7" t="s">
        <v>8</v>
      </c>
      <c r="I38" s="7" t="s">
        <v>35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18</v>
      </c>
      <c r="AF38" s="8">
        <v>48000</v>
      </c>
      <c r="AG38" s="8">
        <v>9600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3</v>
      </c>
      <c r="AS38" s="8">
        <v>9600</v>
      </c>
      <c r="AT38" s="7">
        <v>0</v>
      </c>
      <c r="AU38" s="10">
        <v>67200</v>
      </c>
      <c r="AV38" s="15">
        <f t="shared" si="0"/>
        <v>67200</v>
      </c>
      <c r="AW38" s="16">
        <f t="shared" si="1"/>
        <v>47040</v>
      </c>
    </row>
    <row r="39" spans="1:49" ht="19.2" x14ac:dyDescent="0.4">
      <c r="A39" s="5" t="s">
        <v>234</v>
      </c>
      <c r="B39" s="5" t="s">
        <v>110</v>
      </c>
      <c r="C39" s="5">
        <v>425414</v>
      </c>
      <c r="D39" s="6"/>
      <c r="E39" s="5" t="s">
        <v>16</v>
      </c>
      <c r="F39" s="5" t="s">
        <v>111</v>
      </c>
      <c r="G39" s="5" t="s">
        <v>13</v>
      </c>
      <c r="H39" s="7" t="s">
        <v>8</v>
      </c>
      <c r="I39" s="7" t="s">
        <v>136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551</v>
      </c>
      <c r="AF39" s="8">
        <v>50900</v>
      </c>
      <c r="AG39" s="8">
        <v>4200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88</v>
      </c>
      <c r="AS39" s="8">
        <v>8800</v>
      </c>
      <c r="AT39" s="7">
        <v>0</v>
      </c>
      <c r="AU39" s="10">
        <v>63900</v>
      </c>
      <c r="AV39" s="15">
        <f t="shared" si="0"/>
        <v>63900</v>
      </c>
      <c r="AW39" s="16">
        <f t="shared" si="1"/>
        <v>44730</v>
      </c>
    </row>
    <row r="40" spans="1:49" ht="19.2" x14ac:dyDescent="0.4">
      <c r="A40" s="5" t="s">
        <v>234</v>
      </c>
      <c r="B40" s="5" t="s">
        <v>63</v>
      </c>
      <c r="C40" s="5">
        <v>391329</v>
      </c>
      <c r="D40" s="6"/>
      <c r="E40" s="5" t="s">
        <v>16</v>
      </c>
      <c r="F40" s="5" t="s">
        <v>19</v>
      </c>
      <c r="G40" s="5" t="s">
        <v>13</v>
      </c>
      <c r="H40" s="7" t="s">
        <v>8</v>
      </c>
      <c r="I40" s="7" t="s">
        <v>64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17</v>
      </c>
      <c r="AF40" s="8">
        <v>53900</v>
      </c>
      <c r="AG40" s="7">
        <v>500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0">
        <v>54400</v>
      </c>
      <c r="AV40" s="15">
        <f t="shared" si="0"/>
        <v>54400</v>
      </c>
      <c r="AW40" s="16">
        <f t="shared" si="1"/>
        <v>38080</v>
      </c>
    </row>
    <row r="41" spans="1:49" ht="19.2" x14ac:dyDescent="0.4">
      <c r="A41" s="5" t="s">
        <v>234</v>
      </c>
      <c r="B41" s="5" t="s">
        <v>51</v>
      </c>
      <c r="C41" s="5">
        <v>406849</v>
      </c>
      <c r="D41" s="6"/>
      <c r="E41" s="5" t="s">
        <v>16</v>
      </c>
      <c r="F41" s="5" t="s">
        <v>52</v>
      </c>
      <c r="G41" s="5" t="s">
        <v>13</v>
      </c>
      <c r="H41" s="7" t="s">
        <v>8</v>
      </c>
      <c r="I41" s="7" t="s">
        <v>53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28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144</v>
      </c>
      <c r="AF41" s="8">
        <v>11900</v>
      </c>
      <c r="AG41" s="8">
        <v>2500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380</v>
      </c>
      <c r="AS41" s="8">
        <v>37300</v>
      </c>
      <c r="AT41" s="7">
        <v>700</v>
      </c>
      <c r="AU41" s="10">
        <v>52400</v>
      </c>
      <c r="AV41" s="15">
        <f t="shared" si="0"/>
        <v>52400</v>
      </c>
      <c r="AW41" s="16">
        <f t="shared" si="1"/>
        <v>36680</v>
      </c>
    </row>
    <row r="42" spans="1:49" ht="19.2" x14ac:dyDescent="0.4">
      <c r="A42" s="5" t="s">
        <v>234</v>
      </c>
      <c r="B42" s="5" t="s">
        <v>75</v>
      </c>
      <c r="C42" s="5">
        <v>297776</v>
      </c>
      <c r="D42" s="6"/>
      <c r="E42" s="5" t="s">
        <v>16</v>
      </c>
      <c r="F42" s="5" t="s">
        <v>76</v>
      </c>
      <c r="G42" s="5" t="s">
        <v>13</v>
      </c>
      <c r="H42" s="7" t="s">
        <v>12</v>
      </c>
      <c r="I42" s="7" t="s">
        <v>77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50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371</v>
      </c>
      <c r="AF42" s="8">
        <v>36000</v>
      </c>
      <c r="AG42" s="8">
        <v>1100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107</v>
      </c>
      <c r="AS42" s="8">
        <v>10500</v>
      </c>
      <c r="AT42" s="7">
        <v>200</v>
      </c>
      <c r="AU42" s="10">
        <v>47800</v>
      </c>
      <c r="AV42" s="15">
        <f t="shared" si="0"/>
        <v>47800</v>
      </c>
      <c r="AW42" s="16">
        <f t="shared" si="1"/>
        <v>33460</v>
      </c>
    </row>
    <row r="43" spans="1:49" ht="19.2" x14ac:dyDescent="0.4">
      <c r="A43" s="5" t="s">
        <v>234</v>
      </c>
      <c r="B43" s="5" t="s">
        <v>31</v>
      </c>
      <c r="C43" s="5">
        <v>325640</v>
      </c>
      <c r="D43" s="6"/>
      <c r="E43" s="5" t="s">
        <v>16</v>
      </c>
      <c r="F43" s="5" t="s">
        <v>32</v>
      </c>
      <c r="G43" s="5" t="s">
        <v>13</v>
      </c>
      <c r="H43" s="7" t="s">
        <v>8</v>
      </c>
      <c r="I43" s="7" t="s">
        <v>33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28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385</v>
      </c>
      <c r="AF43" s="8">
        <v>32700</v>
      </c>
      <c r="AG43" s="8">
        <v>5800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75</v>
      </c>
      <c r="AS43" s="8">
        <v>7500</v>
      </c>
      <c r="AT43" s="7">
        <v>0</v>
      </c>
      <c r="AU43" s="10">
        <v>46000</v>
      </c>
      <c r="AV43" s="15">
        <f t="shared" si="0"/>
        <v>46000</v>
      </c>
      <c r="AW43" s="16">
        <f t="shared" si="1"/>
        <v>32199.999999999996</v>
      </c>
    </row>
    <row r="44" spans="1:49" ht="19.2" x14ac:dyDescent="0.4">
      <c r="A44" s="5" t="s">
        <v>234</v>
      </c>
      <c r="B44" s="5" t="s">
        <v>54</v>
      </c>
      <c r="C44" s="5">
        <v>422032</v>
      </c>
      <c r="D44" s="6"/>
      <c r="E44" s="5" t="s">
        <v>16</v>
      </c>
      <c r="F44" s="5" t="s">
        <v>55</v>
      </c>
      <c r="G44" s="5" t="s">
        <v>13</v>
      </c>
      <c r="H44" s="7" t="s">
        <v>12</v>
      </c>
      <c r="I44" s="7" t="s">
        <v>56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2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380</v>
      </c>
      <c r="AF44" s="8">
        <v>37500</v>
      </c>
      <c r="AG44" s="7">
        <v>500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12</v>
      </c>
      <c r="AS44" s="8">
        <v>1200</v>
      </c>
      <c r="AT44" s="7">
        <v>0</v>
      </c>
      <c r="AU44" s="10">
        <v>39200</v>
      </c>
      <c r="AV44" s="15">
        <f t="shared" si="0"/>
        <v>39200</v>
      </c>
      <c r="AW44" s="16">
        <f t="shared" si="1"/>
        <v>27440</v>
      </c>
    </row>
    <row r="45" spans="1:49" ht="19.2" x14ac:dyDescent="0.4">
      <c r="A45" s="5" t="s">
        <v>234</v>
      </c>
      <c r="B45" s="5" t="s">
        <v>129</v>
      </c>
      <c r="C45" s="5">
        <v>351033</v>
      </c>
      <c r="D45" s="6" t="s">
        <v>130</v>
      </c>
      <c r="E45" s="5" t="s">
        <v>16</v>
      </c>
      <c r="F45" s="5" t="s">
        <v>17</v>
      </c>
      <c r="G45" s="5" t="s">
        <v>13</v>
      </c>
      <c r="H45" s="7" t="s">
        <v>8</v>
      </c>
      <c r="I45" s="7" t="s">
        <v>131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375</v>
      </c>
      <c r="AF45" s="8">
        <v>37500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10">
        <v>37500</v>
      </c>
      <c r="AV45" s="15">
        <f t="shared" si="0"/>
        <v>37500</v>
      </c>
      <c r="AW45" s="16">
        <f t="shared" si="1"/>
        <v>26250</v>
      </c>
    </row>
    <row r="46" spans="1:49" ht="19.2" x14ac:dyDescent="0.4">
      <c r="A46" s="5" t="s">
        <v>234</v>
      </c>
      <c r="B46" s="5" t="s">
        <v>59</v>
      </c>
      <c r="C46" s="5">
        <v>251205</v>
      </c>
      <c r="D46" s="6"/>
      <c r="E46" s="5" t="s">
        <v>16</v>
      </c>
      <c r="F46" s="5" t="s">
        <v>19</v>
      </c>
      <c r="G46" s="5" t="s">
        <v>13</v>
      </c>
      <c r="H46" s="7" t="s">
        <v>8</v>
      </c>
      <c r="I46" s="7" t="s">
        <v>60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18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360</v>
      </c>
      <c r="AF46" s="8">
        <v>27600</v>
      </c>
      <c r="AG46" s="8">
        <v>8400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10">
        <v>36000</v>
      </c>
      <c r="AV46" s="15">
        <f t="shared" si="0"/>
        <v>36000</v>
      </c>
      <c r="AW46" s="16">
        <f t="shared" si="1"/>
        <v>25200</v>
      </c>
    </row>
    <row r="47" spans="1:49" ht="19.2" x14ac:dyDescent="0.4">
      <c r="A47" s="5" t="s">
        <v>234</v>
      </c>
      <c r="B47" s="5" t="s">
        <v>198</v>
      </c>
      <c r="C47" s="5">
        <v>458561</v>
      </c>
      <c r="D47" s="6"/>
      <c r="E47" s="5" t="s">
        <v>16</v>
      </c>
      <c r="F47" s="5" t="s">
        <v>17</v>
      </c>
      <c r="G47" s="5" t="s">
        <v>13</v>
      </c>
      <c r="H47" s="7" t="s">
        <v>8</v>
      </c>
      <c r="I47" s="7" t="s">
        <v>199</v>
      </c>
      <c r="J47" s="7">
        <v>14</v>
      </c>
      <c r="K47" s="7">
        <v>0</v>
      </c>
      <c r="L47" s="8">
        <v>1400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319</v>
      </c>
      <c r="AF47" s="8">
        <v>30400</v>
      </c>
      <c r="AG47" s="8">
        <v>1500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10">
        <v>33300</v>
      </c>
      <c r="AV47" s="15">
        <f t="shared" si="0"/>
        <v>33300</v>
      </c>
      <c r="AW47" s="16">
        <f t="shared" si="1"/>
        <v>23310</v>
      </c>
    </row>
    <row r="48" spans="1:49" ht="19.2" x14ac:dyDescent="0.4">
      <c r="A48" s="5" t="s">
        <v>234</v>
      </c>
      <c r="B48" s="5" t="s">
        <v>65</v>
      </c>
      <c r="C48" s="5">
        <v>410142</v>
      </c>
      <c r="D48" s="6"/>
      <c r="E48" s="5" t="s">
        <v>16</v>
      </c>
      <c r="F48" s="5" t="s">
        <v>47</v>
      </c>
      <c r="G48" s="5" t="s">
        <v>13</v>
      </c>
      <c r="H48" s="7" t="s">
        <v>8</v>
      </c>
      <c r="I48" s="7" t="s">
        <v>14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10</v>
      </c>
      <c r="AF48" s="8">
        <v>28800</v>
      </c>
      <c r="AG48" s="8">
        <v>3200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0">
        <v>32000</v>
      </c>
      <c r="AV48" s="15">
        <f t="shared" si="0"/>
        <v>32000</v>
      </c>
      <c r="AW48" s="16">
        <f t="shared" si="1"/>
        <v>22400</v>
      </c>
    </row>
    <row r="49" spans="1:49" ht="19.2" x14ac:dyDescent="0.4">
      <c r="A49" s="5" t="s">
        <v>234</v>
      </c>
      <c r="B49" s="5" t="s">
        <v>189</v>
      </c>
      <c r="C49" s="5">
        <v>414343</v>
      </c>
      <c r="D49" s="6"/>
      <c r="E49" s="5" t="s">
        <v>16</v>
      </c>
      <c r="F49" s="5" t="s">
        <v>9</v>
      </c>
      <c r="G49" s="5" t="s">
        <v>13</v>
      </c>
      <c r="H49" s="7" t="s">
        <v>8</v>
      </c>
      <c r="I49" s="7" t="s">
        <v>146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10</v>
      </c>
      <c r="AF49" s="8">
        <v>32000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10">
        <v>32000</v>
      </c>
      <c r="AV49" s="15">
        <f t="shared" si="0"/>
        <v>32000</v>
      </c>
      <c r="AW49" s="16">
        <f t="shared" si="1"/>
        <v>22400</v>
      </c>
    </row>
    <row r="50" spans="1:49" ht="19.2" x14ac:dyDescent="0.4">
      <c r="A50" s="5" t="s">
        <v>234</v>
      </c>
      <c r="B50" s="5" t="s">
        <v>178</v>
      </c>
      <c r="C50" s="5">
        <v>134596</v>
      </c>
      <c r="D50" s="6" t="s">
        <v>179</v>
      </c>
      <c r="E50" s="5" t="s">
        <v>16</v>
      </c>
      <c r="F50" s="5" t="s">
        <v>17</v>
      </c>
      <c r="G50" s="5" t="s">
        <v>13</v>
      </c>
      <c r="H50" s="7" t="s">
        <v>8</v>
      </c>
      <c r="I50" s="7" t="s">
        <v>180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9</v>
      </c>
      <c r="AF50" s="8">
        <v>28800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10">
        <v>28800</v>
      </c>
      <c r="AV50" s="15">
        <f t="shared" si="0"/>
        <v>28800</v>
      </c>
      <c r="AW50" s="16">
        <f t="shared" si="1"/>
        <v>20160</v>
      </c>
    </row>
    <row r="51" spans="1:49" ht="19.2" x14ac:dyDescent="0.4">
      <c r="A51" s="5" t="s">
        <v>234</v>
      </c>
      <c r="B51" s="5" t="s">
        <v>128</v>
      </c>
      <c r="C51" s="5">
        <v>433508</v>
      </c>
      <c r="D51" s="6"/>
      <c r="E51" s="5" t="s">
        <v>16</v>
      </c>
      <c r="F51" s="5" t="s">
        <v>122</v>
      </c>
      <c r="G51" s="5" t="s">
        <v>13</v>
      </c>
      <c r="H51" s="7" t="s">
        <v>8</v>
      </c>
      <c r="I51" s="7" t="s">
        <v>153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4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234</v>
      </c>
      <c r="AF51" s="8">
        <v>13500</v>
      </c>
      <c r="AG51" s="8">
        <v>9900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34</v>
      </c>
      <c r="AS51" s="8">
        <v>3400</v>
      </c>
      <c r="AT51" s="7">
        <v>0</v>
      </c>
      <c r="AU51" s="10">
        <v>26800</v>
      </c>
      <c r="AV51" s="15">
        <f t="shared" si="0"/>
        <v>26800</v>
      </c>
      <c r="AW51" s="16">
        <f t="shared" si="1"/>
        <v>18760</v>
      </c>
    </row>
    <row r="52" spans="1:49" ht="19.2" x14ac:dyDescent="0.4">
      <c r="A52" s="5" t="s">
        <v>234</v>
      </c>
      <c r="B52" s="5" t="s">
        <v>192</v>
      </c>
      <c r="C52" s="5">
        <v>422368</v>
      </c>
      <c r="D52" s="6"/>
      <c r="E52" s="5" t="s">
        <v>16</v>
      </c>
      <c r="F52" s="5" t="s">
        <v>52</v>
      </c>
      <c r="G52" s="5" t="s">
        <v>13</v>
      </c>
      <c r="H52" s="7" t="s">
        <v>8</v>
      </c>
      <c r="I52" s="7" t="s">
        <v>193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7</v>
      </c>
      <c r="AF52" s="8">
        <v>22400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10">
        <v>22400</v>
      </c>
      <c r="AV52" s="15">
        <f t="shared" si="0"/>
        <v>22400</v>
      </c>
      <c r="AW52" s="16">
        <f t="shared" si="1"/>
        <v>15679.999999999998</v>
      </c>
    </row>
    <row r="53" spans="1:49" ht="19.2" x14ac:dyDescent="0.4">
      <c r="A53" s="5" t="s">
        <v>234</v>
      </c>
      <c r="B53" s="5" t="s">
        <v>223</v>
      </c>
      <c r="C53" s="5">
        <v>463950</v>
      </c>
      <c r="D53" s="6"/>
      <c r="E53" s="5" t="s">
        <v>16</v>
      </c>
      <c r="F53" s="5" t="s">
        <v>224</v>
      </c>
      <c r="G53" s="5" t="s">
        <v>13</v>
      </c>
      <c r="H53" s="7" t="s">
        <v>8</v>
      </c>
      <c r="I53" s="7" t="s">
        <v>222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7</v>
      </c>
      <c r="AF53" s="8">
        <v>22400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10">
        <v>22400</v>
      </c>
      <c r="AV53" s="15">
        <f t="shared" si="0"/>
        <v>22400</v>
      </c>
      <c r="AW53" s="16">
        <f t="shared" si="1"/>
        <v>15679.999999999998</v>
      </c>
    </row>
    <row r="54" spans="1:49" ht="19.2" x14ac:dyDescent="0.4">
      <c r="A54" s="5" t="s">
        <v>234</v>
      </c>
      <c r="B54" s="5" t="s">
        <v>79</v>
      </c>
      <c r="C54" s="5">
        <v>419744</v>
      </c>
      <c r="D54" s="6"/>
      <c r="E54" s="5" t="s">
        <v>16</v>
      </c>
      <c r="F54" s="5" t="s">
        <v>80</v>
      </c>
      <c r="G54" s="5" t="s">
        <v>13</v>
      </c>
      <c r="H54" s="7" t="s">
        <v>8</v>
      </c>
      <c r="I54" s="7" t="s">
        <v>165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19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220</v>
      </c>
      <c r="AF54" s="8">
        <v>17900</v>
      </c>
      <c r="AG54" s="8">
        <v>4100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1</v>
      </c>
      <c r="AS54" s="7">
        <v>100</v>
      </c>
      <c r="AT54" s="7">
        <v>0</v>
      </c>
      <c r="AU54" s="10">
        <v>22100</v>
      </c>
      <c r="AV54" s="15">
        <f t="shared" si="0"/>
        <v>22100</v>
      </c>
      <c r="AW54" s="16">
        <f t="shared" si="1"/>
        <v>15469.999999999998</v>
      </c>
    </row>
    <row r="55" spans="1:49" ht="19.2" x14ac:dyDescent="0.4">
      <c r="A55" s="5" t="s">
        <v>234</v>
      </c>
      <c r="B55" s="5" t="s">
        <v>69</v>
      </c>
      <c r="C55" s="5">
        <v>406872</v>
      </c>
      <c r="D55" s="6"/>
      <c r="E55" s="5" t="s">
        <v>16</v>
      </c>
      <c r="F55" s="5" t="s">
        <v>70</v>
      </c>
      <c r="G55" s="5" t="s">
        <v>13</v>
      </c>
      <c r="H55" s="7" t="s">
        <v>12</v>
      </c>
      <c r="I55" s="7" t="s">
        <v>71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15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189</v>
      </c>
      <c r="AF55" s="7">
        <v>100</v>
      </c>
      <c r="AG55" s="8">
        <v>18800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5</v>
      </c>
      <c r="AS55" s="7">
        <v>500</v>
      </c>
      <c r="AT55" s="7">
        <v>0</v>
      </c>
      <c r="AU55" s="10">
        <v>19400</v>
      </c>
      <c r="AV55" s="15">
        <f t="shared" si="0"/>
        <v>19400</v>
      </c>
      <c r="AW55" s="16">
        <f t="shared" si="1"/>
        <v>13580</v>
      </c>
    </row>
    <row r="56" spans="1:49" ht="19.2" x14ac:dyDescent="0.4">
      <c r="A56" s="5" t="s">
        <v>234</v>
      </c>
      <c r="B56" s="5" t="s">
        <v>152</v>
      </c>
      <c r="C56" s="5">
        <v>408593</v>
      </c>
      <c r="D56" s="6"/>
      <c r="E56" s="5" t="s">
        <v>16</v>
      </c>
      <c r="F56" s="5" t="s">
        <v>37</v>
      </c>
      <c r="G56" s="5" t="s">
        <v>13</v>
      </c>
      <c r="H56" s="7" t="s">
        <v>8</v>
      </c>
      <c r="I56" s="7" t="s">
        <v>35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6</v>
      </c>
      <c r="AF56" s="8">
        <v>19200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10">
        <v>19200</v>
      </c>
      <c r="AV56" s="15">
        <f t="shared" si="0"/>
        <v>19200</v>
      </c>
      <c r="AW56" s="16">
        <f t="shared" si="1"/>
        <v>13440</v>
      </c>
    </row>
    <row r="57" spans="1:49" ht="19.2" x14ac:dyDescent="0.4">
      <c r="A57" s="5" t="s">
        <v>234</v>
      </c>
      <c r="B57" s="5" t="s">
        <v>120</v>
      </c>
      <c r="C57" s="5">
        <v>428860</v>
      </c>
      <c r="D57" s="6"/>
      <c r="E57" s="5" t="s">
        <v>16</v>
      </c>
      <c r="F57" s="5" t="s">
        <v>121</v>
      </c>
      <c r="G57" s="5" t="s">
        <v>13</v>
      </c>
      <c r="H57" s="7" t="s">
        <v>8</v>
      </c>
      <c r="I57" s="7" t="s">
        <v>137</v>
      </c>
      <c r="J57" s="7">
        <v>0</v>
      </c>
      <c r="K57" s="7">
        <v>92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82</v>
      </c>
      <c r="AF57" s="8">
        <v>5900</v>
      </c>
      <c r="AG57" s="8">
        <v>2300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104</v>
      </c>
      <c r="AS57" s="8">
        <v>10400</v>
      </c>
      <c r="AT57" s="7">
        <v>0</v>
      </c>
      <c r="AU57" s="10">
        <v>18600</v>
      </c>
      <c r="AV57" s="15">
        <f t="shared" si="0"/>
        <v>18600</v>
      </c>
      <c r="AW57" s="16">
        <f t="shared" si="1"/>
        <v>13020</v>
      </c>
    </row>
    <row r="58" spans="1:49" ht="19.2" x14ac:dyDescent="0.4">
      <c r="A58" s="5" t="s">
        <v>234</v>
      </c>
      <c r="B58" s="5" t="s">
        <v>26</v>
      </c>
      <c r="C58" s="5">
        <v>371774</v>
      </c>
      <c r="D58" s="6"/>
      <c r="E58" s="5" t="s">
        <v>16</v>
      </c>
      <c r="F58" s="5" t="s">
        <v>27</v>
      </c>
      <c r="G58" s="5" t="s">
        <v>13</v>
      </c>
      <c r="H58" s="7" t="s">
        <v>8</v>
      </c>
      <c r="I58" s="7" t="s">
        <v>28</v>
      </c>
      <c r="J58" s="7">
        <v>0</v>
      </c>
      <c r="K58" s="7">
        <v>25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31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56</v>
      </c>
      <c r="AF58" s="8">
        <v>4200</v>
      </c>
      <c r="AG58" s="8">
        <v>1400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125</v>
      </c>
      <c r="AS58" s="8">
        <v>12500</v>
      </c>
      <c r="AT58" s="7">
        <v>0</v>
      </c>
      <c r="AU58" s="10">
        <v>18100</v>
      </c>
      <c r="AV58" s="15">
        <f t="shared" si="0"/>
        <v>18100</v>
      </c>
      <c r="AW58" s="16">
        <f t="shared" si="1"/>
        <v>12670</v>
      </c>
    </row>
    <row r="59" spans="1:49" ht="19.2" x14ac:dyDescent="0.4">
      <c r="A59" s="5" t="s">
        <v>234</v>
      </c>
      <c r="B59" s="5" t="s">
        <v>141</v>
      </c>
      <c r="C59" s="5">
        <v>440303</v>
      </c>
      <c r="D59" s="6"/>
      <c r="E59" s="5" t="s">
        <v>16</v>
      </c>
      <c r="F59" s="5" t="s">
        <v>142</v>
      </c>
      <c r="G59" s="5" t="s">
        <v>13</v>
      </c>
      <c r="H59" s="7" t="s">
        <v>8</v>
      </c>
      <c r="I59" s="7" t="s">
        <v>174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161</v>
      </c>
      <c r="AF59" s="8">
        <v>10600</v>
      </c>
      <c r="AG59" s="8">
        <v>5500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13</v>
      </c>
      <c r="AS59" s="8">
        <v>1100</v>
      </c>
      <c r="AT59" s="7">
        <v>200</v>
      </c>
      <c r="AU59" s="10">
        <v>17400</v>
      </c>
      <c r="AV59" s="15">
        <f t="shared" si="0"/>
        <v>17400</v>
      </c>
      <c r="AW59" s="16">
        <f t="shared" si="1"/>
        <v>12180</v>
      </c>
    </row>
    <row r="60" spans="1:49" ht="19.2" x14ac:dyDescent="0.4">
      <c r="A60" s="5" t="s">
        <v>234</v>
      </c>
      <c r="B60" s="5" t="s">
        <v>66</v>
      </c>
      <c r="C60" s="5">
        <v>278898</v>
      </c>
      <c r="D60" s="6"/>
      <c r="E60" s="5" t="s">
        <v>16</v>
      </c>
      <c r="F60" s="5" t="s">
        <v>67</v>
      </c>
      <c r="G60" s="5" t="s">
        <v>13</v>
      </c>
      <c r="H60" s="7" t="s">
        <v>8</v>
      </c>
      <c r="I60" s="7" t="s">
        <v>68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3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150</v>
      </c>
      <c r="AF60" s="8">
        <v>13800</v>
      </c>
      <c r="AG60" s="8">
        <v>1200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10">
        <v>15000</v>
      </c>
      <c r="AV60" s="15">
        <f t="shared" si="0"/>
        <v>15000</v>
      </c>
      <c r="AW60" s="16">
        <f t="shared" si="1"/>
        <v>10500</v>
      </c>
    </row>
    <row r="61" spans="1:49" ht="19.2" x14ac:dyDescent="0.4">
      <c r="A61" s="5" t="s">
        <v>234</v>
      </c>
      <c r="B61" s="5" t="s">
        <v>196</v>
      </c>
      <c r="C61" s="5">
        <v>441966</v>
      </c>
      <c r="D61" s="6"/>
      <c r="E61" s="5" t="s">
        <v>16</v>
      </c>
      <c r="F61" s="5" t="s">
        <v>73</v>
      </c>
      <c r="G61" s="5" t="s">
        <v>13</v>
      </c>
      <c r="H61" s="7" t="s">
        <v>11</v>
      </c>
      <c r="I61" s="7" t="s">
        <v>197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6</v>
      </c>
      <c r="AF61" s="8">
        <v>14400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10">
        <v>14400</v>
      </c>
      <c r="AV61" s="15">
        <f t="shared" si="0"/>
        <v>14400</v>
      </c>
      <c r="AW61" s="16">
        <f t="shared" si="1"/>
        <v>10080</v>
      </c>
    </row>
    <row r="62" spans="1:49" ht="19.2" x14ac:dyDescent="0.4">
      <c r="A62" s="5" t="s">
        <v>234</v>
      </c>
      <c r="B62" s="5" t="s">
        <v>225</v>
      </c>
      <c r="C62" s="5">
        <v>463949</v>
      </c>
      <c r="D62" s="6"/>
      <c r="E62" s="5" t="s">
        <v>16</v>
      </c>
      <c r="F62" s="5" t="s">
        <v>226</v>
      </c>
      <c r="G62" s="5" t="s">
        <v>13</v>
      </c>
      <c r="H62" s="7" t="s">
        <v>8</v>
      </c>
      <c r="I62" s="7" t="s">
        <v>222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3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133</v>
      </c>
      <c r="AF62" s="8">
        <v>13300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10</v>
      </c>
      <c r="AS62" s="8">
        <v>1000</v>
      </c>
      <c r="AT62" s="7">
        <v>0</v>
      </c>
      <c r="AU62" s="10">
        <v>14300</v>
      </c>
      <c r="AV62" s="15">
        <f t="shared" si="0"/>
        <v>14300</v>
      </c>
      <c r="AW62" s="16">
        <f t="shared" si="1"/>
        <v>10010</v>
      </c>
    </row>
    <row r="63" spans="1:49" ht="19.2" x14ac:dyDescent="0.4">
      <c r="A63" s="5" t="s">
        <v>234</v>
      </c>
      <c r="B63" s="5" t="s">
        <v>117</v>
      </c>
      <c r="C63" s="5">
        <v>429534</v>
      </c>
      <c r="D63" s="6"/>
      <c r="E63" s="5" t="s">
        <v>16</v>
      </c>
      <c r="F63" s="5" t="s">
        <v>113</v>
      </c>
      <c r="G63" s="5" t="s">
        <v>13</v>
      </c>
      <c r="H63" s="7" t="s">
        <v>8</v>
      </c>
      <c r="I63" s="7" t="s">
        <v>118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5</v>
      </c>
      <c r="AF63" s="8">
        <v>14000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10">
        <v>14000</v>
      </c>
      <c r="AV63" s="15">
        <f t="shared" si="0"/>
        <v>14000</v>
      </c>
      <c r="AW63" s="16">
        <f t="shared" si="1"/>
        <v>9800</v>
      </c>
    </row>
    <row r="64" spans="1:49" ht="19.2" x14ac:dyDescent="0.4">
      <c r="A64" s="5" t="s">
        <v>234</v>
      </c>
      <c r="B64" s="5" t="s">
        <v>143</v>
      </c>
      <c r="C64" s="5">
        <v>434877</v>
      </c>
      <c r="D64" s="6"/>
      <c r="E64" s="5" t="s">
        <v>16</v>
      </c>
      <c r="F64" s="5" t="s">
        <v>135</v>
      </c>
      <c r="G64" s="5" t="s">
        <v>13</v>
      </c>
      <c r="H64" s="7" t="s">
        <v>8</v>
      </c>
      <c r="I64" s="7" t="s">
        <v>154</v>
      </c>
      <c r="J64" s="7">
        <v>3</v>
      </c>
      <c r="K64" s="7">
        <v>0</v>
      </c>
      <c r="L64" s="7">
        <v>300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131</v>
      </c>
      <c r="AF64" s="8">
        <v>13000</v>
      </c>
      <c r="AG64" s="7">
        <v>100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1</v>
      </c>
      <c r="AS64" s="7">
        <v>100</v>
      </c>
      <c r="AT64" s="7">
        <v>0</v>
      </c>
      <c r="AU64" s="10">
        <v>13500</v>
      </c>
      <c r="AV64" s="15">
        <f t="shared" si="0"/>
        <v>13500</v>
      </c>
      <c r="AW64" s="16">
        <f t="shared" si="1"/>
        <v>9450</v>
      </c>
    </row>
    <row r="65" spans="1:49" ht="19.2" x14ac:dyDescent="0.4">
      <c r="A65" s="5" t="s">
        <v>234</v>
      </c>
      <c r="B65" s="5" t="s">
        <v>208</v>
      </c>
      <c r="C65" s="5">
        <v>422374</v>
      </c>
      <c r="D65" s="6"/>
      <c r="E65" s="5" t="s">
        <v>16</v>
      </c>
      <c r="F65" s="5" t="s">
        <v>201</v>
      </c>
      <c r="G65" s="5" t="s">
        <v>13</v>
      </c>
      <c r="H65" s="7" t="s">
        <v>8</v>
      </c>
      <c r="I65" s="7" t="s">
        <v>193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200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4</v>
      </c>
      <c r="AS65" s="8">
        <v>12600</v>
      </c>
      <c r="AT65" s="7">
        <v>0</v>
      </c>
      <c r="AU65" s="10">
        <v>12800</v>
      </c>
      <c r="AV65" s="15">
        <f t="shared" si="0"/>
        <v>12800</v>
      </c>
      <c r="AW65" s="16">
        <f t="shared" si="1"/>
        <v>8960</v>
      </c>
    </row>
    <row r="66" spans="1:49" ht="19.2" x14ac:dyDescent="0.4">
      <c r="A66" s="5" t="s">
        <v>234</v>
      </c>
      <c r="B66" s="5" t="s">
        <v>144</v>
      </c>
      <c r="C66" s="5">
        <v>434853</v>
      </c>
      <c r="D66" s="6"/>
      <c r="E66" s="5" t="s">
        <v>16</v>
      </c>
      <c r="F66" s="5" t="s">
        <v>145</v>
      </c>
      <c r="G66" s="5" t="s">
        <v>13</v>
      </c>
      <c r="H66" s="7" t="s">
        <v>8</v>
      </c>
      <c r="I66" s="7" t="s">
        <v>207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128</v>
      </c>
      <c r="AF66" s="8">
        <v>11700</v>
      </c>
      <c r="AG66" s="8">
        <v>1100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10">
        <v>12800</v>
      </c>
      <c r="AV66" s="15">
        <f t="shared" si="0"/>
        <v>12800</v>
      </c>
      <c r="AW66" s="16">
        <f t="shared" si="1"/>
        <v>8960</v>
      </c>
    </row>
    <row r="67" spans="1:49" ht="19.2" x14ac:dyDescent="0.4">
      <c r="A67" s="5" t="s">
        <v>234</v>
      </c>
      <c r="B67" s="5" t="s">
        <v>147</v>
      </c>
      <c r="C67" s="5">
        <v>434847</v>
      </c>
      <c r="D67" s="6"/>
      <c r="E67" s="5" t="s">
        <v>16</v>
      </c>
      <c r="F67" s="5" t="s">
        <v>148</v>
      </c>
      <c r="G67" s="5" t="s">
        <v>13</v>
      </c>
      <c r="H67" s="7" t="s">
        <v>8</v>
      </c>
      <c r="I67" s="7" t="s">
        <v>183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1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100</v>
      </c>
      <c r="AF67" s="8">
        <v>6700</v>
      </c>
      <c r="AG67" s="8">
        <v>3300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10">
        <v>10000</v>
      </c>
      <c r="AV67" s="15">
        <f t="shared" ref="AV67:AV130" si="2">AU67-AN67</f>
        <v>10000</v>
      </c>
      <c r="AW67" s="16">
        <f t="shared" ref="AW67:AW110" si="3">AV67*70%</f>
        <v>7000</v>
      </c>
    </row>
    <row r="68" spans="1:49" ht="28.8" x14ac:dyDescent="0.4">
      <c r="A68" s="5" t="s">
        <v>234</v>
      </c>
      <c r="B68" s="5" t="s">
        <v>204</v>
      </c>
      <c r="C68" s="5">
        <v>408588</v>
      </c>
      <c r="D68" s="6"/>
      <c r="E68" s="5" t="s">
        <v>16</v>
      </c>
      <c r="F68" s="5" t="s">
        <v>194</v>
      </c>
      <c r="G68" s="5" t="s">
        <v>13</v>
      </c>
      <c r="H68" s="7" t="s">
        <v>8</v>
      </c>
      <c r="I68" s="7" t="s">
        <v>35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3</v>
      </c>
      <c r="AF68" s="8">
        <v>9600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10">
        <v>9600</v>
      </c>
      <c r="AV68" s="15">
        <f t="shared" si="2"/>
        <v>9600</v>
      </c>
      <c r="AW68" s="16">
        <f t="shared" si="3"/>
        <v>6720</v>
      </c>
    </row>
    <row r="69" spans="1:49" ht="19.2" x14ac:dyDescent="0.4">
      <c r="A69" s="5" t="s">
        <v>234</v>
      </c>
      <c r="B69" s="5" t="s">
        <v>106</v>
      </c>
      <c r="C69" s="5">
        <v>428319</v>
      </c>
      <c r="D69" s="6"/>
      <c r="E69" s="5" t="s">
        <v>16</v>
      </c>
      <c r="F69" s="5" t="s">
        <v>82</v>
      </c>
      <c r="G69" s="5" t="s">
        <v>13</v>
      </c>
      <c r="H69" s="7" t="s">
        <v>8</v>
      </c>
      <c r="I69" s="7" t="s">
        <v>105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4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93</v>
      </c>
      <c r="AF69" s="8">
        <v>2300</v>
      </c>
      <c r="AG69" s="8">
        <v>7000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10">
        <v>9300</v>
      </c>
      <c r="AV69" s="15">
        <f t="shared" si="2"/>
        <v>9300</v>
      </c>
      <c r="AW69" s="16">
        <f t="shared" si="3"/>
        <v>6510</v>
      </c>
    </row>
    <row r="70" spans="1:49" ht="19.2" x14ac:dyDescent="0.4">
      <c r="A70" s="5" t="s">
        <v>234</v>
      </c>
      <c r="B70" s="5" t="s">
        <v>115</v>
      </c>
      <c r="C70" s="5">
        <v>424589</v>
      </c>
      <c r="D70" s="6"/>
      <c r="E70" s="5" t="s">
        <v>16</v>
      </c>
      <c r="F70" s="5" t="s">
        <v>116</v>
      </c>
      <c r="G70" s="5" t="s">
        <v>13</v>
      </c>
      <c r="H70" s="7" t="s">
        <v>11</v>
      </c>
      <c r="I70" s="7" t="s">
        <v>104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80</v>
      </c>
      <c r="AF70" s="8">
        <v>8000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10">
        <v>8000</v>
      </c>
      <c r="AV70" s="15">
        <f t="shared" si="2"/>
        <v>8000</v>
      </c>
      <c r="AW70" s="16">
        <f t="shared" si="3"/>
        <v>5600</v>
      </c>
    </row>
    <row r="71" spans="1:49" ht="19.2" x14ac:dyDescent="0.4">
      <c r="A71" s="5" t="s">
        <v>234</v>
      </c>
      <c r="B71" s="5" t="s">
        <v>132</v>
      </c>
      <c r="C71" s="5">
        <v>157002</v>
      </c>
      <c r="D71" s="6" t="s">
        <v>133</v>
      </c>
      <c r="E71" s="5" t="s">
        <v>16</v>
      </c>
      <c r="F71" s="5" t="s">
        <v>17</v>
      </c>
      <c r="G71" s="5" t="s">
        <v>13</v>
      </c>
      <c r="H71" s="7" t="s">
        <v>8</v>
      </c>
      <c r="I71" s="7" t="s">
        <v>134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76</v>
      </c>
      <c r="AF71" s="8">
        <v>7600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10">
        <v>7600</v>
      </c>
      <c r="AV71" s="15">
        <f t="shared" si="2"/>
        <v>7600</v>
      </c>
      <c r="AW71" s="16">
        <f t="shared" si="3"/>
        <v>5320</v>
      </c>
    </row>
    <row r="72" spans="1:49" ht="19.2" x14ac:dyDescent="0.4">
      <c r="A72" s="5" t="s">
        <v>234</v>
      </c>
      <c r="B72" s="5" t="s">
        <v>168</v>
      </c>
      <c r="C72" s="5">
        <v>287641</v>
      </c>
      <c r="D72" s="6"/>
      <c r="E72" s="5" t="s">
        <v>16</v>
      </c>
      <c r="F72" s="5" t="s">
        <v>17</v>
      </c>
      <c r="G72" s="5" t="s">
        <v>13</v>
      </c>
      <c r="H72" s="7" t="s">
        <v>8</v>
      </c>
      <c r="I72" s="7" t="s">
        <v>169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2</v>
      </c>
      <c r="AF72" s="7">
        <v>0</v>
      </c>
      <c r="AG72" s="8">
        <v>6400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10">
        <v>6400</v>
      </c>
      <c r="AV72" s="15">
        <f t="shared" si="2"/>
        <v>6400</v>
      </c>
      <c r="AW72" s="16">
        <f t="shared" si="3"/>
        <v>4480</v>
      </c>
    </row>
    <row r="73" spans="1:49" ht="19.2" x14ac:dyDescent="0.4">
      <c r="A73" s="5" t="s">
        <v>234</v>
      </c>
      <c r="B73" s="5" t="s">
        <v>227</v>
      </c>
      <c r="C73" s="5">
        <v>463944</v>
      </c>
      <c r="D73" s="6"/>
      <c r="E73" s="5" t="s">
        <v>16</v>
      </c>
      <c r="F73" s="5" t="s">
        <v>228</v>
      </c>
      <c r="G73" s="5" t="s">
        <v>13</v>
      </c>
      <c r="H73" s="7" t="s">
        <v>12</v>
      </c>
      <c r="I73" s="7" t="s">
        <v>229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43</v>
      </c>
      <c r="AF73" s="8">
        <v>4300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10">
        <v>4300</v>
      </c>
      <c r="AV73" s="15">
        <f t="shared" si="2"/>
        <v>4300</v>
      </c>
      <c r="AW73" s="16">
        <f t="shared" si="3"/>
        <v>3010</v>
      </c>
    </row>
    <row r="74" spans="1:49" ht="19.2" x14ac:dyDescent="0.4">
      <c r="A74" s="5" t="s">
        <v>234</v>
      </c>
      <c r="B74" s="5" t="s">
        <v>119</v>
      </c>
      <c r="C74" s="5">
        <v>429538</v>
      </c>
      <c r="D74" s="6"/>
      <c r="E74" s="5" t="s">
        <v>16</v>
      </c>
      <c r="F74" s="5" t="s">
        <v>113</v>
      </c>
      <c r="G74" s="5" t="s">
        <v>13</v>
      </c>
      <c r="H74" s="7" t="s">
        <v>8</v>
      </c>
      <c r="I74" s="7" t="s">
        <v>118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4</v>
      </c>
      <c r="AF74" s="8">
        <v>4000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10">
        <v>4000</v>
      </c>
      <c r="AV74" s="15">
        <f t="shared" si="2"/>
        <v>4000</v>
      </c>
      <c r="AW74" s="16">
        <f t="shared" si="3"/>
        <v>2800</v>
      </c>
    </row>
    <row r="75" spans="1:49" ht="19.2" x14ac:dyDescent="0.4">
      <c r="A75" s="5" t="s">
        <v>234</v>
      </c>
      <c r="B75" s="5" t="s">
        <v>230</v>
      </c>
      <c r="C75" s="5">
        <v>463952</v>
      </c>
      <c r="D75" s="6"/>
      <c r="E75" s="5" t="s">
        <v>16</v>
      </c>
      <c r="F75" s="5" t="s">
        <v>121</v>
      </c>
      <c r="G75" s="5" t="s">
        <v>13</v>
      </c>
      <c r="H75" s="7" t="s">
        <v>8</v>
      </c>
      <c r="I75" s="7" t="s">
        <v>222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</v>
      </c>
      <c r="AF75" s="8">
        <v>3200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10">
        <v>3200</v>
      </c>
      <c r="AV75" s="15">
        <f t="shared" si="2"/>
        <v>3200</v>
      </c>
      <c r="AW75" s="16">
        <f t="shared" si="3"/>
        <v>2240</v>
      </c>
    </row>
    <row r="76" spans="1:49" ht="19.2" x14ac:dyDescent="0.4">
      <c r="A76" s="5" t="s">
        <v>234</v>
      </c>
      <c r="B76" s="5" t="s">
        <v>190</v>
      </c>
      <c r="C76" s="5">
        <v>431511</v>
      </c>
      <c r="D76" s="6"/>
      <c r="E76" s="5" t="s">
        <v>16</v>
      </c>
      <c r="F76" s="5" t="s">
        <v>82</v>
      </c>
      <c r="G76" s="5" t="s">
        <v>13</v>
      </c>
      <c r="H76" s="7" t="s">
        <v>8</v>
      </c>
      <c r="I76" s="7" t="s">
        <v>191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1</v>
      </c>
      <c r="AF76" s="7">
        <v>0</v>
      </c>
      <c r="AG76" s="7">
        <v>200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1</v>
      </c>
      <c r="AS76" s="8">
        <v>3000</v>
      </c>
      <c r="AT76" s="7">
        <v>0</v>
      </c>
      <c r="AU76" s="10">
        <v>3200</v>
      </c>
      <c r="AV76" s="15">
        <f t="shared" si="2"/>
        <v>3200</v>
      </c>
      <c r="AW76" s="16">
        <f t="shared" si="3"/>
        <v>2240</v>
      </c>
    </row>
    <row r="77" spans="1:49" ht="19.2" x14ac:dyDescent="0.4">
      <c r="A77" s="5" t="s">
        <v>234</v>
      </c>
      <c r="B77" s="5" t="s">
        <v>195</v>
      </c>
      <c r="C77" s="5">
        <v>431419</v>
      </c>
      <c r="D77" s="6"/>
      <c r="E77" s="5" t="s">
        <v>16</v>
      </c>
      <c r="F77" s="5" t="s">
        <v>82</v>
      </c>
      <c r="G77" s="5" t="s">
        <v>13</v>
      </c>
      <c r="H77" s="7" t="s">
        <v>8</v>
      </c>
      <c r="I77" s="7" t="s">
        <v>191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</v>
      </c>
      <c r="AF77" s="8">
        <v>3200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10">
        <v>3200</v>
      </c>
      <c r="AV77" s="15">
        <f t="shared" si="2"/>
        <v>3200</v>
      </c>
      <c r="AW77" s="16">
        <f t="shared" si="3"/>
        <v>2240</v>
      </c>
    </row>
    <row r="78" spans="1:49" ht="19.2" x14ac:dyDescent="0.4">
      <c r="A78" s="5" t="s">
        <v>234</v>
      </c>
      <c r="B78" s="5" t="s">
        <v>209</v>
      </c>
      <c r="C78" s="5">
        <v>393275</v>
      </c>
      <c r="D78" s="6"/>
      <c r="E78" s="5" t="s">
        <v>16</v>
      </c>
      <c r="F78" s="5" t="s">
        <v>32</v>
      </c>
      <c r="G78" s="5" t="s">
        <v>13</v>
      </c>
      <c r="H78" s="7" t="s">
        <v>8</v>
      </c>
      <c r="I78" s="7" t="s">
        <v>210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1</v>
      </c>
      <c r="AF78" s="8">
        <v>3200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10">
        <v>3200</v>
      </c>
      <c r="AV78" s="15">
        <f t="shared" si="2"/>
        <v>3200</v>
      </c>
      <c r="AW78" s="16">
        <f t="shared" si="3"/>
        <v>2240</v>
      </c>
    </row>
    <row r="79" spans="1:49" ht="19.2" x14ac:dyDescent="0.4">
      <c r="A79" s="5" t="s">
        <v>234</v>
      </c>
      <c r="B79" s="5" t="s">
        <v>158</v>
      </c>
      <c r="C79" s="5">
        <v>410077</v>
      </c>
      <c r="D79" s="6"/>
      <c r="E79" s="5" t="s">
        <v>16</v>
      </c>
      <c r="F79" s="5" t="s">
        <v>159</v>
      </c>
      <c r="G79" s="5" t="s">
        <v>13</v>
      </c>
      <c r="H79" s="7" t="s">
        <v>8</v>
      </c>
      <c r="I79" s="7" t="s">
        <v>14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1</v>
      </c>
      <c r="AF79" s="8">
        <v>3200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10">
        <v>3200</v>
      </c>
      <c r="AV79" s="15">
        <f t="shared" si="2"/>
        <v>3200</v>
      </c>
      <c r="AW79" s="16">
        <f t="shared" si="3"/>
        <v>2240</v>
      </c>
    </row>
    <row r="80" spans="1:49" ht="19.2" x14ac:dyDescent="0.4">
      <c r="A80" s="5" t="s">
        <v>234</v>
      </c>
      <c r="B80" s="5" t="s">
        <v>184</v>
      </c>
      <c r="C80" s="5">
        <v>450457</v>
      </c>
      <c r="D80" s="6"/>
      <c r="E80" s="5" t="s">
        <v>16</v>
      </c>
      <c r="F80" s="5" t="s">
        <v>185</v>
      </c>
      <c r="G80" s="5" t="s">
        <v>13</v>
      </c>
      <c r="H80" s="7" t="s">
        <v>8</v>
      </c>
      <c r="I80" s="7" t="s">
        <v>213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23</v>
      </c>
      <c r="AF80" s="8">
        <v>1900</v>
      </c>
      <c r="AG80" s="7">
        <v>400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10">
        <v>2300</v>
      </c>
      <c r="AV80" s="15">
        <f t="shared" si="2"/>
        <v>2300</v>
      </c>
      <c r="AW80" s="16">
        <f t="shared" si="3"/>
        <v>1610</v>
      </c>
    </row>
    <row r="81" spans="1:49" ht="19.2" x14ac:dyDescent="0.4">
      <c r="A81" s="5" t="s">
        <v>234</v>
      </c>
      <c r="B81" s="5" t="s">
        <v>200</v>
      </c>
      <c r="C81" s="5">
        <v>382640</v>
      </c>
      <c r="D81" s="6"/>
      <c r="E81" s="5" t="s">
        <v>16</v>
      </c>
      <c r="F81" s="5" t="s">
        <v>201</v>
      </c>
      <c r="G81" s="5" t="s">
        <v>13</v>
      </c>
      <c r="H81" s="7" t="s">
        <v>8</v>
      </c>
      <c r="I81" s="7" t="s">
        <v>202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9</v>
      </c>
      <c r="AF81" s="7">
        <v>900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11">
        <v>900</v>
      </c>
      <c r="AV81" s="15">
        <f t="shared" si="2"/>
        <v>900</v>
      </c>
      <c r="AW81" s="16">
        <f t="shared" si="3"/>
        <v>630</v>
      </c>
    </row>
    <row r="82" spans="1:49" ht="19.2" x14ac:dyDescent="0.4">
      <c r="A82" s="5" t="s">
        <v>234</v>
      </c>
      <c r="B82" s="5" t="s">
        <v>172</v>
      </c>
      <c r="C82" s="5">
        <v>451412</v>
      </c>
      <c r="D82" s="6"/>
      <c r="E82" s="5" t="s">
        <v>16</v>
      </c>
      <c r="F82" s="5" t="s">
        <v>149</v>
      </c>
      <c r="G82" s="5" t="s">
        <v>13</v>
      </c>
      <c r="H82" s="7" t="s">
        <v>11</v>
      </c>
      <c r="I82" s="7" t="s">
        <v>173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5</v>
      </c>
      <c r="AF82" s="7">
        <v>500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11">
        <v>500</v>
      </c>
      <c r="AV82" s="15">
        <f t="shared" si="2"/>
        <v>500</v>
      </c>
      <c r="AW82" s="16">
        <f t="shared" si="3"/>
        <v>350</v>
      </c>
    </row>
    <row r="83" spans="1:49" ht="19.2" x14ac:dyDescent="0.4">
      <c r="A83" s="5" t="s">
        <v>234</v>
      </c>
      <c r="B83" s="5" t="s">
        <v>231</v>
      </c>
      <c r="C83" s="5">
        <v>388508</v>
      </c>
      <c r="D83" s="6"/>
      <c r="E83" s="5" t="s">
        <v>16</v>
      </c>
      <c r="F83" s="5" t="s">
        <v>232</v>
      </c>
      <c r="G83" s="5" t="s">
        <v>13</v>
      </c>
      <c r="H83" s="7" t="s">
        <v>8</v>
      </c>
      <c r="I83" s="7" t="s">
        <v>233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2</v>
      </c>
      <c r="AF83" s="7">
        <v>200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11">
        <v>200</v>
      </c>
      <c r="AV83" s="15">
        <f t="shared" si="2"/>
        <v>200</v>
      </c>
      <c r="AW83" s="16">
        <f t="shared" si="3"/>
        <v>140</v>
      </c>
    </row>
    <row r="84" spans="1:49" ht="19.2" x14ac:dyDescent="0.4">
      <c r="A84" s="5" t="s">
        <v>234</v>
      </c>
      <c r="B84" s="5" t="s">
        <v>72</v>
      </c>
      <c r="C84" s="5">
        <v>389960</v>
      </c>
      <c r="D84" s="6"/>
      <c r="E84" s="5" t="s">
        <v>16</v>
      </c>
      <c r="F84" s="5" t="s">
        <v>73</v>
      </c>
      <c r="G84" s="5" t="s">
        <v>13</v>
      </c>
      <c r="H84" s="7" t="s">
        <v>12</v>
      </c>
      <c r="I84" s="7" t="s">
        <v>74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2</v>
      </c>
      <c r="AF84" s="7">
        <v>200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11">
        <v>200</v>
      </c>
      <c r="AV84" s="15">
        <f t="shared" si="2"/>
        <v>200</v>
      </c>
      <c r="AW84" s="16">
        <f t="shared" si="3"/>
        <v>140</v>
      </c>
    </row>
    <row r="85" spans="1:49" ht="19.2" x14ac:dyDescent="0.4">
      <c r="A85" s="5" t="s">
        <v>211</v>
      </c>
      <c r="B85" s="5" t="s">
        <v>188</v>
      </c>
      <c r="C85" s="5">
        <v>454534</v>
      </c>
      <c r="D85" s="6"/>
      <c r="E85" s="5" t="s">
        <v>16</v>
      </c>
      <c r="F85" s="5" t="s">
        <v>186</v>
      </c>
      <c r="G85" s="5" t="s">
        <v>13</v>
      </c>
      <c r="H85" s="7" t="s">
        <v>8</v>
      </c>
      <c r="I85" s="7" t="s">
        <v>213</v>
      </c>
      <c r="J85" s="8">
        <v>8631</v>
      </c>
      <c r="K85" s="8">
        <v>6107</v>
      </c>
      <c r="L85" s="8">
        <v>863100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129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8">
        <v>7780</v>
      </c>
      <c r="AF85" s="8">
        <v>618500</v>
      </c>
      <c r="AG85" s="8">
        <v>159500</v>
      </c>
      <c r="AH85" s="7">
        <v>0</v>
      </c>
      <c r="AI85" s="7">
        <v>0</v>
      </c>
      <c r="AJ85" s="7">
        <v>0</v>
      </c>
      <c r="AK85" s="7">
        <v>37</v>
      </c>
      <c r="AL85" s="8">
        <v>4440</v>
      </c>
      <c r="AM85" s="7">
        <v>0</v>
      </c>
      <c r="AN85" s="9">
        <v>1332</v>
      </c>
      <c r="AO85" s="7">
        <v>0</v>
      </c>
      <c r="AP85" s="7">
        <v>0</v>
      </c>
      <c r="AQ85" s="7">
        <v>0</v>
      </c>
      <c r="AR85" s="8">
        <v>1367</v>
      </c>
      <c r="AS85" s="8">
        <v>130800</v>
      </c>
      <c r="AT85" s="8">
        <v>5900</v>
      </c>
      <c r="AU85" s="10">
        <v>1782240</v>
      </c>
      <c r="AV85" s="15">
        <f t="shared" si="2"/>
        <v>1780908</v>
      </c>
      <c r="AW85" s="16">
        <f t="shared" si="3"/>
        <v>1246635.5999999999</v>
      </c>
    </row>
    <row r="86" spans="1:49" ht="19.2" x14ac:dyDescent="0.4">
      <c r="A86" s="5" t="s">
        <v>211</v>
      </c>
      <c r="B86" s="5" t="s">
        <v>15</v>
      </c>
      <c r="C86" s="5">
        <v>369220</v>
      </c>
      <c r="D86" s="6"/>
      <c r="E86" s="5" t="s">
        <v>16</v>
      </c>
      <c r="F86" s="5" t="s">
        <v>17</v>
      </c>
      <c r="G86" s="5" t="s">
        <v>13</v>
      </c>
      <c r="H86" s="7" t="s">
        <v>8</v>
      </c>
      <c r="I86" s="7" t="s">
        <v>103</v>
      </c>
      <c r="J86" s="7">
        <v>3</v>
      </c>
      <c r="K86" s="7">
        <v>10</v>
      </c>
      <c r="L86" s="7">
        <v>300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160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8">
        <v>2181</v>
      </c>
      <c r="AF86" s="8">
        <v>217100</v>
      </c>
      <c r="AG86" s="8">
        <v>1000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683</v>
      </c>
      <c r="AS86" s="8">
        <v>67400</v>
      </c>
      <c r="AT86" s="7">
        <v>900</v>
      </c>
      <c r="AU86" s="10">
        <v>286700</v>
      </c>
      <c r="AV86" s="15">
        <f t="shared" si="2"/>
        <v>286700</v>
      </c>
      <c r="AW86" s="16">
        <f t="shared" si="3"/>
        <v>200690</v>
      </c>
    </row>
    <row r="87" spans="1:49" ht="19.2" x14ac:dyDescent="0.4">
      <c r="A87" s="5" t="s">
        <v>211</v>
      </c>
      <c r="B87" s="5" t="s">
        <v>25</v>
      </c>
      <c r="C87" s="5">
        <v>414278</v>
      </c>
      <c r="D87" s="6"/>
      <c r="E87" s="5" t="s">
        <v>16</v>
      </c>
      <c r="F87" s="5" t="s">
        <v>9</v>
      </c>
      <c r="G87" s="5" t="s">
        <v>13</v>
      </c>
      <c r="H87" s="7" t="s">
        <v>11</v>
      </c>
      <c r="I87" s="7" t="s">
        <v>78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45</v>
      </c>
      <c r="AF87" s="8">
        <v>144000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30</v>
      </c>
      <c r="AS87" s="8">
        <v>94200</v>
      </c>
      <c r="AT87" s="8">
        <v>1800</v>
      </c>
      <c r="AU87" s="10">
        <v>240000</v>
      </c>
      <c r="AV87" s="15">
        <f t="shared" si="2"/>
        <v>240000</v>
      </c>
      <c r="AW87" s="16">
        <f t="shared" si="3"/>
        <v>168000</v>
      </c>
    </row>
    <row r="88" spans="1:49" ht="19.2" x14ac:dyDescent="0.4">
      <c r="A88" s="5" t="s">
        <v>211</v>
      </c>
      <c r="B88" s="5" t="s">
        <v>160</v>
      </c>
      <c r="C88" s="5">
        <v>178856</v>
      </c>
      <c r="D88" s="6"/>
      <c r="E88" s="5" t="s">
        <v>16</v>
      </c>
      <c r="F88" s="5" t="s">
        <v>17</v>
      </c>
      <c r="G88" s="5" t="s">
        <v>13</v>
      </c>
      <c r="H88" s="7" t="s">
        <v>12</v>
      </c>
      <c r="I88" s="7" t="s">
        <v>161</v>
      </c>
      <c r="J88" s="7">
        <v>0</v>
      </c>
      <c r="K88" s="7">
        <v>11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369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8">
        <v>1362</v>
      </c>
      <c r="AF88" s="8">
        <v>97600</v>
      </c>
      <c r="AG88" s="8">
        <v>38600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562</v>
      </c>
      <c r="AS88" s="8">
        <v>51300</v>
      </c>
      <c r="AT88" s="8">
        <v>4900</v>
      </c>
      <c r="AU88" s="10">
        <v>192400</v>
      </c>
      <c r="AV88" s="15">
        <f t="shared" si="2"/>
        <v>192400</v>
      </c>
      <c r="AW88" s="16">
        <f t="shared" si="3"/>
        <v>134680</v>
      </c>
    </row>
    <row r="89" spans="1:49" ht="19.2" x14ac:dyDescent="0.4">
      <c r="A89" s="5" t="s">
        <v>211</v>
      </c>
      <c r="B89" s="5" t="s">
        <v>155</v>
      </c>
      <c r="C89" s="5">
        <v>445688</v>
      </c>
      <c r="D89" s="6"/>
      <c r="E89" s="5" t="s">
        <v>16</v>
      </c>
      <c r="F89" s="5" t="s">
        <v>156</v>
      </c>
      <c r="G89" s="5" t="s">
        <v>13</v>
      </c>
      <c r="H89" s="7" t="s">
        <v>8</v>
      </c>
      <c r="I89" s="7" t="s">
        <v>214</v>
      </c>
      <c r="J89" s="7">
        <v>0</v>
      </c>
      <c r="K89" s="7">
        <v>887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8">
        <v>1644</v>
      </c>
      <c r="AF89" s="8">
        <v>143000</v>
      </c>
      <c r="AG89" s="8">
        <v>21400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209</v>
      </c>
      <c r="AS89" s="8">
        <v>20300</v>
      </c>
      <c r="AT89" s="7">
        <v>600</v>
      </c>
      <c r="AU89" s="10">
        <v>185300</v>
      </c>
      <c r="AV89" s="15">
        <f t="shared" si="2"/>
        <v>185300</v>
      </c>
      <c r="AW89" s="16">
        <f t="shared" si="3"/>
        <v>129709.99999999999</v>
      </c>
    </row>
    <row r="90" spans="1:49" ht="19.2" x14ac:dyDescent="0.4">
      <c r="A90" s="5" t="s">
        <v>211</v>
      </c>
      <c r="B90" s="5" t="s">
        <v>107</v>
      </c>
      <c r="C90" s="5">
        <v>429621</v>
      </c>
      <c r="D90" s="6"/>
      <c r="E90" s="5" t="s">
        <v>16</v>
      </c>
      <c r="F90" s="5" t="s">
        <v>108</v>
      </c>
      <c r="G90" s="5" t="s">
        <v>13</v>
      </c>
      <c r="H90" s="7" t="s">
        <v>11</v>
      </c>
      <c r="I90" s="7" t="s">
        <v>109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27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8">
        <v>1528</v>
      </c>
      <c r="AF90" s="8">
        <v>150300</v>
      </c>
      <c r="AG90" s="8">
        <v>2500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316</v>
      </c>
      <c r="AS90" s="8">
        <v>27700</v>
      </c>
      <c r="AT90" s="8">
        <v>3900</v>
      </c>
      <c r="AU90" s="10">
        <v>184400</v>
      </c>
      <c r="AV90" s="15">
        <f t="shared" si="2"/>
        <v>184400</v>
      </c>
      <c r="AW90" s="16">
        <f t="shared" si="3"/>
        <v>129079.99999999999</v>
      </c>
    </row>
    <row r="91" spans="1:49" ht="19.2" x14ac:dyDescent="0.4">
      <c r="A91" s="5" t="s">
        <v>211</v>
      </c>
      <c r="B91" s="5" t="s">
        <v>21</v>
      </c>
      <c r="C91" s="5">
        <v>321812</v>
      </c>
      <c r="D91" s="6"/>
      <c r="E91" s="5" t="s">
        <v>16</v>
      </c>
      <c r="F91" s="5" t="s">
        <v>17</v>
      </c>
      <c r="G91" s="5" t="s">
        <v>13</v>
      </c>
      <c r="H91" s="7" t="s">
        <v>8</v>
      </c>
      <c r="I91" s="7" t="s">
        <v>22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12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734</v>
      </c>
      <c r="AF91" s="8">
        <v>66900</v>
      </c>
      <c r="AG91" s="8">
        <v>6500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4</v>
      </c>
      <c r="AS91" s="7">
        <v>300</v>
      </c>
      <c r="AT91" s="7">
        <v>100</v>
      </c>
      <c r="AU91" s="10">
        <v>73800</v>
      </c>
      <c r="AV91" s="15">
        <f t="shared" si="2"/>
        <v>73800</v>
      </c>
      <c r="AW91" s="16">
        <f t="shared" si="3"/>
        <v>51660</v>
      </c>
    </row>
    <row r="92" spans="1:49" ht="19.2" x14ac:dyDescent="0.4">
      <c r="A92" s="5" t="s">
        <v>211</v>
      </c>
      <c r="B92" s="5" t="s">
        <v>175</v>
      </c>
      <c r="C92" s="5">
        <v>449889</v>
      </c>
      <c r="D92" s="6"/>
      <c r="E92" s="5" t="s">
        <v>16</v>
      </c>
      <c r="F92" s="5" t="s">
        <v>157</v>
      </c>
      <c r="G92" s="5" t="s">
        <v>13</v>
      </c>
      <c r="H92" s="7" t="s">
        <v>8</v>
      </c>
      <c r="I92" s="7" t="s">
        <v>214</v>
      </c>
      <c r="J92" s="7">
        <v>0</v>
      </c>
      <c r="K92" s="8">
        <v>2441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10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637</v>
      </c>
      <c r="AF92" s="8">
        <v>50200</v>
      </c>
      <c r="AG92" s="8">
        <v>13500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87</v>
      </c>
      <c r="AS92" s="8">
        <v>8700</v>
      </c>
      <c r="AT92" s="7">
        <v>0</v>
      </c>
      <c r="AU92" s="10">
        <v>72400</v>
      </c>
      <c r="AV92" s="15">
        <f t="shared" si="2"/>
        <v>72400</v>
      </c>
      <c r="AW92" s="16">
        <f t="shared" si="3"/>
        <v>50680</v>
      </c>
    </row>
    <row r="93" spans="1:49" ht="19.2" x14ac:dyDescent="0.4">
      <c r="A93" s="5" t="s">
        <v>211</v>
      </c>
      <c r="B93" s="5" t="s">
        <v>216</v>
      </c>
      <c r="C93" s="5">
        <v>462353</v>
      </c>
      <c r="D93" s="6"/>
      <c r="E93" s="5" t="s">
        <v>16</v>
      </c>
      <c r="F93" s="5" t="s">
        <v>186</v>
      </c>
      <c r="G93" s="5" t="s">
        <v>13</v>
      </c>
      <c r="H93" s="7" t="s">
        <v>8</v>
      </c>
      <c r="I93" s="7" t="s">
        <v>217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23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614</v>
      </c>
      <c r="AF93" s="8">
        <v>59800</v>
      </c>
      <c r="AG93" s="8">
        <v>1600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74</v>
      </c>
      <c r="AS93" s="8">
        <v>7400</v>
      </c>
      <c r="AT93" s="7">
        <v>0</v>
      </c>
      <c r="AU93" s="10">
        <v>68800</v>
      </c>
      <c r="AV93" s="15">
        <f t="shared" si="2"/>
        <v>68800</v>
      </c>
      <c r="AW93" s="16">
        <f t="shared" si="3"/>
        <v>48160</v>
      </c>
    </row>
    <row r="94" spans="1:49" ht="19.2" x14ac:dyDescent="0.4">
      <c r="A94" s="5" t="s">
        <v>211</v>
      </c>
      <c r="B94" s="5" t="s">
        <v>29</v>
      </c>
      <c r="C94" s="5">
        <v>245889</v>
      </c>
      <c r="D94" s="6"/>
      <c r="E94" s="5" t="s">
        <v>16</v>
      </c>
      <c r="F94" s="5" t="s">
        <v>17</v>
      </c>
      <c r="G94" s="5" t="s">
        <v>13</v>
      </c>
      <c r="H94" s="7" t="s">
        <v>8</v>
      </c>
      <c r="I94" s="7" t="s">
        <v>30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4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541</v>
      </c>
      <c r="AF94" s="8">
        <v>52100</v>
      </c>
      <c r="AG94" s="8">
        <v>2000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10">
        <v>54100</v>
      </c>
      <c r="AV94" s="15">
        <f t="shared" si="2"/>
        <v>54100</v>
      </c>
      <c r="AW94" s="16">
        <f t="shared" si="3"/>
        <v>37870</v>
      </c>
    </row>
    <row r="95" spans="1:49" ht="19.2" x14ac:dyDescent="0.4">
      <c r="A95" s="5" t="s">
        <v>211</v>
      </c>
      <c r="B95" s="5" t="s">
        <v>151</v>
      </c>
      <c r="C95" s="5">
        <v>442274</v>
      </c>
      <c r="D95" s="6"/>
      <c r="E95" s="5" t="s">
        <v>16</v>
      </c>
      <c r="F95" s="5" t="s">
        <v>150</v>
      </c>
      <c r="G95" s="5" t="s">
        <v>13</v>
      </c>
      <c r="H95" s="7" t="s">
        <v>8</v>
      </c>
      <c r="I95" s="7" t="s">
        <v>215</v>
      </c>
      <c r="J95" s="7">
        <v>13</v>
      </c>
      <c r="K95" s="7">
        <v>888</v>
      </c>
      <c r="L95" s="8">
        <v>1300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417</v>
      </c>
      <c r="AF95" s="8">
        <v>40700</v>
      </c>
      <c r="AG95" s="8">
        <v>1000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102</v>
      </c>
      <c r="AS95" s="8">
        <v>10200</v>
      </c>
      <c r="AT95" s="7">
        <v>0</v>
      </c>
      <c r="AU95" s="10">
        <v>53200</v>
      </c>
      <c r="AV95" s="15">
        <f t="shared" si="2"/>
        <v>53200</v>
      </c>
      <c r="AW95" s="16">
        <f t="shared" si="3"/>
        <v>37240</v>
      </c>
    </row>
    <row r="96" spans="1:49" ht="19.2" x14ac:dyDescent="0.4">
      <c r="A96" s="5" t="s">
        <v>211</v>
      </c>
      <c r="B96" s="5" t="s">
        <v>203</v>
      </c>
      <c r="C96" s="5">
        <v>441958</v>
      </c>
      <c r="D96" s="6"/>
      <c r="E96" s="5" t="s">
        <v>16</v>
      </c>
      <c r="F96" s="5" t="s">
        <v>108</v>
      </c>
      <c r="G96" s="5" t="s">
        <v>13</v>
      </c>
      <c r="H96" s="7" t="s">
        <v>11</v>
      </c>
      <c r="I96" s="7" t="s">
        <v>197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9</v>
      </c>
      <c r="AC96" s="8">
        <v>13600</v>
      </c>
      <c r="AD96" s="8">
        <v>1000</v>
      </c>
      <c r="AE96" s="7">
        <v>7</v>
      </c>
      <c r="AF96" s="8">
        <v>14500</v>
      </c>
      <c r="AG96" s="8">
        <v>2300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5</v>
      </c>
      <c r="AP96" s="8">
        <v>7500</v>
      </c>
      <c r="AQ96" s="7">
        <v>0</v>
      </c>
      <c r="AR96" s="7">
        <v>5</v>
      </c>
      <c r="AS96" s="8">
        <v>11800</v>
      </c>
      <c r="AT96" s="7">
        <v>200</v>
      </c>
      <c r="AU96" s="10">
        <v>50900</v>
      </c>
      <c r="AV96" s="15">
        <f t="shared" si="2"/>
        <v>50900</v>
      </c>
      <c r="AW96" s="16">
        <f t="shared" si="3"/>
        <v>35630</v>
      </c>
    </row>
    <row r="97" spans="1:49" ht="28.8" x14ac:dyDescent="0.4">
      <c r="A97" s="5" t="s">
        <v>211</v>
      </c>
      <c r="B97" s="5" t="s">
        <v>138</v>
      </c>
      <c r="C97" s="5">
        <v>219203</v>
      </c>
      <c r="D97" s="6"/>
      <c r="E97" s="5" t="s">
        <v>16</v>
      </c>
      <c r="F97" s="5" t="s">
        <v>139</v>
      </c>
      <c r="G97" s="5" t="s">
        <v>13</v>
      </c>
      <c r="H97" s="7" t="s">
        <v>8</v>
      </c>
      <c r="I97" s="7" t="s">
        <v>140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9</v>
      </c>
      <c r="T97" s="7">
        <v>0</v>
      </c>
      <c r="U97" s="7">
        <v>0</v>
      </c>
      <c r="V97" s="7">
        <v>0</v>
      </c>
      <c r="W97" s="8">
        <v>2700</v>
      </c>
      <c r="X97" s="7">
        <v>0</v>
      </c>
      <c r="Y97" s="7">
        <v>0</v>
      </c>
      <c r="Z97" s="7">
        <v>0</v>
      </c>
      <c r="AA97" s="7">
        <v>0</v>
      </c>
      <c r="AB97" s="7">
        <v>17</v>
      </c>
      <c r="AC97" s="8">
        <v>1700</v>
      </c>
      <c r="AD97" s="7">
        <v>0</v>
      </c>
      <c r="AE97" s="7">
        <v>92</v>
      </c>
      <c r="AF97" s="8">
        <v>27600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91</v>
      </c>
      <c r="AP97" s="8">
        <v>8900</v>
      </c>
      <c r="AQ97" s="7">
        <v>200</v>
      </c>
      <c r="AR97" s="7">
        <v>0</v>
      </c>
      <c r="AS97" s="7">
        <v>0</v>
      </c>
      <c r="AT97" s="7">
        <v>0</v>
      </c>
      <c r="AU97" s="10">
        <v>41100</v>
      </c>
      <c r="AV97" s="15">
        <f t="shared" si="2"/>
        <v>41100</v>
      </c>
      <c r="AW97" s="16">
        <f t="shared" si="3"/>
        <v>28769.999999999996</v>
      </c>
    </row>
    <row r="98" spans="1:49" ht="19.2" x14ac:dyDescent="0.4">
      <c r="A98" s="5" t="s">
        <v>211</v>
      </c>
      <c r="B98" s="5" t="s">
        <v>208</v>
      </c>
      <c r="C98" s="5">
        <v>422374</v>
      </c>
      <c r="D98" s="6"/>
      <c r="E98" s="5" t="s">
        <v>16</v>
      </c>
      <c r="F98" s="5" t="s">
        <v>201</v>
      </c>
      <c r="G98" s="5" t="s">
        <v>13</v>
      </c>
      <c r="H98" s="7" t="s">
        <v>8</v>
      </c>
      <c r="I98" s="7" t="s">
        <v>193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11</v>
      </c>
      <c r="AF98" s="8">
        <v>35200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10">
        <v>35200</v>
      </c>
      <c r="AV98" s="15">
        <f t="shared" si="2"/>
        <v>35200</v>
      </c>
      <c r="AW98" s="16">
        <f t="shared" si="3"/>
        <v>24640</v>
      </c>
    </row>
    <row r="99" spans="1:49" ht="19.2" x14ac:dyDescent="0.4">
      <c r="A99" s="5" t="s">
        <v>211</v>
      </c>
      <c r="B99" s="5" t="s">
        <v>41</v>
      </c>
      <c r="C99" s="5">
        <v>364724</v>
      </c>
      <c r="D99" s="6"/>
      <c r="E99" s="5" t="s">
        <v>16</v>
      </c>
      <c r="F99" s="5" t="s">
        <v>42</v>
      </c>
      <c r="G99" s="5" t="s">
        <v>13</v>
      </c>
      <c r="H99" s="7" t="s">
        <v>8</v>
      </c>
      <c r="I99" s="7" t="s">
        <v>43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16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315</v>
      </c>
      <c r="AF99" s="8">
        <v>31500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30</v>
      </c>
      <c r="AS99" s="8">
        <v>3000</v>
      </c>
      <c r="AT99" s="7">
        <v>0</v>
      </c>
      <c r="AU99" s="10">
        <v>34500</v>
      </c>
      <c r="AV99" s="15">
        <f t="shared" si="2"/>
        <v>34500</v>
      </c>
      <c r="AW99" s="16">
        <f t="shared" si="3"/>
        <v>24150</v>
      </c>
    </row>
    <row r="100" spans="1:49" ht="19.2" x14ac:dyDescent="0.4">
      <c r="A100" s="5" t="s">
        <v>211</v>
      </c>
      <c r="B100" s="5" t="s">
        <v>36</v>
      </c>
      <c r="C100" s="5">
        <v>387942</v>
      </c>
      <c r="D100" s="6"/>
      <c r="E100" s="5" t="s">
        <v>16</v>
      </c>
      <c r="F100" s="5" t="s">
        <v>37</v>
      </c>
      <c r="G100" s="5" t="s">
        <v>13</v>
      </c>
      <c r="H100" s="7" t="s">
        <v>8</v>
      </c>
      <c r="I100" s="7" t="s">
        <v>38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19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321</v>
      </c>
      <c r="AF100" s="8">
        <v>32100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10">
        <v>32100</v>
      </c>
      <c r="AV100" s="15">
        <f t="shared" si="2"/>
        <v>32100</v>
      </c>
      <c r="AW100" s="16">
        <f t="shared" si="3"/>
        <v>22470</v>
      </c>
    </row>
    <row r="101" spans="1:49" ht="19.2" x14ac:dyDescent="0.4">
      <c r="A101" s="5" t="s">
        <v>211</v>
      </c>
      <c r="B101" s="5" t="s">
        <v>218</v>
      </c>
      <c r="C101" s="5">
        <v>462361</v>
      </c>
      <c r="D101" s="6"/>
      <c r="E101" s="5" t="s">
        <v>16</v>
      </c>
      <c r="F101" s="5" t="s">
        <v>186</v>
      </c>
      <c r="G101" s="5" t="s">
        <v>13</v>
      </c>
      <c r="H101" s="7" t="s">
        <v>8</v>
      </c>
      <c r="I101" s="7" t="s">
        <v>219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5</v>
      </c>
      <c r="AF101" s="8">
        <v>16000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5</v>
      </c>
      <c r="AS101" s="8">
        <v>16000</v>
      </c>
      <c r="AT101" s="7">
        <v>0</v>
      </c>
      <c r="AU101" s="10">
        <v>32000</v>
      </c>
      <c r="AV101" s="15">
        <f t="shared" si="2"/>
        <v>32000</v>
      </c>
      <c r="AW101" s="16">
        <f t="shared" si="3"/>
        <v>22400</v>
      </c>
    </row>
    <row r="102" spans="1:49" ht="19.2" x14ac:dyDescent="0.4">
      <c r="A102" s="5" t="s">
        <v>211</v>
      </c>
      <c r="B102" s="5" t="s">
        <v>198</v>
      </c>
      <c r="C102" s="5">
        <v>458561</v>
      </c>
      <c r="D102" s="6"/>
      <c r="E102" s="5" t="s">
        <v>16</v>
      </c>
      <c r="F102" s="5" t="s">
        <v>17</v>
      </c>
      <c r="G102" s="5" t="s">
        <v>13</v>
      </c>
      <c r="H102" s="7" t="s">
        <v>8</v>
      </c>
      <c r="I102" s="7" t="s">
        <v>199</v>
      </c>
      <c r="J102" s="7">
        <v>4</v>
      </c>
      <c r="K102" s="7">
        <v>0</v>
      </c>
      <c r="L102" s="7">
        <v>400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230</v>
      </c>
      <c r="AF102" s="8">
        <v>14500</v>
      </c>
      <c r="AG102" s="8">
        <v>8500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85</v>
      </c>
      <c r="AS102" s="8">
        <v>8300</v>
      </c>
      <c r="AT102" s="7">
        <v>200</v>
      </c>
      <c r="AU102" s="10">
        <v>31900</v>
      </c>
      <c r="AV102" s="15">
        <f t="shared" si="2"/>
        <v>31900</v>
      </c>
      <c r="AW102" s="16">
        <f t="shared" si="3"/>
        <v>22330</v>
      </c>
    </row>
    <row r="103" spans="1:49" ht="19.2" x14ac:dyDescent="0.4">
      <c r="A103" s="5" t="s">
        <v>211</v>
      </c>
      <c r="B103" s="5" t="s">
        <v>162</v>
      </c>
      <c r="C103" s="5">
        <v>324335</v>
      </c>
      <c r="D103" s="6"/>
      <c r="E103" s="5" t="s">
        <v>16</v>
      </c>
      <c r="F103" s="5" t="s">
        <v>17</v>
      </c>
      <c r="G103" s="5" t="s">
        <v>13</v>
      </c>
      <c r="H103" s="7" t="s">
        <v>12</v>
      </c>
      <c r="I103" s="7" t="s">
        <v>163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9</v>
      </c>
      <c r="AF103" s="8">
        <v>23900</v>
      </c>
      <c r="AG103" s="8">
        <v>4900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10">
        <v>28800</v>
      </c>
      <c r="AV103" s="15">
        <f t="shared" si="2"/>
        <v>28800</v>
      </c>
      <c r="AW103" s="16">
        <f t="shared" si="3"/>
        <v>20160</v>
      </c>
    </row>
    <row r="104" spans="1:49" ht="19.2" x14ac:dyDescent="0.4">
      <c r="A104" s="5" t="s">
        <v>211</v>
      </c>
      <c r="B104" s="5" t="s">
        <v>18</v>
      </c>
      <c r="C104" s="5">
        <v>387417</v>
      </c>
      <c r="D104" s="6"/>
      <c r="E104" s="5" t="s">
        <v>16</v>
      </c>
      <c r="F104" s="5" t="s">
        <v>19</v>
      </c>
      <c r="G104" s="5" t="s">
        <v>13</v>
      </c>
      <c r="H104" s="7" t="s">
        <v>8</v>
      </c>
      <c r="I104" s="7" t="s">
        <v>20</v>
      </c>
      <c r="J104" s="7">
        <v>0</v>
      </c>
      <c r="K104" s="7">
        <v>9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2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207</v>
      </c>
      <c r="AF104" s="8">
        <v>15500</v>
      </c>
      <c r="AG104" s="8">
        <v>5200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65</v>
      </c>
      <c r="AS104" s="8">
        <v>6500</v>
      </c>
      <c r="AT104" s="7">
        <v>0</v>
      </c>
      <c r="AU104" s="10">
        <v>27200</v>
      </c>
      <c r="AV104" s="15">
        <f t="shared" si="2"/>
        <v>27200</v>
      </c>
      <c r="AW104" s="16">
        <f t="shared" si="3"/>
        <v>19040</v>
      </c>
    </row>
    <row r="105" spans="1:49" ht="19.2" x14ac:dyDescent="0.4">
      <c r="A105" s="5" t="s">
        <v>211</v>
      </c>
      <c r="B105" s="5" t="s">
        <v>57</v>
      </c>
      <c r="C105" s="5">
        <v>316658</v>
      </c>
      <c r="D105" s="6"/>
      <c r="E105" s="5" t="s">
        <v>16</v>
      </c>
      <c r="F105" s="5" t="s">
        <v>19</v>
      </c>
      <c r="G105" s="5" t="s">
        <v>13</v>
      </c>
      <c r="H105" s="7" t="s">
        <v>8</v>
      </c>
      <c r="I105" s="7" t="s">
        <v>58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269</v>
      </c>
      <c r="AS105" s="8">
        <v>26300</v>
      </c>
      <c r="AT105" s="7">
        <v>600</v>
      </c>
      <c r="AU105" s="10">
        <v>26900</v>
      </c>
      <c r="AV105" s="15">
        <f t="shared" si="2"/>
        <v>26900</v>
      </c>
      <c r="AW105" s="16">
        <f t="shared" si="3"/>
        <v>18830</v>
      </c>
    </row>
    <row r="106" spans="1:49" ht="19.2" x14ac:dyDescent="0.4">
      <c r="A106" s="5" t="s">
        <v>211</v>
      </c>
      <c r="B106" s="5" t="s">
        <v>126</v>
      </c>
      <c r="C106" s="5">
        <v>434558</v>
      </c>
      <c r="D106" s="6"/>
      <c r="E106" s="5" t="s">
        <v>16</v>
      </c>
      <c r="F106" s="5" t="s">
        <v>127</v>
      </c>
      <c r="G106" s="5" t="s">
        <v>13</v>
      </c>
      <c r="H106" s="7" t="s">
        <v>8</v>
      </c>
      <c r="I106" s="7" t="s">
        <v>164</v>
      </c>
      <c r="J106" s="7">
        <v>3</v>
      </c>
      <c r="K106" s="7">
        <v>178</v>
      </c>
      <c r="L106" s="7">
        <v>300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6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227</v>
      </c>
      <c r="AF106" s="8">
        <v>22700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10">
        <v>23000</v>
      </c>
      <c r="AV106" s="15">
        <f t="shared" si="2"/>
        <v>23000</v>
      </c>
      <c r="AW106" s="16">
        <f t="shared" si="3"/>
        <v>16099.999999999998</v>
      </c>
    </row>
    <row r="107" spans="1:49" ht="19.2" x14ac:dyDescent="0.4">
      <c r="A107" s="5" t="s">
        <v>211</v>
      </c>
      <c r="B107" s="5" t="s">
        <v>84</v>
      </c>
      <c r="C107" s="5">
        <v>425289</v>
      </c>
      <c r="D107" s="6"/>
      <c r="E107" s="5" t="s">
        <v>16</v>
      </c>
      <c r="F107" s="5" t="s">
        <v>82</v>
      </c>
      <c r="G107" s="5" t="s">
        <v>13</v>
      </c>
      <c r="H107" s="7" t="s">
        <v>8</v>
      </c>
      <c r="I107" s="7" t="s">
        <v>85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10</v>
      </c>
      <c r="AF107" s="8">
        <v>1000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220</v>
      </c>
      <c r="AS107" s="8">
        <v>21100</v>
      </c>
      <c r="AT107" s="7">
        <v>900</v>
      </c>
      <c r="AU107" s="10">
        <v>23000</v>
      </c>
      <c r="AV107" s="15">
        <f t="shared" si="2"/>
        <v>23000</v>
      </c>
      <c r="AW107" s="16">
        <f t="shared" si="3"/>
        <v>16099.999999999998</v>
      </c>
    </row>
    <row r="108" spans="1:49" ht="19.2" x14ac:dyDescent="0.4">
      <c r="A108" s="5" t="s">
        <v>211</v>
      </c>
      <c r="B108" s="5" t="s">
        <v>39</v>
      </c>
      <c r="C108" s="5">
        <v>388999</v>
      </c>
      <c r="D108" s="6"/>
      <c r="E108" s="5" t="s">
        <v>16</v>
      </c>
      <c r="F108" s="5" t="s">
        <v>19</v>
      </c>
      <c r="G108" s="5" t="s">
        <v>13</v>
      </c>
      <c r="H108" s="7" t="s">
        <v>8</v>
      </c>
      <c r="I108" s="7" t="s">
        <v>40</v>
      </c>
      <c r="J108" s="7">
        <v>0</v>
      </c>
      <c r="K108" s="7">
        <v>2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200</v>
      </c>
      <c r="AS108" s="8">
        <v>19700</v>
      </c>
      <c r="AT108" s="7">
        <v>300</v>
      </c>
      <c r="AU108" s="10">
        <v>20000</v>
      </c>
      <c r="AV108" s="15">
        <f t="shared" si="2"/>
        <v>20000</v>
      </c>
      <c r="AW108" s="16">
        <f t="shared" si="3"/>
        <v>14000</v>
      </c>
    </row>
    <row r="109" spans="1:49" ht="19.2" x14ac:dyDescent="0.4">
      <c r="A109" s="5" t="s">
        <v>211</v>
      </c>
      <c r="B109" s="5" t="s">
        <v>44</v>
      </c>
      <c r="C109" s="5">
        <v>290890</v>
      </c>
      <c r="D109" s="6"/>
      <c r="E109" s="5" t="s">
        <v>16</v>
      </c>
      <c r="F109" s="5" t="s">
        <v>17</v>
      </c>
      <c r="G109" s="5" t="s">
        <v>13</v>
      </c>
      <c r="H109" s="7" t="s">
        <v>8</v>
      </c>
      <c r="I109" s="7" t="s">
        <v>45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18</v>
      </c>
      <c r="AC109" s="8">
        <v>16200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10">
        <v>16200</v>
      </c>
      <c r="AV109" s="15">
        <f t="shared" si="2"/>
        <v>16200</v>
      </c>
      <c r="AW109" s="16">
        <f t="shared" si="3"/>
        <v>11340</v>
      </c>
    </row>
    <row r="110" spans="1:49" ht="19.2" x14ac:dyDescent="0.4">
      <c r="A110" s="5" t="s">
        <v>211</v>
      </c>
      <c r="B110" s="5" t="s">
        <v>112</v>
      </c>
      <c r="C110" s="5">
        <v>429496</v>
      </c>
      <c r="D110" s="6"/>
      <c r="E110" s="5" t="s">
        <v>16</v>
      </c>
      <c r="F110" s="5" t="s">
        <v>113</v>
      </c>
      <c r="G110" s="5" t="s">
        <v>13</v>
      </c>
      <c r="H110" s="7" t="s">
        <v>8</v>
      </c>
      <c r="I110" s="7" t="s">
        <v>114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156</v>
      </c>
      <c r="AF110" s="7">
        <v>0</v>
      </c>
      <c r="AG110" s="8">
        <v>15600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10">
        <v>15600</v>
      </c>
      <c r="AV110" s="15">
        <f t="shared" si="2"/>
        <v>15600</v>
      </c>
      <c r="AW110" s="16">
        <f t="shared" si="3"/>
        <v>10920</v>
      </c>
    </row>
    <row r="111" spans="1:49" ht="19.2" x14ac:dyDescent="0.4">
      <c r="A111" s="5" t="s">
        <v>211</v>
      </c>
      <c r="B111" s="5" t="s">
        <v>206</v>
      </c>
      <c r="C111" s="5">
        <v>458566</v>
      </c>
      <c r="D111" s="6"/>
      <c r="E111" s="5" t="s">
        <v>16</v>
      </c>
      <c r="F111" s="5" t="s">
        <v>17</v>
      </c>
      <c r="G111" s="5" t="s">
        <v>13</v>
      </c>
      <c r="H111" s="7" t="s">
        <v>8</v>
      </c>
      <c r="I111" s="7" t="s">
        <v>199</v>
      </c>
      <c r="J111" s="7">
        <v>1</v>
      </c>
      <c r="K111" s="7">
        <v>0</v>
      </c>
      <c r="L111" s="8">
        <v>3200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</v>
      </c>
      <c r="AF111" s="8">
        <v>6400</v>
      </c>
      <c r="AG111" s="8">
        <v>3200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10">
        <v>12800</v>
      </c>
      <c r="AV111" s="15">
        <f t="shared" si="2"/>
        <v>12800</v>
      </c>
      <c r="AW111" s="16">
        <f t="shared" ref="AW111:AW121" si="4">AV111*70%</f>
        <v>8960</v>
      </c>
    </row>
    <row r="112" spans="1:49" ht="19.2" x14ac:dyDescent="0.4">
      <c r="A112" s="5" t="s">
        <v>211</v>
      </c>
      <c r="B112" s="5" t="s">
        <v>143</v>
      </c>
      <c r="C112" s="5">
        <v>434877</v>
      </c>
      <c r="D112" s="6"/>
      <c r="E112" s="5" t="s">
        <v>16</v>
      </c>
      <c r="F112" s="5" t="s">
        <v>135</v>
      </c>
      <c r="G112" s="5" t="s">
        <v>13</v>
      </c>
      <c r="H112" s="7" t="s">
        <v>8</v>
      </c>
      <c r="I112" s="7" t="s">
        <v>154</v>
      </c>
      <c r="J112" s="7">
        <v>1</v>
      </c>
      <c r="K112" s="7">
        <v>0</v>
      </c>
      <c r="L112" s="7">
        <v>100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120</v>
      </c>
      <c r="AS112" s="8">
        <v>12000</v>
      </c>
      <c r="AT112" s="7">
        <v>0</v>
      </c>
      <c r="AU112" s="10">
        <v>12100</v>
      </c>
      <c r="AV112" s="15">
        <f t="shared" si="2"/>
        <v>12100</v>
      </c>
      <c r="AW112" s="16">
        <f t="shared" si="4"/>
        <v>8470</v>
      </c>
    </row>
    <row r="113" spans="1:49" ht="19.2" x14ac:dyDescent="0.4">
      <c r="A113" s="5" t="s">
        <v>211</v>
      </c>
      <c r="B113" s="5" t="s">
        <v>176</v>
      </c>
      <c r="C113" s="5">
        <v>423328</v>
      </c>
      <c r="D113" s="6"/>
      <c r="E113" s="5" t="s">
        <v>16</v>
      </c>
      <c r="F113" s="5" t="s">
        <v>17</v>
      </c>
      <c r="G113" s="5" t="s">
        <v>13</v>
      </c>
      <c r="H113" s="7" t="s">
        <v>8</v>
      </c>
      <c r="I113" s="7" t="s">
        <v>177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2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119</v>
      </c>
      <c r="AF113" s="7">
        <v>0</v>
      </c>
      <c r="AG113" s="8">
        <v>11900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10">
        <v>11900</v>
      </c>
      <c r="AV113" s="15">
        <f t="shared" si="2"/>
        <v>11900</v>
      </c>
      <c r="AW113" s="16">
        <f t="shared" si="4"/>
        <v>8330</v>
      </c>
    </row>
    <row r="114" spans="1:49" ht="19.2" x14ac:dyDescent="0.4">
      <c r="A114" s="5" t="s">
        <v>211</v>
      </c>
      <c r="B114" s="5" t="s">
        <v>34</v>
      </c>
      <c r="C114" s="5">
        <v>408579</v>
      </c>
      <c r="D114" s="6"/>
      <c r="E114" s="5" t="s">
        <v>16</v>
      </c>
      <c r="F114" s="5" t="s">
        <v>17</v>
      </c>
      <c r="G114" s="5" t="s">
        <v>13</v>
      </c>
      <c r="H114" s="7" t="s">
        <v>8</v>
      </c>
      <c r="I114" s="7" t="s">
        <v>35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3</v>
      </c>
      <c r="AF114" s="8">
        <v>9600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10">
        <v>9600</v>
      </c>
      <c r="AV114" s="15">
        <f t="shared" si="2"/>
        <v>9600</v>
      </c>
      <c r="AW114" s="16">
        <f t="shared" si="4"/>
        <v>6720</v>
      </c>
    </row>
    <row r="115" spans="1:49" ht="19.2" x14ac:dyDescent="0.4">
      <c r="A115" s="5" t="s">
        <v>211</v>
      </c>
      <c r="B115" s="5" t="s">
        <v>49</v>
      </c>
      <c r="C115" s="5">
        <v>379813</v>
      </c>
      <c r="D115" s="6"/>
      <c r="E115" s="5" t="s">
        <v>16</v>
      </c>
      <c r="F115" s="5" t="s">
        <v>17</v>
      </c>
      <c r="G115" s="5" t="s">
        <v>13</v>
      </c>
      <c r="H115" s="7" t="s">
        <v>8</v>
      </c>
      <c r="I115" s="7" t="s">
        <v>50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94</v>
      </c>
      <c r="AF115" s="8">
        <v>2700</v>
      </c>
      <c r="AG115" s="8">
        <v>6700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10">
        <v>9400</v>
      </c>
      <c r="AV115" s="15">
        <f t="shared" si="2"/>
        <v>9400</v>
      </c>
      <c r="AW115" s="16">
        <f t="shared" si="4"/>
        <v>6580</v>
      </c>
    </row>
    <row r="116" spans="1:49" ht="19.2" x14ac:dyDescent="0.4">
      <c r="A116" s="5" t="s">
        <v>211</v>
      </c>
      <c r="B116" s="5" t="s">
        <v>147</v>
      </c>
      <c r="C116" s="5">
        <v>434847</v>
      </c>
      <c r="D116" s="6"/>
      <c r="E116" s="5" t="s">
        <v>16</v>
      </c>
      <c r="F116" s="5" t="s">
        <v>148</v>
      </c>
      <c r="G116" s="5" t="s">
        <v>13</v>
      </c>
      <c r="H116" s="7" t="s">
        <v>8</v>
      </c>
      <c r="I116" s="7" t="s">
        <v>183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8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93</v>
      </c>
      <c r="AF116" s="8">
        <v>9300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10">
        <v>9300</v>
      </c>
      <c r="AV116" s="15">
        <f t="shared" si="2"/>
        <v>9300</v>
      </c>
      <c r="AW116" s="16">
        <f t="shared" si="4"/>
        <v>6510</v>
      </c>
    </row>
    <row r="117" spans="1:49" ht="19.2" x14ac:dyDescent="0.4">
      <c r="A117" s="5" t="s">
        <v>211</v>
      </c>
      <c r="B117" s="5" t="s">
        <v>187</v>
      </c>
      <c r="C117" s="5">
        <v>428379</v>
      </c>
      <c r="D117" s="6"/>
      <c r="E117" s="5" t="s">
        <v>16</v>
      </c>
      <c r="F117" s="5" t="s">
        <v>73</v>
      </c>
      <c r="G117" s="5" t="s">
        <v>13</v>
      </c>
      <c r="H117" s="7" t="s">
        <v>11</v>
      </c>
      <c r="I117" s="7" t="s">
        <v>105</v>
      </c>
      <c r="J117" s="7">
        <v>0</v>
      </c>
      <c r="K117" s="7">
        <v>94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36</v>
      </c>
      <c r="AF117" s="8">
        <v>3500</v>
      </c>
      <c r="AG117" s="7">
        <v>100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52</v>
      </c>
      <c r="AS117" s="8">
        <v>5200</v>
      </c>
      <c r="AT117" s="7">
        <v>0</v>
      </c>
      <c r="AU117" s="10">
        <v>8800</v>
      </c>
      <c r="AV117" s="15">
        <f t="shared" si="2"/>
        <v>8800</v>
      </c>
      <c r="AW117" s="16">
        <f t="shared" si="4"/>
        <v>6160</v>
      </c>
    </row>
    <row r="118" spans="1:49" ht="19.2" x14ac:dyDescent="0.4">
      <c r="A118" s="5" t="s">
        <v>211</v>
      </c>
      <c r="B118" s="5" t="s">
        <v>117</v>
      </c>
      <c r="C118" s="5">
        <v>429534</v>
      </c>
      <c r="D118" s="6"/>
      <c r="E118" s="5" t="s">
        <v>16</v>
      </c>
      <c r="F118" s="5" t="s">
        <v>113</v>
      </c>
      <c r="G118" s="5" t="s">
        <v>13</v>
      </c>
      <c r="H118" s="7" t="s">
        <v>8</v>
      </c>
      <c r="I118" s="7" t="s">
        <v>118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3</v>
      </c>
      <c r="AF118" s="8">
        <v>8400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10">
        <v>8400</v>
      </c>
      <c r="AV118" s="15">
        <f t="shared" si="2"/>
        <v>8400</v>
      </c>
      <c r="AW118" s="16">
        <f t="shared" si="4"/>
        <v>5880</v>
      </c>
    </row>
    <row r="119" spans="1:49" ht="19.2" x14ac:dyDescent="0.4">
      <c r="A119" s="5" t="s">
        <v>211</v>
      </c>
      <c r="B119" s="5" t="s">
        <v>86</v>
      </c>
      <c r="C119" s="5">
        <v>413284</v>
      </c>
      <c r="D119" s="6"/>
      <c r="E119" s="5" t="s">
        <v>16</v>
      </c>
      <c r="F119" s="5" t="s">
        <v>76</v>
      </c>
      <c r="G119" s="5" t="s">
        <v>13</v>
      </c>
      <c r="H119" s="7" t="s">
        <v>8</v>
      </c>
      <c r="I119" s="7" t="s">
        <v>87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1</v>
      </c>
      <c r="T119" s="7">
        <v>0</v>
      </c>
      <c r="U119" s="7">
        <v>0</v>
      </c>
      <c r="V119" s="7">
        <v>0</v>
      </c>
      <c r="W119" s="8">
        <v>3500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</v>
      </c>
      <c r="AF119" s="7">
        <v>0</v>
      </c>
      <c r="AG119" s="8">
        <v>3500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10">
        <v>7000</v>
      </c>
      <c r="AV119" s="15">
        <f t="shared" si="2"/>
        <v>7000</v>
      </c>
      <c r="AW119" s="16">
        <f t="shared" si="4"/>
        <v>4900</v>
      </c>
    </row>
    <row r="120" spans="1:49" ht="19.2" x14ac:dyDescent="0.4">
      <c r="A120" s="5" t="s">
        <v>211</v>
      </c>
      <c r="B120" s="5" t="s">
        <v>141</v>
      </c>
      <c r="C120" s="5">
        <v>440303</v>
      </c>
      <c r="D120" s="6"/>
      <c r="E120" s="5" t="s">
        <v>16</v>
      </c>
      <c r="F120" s="5" t="s">
        <v>142</v>
      </c>
      <c r="G120" s="5" t="s">
        <v>13</v>
      </c>
      <c r="H120" s="7" t="s">
        <v>8</v>
      </c>
      <c r="I120" s="7" t="s">
        <v>174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20</v>
      </c>
      <c r="AF120" s="8">
        <v>1400</v>
      </c>
      <c r="AG120" s="7">
        <v>600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44</v>
      </c>
      <c r="AS120" s="8">
        <v>3900</v>
      </c>
      <c r="AT120" s="7">
        <v>500</v>
      </c>
      <c r="AU120" s="10">
        <v>6400</v>
      </c>
      <c r="AV120" s="15">
        <f t="shared" si="2"/>
        <v>6400</v>
      </c>
      <c r="AW120" s="16">
        <f t="shared" si="4"/>
        <v>4480</v>
      </c>
    </row>
    <row r="121" spans="1:49" ht="19.2" x14ac:dyDescent="0.4">
      <c r="A121" s="5" t="s">
        <v>211</v>
      </c>
      <c r="B121" s="5" t="s">
        <v>227</v>
      </c>
      <c r="C121" s="5">
        <v>463944</v>
      </c>
      <c r="D121" s="6"/>
      <c r="E121" s="5" t="s">
        <v>16</v>
      </c>
      <c r="F121" s="5" t="s">
        <v>228</v>
      </c>
      <c r="G121" s="5" t="s">
        <v>13</v>
      </c>
      <c r="H121" s="7" t="s">
        <v>12</v>
      </c>
      <c r="I121" s="7" t="s">
        <v>229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2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3</v>
      </c>
      <c r="AF121" s="7">
        <v>300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58</v>
      </c>
      <c r="AS121" s="8">
        <v>5800</v>
      </c>
      <c r="AT121" s="7">
        <v>0</v>
      </c>
      <c r="AU121" s="10">
        <v>6100</v>
      </c>
      <c r="AV121" s="15">
        <f t="shared" si="2"/>
        <v>6100</v>
      </c>
      <c r="AW121" s="16">
        <f t="shared" si="4"/>
        <v>4270</v>
      </c>
    </row>
    <row r="122" spans="1:49" ht="19.2" x14ac:dyDescent="0.4">
      <c r="A122" s="5" t="s">
        <v>211</v>
      </c>
      <c r="B122" s="5" t="s">
        <v>72</v>
      </c>
      <c r="C122" s="5">
        <v>389960</v>
      </c>
      <c r="D122" s="6"/>
      <c r="E122" s="5" t="s">
        <v>16</v>
      </c>
      <c r="F122" s="5" t="s">
        <v>73</v>
      </c>
      <c r="G122" s="5" t="s">
        <v>13</v>
      </c>
      <c r="H122" s="7" t="s">
        <v>12</v>
      </c>
      <c r="I122" s="7" t="s">
        <v>74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1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51</v>
      </c>
      <c r="AF122" s="8">
        <v>4800</v>
      </c>
      <c r="AG122" s="7">
        <v>300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10">
        <v>5100</v>
      </c>
      <c r="AV122" s="15">
        <f t="shared" si="2"/>
        <v>5100</v>
      </c>
      <c r="AW122" s="16">
        <f t="shared" ref="AW122:AW160" si="5">AV122*70%</f>
        <v>3570</v>
      </c>
    </row>
    <row r="123" spans="1:49" ht="19.2" x14ac:dyDescent="0.4">
      <c r="A123" s="5" t="s">
        <v>211</v>
      </c>
      <c r="B123" s="5" t="s">
        <v>46</v>
      </c>
      <c r="C123" s="5">
        <v>386960</v>
      </c>
      <c r="D123" s="6"/>
      <c r="E123" s="5" t="s">
        <v>16</v>
      </c>
      <c r="F123" s="5" t="s">
        <v>47</v>
      </c>
      <c r="G123" s="5" t="s">
        <v>13</v>
      </c>
      <c r="H123" s="7" t="s">
        <v>8</v>
      </c>
      <c r="I123" s="7" t="s">
        <v>48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3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47</v>
      </c>
      <c r="AF123" s="8">
        <v>4600</v>
      </c>
      <c r="AG123" s="7">
        <v>100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10">
        <v>4700</v>
      </c>
      <c r="AV123" s="15">
        <f t="shared" si="2"/>
        <v>4700</v>
      </c>
      <c r="AW123" s="16">
        <f t="shared" si="5"/>
        <v>3290</v>
      </c>
    </row>
    <row r="124" spans="1:49" ht="19.2" x14ac:dyDescent="0.4">
      <c r="A124" s="5" t="s">
        <v>211</v>
      </c>
      <c r="B124" s="5" t="s">
        <v>51</v>
      </c>
      <c r="C124" s="5">
        <v>406849</v>
      </c>
      <c r="D124" s="6"/>
      <c r="E124" s="5" t="s">
        <v>16</v>
      </c>
      <c r="F124" s="5" t="s">
        <v>52</v>
      </c>
      <c r="G124" s="5" t="s">
        <v>13</v>
      </c>
      <c r="H124" s="7" t="s">
        <v>8</v>
      </c>
      <c r="I124" s="7" t="s">
        <v>53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3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47</v>
      </c>
      <c r="AF124" s="8">
        <v>4700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10">
        <v>4700</v>
      </c>
      <c r="AV124" s="15">
        <f t="shared" si="2"/>
        <v>4700</v>
      </c>
      <c r="AW124" s="16">
        <f t="shared" si="5"/>
        <v>3290</v>
      </c>
    </row>
    <row r="125" spans="1:49" ht="19.2" x14ac:dyDescent="0.4">
      <c r="A125" s="5" t="s">
        <v>211</v>
      </c>
      <c r="B125" s="5" t="s">
        <v>123</v>
      </c>
      <c r="C125" s="5">
        <v>434544</v>
      </c>
      <c r="D125" s="6"/>
      <c r="E125" s="5" t="s">
        <v>16</v>
      </c>
      <c r="F125" s="5" t="s">
        <v>113</v>
      </c>
      <c r="G125" s="5" t="s">
        <v>13</v>
      </c>
      <c r="H125" s="7" t="s">
        <v>124</v>
      </c>
      <c r="I125" s="7" t="s">
        <v>125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3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47</v>
      </c>
      <c r="AF125" s="8">
        <v>4700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10">
        <v>4700</v>
      </c>
      <c r="AV125" s="15">
        <f t="shared" si="2"/>
        <v>4700</v>
      </c>
      <c r="AW125" s="16">
        <f t="shared" si="5"/>
        <v>3290</v>
      </c>
    </row>
    <row r="126" spans="1:49" ht="19.2" x14ac:dyDescent="0.4">
      <c r="A126" s="5" t="s">
        <v>211</v>
      </c>
      <c r="B126" s="5" t="s">
        <v>66</v>
      </c>
      <c r="C126" s="5">
        <v>278898</v>
      </c>
      <c r="D126" s="6"/>
      <c r="E126" s="5" t="s">
        <v>16</v>
      </c>
      <c r="F126" s="5" t="s">
        <v>67</v>
      </c>
      <c r="G126" s="5" t="s">
        <v>13</v>
      </c>
      <c r="H126" s="7" t="s">
        <v>8</v>
      </c>
      <c r="I126" s="7" t="s">
        <v>68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40</v>
      </c>
      <c r="AS126" s="8">
        <v>4000</v>
      </c>
      <c r="AT126" s="7">
        <v>0</v>
      </c>
      <c r="AU126" s="10">
        <v>4000</v>
      </c>
      <c r="AV126" s="15">
        <f t="shared" si="2"/>
        <v>4000</v>
      </c>
      <c r="AW126" s="16">
        <f t="shared" si="5"/>
        <v>2800</v>
      </c>
    </row>
    <row r="127" spans="1:49" ht="19.2" x14ac:dyDescent="0.4">
      <c r="A127" s="5" t="s">
        <v>211</v>
      </c>
      <c r="B127" s="5" t="s">
        <v>61</v>
      </c>
      <c r="C127" s="5">
        <v>418689</v>
      </c>
      <c r="D127" s="6"/>
      <c r="E127" s="5" t="s">
        <v>16</v>
      </c>
      <c r="F127" s="5" t="s">
        <v>27</v>
      </c>
      <c r="G127" s="5" t="s">
        <v>13</v>
      </c>
      <c r="H127" s="7" t="s">
        <v>8</v>
      </c>
      <c r="I127" s="7" t="s">
        <v>62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</v>
      </c>
      <c r="AF127" s="8">
        <v>3200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10">
        <v>3200</v>
      </c>
      <c r="AV127" s="15">
        <f t="shared" si="2"/>
        <v>3200</v>
      </c>
      <c r="AW127" s="16">
        <f t="shared" si="5"/>
        <v>2240</v>
      </c>
    </row>
    <row r="128" spans="1:49" ht="19.2" x14ac:dyDescent="0.4">
      <c r="A128" s="5" t="s">
        <v>211</v>
      </c>
      <c r="B128" s="5" t="s">
        <v>119</v>
      </c>
      <c r="C128" s="5">
        <v>429538</v>
      </c>
      <c r="D128" s="6"/>
      <c r="E128" s="5" t="s">
        <v>16</v>
      </c>
      <c r="F128" s="5" t="s">
        <v>113</v>
      </c>
      <c r="G128" s="5" t="s">
        <v>13</v>
      </c>
      <c r="H128" s="7" t="s">
        <v>8</v>
      </c>
      <c r="I128" s="7" t="s">
        <v>118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2</v>
      </c>
      <c r="AF128" s="8">
        <v>2000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10">
        <v>2000</v>
      </c>
      <c r="AV128" s="15">
        <f t="shared" si="2"/>
        <v>2000</v>
      </c>
      <c r="AW128" s="16">
        <f t="shared" si="5"/>
        <v>1400</v>
      </c>
    </row>
    <row r="129" spans="1:49" ht="19.2" x14ac:dyDescent="0.4">
      <c r="A129" s="5" t="s">
        <v>211</v>
      </c>
      <c r="B129" s="5" t="s">
        <v>106</v>
      </c>
      <c r="C129" s="5">
        <v>428319</v>
      </c>
      <c r="D129" s="6"/>
      <c r="E129" s="5" t="s">
        <v>16</v>
      </c>
      <c r="F129" s="5" t="s">
        <v>82</v>
      </c>
      <c r="G129" s="5" t="s">
        <v>13</v>
      </c>
      <c r="H129" s="7" t="s">
        <v>8</v>
      </c>
      <c r="I129" s="7" t="s">
        <v>105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18</v>
      </c>
      <c r="AF129" s="8">
        <v>1500</v>
      </c>
      <c r="AG129" s="7">
        <v>300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10">
        <v>1800</v>
      </c>
      <c r="AV129" s="15">
        <f t="shared" si="2"/>
        <v>1800</v>
      </c>
      <c r="AW129" s="16">
        <f t="shared" si="5"/>
        <v>1260</v>
      </c>
    </row>
    <row r="130" spans="1:49" ht="19.2" x14ac:dyDescent="0.4">
      <c r="A130" s="5" t="s">
        <v>211</v>
      </c>
      <c r="B130" s="5" t="s">
        <v>129</v>
      </c>
      <c r="C130" s="5">
        <v>351033</v>
      </c>
      <c r="D130" s="6" t="s">
        <v>130</v>
      </c>
      <c r="E130" s="5" t="s">
        <v>16</v>
      </c>
      <c r="F130" s="5" t="s">
        <v>17</v>
      </c>
      <c r="G130" s="5" t="s">
        <v>13</v>
      </c>
      <c r="H130" s="7" t="s">
        <v>8</v>
      </c>
      <c r="I130" s="7" t="s">
        <v>131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11</v>
      </c>
      <c r="AF130" s="8">
        <v>1100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10">
        <v>1100</v>
      </c>
      <c r="AV130" s="15">
        <f t="shared" si="2"/>
        <v>1100</v>
      </c>
      <c r="AW130" s="16">
        <f t="shared" si="5"/>
        <v>770</v>
      </c>
    </row>
    <row r="131" spans="1:49" ht="19.2" x14ac:dyDescent="0.4">
      <c r="A131" s="5" t="s">
        <v>211</v>
      </c>
      <c r="B131" s="5" t="s">
        <v>144</v>
      </c>
      <c r="C131" s="5">
        <v>434853</v>
      </c>
      <c r="D131" s="6"/>
      <c r="E131" s="5" t="s">
        <v>16</v>
      </c>
      <c r="F131" s="5" t="s">
        <v>145</v>
      </c>
      <c r="G131" s="5" t="s">
        <v>13</v>
      </c>
      <c r="H131" s="7" t="s">
        <v>8</v>
      </c>
      <c r="I131" s="7" t="s">
        <v>207</v>
      </c>
      <c r="J131" s="7">
        <v>5</v>
      </c>
      <c r="K131" s="7">
        <v>0</v>
      </c>
      <c r="L131" s="7">
        <v>500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11">
        <v>500</v>
      </c>
      <c r="AV131" s="15">
        <f t="shared" ref="AV131:AV163" si="6">AU131-AN131</f>
        <v>500</v>
      </c>
      <c r="AW131" s="16">
        <f t="shared" si="5"/>
        <v>350</v>
      </c>
    </row>
    <row r="132" spans="1:49" ht="19.2" x14ac:dyDescent="0.4">
      <c r="A132" s="5" t="s">
        <v>211</v>
      </c>
      <c r="B132" s="5" t="s">
        <v>220</v>
      </c>
      <c r="C132" s="5">
        <v>463946</v>
      </c>
      <c r="D132" s="6"/>
      <c r="E132" s="5" t="s">
        <v>16</v>
      </c>
      <c r="F132" s="5" t="s">
        <v>221</v>
      </c>
      <c r="G132" s="5" t="s">
        <v>13</v>
      </c>
      <c r="H132" s="7" t="s">
        <v>8</v>
      </c>
      <c r="I132" s="7" t="s">
        <v>222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5</v>
      </c>
      <c r="AF132" s="7">
        <v>0</v>
      </c>
      <c r="AG132" s="7">
        <v>500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11">
        <v>500</v>
      </c>
      <c r="AV132" s="15">
        <f t="shared" si="6"/>
        <v>500</v>
      </c>
      <c r="AW132" s="16">
        <f t="shared" si="5"/>
        <v>350</v>
      </c>
    </row>
    <row r="133" spans="1:49" ht="19.2" x14ac:dyDescent="0.4">
      <c r="A133" s="5" t="s">
        <v>211</v>
      </c>
      <c r="B133" s="5" t="s">
        <v>75</v>
      </c>
      <c r="C133" s="5">
        <v>297776</v>
      </c>
      <c r="D133" s="6"/>
      <c r="E133" s="5" t="s">
        <v>16</v>
      </c>
      <c r="F133" s="5" t="s">
        <v>76</v>
      </c>
      <c r="G133" s="5" t="s">
        <v>13</v>
      </c>
      <c r="H133" s="7" t="s">
        <v>12</v>
      </c>
      <c r="I133" s="7" t="s">
        <v>77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2</v>
      </c>
      <c r="AF133" s="7">
        <v>0</v>
      </c>
      <c r="AG133" s="7">
        <v>200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11">
        <v>200</v>
      </c>
      <c r="AV133" s="15">
        <f t="shared" si="6"/>
        <v>200</v>
      </c>
      <c r="AW133" s="16">
        <f t="shared" si="5"/>
        <v>140</v>
      </c>
    </row>
    <row r="134" spans="1:49" ht="19.2" x14ac:dyDescent="0.4">
      <c r="A134" s="5" t="s">
        <v>211</v>
      </c>
      <c r="B134" s="5" t="s">
        <v>69</v>
      </c>
      <c r="C134" s="5">
        <v>406872</v>
      </c>
      <c r="D134" s="6"/>
      <c r="E134" s="5" t="s">
        <v>16</v>
      </c>
      <c r="F134" s="5" t="s">
        <v>70</v>
      </c>
      <c r="G134" s="5" t="s">
        <v>13</v>
      </c>
      <c r="H134" s="7" t="s">
        <v>12</v>
      </c>
      <c r="I134" s="7" t="s">
        <v>71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7">
        <v>0</v>
      </c>
      <c r="AG134" s="7">
        <v>100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11">
        <v>100</v>
      </c>
      <c r="AV134" s="15">
        <f t="shared" si="6"/>
        <v>100</v>
      </c>
      <c r="AW134" s="16">
        <f t="shared" si="5"/>
        <v>70</v>
      </c>
    </row>
    <row r="135" spans="1:49" ht="19.2" x14ac:dyDescent="0.4">
      <c r="A135" s="5" t="s">
        <v>211</v>
      </c>
      <c r="B135" s="5" t="s">
        <v>209</v>
      </c>
      <c r="C135" s="5">
        <v>393275</v>
      </c>
      <c r="D135" s="6"/>
      <c r="E135" s="5" t="s">
        <v>16</v>
      </c>
      <c r="F135" s="5" t="s">
        <v>32</v>
      </c>
      <c r="G135" s="5" t="s">
        <v>13</v>
      </c>
      <c r="H135" s="7" t="s">
        <v>8</v>
      </c>
      <c r="I135" s="7" t="s">
        <v>210</v>
      </c>
      <c r="J135" s="7">
        <v>0</v>
      </c>
      <c r="K135" s="7">
        <v>8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11">
        <v>0</v>
      </c>
      <c r="AV135" s="15">
        <f t="shared" si="6"/>
        <v>0</v>
      </c>
      <c r="AW135" s="16">
        <f t="shared" si="5"/>
        <v>0</v>
      </c>
    </row>
    <row r="136" spans="1:49" ht="19.2" x14ac:dyDescent="0.4">
      <c r="A136" s="5" t="s">
        <v>211</v>
      </c>
      <c r="B136" s="5" t="s">
        <v>120</v>
      </c>
      <c r="C136" s="5">
        <v>428860</v>
      </c>
      <c r="D136" s="6"/>
      <c r="E136" s="5" t="s">
        <v>16</v>
      </c>
      <c r="F136" s="5" t="s">
        <v>121</v>
      </c>
      <c r="G136" s="5" t="s">
        <v>13</v>
      </c>
      <c r="H136" s="7" t="s">
        <v>8</v>
      </c>
      <c r="I136" s="7" t="s">
        <v>137</v>
      </c>
      <c r="J136" s="7">
        <v>0</v>
      </c>
      <c r="K136" s="7">
        <v>25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11">
        <v>0</v>
      </c>
      <c r="AV136" s="15">
        <f t="shared" si="6"/>
        <v>0</v>
      </c>
      <c r="AW136" s="16">
        <f t="shared" si="5"/>
        <v>0</v>
      </c>
    </row>
    <row r="137" spans="1:49" ht="19.2" x14ac:dyDescent="0.4">
      <c r="A137" s="5" t="s">
        <v>212</v>
      </c>
      <c r="B137" s="5" t="s">
        <v>188</v>
      </c>
      <c r="C137" s="5">
        <v>454534</v>
      </c>
      <c r="D137" s="6"/>
      <c r="E137" s="5" t="s">
        <v>16</v>
      </c>
      <c r="F137" s="5" t="s">
        <v>186</v>
      </c>
      <c r="G137" s="5" t="s">
        <v>13</v>
      </c>
      <c r="H137" s="7" t="s">
        <v>8</v>
      </c>
      <c r="I137" s="7" t="s">
        <v>213</v>
      </c>
      <c r="J137" s="8">
        <v>9278</v>
      </c>
      <c r="K137" s="8">
        <v>7078</v>
      </c>
      <c r="L137" s="8">
        <v>927800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223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8">
        <v>6839</v>
      </c>
      <c r="AF137" s="8">
        <v>568800</v>
      </c>
      <c r="AG137" s="8">
        <v>115100</v>
      </c>
      <c r="AH137" s="7">
        <v>0</v>
      </c>
      <c r="AI137" s="7">
        <v>0</v>
      </c>
      <c r="AJ137" s="7">
        <v>0</v>
      </c>
      <c r="AK137" s="8">
        <v>6133</v>
      </c>
      <c r="AL137" s="8">
        <v>476375</v>
      </c>
      <c r="AM137" s="8">
        <v>217400</v>
      </c>
      <c r="AN137" s="9">
        <v>142912.5</v>
      </c>
      <c r="AO137" s="7">
        <v>0</v>
      </c>
      <c r="AP137" s="7">
        <v>0</v>
      </c>
      <c r="AQ137" s="7">
        <v>0</v>
      </c>
      <c r="AR137" s="8">
        <v>2429</v>
      </c>
      <c r="AS137" s="8">
        <v>230700</v>
      </c>
      <c r="AT137" s="8">
        <v>12200</v>
      </c>
      <c r="AU137" s="10">
        <v>2548375</v>
      </c>
      <c r="AV137" s="15">
        <f t="shared" si="6"/>
        <v>2405462.5</v>
      </c>
      <c r="AW137" s="16">
        <f t="shared" si="5"/>
        <v>1683823.75</v>
      </c>
    </row>
    <row r="138" spans="1:49" ht="19.2" x14ac:dyDescent="0.4">
      <c r="A138" s="5" t="s">
        <v>212</v>
      </c>
      <c r="B138" s="5" t="s">
        <v>155</v>
      </c>
      <c r="C138" s="5">
        <v>445688</v>
      </c>
      <c r="D138" s="6"/>
      <c r="E138" s="5" t="s">
        <v>16</v>
      </c>
      <c r="F138" s="5" t="s">
        <v>156</v>
      </c>
      <c r="G138" s="5" t="s">
        <v>13</v>
      </c>
      <c r="H138" s="7" t="s">
        <v>8</v>
      </c>
      <c r="I138" s="7" t="s">
        <v>214</v>
      </c>
      <c r="J138" s="7">
        <v>0</v>
      </c>
      <c r="K138" s="8">
        <v>1557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8">
        <v>1817</v>
      </c>
      <c r="AF138" s="8">
        <v>164200</v>
      </c>
      <c r="AG138" s="8">
        <v>17500</v>
      </c>
      <c r="AH138" s="7">
        <v>0</v>
      </c>
      <c r="AI138" s="7">
        <v>0</v>
      </c>
      <c r="AJ138" s="7">
        <v>0</v>
      </c>
      <c r="AK138" s="8">
        <v>2508</v>
      </c>
      <c r="AL138" s="8">
        <v>272073</v>
      </c>
      <c r="AM138" s="8">
        <v>25000</v>
      </c>
      <c r="AN138" s="9">
        <v>81621.899999999994</v>
      </c>
      <c r="AO138" s="7">
        <v>0</v>
      </c>
      <c r="AP138" s="7">
        <v>0</v>
      </c>
      <c r="AQ138" s="7">
        <v>0</v>
      </c>
      <c r="AR138" s="8">
        <v>1064</v>
      </c>
      <c r="AS138" s="8">
        <v>99800</v>
      </c>
      <c r="AT138" s="8">
        <v>6600</v>
      </c>
      <c r="AU138" s="10">
        <v>585173</v>
      </c>
      <c r="AV138" s="15">
        <f t="shared" si="6"/>
        <v>503551.1</v>
      </c>
      <c r="AW138" s="16">
        <f t="shared" si="5"/>
        <v>352485.76999999996</v>
      </c>
    </row>
    <row r="139" spans="1:49" ht="19.2" x14ac:dyDescent="0.4">
      <c r="A139" s="5" t="s">
        <v>212</v>
      </c>
      <c r="B139" s="5" t="s">
        <v>15</v>
      </c>
      <c r="C139" s="5">
        <v>369220</v>
      </c>
      <c r="D139" s="6"/>
      <c r="E139" s="5" t="s">
        <v>16</v>
      </c>
      <c r="F139" s="5" t="s">
        <v>17</v>
      </c>
      <c r="G139" s="5" t="s">
        <v>13</v>
      </c>
      <c r="H139" s="7" t="s">
        <v>8</v>
      </c>
      <c r="I139" s="7" t="s">
        <v>103</v>
      </c>
      <c r="J139" s="7">
        <v>0</v>
      </c>
      <c r="K139" s="7">
        <v>5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297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8">
        <v>1082</v>
      </c>
      <c r="AF139" s="8">
        <v>98100</v>
      </c>
      <c r="AG139" s="8">
        <v>10100</v>
      </c>
      <c r="AH139" s="7">
        <v>0</v>
      </c>
      <c r="AI139" s="7">
        <v>0</v>
      </c>
      <c r="AJ139" s="7">
        <v>0</v>
      </c>
      <c r="AK139" s="8">
        <v>1578</v>
      </c>
      <c r="AL139" s="8">
        <v>105551</v>
      </c>
      <c r="AM139" s="8">
        <v>69800</v>
      </c>
      <c r="AN139" s="9">
        <v>31665.3</v>
      </c>
      <c r="AO139" s="7">
        <v>0</v>
      </c>
      <c r="AP139" s="7">
        <v>0</v>
      </c>
      <c r="AQ139" s="7">
        <v>0</v>
      </c>
      <c r="AR139" s="8">
        <v>2749</v>
      </c>
      <c r="AS139" s="8">
        <v>264500</v>
      </c>
      <c r="AT139" s="8">
        <v>10400</v>
      </c>
      <c r="AU139" s="10">
        <v>558451</v>
      </c>
      <c r="AV139" s="15">
        <f t="shared" si="6"/>
        <v>526785.69999999995</v>
      </c>
      <c r="AW139" s="16">
        <f t="shared" si="5"/>
        <v>368749.98999999993</v>
      </c>
    </row>
    <row r="140" spans="1:49" ht="19.2" x14ac:dyDescent="0.4">
      <c r="A140" s="5" t="s">
        <v>212</v>
      </c>
      <c r="B140" s="5" t="s">
        <v>25</v>
      </c>
      <c r="C140" s="5">
        <v>414278</v>
      </c>
      <c r="D140" s="6"/>
      <c r="E140" s="5" t="s">
        <v>16</v>
      </c>
      <c r="F140" s="5" t="s">
        <v>9</v>
      </c>
      <c r="G140" s="5" t="s">
        <v>13</v>
      </c>
      <c r="H140" s="7" t="s">
        <v>11</v>
      </c>
      <c r="I140" s="7" t="s">
        <v>78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18</v>
      </c>
      <c r="AF140" s="8">
        <v>44800</v>
      </c>
      <c r="AG140" s="8">
        <v>7100</v>
      </c>
      <c r="AH140" s="7">
        <v>0</v>
      </c>
      <c r="AI140" s="7">
        <v>0</v>
      </c>
      <c r="AJ140" s="7">
        <v>0</v>
      </c>
      <c r="AK140" s="7">
        <v>126</v>
      </c>
      <c r="AL140" s="8">
        <v>414000</v>
      </c>
      <c r="AM140" s="8">
        <v>54300</v>
      </c>
      <c r="AN140" s="9">
        <v>124200</v>
      </c>
      <c r="AO140" s="7">
        <v>0</v>
      </c>
      <c r="AP140" s="7">
        <v>0</v>
      </c>
      <c r="AQ140" s="7">
        <v>0</v>
      </c>
      <c r="AR140" s="7">
        <v>3</v>
      </c>
      <c r="AS140" s="8">
        <v>9600</v>
      </c>
      <c r="AT140" s="7">
        <v>0</v>
      </c>
      <c r="AU140" s="10">
        <v>529800</v>
      </c>
      <c r="AV140" s="15">
        <f t="shared" si="6"/>
        <v>405600</v>
      </c>
      <c r="AW140" s="16">
        <f t="shared" si="5"/>
        <v>283920</v>
      </c>
    </row>
    <row r="141" spans="1:49" ht="19.2" x14ac:dyDescent="0.4">
      <c r="A141" s="5" t="s">
        <v>212</v>
      </c>
      <c r="B141" s="5" t="s">
        <v>160</v>
      </c>
      <c r="C141" s="5">
        <v>178856</v>
      </c>
      <c r="D141" s="6"/>
      <c r="E141" s="5" t="s">
        <v>16</v>
      </c>
      <c r="F141" s="5" t="s">
        <v>17</v>
      </c>
      <c r="G141" s="5" t="s">
        <v>13</v>
      </c>
      <c r="H141" s="7" t="s">
        <v>12</v>
      </c>
      <c r="I141" s="7" t="s">
        <v>161</v>
      </c>
      <c r="J141" s="7">
        <v>0</v>
      </c>
      <c r="K141" s="7">
        <v>6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8">
        <v>1209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8">
        <v>2462</v>
      </c>
      <c r="AF141" s="8">
        <v>218000</v>
      </c>
      <c r="AG141" s="8">
        <v>28200</v>
      </c>
      <c r="AH141" s="7">
        <v>0</v>
      </c>
      <c r="AI141" s="7">
        <v>0</v>
      </c>
      <c r="AJ141" s="7">
        <v>0</v>
      </c>
      <c r="AK141" s="8">
        <v>2060</v>
      </c>
      <c r="AL141" s="8">
        <v>188280</v>
      </c>
      <c r="AM141" s="8">
        <v>49100</v>
      </c>
      <c r="AN141" s="9">
        <v>56484</v>
      </c>
      <c r="AO141" s="7">
        <v>0</v>
      </c>
      <c r="AP141" s="7">
        <v>0</v>
      </c>
      <c r="AQ141" s="7">
        <v>0</v>
      </c>
      <c r="AR141" s="7">
        <v>299</v>
      </c>
      <c r="AS141" s="8">
        <v>29000</v>
      </c>
      <c r="AT141" s="7">
        <v>900</v>
      </c>
      <c r="AU141" s="10">
        <v>513480</v>
      </c>
      <c r="AV141" s="15">
        <f t="shared" si="6"/>
        <v>456996</v>
      </c>
      <c r="AW141" s="16">
        <f t="shared" si="5"/>
        <v>319897.19999999995</v>
      </c>
    </row>
    <row r="142" spans="1:49" ht="19.2" x14ac:dyDescent="0.4">
      <c r="A142" s="5" t="s">
        <v>212</v>
      </c>
      <c r="B142" s="5" t="s">
        <v>162</v>
      </c>
      <c r="C142" s="5">
        <v>324335</v>
      </c>
      <c r="D142" s="6"/>
      <c r="E142" s="5" t="s">
        <v>16</v>
      </c>
      <c r="F142" s="5" t="s">
        <v>17</v>
      </c>
      <c r="G142" s="5" t="s">
        <v>13</v>
      </c>
      <c r="H142" s="7" t="s">
        <v>12</v>
      </c>
      <c r="I142" s="7" t="s">
        <v>163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8">
        <v>3200</v>
      </c>
      <c r="AG142" s="7">
        <v>0</v>
      </c>
      <c r="AH142" s="7">
        <v>0</v>
      </c>
      <c r="AI142" s="7">
        <v>0</v>
      </c>
      <c r="AJ142" s="7">
        <v>0</v>
      </c>
      <c r="AK142" s="7">
        <v>98</v>
      </c>
      <c r="AL142" s="8">
        <v>375818</v>
      </c>
      <c r="AM142" s="7">
        <v>0</v>
      </c>
      <c r="AN142" s="9">
        <v>112745.4</v>
      </c>
      <c r="AO142" s="7">
        <v>0</v>
      </c>
      <c r="AP142" s="7">
        <v>0</v>
      </c>
      <c r="AQ142" s="7">
        <v>0</v>
      </c>
      <c r="AR142" s="7">
        <v>34</v>
      </c>
      <c r="AS142" s="8">
        <v>108600</v>
      </c>
      <c r="AT142" s="7">
        <v>200</v>
      </c>
      <c r="AU142" s="10">
        <v>487818</v>
      </c>
      <c r="AV142" s="15">
        <f t="shared" si="6"/>
        <v>375072.6</v>
      </c>
      <c r="AW142" s="16">
        <f t="shared" si="5"/>
        <v>262550.81999999995</v>
      </c>
    </row>
    <row r="143" spans="1:49" ht="19.2" x14ac:dyDescent="0.4">
      <c r="A143" s="5" t="s">
        <v>212</v>
      </c>
      <c r="B143" s="5" t="s">
        <v>175</v>
      </c>
      <c r="C143" s="5">
        <v>449889</v>
      </c>
      <c r="D143" s="6"/>
      <c r="E143" s="5" t="s">
        <v>16</v>
      </c>
      <c r="F143" s="5" t="s">
        <v>157</v>
      </c>
      <c r="G143" s="5" t="s">
        <v>13</v>
      </c>
      <c r="H143" s="7" t="s">
        <v>8</v>
      </c>
      <c r="I143" s="7" t="s">
        <v>214</v>
      </c>
      <c r="J143" s="7">
        <v>0</v>
      </c>
      <c r="K143" s="8">
        <v>2991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54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889</v>
      </c>
      <c r="AF143" s="8">
        <v>82000</v>
      </c>
      <c r="AG143" s="8">
        <v>6900</v>
      </c>
      <c r="AH143" s="7">
        <v>0</v>
      </c>
      <c r="AI143" s="7">
        <v>0</v>
      </c>
      <c r="AJ143" s="7">
        <v>0</v>
      </c>
      <c r="AK143" s="7">
        <v>894</v>
      </c>
      <c r="AL143" s="8">
        <v>71336</v>
      </c>
      <c r="AM143" s="8">
        <v>29800</v>
      </c>
      <c r="AN143" s="9">
        <v>21400.799999999999</v>
      </c>
      <c r="AO143" s="7">
        <v>0</v>
      </c>
      <c r="AP143" s="7">
        <v>0</v>
      </c>
      <c r="AQ143" s="7">
        <v>0</v>
      </c>
      <c r="AR143" s="7">
        <v>330</v>
      </c>
      <c r="AS143" s="8">
        <v>27600</v>
      </c>
      <c r="AT143" s="8">
        <v>5400</v>
      </c>
      <c r="AU143" s="10">
        <v>223036</v>
      </c>
      <c r="AV143" s="15">
        <f t="shared" si="6"/>
        <v>201635.20000000001</v>
      </c>
      <c r="AW143" s="16">
        <f t="shared" si="5"/>
        <v>141144.63999999998</v>
      </c>
    </row>
    <row r="144" spans="1:49" ht="19.2" x14ac:dyDescent="0.4">
      <c r="A144" s="5" t="s">
        <v>212</v>
      </c>
      <c r="B144" s="5" t="s">
        <v>21</v>
      </c>
      <c r="C144" s="5">
        <v>321812</v>
      </c>
      <c r="D144" s="6"/>
      <c r="E144" s="5" t="s">
        <v>16</v>
      </c>
      <c r="F144" s="5" t="s">
        <v>17</v>
      </c>
      <c r="G144" s="5" t="s">
        <v>13</v>
      </c>
      <c r="H144" s="7" t="s">
        <v>8</v>
      </c>
      <c r="I144" s="7" t="s">
        <v>22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61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427</v>
      </c>
      <c r="AF144" s="8">
        <v>38400</v>
      </c>
      <c r="AG144" s="8">
        <v>4300</v>
      </c>
      <c r="AH144" s="7">
        <v>0</v>
      </c>
      <c r="AI144" s="7">
        <v>0</v>
      </c>
      <c r="AJ144" s="7">
        <v>0</v>
      </c>
      <c r="AK144" s="7">
        <v>697</v>
      </c>
      <c r="AL144" s="8">
        <v>58680</v>
      </c>
      <c r="AM144" s="8">
        <v>20800</v>
      </c>
      <c r="AN144" s="9">
        <v>17604</v>
      </c>
      <c r="AO144" s="7">
        <v>0</v>
      </c>
      <c r="AP144" s="7">
        <v>0</v>
      </c>
      <c r="AQ144" s="7">
        <v>0</v>
      </c>
      <c r="AR144" s="7">
        <v>573</v>
      </c>
      <c r="AS144" s="8">
        <v>56700</v>
      </c>
      <c r="AT144" s="7">
        <v>600</v>
      </c>
      <c r="AU144" s="10">
        <v>179480</v>
      </c>
      <c r="AV144" s="15">
        <f t="shared" si="6"/>
        <v>161876</v>
      </c>
      <c r="AW144" s="16">
        <f t="shared" si="5"/>
        <v>113313.2</v>
      </c>
    </row>
    <row r="145" spans="1:49" ht="19.2" x14ac:dyDescent="0.4">
      <c r="A145" s="5" t="s">
        <v>212</v>
      </c>
      <c r="B145" s="5" t="s">
        <v>107</v>
      </c>
      <c r="C145" s="5">
        <v>429621</v>
      </c>
      <c r="D145" s="6"/>
      <c r="E145" s="5" t="s">
        <v>16</v>
      </c>
      <c r="F145" s="5" t="s">
        <v>108</v>
      </c>
      <c r="G145" s="5" t="s">
        <v>13</v>
      </c>
      <c r="H145" s="7" t="s">
        <v>11</v>
      </c>
      <c r="I145" s="7" t="s">
        <v>109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8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337</v>
      </c>
      <c r="AF145" s="8">
        <v>33700</v>
      </c>
      <c r="AG145" s="7">
        <v>0</v>
      </c>
      <c r="AH145" s="7">
        <v>0</v>
      </c>
      <c r="AI145" s="7">
        <v>0</v>
      </c>
      <c r="AJ145" s="7">
        <v>0</v>
      </c>
      <c r="AK145" s="7">
        <v>497</v>
      </c>
      <c r="AL145" s="8">
        <v>52620</v>
      </c>
      <c r="AM145" s="8">
        <v>5900</v>
      </c>
      <c r="AN145" s="9">
        <v>15786</v>
      </c>
      <c r="AO145" s="7">
        <v>0</v>
      </c>
      <c r="AP145" s="7">
        <v>0</v>
      </c>
      <c r="AQ145" s="7">
        <v>0</v>
      </c>
      <c r="AR145" s="7">
        <v>79</v>
      </c>
      <c r="AS145" s="8">
        <v>7900</v>
      </c>
      <c r="AT145" s="7">
        <v>0</v>
      </c>
      <c r="AU145" s="10">
        <v>100120</v>
      </c>
      <c r="AV145" s="15">
        <f t="shared" si="6"/>
        <v>84334</v>
      </c>
      <c r="AW145" s="16">
        <f t="shared" si="5"/>
        <v>59033.799999999996</v>
      </c>
    </row>
    <row r="146" spans="1:49" ht="19.2" x14ac:dyDescent="0.4">
      <c r="A146" s="5" t="s">
        <v>212</v>
      </c>
      <c r="B146" s="5" t="s">
        <v>18</v>
      </c>
      <c r="C146" s="5">
        <v>387417</v>
      </c>
      <c r="D146" s="6"/>
      <c r="E146" s="5" t="s">
        <v>16</v>
      </c>
      <c r="F146" s="5" t="s">
        <v>19</v>
      </c>
      <c r="G146" s="5" t="s">
        <v>13</v>
      </c>
      <c r="H146" s="7" t="s">
        <v>8</v>
      </c>
      <c r="I146" s="7" t="s">
        <v>20</v>
      </c>
      <c r="J146" s="7">
        <v>0</v>
      </c>
      <c r="K146" s="7">
        <v>16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3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498</v>
      </c>
      <c r="AF146" s="8">
        <v>46900</v>
      </c>
      <c r="AG146" s="8">
        <v>2900</v>
      </c>
      <c r="AH146" s="7">
        <v>0</v>
      </c>
      <c r="AI146" s="7">
        <v>0</v>
      </c>
      <c r="AJ146" s="7">
        <v>0</v>
      </c>
      <c r="AK146" s="7">
        <v>243</v>
      </c>
      <c r="AL146" s="8">
        <v>23560</v>
      </c>
      <c r="AM146" s="8">
        <v>4800</v>
      </c>
      <c r="AN146" s="9">
        <v>7068</v>
      </c>
      <c r="AO146" s="7">
        <v>0</v>
      </c>
      <c r="AP146" s="7">
        <v>0</v>
      </c>
      <c r="AQ146" s="7">
        <v>0</v>
      </c>
      <c r="AR146" s="7">
        <v>215</v>
      </c>
      <c r="AS146" s="8">
        <v>18200</v>
      </c>
      <c r="AT146" s="8">
        <v>3300</v>
      </c>
      <c r="AU146" s="10">
        <v>99660</v>
      </c>
      <c r="AV146" s="15">
        <f t="shared" si="6"/>
        <v>92592</v>
      </c>
      <c r="AW146" s="16">
        <f t="shared" si="5"/>
        <v>64814.399999999994</v>
      </c>
    </row>
    <row r="147" spans="1:49" ht="19.2" x14ac:dyDescent="0.4">
      <c r="A147" s="5" t="s">
        <v>212</v>
      </c>
      <c r="B147" s="5" t="s">
        <v>23</v>
      </c>
      <c r="C147" s="5">
        <v>370935</v>
      </c>
      <c r="D147" s="6"/>
      <c r="E147" s="5" t="s">
        <v>16</v>
      </c>
      <c r="F147" s="5" t="s">
        <v>17</v>
      </c>
      <c r="G147" s="5" t="s">
        <v>13</v>
      </c>
      <c r="H147" s="7" t="s">
        <v>8</v>
      </c>
      <c r="I147" s="7" t="s">
        <v>24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21</v>
      </c>
      <c r="AF147" s="8">
        <v>42300</v>
      </c>
      <c r="AG147" s="8">
        <v>14700</v>
      </c>
      <c r="AH147" s="7">
        <v>0</v>
      </c>
      <c r="AI147" s="7">
        <v>0</v>
      </c>
      <c r="AJ147" s="7">
        <v>0</v>
      </c>
      <c r="AK147" s="7">
        <v>14</v>
      </c>
      <c r="AL147" s="8">
        <v>15360</v>
      </c>
      <c r="AM147" s="8">
        <v>26200</v>
      </c>
      <c r="AN147" s="9">
        <v>4608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10">
        <v>98560</v>
      </c>
      <c r="AV147" s="15">
        <f t="shared" si="6"/>
        <v>93952</v>
      </c>
      <c r="AW147" s="16">
        <f t="shared" si="5"/>
        <v>65766.399999999994</v>
      </c>
    </row>
    <row r="148" spans="1:49" ht="19.2" x14ac:dyDescent="0.4">
      <c r="A148" s="5" t="s">
        <v>212</v>
      </c>
      <c r="B148" s="5" t="s">
        <v>151</v>
      </c>
      <c r="C148" s="5">
        <v>442274</v>
      </c>
      <c r="D148" s="6"/>
      <c r="E148" s="5" t="s">
        <v>16</v>
      </c>
      <c r="F148" s="5" t="s">
        <v>150</v>
      </c>
      <c r="G148" s="5" t="s">
        <v>13</v>
      </c>
      <c r="H148" s="7" t="s">
        <v>8</v>
      </c>
      <c r="I148" s="7" t="s">
        <v>215</v>
      </c>
      <c r="J148" s="7">
        <v>2</v>
      </c>
      <c r="K148" s="7">
        <v>828</v>
      </c>
      <c r="L148" s="7">
        <v>200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226</v>
      </c>
      <c r="AF148" s="8">
        <v>21900</v>
      </c>
      <c r="AG148" s="7">
        <v>700</v>
      </c>
      <c r="AH148" s="7">
        <v>0</v>
      </c>
      <c r="AI148" s="7">
        <v>0</v>
      </c>
      <c r="AJ148" s="7">
        <v>0</v>
      </c>
      <c r="AK148" s="7">
        <v>398</v>
      </c>
      <c r="AL148" s="8">
        <v>42360</v>
      </c>
      <c r="AM148" s="8">
        <v>4500</v>
      </c>
      <c r="AN148" s="9">
        <v>12708</v>
      </c>
      <c r="AO148" s="7">
        <v>0</v>
      </c>
      <c r="AP148" s="7">
        <v>0</v>
      </c>
      <c r="AQ148" s="7">
        <v>0</v>
      </c>
      <c r="AR148" s="7">
        <v>194</v>
      </c>
      <c r="AS148" s="8">
        <v>18700</v>
      </c>
      <c r="AT148" s="7">
        <v>700</v>
      </c>
      <c r="AU148" s="10">
        <v>89060</v>
      </c>
      <c r="AV148" s="15">
        <f t="shared" si="6"/>
        <v>76352</v>
      </c>
      <c r="AW148" s="16">
        <f t="shared" si="5"/>
        <v>53446.399999999994</v>
      </c>
    </row>
    <row r="149" spans="1:49" ht="28.8" x14ac:dyDescent="0.4">
      <c r="A149" s="5" t="s">
        <v>212</v>
      </c>
      <c r="B149" s="5" t="s">
        <v>138</v>
      </c>
      <c r="C149" s="5">
        <v>219203</v>
      </c>
      <c r="D149" s="6"/>
      <c r="E149" s="5" t="s">
        <v>16</v>
      </c>
      <c r="F149" s="5" t="s">
        <v>139</v>
      </c>
      <c r="G149" s="5" t="s">
        <v>13</v>
      </c>
      <c r="H149" s="7" t="s">
        <v>8</v>
      </c>
      <c r="I149" s="7" t="s">
        <v>140</v>
      </c>
      <c r="J149" s="7">
        <v>6</v>
      </c>
      <c r="K149" s="7">
        <v>5</v>
      </c>
      <c r="L149" s="7">
        <v>600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96</v>
      </c>
      <c r="AC149" s="8">
        <v>9600</v>
      </c>
      <c r="AD149" s="7">
        <v>0</v>
      </c>
      <c r="AE149" s="7">
        <v>12</v>
      </c>
      <c r="AF149" s="8">
        <v>3600</v>
      </c>
      <c r="AG149" s="7">
        <v>0</v>
      </c>
      <c r="AH149" s="7">
        <v>242</v>
      </c>
      <c r="AI149" s="8">
        <v>16200</v>
      </c>
      <c r="AJ149" s="8">
        <v>10700</v>
      </c>
      <c r="AK149" s="7">
        <v>95</v>
      </c>
      <c r="AL149" s="8">
        <v>34200</v>
      </c>
      <c r="AM149" s="7">
        <v>0</v>
      </c>
      <c r="AN149" s="9">
        <v>15120</v>
      </c>
      <c r="AO149" s="7">
        <v>101</v>
      </c>
      <c r="AP149" s="8">
        <v>9900</v>
      </c>
      <c r="AQ149" s="7">
        <v>200</v>
      </c>
      <c r="AR149" s="7">
        <v>0</v>
      </c>
      <c r="AS149" s="7">
        <v>0</v>
      </c>
      <c r="AT149" s="7">
        <v>0</v>
      </c>
      <c r="AU149" s="10">
        <v>85000</v>
      </c>
      <c r="AV149" s="15">
        <f t="shared" si="6"/>
        <v>69880</v>
      </c>
      <c r="AW149" s="16">
        <f t="shared" si="5"/>
        <v>48916</v>
      </c>
    </row>
    <row r="150" spans="1:49" ht="19.2" x14ac:dyDescent="0.4">
      <c r="A150" s="5" t="s">
        <v>212</v>
      </c>
      <c r="B150" s="5" t="s">
        <v>216</v>
      </c>
      <c r="C150" s="5">
        <v>462353</v>
      </c>
      <c r="D150" s="6"/>
      <c r="E150" s="5" t="s">
        <v>16</v>
      </c>
      <c r="F150" s="5" t="s">
        <v>186</v>
      </c>
      <c r="G150" s="5" t="s">
        <v>13</v>
      </c>
      <c r="H150" s="7" t="s">
        <v>8</v>
      </c>
      <c r="I150" s="7" t="s">
        <v>217</v>
      </c>
      <c r="J150" s="7">
        <v>3</v>
      </c>
      <c r="K150" s="7">
        <v>0</v>
      </c>
      <c r="L150" s="7">
        <v>300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18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254</v>
      </c>
      <c r="AF150" s="8">
        <v>22800</v>
      </c>
      <c r="AG150" s="8">
        <v>2600</v>
      </c>
      <c r="AH150" s="7">
        <v>0</v>
      </c>
      <c r="AI150" s="7">
        <v>0</v>
      </c>
      <c r="AJ150" s="7">
        <v>0</v>
      </c>
      <c r="AK150" s="7">
        <v>330</v>
      </c>
      <c r="AL150" s="8">
        <v>39600</v>
      </c>
      <c r="AM150" s="7">
        <v>0</v>
      </c>
      <c r="AN150" s="9">
        <v>11880</v>
      </c>
      <c r="AO150" s="7">
        <v>0</v>
      </c>
      <c r="AP150" s="7">
        <v>0</v>
      </c>
      <c r="AQ150" s="7">
        <v>0</v>
      </c>
      <c r="AR150" s="7">
        <v>171</v>
      </c>
      <c r="AS150" s="8">
        <v>17100</v>
      </c>
      <c r="AT150" s="7">
        <v>0</v>
      </c>
      <c r="AU150" s="10">
        <v>82400</v>
      </c>
      <c r="AV150" s="15">
        <f t="shared" si="6"/>
        <v>70520</v>
      </c>
      <c r="AW150" s="16">
        <f t="shared" si="5"/>
        <v>49364</v>
      </c>
    </row>
    <row r="151" spans="1:49" ht="19.2" x14ac:dyDescent="0.4">
      <c r="A151" s="5" t="s">
        <v>212</v>
      </c>
      <c r="B151" s="5" t="s">
        <v>29</v>
      </c>
      <c r="C151" s="5">
        <v>245889</v>
      </c>
      <c r="D151" s="6"/>
      <c r="E151" s="5" t="s">
        <v>16</v>
      </c>
      <c r="F151" s="5" t="s">
        <v>17</v>
      </c>
      <c r="G151" s="5" t="s">
        <v>13</v>
      </c>
      <c r="H151" s="7" t="s">
        <v>8</v>
      </c>
      <c r="I151" s="7" t="s">
        <v>30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17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452</v>
      </c>
      <c r="AF151" s="8">
        <v>45200</v>
      </c>
      <c r="AG151" s="7">
        <v>0</v>
      </c>
      <c r="AH151" s="7">
        <v>0</v>
      </c>
      <c r="AI151" s="7">
        <v>0</v>
      </c>
      <c r="AJ151" s="7">
        <v>0</v>
      </c>
      <c r="AK151" s="7">
        <v>246</v>
      </c>
      <c r="AL151" s="8">
        <v>11640</v>
      </c>
      <c r="AM151" s="8">
        <v>14900</v>
      </c>
      <c r="AN151" s="9">
        <v>3492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10">
        <v>71740</v>
      </c>
      <c r="AV151" s="15">
        <f t="shared" si="6"/>
        <v>68248</v>
      </c>
      <c r="AW151" s="16">
        <f t="shared" si="5"/>
        <v>47773.599999999999</v>
      </c>
    </row>
    <row r="152" spans="1:49" ht="19.2" x14ac:dyDescent="0.4">
      <c r="A152" s="5" t="s">
        <v>212</v>
      </c>
      <c r="B152" s="5" t="s">
        <v>41</v>
      </c>
      <c r="C152" s="5">
        <v>364724</v>
      </c>
      <c r="D152" s="6"/>
      <c r="E152" s="5" t="s">
        <v>16</v>
      </c>
      <c r="F152" s="5" t="s">
        <v>42</v>
      </c>
      <c r="G152" s="5" t="s">
        <v>13</v>
      </c>
      <c r="H152" s="7" t="s">
        <v>8</v>
      </c>
      <c r="I152" s="7" t="s">
        <v>43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12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348</v>
      </c>
      <c r="AF152" s="8">
        <v>34800</v>
      </c>
      <c r="AG152" s="7">
        <v>0</v>
      </c>
      <c r="AH152" s="7">
        <v>0</v>
      </c>
      <c r="AI152" s="7">
        <v>0</v>
      </c>
      <c r="AJ152" s="7">
        <v>0</v>
      </c>
      <c r="AK152" s="7">
        <v>283</v>
      </c>
      <c r="AL152" s="8">
        <v>33743</v>
      </c>
      <c r="AM152" s="7">
        <v>200</v>
      </c>
      <c r="AN152" s="9">
        <v>10122.9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10">
        <v>68743</v>
      </c>
      <c r="AV152" s="15">
        <f t="shared" si="6"/>
        <v>58620.1</v>
      </c>
      <c r="AW152" s="16">
        <f t="shared" si="5"/>
        <v>41034.07</v>
      </c>
    </row>
    <row r="153" spans="1:49" ht="19.2" x14ac:dyDescent="0.4">
      <c r="A153" s="5" t="s">
        <v>212</v>
      </c>
      <c r="B153" s="5" t="s">
        <v>36</v>
      </c>
      <c r="C153" s="5">
        <v>387942</v>
      </c>
      <c r="D153" s="6"/>
      <c r="E153" s="5" t="s">
        <v>16</v>
      </c>
      <c r="F153" s="5" t="s">
        <v>37</v>
      </c>
      <c r="G153" s="5" t="s">
        <v>13</v>
      </c>
      <c r="H153" s="7" t="s">
        <v>8</v>
      </c>
      <c r="I153" s="7" t="s">
        <v>38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19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234</v>
      </c>
      <c r="AF153" s="8">
        <v>21900</v>
      </c>
      <c r="AG153" s="8">
        <v>1500</v>
      </c>
      <c r="AH153" s="7">
        <v>0</v>
      </c>
      <c r="AI153" s="7">
        <v>0</v>
      </c>
      <c r="AJ153" s="7">
        <v>0</v>
      </c>
      <c r="AK153" s="7">
        <v>236</v>
      </c>
      <c r="AL153" s="8">
        <v>26280</v>
      </c>
      <c r="AM153" s="8">
        <v>1700</v>
      </c>
      <c r="AN153" s="9">
        <v>7884</v>
      </c>
      <c r="AO153" s="7">
        <v>0</v>
      </c>
      <c r="AP153" s="7">
        <v>0</v>
      </c>
      <c r="AQ153" s="7">
        <v>0</v>
      </c>
      <c r="AR153" s="7">
        <v>84</v>
      </c>
      <c r="AS153" s="8">
        <v>8400</v>
      </c>
      <c r="AT153" s="7">
        <v>0</v>
      </c>
      <c r="AU153" s="10">
        <v>59780</v>
      </c>
      <c r="AV153" s="15">
        <f t="shared" si="6"/>
        <v>51896</v>
      </c>
      <c r="AW153" s="16">
        <f t="shared" si="5"/>
        <v>36327.199999999997</v>
      </c>
    </row>
    <row r="154" spans="1:49" ht="19.2" x14ac:dyDescent="0.4">
      <c r="A154" s="5" t="s">
        <v>212</v>
      </c>
      <c r="B154" s="5" t="s">
        <v>39</v>
      </c>
      <c r="C154" s="5">
        <v>388999</v>
      </c>
      <c r="D154" s="6"/>
      <c r="E154" s="5" t="s">
        <v>16</v>
      </c>
      <c r="F154" s="5" t="s">
        <v>19</v>
      </c>
      <c r="G154" s="5" t="s">
        <v>13</v>
      </c>
      <c r="H154" s="7" t="s">
        <v>8</v>
      </c>
      <c r="I154" s="7" t="s">
        <v>40</v>
      </c>
      <c r="J154" s="7">
        <v>0</v>
      </c>
      <c r="K154" s="7">
        <v>16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43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158</v>
      </c>
      <c r="AF154" s="8">
        <v>10400</v>
      </c>
      <c r="AG154" s="8">
        <v>5400</v>
      </c>
      <c r="AH154" s="7">
        <v>0</v>
      </c>
      <c r="AI154" s="7">
        <v>0</v>
      </c>
      <c r="AJ154" s="7">
        <v>0</v>
      </c>
      <c r="AK154" s="7">
        <v>23</v>
      </c>
      <c r="AL154" s="8">
        <v>2400</v>
      </c>
      <c r="AM154" s="7">
        <v>300</v>
      </c>
      <c r="AN154" s="7">
        <v>720</v>
      </c>
      <c r="AO154" s="7">
        <v>0</v>
      </c>
      <c r="AP154" s="7">
        <v>0</v>
      </c>
      <c r="AQ154" s="7">
        <v>0</v>
      </c>
      <c r="AR154" s="7">
        <v>394</v>
      </c>
      <c r="AS154" s="8">
        <v>38700</v>
      </c>
      <c r="AT154" s="7">
        <v>700</v>
      </c>
      <c r="AU154" s="10">
        <v>57900</v>
      </c>
      <c r="AV154" s="15">
        <f t="shared" si="6"/>
        <v>57180</v>
      </c>
      <c r="AW154" s="16">
        <f t="shared" si="5"/>
        <v>40026</v>
      </c>
    </row>
    <row r="155" spans="1:49" ht="19.2" x14ac:dyDescent="0.4">
      <c r="A155" s="5" t="s">
        <v>212</v>
      </c>
      <c r="B155" s="5" t="s">
        <v>187</v>
      </c>
      <c r="C155" s="5">
        <v>428379</v>
      </c>
      <c r="D155" s="6"/>
      <c r="E155" s="5" t="s">
        <v>16</v>
      </c>
      <c r="F155" s="5" t="s">
        <v>73</v>
      </c>
      <c r="G155" s="5" t="s">
        <v>13</v>
      </c>
      <c r="H155" s="7" t="s">
        <v>11</v>
      </c>
      <c r="I155" s="7" t="s">
        <v>105</v>
      </c>
      <c r="J155" s="7">
        <v>0</v>
      </c>
      <c r="K155" s="7">
        <v>150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2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115</v>
      </c>
      <c r="AF155" s="8">
        <v>6300</v>
      </c>
      <c r="AG155" s="8">
        <v>5200</v>
      </c>
      <c r="AH155" s="7">
        <v>0</v>
      </c>
      <c r="AI155" s="7">
        <v>0</v>
      </c>
      <c r="AJ155" s="7">
        <v>0</v>
      </c>
      <c r="AK155" s="7">
        <v>367</v>
      </c>
      <c r="AL155" s="8">
        <v>34200</v>
      </c>
      <c r="AM155" s="8">
        <v>8200</v>
      </c>
      <c r="AN155" s="9">
        <v>10260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10">
        <v>53900</v>
      </c>
      <c r="AV155" s="15">
        <f t="shared" si="6"/>
        <v>43640</v>
      </c>
      <c r="AW155" s="16">
        <f t="shared" si="5"/>
        <v>30547.999999999996</v>
      </c>
    </row>
    <row r="156" spans="1:49" ht="19.2" x14ac:dyDescent="0.4">
      <c r="A156" s="5" t="s">
        <v>212</v>
      </c>
      <c r="B156" s="5" t="s">
        <v>44</v>
      </c>
      <c r="C156" s="5">
        <v>290890</v>
      </c>
      <c r="D156" s="6"/>
      <c r="E156" s="5" t="s">
        <v>16</v>
      </c>
      <c r="F156" s="5" t="s">
        <v>17</v>
      </c>
      <c r="G156" s="5" t="s">
        <v>13</v>
      </c>
      <c r="H156" s="7" t="s">
        <v>8</v>
      </c>
      <c r="I156" s="7" t="s">
        <v>45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1</v>
      </c>
      <c r="AC156" s="7">
        <v>900</v>
      </c>
      <c r="AD156" s="7">
        <v>0</v>
      </c>
      <c r="AE156" s="7">
        <v>1</v>
      </c>
      <c r="AF156" s="8">
        <v>1000</v>
      </c>
      <c r="AG156" s="7">
        <v>0</v>
      </c>
      <c r="AH156" s="7">
        <v>0</v>
      </c>
      <c r="AI156" s="7">
        <v>0</v>
      </c>
      <c r="AJ156" s="7">
        <v>0</v>
      </c>
      <c r="AK156" s="7">
        <v>12</v>
      </c>
      <c r="AL156" s="8">
        <v>42240</v>
      </c>
      <c r="AM156" s="8">
        <v>2200</v>
      </c>
      <c r="AN156" s="9">
        <v>12672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10">
        <v>46340</v>
      </c>
      <c r="AV156" s="15">
        <f t="shared" si="6"/>
        <v>33668</v>
      </c>
      <c r="AW156" s="16">
        <f t="shared" si="5"/>
        <v>23567.599999999999</v>
      </c>
    </row>
    <row r="157" spans="1:49" ht="19.2" x14ac:dyDescent="0.4">
      <c r="A157" s="5" t="s">
        <v>212</v>
      </c>
      <c r="B157" s="5" t="s">
        <v>181</v>
      </c>
      <c r="C157" s="5">
        <v>392777</v>
      </c>
      <c r="D157" s="6"/>
      <c r="E157" s="5" t="s">
        <v>16</v>
      </c>
      <c r="F157" s="5" t="s">
        <v>42</v>
      </c>
      <c r="G157" s="5" t="s">
        <v>13</v>
      </c>
      <c r="H157" s="7" t="s">
        <v>8</v>
      </c>
      <c r="I157" s="7" t="s">
        <v>182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7</v>
      </c>
      <c r="AF157" s="8">
        <v>22400</v>
      </c>
      <c r="AG157" s="7">
        <v>0</v>
      </c>
      <c r="AH157" s="7">
        <v>0</v>
      </c>
      <c r="AI157" s="7">
        <v>0</v>
      </c>
      <c r="AJ157" s="7">
        <v>0</v>
      </c>
      <c r="AK157" s="7">
        <v>1</v>
      </c>
      <c r="AL157" s="7">
        <v>0</v>
      </c>
      <c r="AM157" s="7">
        <v>500</v>
      </c>
      <c r="AN157" s="7">
        <v>0</v>
      </c>
      <c r="AO157" s="7">
        <v>0</v>
      </c>
      <c r="AP157" s="7">
        <v>0</v>
      </c>
      <c r="AQ157" s="7">
        <v>0</v>
      </c>
      <c r="AR157" s="7">
        <v>7</v>
      </c>
      <c r="AS157" s="8">
        <v>21700</v>
      </c>
      <c r="AT157" s="7">
        <v>200</v>
      </c>
      <c r="AU157" s="10">
        <v>44800</v>
      </c>
      <c r="AV157" s="15">
        <f t="shared" si="6"/>
        <v>44800</v>
      </c>
      <c r="AW157" s="16">
        <f t="shared" si="5"/>
        <v>31359.999999999996</v>
      </c>
    </row>
    <row r="158" spans="1:49" ht="19.2" x14ac:dyDescent="0.4">
      <c r="A158" s="5" t="s">
        <v>212</v>
      </c>
      <c r="B158" s="5" t="s">
        <v>84</v>
      </c>
      <c r="C158" s="5">
        <v>425289</v>
      </c>
      <c r="D158" s="6"/>
      <c r="E158" s="5" t="s">
        <v>16</v>
      </c>
      <c r="F158" s="5" t="s">
        <v>82</v>
      </c>
      <c r="G158" s="5" t="s">
        <v>13</v>
      </c>
      <c r="H158" s="7" t="s">
        <v>8</v>
      </c>
      <c r="I158" s="7" t="s">
        <v>85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13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35</v>
      </c>
      <c r="AF158" s="8">
        <v>1800</v>
      </c>
      <c r="AG158" s="8">
        <v>1700</v>
      </c>
      <c r="AH158" s="7">
        <v>0</v>
      </c>
      <c r="AI158" s="7">
        <v>0</v>
      </c>
      <c r="AJ158" s="7">
        <v>0</v>
      </c>
      <c r="AK158" s="7">
        <v>305</v>
      </c>
      <c r="AL158" s="8">
        <v>36360</v>
      </c>
      <c r="AM158" s="7">
        <v>200</v>
      </c>
      <c r="AN158" s="9">
        <v>10908</v>
      </c>
      <c r="AO158" s="7">
        <v>0</v>
      </c>
      <c r="AP158" s="7">
        <v>0</v>
      </c>
      <c r="AQ158" s="7">
        <v>0</v>
      </c>
      <c r="AR158" s="7">
        <v>34</v>
      </c>
      <c r="AS158" s="8">
        <v>3000</v>
      </c>
      <c r="AT158" s="7">
        <v>400</v>
      </c>
      <c r="AU158" s="10">
        <v>43460</v>
      </c>
      <c r="AV158" s="15">
        <f t="shared" si="6"/>
        <v>32552</v>
      </c>
      <c r="AW158" s="16">
        <f t="shared" si="5"/>
        <v>22786.399999999998</v>
      </c>
    </row>
    <row r="159" spans="1:49" ht="19.2" x14ac:dyDescent="0.4">
      <c r="A159" s="5" t="s">
        <v>212</v>
      </c>
      <c r="B159" s="5" t="s">
        <v>166</v>
      </c>
      <c r="C159" s="5">
        <v>211158</v>
      </c>
      <c r="D159" s="6"/>
      <c r="E159" s="5" t="s">
        <v>16</v>
      </c>
      <c r="F159" s="5" t="s">
        <v>17</v>
      </c>
      <c r="G159" s="5" t="s">
        <v>13</v>
      </c>
      <c r="H159" s="7" t="s">
        <v>8</v>
      </c>
      <c r="I159" s="7" t="s">
        <v>167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279</v>
      </c>
      <c r="AL159" s="8">
        <v>33480</v>
      </c>
      <c r="AM159" s="7">
        <v>0</v>
      </c>
      <c r="AN159" s="9">
        <v>10044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10">
        <v>33480</v>
      </c>
      <c r="AV159" s="15">
        <f t="shared" si="6"/>
        <v>23436</v>
      </c>
      <c r="AW159" s="16">
        <f t="shared" si="5"/>
        <v>16405.2</v>
      </c>
    </row>
    <row r="160" spans="1:49" ht="19.2" x14ac:dyDescent="0.4">
      <c r="A160" s="5" t="s">
        <v>212</v>
      </c>
      <c r="B160" s="5" t="s">
        <v>152</v>
      </c>
      <c r="C160" s="5">
        <v>408593</v>
      </c>
      <c r="D160" s="6"/>
      <c r="E160" s="5" t="s">
        <v>16</v>
      </c>
      <c r="F160" s="5" t="s">
        <v>37</v>
      </c>
      <c r="G160" s="5" t="s">
        <v>13</v>
      </c>
      <c r="H160" s="7" t="s">
        <v>8</v>
      </c>
      <c r="I160" s="7" t="s">
        <v>35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8">
        <v>1100</v>
      </c>
      <c r="AG160" s="7">
        <v>0</v>
      </c>
      <c r="AH160" s="7">
        <v>0</v>
      </c>
      <c r="AI160" s="7">
        <v>0</v>
      </c>
      <c r="AJ160" s="7">
        <v>0</v>
      </c>
      <c r="AK160" s="7">
        <v>2</v>
      </c>
      <c r="AL160" s="8">
        <v>7680</v>
      </c>
      <c r="AM160" s="7">
        <v>0</v>
      </c>
      <c r="AN160" s="9">
        <v>2304</v>
      </c>
      <c r="AO160" s="7">
        <v>0</v>
      </c>
      <c r="AP160" s="7">
        <v>0</v>
      </c>
      <c r="AQ160" s="7">
        <v>0</v>
      </c>
      <c r="AR160" s="7">
        <v>8</v>
      </c>
      <c r="AS160" s="8">
        <v>24500</v>
      </c>
      <c r="AT160" s="7">
        <v>0</v>
      </c>
      <c r="AU160" s="10">
        <v>33280</v>
      </c>
      <c r="AV160" s="15">
        <f t="shared" si="6"/>
        <v>30976</v>
      </c>
      <c r="AW160" s="16">
        <f t="shared" si="5"/>
        <v>21683.199999999997</v>
      </c>
    </row>
    <row r="161" spans="1:49" ht="19.2" x14ac:dyDescent="0.4">
      <c r="A161" s="5" t="s">
        <v>212</v>
      </c>
      <c r="B161" s="5" t="s">
        <v>176</v>
      </c>
      <c r="C161" s="5">
        <v>423328</v>
      </c>
      <c r="D161" s="6"/>
      <c r="E161" s="5" t="s">
        <v>16</v>
      </c>
      <c r="F161" s="5" t="s">
        <v>17</v>
      </c>
      <c r="G161" s="5" t="s">
        <v>13</v>
      </c>
      <c r="H161" s="7" t="s">
        <v>8</v>
      </c>
      <c r="I161" s="7" t="s">
        <v>177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24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155</v>
      </c>
      <c r="AF161" s="8">
        <v>11000</v>
      </c>
      <c r="AG161" s="8">
        <v>4500</v>
      </c>
      <c r="AH161" s="7">
        <v>0</v>
      </c>
      <c r="AI161" s="7">
        <v>0</v>
      </c>
      <c r="AJ161" s="7">
        <v>0</v>
      </c>
      <c r="AK161" s="7">
        <v>103</v>
      </c>
      <c r="AL161" s="8">
        <v>11588</v>
      </c>
      <c r="AM161" s="7">
        <v>200</v>
      </c>
      <c r="AN161" s="9">
        <v>3476.4</v>
      </c>
      <c r="AO161" s="7">
        <v>0</v>
      </c>
      <c r="AP161" s="7">
        <v>0</v>
      </c>
      <c r="AQ161" s="7">
        <v>0</v>
      </c>
      <c r="AR161" s="7">
        <v>36</v>
      </c>
      <c r="AS161" s="8">
        <v>3600</v>
      </c>
      <c r="AT161" s="7">
        <v>0</v>
      </c>
      <c r="AU161" s="10">
        <v>30888</v>
      </c>
      <c r="AV161" s="15">
        <f t="shared" si="6"/>
        <v>27411.599999999999</v>
      </c>
      <c r="AW161" s="16">
        <f t="shared" ref="AW161:AW163" si="7">AV161*70%</f>
        <v>19188.12</v>
      </c>
    </row>
    <row r="162" spans="1:49" ht="19.2" x14ac:dyDescent="0.4">
      <c r="A162" s="5" t="s">
        <v>212</v>
      </c>
      <c r="B162" s="5" t="s">
        <v>205</v>
      </c>
      <c r="C162" s="5">
        <v>458568</v>
      </c>
      <c r="D162" s="6"/>
      <c r="E162" s="5" t="s">
        <v>16</v>
      </c>
      <c r="F162" s="5" t="s">
        <v>17</v>
      </c>
      <c r="G162" s="5" t="s">
        <v>13</v>
      </c>
      <c r="H162" s="7" t="s">
        <v>8</v>
      </c>
      <c r="I162" s="7" t="s">
        <v>199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8</v>
      </c>
      <c r="AL162" s="8">
        <v>28440</v>
      </c>
      <c r="AM162" s="7">
        <v>0</v>
      </c>
      <c r="AN162" s="9">
        <v>8532</v>
      </c>
      <c r="AO162" s="7">
        <v>0</v>
      </c>
      <c r="AP162" s="7">
        <v>0</v>
      </c>
      <c r="AQ162" s="7">
        <v>0</v>
      </c>
      <c r="AR162" s="7">
        <v>1</v>
      </c>
      <c r="AS162" s="7">
        <v>0</v>
      </c>
      <c r="AT162" s="8">
        <v>1900</v>
      </c>
      <c r="AU162" s="10">
        <v>30340</v>
      </c>
      <c r="AV162" s="15">
        <f t="shared" si="6"/>
        <v>21808</v>
      </c>
      <c r="AW162" s="16">
        <f t="shared" si="7"/>
        <v>15265.599999999999</v>
      </c>
    </row>
    <row r="163" spans="1:49" ht="19.2" x14ac:dyDescent="0.4">
      <c r="A163" s="5" t="s">
        <v>212</v>
      </c>
      <c r="B163" s="5" t="s">
        <v>49</v>
      </c>
      <c r="C163" s="5">
        <v>379813</v>
      </c>
      <c r="D163" s="6"/>
      <c r="E163" s="5" t="s">
        <v>16</v>
      </c>
      <c r="F163" s="5" t="s">
        <v>17</v>
      </c>
      <c r="G163" s="5" t="s">
        <v>13</v>
      </c>
      <c r="H163" s="7" t="s">
        <v>8</v>
      </c>
      <c r="I163" s="7" t="s">
        <v>50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20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279</v>
      </c>
      <c r="AS163" s="8">
        <v>27900</v>
      </c>
      <c r="AT163" s="7">
        <v>0</v>
      </c>
      <c r="AU163" s="10">
        <v>27900</v>
      </c>
      <c r="AV163" s="15">
        <f t="shared" si="6"/>
        <v>27900</v>
      </c>
      <c r="AW163" s="16">
        <f t="shared" si="7"/>
        <v>19530</v>
      </c>
    </row>
    <row r="164" spans="1:49" ht="19.2" x14ac:dyDescent="0.4">
      <c r="A164" s="5" t="s">
        <v>212</v>
      </c>
      <c r="B164" s="5" t="s">
        <v>128</v>
      </c>
      <c r="C164" s="5">
        <v>433508</v>
      </c>
      <c r="D164" s="6"/>
      <c r="E164" s="5" t="s">
        <v>16</v>
      </c>
      <c r="F164" s="5" t="s">
        <v>122</v>
      </c>
      <c r="G164" s="5" t="s">
        <v>13</v>
      </c>
      <c r="H164" s="7" t="s">
        <v>8</v>
      </c>
      <c r="I164" s="7" t="s">
        <v>153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3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175</v>
      </c>
      <c r="AF164" s="8">
        <v>17500</v>
      </c>
      <c r="AG164" s="7">
        <v>0</v>
      </c>
      <c r="AH164" s="7">
        <v>0</v>
      </c>
      <c r="AI164" s="7">
        <v>0</v>
      </c>
      <c r="AJ164" s="7">
        <v>0</v>
      </c>
      <c r="AK164" s="7">
        <v>59</v>
      </c>
      <c r="AL164" s="8">
        <v>7080</v>
      </c>
      <c r="AM164" s="7">
        <v>0</v>
      </c>
      <c r="AN164" s="9">
        <v>2124</v>
      </c>
      <c r="AO164" s="7">
        <v>0</v>
      </c>
      <c r="AP164" s="7">
        <v>0</v>
      </c>
      <c r="AQ164" s="7">
        <v>0</v>
      </c>
      <c r="AR164" s="7">
        <v>19</v>
      </c>
      <c r="AS164" s="8">
        <v>1900</v>
      </c>
      <c r="AT164" s="7">
        <v>0</v>
      </c>
      <c r="AU164" s="10">
        <v>26480</v>
      </c>
      <c r="AV164" s="15">
        <f t="shared" ref="AV164:AV165" si="8">AU164-AN164</f>
        <v>24356</v>
      </c>
      <c r="AW164" s="16">
        <f t="shared" ref="AW164:AW165" si="9">AV164*70%</f>
        <v>17049.2</v>
      </c>
    </row>
    <row r="165" spans="1:49" ht="19.2" x14ac:dyDescent="0.4">
      <c r="A165" s="5" t="s">
        <v>212</v>
      </c>
      <c r="B165" s="5" t="s">
        <v>203</v>
      </c>
      <c r="C165" s="5">
        <v>441958</v>
      </c>
      <c r="D165" s="6"/>
      <c r="E165" s="5" t="s">
        <v>16</v>
      </c>
      <c r="F165" s="5" t="s">
        <v>108</v>
      </c>
      <c r="G165" s="5" t="s">
        <v>13</v>
      </c>
      <c r="H165" s="7" t="s">
        <v>11</v>
      </c>
      <c r="I165" s="7" t="s">
        <v>197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6</v>
      </c>
      <c r="AI165" s="8">
        <v>10200</v>
      </c>
      <c r="AJ165" s="8">
        <v>1700</v>
      </c>
      <c r="AK165" s="7">
        <v>0</v>
      </c>
      <c r="AL165" s="7">
        <v>0</v>
      </c>
      <c r="AM165" s="7">
        <v>0</v>
      </c>
      <c r="AN165" s="9">
        <v>3060</v>
      </c>
      <c r="AO165" s="7">
        <v>0</v>
      </c>
      <c r="AP165" s="7">
        <v>0</v>
      </c>
      <c r="AQ165" s="7">
        <v>0</v>
      </c>
      <c r="AR165" s="7">
        <v>5</v>
      </c>
      <c r="AS165" s="8">
        <v>12000</v>
      </c>
      <c r="AT165" s="7">
        <v>0</v>
      </c>
      <c r="AU165" s="10">
        <v>23900</v>
      </c>
      <c r="AV165" s="15">
        <f t="shared" si="8"/>
        <v>20840</v>
      </c>
      <c r="AW165" s="16">
        <f t="shared" si="9"/>
        <v>14587.999999999998</v>
      </c>
    </row>
    <row r="166" spans="1:49" ht="19.2" x14ac:dyDescent="0.4">
      <c r="A166" s="5" t="s">
        <v>212</v>
      </c>
      <c r="B166" s="5" t="s">
        <v>143</v>
      </c>
      <c r="C166" s="5">
        <v>434877</v>
      </c>
      <c r="D166" s="6"/>
      <c r="E166" s="5" t="s">
        <v>16</v>
      </c>
      <c r="F166" s="5" t="s">
        <v>135</v>
      </c>
      <c r="G166" s="5" t="s">
        <v>13</v>
      </c>
      <c r="H166" s="7" t="s">
        <v>8</v>
      </c>
      <c r="I166" s="7" t="s">
        <v>154</v>
      </c>
      <c r="J166" s="7">
        <v>1</v>
      </c>
      <c r="K166" s="7">
        <v>0</v>
      </c>
      <c r="L166" s="7">
        <v>100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12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85</v>
      </c>
      <c r="AF166" s="8">
        <v>8500</v>
      </c>
      <c r="AG166" s="7">
        <v>0</v>
      </c>
      <c r="AH166" s="7">
        <v>0</v>
      </c>
      <c r="AI166" s="7">
        <v>0</v>
      </c>
      <c r="AJ166" s="7">
        <v>0</v>
      </c>
      <c r="AK166" s="7">
        <v>124</v>
      </c>
      <c r="AL166" s="8">
        <v>14040</v>
      </c>
      <c r="AM166" s="7">
        <v>700</v>
      </c>
      <c r="AN166" s="9">
        <v>4212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10">
        <v>23340</v>
      </c>
      <c r="AV166" s="15">
        <f t="shared" ref="AV166:AV174" si="10">AU166-AN166</f>
        <v>19128</v>
      </c>
      <c r="AW166" s="16">
        <f t="shared" ref="AW166:AW174" si="11">AV166*70%</f>
        <v>13389.599999999999</v>
      </c>
    </row>
    <row r="167" spans="1:49" ht="19.2" x14ac:dyDescent="0.4">
      <c r="A167" s="5" t="s">
        <v>212</v>
      </c>
      <c r="B167" s="5" t="s">
        <v>51</v>
      </c>
      <c r="C167" s="5">
        <v>406849</v>
      </c>
      <c r="D167" s="6"/>
      <c r="E167" s="5" t="s">
        <v>16</v>
      </c>
      <c r="F167" s="5" t="s">
        <v>52</v>
      </c>
      <c r="G167" s="5" t="s">
        <v>13</v>
      </c>
      <c r="H167" s="7" t="s">
        <v>8</v>
      </c>
      <c r="I167" s="7" t="s">
        <v>53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16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37</v>
      </c>
      <c r="AL167" s="8">
        <v>4200</v>
      </c>
      <c r="AM167" s="7">
        <v>200</v>
      </c>
      <c r="AN167" s="9">
        <v>1260</v>
      </c>
      <c r="AO167" s="7">
        <v>0</v>
      </c>
      <c r="AP167" s="7">
        <v>0</v>
      </c>
      <c r="AQ167" s="7">
        <v>0</v>
      </c>
      <c r="AR167" s="7">
        <v>148</v>
      </c>
      <c r="AS167" s="8">
        <v>14800</v>
      </c>
      <c r="AT167" s="7">
        <v>0</v>
      </c>
      <c r="AU167" s="10">
        <v>19200</v>
      </c>
      <c r="AV167" s="15">
        <f t="shared" si="10"/>
        <v>17940</v>
      </c>
      <c r="AW167" s="16">
        <f t="shared" si="11"/>
        <v>12558</v>
      </c>
    </row>
    <row r="168" spans="1:49" ht="19.2" x14ac:dyDescent="0.4">
      <c r="A168" s="5" t="s">
        <v>212</v>
      </c>
      <c r="B168" s="5" t="s">
        <v>69</v>
      </c>
      <c r="C168" s="5">
        <v>406872</v>
      </c>
      <c r="D168" s="6"/>
      <c r="E168" s="5" t="s">
        <v>16</v>
      </c>
      <c r="F168" s="5" t="s">
        <v>70</v>
      </c>
      <c r="G168" s="5" t="s">
        <v>13</v>
      </c>
      <c r="H168" s="7" t="s">
        <v>12</v>
      </c>
      <c r="I168" s="7" t="s">
        <v>71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20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190</v>
      </c>
      <c r="AF168" s="8">
        <v>19000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10">
        <v>19000</v>
      </c>
      <c r="AV168" s="15">
        <f t="shared" si="10"/>
        <v>19000</v>
      </c>
      <c r="AW168" s="16">
        <f t="shared" si="11"/>
        <v>13300</v>
      </c>
    </row>
    <row r="169" spans="1:49" ht="19.2" x14ac:dyDescent="0.4">
      <c r="A169" s="5" t="s">
        <v>212</v>
      </c>
      <c r="B169" s="5" t="s">
        <v>31</v>
      </c>
      <c r="C169" s="5">
        <v>325640</v>
      </c>
      <c r="D169" s="6"/>
      <c r="E169" s="5" t="s">
        <v>16</v>
      </c>
      <c r="F169" s="5" t="s">
        <v>32</v>
      </c>
      <c r="G169" s="5" t="s">
        <v>13</v>
      </c>
      <c r="H169" s="7" t="s">
        <v>8</v>
      </c>
      <c r="I169" s="7" t="s">
        <v>33</v>
      </c>
      <c r="J169" s="7">
        <v>0</v>
      </c>
      <c r="K169" s="7">
        <v>5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8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28</v>
      </c>
      <c r="AF169" s="8">
        <v>2300</v>
      </c>
      <c r="AG169" s="7">
        <v>500</v>
      </c>
      <c r="AH169" s="7">
        <v>0</v>
      </c>
      <c r="AI169" s="7">
        <v>0</v>
      </c>
      <c r="AJ169" s="7">
        <v>0</v>
      </c>
      <c r="AK169" s="7">
        <v>124</v>
      </c>
      <c r="AL169" s="8">
        <v>14940</v>
      </c>
      <c r="AM169" s="7">
        <v>100</v>
      </c>
      <c r="AN169" s="9">
        <v>4482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10">
        <v>17840</v>
      </c>
      <c r="AV169" s="15">
        <f t="shared" si="10"/>
        <v>13358</v>
      </c>
      <c r="AW169" s="16">
        <f t="shared" si="11"/>
        <v>9350.5999999999985</v>
      </c>
    </row>
    <row r="170" spans="1:49" ht="19.2" x14ac:dyDescent="0.4">
      <c r="A170" s="5" t="s">
        <v>212</v>
      </c>
      <c r="B170" s="5" t="s">
        <v>66</v>
      </c>
      <c r="C170" s="5">
        <v>278898</v>
      </c>
      <c r="D170" s="6"/>
      <c r="E170" s="5" t="s">
        <v>16</v>
      </c>
      <c r="F170" s="5" t="s">
        <v>67</v>
      </c>
      <c r="G170" s="5" t="s">
        <v>13</v>
      </c>
      <c r="H170" s="7" t="s">
        <v>8</v>
      </c>
      <c r="I170" s="7" t="s">
        <v>68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10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17</v>
      </c>
      <c r="AF170" s="7">
        <v>0</v>
      </c>
      <c r="AG170" s="8">
        <v>1700</v>
      </c>
      <c r="AH170" s="7">
        <v>0</v>
      </c>
      <c r="AI170" s="7">
        <v>0</v>
      </c>
      <c r="AJ170" s="7">
        <v>0</v>
      </c>
      <c r="AK170" s="7">
        <v>2</v>
      </c>
      <c r="AL170" s="7">
        <v>0</v>
      </c>
      <c r="AM170" s="7">
        <v>200</v>
      </c>
      <c r="AN170" s="7">
        <v>0</v>
      </c>
      <c r="AO170" s="7">
        <v>0</v>
      </c>
      <c r="AP170" s="7">
        <v>0</v>
      </c>
      <c r="AQ170" s="7">
        <v>0</v>
      </c>
      <c r="AR170" s="7">
        <v>157</v>
      </c>
      <c r="AS170" s="8">
        <v>15700</v>
      </c>
      <c r="AT170" s="7">
        <v>0</v>
      </c>
      <c r="AU170" s="10">
        <v>17600</v>
      </c>
      <c r="AV170" s="15">
        <f t="shared" si="10"/>
        <v>17600</v>
      </c>
      <c r="AW170" s="16">
        <f t="shared" si="11"/>
        <v>12320</v>
      </c>
    </row>
    <row r="171" spans="1:49" ht="19.2" x14ac:dyDescent="0.4">
      <c r="A171" s="5" t="s">
        <v>212</v>
      </c>
      <c r="B171" s="5" t="s">
        <v>59</v>
      </c>
      <c r="C171" s="5">
        <v>251205</v>
      </c>
      <c r="D171" s="6"/>
      <c r="E171" s="5" t="s">
        <v>16</v>
      </c>
      <c r="F171" s="5" t="s">
        <v>19</v>
      </c>
      <c r="G171" s="5" t="s">
        <v>13</v>
      </c>
      <c r="H171" s="7" t="s">
        <v>8</v>
      </c>
      <c r="I171" s="7" t="s">
        <v>60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12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172</v>
      </c>
      <c r="AS171" s="8">
        <v>17200</v>
      </c>
      <c r="AT171" s="7">
        <v>0</v>
      </c>
      <c r="AU171" s="10">
        <v>17200</v>
      </c>
      <c r="AV171" s="15">
        <f t="shared" si="10"/>
        <v>17200</v>
      </c>
      <c r="AW171" s="16">
        <f t="shared" si="11"/>
        <v>12040</v>
      </c>
    </row>
    <row r="172" spans="1:49" ht="19.2" x14ac:dyDescent="0.4">
      <c r="A172" s="5" t="s">
        <v>212</v>
      </c>
      <c r="B172" s="5" t="s">
        <v>227</v>
      </c>
      <c r="C172" s="5">
        <v>463944</v>
      </c>
      <c r="D172" s="6"/>
      <c r="E172" s="5" t="s">
        <v>16</v>
      </c>
      <c r="F172" s="5" t="s">
        <v>228</v>
      </c>
      <c r="G172" s="5" t="s">
        <v>13</v>
      </c>
      <c r="H172" s="7" t="s">
        <v>12</v>
      </c>
      <c r="I172" s="7" t="s">
        <v>229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5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145</v>
      </c>
      <c r="AS172" s="8">
        <v>14500</v>
      </c>
      <c r="AT172" s="7">
        <v>0</v>
      </c>
      <c r="AU172" s="10">
        <v>14500</v>
      </c>
      <c r="AV172" s="15">
        <f t="shared" si="10"/>
        <v>14500</v>
      </c>
      <c r="AW172" s="16">
        <f t="shared" si="11"/>
        <v>10150</v>
      </c>
    </row>
    <row r="173" spans="1:49" ht="19.2" x14ac:dyDescent="0.4">
      <c r="A173" s="5" t="s">
        <v>212</v>
      </c>
      <c r="B173" s="5" t="s">
        <v>126</v>
      </c>
      <c r="C173" s="5">
        <v>434558</v>
      </c>
      <c r="D173" s="6"/>
      <c r="E173" s="5" t="s">
        <v>16</v>
      </c>
      <c r="F173" s="5" t="s">
        <v>127</v>
      </c>
      <c r="G173" s="5" t="s">
        <v>13</v>
      </c>
      <c r="H173" s="7" t="s">
        <v>8</v>
      </c>
      <c r="I173" s="7" t="s">
        <v>164</v>
      </c>
      <c r="J173" s="7">
        <v>1</v>
      </c>
      <c r="K173" s="7">
        <v>86</v>
      </c>
      <c r="L173" s="7">
        <v>100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14</v>
      </c>
      <c r="AF173" s="7">
        <v>0</v>
      </c>
      <c r="AG173" s="8">
        <v>1400</v>
      </c>
      <c r="AH173" s="7">
        <v>0</v>
      </c>
      <c r="AI173" s="7">
        <v>0</v>
      </c>
      <c r="AJ173" s="7">
        <v>0</v>
      </c>
      <c r="AK173" s="7">
        <v>109</v>
      </c>
      <c r="AL173" s="8">
        <v>12120</v>
      </c>
      <c r="AM173" s="7">
        <v>800</v>
      </c>
      <c r="AN173" s="9">
        <v>3636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10">
        <v>14420</v>
      </c>
      <c r="AV173" s="15">
        <f t="shared" si="10"/>
        <v>10784</v>
      </c>
      <c r="AW173" s="16">
        <f t="shared" si="11"/>
        <v>7548.7999999999993</v>
      </c>
    </row>
    <row r="174" spans="1:49" ht="19.2" x14ac:dyDescent="0.4">
      <c r="A174" s="5" t="s">
        <v>212</v>
      </c>
      <c r="B174" s="5" t="s">
        <v>170</v>
      </c>
      <c r="C174" s="5">
        <v>407733</v>
      </c>
      <c r="D174" s="6"/>
      <c r="E174" s="5" t="s">
        <v>16</v>
      </c>
      <c r="F174" s="5" t="s">
        <v>17</v>
      </c>
      <c r="G174" s="5" t="s">
        <v>13</v>
      </c>
      <c r="H174" s="7" t="s">
        <v>8</v>
      </c>
      <c r="I174" s="7" t="s">
        <v>171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9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89</v>
      </c>
      <c r="AF174" s="8">
        <v>8900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44</v>
      </c>
      <c r="AS174" s="8">
        <v>4400</v>
      </c>
      <c r="AT174" s="7">
        <v>0</v>
      </c>
      <c r="AU174" s="10">
        <v>13300</v>
      </c>
      <c r="AV174" s="15">
        <f t="shared" si="10"/>
        <v>13300</v>
      </c>
      <c r="AW174" s="16">
        <f t="shared" si="11"/>
        <v>9310</v>
      </c>
    </row>
    <row r="175" spans="1:49" ht="19.2" x14ac:dyDescent="0.4">
      <c r="A175" s="5" t="s">
        <v>212</v>
      </c>
      <c r="B175" s="5" t="s">
        <v>198</v>
      </c>
      <c r="C175" s="5">
        <v>458561</v>
      </c>
      <c r="D175" s="6"/>
      <c r="E175" s="5" t="s">
        <v>16</v>
      </c>
      <c r="F175" s="5" t="s">
        <v>17</v>
      </c>
      <c r="G175" s="5" t="s">
        <v>13</v>
      </c>
      <c r="H175" s="7" t="s">
        <v>8</v>
      </c>
      <c r="I175" s="7" t="s">
        <v>199</v>
      </c>
      <c r="J175" s="7">
        <v>4</v>
      </c>
      <c r="K175" s="7">
        <v>0</v>
      </c>
      <c r="L175" s="7">
        <v>400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96</v>
      </c>
      <c r="AF175" s="8">
        <v>8200</v>
      </c>
      <c r="AG175" s="8">
        <v>1400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10">
        <v>10000</v>
      </c>
      <c r="AV175" s="15">
        <f t="shared" ref="AV175:AV193" si="12">AU175-AN175</f>
        <v>10000</v>
      </c>
      <c r="AW175" s="16">
        <f t="shared" ref="AW175:AW193" si="13">AV175*70%</f>
        <v>7000</v>
      </c>
    </row>
    <row r="176" spans="1:49" ht="19.2" x14ac:dyDescent="0.4">
      <c r="A176" s="5" t="s">
        <v>212</v>
      </c>
      <c r="B176" s="5" t="s">
        <v>46</v>
      </c>
      <c r="C176" s="5">
        <v>386960</v>
      </c>
      <c r="D176" s="6"/>
      <c r="E176" s="5" t="s">
        <v>16</v>
      </c>
      <c r="F176" s="5" t="s">
        <v>47</v>
      </c>
      <c r="G176" s="5" t="s">
        <v>13</v>
      </c>
      <c r="H176" s="7" t="s">
        <v>8</v>
      </c>
      <c r="I176" s="7" t="s">
        <v>48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4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16</v>
      </c>
      <c r="AF176" s="7">
        <v>0</v>
      </c>
      <c r="AG176" s="8">
        <v>1600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77</v>
      </c>
      <c r="AS176" s="8">
        <v>7700</v>
      </c>
      <c r="AT176" s="7">
        <v>0</v>
      </c>
      <c r="AU176" s="10">
        <v>9300</v>
      </c>
      <c r="AV176" s="15">
        <f t="shared" si="12"/>
        <v>9300</v>
      </c>
      <c r="AW176" s="16">
        <f t="shared" si="13"/>
        <v>6510</v>
      </c>
    </row>
    <row r="177" spans="1:49" ht="19.2" x14ac:dyDescent="0.4">
      <c r="A177" s="5" t="s">
        <v>212</v>
      </c>
      <c r="B177" s="5" t="s">
        <v>65</v>
      </c>
      <c r="C177" s="5">
        <v>410142</v>
      </c>
      <c r="D177" s="6"/>
      <c r="E177" s="5" t="s">
        <v>16</v>
      </c>
      <c r="F177" s="5" t="s">
        <v>47</v>
      </c>
      <c r="G177" s="5" t="s">
        <v>13</v>
      </c>
      <c r="H177" s="7" t="s">
        <v>8</v>
      </c>
      <c r="I177" s="7" t="s">
        <v>14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2</v>
      </c>
      <c r="AL177" s="7">
        <v>0</v>
      </c>
      <c r="AM177" s="8">
        <v>8800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10">
        <v>8800</v>
      </c>
      <c r="AV177" s="15">
        <f t="shared" si="12"/>
        <v>8800</v>
      </c>
      <c r="AW177" s="16">
        <f t="shared" si="13"/>
        <v>6160</v>
      </c>
    </row>
    <row r="178" spans="1:49" ht="19.2" x14ac:dyDescent="0.4">
      <c r="A178" s="5" t="s">
        <v>212</v>
      </c>
      <c r="B178" s="5" t="s">
        <v>86</v>
      </c>
      <c r="C178" s="5">
        <v>413284</v>
      </c>
      <c r="D178" s="6"/>
      <c r="E178" s="5" t="s">
        <v>16</v>
      </c>
      <c r="F178" s="5" t="s">
        <v>76</v>
      </c>
      <c r="G178" s="5" t="s">
        <v>13</v>
      </c>
      <c r="H178" s="7" t="s">
        <v>8</v>
      </c>
      <c r="I178" s="7" t="s">
        <v>87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1</v>
      </c>
      <c r="AL178" s="8">
        <v>3990</v>
      </c>
      <c r="AM178" s="7">
        <v>0</v>
      </c>
      <c r="AN178" s="9">
        <v>1197</v>
      </c>
      <c r="AO178" s="7">
        <v>0</v>
      </c>
      <c r="AP178" s="7">
        <v>0</v>
      </c>
      <c r="AQ178" s="7">
        <v>0</v>
      </c>
      <c r="AR178" s="7">
        <v>1</v>
      </c>
      <c r="AS178" s="8">
        <v>3500</v>
      </c>
      <c r="AT178" s="7">
        <v>0</v>
      </c>
      <c r="AU178" s="10">
        <v>7490</v>
      </c>
      <c r="AV178" s="15">
        <f t="shared" si="12"/>
        <v>6293</v>
      </c>
      <c r="AW178" s="16">
        <f t="shared" si="13"/>
        <v>4405.0999999999995</v>
      </c>
    </row>
    <row r="179" spans="1:49" ht="19.2" x14ac:dyDescent="0.4">
      <c r="A179" s="5" t="s">
        <v>212</v>
      </c>
      <c r="B179" s="5" t="s">
        <v>112</v>
      </c>
      <c r="C179" s="5">
        <v>429496</v>
      </c>
      <c r="D179" s="6"/>
      <c r="E179" s="5" t="s">
        <v>16</v>
      </c>
      <c r="F179" s="5" t="s">
        <v>113</v>
      </c>
      <c r="G179" s="5" t="s">
        <v>13</v>
      </c>
      <c r="H179" s="7" t="s">
        <v>8</v>
      </c>
      <c r="I179" s="7" t="s">
        <v>114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13</v>
      </c>
      <c r="AF179" s="7">
        <v>700</v>
      </c>
      <c r="AG179" s="7">
        <v>600</v>
      </c>
      <c r="AH179" s="7">
        <v>0</v>
      </c>
      <c r="AI179" s="7">
        <v>0</v>
      </c>
      <c r="AJ179" s="7">
        <v>0</v>
      </c>
      <c r="AK179" s="7">
        <v>44</v>
      </c>
      <c r="AL179" s="7">
        <v>0</v>
      </c>
      <c r="AM179" s="8">
        <v>4400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10">
        <v>5700</v>
      </c>
      <c r="AV179" s="15">
        <f t="shared" si="12"/>
        <v>5700</v>
      </c>
      <c r="AW179" s="16">
        <f t="shared" si="13"/>
        <v>3989.9999999999995</v>
      </c>
    </row>
    <row r="180" spans="1:49" ht="19.2" x14ac:dyDescent="0.4">
      <c r="A180" s="5" t="s">
        <v>212</v>
      </c>
      <c r="B180" s="5" t="s">
        <v>110</v>
      </c>
      <c r="C180" s="5">
        <v>425414</v>
      </c>
      <c r="D180" s="6"/>
      <c r="E180" s="5" t="s">
        <v>16</v>
      </c>
      <c r="F180" s="5" t="s">
        <v>111</v>
      </c>
      <c r="G180" s="5" t="s">
        <v>13</v>
      </c>
      <c r="H180" s="7" t="s">
        <v>8</v>
      </c>
      <c r="I180" s="7" t="s">
        <v>136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37</v>
      </c>
      <c r="AL180" s="8">
        <v>4440</v>
      </c>
      <c r="AM180" s="7">
        <v>0</v>
      </c>
      <c r="AN180" s="9">
        <v>1332</v>
      </c>
      <c r="AO180" s="7">
        <v>0</v>
      </c>
      <c r="AP180" s="7">
        <v>0</v>
      </c>
      <c r="AQ180" s="7">
        <v>0</v>
      </c>
      <c r="AR180" s="7">
        <v>1</v>
      </c>
      <c r="AS180" s="7">
        <v>100</v>
      </c>
      <c r="AT180" s="7">
        <v>0</v>
      </c>
      <c r="AU180" s="10">
        <v>4540</v>
      </c>
      <c r="AV180" s="15">
        <f t="shared" si="12"/>
        <v>3208</v>
      </c>
      <c r="AW180" s="16">
        <f t="shared" si="13"/>
        <v>2245.6</v>
      </c>
    </row>
    <row r="181" spans="1:49" ht="19.2" x14ac:dyDescent="0.4">
      <c r="A181" s="5" t="s">
        <v>212</v>
      </c>
      <c r="B181" s="5" t="s">
        <v>63</v>
      </c>
      <c r="C181" s="5">
        <v>391329</v>
      </c>
      <c r="D181" s="6"/>
      <c r="E181" s="5" t="s">
        <v>16</v>
      </c>
      <c r="F181" s="5" t="s">
        <v>19</v>
      </c>
      <c r="G181" s="5" t="s">
        <v>13</v>
      </c>
      <c r="H181" s="7" t="s">
        <v>8</v>
      </c>
      <c r="I181" s="7" t="s">
        <v>64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1</v>
      </c>
      <c r="AL181" s="8">
        <v>4128</v>
      </c>
      <c r="AM181" s="7">
        <v>0</v>
      </c>
      <c r="AN181" s="9">
        <v>1238.4000000000001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10">
        <v>4128</v>
      </c>
      <c r="AV181" s="15">
        <f t="shared" si="12"/>
        <v>2889.6</v>
      </c>
      <c r="AW181" s="16">
        <f t="shared" si="13"/>
        <v>2022.7199999999998</v>
      </c>
    </row>
    <row r="182" spans="1:49" ht="19.2" x14ac:dyDescent="0.4">
      <c r="A182" s="5" t="s">
        <v>212</v>
      </c>
      <c r="B182" s="5" t="s">
        <v>34</v>
      </c>
      <c r="C182" s="5">
        <v>408579</v>
      </c>
      <c r="D182" s="6"/>
      <c r="E182" s="5" t="s">
        <v>16</v>
      </c>
      <c r="F182" s="5" t="s">
        <v>17</v>
      </c>
      <c r="G182" s="5" t="s">
        <v>13</v>
      </c>
      <c r="H182" s="7" t="s">
        <v>8</v>
      </c>
      <c r="I182" s="7" t="s">
        <v>35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1</v>
      </c>
      <c r="AL182" s="8">
        <v>3840</v>
      </c>
      <c r="AM182" s="7">
        <v>0</v>
      </c>
      <c r="AN182" s="9">
        <v>1152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10">
        <v>3840</v>
      </c>
      <c r="AV182" s="15">
        <f t="shared" si="12"/>
        <v>2688</v>
      </c>
      <c r="AW182" s="16">
        <f t="shared" si="13"/>
        <v>1881.6</v>
      </c>
    </row>
    <row r="183" spans="1:49" ht="19.2" x14ac:dyDescent="0.4">
      <c r="A183" s="5" t="s">
        <v>212</v>
      </c>
      <c r="B183" s="5" t="s">
        <v>26</v>
      </c>
      <c r="C183" s="5">
        <v>371774</v>
      </c>
      <c r="D183" s="6"/>
      <c r="E183" s="5" t="s">
        <v>16</v>
      </c>
      <c r="F183" s="5" t="s">
        <v>27</v>
      </c>
      <c r="G183" s="5" t="s">
        <v>13</v>
      </c>
      <c r="H183" s="7" t="s">
        <v>8</v>
      </c>
      <c r="I183" s="7" t="s">
        <v>28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30</v>
      </c>
      <c r="AL183" s="8">
        <v>3600</v>
      </c>
      <c r="AM183" s="7">
        <v>0</v>
      </c>
      <c r="AN183" s="9">
        <v>1080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10">
        <v>3600</v>
      </c>
      <c r="AV183" s="15">
        <f t="shared" si="12"/>
        <v>2520</v>
      </c>
      <c r="AW183" s="16">
        <f t="shared" si="13"/>
        <v>1764</v>
      </c>
    </row>
    <row r="184" spans="1:49" ht="19.2" x14ac:dyDescent="0.4">
      <c r="A184" s="5" t="s">
        <v>212</v>
      </c>
      <c r="B184" s="5" t="s">
        <v>141</v>
      </c>
      <c r="C184" s="5">
        <v>440303</v>
      </c>
      <c r="D184" s="6"/>
      <c r="E184" s="5" t="s">
        <v>16</v>
      </c>
      <c r="F184" s="5" t="s">
        <v>142</v>
      </c>
      <c r="G184" s="5" t="s">
        <v>13</v>
      </c>
      <c r="H184" s="7" t="s">
        <v>8</v>
      </c>
      <c r="I184" s="7" t="s">
        <v>174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10</v>
      </c>
      <c r="AF184" s="8">
        <v>1000</v>
      </c>
      <c r="AG184" s="7">
        <v>0</v>
      </c>
      <c r="AH184" s="7">
        <v>0</v>
      </c>
      <c r="AI184" s="7">
        <v>0</v>
      </c>
      <c r="AJ184" s="7">
        <v>0</v>
      </c>
      <c r="AK184" s="7">
        <v>16</v>
      </c>
      <c r="AL184" s="8">
        <v>1920</v>
      </c>
      <c r="AM184" s="7">
        <v>0</v>
      </c>
      <c r="AN184" s="7">
        <v>576</v>
      </c>
      <c r="AO184" s="7">
        <v>0</v>
      </c>
      <c r="AP184" s="7">
        <v>0</v>
      </c>
      <c r="AQ184" s="7">
        <v>0</v>
      </c>
      <c r="AR184" s="7">
        <v>3</v>
      </c>
      <c r="AS184" s="7">
        <v>300</v>
      </c>
      <c r="AT184" s="7">
        <v>0</v>
      </c>
      <c r="AU184" s="10">
        <v>3220</v>
      </c>
      <c r="AV184" s="15">
        <f t="shared" si="12"/>
        <v>2644</v>
      </c>
      <c r="AW184" s="16">
        <f t="shared" si="13"/>
        <v>1850.8</v>
      </c>
    </row>
    <row r="185" spans="1:49" ht="19.2" x14ac:dyDescent="0.4">
      <c r="A185" s="5" t="s">
        <v>212</v>
      </c>
      <c r="B185" s="5" t="s">
        <v>223</v>
      </c>
      <c r="C185" s="5">
        <v>463950</v>
      </c>
      <c r="D185" s="6"/>
      <c r="E185" s="5" t="s">
        <v>16</v>
      </c>
      <c r="F185" s="5" t="s">
        <v>224</v>
      </c>
      <c r="G185" s="5" t="s">
        <v>13</v>
      </c>
      <c r="H185" s="7" t="s">
        <v>8</v>
      </c>
      <c r="I185" s="7" t="s">
        <v>222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1</v>
      </c>
      <c r="AS185" s="8">
        <v>3200</v>
      </c>
      <c r="AT185" s="7">
        <v>0</v>
      </c>
      <c r="AU185" s="10">
        <v>3200</v>
      </c>
      <c r="AV185" s="15">
        <f t="shared" si="12"/>
        <v>3200</v>
      </c>
      <c r="AW185" s="16">
        <f t="shared" si="13"/>
        <v>2240</v>
      </c>
    </row>
    <row r="186" spans="1:49" ht="19.2" x14ac:dyDescent="0.4">
      <c r="A186" s="5" t="s">
        <v>212</v>
      </c>
      <c r="B186" s="5" t="s">
        <v>206</v>
      </c>
      <c r="C186" s="5">
        <v>458566</v>
      </c>
      <c r="D186" s="6"/>
      <c r="E186" s="5" t="s">
        <v>16</v>
      </c>
      <c r="F186" s="5" t="s">
        <v>17</v>
      </c>
      <c r="G186" s="5" t="s">
        <v>13</v>
      </c>
      <c r="H186" s="7" t="s">
        <v>8</v>
      </c>
      <c r="I186" s="7" t="s">
        <v>199</v>
      </c>
      <c r="J186" s="7">
        <v>1</v>
      </c>
      <c r="K186" s="7">
        <v>0</v>
      </c>
      <c r="L186" s="8">
        <v>3200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10">
        <v>3200</v>
      </c>
      <c r="AV186" s="15">
        <f t="shared" si="12"/>
        <v>3200</v>
      </c>
      <c r="AW186" s="16">
        <f t="shared" si="13"/>
        <v>2240</v>
      </c>
    </row>
    <row r="187" spans="1:49" ht="19.2" x14ac:dyDescent="0.4">
      <c r="A187" s="5" t="s">
        <v>212</v>
      </c>
      <c r="B187" s="5" t="s">
        <v>220</v>
      </c>
      <c r="C187" s="5">
        <v>463946</v>
      </c>
      <c r="D187" s="6"/>
      <c r="E187" s="5" t="s">
        <v>16</v>
      </c>
      <c r="F187" s="5" t="s">
        <v>221</v>
      </c>
      <c r="G187" s="5" t="s">
        <v>13</v>
      </c>
      <c r="H187" s="7" t="s">
        <v>8</v>
      </c>
      <c r="I187" s="7" t="s">
        <v>222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1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30</v>
      </c>
      <c r="AF187" s="8">
        <v>3000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10">
        <v>3000</v>
      </c>
      <c r="AV187" s="15">
        <f t="shared" si="12"/>
        <v>3000</v>
      </c>
      <c r="AW187" s="16">
        <f t="shared" si="13"/>
        <v>2100</v>
      </c>
    </row>
    <row r="188" spans="1:49" ht="19.2" x14ac:dyDescent="0.4">
      <c r="A188" s="5" t="s">
        <v>212</v>
      </c>
      <c r="B188" s="5" t="s">
        <v>196</v>
      </c>
      <c r="C188" s="5">
        <v>441966</v>
      </c>
      <c r="D188" s="6"/>
      <c r="E188" s="5" t="s">
        <v>16</v>
      </c>
      <c r="F188" s="5" t="s">
        <v>73</v>
      </c>
      <c r="G188" s="5" t="s">
        <v>13</v>
      </c>
      <c r="H188" s="7" t="s">
        <v>11</v>
      </c>
      <c r="I188" s="7" t="s">
        <v>197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1</v>
      </c>
      <c r="AL188" s="8">
        <v>2880</v>
      </c>
      <c r="AM188" s="7">
        <v>0</v>
      </c>
      <c r="AN188" s="7">
        <v>864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10">
        <v>2880</v>
      </c>
      <c r="AV188" s="15">
        <f t="shared" si="12"/>
        <v>2016</v>
      </c>
      <c r="AW188" s="16">
        <f t="shared" si="13"/>
        <v>1411.1999999999998</v>
      </c>
    </row>
    <row r="189" spans="1:49" ht="19.2" x14ac:dyDescent="0.4">
      <c r="A189" s="5" t="s">
        <v>212</v>
      </c>
      <c r="B189" s="5" t="s">
        <v>54</v>
      </c>
      <c r="C189" s="5">
        <v>422032</v>
      </c>
      <c r="D189" s="6"/>
      <c r="E189" s="5" t="s">
        <v>16</v>
      </c>
      <c r="F189" s="5" t="s">
        <v>55</v>
      </c>
      <c r="G189" s="5" t="s">
        <v>13</v>
      </c>
      <c r="H189" s="7" t="s">
        <v>12</v>
      </c>
      <c r="I189" s="7" t="s">
        <v>56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14</v>
      </c>
      <c r="AF189" s="7">
        <v>600</v>
      </c>
      <c r="AG189" s="7">
        <v>800</v>
      </c>
      <c r="AH189" s="7">
        <v>0</v>
      </c>
      <c r="AI189" s="7">
        <v>0</v>
      </c>
      <c r="AJ189" s="7">
        <v>0</v>
      </c>
      <c r="AK189" s="7">
        <v>12</v>
      </c>
      <c r="AL189" s="8">
        <v>1440</v>
      </c>
      <c r="AM189" s="7">
        <v>0</v>
      </c>
      <c r="AN189" s="7">
        <v>432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10">
        <v>2840</v>
      </c>
      <c r="AV189" s="15">
        <f t="shared" si="12"/>
        <v>2408</v>
      </c>
      <c r="AW189" s="16">
        <f t="shared" si="13"/>
        <v>1685.6</v>
      </c>
    </row>
    <row r="190" spans="1:49" ht="19.2" x14ac:dyDescent="0.4">
      <c r="A190" s="5" t="s">
        <v>212</v>
      </c>
      <c r="B190" s="5" t="s">
        <v>75</v>
      </c>
      <c r="C190" s="5">
        <v>297776</v>
      </c>
      <c r="D190" s="6"/>
      <c r="E190" s="5" t="s">
        <v>16</v>
      </c>
      <c r="F190" s="5" t="s">
        <v>76</v>
      </c>
      <c r="G190" s="5" t="s">
        <v>13</v>
      </c>
      <c r="H190" s="7" t="s">
        <v>12</v>
      </c>
      <c r="I190" s="7" t="s">
        <v>77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24</v>
      </c>
      <c r="AF190" s="7">
        <v>0</v>
      </c>
      <c r="AG190" s="8">
        <v>2400</v>
      </c>
      <c r="AH190" s="7">
        <v>0</v>
      </c>
      <c r="AI190" s="7">
        <v>0</v>
      </c>
      <c r="AJ190" s="7">
        <v>0</v>
      </c>
      <c r="AK190" s="7">
        <v>2</v>
      </c>
      <c r="AL190" s="7">
        <v>0</v>
      </c>
      <c r="AM190" s="7">
        <v>200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10">
        <v>2600</v>
      </c>
      <c r="AV190" s="15">
        <f t="shared" si="12"/>
        <v>2600</v>
      </c>
      <c r="AW190" s="16">
        <f t="shared" si="13"/>
        <v>1819.9999999999998</v>
      </c>
    </row>
    <row r="191" spans="1:49" ht="19.2" x14ac:dyDescent="0.4">
      <c r="A191" s="5" t="s">
        <v>212</v>
      </c>
      <c r="B191" s="5" t="s">
        <v>129</v>
      </c>
      <c r="C191" s="5">
        <v>351033</v>
      </c>
      <c r="D191" s="6" t="s">
        <v>130</v>
      </c>
      <c r="E191" s="5" t="s">
        <v>16</v>
      </c>
      <c r="F191" s="5" t="s">
        <v>17</v>
      </c>
      <c r="G191" s="5" t="s">
        <v>13</v>
      </c>
      <c r="H191" s="7" t="s">
        <v>8</v>
      </c>
      <c r="I191" s="7" t="s">
        <v>131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20</v>
      </c>
      <c r="AL191" s="8">
        <v>2040</v>
      </c>
      <c r="AM191" s="7">
        <v>300</v>
      </c>
      <c r="AN191" s="7">
        <v>612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10">
        <v>2340</v>
      </c>
      <c r="AV191" s="15">
        <f t="shared" si="12"/>
        <v>1728</v>
      </c>
      <c r="AW191" s="16">
        <f t="shared" si="13"/>
        <v>1209.5999999999999</v>
      </c>
    </row>
    <row r="192" spans="1:49" ht="19.2" x14ac:dyDescent="0.4">
      <c r="A192" s="5" t="s">
        <v>212</v>
      </c>
      <c r="B192" s="5" t="s">
        <v>79</v>
      </c>
      <c r="C192" s="5">
        <v>419744</v>
      </c>
      <c r="D192" s="6"/>
      <c r="E192" s="5" t="s">
        <v>16</v>
      </c>
      <c r="F192" s="5" t="s">
        <v>80</v>
      </c>
      <c r="G192" s="5" t="s">
        <v>13</v>
      </c>
      <c r="H192" s="7" t="s">
        <v>8</v>
      </c>
      <c r="I192" s="7" t="s">
        <v>165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13</v>
      </c>
      <c r="AL192" s="8">
        <v>1560</v>
      </c>
      <c r="AM192" s="7">
        <v>0</v>
      </c>
      <c r="AN192" s="7">
        <v>468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10">
        <v>1560</v>
      </c>
      <c r="AV192" s="15">
        <f t="shared" si="12"/>
        <v>1092</v>
      </c>
      <c r="AW192" s="16">
        <f t="shared" si="13"/>
        <v>764.4</v>
      </c>
    </row>
    <row r="193" spans="1:49" ht="19.2" x14ac:dyDescent="0.4">
      <c r="A193" s="5" t="s">
        <v>212</v>
      </c>
      <c r="B193" s="5" t="s">
        <v>115</v>
      </c>
      <c r="C193" s="5">
        <v>424589</v>
      </c>
      <c r="D193" s="6"/>
      <c r="E193" s="5" t="s">
        <v>16</v>
      </c>
      <c r="F193" s="5" t="s">
        <v>116</v>
      </c>
      <c r="G193" s="5" t="s">
        <v>13</v>
      </c>
      <c r="H193" s="7" t="s">
        <v>11</v>
      </c>
      <c r="I193" s="7" t="s">
        <v>104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5</v>
      </c>
      <c r="AL193" s="7">
        <v>0</v>
      </c>
      <c r="AM193" s="7">
        <v>500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11">
        <v>500</v>
      </c>
      <c r="AV193" s="15">
        <f t="shared" si="12"/>
        <v>500</v>
      </c>
      <c r="AW193" s="16">
        <f t="shared" si="13"/>
        <v>350</v>
      </c>
    </row>
    <row r="194" spans="1:49" ht="19.2" x14ac:dyDescent="0.4">
      <c r="A194" s="5" t="s">
        <v>212</v>
      </c>
      <c r="B194" s="5" t="s">
        <v>225</v>
      </c>
      <c r="C194" s="5">
        <v>463949</v>
      </c>
      <c r="D194" s="6"/>
      <c r="E194" s="5" t="s">
        <v>16</v>
      </c>
      <c r="F194" s="5" t="s">
        <v>226</v>
      </c>
      <c r="G194" s="5" t="s">
        <v>13</v>
      </c>
      <c r="H194" s="7" t="s">
        <v>8</v>
      </c>
      <c r="I194" s="7" t="s">
        <v>222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2</v>
      </c>
      <c r="AL194" s="7">
        <v>0</v>
      </c>
      <c r="AM194" s="7">
        <v>200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11">
        <v>200</v>
      </c>
      <c r="AV194" s="15">
        <f t="shared" ref="AV194:AV196" si="14">AU194-AN194</f>
        <v>200</v>
      </c>
      <c r="AW194" s="16">
        <f t="shared" ref="AW194:AW196" si="15">AV194*70%</f>
        <v>140</v>
      </c>
    </row>
    <row r="195" spans="1:49" ht="19.2" x14ac:dyDescent="0.4">
      <c r="A195" s="5" t="s">
        <v>212</v>
      </c>
      <c r="B195" s="5" t="s">
        <v>144</v>
      </c>
      <c r="C195" s="5">
        <v>434853</v>
      </c>
      <c r="D195" s="6"/>
      <c r="E195" s="5" t="s">
        <v>16</v>
      </c>
      <c r="F195" s="5" t="s">
        <v>145</v>
      </c>
      <c r="G195" s="5" t="s">
        <v>13</v>
      </c>
      <c r="H195" s="7" t="s">
        <v>8</v>
      </c>
      <c r="I195" s="7" t="s">
        <v>207</v>
      </c>
      <c r="J195" s="7">
        <v>1</v>
      </c>
      <c r="K195" s="7">
        <v>0</v>
      </c>
      <c r="L195" s="7">
        <v>100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11">
        <v>100</v>
      </c>
      <c r="AV195" s="15">
        <f t="shared" si="14"/>
        <v>100</v>
      </c>
      <c r="AW195" s="16">
        <f t="shared" si="15"/>
        <v>70</v>
      </c>
    </row>
    <row r="196" spans="1:49" ht="19.2" x14ac:dyDescent="0.4">
      <c r="A196" s="5" t="s">
        <v>212</v>
      </c>
      <c r="B196" s="5" t="s">
        <v>172</v>
      </c>
      <c r="C196" s="5">
        <v>451412</v>
      </c>
      <c r="D196" s="6"/>
      <c r="E196" s="5" t="s">
        <v>16</v>
      </c>
      <c r="F196" s="5" t="s">
        <v>149</v>
      </c>
      <c r="G196" s="5" t="s">
        <v>13</v>
      </c>
      <c r="H196" s="7" t="s">
        <v>11</v>
      </c>
      <c r="I196" s="7" t="s">
        <v>173</v>
      </c>
      <c r="J196" s="7">
        <v>1</v>
      </c>
      <c r="K196" s="7">
        <v>0</v>
      </c>
      <c r="L196" s="7">
        <v>100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11">
        <v>100</v>
      </c>
      <c r="AV196" s="15">
        <f t="shared" si="14"/>
        <v>100</v>
      </c>
      <c r="AW196" s="16">
        <f t="shared" si="15"/>
        <v>70</v>
      </c>
    </row>
    <row r="197" spans="1:49" x14ac:dyDescent="0.4">
      <c r="AU197" s="19">
        <f>SUM(AU2:AU196)</f>
        <v>43172338</v>
      </c>
      <c r="AW197" s="18">
        <f>SUM(AW2:AW196)</f>
        <v>29675594.620000001</v>
      </c>
    </row>
    <row r="198" spans="1:49" x14ac:dyDescent="0.4">
      <c r="AU198" s="19"/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2022-04-06T03:19:22Z</dcterms:modified>
</cp:coreProperties>
</file>