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 tabRatio="692"/>
  </bookViews>
  <sheets>
    <sheet name="합계 (3)" sheetId="105" r:id="rId1"/>
  </sheets>
  <definedNames>
    <definedName name="_xlnm._FilterDatabase" localSheetId="0" hidden="1">'합계 (3)'!$A$1:$AW$57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W43" i="105" l="1"/>
  <c r="AW38" i="105"/>
  <c r="AW39" i="105"/>
  <c r="AW40" i="105"/>
  <c r="AW41" i="105"/>
  <c r="AW42" i="105"/>
  <c r="AV38" i="105"/>
  <c r="AV39" i="105"/>
  <c r="AV40" i="105"/>
  <c r="AV41" i="105"/>
  <c r="AV42" i="105"/>
  <c r="AV36" i="105" l="1"/>
  <c r="AW36" i="105" s="1"/>
  <c r="AV37" i="105"/>
  <c r="AW37" i="105" s="1"/>
  <c r="AV34" i="105" l="1"/>
  <c r="AW34" i="105" s="1"/>
  <c r="AV35" i="105"/>
  <c r="AW35" i="105" s="1"/>
  <c r="AV32" i="105" l="1"/>
  <c r="AW32" i="105" s="1"/>
  <c r="AV33" i="105"/>
  <c r="AW33" i="105" s="1"/>
  <c r="AV29" i="105" l="1"/>
  <c r="AW29" i="105" s="1"/>
  <c r="AV30" i="105"/>
  <c r="AW30" i="105" s="1"/>
  <c r="AV31" i="105"/>
  <c r="AW31" i="105" s="1"/>
  <c r="AV3" i="105" l="1"/>
  <c r="AW3" i="105" s="1"/>
  <c r="AV4" i="105"/>
  <c r="AW4" i="105" s="1"/>
  <c r="AV5" i="105"/>
  <c r="AW5" i="105" s="1"/>
  <c r="AV6" i="105"/>
  <c r="AW6" i="105" s="1"/>
  <c r="AV7" i="105"/>
  <c r="AW7" i="105" s="1"/>
  <c r="AV8" i="105"/>
  <c r="AW8" i="105" s="1"/>
  <c r="AV9" i="105"/>
  <c r="AW9" i="105" s="1"/>
  <c r="AV10" i="105"/>
  <c r="AW10" i="105" s="1"/>
  <c r="AV11" i="105"/>
  <c r="AW11" i="105" s="1"/>
  <c r="AV12" i="105"/>
  <c r="AW12" i="105" s="1"/>
  <c r="AV13" i="105"/>
  <c r="AW13" i="105" s="1"/>
  <c r="AV14" i="105"/>
  <c r="AW14" i="105" s="1"/>
  <c r="AV15" i="105"/>
  <c r="AW15" i="105" s="1"/>
  <c r="AV16" i="105"/>
  <c r="AW16" i="105" s="1"/>
  <c r="AV17" i="105"/>
  <c r="AW17" i="105" s="1"/>
  <c r="AV18" i="105"/>
  <c r="AW18" i="105" s="1"/>
  <c r="AV19" i="105"/>
  <c r="AW19" i="105" s="1"/>
  <c r="AV20" i="105"/>
  <c r="AW20" i="105" s="1"/>
  <c r="AV21" i="105"/>
  <c r="AW21" i="105" s="1"/>
  <c r="AV22" i="105"/>
  <c r="AW22" i="105" s="1"/>
  <c r="AV23" i="105"/>
  <c r="AW23" i="105" s="1"/>
  <c r="AV24" i="105"/>
  <c r="AW24" i="105" s="1"/>
  <c r="AV25" i="105"/>
  <c r="AW25" i="105" s="1"/>
  <c r="AV26" i="105"/>
  <c r="AW26" i="105" s="1"/>
  <c r="AV27" i="105"/>
  <c r="AW27" i="105" s="1"/>
  <c r="AV28" i="105"/>
  <c r="AW28" i="105" s="1"/>
  <c r="AV2" i="105"/>
  <c r="AW2" i="105" l="1"/>
</calcChain>
</file>

<file path=xl/sharedStrings.xml><?xml version="1.0" encoding="utf-8"?>
<sst xmlns="http://schemas.openxmlformats.org/spreadsheetml/2006/main" count="336" uniqueCount="72">
  <si>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</si>
  <si>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</si>
  <si>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</si>
  <si>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</si>
  <si>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</si>
  <si>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</si>
  <si>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</si>
  <si>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</si>
  <si>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구분</t>
    <phoneticPr fontId="20" type="noConversion"/>
  </si>
  <si>
    <t>계약연애, 오늘부터 1일</t>
  </si>
  <si>
    <t>원기공장</t>
  </si>
  <si>
    <t>전체이용가</t>
  </si>
  <si>
    <t>2019.03.11</t>
  </si>
  <si>
    <t>15세 이상 이용가능</t>
  </si>
  <si>
    <t>백스테이지 키스신</t>
  </si>
  <si>
    <t>수정과</t>
  </si>
  <si>
    <t>2019.12.07</t>
  </si>
  <si>
    <t>스토리위즈_만화</t>
  </si>
  <si>
    <t>스토리위즈</t>
  </si>
  <si>
    <t>폐하, 옥체 보존하세요!</t>
  </si>
  <si>
    <t>2020.07.13</t>
  </si>
  <si>
    <t>내 남편의 스토커</t>
  </si>
  <si>
    <t>혜원</t>
  </si>
  <si>
    <t>IvyeqianheXyouzhijiaozi</t>
  </si>
  <si>
    <t>연애 2분의 1</t>
  </si>
  <si>
    <t>ZHUPI&amp;YANGXUETU</t>
  </si>
  <si>
    <t>너랑 나랑 하면[BL]</t>
  </si>
  <si>
    <t>이세계 소환은 두 번째라구요</t>
  </si>
  <si>
    <t>Arashiyama</t>
  </si>
  <si>
    <t>2020.12.31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</si>
  <si>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</si>
  <si>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</si>
  <si>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</si>
  <si>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</si>
  <si>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</si>
  <si>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</si>
  <si>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</si>
  <si>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</si>
  <si>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</si>
  <si>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</si>
  <si>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</si>
  <si>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쿠키수수료</t>
    <phoneticPr fontId="20" type="noConversion"/>
  </si>
  <si>
    <t>합계</t>
  </si>
  <si>
    <t>순매출(합계-수수료)</t>
    <phoneticPr fontId="20" type="noConversion"/>
  </si>
  <si>
    <t>sw매출</t>
    <phoneticPr fontId="20" type="noConversion"/>
  </si>
  <si>
    <t>공주전쟁</t>
  </si>
  <si>
    <t>Luojie</t>
  </si>
  <si>
    <t>Lv</t>
  </si>
  <si>
    <t>Ice×FANFAN COMIC</t>
  </si>
  <si>
    <t>건일</t>
  </si>
  <si>
    <t>2021.07.23</t>
  </si>
  <si>
    <t>최애에게 들켜버렸다</t>
  </si>
  <si>
    <t>별빛 아래 우리</t>
  </si>
  <si>
    <t>폭군의 눈물</t>
  </si>
  <si>
    <t>마스코마스코 [독점]</t>
  </si>
  <si>
    <t>남정훈</t>
  </si>
  <si>
    <t>2021.10.25</t>
  </si>
  <si>
    <t>NISANSUI/ZIQUAN</t>
  </si>
  <si>
    <t>2022.02.09</t>
  </si>
  <si>
    <t>2022.03.31</t>
  </si>
  <si>
    <t>2022.03.16</t>
  </si>
  <si>
    <t>2022.04.01</t>
  </si>
  <si>
    <t>로맨틱 시그널</t>
  </si>
  <si>
    <t>Bless+cangshukou</t>
  </si>
  <si>
    <t>2020.11.16</t>
  </si>
  <si>
    <t>시리즈(APP)</t>
  </si>
  <si>
    <t>완전판APP</t>
  </si>
  <si>
    <t>시리즈(IOS)</t>
  </si>
  <si>
    <t>웹툰스토어MW</t>
    <phoneticPr fontId="20" type="noConversion"/>
  </si>
  <si>
    <t>웹툰스토어APP</t>
    <phoneticPr fontId="20" type="noConversion"/>
  </si>
  <si>
    <t>웹툰IOS앱앤드</t>
    <phoneticPr fontId="20" type="noConversion"/>
  </si>
  <si>
    <t>웹툰앱앤드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</si>
</sst>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176" fontId="18" fillId="0" borderId="0" xfId="0" applyNumberFormat="1" applyFont="1" applyBorder="1">
      <alignment vertical="center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4" borderId="0" xfId="0" applyFont="1" applyFill="1" applyBorder="1">
      <alignment vertical="center"/>
    </xf>
    <xf numFmtId="41" fontId="18" fillId="0" borderId="0" xfId="1" applyFont="1" applyBorder="1">
      <alignment vertical="center"/>
    </xf>
    <xf numFmtId="41" fontId="19" fillId="34" borderId="0" xfId="1" applyFont="1" applyFill="1" applyBorder="1">
      <alignment vertical="center"/>
    </xf>
    <xf numFmtId="41" fontId="18" fillId="34" borderId="0" xfId="1" applyFont="1" applyFill="1" applyBorder="1">
      <alignment vertical="center"/>
    </xf>
    <xf numFmtId="0" fontId="21" fillId="0" borderId="0" xfId="0" applyFont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7"/>
  <sheetViews>
    <sheetView tabSelected="1" zoomScale="75" zoomScaleNormal="75" workbookViewId="0"/>
  </sheetViews>
  <sheetFormatPr defaultColWidth="8.69921875" defaultRowHeight="9.6" x14ac:dyDescent="0.4"/>
  <cols>
    <col min="1" max="1" width="9.3984375" style="4" customWidth="1"/>
    <col min="2" max="2" width="20" style="3" bestFit="1" customWidth="1"/>
    <col min="3" max="3" width="6.5" style="3" customWidth="1"/>
    <col min="4" max="4" width="7.19921875" style="3" customWidth="1"/>
    <col min="5" max="5" width="10" style="3" customWidth="1"/>
    <col min="6" max="6" width="10.296875" style="3" customWidth="1"/>
    <col min="7" max="7" width="10" style="3" bestFit="1" customWidth="1"/>
    <col min="8" max="8" width="13.59765625" style="3" customWidth="1"/>
    <col min="9" max="9" width="7.3984375" style="3" customWidth="1"/>
    <col min="10" max="10" width="4.296875" style="3" customWidth="1"/>
    <col min="11" max="11" width="4.796875" style="3" customWidth="1"/>
    <col min="12" max="12" width="7.19921875" style="3" customWidth="1"/>
    <col min="13" max="13" width="6.69921875" style="3" customWidth="1"/>
    <col min="14" max="14" width="6" style="3" customWidth="1"/>
    <col min="15" max="16" width="6.296875" style="3" customWidth="1"/>
    <col min="17" max="17" width="5" style="3" customWidth="1"/>
    <col min="18" max="18" width="4.796875" style="3" customWidth="1"/>
    <col min="19" max="19" width="7.19921875" style="3" customWidth="1"/>
    <col min="20" max="20" width="6.69921875" style="3" customWidth="1"/>
    <col min="21" max="21" width="6" style="3" customWidth="1"/>
    <col min="22" max="23" width="6.296875" style="3" customWidth="1"/>
    <col min="24" max="24" width="3.59765625" style="3" customWidth="1"/>
    <col min="25" max="25" width="5" style="3" customWidth="1"/>
    <col min="26" max="27" width="3.59765625" style="3" customWidth="1"/>
    <col min="28" max="28" width="5" style="3" customWidth="1"/>
    <col min="29" max="29" width="4.296875" style="3" customWidth="1"/>
    <col min="30" max="35" width="3.59765625" style="3" customWidth="1"/>
    <col min="36" max="36" width="7.8984375" style="3" customWidth="1"/>
    <col min="37" max="37" width="8.3984375" style="3" customWidth="1"/>
    <col min="38" max="38" width="9.09765625" style="3" customWidth="1"/>
    <col min="39" max="39" width="12.69921875" style="3" customWidth="1"/>
    <col min="40" max="46" width="8.69921875" style="3"/>
    <col min="47" max="47" width="9.19921875" style="3" customWidth="1"/>
    <col min="48" max="48" width="9.296875" style="3" customWidth="1"/>
    <col min="49" max="49" width="8.69921875" style="16"/>
    <col min="50" max="16384" width="8.69921875" style="3"/>
  </cols>
  <sheetData>
    <row r="1" spans="1:49" ht="38.4" x14ac:dyDescent="0.4">
      <c r="A1" s="1" t="s">
        <v>8</v>
      </c>
      <c r="B1" s="1" t="s">
        <v>0</v>
      </c>
      <c r="C1" s="1" t="s">
        <v>1</v>
      </c>
      <c r="D1" s="2" t="s">
        <v>2</v>
      </c>
      <c r="E1" s="1" t="s">
        <v>3</v>
      </c>
      <c r="F1" s="5" t="s">
        <v>4</v>
      </c>
      <c r="G1" s="1" t="s">
        <v>5</v>
      </c>
      <c r="H1" s="2" t="s">
        <v>6</v>
      </c>
      <c r="I1" s="2" t="s">
        <v>7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38</v>
      </c>
      <c r="S1" s="13" t="s">
        <v>30</v>
      </c>
      <c r="T1" s="13" t="s">
        <v>31</v>
      </c>
      <c r="U1" s="13" t="s">
        <v>32</v>
      </c>
      <c r="V1" s="13" t="s">
        <v>33</v>
      </c>
      <c r="W1" s="13" t="s">
        <v>34</v>
      </c>
      <c r="X1" s="13" t="s">
        <v>35</v>
      </c>
      <c r="Y1" s="13" t="s">
        <v>36</v>
      </c>
      <c r="Z1" s="13" t="s">
        <v>37</v>
      </c>
      <c r="AA1" s="13" t="s">
        <v>38</v>
      </c>
      <c r="AB1" s="13" t="s">
        <v>30</v>
      </c>
      <c r="AC1" s="13" t="s">
        <v>39</v>
      </c>
      <c r="AD1" s="13" t="s">
        <v>40</v>
      </c>
      <c r="AE1" s="13" t="s">
        <v>30</v>
      </c>
      <c r="AF1" s="13" t="s">
        <v>39</v>
      </c>
      <c r="AG1" s="13" t="s">
        <v>40</v>
      </c>
      <c r="AH1" s="13" t="s">
        <v>30</v>
      </c>
      <c r="AI1" s="13" t="s">
        <v>39</v>
      </c>
      <c r="AJ1" s="13" t="s">
        <v>40</v>
      </c>
      <c r="AK1" s="13" t="s">
        <v>30</v>
      </c>
      <c r="AL1" s="13" t="s">
        <v>39</v>
      </c>
      <c r="AM1" s="13" t="s">
        <v>40</v>
      </c>
      <c r="AN1" s="14" t="s">
        <v>41</v>
      </c>
      <c r="AO1" s="13" t="s">
        <v>30</v>
      </c>
      <c r="AP1" s="13" t="s">
        <v>39</v>
      </c>
      <c r="AQ1" s="13" t="s">
        <v>40</v>
      </c>
      <c r="AR1" s="13" t="s">
        <v>30</v>
      </c>
      <c r="AS1" s="13" t="s">
        <v>39</v>
      </c>
      <c r="AT1" s="13" t="s">
        <v>40</v>
      </c>
      <c r="AU1" s="14" t="s">
        <v>42</v>
      </c>
      <c r="AV1" s="15" t="s">
        <v>43</v>
      </c>
      <c r="AW1" s="17" t="s">
        <v>44</v>
      </c>
    </row>
    <row r="2" spans="1:49" ht="21.6" customHeight="1" x14ac:dyDescent="0.4">
      <c r="A2" s="4" t="s">
        <v>65</v>
      </c>
      <c r="B2" s="6" t="s">
        <v>52</v>
      </c>
      <c r="C2" s="6">
        <v>435954</v>
      </c>
      <c r="D2" s="7"/>
      <c r="E2" s="6" t="s">
        <v>17</v>
      </c>
      <c r="F2" s="6" t="s">
        <v>49</v>
      </c>
      <c r="G2" s="6" t="s">
        <v>18</v>
      </c>
      <c r="H2" s="8" t="s">
        <v>11</v>
      </c>
      <c r="I2" s="8" t="s">
        <v>59</v>
      </c>
      <c r="J2" s="8">
        <v>0</v>
      </c>
      <c r="K2" s="8">
        <v>201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3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9">
        <v>1546</v>
      </c>
      <c r="AC2" s="9">
        <v>234000</v>
      </c>
      <c r="AD2" s="9">
        <v>75200</v>
      </c>
      <c r="AE2" s="8">
        <v>207</v>
      </c>
      <c r="AF2" s="9">
        <v>55100</v>
      </c>
      <c r="AG2" s="9">
        <v>27700</v>
      </c>
      <c r="AH2" s="8">
        <v>1</v>
      </c>
      <c r="AI2" s="8">
        <v>0</v>
      </c>
      <c r="AJ2" s="8">
        <v>200</v>
      </c>
      <c r="AK2" s="8">
        <v>0</v>
      </c>
      <c r="AL2" s="8">
        <v>0</v>
      </c>
      <c r="AM2" s="8">
        <v>0</v>
      </c>
      <c r="AN2" s="8">
        <v>0</v>
      </c>
      <c r="AO2" s="8">
        <v>43</v>
      </c>
      <c r="AP2" s="9">
        <v>8400</v>
      </c>
      <c r="AQ2" s="8">
        <v>200</v>
      </c>
      <c r="AR2" s="8">
        <v>1</v>
      </c>
      <c r="AS2" s="8">
        <v>400</v>
      </c>
      <c r="AT2" s="8">
        <v>0</v>
      </c>
      <c r="AU2" s="10">
        <v>401200</v>
      </c>
      <c r="AV2" s="12">
        <f>AU2-AN2</f>
        <v>401200</v>
      </c>
      <c r="AW2" s="16">
        <f>AV2*70%</f>
        <v>280840</v>
      </c>
    </row>
    <row r="3" spans="1:49" ht="21.6" customHeight="1" x14ac:dyDescent="0.4">
      <c r="A3" s="4" t="s">
        <v>65</v>
      </c>
      <c r="B3" s="6" t="s">
        <v>19</v>
      </c>
      <c r="C3" s="6">
        <v>380491</v>
      </c>
      <c r="D3" s="7"/>
      <c r="E3" s="6" t="s">
        <v>17</v>
      </c>
      <c r="F3" s="6" t="s">
        <v>23</v>
      </c>
      <c r="G3" s="6" t="s">
        <v>18</v>
      </c>
      <c r="H3" s="8" t="s">
        <v>11</v>
      </c>
      <c r="I3" s="8" t="s">
        <v>20</v>
      </c>
      <c r="J3" s="8">
        <v>0</v>
      </c>
      <c r="K3" s="8">
        <v>96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9">
        <v>1563</v>
      </c>
      <c r="AC3" s="9">
        <v>142500</v>
      </c>
      <c r="AD3" s="9">
        <v>13800</v>
      </c>
      <c r="AE3" s="8">
        <v>51</v>
      </c>
      <c r="AF3" s="9">
        <v>10200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214</v>
      </c>
      <c r="AP3" s="9">
        <v>11200</v>
      </c>
      <c r="AQ3" s="9">
        <v>10200</v>
      </c>
      <c r="AR3" s="8">
        <v>0</v>
      </c>
      <c r="AS3" s="8">
        <v>0</v>
      </c>
      <c r="AT3" s="8">
        <v>0</v>
      </c>
      <c r="AU3" s="10">
        <v>187900</v>
      </c>
      <c r="AV3" s="16">
        <f t="shared" ref="AV3:AV28" si="0">AU3-AN3</f>
        <v>187900</v>
      </c>
      <c r="AW3" s="16">
        <f t="shared" ref="AW3:AW28" si="1">AV3*70%</f>
        <v>131530</v>
      </c>
    </row>
    <row r="4" spans="1:49" ht="21.6" customHeight="1" x14ac:dyDescent="0.4">
      <c r="A4" s="4" t="s">
        <v>65</v>
      </c>
      <c r="B4" s="6" t="s">
        <v>53</v>
      </c>
      <c r="C4" s="6">
        <v>434897</v>
      </c>
      <c r="D4" s="7"/>
      <c r="E4" s="6" t="s">
        <v>17</v>
      </c>
      <c r="F4" s="6" t="s">
        <v>48</v>
      </c>
      <c r="G4" s="6" t="s">
        <v>18</v>
      </c>
      <c r="H4" s="8" t="s">
        <v>13</v>
      </c>
      <c r="I4" s="8" t="s">
        <v>60</v>
      </c>
      <c r="J4" s="8">
        <v>4</v>
      </c>
      <c r="K4" s="8">
        <v>118</v>
      </c>
      <c r="L4" s="8">
        <v>800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267</v>
      </c>
      <c r="AC4" s="9">
        <v>35900</v>
      </c>
      <c r="AD4" s="9">
        <v>17500</v>
      </c>
      <c r="AE4" s="8">
        <v>33</v>
      </c>
      <c r="AF4" s="9">
        <v>12000</v>
      </c>
      <c r="AG4" s="9">
        <v>1200</v>
      </c>
      <c r="AH4" s="8">
        <v>7</v>
      </c>
      <c r="AI4" s="8">
        <v>0</v>
      </c>
      <c r="AJ4" s="9">
        <v>1400</v>
      </c>
      <c r="AK4" s="8">
        <v>0</v>
      </c>
      <c r="AL4" s="8">
        <v>0</v>
      </c>
      <c r="AM4" s="8">
        <v>0</v>
      </c>
      <c r="AN4" s="8">
        <v>0</v>
      </c>
      <c r="AO4" s="8">
        <v>9</v>
      </c>
      <c r="AP4" s="9">
        <v>1800</v>
      </c>
      <c r="AQ4" s="8">
        <v>0</v>
      </c>
      <c r="AR4" s="8">
        <v>0</v>
      </c>
      <c r="AS4" s="8">
        <v>0</v>
      </c>
      <c r="AT4" s="8">
        <v>0</v>
      </c>
      <c r="AU4" s="10">
        <v>70600</v>
      </c>
      <c r="AV4" s="16">
        <f t="shared" si="0"/>
        <v>70600</v>
      </c>
      <c r="AW4" s="16">
        <f t="shared" si="1"/>
        <v>49420</v>
      </c>
    </row>
    <row r="5" spans="1:49" ht="21.6" customHeight="1" x14ac:dyDescent="0.4">
      <c r="A5" s="4" t="s">
        <v>65</v>
      </c>
      <c r="B5" s="6" t="s">
        <v>45</v>
      </c>
      <c r="C5" s="6">
        <v>423525</v>
      </c>
      <c r="D5" s="7"/>
      <c r="E5" s="6" t="s">
        <v>17</v>
      </c>
      <c r="F5" s="6" t="s">
        <v>46</v>
      </c>
      <c r="G5" s="6" t="s">
        <v>18</v>
      </c>
      <c r="H5" s="8" t="s">
        <v>11</v>
      </c>
      <c r="I5" s="8" t="s">
        <v>61</v>
      </c>
      <c r="J5" s="8">
        <v>0</v>
      </c>
      <c r="K5" s="8">
        <v>8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281</v>
      </c>
      <c r="AC5" s="9">
        <v>40600</v>
      </c>
      <c r="AD5" s="9">
        <v>15600</v>
      </c>
      <c r="AE5" s="8">
        <v>19</v>
      </c>
      <c r="AF5" s="9">
        <v>6500</v>
      </c>
      <c r="AG5" s="8">
        <v>900</v>
      </c>
      <c r="AH5" s="8">
        <v>0</v>
      </c>
      <c r="AI5" s="8">
        <v>0</v>
      </c>
      <c r="AJ5" s="8">
        <v>0</v>
      </c>
      <c r="AK5" s="8">
        <v>8</v>
      </c>
      <c r="AL5" s="8">
        <v>0</v>
      </c>
      <c r="AM5" s="9">
        <v>3000</v>
      </c>
      <c r="AN5" s="8">
        <v>0</v>
      </c>
      <c r="AO5" s="8">
        <v>6</v>
      </c>
      <c r="AP5" s="9">
        <v>1200</v>
      </c>
      <c r="AQ5" s="8">
        <v>0</v>
      </c>
      <c r="AR5" s="8">
        <v>0</v>
      </c>
      <c r="AS5" s="8">
        <v>0</v>
      </c>
      <c r="AT5" s="8">
        <v>0</v>
      </c>
      <c r="AU5" s="10">
        <v>67800</v>
      </c>
      <c r="AV5" s="16">
        <f t="shared" si="0"/>
        <v>67800</v>
      </c>
      <c r="AW5" s="16">
        <f t="shared" si="1"/>
        <v>47460</v>
      </c>
    </row>
    <row r="6" spans="1:49" ht="21.6" customHeight="1" x14ac:dyDescent="0.4">
      <c r="A6" s="4" t="s">
        <v>65</v>
      </c>
      <c r="B6" s="6" t="s">
        <v>26</v>
      </c>
      <c r="C6" s="6">
        <v>412451</v>
      </c>
      <c r="D6" s="7"/>
      <c r="E6" s="6" t="s">
        <v>17</v>
      </c>
      <c r="F6" s="6" t="s">
        <v>57</v>
      </c>
      <c r="G6" s="6" t="s">
        <v>18</v>
      </c>
      <c r="H6" s="8" t="s">
        <v>13</v>
      </c>
      <c r="I6" s="8" t="s">
        <v>58</v>
      </c>
      <c r="J6" s="8">
        <v>8</v>
      </c>
      <c r="K6" s="8">
        <v>108</v>
      </c>
      <c r="L6" s="9">
        <v>1600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305</v>
      </c>
      <c r="AC6" s="9">
        <v>22400</v>
      </c>
      <c r="AD6" s="9">
        <v>38600</v>
      </c>
      <c r="AE6" s="8">
        <v>5</v>
      </c>
      <c r="AF6" s="8">
        <v>600</v>
      </c>
      <c r="AG6" s="9">
        <v>1400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6</v>
      </c>
      <c r="AP6" s="9">
        <v>1200</v>
      </c>
      <c r="AQ6" s="8">
        <v>0</v>
      </c>
      <c r="AR6" s="8">
        <v>0</v>
      </c>
      <c r="AS6" s="8">
        <v>0</v>
      </c>
      <c r="AT6" s="8">
        <v>0</v>
      </c>
      <c r="AU6" s="10">
        <v>65800</v>
      </c>
      <c r="AV6" s="16">
        <f t="shared" si="0"/>
        <v>65800</v>
      </c>
      <c r="AW6" s="16">
        <f t="shared" si="1"/>
        <v>46060</v>
      </c>
    </row>
    <row r="7" spans="1:49" ht="21.6" customHeight="1" x14ac:dyDescent="0.4">
      <c r="A7" s="4" t="s">
        <v>65</v>
      </c>
      <c r="B7" s="6" t="s">
        <v>14</v>
      </c>
      <c r="C7" s="6">
        <v>383201</v>
      </c>
      <c r="D7" s="7"/>
      <c r="E7" s="6" t="s">
        <v>17</v>
      </c>
      <c r="F7" s="6" t="s">
        <v>15</v>
      </c>
      <c r="G7" s="6" t="s">
        <v>18</v>
      </c>
      <c r="H7" s="8" t="s">
        <v>11</v>
      </c>
      <c r="I7" s="8" t="s">
        <v>16</v>
      </c>
      <c r="J7" s="8">
        <v>0</v>
      </c>
      <c r="K7" s="8">
        <v>3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124</v>
      </c>
      <c r="AC7" s="9">
        <v>23400</v>
      </c>
      <c r="AD7" s="9">
        <v>1400</v>
      </c>
      <c r="AE7" s="8">
        <v>41</v>
      </c>
      <c r="AF7" s="9">
        <v>16400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11</v>
      </c>
      <c r="AP7" s="9">
        <v>2000</v>
      </c>
      <c r="AQ7" s="8">
        <v>200</v>
      </c>
      <c r="AR7" s="8">
        <v>0</v>
      </c>
      <c r="AS7" s="8">
        <v>0</v>
      </c>
      <c r="AT7" s="8">
        <v>0</v>
      </c>
      <c r="AU7" s="10">
        <v>43400</v>
      </c>
      <c r="AV7" s="16">
        <f t="shared" si="0"/>
        <v>43400</v>
      </c>
      <c r="AW7" s="16">
        <f t="shared" si="1"/>
        <v>30379.999999999996</v>
      </c>
    </row>
    <row r="8" spans="1:49" ht="21.6" customHeight="1" x14ac:dyDescent="0.4">
      <c r="A8" s="4" t="s">
        <v>65</v>
      </c>
      <c r="B8" s="6" t="s">
        <v>51</v>
      </c>
      <c r="C8" s="6">
        <v>432749</v>
      </c>
      <c r="D8" s="7"/>
      <c r="E8" s="6" t="s">
        <v>17</v>
      </c>
      <c r="F8" s="6" t="s">
        <v>47</v>
      </c>
      <c r="G8" s="6" t="s">
        <v>18</v>
      </c>
      <c r="H8" s="8" t="s">
        <v>11</v>
      </c>
      <c r="I8" s="8" t="s">
        <v>59</v>
      </c>
      <c r="J8" s="8">
        <v>5</v>
      </c>
      <c r="K8" s="8">
        <v>1</v>
      </c>
      <c r="L8" s="9">
        <v>1000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96</v>
      </c>
      <c r="AC8" s="9">
        <v>13200</v>
      </c>
      <c r="AD8" s="9">
        <v>6000</v>
      </c>
      <c r="AE8" s="8">
        <v>12</v>
      </c>
      <c r="AF8" s="9">
        <v>4800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49</v>
      </c>
      <c r="AP8" s="9">
        <v>9800</v>
      </c>
      <c r="AQ8" s="8">
        <v>0</v>
      </c>
      <c r="AR8" s="8">
        <v>0</v>
      </c>
      <c r="AS8" s="8">
        <v>0</v>
      </c>
      <c r="AT8" s="8">
        <v>0</v>
      </c>
      <c r="AU8" s="10">
        <v>34800</v>
      </c>
      <c r="AV8" s="16">
        <f t="shared" si="0"/>
        <v>34800</v>
      </c>
      <c r="AW8" s="16">
        <f t="shared" si="1"/>
        <v>24360</v>
      </c>
    </row>
    <row r="9" spans="1:49" ht="21.6" customHeight="1" x14ac:dyDescent="0.4">
      <c r="A9" s="4" t="s">
        <v>65</v>
      </c>
      <c r="B9" s="6" t="s">
        <v>9</v>
      </c>
      <c r="C9" s="6">
        <v>351846</v>
      </c>
      <c r="D9" s="7"/>
      <c r="E9" s="6" t="s">
        <v>17</v>
      </c>
      <c r="F9" s="6" t="s">
        <v>10</v>
      </c>
      <c r="G9" s="6" t="s">
        <v>18</v>
      </c>
      <c r="H9" s="8" t="s">
        <v>11</v>
      </c>
      <c r="I9" s="8" t="s">
        <v>12</v>
      </c>
      <c r="J9" s="8">
        <v>0</v>
      </c>
      <c r="K9" s="8">
        <v>4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200</v>
      </c>
      <c r="AC9" s="9">
        <v>19000</v>
      </c>
      <c r="AD9" s="9">
        <v>1000</v>
      </c>
      <c r="AE9" s="8">
        <v>0</v>
      </c>
      <c r="AF9" s="8">
        <v>0</v>
      </c>
      <c r="AG9" s="8">
        <v>0</v>
      </c>
      <c r="AH9" s="8">
        <v>80</v>
      </c>
      <c r="AI9" s="9">
        <v>9532</v>
      </c>
      <c r="AJ9" s="8">
        <v>0</v>
      </c>
      <c r="AK9" s="8">
        <v>1</v>
      </c>
      <c r="AL9" s="8">
        <v>238</v>
      </c>
      <c r="AM9" s="8">
        <v>0</v>
      </c>
      <c r="AN9" s="11">
        <v>2931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10">
        <v>29770</v>
      </c>
      <c r="AV9" s="16">
        <f t="shared" si="0"/>
        <v>26839</v>
      </c>
      <c r="AW9" s="16">
        <f t="shared" si="1"/>
        <v>18787.3</v>
      </c>
    </row>
    <row r="10" spans="1:49" ht="21.6" customHeight="1" x14ac:dyDescent="0.4">
      <c r="A10" s="4" t="s">
        <v>65</v>
      </c>
      <c r="B10" s="6" t="s">
        <v>21</v>
      </c>
      <c r="C10" s="6">
        <v>403837</v>
      </c>
      <c r="D10" s="7"/>
      <c r="E10" s="6" t="s">
        <v>17</v>
      </c>
      <c r="F10" s="6" t="s">
        <v>22</v>
      </c>
      <c r="G10" s="6" t="s">
        <v>18</v>
      </c>
      <c r="H10" s="8" t="s">
        <v>11</v>
      </c>
      <c r="I10" s="8" t="s">
        <v>20</v>
      </c>
      <c r="J10" s="8">
        <v>0</v>
      </c>
      <c r="K10" s="8">
        <v>12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82</v>
      </c>
      <c r="AC10" s="9">
        <v>9400</v>
      </c>
      <c r="AD10" s="9">
        <v>7000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56</v>
      </c>
      <c r="AP10" s="9">
        <v>10300</v>
      </c>
      <c r="AQ10" s="8">
        <v>900</v>
      </c>
      <c r="AR10" s="8">
        <v>0</v>
      </c>
      <c r="AS10" s="8">
        <v>0</v>
      </c>
      <c r="AT10" s="8">
        <v>0</v>
      </c>
      <c r="AU10" s="10">
        <v>27600</v>
      </c>
      <c r="AV10" s="16">
        <f t="shared" si="0"/>
        <v>27600</v>
      </c>
      <c r="AW10" s="16">
        <f t="shared" si="1"/>
        <v>19320</v>
      </c>
    </row>
    <row r="11" spans="1:49" ht="21.6" customHeight="1" x14ac:dyDescent="0.4">
      <c r="A11" s="4" t="s">
        <v>65</v>
      </c>
      <c r="B11" s="6" t="s">
        <v>54</v>
      </c>
      <c r="C11" s="6">
        <v>448747</v>
      </c>
      <c r="D11" s="7"/>
      <c r="E11" s="6" t="s">
        <v>17</v>
      </c>
      <c r="F11" s="6" t="s">
        <v>55</v>
      </c>
      <c r="G11" s="6" t="s">
        <v>18</v>
      </c>
      <c r="H11" s="8" t="s">
        <v>11</v>
      </c>
      <c r="I11" s="8" t="s">
        <v>56</v>
      </c>
      <c r="J11" s="8">
        <v>0</v>
      </c>
      <c r="K11" s="8">
        <v>4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61</v>
      </c>
      <c r="AC11" s="8">
        <v>0</v>
      </c>
      <c r="AD11" s="9">
        <v>12200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10">
        <v>12200</v>
      </c>
      <c r="AV11" s="16">
        <f t="shared" si="0"/>
        <v>12200</v>
      </c>
      <c r="AW11" s="16">
        <f t="shared" si="1"/>
        <v>8540</v>
      </c>
    </row>
    <row r="12" spans="1:49" ht="21.6" customHeight="1" x14ac:dyDescent="0.4">
      <c r="A12" s="4" t="s">
        <v>65</v>
      </c>
      <c r="B12" s="6" t="s">
        <v>27</v>
      </c>
      <c r="C12" s="6">
        <v>419155</v>
      </c>
      <c r="D12" s="7"/>
      <c r="E12" s="6" t="s">
        <v>17</v>
      </c>
      <c r="F12" s="6" t="s">
        <v>28</v>
      </c>
      <c r="G12" s="6" t="s">
        <v>18</v>
      </c>
      <c r="H12" s="8" t="s">
        <v>11</v>
      </c>
      <c r="I12" s="8" t="s">
        <v>50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27</v>
      </c>
      <c r="AC12" s="9">
        <v>5700</v>
      </c>
      <c r="AD12" s="9">
        <v>2400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3</v>
      </c>
      <c r="AS12" s="9">
        <v>1500</v>
      </c>
      <c r="AT12" s="8">
        <v>0</v>
      </c>
      <c r="AU12" s="10">
        <v>9600</v>
      </c>
      <c r="AV12" s="16">
        <f t="shared" si="0"/>
        <v>9600</v>
      </c>
      <c r="AW12" s="16">
        <f t="shared" si="1"/>
        <v>6720</v>
      </c>
    </row>
    <row r="13" spans="1:49" ht="21.6" customHeight="1" x14ac:dyDescent="0.4">
      <c r="A13" s="4" t="s">
        <v>65</v>
      </c>
      <c r="B13" s="6" t="s">
        <v>24</v>
      </c>
      <c r="C13" s="6">
        <v>405596</v>
      </c>
      <c r="D13" s="7"/>
      <c r="E13" s="6" t="s">
        <v>17</v>
      </c>
      <c r="F13" s="6" t="s">
        <v>25</v>
      </c>
      <c r="G13" s="6" t="s">
        <v>18</v>
      </c>
      <c r="H13" s="8" t="s">
        <v>11</v>
      </c>
      <c r="I13" s="8" t="s">
        <v>29</v>
      </c>
      <c r="J13" s="8">
        <v>0</v>
      </c>
      <c r="K13" s="9">
        <v>1417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11</v>
      </c>
      <c r="AC13" s="8">
        <v>0</v>
      </c>
      <c r="AD13" s="9">
        <v>1100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10">
        <v>1100</v>
      </c>
      <c r="AV13" s="16">
        <f t="shared" si="0"/>
        <v>1100</v>
      </c>
      <c r="AW13" s="16">
        <f t="shared" si="1"/>
        <v>770</v>
      </c>
    </row>
    <row r="14" spans="1:49" ht="21.6" customHeight="1" x14ac:dyDescent="0.4">
      <c r="A14" s="4" t="s">
        <v>65</v>
      </c>
      <c r="B14" s="6" t="s">
        <v>62</v>
      </c>
      <c r="C14" s="6">
        <v>414835</v>
      </c>
      <c r="D14" s="7"/>
      <c r="E14" s="6" t="s">
        <v>17</v>
      </c>
      <c r="F14" s="6" t="s">
        <v>63</v>
      </c>
      <c r="G14" s="6" t="s">
        <v>18</v>
      </c>
      <c r="H14" s="8" t="s">
        <v>11</v>
      </c>
      <c r="I14" s="8" t="s">
        <v>64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1</v>
      </c>
      <c r="AC14" s="8">
        <v>100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19">
        <v>100</v>
      </c>
      <c r="AV14" s="16">
        <f t="shared" si="0"/>
        <v>100</v>
      </c>
      <c r="AW14" s="16">
        <f t="shared" si="1"/>
        <v>70</v>
      </c>
    </row>
    <row r="15" spans="1:49" ht="21.6" customHeight="1" x14ac:dyDescent="0.4">
      <c r="A15" s="4" t="s">
        <v>66</v>
      </c>
      <c r="B15" s="6" t="s">
        <v>52</v>
      </c>
      <c r="C15" s="6">
        <v>435954</v>
      </c>
      <c r="D15" s="7"/>
      <c r="E15" s="6" t="s">
        <v>17</v>
      </c>
      <c r="F15" s="6" t="s">
        <v>49</v>
      </c>
      <c r="G15" s="6" t="s">
        <v>18</v>
      </c>
      <c r="H15" s="8" t="s">
        <v>11</v>
      </c>
      <c r="I15" s="8" t="s">
        <v>59</v>
      </c>
      <c r="J15" s="8">
        <v>0</v>
      </c>
      <c r="K15" s="8">
        <v>185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253</v>
      </c>
      <c r="AC15" s="9">
        <v>37800</v>
      </c>
      <c r="AD15" s="9">
        <v>12700</v>
      </c>
      <c r="AE15" s="8">
        <v>19</v>
      </c>
      <c r="AF15" s="9">
        <v>2400</v>
      </c>
      <c r="AG15" s="9">
        <v>5200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32</v>
      </c>
      <c r="AP15" s="9">
        <v>6300</v>
      </c>
      <c r="AQ15" s="8">
        <v>0</v>
      </c>
      <c r="AR15" s="8">
        <v>0</v>
      </c>
      <c r="AS15" s="8">
        <v>0</v>
      </c>
      <c r="AT15" s="8">
        <v>0</v>
      </c>
      <c r="AU15" s="10">
        <v>64400</v>
      </c>
      <c r="AV15" s="16">
        <f t="shared" si="0"/>
        <v>64400</v>
      </c>
      <c r="AW15" s="16">
        <f t="shared" si="1"/>
        <v>45080</v>
      </c>
    </row>
    <row r="16" spans="1:49" ht="21.6" customHeight="1" x14ac:dyDescent="0.4">
      <c r="A16" s="4" t="s">
        <v>66</v>
      </c>
      <c r="B16" s="6" t="s">
        <v>53</v>
      </c>
      <c r="C16" s="6">
        <v>434897</v>
      </c>
      <c r="D16" s="7"/>
      <c r="E16" s="6" t="s">
        <v>17</v>
      </c>
      <c r="F16" s="6" t="s">
        <v>48</v>
      </c>
      <c r="G16" s="6" t="s">
        <v>18</v>
      </c>
      <c r="H16" s="8" t="s">
        <v>13</v>
      </c>
      <c r="I16" s="8" t="s">
        <v>60</v>
      </c>
      <c r="J16" s="8">
        <v>1</v>
      </c>
      <c r="K16" s="8">
        <v>100</v>
      </c>
      <c r="L16" s="8">
        <v>200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121</v>
      </c>
      <c r="AC16" s="9">
        <v>17700</v>
      </c>
      <c r="AD16" s="9">
        <v>6500</v>
      </c>
      <c r="AE16" s="8">
        <v>15</v>
      </c>
      <c r="AF16" s="9">
        <v>1600</v>
      </c>
      <c r="AG16" s="9">
        <v>4400</v>
      </c>
      <c r="AH16" s="8">
        <v>1</v>
      </c>
      <c r="AI16" s="8">
        <v>0</v>
      </c>
      <c r="AJ16" s="8">
        <v>200</v>
      </c>
      <c r="AK16" s="8">
        <v>0</v>
      </c>
      <c r="AL16" s="8">
        <v>0</v>
      </c>
      <c r="AM16" s="8">
        <v>0</v>
      </c>
      <c r="AN16" s="8">
        <v>0</v>
      </c>
      <c r="AO16" s="8">
        <v>60</v>
      </c>
      <c r="AP16" s="9">
        <v>12000</v>
      </c>
      <c r="AQ16" s="8">
        <v>0</v>
      </c>
      <c r="AR16" s="8">
        <v>5</v>
      </c>
      <c r="AS16" s="9">
        <v>2000</v>
      </c>
      <c r="AT16" s="8">
        <v>0</v>
      </c>
      <c r="AU16" s="10">
        <v>44600</v>
      </c>
      <c r="AV16" s="16">
        <f t="shared" si="0"/>
        <v>44600</v>
      </c>
      <c r="AW16" s="16">
        <f t="shared" si="1"/>
        <v>31219.999999999996</v>
      </c>
    </row>
    <row r="17" spans="1:49" ht="21.6" customHeight="1" x14ac:dyDescent="0.4">
      <c r="A17" s="4" t="s">
        <v>66</v>
      </c>
      <c r="B17" s="6" t="s">
        <v>26</v>
      </c>
      <c r="C17" s="6">
        <v>412451</v>
      </c>
      <c r="D17" s="7"/>
      <c r="E17" s="6" t="s">
        <v>17</v>
      </c>
      <c r="F17" s="6" t="s">
        <v>57</v>
      </c>
      <c r="G17" s="6" t="s">
        <v>18</v>
      </c>
      <c r="H17" s="8" t="s">
        <v>13</v>
      </c>
      <c r="I17" s="8" t="s">
        <v>58</v>
      </c>
      <c r="J17" s="8">
        <v>3</v>
      </c>
      <c r="K17" s="8">
        <v>111</v>
      </c>
      <c r="L17" s="8">
        <v>600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2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33</v>
      </c>
      <c r="AC17" s="9">
        <v>3000</v>
      </c>
      <c r="AD17" s="9">
        <v>3600</v>
      </c>
      <c r="AE17" s="8">
        <v>69</v>
      </c>
      <c r="AF17" s="9">
        <v>1200</v>
      </c>
      <c r="AG17" s="9">
        <v>26400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10">
        <v>34800</v>
      </c>
      <c r="AV17" s="16">
        <f t="shared" si="0"/>
        <v>34800</v>
      </c>
      <c r="AW17" s="16">
        <f t="shared" si="1"/>
        <v>24360</v>
      </c>
    </row>
    <row r="18" spans="1:49" ht="21.6" customHeight="1" x14ac:dyDescent="0.4">
      <c r="A18" s="4" t="s">
        <v>66</v>
      </c>
      <c r="B18" s="6" t="s">
        <v>19</v>
      </c>
      <c r="C18" s="6">
        <v>380491</v>
      </c>
      <c r="D18" s="7"/>
      <c r="E18" s="6" t="s">
        <v>17</v>
      </c>
      <c r="F18" s="6" t="s">
        <v>23</v>
      </c>
      <c r="G18" s="6" t="s">
        <v>18</v>
      </c>
      <c r="H18" s="8" t="s">
        <v>11</v>
      </c>
      <c r="I18" s="8" t="s">
        <v>20</v>
      </c>
      <c r="J18" s="8">
        <v>0</v>
      </c>
      <c r="K18" s="8">
        <v>12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269</v>
      </c>
      <c r="AC18" s="9">
        <v>26300</v>
      </c>
      <c r="AD18" s="8">
        <v>600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10">
        <v>26900</v>
      </c>
      <c r="AV18" s="16">
        <f t="shared" si="0"/>
        <v>26900</v>
      </c>
      <c r="AW18" s="16">
        <f t="shared" si="1"/>
        <v>18830</v>
      </c>
    </row>
    <row r="19" spans="1:49" ht="21.6" customHeight="1" x14ac:dyDescent="0.4">
      <c r="A19" s="4" t="s">
        <v>66</v>
      </c>
      <c r="B19" s="6" t="s">
        <v>9</v>
      </c>
      <c r="C19" s="6">
        <v>351846</v>
      </c>
      <c r="D19" s="7"/>
      <c r="E19" s="6" t="s">
        <v>17</v>
      </c>
      <c r="F19" s="6" t="s">
        <v>10</v>
      </c>
      <c r="G19" s="6" t="s">
        <v>18</v>
      </c>
      <c r="H19" s="8" t="s">
        <v>11</v>
      </c>
      <c r="I19" s="8" t="s">
        <v>12</v>
      </c>
      <c r="J19" s="8">
        <v>0</v>
      </c>
      <c r="K19" s="8">
        <v>10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159</v>
      </c>
      <c r="AC19" s="9">
        <v>15900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8</v>
      </c>
      <c r="AP19" s="8">
        <v>800</v>
      </c>
      <c r="AQ19" s="8">
        <v>0</v>
      </c>
      <c r="AR19" s="8">
        <v>0</v>
      </c>
      <c r="AS19" s="8">
        <v>0</v>
      </c>
      <c r="AT19" s="8">
        <v>0</v>
      </c>
      <c r="AU19" s="10">
        <v>16700</v>
      </c>
      <c r="AV19" s="16">
        <f t="shared" si="0"/>
        <v>16700</v>
      </c>
      <c r="AW19" s="16">
        <f t="shared" si="1"/>
        <v>11690</v>
      </c>
    </row>
    <row r="20" spans="1:49" ht="21.6" customHeight="1" x14ac:dyDescent="0.4">
      <c r="A20" s="4" t="s">
        <v>66</v>
      </c>
      <c r="B20" s="6" t="s">
        <v>21</v>
      </c>
      <c r="C20" s="6">
        <v>403837</v>
      </c>
      <c r="D20" s="7"/>
      <c r="E20" s="6" t="s">
        <v>17</v>
      </c>
      <c r="F20" s="6" t="s">
        <v>22</v>
      </c>
      <c r="G20" s="6" t="s">
        <v>18</v>
      </c>
      <c r="H20" s="8" t="s">
        <v>11</v>
      </c>
      <c r="I20" s="8" t="s">
        <v>20</v>
      </c>
      <c r="J20" s="8">
        <v>0</v>
      </c>
      <c r="K20" s="8">
        <v>4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58</v>
      </c>
      <c r="AC20" s="9">
        <v>6300</v>
      </c>
      <c r="AD20" s="9">
        <v>5300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10">
        <v>11600</v>
      </c>
      <c r="AV20" s="16">
        <f t="shared" si="0"/>
        <v>11600</v>
      </c>
      <c r="AW20" s="16">
        <f t="shared" si="1"/>
        <v>8119.9999999999991</v>
      </c>
    </row>
    <row r="21" spans="1:49" ht="21.6" customHeight="1" x14ac:dyDescent="0.4">
      <c r="A21" s="4" t="s">
        <v>66</v>
      </c>
      <c r="B21" s="6" t="s">
        <v>45</v>
      </c>
      <c r="C21" s="6">
        <v>423525</v>
      </c>
      <c r="D21" s="7"/>
      <c r="E21" s="6" t="s">
        <v>17</v>
      </c>
      <c r="F21" s="6" t="s">
        <v>46</v>
      </c>
      <c r="G21" s="6" t="s">
        <v>18</v>
      </c>
      <c r="H21" s="8" t="s">
        <v>11</v>
      </c>
      <c r="I21" s="8" t="s">
        <v>61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26</v>
      </c>
      <c r="AC21" s="9">
        <v>3000</v>
      </c>
      <c r="AD21" s="9">
        <v>2200</v>
      </c>
      <c r="AE21" s="8">
        <v>7</v>
      </c>
      <c r="AF21" s="9">
        <v>2400</v>
      </c>
      <c r="AG21" s="8">
        <v>400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7</v>
      </c>
      <c r="AP21" s="9">
        <v>1400</v>
      </c>
      <c r="AQ21" s="8">
        <v>0</v>
      </c>
      <c r="AR21" s="8">
        <v>0</v>
      </c>
      <c r="AS21" s="8">
        <v>0</v>
      </c>
      <c r="AT21" s="8">
        <v>0</v>
      </c>
      <c r="AU21" s="10">
        <v>9400</v>
      </c>
      <c r="AV21" s="16">
        <f t="shared" si="0"/>
        <v>9400</v>
      </c>
      <c r="AW21" s="16">
        <f t="shared" si="1"/>
        <v>6580</v>
      </c>
    </row>
    <row r="22" spans="1:49" ht="21.6" customHeight="1" x14ac:dyDescent="0.4">
      <c r="A22" s="4" t="s">
        <v>66</v>
      </c>
      <c r="B22" s="6" t="s">
        <v>51</v>
      </c>
      <c r="C22" s="6">
        <v>432749</v>
      </c>
      <c r="D22" s="7"/>
      <c r="E22" s="6" t="s">
        <v>17</v>
      </c>
      <c r="F22" s="6" t="s">
        <v>47</v>
      </c>
      <c r="G22" s="6" t="s">
        <v>18</v>
      </c>
      <c r="H22" s="8" t="s">
        <v>11</v>
      </c>
      <c r="I22" s="8" t="s">
        <v>59</v>
      </c>
      <c r="J22" s="8">
        <v>1</v>
      </c>
      <c r="K22" s="8">
        <v>1</v>
      </c>
      <c r="L22" s="8">
        <v>200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27</v>
      </c>
      <c r="AC22" s="9">
        <v>3800</v>
      </c>
      <c r="AD22" s="9">
        <v>1600</v>
      </c>
      <c r="AE22" s="8">
        <v>4</v>
      </c>
      <c r="AF22" s="9">
        <v>1600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10">
        <v>7200</v>
      </c>
      <c r="AV22" s="16">
        <f t="shared" si="0"/>
        <v>7200</v>
      </c>
      <c r="AW22" s="16">
        <f t="shared" si="1"/>
        <v>5040</v>
      </c>
    </row>
    <row r="23" spans="1:49" ht="21.6" customHeight="1" x14ac:dyDescent="0.4">
      <c r="A23" s="4" t="s">
        <v>66</v>
      </c>
      <c r="B23" s="6" t="s">
        <v>54</v>
      </c>
      <c r="C23" s="6">
        <v>448747</v>
      </c>
      <c r="D23" s="7"/>
      <c r="E23" s="6" t="s">
        <v>17</v>
      </c>
      <c r="F23" s="6" t="s">
        <v>55</v>
      </c>
      <c r="G23" s="6" t="s">
        <v>18</v>
      </c>
      <c r="H23" s="8" t="s">
        <v>11</v>
      </c>
      <c r="I23" s="8" t="s">
        <v>56</v>
      </c>
      <c r="J23" s="8">
        <v>0</v>
      </c>
      <c r="K23" s="8">
        <v>11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1</v>
      </c>
      <c r="AC23" s="8">
        <v>0</v>
      </c>
      <c r="AD23" s="8">
        <v>200</v>
      </c>
      <c r="AE23" s="8">
        <v>9</v>
      </c>
      <c r="AF23" s="8">
        <v>0</v>
      </c>
      <c r="AG23" s="9">
        <v>3600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10">
        <v>3800</v>
      </c>
      <c r="AV23" s="16">
        <f t="shared" si="0"/>
        <v>3800</v>
      </c>
      <c r="AW23" s="16">
        <f t="shared" si="1"/>
        <v>2660</v>
      </c>
    </row>
    <row r="24" spans="1:49" ht="21.6" customHeight="1" x14ac:dyDescent="0.4">
      <c r="A24" s="4" t="s">
        <v>66</v>
      </c>
      <c r="B24" s="6" t="s">
        <v>27</v>
      </c>
      <c r="C24" s="6">
        <v>419155</v>
      </c>
      <c r="D24" s="7"/>
      <c r="E24" s="6" t="s">
        <v>17</v>
      </c>
      <c r="F24" s="6" t="s">
        <v>28</v>
      </c>
      <c r="G24" s="6" t="s">
        <v>18</v>
      </c>
      <c r="H24" s="8" t="s">
        <v>11</v>
      </c>
      <c r="I24" s="8" t="s">
        <v>50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2</v>
      </c>
      <c r="AC24" s="8">
        <v>600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19">
        <v>600</v>
      </c>
      <c r="AV24" s="16">
        <f t="shared" si="0"/>
        <v>600</v>
      </c>
      <c r="AW24" s="16">
        <f t="shared" si="1"/>
        <v>420</v>
      </c>
    </row>
    <row r="25" spans="1:49" ht="21.6" customHeight="1" x14ac:dyDescent="0.4">
      <c r="A25" s="4" t="s">
        <v>66</v>
      </c>
      <c r="B25" s="6" t="s">
        <v>14</v>
      </c>
      <c r="C25" s="6">
        <v>383201</v>
      </c>
      <c r="D25" s="7"/>
      <c r="E25" s="6" t="s">
        <v>17</v>
      </c>
      <c r="F25" s="6" t="s">
        <v>15</v>
      </c>
      <c r="G25" s="6" t="s">
        <v>18</v>
      </c>
      <c r="H25" s="8" t="s">
        <v>11</v>
      </c>
      <c r="I25" s="8" t="s">
        <v>16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2</v>
      </c>
      <c r="AC25" s="8">
        <v>400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19">
        <v>400</v>
      </c>
      <c r="AV25" s="16">
        <f t="shared" si="0"/>
        <v>400</v>
      </c>
      <c r="AW25" s="16">
        <f t="shared" si="1"/>
        <v>280</v>
      </c>
    </row>
    <row r="26" spans="1:49" ht="21.6" customHeight="1" x14ac:dyDescent="0.4">
      <c r="A26" s="4" t="s">
        <v>66</v>
      </c>
      <c r="B26" s="6" t="s">
        <v>24</v>
      </c>
      <c r="C26" s="6">
        <v>405596</v>
      </c>
      <c r="D26" s="7"/>
      <c r="E26" s="6" t="s">
        <v>17</v>
      </c>
      <c r="F26" s="6" t="s">
        <v>25</v>
      </c>
      <c r="G26" s="6" t="s">
        <v>18</v>
      </c>
      <c r="H26" s="8" t="s">
        <v>11</v>
      </c>
      <c r="I26" s="8" t="s">
        <v>29</v>
      </c>
      <c r="J26" s="8">
        <v>0</v>
      </c>
      <c r="K26" s="8">
        <v>638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2</v>
      </c>
      <c r="AC26" s="8">
        <v>0</v>
      </c>
      <c r="AD26" s="8">
        <v>200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19">
        <v>200</v>
      </c>
      <c r="AV26" s="16">
        <f t="shared" si="0"/>
        <v>200</v>
      </c>
      <c r="AW26" s="16">
        <f t="shared" si="1"/>
        <v>140</v>
      </c>
    </row>
    <row r="27" spans="1:49" ht="21.6" customHeight="1" x14ac:dyDescent="0.4">
      <c r="A27" s="4" t="s">
        <v>67</v>
      </c>
      <c r="B27" s="6" t="s">
        <v>52</v>
      </c>
      <c r="C27" s="6">
        <v>435954</v>
      </c>
      <c r="D27" s="7"/>
      <c r="E27" s="6" t="s">
        <v>17</v>
      </c>
      <c r="F27" s="6" t="s">
        <v>49</v>
      </c>
      <c r="G27" s="6" t="s">
        <v>18</v>
      </c>
      <c r="H27" s="8" t="s">
        <v>11</v>
      </c>
      <c r="I27" s="8" t="s">
        <v>59</v>
      </c>
      <c r="J27" s="8">
        <v>0</v>
      </c>
      <c r="K27" s="8">
        <v>93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7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318</v>
      </c>
      <c r="AC27" s="9">
        <v>58500</v>
      </c>
      <c r="AD27" s="9">
        <v>4800</v>
      </c>
      <c r="AE27" s="8">
        <v>77</v>
      </c>
      <c r="AF27" s="9">
        <v>21400</v>
      </c>
      <c r="AG27" s="9">
        <v>9200</v>
      </c>
      <c r="AH27" s="8">
        <v>386</v>
      </c>
      <c r="AI27" s="9">
        <v>48486</v>
      </c>
      <c r="AJ27" s="9">
        <v>36500</v>
      </c>
      <c r="AK27" s="8">
        <v>10</v>
      </c>
      <c r="AL27" s="9">
        <v>2208</v>
      </c>
      <c r="AM27" s="9">
        <v>2200</v>
      </c>
      <c r="AN27" s="11">
        <v>15208.2</v>
      </c>
      <c r="AO27" s="8">
        <v>13</v>
      </c>
      <c r="AP27" s="9">
        <v>2600</v>
      </c>
      <c r="AQ27" s="8">
        <v>0</v>
      </c>
      <c r="AR27" s="8">
        <v>4</v>
      </c>
      <c r="AS27" s="9">
        <v>1600</v>
      </c>
      <c r="AT27" s="8">
        <v>0</v>
      </c>
      <c r="AU27" s="10">
        <v>187494</v>
      </c>
      <c r="AV27" s="16">
        <f t="shared" si="0"/>
        <v>172285.8</v>
      </c>
      <c r="AW27" s="16">
        <f t="shared" si="1"/>
        <v>120600.05999999998</v>
      </c>
    </row>
    <row r="28" spans="1:49" ht="21.6" customHeight="1" x14ac:dyDescent="0.4">
      <c r="A28" s="4" t="s">
        <v>67</v>
      </c>
      <c r="B28" s="6" t="s">
        <v>9</v>
      </c>
      <c r="C28" s="6">
        <v>351846</v>
      </c>
      <c r="D28" s="7"/>
      <c r="E28" s="6" t="s">
        <v>17</v>
      </c>
      <c r="F28" s="6" t="s">
        <v>10</v>
      </c>
      <c r="G28" s="6" t="s">
        <v>18</v>
      </c>
      <c r="H28" s="8" t="s">
        <v>11</v>
      </c>
      <c r="I28" s="8" t="s">
        <v>12</v>
      </c>
      <c r="J28" s="8">
        <v>0</v>
      </c>
      <c r="K28" s="8">
        <v>34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163</v>
      </c>
      <c r="AC28" s="9">
        <v>16300</v>
      </c>
      <c r="AD28" s="8">
        <v>0</v>
      </c>
      <c r="AE28" s="8">
        <v>0</v>
      </c>
      <c r="AF28" s="8">
        <v>0</v>
      </c>
      <c r="AG28" s="8">
        <v>0</v>
      </c>
      <c r="AH28" s="8">
        <v>323</v>
      </c>
      <c r="AI28" s="9">
        <v>38160</v>
      </c>
      <c r="AJ28" s="8">
        <v>500</v>
      </c>
      <c r="AK28" s="8">
        <v>1</v>
      </c>
      <c r="AL28" s="8">
        <v>240</v>
      </c>
      <c r="AM28" s="8">
        <v>0</v>
      </c>
      <c r="AN28" s="11">
        <v>11520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10">
        <v>55200</v>
      </c>
      <c r="AV28" s="16">
        <f t="shared" si="0"/>
        <v>43680</v>
      </c>
      <c r="AW28" s="16">
        <f t="shared" si="1"/>
        <v>30575.999999999996</v>
      </c>
    </row>
    <row r="29" spans="1:49" ht="21.6" customHeight="1" x14ac:dyDescent="0.4">
      <c r="A29" s="4" t="s">
        <v>67</v>
      </c>
      <c r="B29" s="6" t="s">
        <v>21</v>
      </c>
      <c r="C29" s="6">
        <v>403837</v>
      </c>
      <c r="D29" s="7"/>
      <c r="E29" s="6" t="s">
        <v>17</v>
      </c>
      <c r="F29" s="6" t="s">
        <v>22</v>
      </c>
      <c r="G29" s="6" t="s">
        <v>18</v>
      </c>
      <c r="H29" s="8" t="s">
        <v>11</v>
      </c>
      <c r="I29" s="8" t="s">
        <v>20</v>
      </c>
      <c r="J29" s="8">
        <v>0</v>
      </c>
      <c r="K29" s="8">
        <v>13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123</v>
      </c>
      <c r="AC29" s="9">
        <v>24600</v>
      </c>
      <c r="AD29" s="8">
        <v>0</v>
      </c>
      <c r="AE29" s="8">
        <v>0</v>
      </c>
      <c r="AF29" s="8">
        <v>0</v>
      </c>
      <c r="AG29" s="8">
        <v>0</v>
      </c>
      <c r="AH29" s="8">
        <v>24</v>
      </c>
      <c r="AI29" s="9">
        <v>1320</v>
      </c>
      <c r="AJ29" s="9">
        <v>3500</v>
      </c>
      <c r="AK29" s="8">
        <v>0</v>
      </c>
      <c r="AL29" s="8">
        <v>0</v>
      </c>
      <c r="AM29" s="8">
        <v>0</v>
      </c>
      <c r="AN29" s="8">
        <v>396</v>
      </c>
      <c r="AO29" s="8">
        <v>49</v>
      </c>
      <c r="AP29" s="9">
        <v>9600</v>
      </c>
      <c r="AQ29" s="8">
        <v>0</v>
      </c>
      <c r="AR29" s="8">
        <v>0</v>
      </c>
      <c r="AS29" s="8">
        <v>0</v>
      </c>
      <c r="AT29" s="8">
        <v>0</v>
      </c>
      <c r="AU29" s="10">
        <v>39020</v>
      </c>
      <c r="AV29" s="16">
        <f t="shared" ref="AV29:AV31" si="2">AU29-AN29</f>
        <v>38624</v>
      </c>
      <c r="AW29" s="16">
        <f t="shared" ref="AW29:AW31" si="3">AV29*70%</f>
        <v>27036.799999999999</v>
      </c>
    </row>
    <row r="30" spans="1:49" ht="21.6" customHeight="1" x14ac:dyDescent="0.4">
      <c r="A30" s="4" t="s">
        <v>67</v>
      </c>
      <c r="B30" s="6" t="s">
        <v>53</v>
      </c>
      <c r="C30" s="6">
        <v>434897</v>
      </c>
      <c r="D30" s="7"/>
      <c r="E30" s="6" t="s">
        <v>17</v>
      </c>
      <c r="F30" s="6" t="s">
        <v>48</v>
      </c>
      <c r="G30" s="6" t="s">
        <v>18</v>
      </c>
      <c r="H30" s="8" t="s">
        <v>13</v>
      </c>
      <c r="I30" s="8" t="s">
        <v>60</v>
      </c>
      <c r="J30" s="8">
        <v>2</v>
      </c>
      <c r="K30" s="8">
        <v>28</v>
      </c>
      <c r="L30" s="8">
        <v>400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49</v>
      </c>
      <c r="AC30" s="9">
        <v>6800</v>
      </c>
      <c r="AD30" s="9">
        <v>2900</v>
      </c>
      <c r="AE30" s="8">
        <v>0</v>
      </c>
      <c r="AF30" s="8">
        <v>0</v>
      </c>
      <c r="AG30" s="8">
        <v>0</v>
      </c>
      <c r="AH30" s="8">
        <v>94</v>
      </c>
      <c r="AI30" s="9">
        <v>15997</v>
      </c>
      <c r="AJ30" s="9">
        <v>5200</v>
      </c>
      <c r="AK30" s="8">
        <v>2</v>
      </c>
      <c r="AL30" s="8">
        <v>960</v>
      </c>
      <c r="AM30" s="8">
        <v>0</v>
      </c>
      <c r="AN30" s="11">
        <v>5087.1000000000004</v>
      </c>
      <c r="AO30" s="8">
        <v>4</v>
      </c>
      <c r="AP30" s="8">
        <v>800</v>
      </c>
      <c r="AQ30" s="8">
        <v>0</v>
      </c>
      <c r="AR30" s="8">
        <v>6</v>
      </c>
      <c r="AS30" s="9">
        <v>2400</v>
      </c>
      <c r="AT30" s="8">
        <v>0</v>
      </c>
      <c r="AU30" s="10">
        <v>35457</v>
      </c>
      <c r="AV30" s="16">
        <f t="shared" si="2"/>
        <v>30369.9</v>
      </c>
      <c r="AW30" s="16">
        <f t="shared" si="3"/>
        <v>21258.93</v>
      </c>
    </row>
    <row r="31" spans="1:49" ht="21.6" customHeight="1" x14ac:dyDescent="0.4">
      <c r="A31" s="4" t="s">
        <v>67</v>
      </c>
      <c r="B31" s="6" t="s">
        <v>54</v>
      </c>
      <c r="C31" s="6">
        <v>448747</v>
      </c>
      <c r="D31" s="7"/>
      <c r="E31" s="6" t="s">
        <v>17</v>
      </c>
      <c r="F31" s="6" t="s">
        <v>55</v>
      </c>
      <c r="G31" s="6" t="s">
        <v>18</v>
      </c>
      <c r="H31" s="8" t="s">
        <v>11</v>
      </c>
      <c r="I31" s="8" t="s">
        <v>56</v>
      </c>
      <c r="J31" s="8">
        <v>0</v>
      </c>
      <c r="K31" s="8">
        <v>4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5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45</v>
      </c>
      <c r="AC31" s="9">
        <v>9000</v>
      </c>
      <c r="AD31" s="8">
        <v>0</v>
      </c>
      <c r="AE31" s="8">
        <v>48</v>
      </c>
      <c r="AF31" s="9">
        <v>19200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10">
        <v>28200</v>
      </c>
      <c r="AV31" s="16">
        <f t="shared" si="2"/>
        <v>28200</v>
      </c>
      <c r="AW31" s="16">
        <f t="shared" si="3"/>
        <v>19740</v>
      </c>
    </row>
    <row r="32" spans="1:49" ht="21.6" customHeight="1" x14ac:dyDescent="0.4">
      <c r="A32" s="4" t="s">
        <v>67</v>
      </c>
      <c r="B32" s="6" t="s">
        <v>51</v>
      </c>
      <c r="C32" s="6">
        <v>432749</v>
      </c>
      <c r="D32" s="7"/>
      <c r="E32" s="6" t="s">
        <v>17</v>
      </c>
      <c r="F32" s="6" t="s">
        <v>47</v>
      </c>
      <c r="G32" s="6" t="s">
        <v>18</v>
      </c>
      <c r="H32" s="8" t="s">
        <v>11</v>
      </c>
      <c r="I32" s="8" t="s">
        <v>59</v>
      </c>
      <c r="J32" s="8">
        <v>0</v>
      </c>
      <c r="K32" s="8">
        <v>3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7</v>
      </c>
      <c r="AC32" s="9">
        <v>1200</v>
      </c>
      <c r="AD32" s="8">
        <v>200</v>
      </c>
      <c r="AE32" s="8">
        <v>4</v>
      </c>
      <c r="AF32" s="9">
        <v>1600</v>
      </c>
      <c r="AG32" s="8">
        <v>0</v>
      </c>
      <c r="AH32" s="8">
        <v>78</v>
      </c>
      <c r="AI32" s="9">
        <v>15360</v>
      </c>
      <c r="AJ32" s="9">
        <v>2800</v>
      </c>
      <c r="AK32" s="8">
        <v>0</v>
      </c>
      <c r="AL32" s="8">
        <v>0</v>
      </c>
      <c r="AM32" s="8">
        <v>0</v>
      </c>
      <c r="AN32" s="11">
        <v>4608</v>
      </c>
      <c r="AO32" s="8">
        <v>10</v>
      </c>
      <c r="AP32" s="9">
        <v>2000</v>
      </c>
      <c r="AQ32" s="8">
        <v>0</v>
      </c>
      <c r="AR32" s="8">
        <v>0</v>
      </c>
      <c r="AS32" s="8">
        <v>0</v>
      </c>
      <c r="AT32" s="8">
        <v>0</v>
      </c>
      <c r="AU32" s="10">
        <v>23160</v>
      </c>
      <c r="AV32" s="16">
        <f t="shared" ref="AV32:AV33" si="4">AU32-AN32</f>
        <v>18552</v>
      </c>
      <c r="AW32" s="16">
        <f t="shared" ref="AW32:AW33" si="5">AV32*70%</f>
        <v>12986.4</v>
      </c>
    </row>
    <row r="33" spans="1:49" ht="21.6" customHeight="1" x14ac:dyDescent="0.4">
      <c r="A33" s="4" t="s">
        <v>67</v>
      </c>
      <c r="B33" s="6" t="s">
        <v>19</v>
      </c>
      <c r="C33" s="6">
        <v>380491</v>
      </c>
      <c r="D33" s="7"/>
      <c r="E33" s="6" t="s">
        <v>17</v>
      </c>
      <c r="F33" s="6" t="s">
        <v>23</v>
      </c>
      <c r="G33" s="6" t="s">
        <v>18</v>
      </c>
      <c r="H33" s="8" t="s">
        <v>11</v>
      </c>
      <c r="I33" s="8" t="s">
        <v>20</v>
      </c>
      <c r="J33" s="8">
        <v>0</v>
      </c>
      <c r="K33" s="8">
        <v>14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110</v>
      </c>
      <c r="AC33" s="9">
        <v>10800</v>
      </c>
      <c r="AD33" s="8">
        <v>200</v>
      </c>
      <c r="AE33" s="8">
        <v>0</v>
      </c>
      <c r="AF33" s="8">
        <v>0</v>
      </c>
      <c r="AG33" s="8">
        <v>0</v>
      </c>
      <c r="AH33" s="8">
        <v>84</v>
      </c>
      <c r="AI33" s="9">
        <v>5386</v>
      </c>
      <c r="AJ33" s="9">
        <v>3900</v>
      </c>
      <c r="AK33" s="8">
        <v>0</v>
      </c>
      <c r="AL33" s="8">
        <v>0</v>
      </c>
      <c r="AM33" s="8">
        <v>0</v>
      </c>
      <c r="AN33" s="11">
        <v>1615.8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10">
        <v>20286</v>
      </c>
      <c r="AV33" s="16">
        <f t="shared" si="4"/>
        <v>18670.2</v>
      </c>
      <c r="AW33" s="16">
        <f t="shared" si="5"/>
        <v>13069.14</v>
      </c>
    </row>
    <row r="34" spans="1:49" ht="21.6" customHeight="1" x14ac:dyDescent="0.4">
      <c r="A34" s="4" t="s">
        <v>67</v>
      </c>
      <c r="B34" s="6" t="s">
        <v>14</v>
      </c>
      <c r="C34" s="6">
        <v>383201</v>
      </c>
      <c r="D34" s="7"/>
      <c r="E34" s="6" t="s">
        <v>17</v>
      </c>
      <c r="F34" s="6" t="s">
        <v>15</v>
      </c>
      <c r="G34" s="6" t="s">
        <v>18</v>
      </c>
      <c r="H34" s="8" t="s">
        <v>11</v>
      </c>
      <c r="I34" s="8" t="s">
        <v>16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23</v>
      </c>
      <c r="AC34" s="9">
        <v>4200</v>
      </c>
      <c r="AD34" s="8">
        <v>300</v>
      </c>
      <c r="AE34" s="8">
        <v>0</v>
      </c>
      <c r="AF34" s="8">
        <v>0</v>
      </c>
      <c r="AG34" s="8">
        <v>0</v>
      </c>
      <c r="AH34" s="8">
        <v>59</v>
      </c>
      <c r="AI34" s="9">
        <v>8040</v>
      </c>
      <c r="AJ34" s="9">
        <v>5000</v>
      </c>
      <c r="AK34" s="8">
        <v>0</v>
      </c>
      <c r="AL34" s="8">
        <v>0</v>
      </c>
      <c r="AM34" s="8">
        <v>0</v>
      </c>
      <c r="AN34" s="11">
        <v>2412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10">
        <v>17540</v>
      </c>
      <c r="AV34" s="16">
        <f t="shared" ref="AV34:AV35" si="6">AU34-AN34</f>
        <v>15128</v>
      </c>
      <c r="AW34" s="16">
        <f t="shared" ref="AW34:AW35" si="7">AV34*70%</f>
        <v>10589.599999999999</v>
      </c>
    </row>
    <row r="35" spans="1:49" ht="21.6" customHeight="1" x14ac:dyDescent="0.4">
      <c r="A35" s="4" t="s">
        <v>67</v>
      </c>
      <c r="B35" s="6" t="s">
        <v>26</v>
      </c>
      <c r="C35" s="6">
        <v>412451</v>
      </c>
      <c r="D35" s="7"/>
      <c r="E35" s="6" t="s">
        <v>17</v>
      </c>
      <c r="F35" s="6" t="s">
        <v>57</v>
      </c>
      <c r="G35" s="6" t="s">
        <v>18</v>
      </c>
      <c r="H35" s="8" t="s">
        <v>13</v>
      </c>
      <c r="I35" s="8" t="s">
        <v>58</v>
      </c>
      <c r="J35" s="8">
        <v>0</v>
      </c>
      <c r="K35" s="8">
        <v>19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8</v>
      </c>
      <c r="AC35" s="9">
        <v>1400</v>
      </c>
      <c r="AD35" s="8">
        <v>200</v>
      </c>
      <c r="AE35" s="8">
        <v>0</v>
      </c>
      <c r="AF35" s="8">
        <v>0</v>
      </c>
      <c r="AG35" s="8">
        <v>0</v>
      </c>
      <c r="AH35" s="8">
        <v>48</v>
      </c>
      <c r="AI35" s="9">
        <v>2640</v>
      </c>
      <c r="AJ35" s="9">
        <v>7400</v>
      </c>
      <c r="AK35" s="8">
        <v>0</v>
      </c>
      <c r="AL35" s="8">
        <v>0</v>
      </c>
      <c r="AM35" s="8">
        <v>0</v>
      </c>
      <c r="AN35" s="8">
        <v>792</v>
      </c>
      <c r="AO35" s="8">
        <v>1</v>
      </c>
      <c r="AP35" s="8">
        <v>200</v>
      </c>
      <c r="AQ35" s="8">
        <v>0</v>
      </c>
      <c r="AR35" s="8">
        <v>0</v>
      </c>
      <c r="AS35" s="8">
        <v>0</v>
      </c>
      <c r="AT35" s="8">
        <v>0</v>
      </c>
      <c r="AU35" s="10">
        <v>11840</v>
      </c>
      <c r="AV35" s="16">
        <f t="shared" si="6"/>
        <v>11048</v>
      </c>
      <c r="AW35" s="16">
        <f t="shared" si="7"/>
        <v>7733.5999999999995</v>
      </c>
    </row>
    <row r="36" spans="1:49" ht="19.8" customHeight="1" x14ac:dyDescent="0.4">
      <c r="A36" s="4" t="s">
        <v>67</v>
      </c>
      <c r="B36" s="6" t="s">
        <v>45</v>
      </c>
      <c r="C36" s="6">
        <v>423525</v>
      </c>
      <c r="D36" s="7"/>
      <c r="E36" s="6" t="s">
        <v>17</v>
      </c>
      <c r="F36" s="6" t="s">
        <v>46</v>
      </c>
      <c r="G36" s="6" t="s">
        <v>18</v>
      </c>
      <c r="H36" s="8" t="s">
        <v>11</v>
      </c>
      <c r="I36" s="8" t="s">
        <v>61</v>
      </c>
      <c r="J36" s="8">
        <v>0</v>
      </c>
      <c r="K36" s="8">
        <v>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28</v>
      </c>
      <c r="AC36" s="9">
        <v>5200</v>
      </c>
      <c r="AD36" s="8">
        <v>400</v>
      </c>
      <c r="AE36" s="8">
        <v>0</v>
      </c>
      <c r="AF36" s="8">
        <v>0</v>
      </c>
      <c r="AG36" s="8">
        <v>0</v>
      </c>
      <c r="AH36" s="8">
        <v>28</v>
      </c>
      <c r="AI36" s="9">
        <v>2640</v>
      </c>
      <c r="AJ36" s="9">
        <v>3400</v>
      </c>
      <c r="AK36" s="8">
        <v>0</v>
      </c>
      <c r="AL36" s="8">
        <v>0</v>
      </c>
      <c r="AM36" s="8">
        <v>0</v>
      </c>
      <c r="AN36" s="8">
        <v>792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10">
        <v>11640</v>
      </c>
      <c r="AV36" s="16">
        <f t="shared" ref="AV36:AV42" si="8">AU36-AN36</f>
        <v>10848</v>
      </c>
      <c r="AW36" s="16">
        <f t="shared" ref="AW36:AW42" si="9">AV36*70%</f>
        <v>7593.5999999999995</v>
      </c>
    </row>
    <row r="37" spans="1:49" ht="19.8" customHeight="1" x14ac:dyDescent="0.4">
      <c r="A37" s="4" t="s">
        <v>67</v>
      </c>
      <c r="B37" s="6" t="s">
        <v>24</v>
      </c>
      <c r="C37" s="6">
        <v>405596</v>
      </c>
      <c r="D37" s="7"/>
      <c r="E37" s="6" t="s">
        <v>17</v>
      </c>
      <c r="F37" s="6" t="s">
        <v>25</v>
      </c>
      <c r="G37" s="6" t="s">
        <v>18</v>
      </c>
      <c r="H37" s="8" t="s">
        <v>11</v>
      </c>
      <c r="I37" s="8" t="s">
        <v>29</v>
      </c>
      <c r="J37" s="8">
        <v>0</v>
      </c>
      <c r="K37" s="8">
        <v>535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1</v>
      </c>
      <c r="AC37" s="8">
        <v>100</v>
      </c>
      <c r="AD37" s="8">
        <v>0</v>
      </c>
      <c r="AE37" s="8">
        <v>0</v>
      </c>
      <c r="AF37" s="8">
        <v>0</v>
      </c>
      <c r="AG37" s="8">
        <v>0</v>
      </c>
      <c r="AH37" s="8">
        <v>5</v>
      </c>
      <c r="AI37" s="8">
        <v>0</v>
      </c>
      <c r="AJ37" s="8">
        <v>500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19">
        <v>600</v>
      </c>
      <c r="AV37" s="16">
        <f t="shared" si="8"/>
        <v>600</v>
      </c>
      <c r="AW37" s="16">
        <f t="shared" si="9"/>
        <v>420</v>
      </c>
    </row>
    <row r="38" spans="1:49" ht="19.8" customHeight="1" x14ac:dyDescent="0.4">
      <c r="A38" s="4" t="s">
        <v>67</v>
      </c>
      <c r="B38" s="6" t="s">
        <v>27</v>
      </c>
      <c r="C38" s="6">
        <v>419155</v>
      </c>
      <c r="D38" s="7"/>
      <c r="E38" s="6" t="s">
        <v>17</v>
      </c>
      <c r="F38" s="6" t="s">
        <v>28</v>
      </c>
      <c r="G38" s="6" t="s">
        <v>18</v>
      </c>
      <c r="H38" s="8" t="s">
        <v>11</v>
      </c>
      <c r="I38" s="8" t="s">
        <v>50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1</v>
      </c>
      <c r="AL38" s="8">
        <v>0</v>
      </c>
      <c r="AM38" s="8">
        <v>500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19">
        <v>500</v>
      </c>
      <c r="AV38" s="16">
        <f t="shared" si="8"/>
        <v>500</v>
      </c>
      <c r="AW38" s="16">
        <f t="shared" si="9"/>
        <v>350</v>
      </c>
    </row>
    <row r="39" spans="1:49" ht="19.8" customHeight="1" x14ac:dyDescent="0.4">
      <c r="A39" s="4" t="s">
        <v>68</v>
      </c>
      <c r="B39" s="6" t="s">
        <v>54</v>
      </c>
      <c r="C39" s="6">
        <v>448747</v>
      </c>
      <c r="D39" s="7"/>
      <c r="E39" s="6" t="s">
        <v>17</v>
      </c>
      <c r="F39" s="6" t="s">
        <v>55</v>
      </c>
      <c r="G39" s="6" t="s">
        <v>18</v>
      </c>
      <c r="H39" s="8" t="s">
        <v>11</v>
      </c>
      <c r="I39" s="8" t="s">
        <v>56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1</v>
      </c>
      <c r="AC39" s="8">
        <v>200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19">
        <v>200</v>
      </c>
      <c r="AV39" s="16">
        <f t="shared" si="8"/>
        <v>200</v>
      </c>
      <c r="AW39" s="16">
        <f t="shared" si="9"/>
        <v>140</v>
      </c>
    </row>
    <row r="40" spans="1:49" ht="19.8" customHeight="1" x14ac:dyDescent="0.4">
      <c r="A40" s="4" t="s">
        <v>69</v>
      </c>
      <c r="B40" s="6" t="s">
        <v>54</v>
      </c>
      <c r="C40" s="6">
        <v>448747</v>
      </c>
      <c r="D40" s="7"/>
      <c r="E40" s="6" t="s">
        <v>17</v>
      </c>
      <c r="F40" s="6" t="s">
        <v>55</v>
      </c>
      <c r="G40" s="6" t="s">
        <v>18</v>
      </c>
      <c r="H40" s="8" t="s">
        <v>11</v>
      </c>
      <c r="I40" s="8" t="s">
        <v>56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23</v>
      </c>
      <c r="AF40" s="9">
        <v>57200</v>
      </c>
      <c r="AG40" s="9">
        <v>5100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25</v>
      </c>
      <c r="AS40" s="9">
        <v>9700</v>
      </c>
      <c r="AT40" s="8">
        <v>0</v>
      </c>
      <c r="AU40" s="10">
        <v>72000</v>
      </c>
      <c r="AV40" s="16">
        <f t="shared" si="8"/>
        <v>72000</v>
      </c>
      <c r="AW40" s="16">
        <f t="shared" si="9"/>
        <v>50400</v>
      </c>
    </row>
    <row r="41" spans="1:49" ht="19.8" customHeight="1" x14ac:dyDescent="0.4">
      <c r="A41" s="4" t="s">
        <v>71</v>
      </c>
      <c r="B41" s="6" t="s">
        <v>54</v>
      </c>
      <c r="C41" s="6">
        <v>448747</v>
      </c>
      <c r="D41" s="7"/>
      <c r="E41" s="6" t="s">
        <v>17</v>
      </c>
      <c r="F41" s="6" t="s">
        <v>55</v>
      </c>
      <c r="G41" s="6" t="s">
        <v>18</v>
      </c>
      <c r="H41" s="8" t="s">
        <v>11</v>
      </c>
      <c r="I41" s="8" t="s">
        <v>56</v>
      </c>
      <c r="J41" s="8">
        <v>0</v>
      </c>
      <c r="K41" s="9">
        <v>10078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415</v>
      </c>
      <c r="AC41" s="9">
        <v>58200</v>
      </c>
      <c r="AD41" s="9">
        <v>24800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5</v>
      </c>
      <c r="AP41" s="9">
        <v>1000</v>
      </c>
      <c r="AQ41" s="8">
        <v>0</v>
      </c>
      <c r="AR41" s="8">
        <v>0</v>
      </c>
      <c r="AS41" s="8">
        <v>0</v>
      </c>
      <c r="AT41" s="8">
        <v>0</v>
      </c>
      <c r="AU41" s="10">
        <v>84000</v>
      </c>
      <c r="AV41" s="16">
        <f t="shared" si="8"/>
        <v>84000</v>
      </c>
      <c r="AW41" s="16">
        <f t="shared" si="9"/>
        <v>58799.999999999993</v>
      </c>
    </row>
    <row r="42" spans="1:49" ht="20.399999999999999" customHeight="1" x14ac:dyDescent="0.4">
      <c r="A42" s="4" t="s">
        <v>70</v>
      </c>
      <c r="B42" s="6" t="s">
        <v>54</v>
      </c>
      <c r="C42" s="6">
        <v>448747</v>
      </c>
      <c r="D42" s="7"/>
      <c r="E42" s="6" t="s">
        <v>17</v>
      </c>
      <c r="F42" s="6" t="s">
        <v>55</v>
      </c>
      <c r="G42" s="6" t="s">
        <v>18</v>
      </c>
      <c r="H42" s="8" t="s">
        <v>11</v>
      </c>
      <c r="I42" s="8" t="s">
        <v>56</v>
      </c>
      <c r="J42" s="8">
        <v>0</v>
      </c>
      <c r="K42" s="9">
        <v>4966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162</v>
      </c>
      <c r="AC42" s="9">
        <v>27000</v>
      </c>
      <c r="AD42" s="9">
        <v>5400</v>
      </c>
      <c r="AE42" s="8">
        <v>0</v>
      </c>
      <c r="AF42" s="8">
        <v>0</v>
      </c>
      <c r="AG42" s="8">
        <v>0</v>
      </c>
      <c r="AH42" s="8">
        <v>191</v>
      </c>
      <c r="AI42" s="9">
        <v>40980</v>
      </c>
      <c r="AJ42" s="9">
        <v>3800</v>
      </c>
      <c r="AK42" s="8">
        <v>0</v>
      </c>
      <c r="AL42" s="8">
        <v>0</v>
      </c>
      <c r="AM42" s="8">
        <v>0</v>
      </c>
      <c r="AN42" s="11">
        <v>12294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10">
        <v>77180</v>
      </c>
      <c r="AV42" s="16">
        <f t="shared" si="8"/>
        <v>64886</v>
      </c>
      <c r="AW42" s="16">
        <f t="shared" si="9"/>
        <v>45420.2</v>
      </c>
    </row>
    <row r="43" spans="1:49" ht="19.8" customHeight="1" x14ac:dyDescent="0.4">
      <c r="AW43" s="18">
        <f>SUM(AW2:AW42)</f>
        <v>1245391.6300000001</v>
      </c>
    </row>
    <row r="44" spans="1:49" ht="19.8" customHeight="1" x14ac:dyDescent="0.4"/>
    <row r="45" spans="1:49" ht="19.8" customHeight="1" x14ac:dyDescent="0.4"/>
    <row r="46" spans="1:49" ht="19.8" customHeight="1" x14ac:dyDescent="0.4"/>
    <row r="47" spans="1:49" ht="19.8" customHeight="1" x14ac:dyDescent="0.4"/>
    <row r="48" spans="1:49" ht="19.8" customHeight="1" x14ac:dyDescent="0.4"/>
    <row r="49" ht="19.8" customHeight="1" x14ac:dyDescent="0.4"/>
    <row r="50" ht="19.8" customHeight="1" x14ac:dyDescent="0.4"/>
    <row r="51" ht="19.8" customHeight="1" x14ac:dyDescent="0.4"/>
    <row r="52" ht="19.8" customHeight="1" x14ac:dyDescent="0.4"/>
    <row r="53" ht="19.8" customHeight="1" x14ac:dyDescent="0.4"/>
    <row r="54" ht="19.8" customHeight="1" x14ac:dyDescent="0.4"/>
    <row r="55" ht="19.8" customHeight="1" x14ac:dyDescent="0.4"/>
    <row r="56" ht="19.8" customHeight="1" x14ac:dyDescent="0.4"/>
    <row r="57" ht="19.8" customHeight="1" x14ac:dyDescent="0.4"/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2022-04-06T04:57:00Z</dcterms:modified>
</cp:coreProperties>
</file>