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3월 마감\1. 월초청구(0331)\네이버시리즈\"/>
    </mc:Choice>
  </mc:AlternateContent>
  <bookViews>
    <workbookView xWindow="0" yWindow="0" windowWidth="23040" windowHeight="8952" tabRatio="716"/>
  </bookViews>
  <sheets>
    <sheet name="합계 (3)" sheetId="283" r:id="rId1"/>
  </sheets>
  <definedNames>
    <definedName name="_xlnm._FilterDatabase" localSheetId="0" hidden="1">'합계 (3)'!$A$1:$AN$1</definedName>
    <definedName name="_xlnm.Extract" localSheetId="0">'합계 (3)'!#REF!</definedName>
  </definedNames>
  <calcPr calcId="152511"/>
</workbook>
</file>

<file path=xl/calcChain.xml><?xml version="1.0" encoding="utf-8"?>
<calcChain xmlns="http://schemas.openxmlformats.org/spreadsheetml/2006/main">
  <c r="AU74" i="283" l="1"/>
  <c r="AW74" i="283"/>
  <c r="AW67" i="283"/>
  <c r="AW68" i="283"/>
  <c r="AW69" i="283"/>
  <c r="AW70" i="283"/>
  <c r="AW71" i="283"/>
  <c r="AW72" i="283"/>
  <c r="AW73" i="283"/>
  <c r="AV67" i="283"/>
  <c r="AV68" i="283"/>
  <c r="AV69" i="283"/>
  <c r="AV70" i="283"/>
  <c r="AV71" i="283"/>
  <c r="AV72" i="283"/>
  <c r="AV73" i="283"/>
  <c r="AV2" i="283"/>
  <c r="AW2" i="283" s="1"/>
  <c r="AV3" i="283"/>
  <c r="AW3" i="283" s="1"/>
  <c r="AV4" i="283"/>
  <c r="AW4" i="283" s="1"/>
  <c r="AV5" i="283"/>
  <c r="AW5" i="283" s="1"/>
  <c r="AV6" i="283"/>
  <c r="AW6" i="283" s="1"/>
  <c r="AV7" i="283"/>
  <c r="AW7" i="283" s="1"/>
  <c r="AV8" i="283"/>
  <c r="AW8" i="283" s="1"/>
  <c r="AV9" i="283"/>
  <c r="AW9" i="283" s="1"/>
  <c r="AV10" i="283"/>
  <c r="AW10" i="283" s="1"/>
  <c r="AV11" i="283"/>
  <c r="AW11" i="283" s="1"/>
  <c r="AV12" i="283"/>
  <c r="AW12" i="283" s="1"/>
  <c r="AV13" i="283"/>
  <c r="AW13" i="283"/>
  <c r="AV14" i="283"/>
  <c r="AW14" i="283" s="1"/>
  <c r="AV15" i="283"/>
  <c r="AW15" i="283" s="1"/>
  <c r="AV16" i="283"/>
  <c r="AW16" i="283" s="1"/>
  <c r="AV17" i="283"/>
  <c r="AW17" i="283" s="1"/>
  <c r="AV18" i="283"/>
  <c r="AW18" i="283" s="1"/>
  <c r="AV19" i="283"/>
  <c r="AW19" i="283" s="1"/>
  <c r="AV20" i="283"/>
  <c r="AW20" i="283" s="1"/>
  <c r="AV21" i="283"/>
  <c r="AW21" i="283" s="1"/>
  <c r="AV22" i="283"/>
  <c r="AW22" i="283" s="1"/>
  <c r="AV23" i="283"/>
  <c r="AW23" i="283"/>
  <c r="AV24" i="283"/>
  <c r="AW24" i="283" s="1"/>
  <c r="AV25" i="283"/>
  <c r="AW25" i="283"/>
  <c r="AV26" i="283"/>
  <c r="AW26" i="283" s="1"/>
  <c r="AV27" i="283"/>
  <c r="AW27" i="283" s="1"/>
  <c r="AV28" i="283"/>
  <c r="AW28" i="283" s="1"/>
  <c r="AV29" i="283"/>
  <c r="AW29" i="283" s="1"/>
  <c r="AV30" i="283"/>
  <c r="AW30" i="283" s="1"/>
  <c r="AV31" i="283"/>
  <c r="AW31" i="283" s="1"/>
  <c r="AV32" i="283"/>
  <c r="AW32" i="283" s="1"/>
  <c r="AV33" i="283"/>
  <c r="AW33" i="283" s="1"/>
  <c r="AV57" i="283" l="1"/>
  <c r="AW57" i="283" s="1"/>
  <c r="AV58" i="283"/>
  <c r="AW58" i="283" s="1"/>
  <c r="AV59" i="283"/>
  <c r="AW59" i="283" s="1"/>
  <c r="AV60" i="283"/>
  <c r="AW60" i="283" s="1"/>
  <c r="AV61" i="283"/>
  <c r="AW61" i="283" s="1"/>
  <c r="AV62" i="283"/>
  <c r="AW62" i="283" s="1"/>
  <c r="AV63" i="283"/>
  <c r="AW63" i="283" s="1"/>
  <c r="AV64" i="283"/>
  <c r="AW64" i="283" s="1"/>
  <c r="AV65" i="283"/>
  <c r="AW65" i="283" s="1"/>
  <c r="AV66" i="283"/>
  <c r="AW66" i="283" s="1"/>
  <c r="AV34" i="283" l="1"/>
  <c r="AW34" i="283" s="1"/>
  <c r="AV35" i="283"/>
  <c r="AW35" i="283" s="1"/>
  <c r="AV36" i="283"/>
  <c r="AW36" i="283" s="1"/>
  <c r="AV37" i="283"/>
  <c r="AW37" i="283" s="1"/>
  <c r="AV38" i="283"/>
  <c r="AW38" i="283" s="1"/>
  <c r="AV39" i="283"/>
  <c r="AW39" i="283" s="1"/>
  <c r="AV40" i="283"/>
  <c r="AW40" i="283" s="1"/>
  <c r="AV41" i="283"/>
  <c r="AW41" i="283" s="1"/>
  <c r="AV42" i="283"/>
  <c r="AW42" i="283" s="1"/>
  <c r="AV43" i="283"/>
  <c r="AW43" i="283" s="1"/>
  <c r="AV44" i="283"/>
  <c r="AW44" i="283" s="1"/>
  <c r="AV45" i="283"/>
  <c r="AW45" i="283" s="1"/>
  <c r="AV46" i="283"/>
  <c r="AW46" i="283" s="1"/>
  <c r="AV47" i="283"/>
  <c r="AW47" i="283" s="1"/>
  <c r="AV48" i="283"/>
  <c r="AW48" i="283" s="1"/>
  <c r="AV49" i="283"/>
  <c r="AW49" i="283" s="1"/>
  <c r="AV50" i="283"/>
  <c r="AW50" i="283" s="1"/>
  <c r="AV51" i="283"/>
  <c r="AW51" i="283" s="1"/>
  <c r="AV52" i="283"/>
  <c r="AW52" i="283" s="1"/>
  <c r="AV53" i="283"/>
  <c r="AW53" i="283" s="1"/>
  <c r="AV54" i="283"/>
  <c r="AW54" i="283" s="1"/>
  <c r="AV55" i="283"/>
  <c r="AW55" i="283" s="1"/>
  <c r="AV56" i="283"/>
  <c r="AW56" i="283" s="1"/>
</calcChain>
</file>

<file path=xl/sharedStrings.xml><?xml version="1.0" encoding="utf-8"?>
<sst xmlns="http://schemas.openxmlformats.org/spreadsheetml/2006/main" count="553" uniqueCount="111">
  <si>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</si>
  <si>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</si>
  <si>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</si>
  <si>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</si>
  <si>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</si>
  <si>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</si>
  <si>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</si>
  <si>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</si>
  <si>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전체이용가</t>
  </si>
  <si>
    <t>15세 이상 이용가능</t>
  </si>
  <si>
    <t>구분</t>
    <phoneticPr fontId="20" type="noConversion"/>
  </si>
  <si>
    <t>스토리위즈</t>
  </si>
  <si>
    <t>12세 이상 이용가능</t>
  </si>
  <si>
    <t>김광수</t>
  </si>
  <si>
    <t>권용찬</t>
  </si>
  <si>
    <t>회귀의 전설</t>
  </si>
  <si>
    <t>21세기 대마법사 [단행본]</t>
  </si>
  <si>
    <t>2014.07.24</t>
  </si>
  <si>
    <t>김정률</t>
  </si>
  <si>
    <t>2014.10.21</t>
  </si>
  <si>
    <t>블레이드헌터 [단행본]</t>
  </si>
  <si>
    <t>전혁</t>
  </si>
  <si>
    <t>주식회사 스토리위즈</t>
  </si>
  <si>
    <t>2020.08.07</t>
  </si>
  <si>
    <t>다크메이지 [단행본]</t>
  </si>
  <si>
    <t>2014.10.23</t>
  </si>
  <si>
    <t>2015.05.27</t>
  </si>
  <si>
    <t>트루베니아 연대기 [단행본]</t>
  </si>
  <si>
    <t>2014.10.22</t>
  </si>
  <si>
    <t>데이몬 [단행본]</t>
  </si>
  <si>
    <t>2014.10.20</t>
  </si>
  <si>
    <t>소드엠페러 [단행본]</t>
  </si>
  <si>
    <t>독고진</t>
  </si>
  <si>
    <t>스트라이커</t>
  </si>
  <si>
    <t>2016.05.25</t>
  </si>
  <si>
    <t>2017.08.22</t>
  </si>
  <si>
    <t>2020.10.13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</si>
  <si>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</si>
  <si>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</si>
  <si>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</si>
  <si>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</si>
  <si>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</si>
  <si>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</si>
  <si>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</si>
  <si>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</si>
  <si>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</si>
  <si>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</si>
  <si>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</si>
  <si>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i쿠키 수수료</t>
  </si>
  <si>
    <t>합계</t>
  </si>
  <si>
    <t>순매출(합계-수수료)</t>
    <phoneticPr fontId="20" type="noConversion"/>
  </si>
  <si>
    <t>SW 매출</t>
    <phoneticPr fontId="20" type="noConversion"/>
  </si>
  <si>
    <t>스피릿 소드</t>
  </si>
  <si>
    <t>2016.07.06</t>
  </si>
  <si>
    <t>2021.08.12</t>
  </si>
  <si>
    <t>철중쟁쟁 [단행본]</t>
  </si>
  <si>
    <t>2016.03.17</t>
  </si>
  <si>
    <t>만인지상 [단행본]</t>
  </si>
  <si>
    <t>트루베니아 연대기</t>
  </si>
  <si>
    <t>마스터 K [단행본]</t>
  </si>
  <si>
    <t>2014.07.02</t>
  </si>
  <si>
    <t>소드마스터의 환생 [독점]</t>
  </si>
  <si>
    <t>파란영</t>
  </si>
  <si>
    <t>2019.05.22</t>
  </si>
  <si>
    <t>스트라이커 [완전판] [단행본]</t>
  </si>
  <si>
    <t>2016.11.29</t>
  </si>
  <si>
    <t>신궁전설 [단행본]</t>
  </si>
  <si>
    <t>2015.05.28</t>
  </si>
  <si>
    <t>절륜공자 [단행본]</t>
  </si>
  <si>
    <t>두경</t>
  </si>
  <si>
    <t>상계무적 [단행본]</t>
  </si>
  <si>
    <t>2015.07.03</t>
  </si>
  <si>
    <t>하프블러드 [단행본]</t>
  </si>
  <si>
    <t>검산도해</t>
  </si>
  <si>
    <t>2020.04.28</t>
  </si>
  <si>
    <t>마왕 데이몬 [단행본]</t>
  </si>
  <si>
    <t>아나크레온 [단행본]</t>
  </si>
  <si>
    <t>2014.11.18</t>
  </si>
  <si>
    <t>용중신권 [단행본]</t>
  </si>
  <si>
    <t>작가무림 [단행본]</t>
  </si>
  <si>
    <t>군주</t>
  </si>
  <si>
    <t>마신부활 [독점]</t>
  </si>
  <si>
    <t>만렙도끼</t>
  </si>
  <si>
    <t>2021.02.20</t>
  </si>
  <si>
    <t>화산지애 [단행본]</t>
  </si>
  <si>
    <t>2015.03.05</t>
  </si>
  <si>
    <t>N스토어(PC)</t>
  </si>
  <si>
    <t>PC뷰어(PC)</t>
  </si>
  <si>
    <t>N스토어(MW)</t>
  </si>
  <si>
    <t>절대비만 [단행본]</t>
  </si>
  <si>
    <t>월풍 [단행본]</t>
  </si>
  <si>
    <t>상왕 진우몽 [단행본]</t>
  </si>
  <si>
    <t>스피릿 소드 [단행본]</t>
  </si>
  <si>
    <t>2017.03.23</t>
  </si>
  <si>
    <t>신마협도 [단행본]</t>
  </si>
  <si>
    <t>천조를 가진 남자 [단행본]</t>
  </si>
  <si>
    <t>2018.02.21</t>
  </si>
  <si>
    <t>절대비만</t>
  </si>
  <si>
    <t>2020.09.16</t>
  </si>
  <si>
    <t>소드엠페러</t>
  </si>
  <si>
    <t>2020.12.18</t>
  </si>
  <si>
    <t>신마협도</t>
  </si>
  <si>
    <t>2020.08.12</t>
  </si>
  <si>
    <t>영웅[개정판]</t>
  </si>
  <si>
    <t>2016.04.13</t>
  </si>
  <si>
    <t>21세기 대마법사</t>
  </si>
  <si>
    <t>KW북스</t>
  </si>
  <si>
    <t>마계대공 연대기 [단행본]</t>
  </si>
  <si>
    <t>2014.08.20</t>
  </si>
  <si>
    <t>아나크레온</t>
  </si>
  <si>
    <t>2014.10.29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</si>
</sst>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.00_ 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0" fontId="19" fillId="34" borderId="0" xfId="0" applyFont="1" applyFill="1" applyAlignment="1">
      <alignment horizontal="center" vertical="center" wrapText="1"/>
    </xf>
    <xf numFmtId="176" fontId="0" fillId="0" borderId="0" xfId="0" applyNumberFormat="1">
      <alignment vertical="center"/>
    </xf>
    <xf numFmtId="41" fontId="0" fillId="0" borderId="0" xfId="42" applyFont="1">
      <alignment vertical="center"/>
    </xf>
    <xf numFmtId="41" fontId="19" fillId="34" borderId="0" xfId="42" applyFont="1" applyFill="1" applyAlignment="1">
      <alignment horizontal="center" vertical="center" wrapText="1"/>
    </xf>
    <xf numFmtId="41" fontId="0" fillId="34" borderId="0" xfId="42" applyFont="1" applyFill="1">
      <alignment vertical="center"/>
    </xf>
    <xf numFmtId="4" fontId="0" fillId="0" borderId="0" xfId="0" applyNumberFormat="1">
      <alignment vertical="center"/>
    </xf>
    <xf numFmtId="4" fontId="18" fillId="0" borderId="0" xfId="0" applyNumberFormat="1" applyFont="1" applyAlignment="1">
      <alignment vertical="center" wrapText="1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W74"/>
  <sheetViews>
    <sheetView tabSelected="1" zoomScale="85" zoomScaleNormal="85" workbookViewId="0"/>
  </sheetViews>
  <sheetFormatPr defaultRowHeight="17.399999999999999" x14ac:dyDescent="0.4"/>
  <cols>
    <col min="1" max="1" width="12.296875" style="1" customWidth="1"/>
    <col min="2" max="2" width="20" bestFit="1" customWidth="1"/>
    <col min="3" max="3" width="6.5" customWidth="1"/>
    <col min="4" max="4" width="7.19921875" customWidth="1"/>
    <col min="5" max="5" width="10" customWidth="1"/>
    <col min="6" max="6" width="10.296875" customWidth="1"/>
    <col min="7" max="7" width="10" bestFit="1" customWidth="1"/>
    <col min="8" max="8" width="13.59765625" customWidth="1"/>
    <col min="9" max="9" width="7.3984375" customWidth="1"/>
    <col min="10" max="10" width="4.296875" customWidth="1"/>
    <col min="11" max="11" width="4.796875" customWidth="1"/>
    <col min="12" max="12" width="7.19921875" customWidth="1"/>
    <col min="13" max="13" width="6.69921875" customWidth="1"/>
    <col min="14" max="14" width="6" customWidth="1"/>
    <col min="15" max="16" width="6.296875" customWidth="1"/>
    <col min="17" max="17" width="5" customWidth="1"/>
    <col min="18" max="18" width="4.796875" customWidth="1"/>
    <col min="19" max="19" width="7.19921875" customWidth="1"/>
    <col min="20" max="20" width="6.69921875" customWidth="1"/>
    <col min="21" max="21" width="6" customWidth="1"/>
    <col min="22" max="23" width="6.296875" customWidth="1"/>
    <col min="24" max="24" width="3.59765625" customWidth="1"/>
    <col min="25" max="25" width="5" customWidth="1"/>
    <col min="26" max="27" width="3.59765625" customWidth="1"/>
    <col min="28" max="28" width="5" customWidth="1"/>
    <col min="29" max="29" width="4.296875" customWidth="1"/>
    <col min="30" max="35" width="3.59765625" customWidth="1"/>
    <col min="36" max="36" width="7.8984375" customWidth="1"/>
    <col min="37" max="38" width="12.8984375" bestFit="1" customWidth="1"/>
    <col min="39" max="39" width="12.296875" bestFit="1" customWidth="1"/>
    <col min="47" max="47" width="12.796875" bestFit="1" customWidth="1"/>
    <col min="48" max="48" width="13.5" bestFit="1" customWidth="1"/>
    <col min="49" max="49" width="11.59765625" style="14" customWidth="1"/>
  </cols>
  <sheetData>
    <row r="1" spans="1:49" ht="38.4" x14ac:dyDescent="0.4">
      <c r="A1" s="2" t="s">
        <v>10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6</v>
      </c>
      <c r="I1" s="3" t="s">
        <v>7</v>
      </c>
      <c r="J1" s="11" t="s">
        <v>37</v>
      </c>
      <c r="K1" s="11" t="s">
        <v>38</v>
      </c>
      <c r="L1" s="11" t="s">
        <v>39</v>
      </c>
      <c r="M1" s="11" t="s">
        <v>40</v>
      </c>
      <c r="N1" s="11" t="s">
        <v>41</v>
      </c>
      <c r="O1" s="11" t="s">
        <v>42</v>
      </c>
      <c r="P1" s="11" t="s">
        <v>43</v>
      </c>
      <c r="Q1" s="11" t="s">
        <v>44</v>
      </c>
      <c r="R1" s="11" t="s">
        <v>45</v>
      </c>
      <c r="S1" s="11" t="s">
        <v>37</v>
      </c>
      <c r="T1" s="11" t="s">
        <v>38</v>
      </c>
      <c r="U1" s="11" t="s">
        <v>39</v>
      </c>
      <c r="V1" s="11" t="s">
        <v>40</v>
      </c>
      <c r="W1" s="11" t="s">
        <v>41</v>
      </c>
      <c r="X1" s="11" t="s">
        <v>42</v>
      </c>
      <c r="Y1" s="11" t="s">
        <v>43</v>
      </c>
      <c r="Z1" s="11" t="s">
        <v>44</v>
      </c>
      <c r="AA1" s="11" t="s">
        <v>45</v>
      </c>
      <c r="AB1" s="11" t="s">
        <v>37</v>
      </c>
      <c r="AC1" s="11" t="s">
        <v>46</v>
      </c>
      <c r="AD1" s="11" t="s">
        <v>47</v>
      </c>
      <c r="AE1" s="11" t="s">
        <v>37</v>
      </c>
      <c r="AF1" s="11" t="s">
        <v>46</v>
      </c>
      <c r="AG1" s="11" t="s">
        <v>47</v>
      </c>
      <c r="AH1" s="11" t="s">
        <v>37</v>
      </c>
      <c r="AI1" s="11" t="s">
        <v>46</v>
      </c>
      <c r="AJ1" s="11" t="s">
        <v>47</v>
      </c>
      <c r="AK1" s="11" t="s">
        <v>37</v>
      </c>
      <c r="AL1" s="11" t="s">
        <v>46</v>
      </c>
      <c r="AM1" s="11" t="s">
        <v>47</v>
      </c>
      <c r="AN1" s="12" t="s">
        <v>48</v>
      </c>
      <c r="AO1" s="11" t="s">
        <v>37</v>
      </c>
      <c r="AP1" s="11" t="s">
        <v>46</v>
      </c>
      <c r="AQ1" s="11" t="s">
        <v>47</v>
      </c>
      <c r="AR1" s="11" t="s">
        <v>37</v>
      </c>
      <c r="AS1" s="11" t="s">
        <v>46</v>
      </c>
      <c r="AT1" s="11" t="s">
        <v>47</v>
      </c>
      <c r="AU1" s="12" t="s">
        <v>49</v>
      </c>
      <c r="AV1" s="11" t="s">
        <v>50</v>
      </c>
      <c r="AW1" s="15" t="s">
        <v>51</v>
      </c>
    </row>
    <row r="2" spans="1:49" x14ac:dyDescent="0.4">
      <c r="A2" s="5" t="s">
        <v>86</v>
      </c>
      <c r="B2" s="5" t="s">
        <v>24</v>
      </c>
      <c r="C2" s="5">
        <v>159260</v>
      </c>
      <c r="D2" s="6"/>
      <c r="E2" s="5" t="s">
        <v>11</v>
      </c>
      <c r="F2" s="5" t="s">
        <v>18</v>
      </c>
      <c r="G2" s="5" t="s">
        <v>11</v>
      </c>
      <c r="H2" s="7" t="s">
        <v>8</v>
      </c>
      <c r="I2" s="7" t="s">
        <v>25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7</v>
      </c>
      <c r="AC2" s="8">
        <v>6300</v>
      </c>
      <c r="AD2" s="7">
        <v>0</v>
      </c>
      <c r="AE2" s="7">
        <v>10</v>
      </c>
      <c r="AF2" s="8">
        <v>30900</v>
      </c>
      <c r="AG2" s="7">
        <v>0</v>
      </c>
      <c r="AH2" s="7">
        <v>1</v>
      </c>
      <c r="AI2" s="8">
        <v>1080</v>
      </c>
      <c r="AJ2" s="7">
        <v>0</v>
      </c>
      <c r="AK2" s="7">
        <v>2</v>
      </c>
      <c r="AL2" s="8">
        <v>5160</v>
      </c>
      <c r="AM2" s="7">
        <v>0</v>
      </c>
      <c r="AN2" s="18">
        <v>1872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9">
        <v>43440</v>
      </c>
      <c r="AV2" s="13">
        <f>AU2-AN2</f>
        <v>41568</v>
      </c>
      <c r="AW2" s="14">
        <f>AV2*70%</f>
        <v>29097.599999999999</v>
      </c>
    </row>
    <row r="3" spans="1:49" x14ac:dyDescent="0.4">
      <c r="A3" s="5" t="s">
        <v>86</v>
      </c>
      <c r="B3" s="5" t="s">
        <v>31</v>
      </c>
      <c r="C3" s="5">
        <v>161539</v>
      </c>
      <c r="D3" s="6"/>
      <c r="E3" s="5" t="s">
        <v>11</v>
      </c>
      <c r="F3" s="5" t="s">
        <v>18</v>
      </c>
      <c r="G3" s="5" t="s">
        <v>11</v>
      </c>
      <c r="H3" s="7" t="s">
        <v>8</v>
      </c>
      <c r="I3" s="7" t="s">
        <v>28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13</v>
      </c>
      <c r="AC3" s="8">
        <v>11700</v>
      </c>
      <c r="AD3" s="7">
        <v>0</v>
      </c>
      <c r="AE3" s="7">
        <v>1</v>
      </c>
      <c r="AF3" s="8">
        <v>3200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1</v>
      </c>
      <c r="AP3" s="7">
        <v>900</v>
      </c>
      <c r="AQ3" s="7">
        <v>0</v>
      </c>
      <c r="AR3" s="7">
        <v>0</v>
      </c>
      <c r="AS3" s="7">
        <v>0</v>
      </c>
      <c r="AT3" s="7">
        <v>0</v>
      </c>
      <c r="AU3" s="9">
        <v>15800</v>
      </c>
      <c r="AV3" s="13">
        <f t="shared" ref="AV3:AV56" si="0">AU3-AN3</f>
        <v>15800</v>
      </c>
      <c r="AW3" s="14">
        <f t="shared" ref="AW3:AW56" si="1">AV3*70%</f>
        <v>11060</v>
      </c>
    </row>
    <row r="4" spans="1:49" x14ac:dyDescent="0.4">
      <c r="A4" s="5" t="s">
        <v>86</v>
      </c>
      <c r="B4" s="5" t="s">
        <v>72</v>
      </c>
      <c r="C4" s="5">
        <v>159268</v>
      </c>
      <c r="D4" s="6"/>
      <c r="E4" s="5" t="s">
        <v>11</v>
      </c>
      <c r="F4" s="5" t="s">
        <v>18</v>
      </c>
      <c r="G4" s="5" t="s">
        <v>11</v>
      </c>
      <c r="H4" s="7" t="s">
        <v>8</v>
      </c>
      <c r="I4" s="7" t="s">
        <v>19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3</v>
      </c>
      <c r="AC4" s="8">
        <v>2700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7</v>
      </c>
      <c r="AP4" s="8">
        <v>6300</v>
      </c>
      <c r="AQ4" s="7">
        <v>0</v>
      </c>
      <c r="AR4" s="7">
        <v>0</v>
      </c>
      <c r="AS4" s="7">
        <v>0</v>
      </c>
      <c r="AT4" s="7">
        <v>0</v>
      </c>
      <c r="AU4" s="9">
        <v>9000</v>
      </c>
      <c r="AV4" s="13">
        <f t="shared" si="0"/>
        <v>9000</v>
      </c>
      <c r="AW4" s="14">
        <f t="shared" si="1"/>
        <v>6300</v>
      </c>
    </row>
    <row r="5" spans="1:49" x14ac:dyDescent="0.4">
      <c r="A5" s="5" t="s">
        <v>86</v>
      </c>
      <c r="B5" s="5" t="s">
        <v>76</v>
      </c>
      <c r="C5" s="5">
        <v>173863</v>
      </c>
      <c r="D5" s="6"/>
      <c r="E5" s="5" t="s">
        <v>11</v>
      </c>
      <c r="F5" s="5" t="s">
        <v>18</v>
      </c>
      <c r="G5" s="5" t="s">
        <v>11</v>
      </c>
      <c r="H5" s="7" t="s">
        <v>8</v>
      </c>
      <c r="I5" s="7" t="s">
        <v>77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6</v>
      </c>
      <c r="AC5" s="8">
        <v>5400</v>
      </c>
      <c r="AD5" s="7">
        <v>0</v>
      </c>
      <c r="AE5" s="7">
        <v>1</v>
      </c>
      <c r="AF5" s="8">
        <v>3200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9">
        <v>8600</v>
      </c>
      <c r="AV5" s="13">
        <f t="shared" si="0"/>
        <v>8600</v>
      </c>
      <c r="AW5" s="14">
        <f t="shared" si="1"/>
        <v>6020</v>
      </c>
    </row>
    <row r="6" spans="1:49" x14ac:dyDescent="0.4">
      <c r="A6" s="5" t="s">
        <v>86</v>
      </c>
      <c r="B6" s="5" t="s">
        <v>89</v>
      </c>
      <c r="C6" s="5">
        <v>192728</v>
      </c>
      <c r="D6" s="6"/>
      <c r="E6" s="5" t="s">
        <v>11</v>
      </c>
      <c r="F6" s="5" t="s">
        <v>21</v>
      </c>
      <c r="G6" s="5" t="s">
        <v>11</v>
      </c>
      <c r="H6" s="7" t="s">
        <v>8</v>
      </c>
      <c r="I6" s="7" t="s">
        <v>26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8</v>
      </c>
      <c r="AC6" s="8">
        <v>6200</v>
      </c>
      <c r="AD6" s="8">
        <v>1000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9">
        <v>7200</v>
      </c>
      <c r="AV6" s="13">
        <f t="shared" si="0"/>
        <v>7200</v>
      </c>
      <c r="AW6" s="14">
        <f t="shared" si="1"/>
        <v>5040</v>
      </c>
    </row>
    <row r="7" spans="1:49" x14ac:dyDescent="0.4">
      <c r="A7" s="5" t="s">
        <v>86</v>
      </c>
      <c r="B7" s="5" t="s">
        <v>90</v>
      </c>
      <c r="C7" s="5">
        <v>192732</v>
      </c>
      <c r="D7" s="6"/>
      <c r="E7" s="5" t="s">
        <v>11</v>
      </c>
      <c r="F7" s="5" t="s">
        <v>21</v>
      </c>
      <c r="G7" s="5" t="s">
        <v>11</v>
      </c>
      <c r="H7" s="7" t="s">
        <v>8</v>
      </c>
      <c r="I7" s="7" t="s">
        <v>26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8</v>
      </c>
      <c r="AC7" s="8">
        <v>7200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9">
        <v>7200</v>
      </c>
      <c r="AV7" s="13">
        <f t="shared" si="0"/>
        <v>7200</v>
      </c>
      <c r="AW7" s="14">
        <f t="shared" si="1"/>
        <v>5040</v>
      </c>
    </row>
    <row r="8" spans="1:49" x14ac:dyDescent="0.4">
      <c r="A8" s="5" t="s">
        <v>86</v>
      </c>
      <c r="B8" s="5" t="s">
        <v>84</v>
      </c>
      <c r="C8" s="5">
        <v>183137</v>
      </c>
      <c r="D8" s="6"/>
      <c r="E8" s="5" t="s">
        <v>11</v>
      </c>
      <c r="F8" s="5" t="s">
        <v>13</v>
      </c>
      <c r="G8" s="5" t="s">
        <v>11</v>
      </c>
      <c r="H8" s="7" t="s">
        <v>8</v>
      </c>
      <c r="I8" s="7" t="s">
        <v>85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2</v>
      </c>
      <c r="AF8" s="8">
        <v>6400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9">
        <v>6400</v>
      </c>
      <c r="AV8" s="13">
        <f t="shared" si="0"/>
        <v>6400</v>
      </c>
      <c r="AW8" s="14">
        <f t="shared" si="1"/>
        <v>4480</v>
      </c>
    </row>
    <row r="9" spans="1:49" x14ac:dyDescent="0.4">
      <c r="A9" s="5" t="s">
        <v>86</v>
      </c>
      <c r="B9" s="5" t="s">
        <v>16</v>
      </c>
      <c r="C9" s="5">
        <v>161447</v>
      </c>
      <c r="D9" s="6"/>
      <c r="E9" s="5" t="s">
        <v>11</v>
      </c>
      <c r="F9" s="5" t="s">
        <v>13</v>
      </c>
      <c r="G9" s="5" t="s">
        <v>11</v>
      </c>
      <c r="H9" s="7" t="s">
        <v>8</v>
      </c>
      <c r="I9" s="7" t="s">
        <v>17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3</v>
      </c>
      <c r="AC9" s="8">
        <v>2700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1</v>
      </c>
      <c r="AS9" s="8">
        <v>3200</v>
      </c>
      <c r="AT9" s="7">
        <v>0</v>
      </c>
      <c r="AU9" s="9">
        <v>5900</v>
      </c>
      <c r="AV9" s="13">
        <f t="shared" si="0"/>
        <v>5900</v>
      </c>
      <c r="AW9" s="14">
        <f t="shared" si="1"/>
        <v>4130</v>
      </c>
    </row>
    <row r="10" spans="1:49" x14ac:dyDescent="0.4">
      <c r="A10" s="5" t="s">
        <v>86</v>
      </c>
      <c r="B10" s="5" t="s">
        <v>64</v>
      </c>
      <c r="C10" s="5">
        <v>258201</v>
      </c>
      <c r="D10" s="6"/>
      <c r="E10" s="5" t="s">
        <v>11</v>
      </c>
      <c r="F10" s="5" t="s">
        <v>32</v>
      </c>
      <c r="G10" s="5" t="s">
        <v>11</v>
      </c>
      <c r="H10" s="7" t="s">
        <v>8</v>
      </c>
      <c r="I10" s="7" t="s">
        <v>65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5</v>
      </c>
      <c r="AC10" s="8">
        <v>4500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9">
        <v>4500</v>
      </c>
      <c r="AV10" s="13">
        <f t="shared" si="0"/>
        <v>4500</v>
      </c>
      <c r="AW10" s="14">
        <f t="shared" si="1"/>
        <v>3150</v>
      </c>
    </row>
    <row r="11" spans="1:49" x14ac:dyDescent="0.4">
      <c r="A11" s="5" t="s">
        <v>86</v>
      </c>
      <c r="B11" s="5" t="s">
        <v>27</v>
      </c>
      <c r="C11" s="5">
        <v>159270</v>
      </c>
      <c r="D11" s="6"/>
      <c r="E11" s="5" t="s">
        <v>11</v>
      </c>
      <c r="F11" s="5" t="s">
        <v>18</v>
      </c>
      <c r="G11" s="5" t="s">
        <v>11</v>
      </c>
      <c r="H11" s="7" t="s">
        <v>12</v>
      </c>
      <c r="I11" s="7" t="s">
        <v>28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5</v>
      </c>
      <c r="AC11" s="8">
        <v>4500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9">
        <v>4500</v>
      </c>
      <c r="AV11" s="13">
        <f t="shared" si="0"/>
        <v>4500</v>
      </c>
      <c r="AW11" s="14">
        <f t="shared" si="1"/>
        <v>3150</v>
      </c>
    </row>
    <row r="12" spans="1:49" x14ac:dyDescent="0.4">
      <c r="A12" s="5" t="s">
        <v>86</v>
      </c>
      <c r="B12" s="5" t="s">
        <v>91</v>
      </c>
      <c r="C12" s="5">
        <v>285988</v>
      </c>
      <c r="D12" s="6"/>
      <c r="E12" s="5" t="s">
        <v>11</v>
      </c>
      <c r="F12" s="5" t="s">
        <v>14</v>
      </c>
      <c r="G12" s="5" t="s">
        <v>11</v>
      </c>
      <c r="H12" s="7" t="s">
        <v>8</v>
      </c>
      <c r="I12" s="7" t="s">
        <v>35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5</v>
      </c>
      <c r="AC12" s="8">
        <v>4500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9">
        <v>4500</v>
      </c>
      <c r="AV12" s="13">
        <f t="shared" si="0"/>
        <v>4500</v>
      </c>
      <c r="AW12" s="14">
        <f t="shared" si="1"/>
        <v>3150</v>
      </c>
    </row>
    <row r="13" spans="1:49" x14ac:dyDescent="0.4">
      <c r="A13" s="5" t="s">
        <v>86</v>
      </c>
      <c r="B13" s="5" t="s">
        <v>92</v>
      </c>
      <c r="C13" s="5">
        <v>268655</v>
      </c>
      <c r="D13" s="6"/>
      <c r="E13" s="5" t="s">
        <v>11</v>
      </c>
      <c r="F13" s="5" t="s">
        <v>18</v>
      </c>
      <c r="G13" s="5" t="s">
        <v>11</v>
      </c>
      <c r="H13" s="7" t="s">
        <v>8</v>
      </c>
      <c r="I13" s="7" t="s">
        <v>93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5</v>
      </c>
      <c r="AC13" s="8">
        <v>4500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9">
        <v>4500</v>
      </c>
      <c r="AV13" s="13">
        <f t="shared" si="0"/>
        <v>4500</v>
      </c>
      <c r="AW13" s="14">
        <f t="shared" si="1"/>
        <v>3150</v>
      </c>
    </row>
    <row r="14" spans="1:49" x14ac:dyDescent="0.4">
      <c r="A14" s="5" t="s">
        <v>86</v>
      </c>
      <c r="B14" s="5" t="s">
        <v>15</v>
      </c>
      <c r="C14" s="5">
        <v>355332</v>
      </c>
      <c r="D14" s="6"/>
      <c r="E14" s="5" t="s">
        <v>11</v>
      </c>
      <c r="F14" s="5" t="s">
        <v>13</v>
      </c>
      <c r="G14" s="5" t="s">
        <v>11</v>
      </c>
      <c r="H14" s="7" t="s">
        <v>9</v>
      </c>
      <c r="I14" s="7" t="s">
        <v>54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1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27</v>
      </c>
      <c r="AF14" s="8">
        <v>1700</v>
      </c>
      <c r="AG14" s="8">
        <v>1000</v>
      </c>
      <c r="AH14" s="7">
        <v>0</v>
      </c>
      <c r="AI14" s="7">
        <v>0</v>
      </c>
      <c r="AJ14" s="7">
        <v>0</v>
      </c>
      <c r="AK14" s="7">
        <v>5</v>
      </c>
      <c r="AL14" s="7">
        <v>600</v>
      </c>
      <c r="AM14" s="7">
        <v>0</v>
      </c>
      <c r="AN14" s="7">
        <v>180</v>
      </c>
      <c r="AO14" s="7">
        <v>0</v>
      </c>
      <c r="AP14" s="7">
        <v>0</v>
      </c>
      <c r="AQ14" s="7">
        <v>0</v>
      </c>
      <c r="AR14" s="7">
        <v>6</v>
      </c>
      <c r="AS14" s="7">
        <v>600</v>
      </c>
      <c r="AT14" s="7">
        <v>0</v>
      </c>
      <c r="AU14" s="9">
        <v>3900</v>
      </c>
      <c r="AV14" s="13">
        <f t="shared" si="0"/>
        <v>3720</v>
      </c>
      <c r="AW14" s="14">
        <f t="shared" si="1"/>
        <v>2604</v>
      </c>
    </row>
    <row r="15" spans="1:49" x14ac:dyDescent="0.4">
      <c r="A15" s="5" t="s">
        <v>86</v>
      </c>
      <c r="B15" s="5" t="s">
        <v>70</v>
      </c>
      <c r="C15" s="5">
        <v>196917</v>
      </c>
      <c r="D15" s="6"/>
      <c r="E15" s="5" t="s">
        <v>11</v>
      </c>
      <c r="F15" s="5" t="s">
        <v>21</v>
      </c>
      <c r="G15" s="5" t="s">
        <v>11</v>
      </c>
      <c r="H15" s="7" t="s">
        <v>8</v>
      </c>
      <c r="I15" s="7" t="s">
        <v>71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4</v>
      </c>
      <c r="AC15" s="8">
        <v>3600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9">
        <v>3600</v>
      </c>
      <c r="AV15" s="13">
        <f t="shared" si="0"/>
        <v>3600</v>
      </c>
      <c r="AW15" s="14">
        <f t="shared" si="1"/>
        <v>2520</v>
      </c>
    </row>
    <row r="16" spans="1:49" x14ac:dyDescent="0.4">
      <c r="A16" s="5" t="s">
        <v>86</v>
      </c>
      <c r="B16" s="5" t="s">
        <v>57</v>
      </c>
      <c r="C16" s="5">
        <v>192737</v>
      </c>
      <c r="D16" s="6"/>
      <c r="E16" s="5" t="s">
        <v>11</v>
      </c>
      <c r="F16" s="5" t="s">
        <v>21</v>
      </c>
      <c r="G16" s="5" t="s">
        <v>11</v>
      </c>
      <c r="H16" s="7" t="s">
        <v>8</v>
      </c>
      <c r="I16" s="7" t="s">
        <v>26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3</v>
      </c>
      <c r="AC16" s="8">
        <v>2700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9">
        <v>2700</v>
      </c>
      <c r="AV16" s="13">
        <f t="shared" si="0"/>
        <v>2700</v>
      </c>
      <c r="AW16" s="14">
        <f t="shared" si="1"/>
        <v>1889.9999999999998</v>
      </c>
    </row>
    <row r="17" spans="1:49" x14ac:dyDescent="0.4">
      <c r="A17" s="5" t="s">
        <v>86</v>
      </c>
      <c r="B17" s="5" t="s">
        <v>55</v>
      </c>
      <c r="C17" s="5">
        <v>229857</v>
      </c>
      <c r="D17" s="6"/>
      <c r="E17" s="5" t="s">
        <v>11</v>
      </c>
      <c r="F17" s="5" t="s">
        <v>14</v>
      </c>
      <c r="G17" s="5" t="s">
        <v>11</v>
      </c>
      <c r="H17" s="7" t="s">
        <v>12</v>
      </c>
      <c r="I17" s="7" t="s">
        <v>56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3</v>
      </c>
      <c r="AP17" s="8">
        <v>2700</v>
      </c>
      <c r="AQ17" s="7">
        <v>0</v>
      </c>
      <c r="AR17" s="7">
        <v>0</v>
      </c>
      <c r="AS17" s="7">
        <v>0</v>
      </c>
      <c r="AT17" s="7">
        <v>0</v>
      </c>
      <c r="AU17" s="9">
        <v>2700</v>
      </c>
      <c r="AV17" s="13">
        <f t="shared" si="0"/>
        <v>2700</v>
      </c>
      <c r="AW17" s="14">
        <f t="shared" si="1"/>
        <v>1889.9999999999998</v>
      </c>
    </row>
    <row r="18" spans="1:49" x14ac:dyDescent="0.4">
      <c r="A18" s="5" t="s">
        <v>86</v>
      </c>
      <c r="B18" s="5" t="s">
        <v>66</v>
      </c>
      <c r="C18" s="5">
        <v>192729</v>
      </c>
      <c r="D18" s="6"/>
      <c r="E18" s="5" t="s">
        <v>11</v>
      </c>
      <c r="F18" s="5" t="s">
        <v>21</v>
      </c>
      <c r="G18" s="5" t="s">
        <v>11</v>
      </c>
      <c r="H18" s="7" t="s">
        <v>8</v>
      </c>
      <c r="I18" s="7" t="s">
        <v>67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1</v>
      </c>
      <c r="AC18" s="7">
        <v>900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2</v>
      </c>
      <c r="AP18" s="8">
        <v>1800</v>
      </c>
      <c r="AQ18" s="7">
        <v>0</v>
      </c>
      <c r="AR18" s="7">
        <v>0</v>
      </c>
      <c r="AS18" s="7">
        <v>0</v>
      </c>
      <c r="AT18" s="7">
        <v>0</v>
      </c>
      <c r="AU18" s="9">
        <v>2700</v>
      </c>
      <c r="AV18" s="13">
        <f t="shared" si="0"/>
        <v>2700</v>
      </c>
      <c r="AW18" s="14">
        <f t="shared" si="1"/>
        <v>1889.9999999999998</v>
      </c>
    </row>
    <row r="19" spans="1:49" x14ac:dyDescent="0.4">
      <c r="A19" s="5" t="s">
        <v>86</v>
      </c>
      <c r="B19" s="5" t="s">
        <v>75</v>
      </c>
      <c r="C19" s="5">
        <v>159258</v>
      </c>
      <c r="D19" s="6"/>
      <c r="E19" s="5" t="s">
        <v>11</v>
      </c>
      <c r="F19" s="5" t="s">
        <v>18</v>
      </c>
      <c r="G19" s="5" t="s">
        <v>11</v>
      </c>
      <c r="H19" s="7" t="s">
        <v>8</v>
      </c>
      <c r="I19" s="7" t="s">
        <v>19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2</v>
      </c>
      <c r="AC19" s="8">
        <v>1800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9">
        <v>1800</v>
      </c>
      <c r="AV19" s="13">
        <f t="shared" si="0"/>
        <v>1800</v>
      </c>
      <c r="AW19" s="14">
        <f t="shared" si="1"/>
        <v>1260</v>
      </c>
    </row>
    <row r="20" spans="1:49" x14ac:dyDescent="0.4">
      <c r="A20" s="5" t="s">
        <v>86</v>
      </c>
      <c r="B20" s="5" t="s">
        <v>94</v>
      </c>
      <c r="C20" s="5">
        <v>285993</v>
      </c>
      <c r="D20" s="6"/>
      <c r="E20" s="5" t="s">
        <v>11</v>
      </c>
      <c r="F20" s="5" t="s">
        <v>14</v>
      </c>
      <c r="G20" s="5" t="s">
        <v>11</v>
      </c>
      <c r="H20" s="7" t="s">
        <v>8</v>
      </c>
      <c r="I20" s="7" t="s">
        <v>35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2</v>
      </c>
      <c r="AC20" s="7">
        <v>900</v>
      </c>
      <c r="AD20" s="7">
        <v>900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9">
        <v>1800</v>
      </c>
      <c r="AV20" s="13">
        <f t="shared" si="0"/>
        <v>1800</v>
      </c>
      <c r="AW20" s="14">
        <f t="shared" si="1"/>
        <v>1260</v>
      </c>
    </row>
    <row r="21" spans="1:49" x14ac:dyDescent="0.4">
      <c r="A21" s="5" t="s">
        <v>86</v>
      </c>
      <c r="B21" s="5" t="s">
        <v>59</v>
      </c>
      <c r="C21" s="5">
        <v>159483</v>
      </c>
      <c r="D21" s="6"/>
      <c r="E21" s="5" t="s">
        <v>11</v>
      </c>
      <c r="F21" s="5" t="s">
        <v>13</v>
      </c>
      <c r="G21" s="5" t="s">
        <v>11</v>
      </c>
      <c r="H21" s="7" t="s">
        <v>8</v>
      </c>
      <c r="I21" s="7" t="s">
        <v>60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1</v>
      </c>
      <c r="AP21" s="7">
        <v>900</v>
      </c>
      <c r="AQ21" s="7">
        <v>0</v>
      </c>
      <c r="AR21" s="7">
        <v>0</v>
      </c>
      <c r="AS21" s="7">
        <v>0</v>
      </c>
      <c r="AT21" s="7">
        <v>0</v>
      </c>
      <c r="AU21" s="10">
        <v>900</v>
      </c>
      <c r="AV21" s="13">
        <f t="shared" si="0"/>
        <v>900</v>
      </c>
      <c r="AW21" s="14">
        <f t="shared" si="1"/>
        <v>630</v>
      </c>
    </row>
    <row r="22" spans="1:49" x14ac:dyDescent="0.4">
      <c r="A22" s="5" t="s">
        <v>86</v>
      </c>
      <c r="B22" s="5" t="s">
        <v>20</v>
      </c>
      <c r="C22" s="5">
        <v>159266</v>
      </c>
      <c r="D22" s="6"/>
      <c r="E22" s="5" t="s">
        <v>11</v>
      </c>
      <c r="F22" s="5" t="s">
        <v>18</v>
      </c>
      <c r="G22" s="5" t="s">
        <v>11</v>
      </c>
      <c r="H22" s="7" t="s">
        <v>8</v>
      </c>
      <c r="I22" s="7" t="s">
        <v>19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1</v>
      </c>
      <c r="AP22" s="7">
        <v>900</v>
      </c>
      <c r="AQ22" s="7">
        <v>0</v>
      </c>
      <c r="AR22" s="7">
        <v>0</v>
      </c>
      <c r="AS22" s="7">
        <v>0</v>
      </c>
      <c r="AT22" s="7">
        <v>0</v>
      </c>
      <c r="AU22" s="10">
        <v>900</v>
      </c>
      <c r="AV22" s="13">
        <f t="shared" si="0"/>
        <v>900</v>
      </c>
      <c r="AW22" s="14">
        <f t="shared" si="1"/>
        <v>630</v>
      </c>
    </row>
    <row r="23" spans="1:49" ht="19.2" x14ac:dyDescent="0.4">
      <c r="A23" s="5" t="s">
        <v>86</v>
      </c>
      <c r="B23" s="5" t="s">
        <v>68</v>
      </c>
      <c r="C23" s="5">
        <v>406370</v>
      </c>
      <c r="D23" s="6"/>
      <c r="E23" s="5" t="s">
        <v>11</v>
      </c>
      <c r="F23" s="5" t="s">
        <v>21</v>
      </c>
      <c r="G23" s="5" t="s">
        <v>22</v>
      </c>
      <c r="H23" s="7" t="s">
        <v>9</v>
      </c>
      <c r="I23" s="7" t="s">
        <v>23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1</v>
      </c>
      <c r="AC23" s="7">
        <v>900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10">
        <v>900</v>
      </c>
      <c r="AV23" s="13">
        <f t="shared" si="0"/>
        <v>900</v>
      </c>
      <c r="AW23" s="14">
        <f t="shared" si="1"/>
        <v>630</v>
      </c>
    </row>
    <row r="24" spans="1:49" x14ac:dyDescent="0.4">
      <c r="A24" s="5" t="s">
        <v>86</v>
      </c>
      <c r="B24" s="5" t="s">
        <v>29</v>
      </c>
      <c r="C24" s="5">
        <v>159255</v>
      </c>
      <c r="D24" s="6"/>
      <c r="E24" s="5" t="s">
        <v>11</v>
      </c>
      <c r="F24" s="5" t="s">
        <v>18</v>
      </c>
      <c r="G24" s="5" t="s">
        <v>11</v>
      </c>
      <c r="H24" s="7" t="s">
        <v>9</v>
      </c>
      <c r="I24" s="7" t="s">
        <v>30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1</v>
      </c>
      <c r="AC24" s="7">
        <v>900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10">
        <v>900</v>
      </c>
      <c r="AV24" s="13">
        <f t="shared" si="0"/>
        <v>900</v>
      </c>
      <c r="AW24" s="14">
        <f t="shared" si="1"/>
        <v>630</v>
      </c>
    </row>
    <row r="25" spans="1:49" x14ac:dyDescent="0.4">
      <c r="A25" s="5" t="s">
        <v>86</v>
      </c>
      <c r="B25" s="5" t="s">
        <v>95</v>
      </c>
      <c r="C25" s="5">
        <v>305089</v>
      </c>
      <c r="D25" s="6"/>
      <c r="E25" s="5" t="s">
        <v>11</v>
      </c>
      <c r="F25" s="5" t="s">
        <v>69</v>
      </c>
      <c r="G25" s="5" t="s">
        <v>11</v>
      </c>
      <c r="H25" s="7" t="s">
        <v>8</v>
      </c>
      <c r="I25" s="7" t="s">
        <v>96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1</v>
      </c>
      <c r="AC25" s="7">
        <v>900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10">
        <v>900</v>
      </c>
      <c r="AV25" s="13">
        <f t="shared" si="0"/>
        <v>900</v>
      </c>
      <c r="AW25" s="14">
        <f t="shared" si="1"/>
        <v>630</v>
      </c>
    </row>
    <row r="26" spans="1:49" x14ac:dyDescent="0.4">
      <c r="A26" s="5" t="s">
        <v>86</v>
      </c>
      <c r="B26" s="5" t="s">
        <v>33</v>
      </c>
      <c r="C26" s="5">
        <v>215737</v>
      </c>
      <c r="D26" s="6"/>
      <c r="E26" s="5" t="s">
        <v>11</v>
      </c>
      <c r="F26" s="5" t="s">
        <v>32</v>
      </c>
      <c r="G26" s="5" t="s">
        <v>11</v>
      </c>
      <c r="H26" s="7" t="s">
        <v>8</v>
      </c>
      <c r="I26" s="7" t="s">
        <v>34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4</v>
      </c>
      <c r="AS26" s="7">
        <v>400</v>
      </c>
      <c r="AT26" s="7">
        <v>0</v>
      </c>
      <c r="AU26" s="10">
        <v>400</v>
      </c>
      <c r="AV26" s="13">
        <f t="shared" si="0"/>
        <v>400</v>
      </c>
      <c r="AW26" s="14">
        <f t="shared" si="1"/>
        <v>280</v>
      </c>
    </row>
    <row r="27" spans="1:49" x14ac:dyDescent="0.4">
      <c r="A27" s="5" t="s">
        <v>86</v>
      </c>
      <c r="B27" s="5" t="s">
        <v>73</v>
      </c>
      <c r="C27" s="5">
        <v>395747</v>
      </c>
      <c r="D27" s="6"/>
      <c r="E27" s="5" t="s">
        <v>11</v>
      </c>
      <c r="F27" s="5" t="s">
        <v>14</v>
      </c>
      <c r="G27" s="5" t="s">
        <v>11</v>
      </c>
      <c r="H27" s="7" t="s">
        <v>8</v>
      </c>
      <c r="I27" s="7" t="s">
        <v>74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3</v>
      </c>
      <c r="AF27" s="7">
        <v>300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10">
        <v>300</v>
      </c>
      <c r="AV27" s="13">
        <f t="shared" si="0"/>
        <v>300</v>
      </c>
      <c r="AW27" s="14">
        <f t="shared" si="1"/>
        <v>210</v>
      </c>
    </row>
    <row r="28" spans="1:49" ht="19.2" x14ac:dyDescent="0.4">
      <c r="A28" s="5" t="s">
        <v>86</v>
      </c>
      <c r="B28" s="5" t="s">
        <v>97</v>
      </c>
      <c r="C28" s="5">
        <v>409391</v>
      </c>
      <c r="D28" s="6"/>
      <c r="E28" s="5" t="s">
        <v>11</v>
      </c>
      <c r="F28" s="5" t="s">
        <v>21</v>
      </c>
      <c r="G28" s="5" t="s">
        <v>22</v>
      </c>
      <c r="H28" s="7" t="s">
        <v>8</v>
      </c>
      <c r="I28" s="7" t="s">
        <v>98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3</v>
      </c>
      <c r="AF28" s="7">
        <v>300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10">
        <v>300</v>
      </c>
      <c r="AV28" s="13">
        <f t="shared" si="0"/>
        <v>300</v>
      </c>
      <c r="AW28" s="14">
        <f t="shared" si="1"/>
        <v>210</v>
      </c>
    </row>
    <row r="29" spans="1:49" x14ac:dyDescent="0.4">
      <c r="A29" s="5" t="s">
        <v>86</v>
      </c>
      <c r="B29" s="5" t="s">
        <v>99</v>
      </c>
      <c r="C29" s="5">
        <v>418829</v>
      </c>
      <c r="D29" s="6"/>
      <c r="E29" s="5" t="s">
        <v>11</v>
      </c>
      <c r="F29" s="5" t="s">
        <v>18</v>
      </c>
      <c r="G29" s="5" t="s">
        <v>11</v>
      </c>
      <c r="H29" s="7" t="s">
        <v>8</v>
      </c>
      <c r="I29" s="7" t="s">
        <v>100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2</v>
      </c>
      <c r="AF29" s="7">
        <v>200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1</v>
      </c>
      <c r="AS29" s="7">
        <v>100</v>
      </c>
      <c r="AT29" s="7">
        <v>0</v>
      </c>
      <c r="AU29" s="10">
        <v>300</v>
      </c>
      <c r="AV29" s="13">
        <f t="shared" si="0"/>
        <v>300</v>
      </c>
      <c r="AW29" s="14">
        <f t="shared" si="1"/>
        <v>210</v>
      </c>
    </row>
    <row r="30" spans="1:49" ht="19.2" x14ac:dyDescent="0.4">
      <c r="A30" s="5" t="s">
        <v>86</v>
      </c>
      <c r="B30" s="5" t="s">
        <v>58</v>
      </c>
      <c r="C30" s="5">
        <v>408054</v>
      </c>
      <c r="D30" s="6"/>
      <c r="E30" s="5" t="s">
        <v>11</v>
      </c>
      <c r="F30" s="5" t="s">
        <v>18</v>
      </c>
      <c r="G30" s="5" t="s">
        <v>22</v>
      </c>
      <c r="H30" s="7" t="s">
        <v>12</v>
      </c>
      <c r="I30" s="7" t="s">
        <v>36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2</v>
      </c>
      <c r="AF30" s="7">
        <v>200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10">
        <v>200</v>
      </c>
      <c r="AV30" s="13">
        <f t="shared" si="0"/>
        <v>200</v>
      </c>
      <c r="AW30" s="14">
        <f t="shared" si="1"/>
        <v>140</v>
      </c>
    </row>
    <row r="31" spans="1:49" x14ac:dyDescent="0.4">
      <c r="A31" s="5" t="s">
        <v>86</v>
      </c>
      <c r="B31" s="5" t="s">
        <v>81</v>
      </c>
      <c r="C31" s="5">
        <v>404358</v>
      </c>
      <c r="D31" s="6"/>
      <c r="E31" s="5" t="s">
        <v>11</v>
      </c>
      <c r="F31" s="5" t="s">
        <v>82</v>
      </c>
      <c r="G31" s="5" t="s">
        <v>11</v>
      </c>
      <c r="H31" s="7" t="s">
        <v>8</v>
      </c>
      <c r="I31" s="7" t="s">
        <v>83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2</v>
      </c>
      <c r="AF31" s="7">
        <v>200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10">
        <v>200</v>
      </c>
      <c r="AV31" s="13">
        <f t="shared" si="0"/>
        <v>200</v>
      </c>
      <c r="AW31" s="14">
        <f t="shared" si="1"/>
        <v>140</v>
      </c>
    </row>
    <row r="32" spans="1:49" x14ac:dyDescent="0.4">
      <c r="A32" s="5" t="s">
        <v>86</v>
      </c>
      <c r="B32" s="5" t="s">
        <v>101</v>
      </c>
      <c r="C32" s="5">
        <v>406732</v>
      </c>
      <c r="D32" s="6"/>
      <c r="E32" s="5" t="s">
        <v>11</v>
      </c>
      <c r="F32" s="5" t="s">
        <v>14</v>
      </c>
      <c r="G32" s="5" t="s">
        <v>11</v>
      </c>
      <c r="H32" s="7" t="s">
        <v>8</v>
      </c>
      <c r="I32" s="7" t="s">
        <v>102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1</v>
      </c>
      <c r="AF32" s="7">
        <v>100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10">
        <v>100</v>
      </c>
      <c r="AV32" s="13">
        <f t="shared" si="0"/>
        <v>100</v>
      </c>
      <c r="AW32" s="14">
        <f t="shared" si="1"/>
        <v>70</v>
      </c>
    </row>
    <row r="33" spans="1:49" x14ac:dyDescent="0.4">
      <c r="A33" s="5" t="s">
        <v>86</v>
      </c>
      <c r="B33" s="5" t="s">
        <v>103</v>
      </c>
      <c r="C33" s="5">
        <v>227013</v>
      </c>
      <c r="D33" s="6"/>
      <c r="E33" s="5" t="s">
        <v>11</v>
      </c>
      <c r="F33" s="5" t="s">
        <v>13</v>
      </c>
      <c r="G33" s="5" t="s">
        <v>11</v>
      </c>
      <c r="H33" s="7" t="s">
        <v>8</v>
      </c>
      <c r="I33" s="7" t="s">
        <v>104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1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10">
        <v>0</v>
      </c>
      <c r="AV33" s="13">
        <f t="shared" si="0"/>
        <v>0</v>
      </c>
      <c r="AW33" s="14">
        <f t="shared" si="1"/>
        <v>0</v>
      </c>
    </row>
    <row r="34" spans="1:49" x14ac:dyDescent="0.4">
      <c r="A34" s="5" t="s">
        <v>87</v>
      </c>
      <c r="B34" s="5" t="s">
        <v>15</v>
      </c>
      <c r="C34" s="5">
        <v>355332</v>
      </c>
      <c r="D34" s="6"/>
      <c r="E34" s="5" t="s">
        <v>11</v>
      </c>
      <c r="F34" s="5" t="s">
        <v>13</v>
      </c>
      <c r="G34" s="5" t="s">
        <v>11</v>
      </c>
      <c r="H34" s="7" t="s">
        <v>9</v>
      </c>
      <c r="I34" s="7" t="s">
        <v>54</v>
      </c>
      <c r="J34" s="7">
        <v>0</v>
      </c>
      <c r="K34" s="7">
        <v>4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2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8">
        <v>1335</v>
      </c>
      <c r="AF34" s="8">
        <v>117400</v>
      </c>
      <c r="AG34" s="8">
        <v>16100</v>
      </c>
      <c r="AH34" s="7">
        <v>0</v>
      </c>
      <c r="AI34" s="7">
        <v>0</v>
      </c>
      <c r="AJ34" s="7">
        <v>0</v>
      </c>
      <c r="AK34" s="7">
        <v>44</v>
      </c>
      <c r="AL34" s="8">
        <v>5280</v>
      </c>
      <c r="AM34" s="7">
        <v>0</v>
      </c>
      <c r="AN34" s="18">
        <v>1584</v>
      </c>
      <c r="AO34" s="7">
        <v>0</v>
      </c>
      <c r="AP34" s="7">
        <v>0</v>
      </c>
      <c r="AQ34" s="7">
        <v>0</v>
      </c>
      <c r="AR34" s="7">
        <v>537</v>
      </c>
      <c r="AS34" s="8">
        <v>52800</v>
      </c>
      <c r="AT34" s="7">
        <v>900</v>
      </c>
      <c r="AU34" s="9">
        <v>192480</v>
      </c>
      <c r="AV34" s="13">
        <f t="shared" si="0"/>
        <v>190896</v>
      </c>
      <c r="AW34" s="14">
        <f t="shared" si="1"/>
        <v>133627.19999999998</v>
      </c>
    </row>
    <row r="35" spans="1:49" x14ac:dyDescent="0.4">
      <c r="A35" s="5" t="s">
        <v>87</v>
      </c>
      <c r="B35" s="5" t="s">
        <v>16</v>
      </c>
      <c r="C35" s="5">
        <v>161447</v>
      </c>
      <c r="D35" s="6"/>
      <c r="E35" s="5" t="s">
        <v>11</v>
      </c>
      <c r="F35" s="5" t="s">
        <v>13</v>
      </c>
      <c r="G35" s="5" t="s">
        <v>11</v>
      </c>
      <c r="H35" s="7" t="s">
        <v>8</v>
      </c>
      <c r="I35" s="7" t="s">
        <v>17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5</v>
      </c>
      <c r="AC35" s="8">
        <v>4500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15</v>
      </c>
      <c r="AS35" s="8">
        <v>46000</v>
      </c>
      <c r="AT35" s="8">
        <v>2000</v>
      </c>
      <c r="AU35" s="9">
        <v>52500</v>
      </c>
      <c r="AV35" s="13">
        <f t="shared" si="0"/>
        <v>52500</v>
      </c>
      <c r="AW35" s="14">
        <f t="shared" si="1"/>
        <v>36750</v>
      </c>
    </row>
    <row r="36" spans="1:49" x14ac:dyDescent="0.4">
      <c r="A36" s="5" t="s">
        <v>87</v>
      </c>
      <c r="B36" s="5" t="s">
        <v>33</v>
      </c>
      <c r="C36" s="5">
        <v>215737</v>
      </c>
      <c r="D36" s="6"/>
      <c r="E36" s="5" t="s">
        <v>11</v>
      </c>
      <c r="F36" s="5" t="s">
        <v>32</v>
      </c>
      <c r="G36" s="5" t="s">
        <v>11</v>
      </c>
      <c r="H36" s="7" t="s">
        <v>8</v>
      </c>
      <c r="I36" s="7" t="s">
        <v>34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154</v>
      </c>
      <c r="AF36" s="8">
        <v>15400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199</v>
      </c>
      <c r="AS36" s="8">
        <v>19500</v>
      </c>
      <c r="AT36" s="7">
        <v>400</v>
      </c>
      <c r="AU36" s="9">
        <v>35300</v>
      </c>
      <c r="AV36" s="13">
        <f t="shared" si="0"/>
        <v>35300</v>
      </c>
      <c r="AW36" s="14">
        <f t="shared" si="1"/>
        <v>24710</v>
      </c>
    </row>
    <row r="37" spans="1:49" ht="19.2" x14ac:dyDescent="0.4">
      <c r="A37" s="5" t="s">
        <v>87</v>
      </c>
      <c r="B37" s="5" t="s">
        <v>105</v>
      </c>
      <c r="C37" s="5">
        <v>409392</v>
      </c>
      <c r="D37" s="6"/>
      <c r="E37" s="5" t="s">
        <v>11</v>
      </c>
      <c r="F37" s="5" t="s">
        <v>13</v>
      </c>
      <c r="G37" s="5" t="s">
        <v>22</v>
      </c>
      <c r="H37" s="7" t="s">
        <v>8</v>
      </c>
      <c r="I37" s="7" t="s">
        <v>98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259</v>
      </c>
      <c r="AF37" s="8">
        <v>25900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9">
        <v>25900</v>
      </c>
      <c r="AV37" s="13">
        <f t="shared" si="0"/>
        <v>25900</v>
      </c>
      <c r="AW37" s="14">
        <f t="shared" si="1"/>
        <v>18130</v>
      </c>
    </row>
    <row r="38" spans="1:49" x14ac:dyDescent="0.4">
      <c r="A38" s="5" t="s">
        <v>87</v>
      </c>
      <c r="B38" s="5" t="s">
        <v>31</v>
      </c>
      <c r="C38" s="5">
        <v>161539</v>
      </c>
      <c r="D38" s="6"/>
      <c r="E38" s="5" t="s">
        <v>11</v>
      </c>
      <c r="F38" s="5" t="s">
        <v>18</v>
      </c>
      <c r="G38" s="5" t="s">
        <v>11</v>
      </c>
      <c r="H38" s="7" t="s">
        <v>8</v>
      </c>
      <c r="I38" s="7" t="s">
        <v>28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3</v>
      </c>
      <c r="AC38" s="8">
        <v>2700</v>
      </c>
      <c r="AD38" s="7">
        <v>0</v>
      </c>
      <c r="AE38" s="7">
        <v>0</v>
      </c>
      <c r="AF38" s="7">
        <v>0</v>
      </c>
      <c r="AG38" s="7">
        <v>0</v>
      </c>
      <c r="AH38" s="7">
        <v>1</v>
      </c>
      <c r="AI38" s="8">
        <v>1080</v>
      </c>
      <c r="AJ38" s="7">
        <v>0</v>
      </c>
      <c r="AK38" s="7">
        <v>0</v>
      </c>
      <c r="AL38" s="7">
        <v>0</v>
      </c>
      <c r="AM38" s="7">
        <v>0</v>
      </c>
      <c r="AN38" s="7">
        <v>324</v>
      </c>
      <c r="AO38" s="7">
        <v>18</v>
      </c>
      <c r="AP38" s="8">
        <v>16000</v>
      </c>
      <c r="AQ38" s="7">
        <v>200</v>
      </c>
      <c r="AR38" s="7">
        <v>0</v>
      </c>
      <c r="AS38" s="7">
        <v>0</v>
      </c>
      <c r="AT38" s="7">
        <v>0</v>
      </c>
      <c r="AU38" s="9">
        <v>19980</v>
      </c>
      <c r="AV38" s="13">
        <f t="shared" si="0"/>
        <v>19656</v>
      </c>
      <c r="AW38" s="14">
        <f t="shared" si="1"/>
        <v>13759.199999999999</v>
      </c>
    </row>
    <row r="39" spans="1:49" x14ac:dyDescent="0.4">
      <c r="A39" s="5" t="s">
        <v>87</v>
      </c>
      <c r="B39" s="5" t="s">
        <v>27</v>
      </c>
      <c r="C39" s="5">
        <v>159270</v>
      </c>
      <c r="D39" s="6"/>
      <c r="E39" s="5" t="s">
        <v>11</v>
      </c>
      <c r="F39" s="5" t="s">
        <v>18</v>
      </c>
      <c r="G39" s="5" t="s">
        <v>11</v>
      </c>
      <c r="H39" s="7" t="s">
        <v>12</v>
      </c>
      <c r="I39" s="7" t="s">
        <v>28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4</v>
      </c>
      <c r="AC39" s="8">
        <v>3600</v>
      </c>
      <c r="AD39" s="7">
        <v>0</v>
      </c>
      <c r="AE39" s="7">
        <v>5</v>
      </c>
      <c r="AF39" s="8">
        <v>16000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9">
        <v>19600</v>
      </c>
      <c r="AV39" s="13">
        <f t="shared" si="0"/>
        <v>19600</v>
      </c>
      <c r="AW39" s="14">
        <f t="shared" si="1"/>
        <v>13720</v>
      </c>
    </row>
    <row r="40" spans="1:49" x14ac:dyDescent="0.4">
      <c r="A40" s="5" t="s">
        <v>87</v>
      </c>
      <c r="B40" s="5" t="s">
        <v>24</v>
      </c>
      <c r="C40" s="5">
        <v>159260</v>
      </c>
      <c r="D40" s="6"/>
      <c r="E40" s="5" t="s">
        <v>11</v>
      </c>
      <c r="F40" s="5" t="s">
        <v>18</v>
      </c>
      <c r="G40" s="5" t="s">
        <v>11</v>
      </c>
      <c r="H40" s="7" t="s">
        <v>8</v>
      </c>
      <c r="I40" s="7" t="s">
        <v>25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12</v>
      </c>
      <c r="AC40" s="8">
        <v>10800</v>
      </c>
      <c r="AD40" s="7">
        <v>0</v>
      </c>
      <c r="AE40" s="7">
        <v>0</v>
      </c>
      <c r="AF40" s="7">
        <v>0</v>
      </c>
      <c r="AG40" s="7">
        <v>0</v>
      </c>
      <c r="AH40" s="7">
        <v>2</v>
      </c>
      <c r="AI40" s="8">
        <v>2160</v>
      </c>
      <c r="AJ40" s="7">
        <v>0</v>
      </c>
      <c r="AK40" s="7">
        <v>0</v>
      </c>
      <c r="AL40" s="7">
        <v>0</v>
      </c>
      <c r="AM40" s="7">
        <v>0</v>
      </c>
      <c r="AN40" s="7">
        <v>648</v>
      </c>
      <c r="AO40" s="7">
        <v>5</v>
      </c>
      <c r="AP40" s="8">
        <v>4500</v>
      </c>
      <c r="AQ40" s="7">
        <v>0</v>
      </c>
      <c r="AR40" s="7">
        <v>0</v>
      </c>
      <c r="AS40" s="7">
        <v>0</v>
      </c>
      <c r="AT40" s="7">
        <v>0</v>
      </c>
      <c r="AU40" s="9">
        <v>17460</v>
      </c>
      <c r="AV40" s="13">
        <f t="shared" si="0"/>
        <v>16812</v>
      </c>
      <c r="AW40" s="14">
        <f t="shared" si="1"/>
        <v>11768.4</v>
      </c>
    </row>
    <row r="41" spans="1:49" x14ac:dyDescent="0.4">
      <c r="A41" s="5" t="s">
        <v>87</v>
      </c>
      <c r="B41" s="5" t="s">
        <v>59</v>
      </c>
      <c r="C41" s="5">
        <v>159483</v>
      </c>
      <c r="D41" s="6"/>
      <c r="E41" s="5" t="s">
        <v>11</v>
      </c>
      <c r="F41" s="5" t="s">
        <v>13</v>
      </c>
      <c r="G41" s="5" t="s">
        <v>11</v>
      </c>
      <c r="H41" s="7" t="s">
        <v>8</v>
      </c>
      <c r="I41" s="7" t="s">
        <v>60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19</v>
      </c>
      <c r="AP41" s="8">
        <v>15100</v>
      </c>
      <c r="AQ41" s="8">
        <v>2000</v>
      </c>
      <c r="AR41" s="7">
        <v>0</v>
      </c>
      <c r="AS41" s="7">
        <v>0</v>
      </c>
      <c r="AT41" s="7">
        <v>0</v>
      </c>
      <c r="AU41" s="9">
        <v>17100</v>
      </c>
      <c r="AV41" s="13">
        <f t="shared" si="0"/>
        <v>17100</v>
      </c>
      <c r="AW41" s="14">
        <f t="shared" si="1"/>
        <v>11970</v>
      </c>
    </row>
    <row r="42" spans="1:49" x14ac:dyDescent="0.4">
      <c r="A42" s="5" t="s">
        <v>87</v>
      </c>
      <c r="B42" s="5" t="s">
        <v>57</v>
      </c>
      <c r="C42" s="5">
        <v>192737</v>
      </c>
      <c r="D42" s="6"/>
      <c r="E42" s="5" t="s">
        <v>11</v>
      </c>
      <c r="F42" s="5" t="s">
        <v>21</v>
      </c>
      <c r="G42" s="5" t="s">
        <v>11</v>
      </c>
      <c r="H42" s="7" t="s">
        <v>8</v>
      </c>
      <c r="I42" s="7" t="s">
        <v>26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5</v>
      </c>
      <c r="AC42" s="8">
        <v>4500</v>
      </c>
      <c r="AD42" s="7">
        <v>0</v>
      </c>
      <c r="AE42" s="7">
        <v>2</v>
      </c>
      <c r="AF42" s="8">
        <v>6400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1</v>
      </c>
      <c r="AP42" s="7">
        <v>900</v>
      </c>
      <c r="AQ42" s="7">
        <v>0</v>
      </c>
      <c r="AR42" s="7">
        <v>0</v>
      </c>
      <c r="AS42" s="7">
        <v>0</v>
      </c>
      <c r="AT42" s="7">
        <v>0</v>
      </c>
      <c r="AU42" s="9">
        <v>11800</v>
      </c>
      <c r="AV42" s="13">
        <f t="shared" si="0"/>
        <v>11800</v>
      </c>
      <c r="AW42" s="14">
        <f t="shared" si="1"/>
        <v>8260</v>
      </c>
    </row>
    <row r="43" spans="1:49" x14ac:dyDescent="0.4">
      <c r="A43" s="5" t="s">
        <v>87</v>
      </c>
      <c r="B43" s="5" t="s">
        <v>90</v>
      </c>
      <c r="C43" s="5">
        <v>192732</v>
      </c>
      <c r="D43" s="6"/>
      <c r="E43" s="5" t="s">
        <v>11</v>
      </c>
      <c r="F43" s="5" t="s">
        <v>21</v>
      </c>
      <c r="G43" s="5" t="s">
        <v>11</v>
      </c>
      <c r="H43" s="7" t="s">
        <v>8</v>
      </c>
      <c r="I43" s="7" t="s">
        <v>26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1</v>
      </c>
      <c r="AC43" s="7">
        <v>900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8</v>
      </c>
      <c r="AP43" s="8">
        <v>7200</v>
      </c>
      <c r="AQ43" s="7">
        <v>0</v>
      </c>
      <c r="AR43" s="7">
        <v>0</v>
      </c>
      <c r="AS43" s="7">
        <v>0</v>
      </c>
      <c r="AT43" s="7">
        <v>0</v>
      </c>
      <c r="AU43" s="9">
        <v>8100</v>
      </c>
      <c r="AV43" s="13">
        <f t="shared" si="0"/>
        <v>8100</v>
      </c>
      <c r="AW43" s="14">
        <f t="shared" si="1"/>
        <v>5670</v>
      </c>
    </row>
    <row r="44" spans="1:49" x14ac:dyDescent="0.4">
      <c r="A44" s="5" t="s">
        <v>87</v>
      </c>
      <c r="B44" s="5" t="s">
        <v>20</v>
      </c>
      <c r="C44" s="5">
        <v>159266</v>
      </c>
      <c r="D44" s="6"/>
      <c r="E44" s="5" t="s">
        <v>11</v>
      </c>
      <c r="F44" s="5" t="s">
        <v>18</v>
      </c>
      <c r="G44" s="5" t="s">
        <v>11</v>
      </c>
      <c r="H44" s="7" t="s">
        <v>8</v>
      </c>
      <c r="I44" s="7" t="s">
        <v>19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8</v>
      </c>
      <c r="AP44" s="8">
        <v>7200</v>
      </c>
      <c r="AQ44" s="7">
        <v>0</v>
      </c>
      <c r="AR44" s="7">
        <v>0</v>
      </c>
      <c r="AS44" s="7">
        <v>0</v>
      </c>
      <c r="AT44" s="7">
        <v>0</v>
      </c>
      <c r="AU44" s="9">
        <v>7200</v>
      </c>
      <c r="AV44" s="13">
        <f t="shared" si="0"/>
        <v>7200</v>
      </c>
      <c r="AW44" s="14">
        <f t="shared" si="1"/>
        <v>5040</v>
      </c>
    </row>
    <row r="45" spans="1:49" x14ac:dyDescent="0.4">
      <c r="A45" s="5" t="s">
        <v>87</v>
      </c>
      <c r="B45" s="5" t="s">
        <v>52</v>
      </c>
      <c r="C45" s="5">
        <v>194565</v>
      </c>
      <c r="D45" s="6"/>
      <c r="E45" s="5" t="s">
        <v>11</v>
      </c>
      <c r="F45" s="5" t="s">
        <v>18</v>
      </c>
      <c r="G45" s="5" t="s">
        <v>11</v>
      </c>
      <c r="H45" s="7" t="s">
        <v>8</v>
      </c>
      <c r="I45" s="7" t="s">
        <v>53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65</v>
      </c>
      <c r="AS45" s="8">
        <v>6500</v>
      </c>
      <c r="AT45" s="7">
        <v>0</v>
      </c>
      <c r="AU45" s="9">
        <v>6500</v>
      </c>
      <c r="AV45" s="13">
        <f t="shared" si="0"/>
        <v>6500</v>
      </c>
      <c r="AW45" s="14">
        <f t="shared" si="1"/>
        <v>4550</v>
      </c>
    </row>
    <row r="46" spans="1:49" x14ac:dyDescent="0.4">
      <c r="A46" s="5" t="s">
        <v>87</v>
      </c>
      <c r="B46" s="5" t="s">
        <v>29</v>
      </c>
      <c r="C46" s="5">
        <v>159255</v>
      </c>
      <c r="D46" s="6"/>
      <c r="E46" s="5" t="s">
        <v>11</v>
      </c>
      <c r="F46" s="5" t="s">
        <v>18</v>
      </c>
      <c r="G46" s="5" t="s">
        <v>11</v>
      </c>
      <c r="H46" s="7" t="s">
        <v>9</v>
      </c>
      <c r="I46" s="7" t="s">
        <v>30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4</v>
      </c>
      <c r="AC46" s="8">
        <v>3600</v>
      </c>
      <c r="AD46" s="7">
        <v>0</v>
      </c>
      <c r="AE46" s="7">
        <v>0</v>
      </c>
      <c r="AF46" s="7">
        <v>0</v>
      </c>
      <c r="AG46" s="7">
        <v>0</v>
      </c>
      <c r="AH46" s="7">
        <v>1</v>
      </c>
      <c r="AI46" s="8">
        <v>1080</v>
      </c>
      <c r="AJ46" s="7">
        <v>0</v>
      </c>
      <c r="AK46" s="7">
        <v>0</v>
      </c>
      <c r="AL46" s="7">
        <v>0</v>
      </c>
      <c r="AM46" s="7">
        <v>0</v>
      </c>
      <c r="AN46" s="7">
        <v>324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9">
        <v>4680</v>
      </c>
      <c r="AV46" s="13">
        <f t="shared" si="0"/>
        <v>4356</v>
      </c>
      <c r="AW46" s="14">
        <f t="shared" si="1"/>
        <v>3049.2</v>
      </c>
    </row>
    <row r="47" spans="1:49" x14ac:dyDescent="0.4">
      <c r="A47" s="5" t="s">
        <v>87</v>
      </c>
      <c r="B47" s="5" t="s">
        <v>76</v>
      </c>
      <c r="C47" s="5">
        <v>173863</v>
      </c>
      <c r="D47" s="6"/>
      <c r="E47" s="5" t="s">
        <v>11</v>
      </c>
      <c r="F47" s="5" t="s">
        <v>18</v>
      </c>
      <c r="G47" s="5" t="s">
        <v>11</v>
      </c>
      <c r="H47" s="7" t="s">
        <v>8</v>
      </c>
      <c r="I47" s="7" t="s">
        <v>77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5</v>
      </c>
      <c r="AC47" s="8">
        <v>4500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9">
        <v>4500</v>
      </c>
      <c r="AV47" s="13">
        <f t="shared" si="0"/>
        <v>4500</v>
      </c>
      <c r="AW47" s="14">
        <f t="shared" si="1"/>
        <v>3150</v>
      </c>
    </row>
    <row r="48" spans="1:49" x14ac:dyDescent="0.4">
      <c r="A48" s="5" t="s">
        <v>87</v>
      </c>
      <c r="B48" s="5" t="s">
        <v>72</v>
      </c>
      <c r="C48" s="5">
        <v>159268</v>
      </c>
      <c r="D48" s="6"/>
      <c r="E48" s="5" t="s">
        <v>11</v>
      </c>
      <c r="F48" s="5" t="s">
        <v>18</v>
      </c>
      <c r="G48" s="5" t="s">
        <v>11</v>
      </c>
      <c r="H48" s="7" t="s">
        <v>8</v>
      </c>
      <c r="I48" s="7" t="s">
        <v>19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4</v>
      </c>
      <c r="AC48" s="8">
        <v>3600</v>
      </c>
      <c r="AD48" s="7">
        <v>0</v>
      </c>
      <c r="AE48" s="7">
        <v>0</v>
      </c>
      <c r="AF48" s="7">
        <v>0</v>
      </c>
      <c r="AG48" s="7">
        <v>0</v>
      </c>
      <c r="AH48" s="7">
        <v>1</v>
      </c>
      <c r="AI48" s="7">
        <v>0</v>
      </c>
      <c r="AJ48" s="7">
        <v>900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9">
        <v>4500</v>
      </c>
      <c r="AV48" s="13">
        <f t="shared" si="0"/>
        <v>4500</v>
      </c>
      <c r="AW48" s="14">
        <f t="shared" si="1"/>
        <v>3150</v>
      </c>
    </row>
    <row r="49" spans="1:49" x14ac:dyDescent="0.4">
      <c r="A49" s="5" t="s">
        <v>87</v>
      </c>
      <c r="B49" s="5" t="s">
        <v>94</v>
      </c>
      <c r="C49" s="5">
        <v>285993</v>
      </c>
      <c r="D49" s="6"/>
      <c r="E49" s="5" t="s">
        <v>11</v>
      </c>
      <c r="F49" s="5" t="s">
        <v>14</v>
      </c>
      <c r="G49" s="5" t="s">
        <v>11</v>
      </c>
      <c r="H49" s="7" t="s">
        <v>8</v>
      </c>
      <c r="I49" s="7" t="s">
        <v>35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5</v>
      </c>
      <c r="AC49" s="8">
        <v>3600</v>
      </c>
      <c r="AD49" s="7">
        <v>900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9">
        <v>4500</v>
      </c>
      <c r="AV49" s="13">
        <f t="shared" si="0"/>
        <v>4500</v>
      </c>
      <c r="AW49" s="14">
        <f t="shared" si="1"/>
        <v>3150</v>
      </c>
    </row>
    <row r="50" spans="1:49" x14ac:dyDescent="0.4">
      <c r="A50" s="5" t="s">
        <v>87</v>
      </c>
      <c r="B50" s="5" t="s">
        <v>79</v>
      </c>
      <c r="C50" s="5">
        <v>406353</v>
      </c>
      <c r="D50" s="6"/>
      <c r="E50" s="5" t="s">
        <v>106</v>
      </c>
      <c r="F50" s="5" t="s">
        <v>80</v>
      </c>
      <c r="G50" s="5" t="s">
        <v>106</v>
      </c>
      <c r="H50" s="7" t="s">
        <v>8</v>
      </c>
      <c r="I50" s="7" t="s">
        <v>23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4</v>
      </c>
      <c r="AC50" s="8">
        <v>3600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9">
        <v>3600</v>
      </c>
      <c r="AV50" s="13">
        <f t="shared" si="0"/>
        <v>3600</v>
      </c>
      <c r="AW50" s="14">
        <f t="shared" si="1"/>
        <v>2520</v>
      </c>
    </row>
    <row r="51" spans="1:49" x14ac:dyDescent="0.4">
      <c r="A51" s="5" t="s">
        <v>87</v>
      </c>
      <c r="B51" s="5" t="s">
        <v>75</v>
      </c>
      <c r="C51" s="5">
        <v>159258</v>
      </c>
      <c r="D51" s="6"/>
      <c r="E51" s="5" t="s">
        <v>11</v>
      </c>
      <c r="F51" s="5" t="s">
        <v>18</v>
      </c>
      <c r="G51" s="5" t="s">
        <v>11</v>
      </c>
      <c r="H51" s="7" t="s">
        <v>8</v>
      </c>
      <c r="I51" s="7" t="s">
        <v>19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4</v>
      </c>
      <c r="AC51" s="8">
        <v>3600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9">
        <v>3600</v>
      </c>
      <c r="AV51" s="13">
        <f t="shared" si="0"/>
        <v>3600</v>
      </c>
      <c r="AW51" s="14">
        <f t="shared" si="1"/>
        <v>2520</v>
      </c>
    </row>
    <row r="52" spans="1:49" x14ac:dyDescent="0.4">
      <c r="A52" s="5" t="s">
        <v>87</v>
      </c>
      <c r="B52" s="5" t="s">
        <v>55</v>
      </c>
      <c r="C52" s="5">
        <v>229857</v>
      </c>
      <c r="D52" s="6"/>
      <c r="E52" s="5" t="s">
        <v>11</v>
      </c>
      <c r="F52" s="5" t="s">
        <v>14</v>
      </c>
      <c r="G52" s="5" t="s">
        <v>11</v>
      </c>
      <c r="H52" s="7" t="s">
        <v>12</v>
      </c>
      <c r="I52" s="7" t="s">
        <v>56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4</v>
      </c>
      <c r="AP52" s="8">
        <v>3400</v>
      </c>
      <c r="AQ52" s="7">
        <v>200</v>
      </c>
      <c r="AR52" s="7">
        <v>0</v>
      </c>
      <c r="AS52" s="7">
        <v>0</v>
      </c>
      <c r="AT52" s="7">
        <v>0</v>
      </c>
      <c r="AU52" s="9">
        <v>3600</v>
      </c>
      <c r="AV52" s="13">
        <f t="shared" si="0"/>
        <v>3600</v>
      </c>
      <c r="AW52" s="14">
        <f t="shared" si="1"/>
        <v>2520</v>
      </c>
    </row>
    <row r="53" spans="1:49" x14ac:dyDescent="0.4">
      <c r="A53" s="5" t="s">
        <v>87</v>
      </c>
      <c r="B53" s="5" t="s">
        <v>70</v>
      </c>
      <c r="C53" s="5">
        <v>196917</v>
      </c>
      <c r="D53" s="6"/>
      <c r="E53" s="5" t="s">
        <v>11</v>
      </c>
      <c r="F53" s="5" t="s">
        <v>21</v>
      </c>
      <c r="G53" s="5" t="s">
        <v>11</v>
      </c>
      <c r="H53" s="7" t="s">
        <v>8</v>
      </c>
      <c r="I53" s="7" t="s">
        <v>71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4</v>
      </c>
      <c r="AC53" s="8">
        <v>3600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9">
        <v>3600</v>
      </c>
      <c r="AV53" s="13">
        <f t="shared" si="0"/>
        <v>3600</v>
      </c>
      <c r="AW53" s="14">
        <f t="shared" si="1"/>
        <v>2520</v>
      </c>
    </row>
    <row r="54" spans="1:49" x14ac:dyDescent="0.4">
      <c r="A54" s="5" t="s">
        <v>87</v>
      </c>
      <c r="B54" s="5" t="s">
        <v>81</v>
      </c>
      <c r="C54" s="5">
        <v>404358</v>
      </c>
      <c r="D54" s="6"/>
      <c r="E54" s="5" t="s">
        <v>11</v>
      </c>
      <c r="F54" s="5" t="s">
        <v>82</v>
      </c>
      <c r="G54" s="5" t="s">
        <v>11</v>
      </c>
      <c r="H54" s="7" t="s">
        <v>8</v>
      </c>
      <c r="I54" s="7" t="s">
        <v>83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35</v>
      </c>
      <c r="AF54" s="8">
        <v>3500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9">
        <v>3500</v>
      </c>
      <c r="AV54" s="13">
        <f t="shared" si="0"/>
        <v>3500</v>
      </c>
      <c r="AW54" s="14">
        <f t="shared" si="1"/>
        <v>2450</v>
      </c>
    </row>
    <row r="55" spans="1:49" x14ac:dyDescent="0.4">
      <c r="A55" s="5" t="s">
        <v>87</v>
      </c>
      <c r="B55" s="5" t="s">
        <v>61</v>
      </c>
      <c r="C55" s="5">
        <v>326544</v>
      </c>
      <c r="D55" s="6"/>
      <c r="E55" s="5" t="s">
        <v>11</v>
      </c>
      <c r="F55" s="5" t="s">
        <v>62</v>
      </c>
      <c r="G55" s="5" t="s">
        <v>11</v>
      </c>
      <c r="H55" s="7" t="s">
        <v>8</v>
      </c>
      <c r="I55" s="7" t="s">
        <v>63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1</v>
      </c>
      <c r="AF55" s="7">
        <v>100</v>
      </c>
      <c r="AG55" s="7">
        <v>0</v>
      </c>
      <c r="AH55" s="7">
        <v>0</v>
      </c>
      <c r="AI55" s="7">
        <v>0</v>
      </c>
      <c r="AJ55" s="7">
        <v>0</v>
      </c>
      <c r="AK55" s="7">
        <v>22</v>
      </c>
      <c r="AL55" s="8">
        <v>2640</v>
      </c>
      <c r="AM55" s="7">
        <v>0</v>
      </c>
      <c r="AN55" s="7">
        <v>792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9">
        <v>2740</v>
      </c>
      <c r="AV55" s="13">
        <f t="shared" si="0"/>
        <v>1948</v>
      </c>
      <c r="AW55" s="14">
        <f t="shared" si="1"/>
        <v>1363.6</v>
      </c>
    </row>
    <row r="56" spans="1:49" x14ac:dyDescent="0.4">
      <c r="A56" s="5" t="s">
        <v>87</v>
      </c>
      <c r="B56" s="5" t="s">
        <v>95</v>
      </c>
      <c r="C56" s="5">
        <v>305089</v>
      </c>
      <c r="D56" s="6"/>
      <c r="E56" s="5" t="s">
        <v>11</v>
      </c>
      <c r="F56" s="5" t="s">
        <v>69</v>
      </c>
      <c r="G56" s="5" t="s">
        <v>11</v>
      </c>
      <c r="H56" s="7" t="s">
        <v>8</v>
      </c>
      <c r="I56" s="7" t="s">
        <v>96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3</v>
      </c>
      <c r="AC56" s="8">
        <v>2700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9">
        <v>2700</v>
      </c>
      <c r="AV56" s="13">
        <f t="shared" si="0"/>
        <v>2700</v>
      </c>
      <c r="AW56" s="14">
        <f t="shared" si="1"/>
        <v>1889.9999999999998</v>
      </c>
    </row>
    <row r="57" spans="1:49" x14ac:dyDescent="0.4">
      <c r="A57" s="5" t="s">
        <v>87</v>
      </c>
      <c r="B57" s="5" t="s">
        <v>66</v>
      </c>
      <c r="C57" s="5">
        <v>192729</v>
      </c>
      <c r="D57" s="6"/>
      <c r="E57" s="5" t="s">
        <v>11</v>
      </c>
      <c r="F57" s="5" t="s">
        <v>21</v>
      </c>
      <c r="G57" s="5" t="s">
        <v>11</v>
      </c>
      <c r="H57" s="7" t="s">
        <v>8</v>
      </c>
      <c r="I57" s="7" t="s">
        <v>67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2</v>
      </c>
      <c r="AC57" s="8">
        <v>1800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1</v>
      </c>
      <c r="AP57" s="7">
        <v>900</v>
      </c>
      <c r="AQ57" s="7">
        <v>0</v>
      </c>
      <c r="AR57" s="7">
        <v>0</v>
      </c>
      <c r="AS57" s="7">
        <v>0</v>
      </c>
      <c r="AT57" s="7">
        <v>0</v>
      </c>
      <c r="AU57" s="9">
        <v>2700</v>
      </c>
      <c r="AV57" s="13">
        <f t="shared" ref="AV57:AV73" si="2">AU57-AN57</f>
        <v>2700</v>
      </c>
      <c r="AW57" s="14">
        <f t="shared" ref="AW57:AW73" si="3">AV57*70%</f>
        <v>1889.9999999999998</v>
      </c>
    </row>
    <row r="58" spans="1:49" x14ac:dyDescent="0.4">
      <c r="A58" s="5" t="s">
        <v>87</v>
      </c>
      <c r="B58" s="5" t="s">
        <v>101</v>
      </c>
      <c r="C58" s="5">
        <v>406732</v>
      </c>
      <c r="D58" s="6"/>
      <c r="E58" s="5" t="s">
        <v>11</v>
      </c>
      <c r="F58" s="5" t="s">
        <v>14</v>
      </c>
      <c r="G58" s="5" t="s">
        <v>11</v>
      </c>
      <c r="H58" s="7" t="s">
        <v>8</v>
      </c>
      <c r="I58" s="7" t="s">
        <v>102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16</v>
      </c>
      <c r="AF58" s="8">
        <v>1400</v>
      </c>
      <c r="AG58" s="7">
        <v>200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9">
        <v>1600</v>
      </c>
      <c r="AV58" s="13">
        <f t="shared" si="2"/>
        <v>1600</v>
      </c>
      <c r="AW58" s="14">
        <f t="shared" si="3"/>
        <v>1120</v>
      </c>
    </row>
    <row r="59" spans="1:49" x14ac:dyDescent="0.4">
      <c r="A59" s="5" t="s">
        <v>87</v>
      </c>
      <c r="B59" s="5" t="s">
        <v>78</v>
      </c>
      <c r="C59" s="5">
        <v>285990</v>
      </c>
      <c r="D59" s="6"/>
      <c r="E59" s="5" t="s">
        <v>11</v>
      </c>
      <c r="F59" s="5" t="s">
        <v>14</v>
      </c>
      <c r="G59" s="5" t="s">
        <v>11</v>
      </c>
      <c r="H59" s="7" t="s">
        <v>8</v>
      </c>
      <c r="I59" s="7" t="s">
        <v>35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1</v>
      </c>
      <c r="AC59" s="7">
        <v>900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10">
        <v>900</v>
      </c>
      <c r="AV59" s="13">
        <f t="shared" si="2"/>
        <v>900</v>
      </c>
      <c r="AW59" s="14">
        <f t="shared" si="3"/>
        <v>630</v>
      </c>
    </row>
    <row r="60" spans="1:49" x14ac:dyDescent="0.4">
      <c r="A60" s="5" t="s">
        <v>87</v>
      </c>
      <c r="B60" s="5" t="s">
        <v>64</v>
      </c>
      <c r="C60" s="5">
        <v>258201</v>
      </c>
      <c r="D60" s="6"/>
      <c r="E60" s="5" t="s">
        <v>11</v>
      </c>
      <c r="F60" s="5" t="s">
        <v>32</v>
      </c>
      <c r="G60" s="5" t="s">
        <v>11</v>
      </c>
      <c r="H60" s="7" t="s">
        <v>8</v>
      </c>
      <c r="I60" s="7" t="s">
        <v>65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1</v>
      </c>
      <c r="AC60" s="7">
        <v>900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10">
        <v>900</v>
      </c>
      <c r="AV60" s="13">
        <f t="shared" si="2"/>
        <v>900</v>
      </c>
      <c r="AW60" s="14">
        <f t="shared" si="3"/>
        <v>630</v>
      </c>
    </row>
    <row r="61" spans="1:49" x14ac:dyDescent="0.4">
      <c r="A61" s="5" t="s">
        <v>87</v>
      </c>
      <c r="B61" s="5" t="s">
        <v>107</v>
      </c>
      <c r="C61" s="5">
        <v>165741</v>
      </c>
      <c r="D61" s="6"/>
      <c r="E61" s="5" t="s">
        <v>11</v>
      </c>
      <c r="F61" s="5" t="s">
        <v>13</v>
      </c>
      <c r="G61" s="5" t="s">
        <v>11</v>
      </c>
      <c r="H61" s="7" t="s">
        <v>8</v>
      </c>
      <c r="I61" s="7" t="s">
        <v>108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1</v>
      </c>
      <c r="AC61" s="7">
        <v>900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10">
        <v>900</v>
      </c>
      <c r="AV61" s="13">
        <f t="shared" si="2"/>
        <v>900</v>
      </c>
      <c r="AW61" s="14">
        <f t="shared" si="3"/>
        <v>630</v>
      </c>
    </row>
    <row r="62" spans="1:49" x14ac:dyDescent="0.4">
      <c r="A62" s="5" t="s">
        <v>87</v>
      </c>
      <c r="B62" s="5" t="s">
        <v>84</v>
      </c>
      <c r="C62" s="5">
        <v>183137</v>
      </c>
      <c r="D62" s="6"/>
      <c r="E62" s="5" t="s">
        <v>11</v>
      </c>
      <c r="F62" s="5" t="s">
        <v>13</v>
      </c>
      <c r="G62" s="5" t="s">
        <v>11</v>
      </c>
      <c r="H62" s="7" t="s">
        <v>8</v>
      </c>
      <c r="I62" s="7" t="s">
        <v>85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1</v>
      </c>
      <c r="AC62" s="7">
        <v>900</v>
      </c>
      <c r="AD62" s="7">
        <v>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10">
        <v>900</v>
      </c>
      <c r="AV62" s="13">
        <f t="shared" si="2"/>
        <v>900</v>
      </c>
      <c r="AW62" s="14">
        <f t="shared" si="3"/>
        <v>630</v>
      </c>
    </row>
    <row r="63" spans="1:49" ht="19.2" x14ac:dyDescent="0.4">
      <c r="A63" s="5" t="s">
        <v>87</v>
      </c>
      <c r="B63" s="5" t="s">
        <v>97</v>
      </c>
      <c r="C63" s="5">
        <v>409391</v>
      </c>
      <c r="D63" s="6"/>
      <c r="E63" s="5" t="s">
        <v>11</v>
      </c>
      <c r="F63" s="5" t="s">
        <v>21</v>
      </c>
      <c r="G63" s="5" t="s">
        <v>22</v>
      </c>
      <c r="H63" s="7" t="s">
        <v>8</v>
      </c>
      <c r="I63" s="7" t="s">
        <v>98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8</v>
      </c>
      <c r="AF63" s="7">
        <v>800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10">
        <v>800</v>
      </c>
      <c r="AV63" s="13">
        <f t="shared" si="2"/>
        <v>800</v>
      </c>
      <c r="AW63" s="14">
        <f t="shared" si="3"/>
        <v>560</v>
      </c>
    </row>
    <row r="64" spans="1:49" x14ac:dyDescent="0.4">
      <c r="A64" s="5" t="s">
        <v>87</v>
      </c>
      <c r="B64" s="5" t="s">
        <v>73</v>
      </c>
      <c r="C64" s="5">
        <v>395747</v>
      </c>
      <c r="D64" s="6"/>
      <c r="E64" s="5" t="s">
        <v>11</v>
      </c>
      <c r="F64" s="5" t="s">
        <v>14</v>
      </c>
      <c r="G64" s="5" t="s">
        <v>11</v>
      </c>
      <c r="H64" s="7" t="s">
        <v>8</v>
      </c>
      <c r="I64" s="7" t="s">
        <v>74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6</v>
      </c>
      <c r="AF64" s="7">
        <v>600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10">
        <v>600</v>
      </c>
      <c r="AV64" s="13">
        <f t="shared" si="2"/>
        <v>600</v>
      </c>
      <c r="AW64" s="14">
        <f t="shared" si="3"/>
        <v>420</v>
      </c>
    </row>
    <row r="65" spans="1:49" x14ac:dyDescent="0.4">
      <c r="A65" s="5" t="s">
        <v>87</v>
      </c>
      <c r="B65" s="5" t="s">
        <v>109</v>
      </c>
      <c r="C65" s="5">
        <v>99966</v>
      </c>
      <c r="D65" s="6"/>
      <c r="E65" s="5" t="s">
        <v>11</v>
      </c>
      <c r="F65" s="5" t="s">
        <v>18</v>
      </c>
      <c r="G65" s="5" t="s">
        <v>11</v>
      </c>
      <c r="H65" s="7" t="s">
        <v>12</v>
      </c>
      <c r="I65" s="7" t="s">
        <v>110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6</v>
      </c>
      <c r="AS65" s="7">
        <v>600</v>
      </c>
      <c r="AT65" s="7">
        <v>0</v>
      </c>
      <c r="AU65" s="10">
        <v>600</v>
      </c>
      <c r="AV65" s="13">
        <f t="shared" si="2"/>
        <v>600</v>
      </c>
      <c r="AW65" s="14">
        <f t="shared" si="3"/>
        <v>420</v>
      </c>
    </row>
    <row r="66" spans="1:49" ht="19.2" x14ac:dyDescent="0.4">
      <c r="A66" s="5" t="s">
        <v>87</v>
      </c>
      <c r="B66" s="5" t="s">
        <v>58</v>
      </c>
      <c r="C66" s="5">
        <v>408054</v>
      </c>
      <c r="D66" s="6"/>
      <c r="E66" s="5" t="s">
        <v>11</v>
      </c>
      <c r="F66" s="5" t="s">
        <v>18</v>
      </c>
      <c r="G66" s="5" t="s">
        <v>22</v>
      </c>
      <c r="H66" s="7" t="s">
        <v>12</v>
      </c>
      <c r="I66" s="7" t="s">
        <v>36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2</v>
      </c>
      <c r="AF66" s="7">
        <v>200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10">
        <v>200</v>
      </c>
      <c r="AV66" s="13">
        <f t="shared" si="2"/>
        <v>200</v>
      </c>
      <c r="AW66" s="14">
        <f t="shared" si="3"/>
        <v>140</v>
      </c>
    </row>
    <row r="67" spans="1:49" x14ac:dyDescent="0.4">
      <c r="A67" s="5" t="s">
        <v>87</v>
      </c>
      <c r="B67" s="5" t="s">
        <v>103</v>
      </c>
      <c r="C67" s="5">
        <v>227013</v>
      </c>
      <c r="D67" s="6"/>
      <c r="E67" s="5" t="s">
        <v>11</v>
      </c>
      <c r="F67" s="5" t="s">
        <v>13</v>
      </c>
      <c r="G67" s="5" t="s">
        <v>11</v>
      </c>
      <c r="H67" s="7" t="s">
        <v>8</v>
      </c>
      <c r="I67" s="7" t="s">
        <v>104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4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10">
        <v>0</v>
      </c>
      <c r="AV67" s="13">
        <f t="shared" si="2"/>
        <v>0</v>
      </c>
      <c r="AW67" s="14">
        <f t="shared" si="3"/>
        <v>0</v>
      </c>
    </row>
    <row r="68" spans="1:49" x14ac:dyDescent="0.4">
      <c r="A68" s="5" t="s">
        <v>88</v>
      </c>
      <c r="B68" s="5" t="s">
        <v>15</v>
      </c>
      <c r="C68" s="5">
        <v>355332</v>
      </c>
      <c r="D68" s="6"/>
      <c r="E68" s="5" t="s">
        <v>11</v>
      </c>
      <c r="F68" s="5" t="s">
        <v>13</v>
      </c>
      <c r="G68" s="5" t="s">
        <v>11</v>
      </c>
      <c r="H68" s="7" t="s">
        <v>9</v>
      </c>
      <c r="I68" s="7" t="s">
        <v>54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48</v>
      </c>
      <c r="AF68" s="8">
        <v>4400</v>
      </c>
      <c r="AG68" s="7">
        <v>400</v>
      </c>
      <c r="AH68" s="7">
        <v>0</v>
      </c>
      <c r="AI68" s="7">
        <v>0</v>
      </c>
      <c r="AJ68" s="7">
        <v>0</v>
      </c>
      <c r="AK68" s="7">
        <v>1</v>
      </c>
      <c r="AL68" s="7">
        <v>120</v>
      </c>
      <c r="AM68" s="7">
        <v>0</v>
      </c>
      <c r="AN68" s="7">
        <v>36</v>
      </c>
      <c r="AO68" s="7">
        <v>0</v>
      </c>
      <c r="AP68" s="7">
        <v>0</v>
      </c>
      <c r="AQ68" s="7">
        <v>0</v>
      </c>
      <c r="AR68" s="7">
        <v>4</v>
      </c>
      <c r="AS68" s="7">
        <v>300</v>
      </c>
      <c r="AT68" s="7">
        <v>100</v>
      </c>
      <c r="AU68" s="9">
        <v>5320</v>
      </c>
      <c r="AV68" s="13">
        <f t="shared" si="2"/>
        <v>5284</v>
      </c>
      <c r="AW68" s="14">
        <f t="shared" si="3"/>
        <v>3698.7999999999997</v>
      </c>
    </row>
    <row r="69" spans="1:49" x14ac:dyDescent="0.4">
      <c r="A69" s="5" t="s">
        <v>88</v>
      </c>
      <c r="B69" s="5" t="s">
        <v>24</v>
      </c>
      <c r="C69" s="5">
        <v>159260</v>
      </c>
      <c r="D69" s="6"/>
      <c r="E69" s="5" t="s">
        <v>11</v>
      </c>
      <c r="F69" s="5" t="s">
        <v>18</v>
      </c>
      <c r="G69" s="5" t="s">
        <v>11</v>
      </c>
      <c r="H69" s="7" t="s">
        <v>8</v>
      </c>
      <c r="I69" s="7" t="s">
        <v>25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2</v>
      </c>
      <c r="AC69" s="8">
        <v>1800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9">
        <v>1800</v>
      </c>
      <c r="AV69" s="13">
        <f t="shared" si="2"/>
        <v>1800</v>
      </c>
      <c r="AW69" s="14">
        <f t="shared" si="3"/>
        <v>1260</v>
      </c>
    </row>
    <row r="70" spans="1:49" x14ac:dyDescent="0.4">
      <c r="A70" s="5" t="s">
        <v>88</v>
      </c>
      <c r="B70" s="5" t="s">
        <v>75</v>
      </c>
      <c r="C70" s="5">
        <v>159258</v>
      </c>
      <c r="D70" s="6"/>
      <c r="E70" s="5" t="s">
        <v>11</v>
      </c>
      <c r="F70" s="5" t="s">
        <v>18</v>
      </c>
      <c r="G70" s="5" t="s">
        <v>11</v>
      </c>
      <c r="H70" s="7" t="s">
        <v>8</v>
      </c>
      <c r="I70" s="7" t="s">
        <v>19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2</v>
      </c>
      <c r="AC70" s="8">
        <v>1800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9">
        <v>1800</v>
      </c>
      <c r="AV70" s="13">
        <f t="shared" si="2"/>
        <v>1800</v>
      </c>
      <c r="AW70" s="14">
        <f t="shared" si="3"/>
        <v>1260</v>
      </c>
    </row>
    <row r="71" spans="1:49" x14ac:dyDescent="0.4">
      <c r="A71" s="5" t="s">
        <v>88</v>
      </c>
      <c r="B71" s="5" t="s">
        <v>27</v>
      </c>
      <c r="C71" s="5">
        <v>159270</v>
      </c>
      <c r="D71" s="6"/>
      <c r="E71" s="5" t="s">
        <v>11</v>
      </c>
      <c r="F71" s="5" t="s">
        <v>18</v>
      </c>
      <c r="G71" s="5" t="s">
        <v>11</v>
      </c>
      <c r="H71" s="7" t="s">
        <v>12</v>
      </c>
      <c r="I71" s="7" t="s">
        <v>28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2</v>
      </c>
      <c r="AC71" s="8">
        <v>1800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9">
        <v>1800</v>
      </c>
      <c r="AV71" s="13">
        <f t="shared" si="2"/>
        <v>1800</v>
      </c>
      <c r="AW71" s="14">
        <f t="shared" si="3"/>
        <v>1260</v>
      </c>
    </row>
    <row r="72" spans="1:49" x14ac:dyDescent="0.4">
      <c r="A72" s="5" t="s">
        <v>88</v>
      </c>
      <c r="B72" s="5" t="s">
        <v>57</v>
      </c>
      <c r="C72" s="5">
        <v>192737</v>
      </c>
      <c r="D72" s="6"/>
      <c r="E72" s="5" t="s">
        <v>11</v>
      </c>
      <c r="F72" s="5" t="s">
        <v>21</v>
      </c>
      <c r="G72" s="5" t="s">
        <v>11</v>
      </c>
      <c r="H72" s="7" t="s">
        <v>8</v>
      </c>
      <c r="I72" s="7" t="s">
        <v>26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1</v>
      </c>
      <c r="AC72" s="7">
        <v>900</v>
      </c>
      <c r="AD72" s="7">
        <v>0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10">
        <v>900</v>
      </c>
      <c r="AV72" s="13">
        <f t="shared" si="2"/>
        <v>900</v>
      </c>
      <c r="AW72" s="14">
        <f t="shared" si="3"/>
        <v>630</v>
      </c>
    </row>
    <row r="73" spans="1:49" x14ac:dyDescent="0.4">
      <c r="A73" s="5" t="s">
        <v>88</v>
      </c>
      <c r="B73" s="5" t="s">
        <v>107</v>
      </c>
      <c r="C73" s="5">
        <v>165741</v>
      </c>
      <c r="D73" s="6"/>
      <c r="E73" s="5" t="s">
        <v>11</v>
      </c>
      <c r="F73" s="5" t="s">
        <v>13</v>
      </c>
      <c r="G73" s="5" t="s">
        <v>11</v>
      </c>
      <c r="H73" s="7" t="s">
        <v>8</v>
      </c>
      <c r="I73" s="7" t="s">
        <v>108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1</v>
      </c>
      <c r="AC73" s="7">
        <v>900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10">
        <v>900</v>
      </c>
      <c r="AV73" s="13">
        <f t="shared" si="2"/>
        <v>900</v>
      </c>
      <c r="AW73" s="14">
        <f t="shared" si="3"/>
        <v>630</v>
      </c>
    </row>
    <row r="74" spans="1:49" x14ac:dyDescent="0.4">
      <c r="AU74" s="17">
        <f>SUM(AU2:AU73)</f>
        <v>625100</v>
      </c>
      <c r="AW74" s="16">
        <f>SUM(AW2:AW73)</f>
        <v>433538</v>
      </c>
    </row>
  </sheetData>
  <phoneticPr fontId="20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 (3)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2022-04-06T03:12:46Z</dcterms:modified>
</cp:coreProperties>
</file>