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현재_통합_문서" defaultThemeVersion="153222"/>
  <mc:AlternateContent xmlns:mc="http://schemas.openxmlformats.org/markup-compatibility/2006">
    <mc:Choice Requires="x15">
      <x15ac:absPath xmlns:x15ac="http://schemas.microsoft.com/office/spreadsheetml/2010/11/ac" url="C:\Users\storywiz\Desktop\3월 마감\1. 월초청구(0331)\네이버시리즈\"/>
    </mc:Choice>
  </mc:AlternateContent>
  <bookViews>
    <workbookView xWindow="0" yWindow="0" windowWidth="23040" windowHeight="8952" tabRatio="716"/>
  </bookViews>
  <sheets>
    <sheet name="합계 (3)" sheetId="283" r:id="rId1"/>
    <sheet name="더컴퍼니" sheetId="288" r:id="rId2"/>
    <sheet name="밀리의 서재" sheetId="289" r:id="rId3"/>
    <sheet name="에필로그" sheetId="290" r:id="rId4"/>
    <sheet name="아크스튜디오" sheetId="291" r:id="rId5"/>
  </sheets>
  <externalReferences>
    <externalReference r:id="rId6"/>
  </externalReferences>
  <definedNames>
    <definedName name="_xlnm._FilterDatabase" localSheetId="0" hidden="1">'합계 (3)'!$A$1:$AW$69</definedName>
    <definedName name="_xlnm.Extract" localSheetId="1">더컴퍼니!$A$1:$AW$1</definedName>
    <definedName name="_xlnm.Extract" localSheetId="2">'밀리의 서재'!$A$1:$AW$1</definedName>
    <definedName name="_xlnm.Extract" localSheetId="4">아크스튜디오!$A$1:$AW$1</definedName>
    <definedName name="_xlnm.Extract" localSheetId="3">에필로그!$A$1:$AW$1</definedName>
    <definedName name="_xlnm.Extract" localSheetId="0">'합계 (3)'!#REF!</definedName>
  </definedNames>
  <calcPr calcId="152511"/>
</workbook>
</file>

<file path=xl/calcChain.xml><?xml version="1.0" encoding="utf-8"?>
<calcChain xmlns="http://schemas.openxmlformats.org/spreadsheetml/2006/main">
  <c r="G49" i="283" l="1"/>
  <c r="G4" i="283"/>
  <c r="G5" i="283"/>
  <c r="G6" i="283"/>
  <c r="G7" i="283"/>
  <c r="G8" i="283"/>
  <c r="G9" i="283"/>
  <c r="G10" i="283"/>
  <c r="G11" i="283"/>
  <c r="G12" i="283"/>
  <c r="G13" i="283"/>
  <c r="G14" i="283"/>
  <c r="G15" i="283"/>
  <c r="G16" i="283"/>
  <c r="G17" i="283"/>
  <c r="G18" i="283"/>
  <c r="G19" i="283"/>
  <c r="G20" i="283"/>
  <c r="G21" i="283"/>
  <c r="G22" i="283"/>
  <c r="G23" i="283"/>
  <c r="G24" i="283"/>
  <c r="G25" i="283"/>
  <c r="G26" i="283"/>
  <c r="G27" i="283"/>
  <c r="G28" i="283"/>
  <c r="G29" i="283"/>
  <c r="G30" i="283"/>
  <c r="G31" i="283"/>
  <c r="G32" i="283"/>
  <c r="G33" i="283"/>
  <c r="G34" i="283"/>
  <c r="G35" i="283"/>
  <c r="G36" i="283"/>
  <c r="G37" i="283"/>
  <c r="G38" i="283"/>
  <c r="G39" i="283"/>
  <c r="G40" i="283"/>
  <c r="G41" i="283"/>
  <c r="G42" i="283"/>
  <c r="G43" i="283"/>
  <c r="G44" i="283"/>
  <c r="G45" i="283"/>
  <c r="G46" i="283"/>
  <c r="G50" i="283"/>
  <c r="G51" i="283"/>
  <c r="G52" i="283"/>
  <c r="G53" i="283"/>
  <c r="G54" i="283"/>
  <c r="G55" i="283"/>
  <c r="G56" i="283"/>
  <c r="G57" i="283"/>
  <c r="G58" i="283"/>
  <c r="G59" i="283"/>
  <c r="G60" i="283"/>
  <c r="G61" i="283"/>
  <c r="G62" i="283"/>
  <c r="G63" i="283"/>
  <c r="G64" i="283"/>
  <c r="G65" i="283"/>
  <c r="G66" i="283"/>
  <c r="G67" i="283"/>
  <c r="G68" i="283"/>
  <c r="G2" i="283"/>
  <c r="AV61" i="283"/>
  <c r="AW61" i="283" s="1"/>
  <c r="AV62" i="283"/>
  <c r="AW62" i="283" s="1"/>
  <c r="AV63" i="283"/>
  <c r="AW63" i="283" s="1"/>
  <c r="AV64" i="283"/>
  <c r="AW64" i="283" s="1"/>
  <c r="AV65" i="283"/>
  <c r="AW65" i="283" s="1"/>
  <c r="AV66" i="283"/>
  <c r="AW66" i="283" s="1"/>
  <c r="AV67" i="283"/>
  <c r="AW67" i="283" s="1"/>
  <c r="AV68" i="283"/>
  <c r="AW68" i="283" s="1"/>
  <c r="AV47" i="283" l="1"/>
  <c r="AW47" i="283" s="1"/>
  <c r="AV48" i="283"/>
  <c r="AW48" i="283" s="1"/>
  <c r="AV49" i="283"/>
  <c r="AW49" i="283" s="1"/>
  <c r="AV50" i="283"/>
  <c r="AW50" i="283" s="1"/>
  <c r="AV51" i="283"/>
  <c r="AW51" i="283" s="1"/>
  <c r="AV52" i="283"/>
  <c r="AW52" i="283" s="1"/>
  <c r="AV53" i="283"/>
  <c r="AW53" i="283" s="1"/>
  <c r="AV54" i="283"/>
  <c r="AW54" i="283" s="1"/>
  <c r="AV55" i="283"/>
  <c r="AW55" i="283" s="1"/>
  <c r="AV56" i="283"/>
  <c r="AW56" i="283" s="1"/>
  <c r="AV57" i="283"/>
  <c r="AW57" i="283" s="1"/>
  <c r="AV58" i="283"/>
  <c r="AW58" i="283" s="1"/>
  <c r="AV59" i="283"/>
  <c r="AW59" i="283" s="1"/>
  <c r="AV60" i="283"/>
  <c r="AW60" i="283" s="1"/>
  <c r="AV3" i="283" l="1"/>
  <c r="AV4" i="283"/>
  <c r="AV5" i="283"/>
  <c r="AV6" i="283"/>
  <c r="AV7" i="283"/>
  <c r="AV8" i="283"/>
  <c r="AV9" i="283"/>
  <c r="AV10" i="283"/>
  <c r="AV11" i="283"/>
  <c r="AV12" i="283"/>
  <c r="AV13" i="283"/>
  <c r="AV14" i="283"/>
  <c r="AV15" i="283"/>
  <c r="AV16" i="283"/>
  <c r="AV17" i="283"/>
  <c r="AV18" i="283"/>
  <c r="AV19" i="283"/>
  <c r="AV20" i="283"/>
  <c r="AV21" i="283"/>
  <c r="AV22" i="283"/>
  <c r="AV23" i="283"/>
  <c r="AV24" i="283"/>
  <c r="AV25" i="283"/>
  <c r="AV26" i="283"/>
  <c r="AV27" i="283"/>
  <c r="AV28" i="283"/>
  <c r="AV29" i="283"/>
  <c r="AV30" i="283"/>
  <c r="AV31" i="283"/>
  <c r="AV32" i="283"/>
  <c r="AV33" i="283"/>
  <c r="AV34" i="283"/>
  <c r="AV35" i="283"/>
  <c r="AV36" i="283"/>
  <c r="AV37" i="283"/>
  <c r="AV38" i="283"/>
  <c r="AV39" i="283"/>
  <c r="AV40" i="283"/>
  <c r="AV41" i="283"/>
  <c r="AV42" i="283"/>
  <c r="AV43" i="283"/>
  <c r="AV44" i="283"/>
  <c r="AV45" i="283"/>
  <c r="AV46" i="283"/>
  <c r="AV2" i="283"/>
  <c r="AW3" i="283" l="1"/>
  <c r="AW4" i="283"/>
  <c r="AW5" i="283"/>
  <c r="AW6" i="283"/>
  <c r="AW7" i="283"/>
  <c r="AW8" i="283"/>
  <c r="AW9" i="283"/>
  <c r="AW10" i="283"/>
  <c r="AW11" i="283"/>
  <c r="AW12" i="283"/>
  <c r="AW13" i="283"/>
  <c r="AW14" i="283"/>
  <c r="AW15" i="283"/>
  <c r="AW16" i="283"/>
  <c r="AW17" i="283"/>
  <c r="AW18" i="283"/>
  <c r="AW19" i="283"/>
  <c r="AW20" i="283"/>
  <c r="AW21" i="283"/>
  <c r="AW22" i="283"/>
  <c r="AW23" i="283"/>
  <c r="AW24" i="283"/>
  <c r="AW25" i="283"/>
  <c r="AW26" i="283"/>
  <c r="AW27" i="283"/>
  <c r="AW28" i="283"/>
  <c r="AW29" i="283"/>
  <c r="AW30" i="283"/>
  <c r="AW31" i="283"/>
  <c r="AW32" i="283"/>
  <c r="AW33" i="283"/>
  <c r="AW34" i="283"/>
  <c r="AW35" i="283"/>
  <c r="AW36" i="283"/>
  <c r="AW37" i="283"/>
  <c r="AW38" i="283"/>
  <c r="AW39" i="283"/>
  <c r="AW40" i="283"/>
  <c r="AW41" i="283"/>
  <c r="AW42" i="283"/>
  <c r="AW43" i="283"/>
  <c r="AW44" i="283"/>
  <c r="AW45" i="283"/>
  <c r="AW46" i="283"/>
  <c r="AW2" i="283" l="1"/>
  <c r="AW69" i="283" s="1"/>
</calcChain>
</file>

<file path=xl/sharedStrings.xml><?xml version="1.0" encoding="utf-8"?>
<sst xmlns="http://schemas.openxmlformats.org/spreadsheetml/2006/main" count="1119" uniqueCount="155">
  <si>
    <t>컨텐츠</t>
  </si>
  <si>
    <t>컨텐츠No</t>
  </si>
  <si>
    <t>공급자코드</t>
  </si>
  <si>
    <t>CP명</t>
  </si>
  <si>
    <t>작가명</t>
  </si>
  <si>
    <t>출판사</t>
  </si>
  <si>
    <t>나이제한</t>
  </si>
  <si>
    <t>서비스일</t>
  </si>
  <si>
    <t>전체이용가</t>
  </si>
  <si>
    <t>15세 이상 이용가능</t>
  </si>
  <si>
    <t>구분</t>
    <phoneticPr fontId="20" type="noConversion"/>
  </si>
  <si>
    <t>건수</t>
  </si>
  <si>
    <t>비정산</t>
  </si>
  <si>
    <t>무료이용권</t>
  </si>
  <si>
    <t>유상쿠키</t>
  </si>
  <si>
    <t>무상쿠키</t>
  </si>
  <si>
    <t>유상i쿠키</t>
  </si>
  <si>
    <t>무상i쿠키</t>
  </si>
  <si>
    <t>유상자동충전쿠키</t>
  </si>
  <si>
    <t>무상자동충전쿠키</t>
  </si>
  <si>
    <t>유상</t>
  </si>
  <si>
    <t>무상</t>
  </si>
  <si>
    <t>i쿠키 수수료</t>
  </si>
  <si>
    <t>합계</t>
  </si>
  <si>
    <t>순매출(합계-수수료)</t>
    <phoneticPr fontId="20" type="noConversion"/>
  </si>
  <si>
    <t>SW 매출</t>
    <phoneticPr fontId="20" type="noConversion"/>
  </si>
  <si>
    <t>스토리위즈_2</t>
  </si>
  <si>
    <t>협행마</t>
  </si>
  <si>
    <t>용가리맛쿠키</t>
  </si>
  <si>
    <t>19세 이상 이용가능</t>
  </si>
  <si>
    <t>2020.04.09</t>
  </si>
  <si>
    <t>대공의 아내 [단행본]</t>
  </si>
  <si>
    <t>문시티</t>
  </si>
  <si>
    <t>2020.01.16</t>
  </si>
  <si>
    <t>더티독 외전 [BL][단행본]</t>
  </si>
  <si>
    <t>최재봉</t>
  </si>
  <si>
    <t>2020.05.18</t>
  </si>
  <si>
    <t>남창목가 [단행본]</t>
  </si>
  <si>
    <t>진태이</t>
  </si>
  <si>
    <t>에필로그</t>
  </si>
  <si>
    <t>사냥꾼은 마왕이 되기 싫다 [독점]</t>
  </si>
  <si>
    <t>강명운</t>
  </si>
  <si>
    <t>2021.09.14</t>
  </si>
  <si>
    <t>계략적 관계 [독점]</t>
  </si>
  <si>
    <t>2021.10.13</t>
  </si>
  <si>
    <t>2021.08.13</t>
  </si>
  <si>
    <t>백범(白帆)</t>
  </si>
  <si>
    <t>진짜 사나이 [단행본]</t>
  </si>
  <si>
    <t>2021.12.15</t>
  </si>
  <si>
    <t>sJessi</t>
  </si>
  <si>
    <t>헌터 킹 [단행본]</t>
  </si>
  <si>
    <t>2021.12.10</t>
  </si>
  <si>
    <t>기획에 산다</t>
  </si>
  <si>
    <t>2022.01.03</t>
  </si>
  <si>
    <t>너만 보면 두근두근 [단행본]</t>
  </si>
  <si>
    <t>정경하</t>
  </si>
  <si>
    <t>2022.01.14</t>
  </si>
  <si>
    <t>설국연가 [단행본]</t>
  </si>
  <si>
    <t>마뇽</t>
  </si>
  <si>
    <t>2022.01.17</t>
  </si>
  <si>
    <t>분홍의 작약 [단행본]</t>
  </si>
  <si>
    <t>송여희</t>
  </si>
  <si>
    <t>2022.01.12</t>
  </si>
  <si>
    <t>더 캡틴 [단행본]</t>
  </si>
  <si>
    <t>2022.01.21</t>
  </si>
  <si>
    <t>나나코</t>
  </si>
  <si>
    <t>더 캡틴</t>
  </si>
  <si>
    <t>위사무적 [단행본]</t>
  </si>
  <si>
    <t>2020.09.11</t>
  </si>
  <si>
    <t>연애의 시작 [단행본]</t>
  </si>
  <si>
    <t>차크</t>
  </si>
  <si>
    <t>2022.02.18</t>
  </si>
  <si>
    <t>흠뻑 적셔줄게 외전 [BL][단행본]</t>
  </si>
  <si>
    <t>묜수</t>
  </si>
  <si>
    <t>2020.11.14</t>
  </si>
  <si>
    <t>여름의 시작은 키스를 부른다 외전 [BL][단행본]</t>
  </si>
  <si>
    <t>키도</t>
  </si>
  <si>
    <t>2021.02.04</t>
  </si>
  <si>
    <t>남창목가 [외전 독점]</t>
  </si>
  <si>
    <t>2019.11.18</t>
  </si>
  <si>
    <t>N스토어(PC)</t>
    <phoneticPr fontId="20" type="noConversion"/>
  </si>
  <si>
    <t>헌터 킹</t>
  </si>
  <si>
    <t>꼭꼭 숨어라(Wherever you are)</t>
  </si>
  <si>
    <t>감또개</t>
  </si>
  <si>
    <t>2022.02.22</t>
  </si>
  <si>
    <t>바보가 만드는 멋진 세상 [개정판]</t>
  </si>
  <si>
    <t>PC뷰어(PC)</t>
    <phoneticPr fontId="20" type="noConversion"/>
  </si>
  <si>
    <t>향기로운 뿔 [단행본]</t>
  </si>
  <si>
    <t>이진희</t>
  </si>
  <si>
    <t>2022.02.16</t>
  </si>
  <si>
    <t>폭군의 공물 [BL][단행본]</t>
  </si>
  <si>
    <t>여러해살이풀</t>
  </si>
  <si>
    <t>2019.03.08</t>
  </si>
  <si>
    <t>익스클루시브(Exclusive) [BL][단행본]</t>
  </si>
  <si>
    <t>사틴</t>
  </si>
  <si>
    <t>N스토어(MW)</t>
    <phoneticPr fontId="20" type="noConversion"/>
  </si>
  <si>
    <t>밀리의 서재</t>
  </si>
  <si>
    <t>더컴퍼니</t>
  </si>
  <si>
    <t>아크스튜디오</t>
  </si>
  <si>
    <t>이차적 일탈 [단행본]</t>
  </si>
  <si>
    <t>서혜은</t>
  </si>
  <si>
    <t>2022.03.04</t>
  </si>
  <si>
    <t>여신과 수호비 [개정판]</t>
  </si>
  <si>
    <t>구하늬</t>
  </si>
  <si>
    <t>12세 이상 이용가능</t>
  </si>
  <si>
    <t>2017.05.12</t>
  </si>
  <si>
    <t>내 하루에 네가 피어나 [단행본]</t>
  </si>
  <si>
    <t>정은숙</t>
  </si>
  <si>
    <t>2022.03.11</t>
  </si>
  <si>
    <t>원수를 사랑하라 [BL][단행본]</t>
  </si>
  <si>
    <t>쿠노Kuno</t>
  </si>
  <si>
    <t>2018.09.27</t>
  </si>
  <si>
    <t>법보다 주먹</t>
  </si>
  <si>
    <t>2022.03.16</t>
  </si>
  <si>
    <t>베로나에서 그를 만나다 [단행본]</t>
  </si>
  <si>
    <t>원성혜</t>
  </si>
  <si>
    <t>2022.03.23</t>
  </si>
  <si>
    <t>전설이 돼라 [개정판][단행본]</t>
  </si>
  <si>
    <t>2022.03.02</t>
  </si>
  <si>
    <t>악당의 리턴! [단행본]</t>
  </si>
  <si>
    <t>2019.11.26</t>
  </si>
  <si>
    <t>돌아갈 수 없는 외전 [BL][단행본]</t>
  </si>
  <si>
    <t>2020.09.26</t>
  </si>
  <si>
    <t>무림병장 [독점]</t>
  </si>
  <si>
    <t>2020.08.29</t>
  </si>
  <si>
    <t>더티독 [BL]</t>
  </si>
  <si>
    <t>2020.04.13</t>
  </si>
  <si>
    <t>전설이 돼라 [개정판]</t>
  </si>
  <si>
    <t>전장의 금기 [단행본]</t>
  </si>
  <si>
    <t>2020.09.13</t>
  </si>
  <si>
    <t>사랑 그리고 그 후 [단행본]</t>
  </si>
  <si>
    <t>최현자</t>
  </si>
  <si>
    <t>2022.03.14</t>
  </si>
  <si>
    <t>상무님이 원하시는 대로 [단행본]</t>
  </si>
  <si>
    <t>벨</t>
  </si>
  <si>
    <t>2021.02.03</t>
  </si>
  <si>
    <t>이리 와 봐 [단행본]</t>
  </si>
  <si>
    <t>최강주</t>
  </si>
  <si>
    <t>2018.08.30</t>
  </si>
  <si>
    <t>그 순간, 별이 빛났다 [BL][단행본]</t>
  </si>
  <si>
    <t>성실</t>
  </si>
  <si>
    <t>2021.08.16</t>
  </si>
  <si>
    <t>불건전한 수컷 [단행본]</t>
  </si>
  <si>
    <t>2020.10.31</t>
  </si>
  <si>
    <t>나쁜 피 [BL][단행본]</t>
  </si>
  <si>
    <t>이예즈</t>
  </si>
  <si>
    <t>2019.03.12</t>
  </si>
  <si>
    <t>여름의 시작은 키스를 부른다 [BL][단행본]</t>
  </si>
  <si>
    <t>보통의 연애 [BL][단행본]</t>
  </si>
  <si>
    <t>2019.05.10</t>
  </si>
  <si>
    <t>당신이 있는 풍경 [BL][단행본]</t>
  </si>
  <si>
    <t>김귤</t>
  </si>
  <si>
    <t>2018.06.12</t>
  </si>
  <si>
    <t>이세계 최강 군바리</t>
  </si>
  <si>
    <t>2019.07.31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</si>
</sst>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1" formatCode="_-* #,##0_-;\-* #,##0_-;_-* &quot;-&quot;_-;_-@_-"/>
    <numFmt numFmtId="176" formatCode="#,##0.00_ "/>
  </numFmts>
  <fonts count="22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7"/>
      <color theme="1"/>
      <name val="맑은 고딕"/>
      <family val="3"/>
      <charset val="129"/>
      <scheme val="minor"/>
    </font>
    <font>
      <b/>
      <sz val="7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7"/>
      <color rgb="FFFF0000"/>
      <name val="맑은 고딕"/>
      <family val="3"/>
      <charset val="129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E5E6E9"/>
        <bgColor indexed="64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</cellStyleXfs>
  <cellXfs count="15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9" fillId="33" borderId="0" xfId="0" applyFont="1" applyFill="1" applyBorder="1" applyAlignment="1">
      <alignment vertical="center" wrapText="1"/>
    </xf>
    <xf numFmtId="0" fontId="18" fillId="33" borderId="0" xfId="0" applyFont="1" applyFill="1" applyBorder="1" applyAlignment="1">
      <alignment vertical="center" wrapText="1"/>
    </xf>
    <xf numFmtId="0" fontId="18" fillId="0" borderId="0" xfId="0" applyFont="1" applyAlignment="1">
      <alignment horizontal="left" vertical="center" wrapText="1"/>
    </xf>
    <xf numFmtId="49" fontId="18" fillId="0" borderId="0" xfId="0" applyNumberFormat="1" applyFont="1" applyAlignment="1">
      <alignment vertical="center" wrapText="1"/>
    </xf>
    <xf numFmtId="0" fontId="18" fillId="0" borderId="0" xfId="0" applyFont="1" applyAlignment="1">
      <alignment vertical="center" wrapText="1"/>
    </xf>
    <xf numFmtId="3" fontId="18" fillId="0" borderId="0" xfId="0" applyNumberFormat="1" applyFont="1" applyAlignment="1">
      <alignment vertical="center" wrapText="1"/>
    </xf>
    <xf numFmtId="4" fontId="21" fillId="0" borderId="0" xfId="0" applyNumberFormat="1" applyFont="1" applyAlignment="1">
      <alignment vertical="center" wrapText="1"/>
    </xf>
    <xf numFmtId="0" fontId="21" fillId="0" borderId="0" xfId="0" applyFont="1" applyAlignment="1">
      <alignment vertical="center" wrapText="1"/>
    </xf>
    <xf numFmtId="0" fontId="19" fillId="33" borderId="0" xfId="0" applyFont="1" applyFill="1" applyAlignment="1">
      <alignment horizontal="center" vertical="center" wrapText="1"/>
    </xf>
    <xf numFmtId="0" fontId="19" fillId="34" borderId="0" xfId="0" applyFont="1" applyFill="1" applyAlignment="1">
      <alignment horizontal="center" vertical="center" wrapText="1"/>
    </xf>
    <xf numFmtId="176" fontId="0" fillId="0" borderId="0" xfId="0" applyNumberFormat="1">
      <alignment vertical="center"/>
    </xf>
    <xf numFmtId="4" fontId="18" fillId="0" borderId="0" xfId="0" applyNumberFormat="1" applyFont="1" applyAlignment="1">
      <alignment vertical="center" wrapText="1"/>
    </xf>
    <xf numFmtId="41" fontId="0" fillId="34" borderId="0" xfId="42" applyFont="1" applyFill="1">
      <alignment vertical="center"/>
    </xf>
  </cellXfs>
  <cellStyles count="43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쉼표 [0]" xfId="42" builtinId="6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storywiz/Desktop/&#50629;&#47924;&#47700;&#45684;&#50620;/&#50976;&#53685;&#45824;&#54665;&#51089;&#54408;_&#47700;&#53440;&#45936;&#51060;&#53552;_vlookup_0406%20&#50629;&#45955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메타_연재"/>
      <sheetName val="메타_단행본"/>
      <sheetName val="Sheet1"/>
    </sheetNames>
    <sheetDataSet>
      <sheetData sheetId="0" refreshError="1"/>
      <sheetData sheetId="1" refreshError="1"/>
      <sheetData sheetId="2">
        <row r="2">
          <cell r="B2" t="str">
            <v>Ashes</v>
          </cell>
          <cell r="C2" t="str">
            <v>더컴퍼니</v>
          </cell>
        </row>
        <row r="3">
          <cell r="B3" t="str">
            <v>Ashes</v>
          </cell>
          <cell r="C3" t="str">
            <v>더컴퍼니</v>
          </cell>
        </row>
        <row r="4">
          <cell r="B4" t="str">
            <v>Ashes</v>
          </cell>
          <cell r="C4" t="str">
            <v>더컴퍼니</v>
          </cell>
        </row>
        <row r="5">
          <cell r="B5" t="str">
            <v>Ashes</v>
          </cell>
          <cell r="C5" t="str">
            <v>더컴퍼니</v>
          </cell>
        </row>
        <row r="6">
          <cell r="B6" t="str">
            <v>cainLu</v>
          </cell>
          <cell r="C6" t="str">
            <v>더컴퍼니</v>
          </cell>
        </row>
        <row r="7">
          <cell r="B7" t="str">
            <v>jooki</v>
          </cell>
          <cell r="C7" t="str">
            <v>더컴퍼니</v>
          </cell>
        </row>
        <row r="8">
          <cell r="B8" t="str">
            <v>jooki</v>
          </cell>
          <cell r="C8" t="str">
            <v>더컴퍼니</v>
          </cell>
        </row>
        <row r="9">
          <cell r="B9" t="str">
            <v>jooki</v>
          </cell>
          <cell r="C9" t="str">
            <v>더컴퍼니</v>
          </cell>
        </row>
        <row r="10">
          <cell r="B10" t="str">
            <v>jooki</v>
          </cell>
          <cell r="C10" t="str">
            <v>더컴퍼니</v>
          </cell>
        </row>
        <row r="11">
          <cell r="B11" t="str">
            <v>jooki</v>
          </cell>
          <cell r="C11" t="str">
            <v>더컴퍼니</v>
          </cell>
        </row>
        <row r="12">
          <cell r="B12" t="str">
            <v>jooki</v>
          </cell>
          <cell r="C12" t="str">
            <v>더컴퍼니</v>
          </cell>
        </row>
        <row r="13">
          <cell r="B13" t="str">
            <v>jooki</v>
          </cell>
          <cell r="C13" t="str">
            <v>더컴퍼니</v>
          </cell>
        </row>
        <row r="14">
          <cell r="B14" t="str">
            <v>jooki</v>
          </cell>
          <cell r="C14" t="str">
            <v>더컴퍼니</v>
          </cell>
        </row>
        <row r="15">
          <cell r="B15" t="str">
            <v>jooki</v>
          </cell>
          <cell r="C15" t="str">
            <v>더컴퍼니</v>
          </cell>
        </row>
        <row r="16">
          <cell r="B16" t="str">
            <v>jooki</v>
          </cell>
          <cell r="C16" t="str">
            <v>더컴퍼니</v>
          </cell>
        </row>
        <row r="17">
          <cell r="B17" t="str">
            <v>jooki</v>
          </cell>
          <cell r="C17" t="str">
            <v>더컴퍼니</v>
          </cell>
        </row>
        <row r="18">
          <cell r="B18" t="str">
            <v>jooki</v>
          </cell>
          <cell r="C18" t="str">
            <v>더컴퍼니</v>
          </cell>
        </row>
        <row r="19">
          <cell r="B19" t="str">
            <v>jooki</v>
          </cell>
          <cell r="C19" t="str">
            <v>더컴퍼니</v>
          </cell>
        </row>
        <row r="20">
          <cell r="B20" t="str">
            <v>jooki</v>
          </cell>
          <cell r="C20" t="str">
            <v>더컴퍼니</v>
          </cell>
        </row>
        <row r="21">
          <cell r="B21" t="str">
            <v>jooki</v>
          </cell>
          <cell r="C21" t="str">
            <v>더컴퍼니</v>
          </cell>
        </row>
        <row r="22">
          <cell r="B22" t="str">
            <v>jooki</v>
          </cell>
          <cell r="C22" t="str">
            <v>더컴퍼니</v>
          </cell>
        </row>
        <row r="23">
          <cell r="B23" t="str">
            <v>jooki</v>
          </cell>
          <cell r="C23" t="str">
            <v>더컴퍼니</v>
          </cell>
        </row>
        <row r="24">
          <cell r="B24" t="str">
            <v>jooki</v>
          </cell>
          <cell r="C24" t="str">
            <v>더컴퍼니</v>
          </cell>
        </row>
        <row r="25">
          <cell r="B25" t="str">
            <v>jooki</v>
          </cell>
          <cell r="C25" t="str">
            <v>더컴퍼니</v>
          </cell>
        </row>
        <row r="26">
          <cell r="B26" t="str">
            <v>jooki</v>
          </cell>
          <cell r="C26" t="str">
            <v>더컴퍼니</v>
          </cell>
        </row>
        <row r="27">
          <cell r="B27" t="str">
            <v>jooki</v>
          </cell>
          <cell r="C27" t="str">
            <v>더컴퍼니</v>
          </cell>
        </row>
        <row r="28">
          <cell r="B28" t="str">
            <v>jooki</v>
          </cell>
          <cell r="C28" t="str">
            <v>더컴퍼니</v>
          </cell>
        </row>
        <row r="29">
          <cell r="B29" t="str">
            <v>jooki</v>
          </cell>
          <cell r="C29" t="str">
            <v>더컴퍼니</v>
          </cell>
        </row>
        <row r="30">
          <cell r="B30" t="str">
            <v>jooki</v>
          </cell>
          <cell r="C30" t="str">
            <v>더컴퍼니</v>
          </cell>
        </row>
        <row r="31">
          <cell r="B31" t="str">
            <v>jooki</v>
          </cell>
          <cell r="C31" t="str">
            <v>더컴퍼니</v>
          </cell>
        </row>
        <row r="32">
          <cell r="B32" t="str">
            <v>jooki</v>
          </cell>
          <cell r="C32" t="str">
            <v>더컴퍼니</v>
          </cell>
        </row>
        <row r="33">
          <cell r="B33" t="str">
            <v>SISSI(시씨)</v>
          </cell>
          <cell r="C33" t="str">
            <v>더컴퍼니</v>
          </cell>
        </row>
        <row r="34">
          <cell r="B34" t="str">
            <v>SISSI(시씨)</v>
          </cell>
          <cell r="C34" t="str">
            <v>더컴퍼니</v>
          </cell>
        </row>
        <row r="35">
          <cell r="B35" t="str">
            <v>SISSI</v>
          </cell>
          <cell r="C35" t="str">
            <v>더컴퍼니</v>
          </cell>
        </row>
        <row r="36">
          <cell r="B36" t="str">
            <v>SISSI</v>
          </cell>
          <cell r="C36" t="str">
            <v>더컴퍼니</v>
          </cell>
        </row>
        <row r="37">
          <cell r="B37" t="str">
            <v>SISSI</v>
          </cell>
          <cell r="C37" t="str">
            <v>더컴퍼니</v>
          </cell>
        </row>
        <row r="38">
          <cell r="B38" t="str">
            <v>SISSI</v>
          </cell>
          <cell r="C38" t="str">
            <v>더컴퍼니</v>
          </cell>
        </row>
        <row r="39">
          <cell r="B39" t="str">
            <v>SISSI</v>
          </cell>
          <cell r="C39" t="str">
            <v>더컴퍼니</v>
          </cell>
        </row>
        <row r="40">
          <cell r="B40" t="str">
            <v>SISSI</v>
          </cell>
          <cell r="C40" t="str">
            <v>더컴퍼니</v>
          </cell>
        </row>
        <row r="41">
          <cell r="B41" t="str">
            <v>SISSI</v>
          </cell>
          <cell r="C41" t="str">
            <v>더컴퍼니</v>
          </cell>
        </row>
        <row r="42">
          <cell r="B42" t="str">
            <v>SISSI</v>
          </cell>
          <cell r="C42" t="str">
            <v>더컴퍼니</v>
          </cell>
        </row>
        <row r="43">
          <cell r="B43" t="str">
            <v>SISSI</v>
          </cell>
          <cell r="C43" t="str">
            <v>더컴퍼니</v>
          </cell>
        </row>
        <row r="44">
          <cell r="B44" t="str">
            <v>SISSI</v>
          </cell>
          <cell r="C44" t="str">
            <v>더컴퍼니</v>
          </cell>
        </row>
        <row r="45">
          <cell r="B45" t="str">
            <v>SISSI</v>
          </cell>
          <cell r="C45" t="str">
            <v>더컴퍼니</v>
          </cell>
        </row>
        <row r="46">
          <cell r="B46" t="str">
            <v>SISSI</v>
          </cell>
          <cell r="C46" t="str">
            <v>더컴퍼니</v>
          </cell>
        </row>
        <row r="47">
          <cell r="B47" t="str">
            <v>SISSI</v>
          </cell>
          <cell r="C47" t="str">
            <v>더컴퍼니</v>
          </cell>
        </row>
        <row r="48">
          <cell r="B48" t="str">
            <v>SISSI</v>
          </cell>
          <cell r="C48" t="str">
            <v>더컴퍼니</v>
          </cell>
        </row>
        <row r="49">
          <cell r="B49" t="str">
            <v>SISSI</v>
          </cell>
          <cell r="C49" t="str">
            <v>더컴퍼니</v>
          </cell>
        </row>
        <row r="50">
          <cell r="B50" t="str">
            <v>SISSI</v>
          </cell>
          <cell r="C50" t="str">
            <v>더컴퍼니</v>
          </cell>
        </row>
        <row r="51">
          <cell r="B51" t="str">
            <v>SISSI</v>
          </cell>
          <cell r="C51" t="str">
            <v>더컴퍼니</v>
          </cell>
        </row>
        <row r="52">
          <cell r="B52" t="str">
            <v>SISSI</v>
          </cell>
          <cell r="C52" t="str">
            <v>더컴퍼니</v>
          </cell>
        </row>
        <row r="53">
          <cell r="B53" t="str">
            <v>SISSI</v>
          </cell>
          <cell r="C53" t="str">
            <v>더컴퍼니</v>
          </cell>
        </row>
        <row r="54">
          <cell r="B54" t="str">
            <v>SISSI</v>
          </cell>
          <cell r="C54" t="str">
            <v>더컴퍼니</v>
          </cell>
        </row>
        <row r="55">
          <cell r="B55" t="str">
            <v>SISSI</v>
          </cell>
          <cell r="C55" t="str">
            <v>더컴퍼니</v>
          </cell>
        </row>
        <row r="56">
          <cell r="B56" t="str">
            <v>SISSI</v>
          </cell>
          <cell r="C56" t="str">
            <v>더컴퍼니</v>
          </cell>
        </row>
        <row r="57">
          <cell r="B57" t="str">
            <v>SISSI</v>
          </cell>
          <cell r="C57" t="str">
            <v>더컴퍼니</v>
          </cell>
        </row>
        <row r="58">
          <cell r="B58" t="str">
            <v>SISSI</v>
          </cell>
          <cell r="C58" t="str">
            <v>더컴퍼니</v>
          </cell>
        </row>
        <row r="59">
          <cell r="B59" t="str">
            <v>SISSI</v>
          </cell>
          <cell r="C59" t="str">
            <v>더컴퍼니</v>
          </cell>
        </row>
        <row r="60">
          <cell r="B60" t="str">
            <v>SISSI</v>
          </cell>
          <cell r="C60" t="str">
            <v>더컴퍼니</v>
          </cell>
        </row>
        <row r="61">
          <cell r="B61" t="str">
            <v>SISSI</v>
          </cell>
          <cell r="C61" t="str">
            <v>더컴퍼니</v>
          </cell>
        </row>
        <row r="62">
          <cell r="B62" t="str">
            <v>SISSI</v>
          </cell>
          <cell r="C62" t="str">
            <v>더컴퍼니</v>
          </cell>
        </row>
        <row r="63">
          <cell r="B63" t="str">
            <v>SISSI</v>
          </cell>
          <cell r="C63" t="str">
            <v>더컴퍼니</v>
          </cell>
        </row>
        <row r="64">
          <cell r="B64" t="str">
            <v>SISSI</v>
          </cell>
          <cell r="C64" t="str">
            <v>더컴퍼니</v>
          </cell>
        </row>
        <row r="65">
          <cell r="B65" t="str">
            <v>SISSI</v>
          </cell>
          <cell r="C65" t="str">
            <v>더컴퍼니</v>
          </cell>
        </row>
        <row r="66">
          <cell r="B66" t="str">
            <v>SISSI</v>
          </cell>
          <cell r="C66" t="str">
            <v>더컴퍼니</v>
          </cell>
        </row>
        <row r="67">
          <cell r="B67" t="str">
            <v>SISSI</v>
          </cell>
          <cell r="C67" t="str">
            <v>더컴퍼니</v>
          </cell>
        </row>
        <row r="68">
          <cell r="B68" t="str">
            <v>SISSI</v>
          </cell>
          <cell r="C68" t="str">
            <v>더컴퍼니</v>
          </cell>
        </row>
        <row r="69">
          <cell r="B69" t="str">
            <v>SISSI</v>
          </cell>
          <cell r="C69" t="str">
            <v>더컴퍼니</v>
          </cell>
        </row>
        <row r="70">
          <cell r="B70" t="str">
            <v>SISSI</v>
          </cell>
          <cell r="C70" t="str">
            <v>더컴퍼니</v>
          </cell>
        </row>
        <row r="71">
          <cell r="B71" t="str">
            <v>SISSI</v>
          </cell>
          <cell r="C71" t="str">
            <v>더컴퍼니</v>
          </cell>
        </row>
        <row r="72">
          <cell r="B72" t="str">
            <v>SISSI</v>
          </cell>
          <cell r="C72" t="str">
            <v>더컴퍼니</v>
          </cell>
        </row>
        <row r="73">
          <cell r="B73" t="str">
            <v>SISSI</v>
          </cell>
          <cell r="C73" t="str">
            <v>더컴퍼니</v>
          </cell>
        </row>
        <row r="74">
          <cell r="B74" t="str">
            <v>SISSI</v>
          </cell>
          <cell r="C74" t="str">
            <v>더컴퍼니</v>
          </cell>
        </row>
        <row r="75">
          <cell r="B75" t="str">
            <v>SISSI</v>
          </cell>
          <cell r="C75" t="str">
            <v>더컴퍼니</v>
          </cell>
        </row>
        <row r="76">
          <cell r="B76" t="str">
            <v>SISSI</v>
          </cell>
          <cell r="C76" t="str">
            <v>더컴퍼니</v>
          </cell>
        </row>
        <row r="77">
          <cell r="B77" t="str">
            <v>SISSI</v>
          </cell>
          <cell r="C77" t="str">
            <v>더컴퍼니</v>
          </cell>
        </row>
        <row r="78">
          <cell r="B78" t="str">
            <v>SISSI</v>
          </cell>
          <cell r="C78" t="str">
            <v>더컴퍼니</v>
          </cell>
        </row>
        <row r="79">
          <cell r="B79" t="str">
            <v>SISSI</v>
          </cell>
          <cell r="C79" t="str">
            <v>더컴퍼니</v>
          </cell>
        </row>
        <row r="80">
          <cell r="B80" t="str">
            <v>SISSI</v>
          </cell>
          <cell r="C80" t="str">
            <v>더컴퍼니</v>
          </cell>
        </row>
        <row r="81">
          <cell r="B81" t="str">
            <v>SISSI</v>
          </cell>
          <cell r="C81" t="str">
            <v>더컴퍼니</v>
          </cell>
        </row>
        <row r="82">
          <cell r="B82" t="str">
            <v>SISSI</v>
          </cell>
          <cell r="C82" t="str">
            <v>더컴퍼니</v>
          </cell>
        </row>
        <row r="83">
          <cell r="B83" t="str">
            <v>SISSI</v>
          </cell>
          <cell r="C83" t="str">
            <v>더컴퍼니</v>
          </cell>
        </row>
        <row r="84">
          <cell r="B84" t="str">
            <v>SISSI</v>
          </cell>
          <cell r="C84" t="str">
            <v>더컴퍼니</v>
          </cell>
        </row>
        <row r="85">
          <cell r="B85" t="str">
            <v>SISSI</v>
          </cell>
          <cell r="C85" t="str">
            <v>더컴퍼니</v>
          </cell>
        </row>
        <row r="86">
          <cell r="B86" t="str">
            <v>SISSI</v>
          </cell>
          <cell r="C86" t="str">
            <v>더컴퍼니</v>
          </cell>
        </row>
        <row r="87">
          <cell r="B87" t="str">
            <v>SISSI</v>
          </cell>
          <cell r="C87" t="str">
            <v>더컴퍼니</v>
          </cell>
        </row>
        <row r="88">
          <cell r="B88" t="str">
            <v>SISSI</v>
          </cell>
          <cell r="C88" t="str">
            <v>더컴퍼니</v>
          </cell>
        </row>
        <row r="89">
          <cell r="B89" t="str">
            <v>SISSI</v>
          </cell>
          <cell r="C89" t="str">
            <v>더컴퍼니</v>
          </cell>
        </row>
        <row r="90">
          <cell r="B90" t="str">
            <v>SISSI</v>
          </cell>
          <cell r="C90" t="str">
            <v>더컴퍼니</v>
          </cell>
        </row>
        <row r="91">
          <cell r="B91" t="str">
            <v>SISSI</v>
          </cell>
          <cell r="C91" t="str">
            <v>더컴퍼니</v>
          </cell>
        </row>
        <row r="92">
          <cell r="B92" t="str">
            <v>SISSI</v>
          </cell>
          <cell r="C92" t="str">
            <v>더컴퍼니</v>
          </cell>
        </row>
        <row r="93">
          <cell r="B93" t="str">
            <v>SISSI</v>
          </cell>
          <cell r="C93" t="str">
            <v>더컴퍼니</v>
          </cell>
        </row>
        <row r="94">
          <cell r="B94" t="str">
            <v>SISSI</v>
          </cell>
          <cell r="C94" t="str">
            <v>더컴퍼니</v>
          </cell>
        </row>
        <row r="95">
          <cell r="B95" t="str">
            <v>SISSI</v>
          </cell>
          <cell r="C95" t="str">
            <v>더컴퍼니</v>
          </cell>
        </row>
        <row r="96">
          <cell r="B96" t="str">
            <v>SISSI</v>
          </cell>
          <cell r="C96" t="str">
            <v>더컴퍼니</v>
          </cell>
        </row>
        <row r="97">
          <cell r="B97" t="str">
            <v>sJessi</v>
          </cell>
          <cell r="C97" t="str">
            <v>더컴퍼니</v>
          </cell>
        </row>
        <row r="98">
          <cell r="B98" t="str">
            <v>sJessi</v>
          </cell>
          <cell r="C98" t="str">
            <v>더컴퍼니</v>
          </cell>
        </row>
        <row r="99">
          <cell r="B99" t="str">
            <v>sJessi</v>
          </cell>
          <cell r="C99" t="str">
            <v>더컴퍼니</v>
          </cell>
        </row>
        <row r="100">
          <cell r="B100" t="str">
            <v>sJessi</v>
          </cell>
          <cell r="C100" t="str">
            <v>더컴퍼니</v>
          </cell>
        </row>
        <row r="101">
          <cell r="B101" t="str">
            <v>sJessi</v>
          </cell>
          <cell r="C101" t="str">
            <v>더컴퍼니</v>
          </cell>
        </row>
        <row r="102">
          <cell r="B102" t="str">
            <v>sJessi</v>
          </cell>
          <cell r="C102" t="str">
            <v>더컴퍼니</v>
          </cell>
        </row>
        <row r="103">
          <cell r="B103" t="str">
            <v>sJessi</v>
          </cell>
          <cell r="C103" t="str">
            <v>더컴퍼니</v>
          </cell>
        </row>
        <row r="104">
          <cell r="B104" t="str">
            <v>sJessi</v>
          </cell>
          <cell r="C104" t="str">
            <v>더컴퍼니</v>
          </cell>
        </row>
        <row r="105">
          <cell r="B105" t="str">
            <v>sJessi</v>
          </cell>
          <cell r="C105" t="str">
            <v>더컴퍼니</v>
          </cell>
        </row>
        <row r="106">
          <cell r="B106" t="str">
            <v>sJessi</v>
          </cell>
          <cell r="C106" t="str">
            <v>더컴퍼니</v>
          </cell>
        </row>
        <row r="107">
          <cell r="B107" t="str">
            <v>sJessi</v>
          </cell>
          <cell r="C107" t="str">
            <v>더컴퍼니</v>
          </cell>
        </row>
        <row r="108">
          <cell r="B108" t="str">
            <v>sJessi</v>
          </cell>
          <cell r="C108" t="str">
            <v>더컴퍼니</v>
          </cell>
        </row>
        <row r="109">
          <cell r="B109" t="str">
            <v>sJessi</v>
          </cell>
          <cell r="C109" t="str">
            <v>더컴퍼니</v>
          </cell>
        </row>
        <row r="110">
          <cell r="B110" t="str">
            <v>sJessi</v>
          </cell>
          <cell r="C110" t="str">
            <v>더컴퍼니</v>
          </cell>
        </row>
        <row r="111">
          <cell r="B111" t="str">
            <v>강명운</v>
          </cell>
          <cell r="C111" t="str">
            <v>아크스튜디오</v>
          </cell>
        </row>
        <row r="112">
          <cell r="B112" t="str">
            <v>강명운</v>
          </cell>
          <cell r="C112" t="str">
            <v>아크스튜디오</v>
          </cell>
        </row>
        <row r="113">
          <cell r="B113" t="str">
            <v>강산</v>
          </cell>
          <cell r="C113" t="str">
            <v>에필로그</v>
          </cell>
        </row>
        <row r="114">
          <cell r="B114" t="str">
            <v>강산</v>
          </cell>
          <cell r="C114" t="str">
            <v>에필로그</v>
          </cell>
        </row>
        <row r="115">
          <cell r="B115" t="str">
            <v>강산</v>
          </cell>
          <cell r="C115" t="str">
            <v>에필로그</v>
          </cell>
        </row>
        <row r="116">
          <cell r="B116" t="str">
            <v>강산</v>
          </cell>
          <cell r="C116" t="str">
            <v>에필로그</v>
          </cell>
        </row>
        <row r="117">
          <cell r="B117" t="str">
            <v>강산</v>
          </cell>
          <cell r="C117" t="str">
            <v>에필로그</v>
          </cell>
        </row>
        <row r="118">
          <cell r="B118" t="str">
            <v>강산</v>
          </cell>
          <cell r="C118" t="str">
            <v>에필로그</v>
          </cell>
        </row>
        <row r="119">
          <cell r="B119" t="str">
            <v>강산</v>
          </cell>
          <cell r="C119" t="str">
            <v>에필로그</v>
          </cell>
        </row>
        <row r="120">
          <cell r="B120" t="str">
            <v>강산</v>
          </cell>
          <cell r="C120" t="str">
            <v>에필로그</v>
          </cell>
        </row>
        <row r="121">
          <cell r="B121" t="str">
            <v>강산</v>
          </cell>
          <cell r="C121" t="str">
            <v>에필로그</v>
          </cell>
        </row>
        <row r="122">
          <cell r="B122" t="str">
            <v>강산</v>
          </cell>
          <cell r="C122" t="str">
            <v>에필로그</v>
          </cell>
        </row>
        <row r="123">
          <cell r="B123" t="str">
            <v>강산(江山)</v>
          </cell>
          <cell r="C123" t="str">
            <v>에필로그</v>
          </cell>
        </row>
        <row r="124">
          <cell r="B124" t="str">
            <v>강산(江山)</v>
          </cell>
          <cell r="C124" t="str">
            <v>에필로그</v>
          </cell>
        </row>
        <row r="125">
          <cell r="B125" t="str">
            <v>강산(江山)</v>
          </cell>
          <cell r="C125" t="str">
            <v>에필로그</v>
          </cell>
        </row>
        <row r="126">
          <cell r="B126" t="str">
            <v>강산(江山)</v>
          </cell>
          <cell r="C126" t="str">
            <v>에필로그</v>
          </cell>
        </row>
        <row r="127">
          <cell r="B127" t="str">
            <v>백범</v>
          </cell>
          <cell r="C127" t="str">
            <v>에필로그</v>
          </cell>
        </row>
        <row r="128">
          <cell r="B128" t="str">
            <v>강산(江山)</v>
          </cell>
          <cell r="C128" t="str">
            <v>에필로그</v>
          </cell>
        </row>
        <row r="129">
          <cell r="B129" t="str">
            <v>강산(江山)</v>
          </cell>
          <cell r="C129" t="str">
            <v>에필로그</v>
          </cell>
        </row>
        <row r="130">
          <cell r="B130" t="str">
            <v>강산(江山)</v>
          </cell>
          <cell r="C130" t="str">
            <v>에필로그</v>
          </cell>
        </row>
        <row r="131">
          <cell r="B131" t="str">
            <v>강산(江山)</v>
          </cell>
          <cell r="C131" t="str">
            <v>에필로그</v>
          </cell>
        </row>
        <row r="132">
          <cell r="B132" t="str">
            <v>강산(江山)</v>
          </cell>
          <cell r="C132" t="str">
            <v>에필로그</v>
          </cell>
        </row>
        <row r="133">
          <cell r="B133" t="str">
            <v>강산(江山)</v>
          </cell>
          <cell r="C133" t="str">
            <v>에필로그</v>
          </cell>
        </row>
        <row r="134">
          <cell r="B134" t="str">
            <v>강산(江山)</v>
          </cell>
          <cell r="C134" t="str">
            <v>에필로그</v>
          </cell>
        </row>
        <row r="135">
          <cell r="B135" t="str">
            <v>백범(白帆)</v>
          </cell>
          <cell r="C135" t="str">
            <v>에필로그</v>
          </cell>
        </row>
        <row r="136">
          <cell r="B136" t="str">
            <v>강산(江山)</v>
          </cell>
          <cell r="C136" t="str">
            <v>에필로그</v>
          </cell>
        </row>
        <row r="137">
          <cell r="B137" t="str">
            <v>강산(江山)</v>
          </cell>
          <cell r="C137" t="str">
            <v>에필로그</v>
          </cell>
        </row>
        <row r="138">
          <cell r="B138" t="str">
            <v>강산 (江山)</v>
          </cell>
          <cell r="C138" t="str">
            <v>에필로그</v>
          </cell>
        </row>
        <row r="139">
          <cell r="B139" t="str">
            <v>강산(江山)</v>
          </cell>
          <cell r="C139" t="str">
            <v>에필로그</v>
          </cell>
        </row>
        <row r="140">
          <cell r="B140" t="str">
            <v>강산(江山)</v>
          </cell>
          <cell r="C140" t="str">
            <v>에필로그</v>
          </cell>
        </row>
        <row r="141">
          <cell r="B141" t="str">
            <v>강산(江山)</v>
          </cell>
          <cell r="C141" t="str">
            <v>에필로그</v>
          </cell>
        </row>
        <row r="142">
          <cell r="B142" t="str">
            <v>강산(江山)</v>
          </cell>
          <cell r="C142" t="str">
            <v>에필로그</v>
          </cell>
        </row>
        <row r="143">
          <cell r="B143" t="str">
            <v>강산(江山)</v>
          </cell>
          <cell r="C143" t="str">
            <v>에필로그</v>
          </cell>
        </row>
        <row r="144">
          <cell r="B144" t="str">
            <v>강산(江山)</v>
          </cell>
          <cell r="C144" t="str">
            <v>에필로그</v>
          </cell>
        </row>
        <row r="145">
          <cell r="B145" t="str">
            <v>강산(江山)</v>
          </cell>
          <cell r="C145" t="str">
            <v>에필로그</v>
          </cell>
        </row>
        <row r="146">
          <cell r="B146" t="str">
            <v>강산(江山)</v>
          </cell>
          <cell r="C146" t="str">
            <v>에필로그</v>
          </cell>
        </row>
        <row r="147">
          <cell r="B147" t="str">
            <v>강산(江山)</v>
          </cell>
          <cell r="C147" t="str">
            <v>에필로그</v>
          </cell>
        </row>
        <row r="148">
          <cell r="B148" t="str">
            <v>강산(江山)</v>
          </cell>
          <cell r="C148" t="str">
            <v>에필로그</v>
          </cell>
        </row>
        <row r="149">
          <cell r="B149" t="str">
            <v>강산(江山)</v>
          </cell>
          <cell r="C149" t="str">
            <v>에필로그</v>
          </cell>
        </row>
        <row r="150">
          <cell r="B150" t="str">
            <v>강산(江山)</v>
          </cell>
          <cell r="C150" t="str">
            <v>에필로그</v>
          </cell>
        </row>
        <row r="151">
          <cell r="B151" t="str">
            <v>강산(江山)</v>
          </cell>
          <cell r="C151" t="str">
            <v>에필로그</v>
          </cell>
        </row>
        <row r="152">
          <cell r="B152" t="str">
            <v>강산(江山)</v>
          </cell>
          <cell r="C152" t="str">
            <v>에필로그</v>
          </cell>
        </row>
        <row r="153">
          <cell r="B153" t="str">
            <v>강산(江山)</v>
          </cell>
          <cell r="C153" t="str">
            <v>에필로그</v>
          </cell>
        </row>
        <row r="154">
          <cell r="B154" t="str">
            <v>강산(江山)</v>
          </cell>
          <cell r="C154" t="str">
            <v>에필로그</v>
          </cell>
        </row>
        <row r="155">
          <cell r="B155" t="str">
            <v>강산(江山)</v>
          </cell>
          <cell r="C155" t="str">
            <v>에필로그</v>
          </cell>
        </row>
        <row r="156">
          <cell r="B156" t="str">
            <v>강산(江山)</v>
          </cell>
          <cell r="C156" t="str">
            <v>에필로그</v>
          </cell>
        </row>
        <row r="157">
          <cell r="B157" t="str">
            <v>강산(江山)</v>
          </cell>
          <cell r="C157" t="str">
            <v>에필로그</v>
          </cell>
        </row>
        <row r="158">
          <cell r="B158" t="str">
            <v>강산(江山)</v>
          </cell>
          <cell r="C158" t="str">
            <v>에필로그</v>
          </cell>
        </row>
        <row r="159">
          <cell r="B159" t="str">
            <v>강산(江山)</v>
          </cell>
          <cell r="C159" t="str">
            <v>에필로그</v>
          </cell>
        </row>
        <row r="160">
          <cell r="B160" t="str">
            <v>강산(江山)</v>
          </cell>
          <cell r="C160" t="str">
            <v>에필로그</v>
          </cell>
        </row>
        <row r="161">
          <cell r="B161" t="str">
            <v>강산(江山)</v>
          </cell>
          <cell r="C161" t="str">
            <v>에필로그</v>
          </cell>
        </row>
        <row r="162">
          <cell r="B162" t="str">
            <v>강산(江山)</v>
          </cell>
          <cell r="C162" t="str">
            <v>에필로그</v>
          </cell>
        </row>
        <row r="163">
          <cell r="B163" t="str">
            <v>강산(江山)</v>
          </cell>
          <cell r="C163" t="str">
            <v>에필로그</v>
          </cell>
        </row>
        <row r="164">
          <cell r="B164" t="str">
            <v>강산(江山)</v>
          </cell>
          <cell r="C164" t="str">
            <v>에필로그</v>
          </cell>
        </row>
        <row r="165">
          <cell r="B165" t="str">
            <v>강산(江山)</v>
          </cell>
          <cell r="C165" t="str">
            <v>에필로그</v>
          </cell>
        </row>
        <row r="166">
          <cell r="B166" t="str">
            <v>강산(江山)</v>
          </cell>
          <cell r="C166" t="str">
            <v>에필로그</v>
          </cell>
        </row>
        <row r="167">
          <cell r="B167" t="str">
            <v>강산(江山)</v>
          </cell>
          <cell r="C167" t="str">
            <v>에필로그</v>
          </cell>
        </row>
        <row r="168">
          <cell r="B168" t="str">
            <v>강산(江山)</v>
          </cell>
          <cell r="C168" t="str">
            <v>에필로그</v>
          </cell>
        </row>
        <row r="169">
          <cell r="B169" t="str">
            <v>강산(江山)</v>
          </cell>
          <cell r="C169" t="str">
            <v>에필로그</v>
          </cell>
        </row>
        <row r="170">
          <cell r="B170" t="str">
            <v>강산(江山)</v>
          </cell>
          <cell r="C170" t="str">
            <v>에필로그</v>
          </cell>
        </row>
        <row r="171">
          <cell r="B171" t="str">
            <v>강산(江山)</v>
          </cell>
          <cell r="C171" t="str">
            <v>에필로그</v>
          </cell>
        </row>
        <row r="172">
          <cell r="B172" t="str">
            <v>강산(江山)</v>
          </cell>
          <cell r="C172" t="str">
            <v>에필로그</v>
          </cell>
        </row>
        <row r="173">
          <cell r="B173" t="str">
            <v>강산(江山)</v>
          </cell>
          <cell r="C173" t="str">
            <v>에필로그</v>
          </cell>
        </row>
        <row r="174">
          <cell r="B174" t="str">
            <v>강산(江山)</v>
          </cell>
          <cell r="C174" t="str">
            <v>에필로그</v>
          </cell>
        </row>
        <row r="175">
          <cell r="B175" t="str">
            <v>강산(江山)</v>
          </cell>
          <cell r="C175" t="str">
            <v>에필로그</v>
          </cell>
        </row>
        <row r="176">
          <cell r="B176" t="str">
            <v>강산(江山)</v>
          </cell>
          <cell r="C176" t="str">
            <v>에필로그</v>
          </cell>
        </row>
        <row r="177">
          <cell r="B177" t="str">
            <v>강산(江山)</v>
          </cell>
          <cell r="C177" t="str">
            <v>에필로그</v>
          </cell>
        </row>
        <row r="178">
          <cell r="B178" t="str">
            <v>강산(江山)</v>
          </cell>
          <cell r="C178" t="str">
            <v>에필로그</v>
          </cell>
        </row>
        <row r="179">
          <cell r="B179" t="str">
            <v>강산(江山)</v>
          </cell>
          <cell r="C179" t="str">
            <v>에필로그</v>
          </cell>
        </row>
        <row r="180">
          <cell r="B180" t="str">
            <v>강산(江山)</v>
          </cell>
          <cell r="C180" t="str">
            <v>에필로그</v>
          </cell>
        </row>
        <row r="181">
          <cell r="B181" t="str">
            <v>강산(江山)</v>
          </cell>
          <cell r="C181" t="str">
            <v>에필로그</v>
          </cell>
        </row>
        <row r="182">
          <cell r="B182" t="str">
            <v>강산(江山)</v>
          </cell>
          <cell r="C182" t="str">
            <v>에필로그</v>
          </cell>
        </row>
        <row r="183">
          <cell r="B183" t="str">
            <v>강산(江山)</v>
          </cell>
          <cell r="C183" t="str">
            <v>에필로그</v>
          </cell>
        </row>
        <row r="184">
          <cell r="B184" t="str">
            <v>강산(江山)</v>
          </cell>
          <cell r="C184" t="str">
            <v>에필로그</v>
          </cell>
        </row>
        <row r="185">
          <cell r="B185" t="str">
            <v>강산(江山)</v>
          </cell>
          <cell r="C185" t="str">
            <v>에필로그</v>
          </cell>
        </row>
        <row r="186">
          <cell r="B186" t="str">
            <v>강산(江山)</v>
          </cell>
          <cell r="C186" t="str">
            <v>에필로그</v>
          </cell>
        </row>
        <row r="187">
          <cell r="B187" t="str">
            <v>강산(江山)</v>
          </cell>
          <cell r="C187" t="str">
            <v>에필로그</v>
          </cell>
        </row>
        <row r="188">
          <cell r="B188" t="str">
            <v>강산(江山)</v>
          </cell>
          <cell r="C188" t="str">
            <v>에필로그</v>
          </cell>
        </row>
        <row r="189">
          <cell r="B189" t="str">
            <v>강산(江山)</v>
          </cell>
          <cell r="C189" t="str">
            <v>에필로그</v>
          </cell>
        </row>
        <row r="190">
          <cell r="B190" t="str">
            <v>강산(江山)</v>
          </cell>
          <cell r="C190" t="str">
            <v>에필로그</v>
          </cell>
        </row>
        <row r="191">
          <cell r="B191" t="str">
            <v>강산(江山)</v>
          </cell>
          <cell r="C191" t="str">
            <v>에필로그</v>
          </cell>
        </row>
        <row r="192">
          <cell r="B192" t="str">
            <v>강산(江山)</v>
          </cell>
          <cell r="C192" t="str">
            <v>에필로그</v>
          </cell>
        </row>
        <row r="193">
          <cell r="B193" t="str">
            <v>강산(江山)</v>
          </cell>
          <cell r="C193" t="str">
            <v>에필로그</v>
          </cell>
        </row>
        <row r="194">
          <cell r="B194" t="str">
            <v>강산(江山)</v>
          </cell>
          <cell r="C194" t="str">
            <v>에필로그</v>
          </cell>
        </row>
        <row r="195">
          <cell r="B195" t="str">
            <v>강산(江山)</v>
          </cell>
          <cell r="C195" t="str">
            <v>에필로그</v>
          </cell>
        </row>
        <row r="196">
          <cell r="B196" t="str">
            <v>강산(江山)</v>
          </cell>
          <cell r="C196" t="str">
            <v>에필로그</v>
          </cell>
        </row>
        <row r="197">
          <cell r="B197" t="str">
            <v>강산(江山)</v>
          </cell>
          <cell r="C197" t="str">
            <v>에필로그</v>
          </cell>
        </row>
        <row r="198">
          <cell r="B198" t="str">
            <v>강산(江山)</v>
          </cell>
          <cell r="C198" t="str">
            <v>에필로그</v>
          </cell>
        </row>
        <row r="199">
          <cell r="B199" t="str">
            <v>강산(江山)</v>
          </cell>
          <cell r="C199" t="str">
            <v>에필로그</v>
          </cell>
        </row>
        <row r="200">
          <cell r="B200" t="str">
            <v>강산(江山)</v>
          </cell>
          <cell r="C200" t="str">
            <v>에필로그</v>
          </cell>
        </row>
        <row r="201">
          <cell r="B201" t="str">
            <v>강산(江山)</v>
          </cell>
          <cell r="C201" t="str">
            <v>에필로그</v>
          </cell>
        </row>
        <row r="202">
          <cell r="B202" t="str">
            <v>강산(江山)</v>
          </cell>
          <cell r="C202" t="str">
            <v>에필로그</v>
          </cell>
        </row>
        <row r="203">
          <cell r="B203" t="str">
            <v>강산(江山)</v>
          </cell>
          <cell r="C203" t="str">
            <v>에필로그</v>
          </cell>
        </row>
        <row r="204">
          <cell r="B204" t="str">
            <v>강산(江山)</v>
          </cell>
          <cell r="C204" t="str">
            <v>에필로그</v>
          </cell>
        </row>
        <row r="205">
          <cell r="B205" t="str">
            <v>강산(江山)</v>
          </cell>
          <cell r="C205" t="str">
            <v>에필로그</v>
          </cell>
        </row>
        <row r="206">
          <cell r="B206" t="str">
            <v>강산(江山)</v>
          </cell>
          <cell r="C206" t="str">
            <v>에필로그</v>
          </cell>
        </row>
        <row r="207">
          <cell r="B207" t="str">
            <v>강산(江山)</v>
          </cell>
          <cell r="C207" t="str">
            <v>에필로그</v>
          </cell>
        </row>
        <row r="208">
          <cell r="B208" t="str">
            <v>강산(江山)</v>
          </cell>
          <cell r="C208" t="str">
            <v>에필로그</v>
          </cell>
        </row>
        <row r="209">
          <cell r="B209" t="str">
            <v>강산(江山)</v>
          </cell>
          <cell r="C209" t="str">
            <v>에필로그</v>
          </cell>
        </row>
        <row r="210">
          <cell r="B210" t="str">
            <v>강산(江山)</v>
          </cell>
          <cell r="C210" t="str">
            <v>에필로그</v>
          </cell>
        </row>
        <row r="211">
          <cell r="B211" t="str">
            <v>강산(江山)</v>
          </cell>
          <cell r="C211" t="str">
            <v>에필로그</v>
          </cell>
        </row>
        <row r="212">
          <cell r="B212" t="str">
            <v>강산(江山)</v>
          </cell>
          <cell r="C212" t="str">
            <v>에필로그</v>
          </cell>
        </row>
        <row r="213">
          <cell r="B213" t="str">
            <v>강산(江山)</v>
          </cell>
          <cell r="C213" t="str">
            <v>에필로그</v>
          </cell>
        </row>
        <row r="214">
          <cell r="B214" t="str">
            <v>강산(江山)</v>
          </cell>
          <cell r="C214" t="str">
            <v>에필로그</v>
          </cell>
        </row>
        <row r="215">
          <cell r="B215" t="str">
            <v>강산(江山)</v>
          </cell>
          <cell r="C215" t="str">
            <v>에필로그</v>
          </cell>
        </row>
        <row r="216">
          <cell r="B216" t="str">
            <v>강산(江山)</v>
          </cell>
          <cell r="C216" t="str">
            <v>에필로그</v>
          </cell>
        </row>
        <row r="217">
          <cell r="B217" t="str">
            <v>강산(江山)</v>
          </cell>
          <cell r="C217" t="str">
            <v>에필로그</v>
          </cell>
        </row>
        <row r="218">
          <cell r="B218" t="str">
            <v>강산(江山)</v>
          </cell>
          <cell r="C218" t="str">
            <v>에필로그</v>
          </cell>
        </row>
        <row r="219">
          <cell r="B219" t="str">
            <v>강산(江山)</v>
          </cell>
          <cell r="C219" t="str">
            <v>에필로그</v>
          </cell>
        </row>
        <row r="220">
          <cell r="B220" t="str">
            <v>강산(江山)</v>
          </cell>
          <cell r="C220" t="str">
            <v>에필로그</v>
          </cell>
        </row>
        <row r="221">
          <cell r="B221" t="str">
            <v>강산(江山)</v>
          </cell>
          <cell r="C221" t="str">
            <v>에필로그</v>
          </cell>
        </row>
        <row r="222">
          <cell r="B222" t="str">
            <v>강산(江山)</v>
          </cell>
          <cell r="C222" t="str">
            <v>에필로그</v>
          </cell>
        </row>
        <row r="223">
          <cell r="B223" t="str">
            <v>강산(江山)</v>
          </cell>
          <cell r="C223" t="str">
            <v>에필로그</v>
          </cell>
        </row>
        <row r="224">
          <cell r="B224" t="str">
            <v>강산(江山)</v>
          </cell>
          <cell r="C224" t="str">
            <v>에필로그</v>
          </cell>
        </row>
        <row r="225">
          <cell r="B225" t="str">
            <v>강산(江山)</v>
          </cell>
          <cell r="C225" t="str">
            <v>에필로그</v>
          </cell>
        </row>
        <row r="226">
          <cell r="B226" t="str">
            <v>강산(江山)</v>
          </cell>
          <cell r="C226" t="str">
            <v>에필로그</v>
          </cell>
        </row>
        <row r="227">
          <cell r="B227" t="str">
            <v>강산(江山)</v>
          </cell>
          <cell r="C227" t="str">
            <v>에필로그</v>
          </cell>
        </row>
        <row r="228">
          <cell r="B228" t="str">
            <v>강산(江山)</v>
          </cell>
          <cell r="C228" t="str">
            <v>에필로그</v>
          </cell>
        </row>
        <row r="229">
          <cell r="B229" t="str">
            <v>강산(江山)</v>
          </cell>
          <cell r="C229" t="str">
            <v>에필로그</v>
          </cell>
        </row>
        <row r="230">
          <cell r="B230" t="str">
            <v>강산(江山)</v>
          </cell>
          <cell r="C230" t="str">
            <v>에필로그</v>
          </cell>
        </row>
        <row r="231">
          <cell r="B231" t="str">
            <v>강산(江山)</v>
          </cell>
          <cell r="C231" t="str">
            <v>에필로그</v>
          </cell>
        </row>
        <row r="232">
          <cell r="B232" t="str">
            <v>강산(江山)</v>
          </cell>
          <cell r="C232" t="str">
            <v>에필로그</v>
          </cell>
        </row>
        <row r="233">
          <cell r="B233" t="str">
            <v>강산(江山)</v>
          </cell>
          <cell r="C233" t="str">
            <v>에필로그</v>
          </cell>
        </row>
        <row r="234">
          <cell r="B234" t="str">
            <v>강산(江山)</v>
          </cell>
          <cell r="C234" t="str">
            <v>에필로그</v>
          </cell>
        </row>
        <row r="235">
          <cell r="B235" t="str">
            <v>강산(江山)</v>
          </cell>
          <cell r="C235" t="str">
            <v>에필로그</v>
          </cell>
        </row>
        <row r="236">
          <cell r="B236" t="str">
            <v>강산(江山)</v>
          </cell>
          <cell r="C236" t="str">
            <v>에필로그</v>
          </cell>
        </row>
        <row r="237">
          <cell r="B237" t="str">
            <v>강산(江山)</v>
          </cell>
          <cell r="C237" t="str">
            <v>에필로그</v>
          </cell>
        </row>
        <row r="238">
          <cell r="B238" t="str">
            <v>강산(江山)</v>
          </cell>
          <cell r="C238" t="str">
            <v>에필로그</v>
          </cell>
        </row>
        <row r="239">
          <cell r="B239" t="str">
            <v>강산(江山)</v>
          </cell>
          <cell r="C239" t="str">
            <v>에필로그</v>
          </cell>
        </row>
        <row r="240">
          <cell r="B240" t="str">
            <v>강산(江山)</v>
          </cell>
          <cell r="C240" t="str">
            <v>에필로그</v>
          </cell>
        </row>
        <row r="241">
          <cell r="B241" t="str">
            <v>강산(江山)</v>
          </cell>
          <cell r="C241" t="str">
            <v>에필로그</v>
          </cell>
        </row>
        <row r="242">
          <cell r="B242" t="str">
            <v>강산(江山)</v>
          </cell>
          <cell r="C242" t="str">
            <v>에필로그</v>
          </cell>
        </row>
        <row r="243">
          <cell r="B243" t="str">
            <v>강산(江山)</v>
          </cell>
          <cell r="C243" t="str">
            <v>에필로그</v>
          </cell>
        </row>
        <row r="244">
          <cell r="B244" t="str">
            <v>강산(江山)</v>
          </cell>
          <cell r="C244" t="str">
            <v>에필로그</v>
          </cell>
        </row>
        <row r="245">
          <cell r="B245" t="str">
            <v>강산(江山)</v>
          </cell>
          <cell r="C245" t="str">
            <v>에필로그</v>
          </cell>
        </row>
        <row r="246">
          <cell r="B246" t="str">
            <v>강산(江山)</v>
          </cell>
          <cell r="C246" t="str">
            <v>에필로그</v>
          </cell>
        </row>
        <row r="247">
          <cell r="B247" t="str">
            <v>강산(江山)</v>
          </cell>
          <cell r="C247" t="str">
            <v>에필로그</v>
          </cell>
        </row>
        <row r="248">
          <cell r="B248" t="str">
            <v>강산(江山)</v>
          </cell>
          <cell r="C248" t="str">
            <v>에필로그</v>
          </cell>
        </row>
        <row r="249">
          <cell r="B249" t="str">
            <v>강산(江山)</v>
          </cell>
          <cell r="C249" t="str">
            <v>에필로그</v>
          </cell>
        </row>
        <row r="250">
          <cell r="B250" t="str">
            <v>강산(江山)</v>
          </cell>
          <cell r="C250" t="str">
            <v>에필로그</v>
          </cell>
        </row>
        <row r="251">
          <cell r="B251" t="str">
            <v>강산(江山)</v>
          </cell>
          <cell r="C251" t="str">
            <v>에필로그</v>
          </cell>
        </row>
        <row r="252">
          <cell r="B252" t="str">
            <v>강산(江山)</v>
          </cell>
          <cell r="C252" t="str">
            <v>에필로그</v>
          </cell>
        </row>
        <row r="253">
          <cell r="B253" t="str">
            <v>강산(江山)</v>
          </cell>
          <cell r="C253" t="str">
            <v>에필로그</v>
          </cell>
        </row>
        <row r="254">
          <cell r="B254" t="str">
            <v>강산(江山)</v>
          </cell>
          <cell r="C254" t="str">
            <v>에필로그</v>
          </cell>
        </row>
        <row r="255">
          <cell r="B255" t="str">
            <v>강산(江山)</v>
          </cell>
          <cell r="C255" t="str">
            <v>에필로그</v>
          </cell>
        </row>
        <row r="256">
          <cell r="B256" t="str">
            <v>강산(江山)</v>
          </cell>
          <cell r="C256" t="str">
            <v>에필로그</v>
          </cell>
        </row>
        <row r="257">
          <cell r="B257" t="str">
            <v>강산(江山)</v>
          </cell>
          <cell r="C257" t="str">
            <v>에필로그</v>
          </cell>
        </row>
        <row r="258">
          <cell r="B258" t="str">
            <v>강산(江山)</v>
          </cell>
          <cell r="C258" t="str">
            <v>에필로그</v>
          </cell>
        </row>
        <row r="259">
          <cell r="B259" t="str">
            <v>강산(江山)</v>
          </cell>
          <cell r="C259" t="str">
            <v>에필로그</v>
          </cell>
        </row>
        <row r="260">
          <cell r="B260" t="str">
            <v>강산(江山)</v>
          </cell>
          <cell r="C260" t="str">
            <v>에필로그</v>
          </cell>
        </row>
        <row r="261">
          <cell r="B261" t="str">
            <v>강산(江山)</v>
          </cell>
          <cell r="C261" t="str">
            <v>에필로그</v>
          </cell>
        </row>
        <row r="262">
          <cell r="B262" t="str">
            <v>강산(江山)</v>
          </cell>
          <cell r="C262" t="str">
            <v>에필로그</v>
          </cell>
        </row>
        <row r="263">
          <cell r="B263" t="str">
            <v>강산(江山)</v>
          </cell>
          <cell r="C263" t="str">
            <v>에필로그</v>
          </cell>
        </row>
        <row r="264">
          <cell r="B264" t="str">
            <v>강산(江山)</v>
          </cell>
          <cell r="C264" t="str">
            <v>에필로그</v>
          </cell>
        </row>
        <row r="265">
          <cell r="B265" t="str">
            <v>강산(江山)</v>
          </cell>
          <cell r="C265" t="str">
            <v>에필로그</v>
          </cell>
        </row>
        <row r="266">
          <cell r="B266" t="str">
            <v>강산(江山)</v>
          </cell>
          <cell r="C266" t="str">
            <v>에필로그</v>
          </cell>
        </row>
        <row r="267">
          <cell r="B267" t="str">
            <v>강산(江山)</v>
          </cell>
          <cell r="C267" t="str">
            <v>에필로그</v>
          </cell>
        </row>
        <row r="268">
          <cell r="B268" t="str">
            <v>강산(江山)</v>
          </cell>
          <cell r="C268" t="str">
            <v>에필로그</v>
          </cell>
        </row>
        <row r="269">
          <cell r="B269" t="str">
            <v>강산(江山)</v>
          </cell>
          <cell r="C269" t="str">
            <v>에필로그</v>
          </cell>
        </row>
        <row r="270">
          <cell r="B270" t="str">
            <v>강산(江山)</v>
          </cell>
          <cell r="C270" t="str">
            <v>에필로그</v>
          </cell>
        </row>
        <row r="271">
          <cell r="B271" t="str">
            <v>강산(江山)</v>
          </cell>
          <cell r="C271" t="str">
            <v>에필로그</v>
          </cell>
        </row>
        <row r="272">
          <cell r="B272" t="str">
            <v>강산(江山)</v>
          </cell>
          <cell r="C272" t="str">
            <v>에필로그</v>
          </cell>
        </row>
        <row r="273">
          <cell r="B273" t="str">
            <v>강산(江山)</v>
          </cell>
          <cell r="C273" t="str">
            <v>에필로그</v>
          </cell>
        </row>
        <row r="274">
          <cell r="B274" t="str">
            <v>강산(江山)</v>
          </cell>
          <cell r="C274" t="str">
            <v>에필로그</v>
          </cell>
        </row>
        <row r="275">
          <cell r="B275" t="str">
            <v>강소아</v>
          </cell>
          <cell r="C275" t="str">
            <v>더컴퍼니</v>
          </cell>
        </row>
        <row r="276">
          <cell r="B276" t="str">
            <v>강소아</v>
          </cell>
          <cell r="C276" t="str">
            <v>더컴퍼니</v>
          </cell>
        </row>
        <row r="277">
          <cell r="B277" t="str">
            <v>강소아</v>
          </cell>
          <cell r="C277" t="str">
            <v>더컴퍼니</v>
          </cell>
        </row>
        <row r="278">
          <cell r="B278" t="str">
            <v>강소아</v>
          </cell>
          <cell r="C278" t="str">
            <v>더컴퍼니</v>
          </cell>
        </row>
        <row r="279">
          <cell r="B279" t="str">
            <v>강소아</v>
          </cell>
          <cell r="C279" t="str">
            <v>더컴퍼니</v>
          </cell>
        </row>
        <row r="280">
          <cell r="B280" t="str">
            <v>검은밤</v>
          </cell>
          <cell r="C280" t="str">
            <v>더컴퍼니</v>
          </cell>
        </row>
        <row r="281">
          <cell r="B281" t="str">
            <v>검은밤</v>
          </cell>
          <cell r="C281" t="str">
            <v>더컴퍼니</v>
          </cell>
        </row>
        <row r="282">
          <cell r="B282" t="str">
            <v>검은밤</v>
          </cell>
          <cell r="C282" t="str">
            <v>더컴퍼니</v>
          </cell>
        </row>
        <row r="283">
          <cell r="B283" t="str">
            <v>검은밤</v>
          </cell>
          <cell r="C283" t="str">
            <v>더컴퍼니</v>
          </cell>
        </row>
        <row r="284">
          <cell r="B284" t="str">
            <v>검은밤</v>
          </cell>
          <cell r="C284" t="str">
            <v>더컴퍼니</v>
          </cell>
        </row>
        <row r="285">
          <cell r="B285" t="str">
            <v>검은밤</v>
          </cell>
          <cell r="C285" t="str">
            <v>더컴퍼니</v>
          </cell>
        </row>
        <row r="286">
          <cell r="B286" t="str">
            <v>검은밤</v>
          </cell>
          <cell r="C286" t="str">
            <v>더컴퍼니</v>
          </cell>
        </row>
        <row r="287">
          <cell r="B287" t="str">
            <v>구하늬</v>
          </cell>
          <cell r="C287" t="str">
            <v>더컴퍼니</v>
          </cell>
        </row>
        <row r="288">
          <cell r="B288" t="str">
            <v>구하늬</v>
          </cell>
          <cell r="C288" t="str">
            <v>더컴퍼니</v>
          </cell>
        </row>
        <row r="289">
          <cell r="B289" t="str">
            <v>구하늬</v>
          </cell>
          <cell r="C289" t="str">
            <v>더컴퍼니</v>
          </cell>
        </row>
        <row r="290">
          <cell r="B290" t="str">
            <v>구하늬</v>
          </cell>
          <cell r="C290" t="str">
            <v>더컴퍼니</v>
          </cell>
        </row>
        <row r="291">
          <cell r="B291" t="str">
            <v>구하늬</v>
          </cell>
          <cell r="C291" t="str">
            <v>더컴퍼니</v>
          </cell>
        </row>
        <row r="292">
          <cell r="B292" t="str">
            <v>김귤</v>
          </cell>
          <cell r="C292" t="str">
            <v>더컴퍼니</v>
          </cell>
        </row>
        <row r="293">
          <cell r="B293" t="str">
            <v>김귤</v>
          </cell>
          <cell r="C293" t="str">
            <v>더컴퍼니</v>
          </cell>
        </row>
        <row r="294">
          <cell r="B294" t="str">
            <v>김귤</v>
          </cell>
          <cell r="C294" t="str">
            <v>더컴퍼니</v>
          </cell>
        </row>
        <row r="295">
          <cell r="B295" t="str">
            <v>김귤</v>
          </cell>
          <cell r="C295" t="str">
            <v>더컴퍼니</v>
          </cell>
        </row>
        <row r="296">
          <cell r="B296" t="str">
            <v>김귤</v>
          </cell>
          <cell r="C296" t="str">
            <v>더컴퍼니</v>
          </cell>
        </row>
        <row r="297">
          <cell r="B297" t="str">
            <v>김귤</v>
          </cell>
          <cell r="C297" t="str">
            <v>더컴퍼니</v>
          </cell>
        </row>
        <row r="298">
          <cell r="B298" t="str">
            <v>김귤</v>
          </cell>
          <cell r="C298" t="str">
            <v>더컴퍼니</v>
          </cell>
        </row>
        <row r="299">
          <cell r="B299" t="str">
            <v>김귤</v>
          </cell>
          <cell r="C299" t="str">
            <v>더컴퍼니</v>
          </cell>
        </row>
        <row r="300">
          <cell r="B300" t="str">
            <v>김매콤</v>
          </cell>
          <cell r="C300" t="str">
            <v>더컴퍼니</v>
          </cell>
        </row>
        <row r="301">
          <cell r="B301" t="str">
            <v>김매콤</v>
          </cell>
          <cell r="C301" t="str">
            <v>더컴퍼니</v>
          </cell>
        </row>
        <row r="302">
          <cell r="B302" t="str">
            <v>김매콤</v>
          </cell>
          <cell r="C302" t="str">
            <v>더컴퍼니</v>
          </cell>
        </row>
        <row r="303">
          <cell r="B303" t="str">
            <v>김소희</v>
          </cell>
          <cell r="C303" t="str">
            <v>더컴퍼니</v>
          </cell>
        </row>
        <row r="304">
          <cell r="B304" t="str">
            <v>김지언</v>
          </cell>
          <cell r="C304" t="str">
            <v>더컴퍼니</v>
          </cell>
        </row>
        <row r="305">
          <cell r="B305" t="str">
            <v>김지언</v>
          </cell>
          <cell r="C305" t="str">
            <v>더컴퍼니</v>
          </cell>
        </row>
        <row r="306">
          <cell r="B306" t="str">
            <v>나나코</v>
          </cell>
          <cell r="C306" t="str">
            <v>더컴퍼니</v>
          </cell>
        </row>
        <row r="307">
          <cell r="B307" t="str">
            <v>나나코</v>
          </cell>
          <cell r="C307" t="str">
            <v>더컴퍼니</v>
          </cell>
        </row>
        <row r="308">
          <cell r="B308" t="str">
            <v>나나코</v>
          </cell>
          <cell r="C308" t="str">
            <v>더컴퍼니</v>
          </cell>
        </row>
        <row r="309">
          <cell r="B309" t="str">
            <v>나나코</v>
          </cell>
          <cell r="C309" t="str">
            <v>더컴퍼니</v>
          </cell>
        </row>
        <row r="310">
          <cell r="B310" t="str">
            <v>나나코</v>
          </cell>
          <cell r="C310" t="str">
            <v>더컴퍼니</v>
          </cell>
        </row>
        <row r="311">
          <cell r="B311" t="str">
            <v>나나코</v>
          </cell>
          <cell r="C311" t="str">
            <v>더컴퍼니</v>
          </cell>
        </row>
        <row r="312">
          <cell r="B312" t="str">
            <v>나나코</v>
          </cell>
          <cell r="C312" t="str">
            <v>더컴퍼니</v>
          </cell>
        </row>
        <row r="313">
          <cell r="B313" t="str">
            <v>나나코</v>
          </cell>
          <cell r="C313" t="str">
            <v>더컴퍼니</v>
          </cell>
        </row>
        <row r="314">
          <cell r="B314" t="str">
            <v>나나코</v>
          </cell>
          <cell r="C314" t="str">
            <v>더컴퍼니</v>
          </cell>
        </row>
        <row r="315">
          <cell r="B315" t="str">
            <v>나나코</v>
          </cell>
          <cell r="C315" t="str">
            <v>더컴퍼니</v>
          </cell>
        </row>
        <row r="316">
          <cell r="B316" t="str">
            <v>나나코</v>
          </cell>
          <cell r="C316" t="str">
            <v>더컴퍼니</v>
          </cell>
        </row>
        <row r="317">
          <cell r="B317" t="str">
            <v>나나코</v>
          </cell>
          <cell r="C317" t="str">
            <v>더컴퍼니</v>
          </cell>
        </row>
        <row r="318">
          <cell r="B318" t="str">
            <v>나나코</v>
          </cell>
          <cell r="C318" t="str">
            <v>더컴퍼니</v>
          </cell>
        </row>
        <row r="319">
          <cell r="B319" t="str">
            <v>나나코</v>
          </cell>
          <cell r="C319" t="str">
            <v>더컴퍼니</v>
          </cell>
        </row>
        <row r="320">
          <cell r="B320" t="str">
            <v>나나코</v>
          </cell>
          <cell r="C320" t="str">
            <v>더컴퍼니</v>
          </cell>
        </row>
        <row r="321">
          <cell r="B321" t="str">
            <v>나나코</v>
          </cell>
          <cell r="C321" t="str">
            <v>더컴퍼니</v>
          </cell>
        </row>
        <row r="322">
          <cell r="B322" t="str">
            <v>나나코</v>
          </cell>
          <cell r="C322" t="str">
            <v>더컴퍼니</v>
          </cell>
        </row>
        <row r="323">
          <cell r="B323" t="str">
            <v>나나코</v>
          </cell>
          <cell r="C323" t="str">
            <v>더컴퍼니</v>
          </cell>
        </row>
        <row r="324">
          <cell r="B324" t="str">
            <v>나나코</v>
          </cell>
          <cell r="C324" t="str">
            <v>더컴퍼니</v>
          </cell>
        </row>
        <row r="325">
          <cell r="B325" t="str">
            <v>나나코</v>
          </cell>
          <cell r="C325" t="str">
            <v>더컴퍼니</v>
          </cell>
        </row>
        <row r="326">
          <cell r="B326" t="str">
            <v>나나코</v>
          </cell>
          <cell r="C326" t="str">
            <v>더컴퍼니</v>
          </cell>
        </row>
        <row r="327">
          <cell r="B327" t="str">
            <v>나나코</v>
          </cell>
          <cell r="C327" t="str">
            <v>더컴퍼니</v>
          </cell>
        </row>
        <row r="328">
          <cell r="B328" t="str">
            <v>나나코</v>
          </cell>
          <cell r="C328" t="str">
            <v>더컴퍼니</v>
          </cell>
        </row>
        <row r="329">
          <cell r="B329" t="str">
            <v>나나코</v>
          </cell>
          <cell r="C329" t="str">
            <v>더컴퍼니</v>
          </cell>
        </row>
        <row r="330">
          <cell r="B330" t="str">
            <v>나나코</v>
          </cell>
          <cell r="C330" t="str">
            <v>더컴퍼니</v>
          </cell>
        </row>
        <row r="331">
          <cell r="B331" t="str">
            <v>나나코</v>
          </cell>
          <cell r="C331" t="str">
            <v>더컴퍼니</v>
          </cell>
        </row>
        <row r="332">
          <cell r="B332" t="str">
            <v>나나코</v>
          </cell>
          <cell r="C332" t="str">
            <v>더컴퍼니</v>
          </cell>
        </row>
        <row r="333">
          <cell r="B333" t="str">
            <v>나나코</v>
          </cell>
          <cell r="C333" t="str">
            <v>더컴퍼니</v>
          </cell>
        </row>
        <row r="334">
          <cell r="B334" t="str">
            <v>나나코</v>
          </cell>
          <cell r="C334" t="str">
            <v>더컴퍼니</v>
          </cell>
        </row>
        <row r="335">
          <cell r="B335" t="str">
            <v>나나코</v>
          </cell>
          <cell r="C335" t="str">
            <v>더컴퍼니</v>
          </cell>
        </row>
        <row r="336">
          <cell r="B336" t="str">
            <v>나나코</v>
          </cell>
          <cell r="C336" t="str">
            <v>더컴퍼니</v>
          </cell>
        </row>
        <row r="337">
          <cell r="B337" t="str">
            <v>나나코</v>
          </cell>
          <cell r="C337" t="str">
            <v>더컴퍼니</v>
          </cell>
        </row>
        <row r="338">
          <cell r="B338" t="str">
            <v>나나코</v>
          </cell>
          <cell r="C338" t="str">
            <v>더컴퍼니</v>
          </cell>
        </row>
        <row r="339">
          <cell r="B339" t="str">
            <v>나나코</v>
          </cell>
          <cell r="C339" t="str">
            <v>더컴퍼니</v>
          </cell>
        </row>
        <row r="340">
          <cell r="B340" t="str">
            <v>나나코</v>
          </cell>
          <cell r="C340" t="str">
            <v>더컴퍼니</v>
          </cell>
        </row>
        <row r="341">
          <cell r="B341" t="str">
            <v>나나코</v>
          </cell>
          <cell r="C341" t="str">
            <v>더컴퍼니</v>
          </cell>
        </row>
        <row r="342">
          <cell r="B342" t="str">
            <v>나나코</v>
          </cell>
          <cell r="C342" t="str">
            <v>더컴퍼니</v>
          </cell>
        </row>
        <row r="343">
          <cell r="B343" t="str">
            <v>나나코</v>
          </cell>
          <cell r="C343" t="str">
            <v>더컴퍼니</v>
          </cell>
        </row>
        <row r="344">
          <cell r="B344" t="str">
            <v>나나코</v>
          </cell>
          <cell r="C344" t="str">
            <v>더컴퍼니</v>
          </cell>
        </row>
        <row r="345">
          <cell r="B345" t="str">
            <v>나나코</v>
          </cell>
          <cell r="C345" t="str">
            <v>더컴퍼니</v>
          </cell>
        </row>
        <row r="346">
          <cell r="B346" t="str">
            <v>나나코</v>
          </cell>
          <cell r="C346" t="str">
            <v>더컴퍼니</v>
          </cell>
        </row>
        <row r="347">
          <cell r="B347" t="str">
            <v>나나코</v>
          </cell>
          <cell r="C347" t="str">
            <v>더컴퍼니</v>
          </cell>
        </row>
        <row r="348">
          <cell r="B348" t="str">
            <v>나나코</v>
          </cell>
          <cell r="C348" t="str">
            <v>더컴퍼니</v>
          </cell>
        </row>
        <row r="349">
          <cell r="B349" t="str">
            <v>나나코</v>
          </cell>
          <cell r="C349" t="str">
            <v>더컴퍼니</v>
          </cell>
        </row>
        <row r="350">
          <cell r="B350" t="str">
            <v>나나코</v>
          </cell>
          <cell r="C350" t="str">
            <v>더컴퍼니</v>
          </cell>
        </row>
        <row r="351">
          <cell r="B351" t="str">
            <v>나나코</v>
          </cell>
          <cell r="C351" t="str">
            <v>더컴퍼니</v>
          </cell>
        </row>
        <row r="352">
          <cell r="B352" t="str">
            <v>나나코</v>
          </cell>
          <cell r="C352" t="str">
            <v>더컴퍼니</v>
          </cell>
        </row>
        <row r="353">
          <cell r="B353" t="str">
            <v>나나코</v>
          </cell>
          <cell r="C353" t="str">
            <v>더컴퍼니</v>
          </cell>
        </row>
        <row r="354">
          <cell r="B354" t="str">
            <v>나나코</v>
          </cell>
          <cell r="C354" t="str">
            <v>더컴퍼니</v>
          </cell>
        </row>
        <row r="355">
          <cell r="B355" t="str">
            <v>나나코</v>
          </cell>
          <cell r="C355" t="str">
            <v>더컴퍼니</v>
          </cell>
        </row>
        <row r="356">
          <cell r="B356" t="str">
            <v>나나코</v>
          </cell>
          <cell r="C356" t="str">
            <v>더컴퍼니</v>
          </cell>
        </row>
        <row r="357">
          <cell r="B357" t="str">
            <v>나나코</v>
          </cell>
          <cell r="C357" t="str">
            <v>더컴퍼니</v>
          </cell>
        </row>
        <row r="358">
          <cell r="B358" t="str">
            <v>나나코</v>
          </cell>
          <cell r="C358" t="str">
            <v>더컴퍼니</v>
          </cell>
        </row>
        <row r="359">
          <cell r="B359" t="str">
            <v>나나코</v>
          </cell>
          <cell r="C359" t="str">
            <v>더컴퍼니</v>
          </cell>
        </row>
        <row r="360">
          <cell r="B360" t="str">
            <v>나나코</v>
          </cell>
          <cell r="C360" t="str">
            <v>더컴퍼니</v>
          </cell>
        </row>
        <row r="361">
          <cell r="B361" t="str">
            <v>나나코</v>
          </cell>
          <cell r="C361" t="str">
            <v>더컴퍼니</v>
          </cell>
        </row>
        <row r="362">
          <cell r="B362" t="str">
            <v>나나코</v>
          </cell>
          <cell r="C362" t="str">
            <v>더컴퍼니</v>
          </cell>
        </row>
        <row r="363">
          <cell r="B363" t="str">
            <v>나나코</v>
          </cell>
          <cell r="C363" t="str">
            <v>더컴퍼니</v>
          </cell>
        </row>
        <row r="364">
          <cell r="B364" t="str">
            <v>나나코</v>
          </cell>
          <cell r="C364" t="str">
            <v>더컴퍼니</v>
          </cell>
        </row>
        <row r="365">
          <cell r="B365" t="str">
            <v>나나코</v>
          </cell>
          <cell r="C365" t="str">
            <v>더컴퍼니</v>
          </cell>
        </row>
        <row r="366">
          <cell r="B366" t="str">
            <v>나나코</v>
          </cell>
          <cell r="C366" t="str">
            <v>더컴퍼니</v>
          </cell>
        </row>
        <row r="367">
          <cell r="B367" t="str">
            <v>나밍</v>
          </cell>
          <cell r="C367" t="str">
            <v>더컴퍼니</v>
          </cell>
        </row>
        <row r="368">
          <cell r="B368" t="str">
            <v>나밍</v>
          </cell>
          <cell r="C368" t="str">
            <v>더컴퍼니</v>
          </cell>
        </row>
        <row r="369">
          <cell r="B369" t="str">
            <v>나인, 투</v>
          </cell>
          <cell r="C369" t="str">
            <v>더컴퍼니</v>
          </cell>
        </row>
        <row r="370">
          <cell r="B370" t="str">
            <v>녹지</v>
          </cell>
          <cell r="C370" t="str">
            <v>더컴퍼니</v>
          </cell>
        </row>
        <row r="371">
          <cell r="B371" t="str">
            <v>녹치</v>
          </cell>
          <cell r="C371" t="str">
            <v>더컴퍼니</v>
          </cell>
        </row>
        <row r="372">
          <cell r="B372" t="str">
            <v>녹치</v>
          </cell>
          <cell r="C372" t="str">
            <v>더컴퍼니</v>
          </cell>
        </row>
        <row r="373">
          <cell r="B373" t="str">
            <v>녹치</v>
          </cell>
          <cell r="C373" t="str">
            <v>더컴퍼니</v>
          </cell>
        </row>
        <row r="374">
          <cell r="B374" t="str">
            <v>녹치</v>
          </cell>
          <cell r="C374" t="str">
            <v>더컴퍼니</v>
          </cell>
        </row>
        <row r="375">
          <cell r="B375" t="str">
            <v>녹치</v>
          </cell>
          <cell r="C375" t="str">
            <v>더컴퍼니</v>
          </cell>
        </row>
        <row r="376">
          <cell r="B376" t="str">
            <v>녹치</v>
          </cell>
          <cell r="C376" t="str">
            <v>더컴퍼니</v>
          </cell>
        </row>
        <row r="377">
          <cell r="B377" t="str">
            <v>녹치</v>
          </cell>
          <cell r="C377" t="str">
            <v>더컴퍼니</v>
          </cell>
        </row>
        <row r="378">
          <cell r="B378" t="str">
            <v>달과자</v>
          </cell>
          <cell r="C378" t="str">
            <v>더컴퍼니</v>
          </cell>
        </row>
        <row r="379">
          <cell r="B379" t="str">
            <v>달과자</v>
          </cell>
          <cell r="C379" t="str">
            <v>더컴퍼니</v>
          </cell>
        </row>
        <row r="380">
          <cell r="B380" t="str">
            <v>달과자</v>
          </cell>
          <cell r="C380" t="str">
            <v>더컴퍼니</v>
          </cell>
        </row>
        <row r="381">
          <cell r="B381" t="str">
            <v>달과자</v>
          </cell>
          <cell r="C381" t="str">
            <v>더컴퍼니</v>
          </cell>
        </row>
        <row r="382">
          <cell r="B382" t="str">
            <v>더블유</v>
          </cell>
          <cell r="C382" t="str">
            <v>더컴퍼니</v>
          </cell>
        </row>
        <row r="383">
          <cell r="B383" t="str">
            <v>더블유</v>
          </cell>
          <cell r="C383" t="str">
            <v>더컴퍼니</v>
          </cell>
        </row>
        <row r="384">
          <cell r="B384" t="str">
            <v>덕리</v>
          </cell>
          <cell r="C384" t="str">
            <v>더컴퍼니</v>
          </cell>
        </row>
        <row r="385">
          <cell r="B385" t="str">
            <v>덕리</v>
          </cell>
          <cell r="C385" t="str">
            <v>더컴퍼니</v>
          </cell>
        </row>
        <row r="386">
          <cell r="B386" t="str">
            <v>도로시</v>
          </cell>
          <cell r="C386" t="str">
            <v>더컴퍼니</v>
          </cell>
        </row>
        <row r="387">
          <cell r="B387" t="str">
            <v>도로시</v>
          </cell>
          <cell r="C387" t="str">
            <v>더컴퍼니</v>
          </cell>
        </row>
        <row r="388">
          <cell r="B388" t="str">
            <v>도로시</v>
          </cell>
          <cell r="C388" t="str">
            <v>더컴퍼니</v>
          </cell>
        </row>
        <row r="389">
          <cell r="B389" t="str">
            <v>도로시</v>
          </cell>
          <cell r="C389" t="str">
            <v>더컴퍼니</v>
          </cell>
        </row>
        <row r="390">
          <cell r="B390" t="str">
            <v>도로시</v>
          </cell>
          <cell r="C390" t="str">
            <v>더컴퍼니</v>
          </cell>
        </row>
        <row r="391">
          <cell r="B391" t="str">
            <v>도로시</v>
          </cell>
          <cell r="C391" t="str">
            <v>더컴퍼니</v>
          </cell>
        </row>
        <row r="392">
          <cell r="B392" t="str">
            <v>도로시</v>
          </cell>
          <cell r="C392" t="str">
            <v>더컴퍼니</v>
          </cell>
        </row>
        <row r="393">
          <cell r="B393" t="str">
            <v>도로시</v>
          </cell>
          <cell r="C393" t="str">
            <v>더컴퍼니</v>
          </cell>
        </row>
        <row r="394">
          <cell r="B394" t="str">
            <v>라돌체</v>
          </cell>
          <cell r="C394" t="str">
            <v>더컴퍼니</v>
          </cell>
        </row>
        <row r="395">
          <cell r="B395" t="str">
            <v>라돌체</v>
          </cell>
          <cell r="C395" t="str">
            <v>더컴퍼니</v>
          </cell>
        </row>
        <row r="396">
          <cell r="B396" t="str">
            <v>라돌체</v>
          </cell>
          <cell r="C396" t="str">
            <v>더컴퍼니</v>
          </cell>
        </row>
        <row r="397">
          <cell r="B397" t="str">
            <v>라돌체</v>
          </cell>
          <cell r="C397" t="str">
            <v>더컴퍼니</v>
          </cell>
        </row>
        <row r="398">
          <cell r="B398" t="str">
            <v>라돌체</v>
          </cell>
          <cell r="C398" t="str">
            <v>더컴퍼니</v>
          </cell>
        </row>
        <row r="399">
          <cell r="B399" t="str">
            <v>라돌체</v>
          </cell>
          <cell r="C399" t="str">
            <v>더컴퍼니</v>
          </cell>
        </row>
        <row r="400">
          <cell r="B400" t="str">
            <v>라돌체</v>
          </cell>
          <cell r="C400" t="str">
            <v>더컴퍼니</v>
          </cell>
        </row>
        <row r="401">
          <cell r="B401" t="str">
            <v>라돌체</v>
          </cell>
          <cell r="C401" t="str">
            <v>더컴퍼니</v>
          </cell>
        </row>
        <row r="402">
          <cell r="B402" t="str">
            <v>라돌체</v>
          </cell>
          <cell r="C402" t="str">
            <v>더컴퍼니</v>
          </cell>
        </row>
        <row r="403">
          <cell r="B403" t="str">
            <v>라돌체</v>
          </cell>
          <cell r="C403" t="str">
            <v>더컴퍼니</v>
          </cell>
        </row>
        <row r="404">
          <cell r="B404" t="str">
            <v>라돌체</v>
          </cell>
          <cell r="C404" t="str">
            <v>더컴퍼니</v>
          </cell>
        </row>
        <row r="405">
          <cell r="B405" t="str">
            <v>라돌체</v>
          </cell>
          <cell r="C405" t="str">
            <v>더컴퍼니</v>
          </cell>
        </row>
        <row r="406">
          <cell r="B406" t="str">
            <v>라에르</v>
          </cell>
          <cell r="C406" t="str">
            <v>더컴퍼니</v>
          </cell>
        </row>
        <row r="407">
          <cell r="B407" t="str">
            <v>라에르</v>
          </cell>
          <cell r="C407" t="str">
            <v>더컴퍼니</v>
          </cell>
        </row>
        <row r="408">
          <cell r="B408" t="str">
            <v>라에르</v>
          </cell>
          <cell r="C408" t="str">
            <v>더컴퍼니</v>
          </cell>
        </row>
        <row r="409">
          <cell r="B409" t="str">
            <v>라에르</v>
          </cell>
          <cell r="C409" t="str">
            <v>더컴퍼니</v>
          </cell>
        </row>
        <row r="410">
          <cell r="B410" t="str">
            <v>라에르</v>
          </cell>
          <cell r="C410" t="str">
            <v>더컴퍼니</v>
          </cell>
        </row>
        <row r="411">
          <cell r="B411" t="str">
            <v>라이큐</v>
          </cell>
          <cell r="C411" t="str">
            <v>아크스튜디오</v>
          </cell>
        </row>
        <row r="412">
          <cell r="B412" t="str">
            <v>라이큐</v>
          </cell>
          <cell r="C412" t="str">
            <v>아크스튜디오</v>
          </cell>
        </row>
        <row r="413">
          <cell r="B413" t="str">
            <v>라이큐</v>
          </cell>
          <cell r="C413" t="str">
            <v>아크스튜디오</v>
          </cell>
        </row>
        <row r="414">
          <cell r="B414" t="str">
            <v>라이큐</v>
          </cell>
          <cell r="C414" t="str">
            <v>아크스튜디오</v>
          </cell>
        </row>
        <row r="415">
          <cell r="B415" t="str">
            <v>라이큐</v>
          </cell>
          <cell r="C415" t="str">
            <v>아크스튜디오</v>
          </cell>
        </row>
        <row r="416">
          <cell r="B416" t="str">
            <v>라이큐</v>
          </cell>
          <cell r="C416" t="str">
            <v>아크스튜디오</v>
          </cell>
        </row>
        <row r="417">
          <cell r="B417" t="str">
            <v>라이큐</v>
          </cell>
          <cell r="C417" t="str">
            <v>아크스튜디오</v>
          </cell>
        </row>
        <row r="418">
          <cell r="B418" t="str">
            <v>이다겸</v>
          </cell>
          <cell r="C418" t="str">
            <v>더컴퍼니</v>
          </cell>
        </row>
        <row r="419">
          <cell r="B419" t="str">
            <v>감또개</v>
          </cell>
          <cell r="C419" t="str">
            <v>더컴퍼니</v>
          </cell>
        </row>
        <row r="420">
          <cell r="B420" t="str">
            <v>류마티</v>
          </cell>
          <cell r="C420" t="str">
            <v>더컴퍼니</v>
          </cell>
        </row>
        <row r="421">
          <cell r="B421" t="str">
            <v>류마티</v>
          </cell>
          <cell r="C421" t="str">
            <v>더컴퍼니</v>
          </cell>
        </row>
        <row r="422">
          <cell r="B422" t="str">
            <v>류마티</v>
          </cell>
          <cell r="C422" t="str">
            <v>더컴퍼니</v>
          </cell>
        </row>
        <row r="423">
          <cell r="B423" t="str">
            <v>류마티</v>
          </cell>
          <cell r="C423" t="str">
            <v>더컴퍼니</v>
          </cell>
        </row>
        <row r="424">
          <cell r="B424" t="str">
            <v>류마티</v>
          </cell>
          <cell r="C424" t="str">
            <v>더컴퍼니</v>
          </cell>
        </row>
        <row r="425">
          <cell r="B425" t="str">
            <v>류마티</v>
          </cell>
          <cell r="C425" t="str">
            <v>더컴퍼니</v>
          </cell>
        </row>
        <row r="426">
          <cell r="B426" t="str">
            <v>류마티</v>
          </cell>
          <cell r="C426" t="str">
            <v>더컴퍼니</v>
          </cell>
        </row>
        <row r="427">
          <cell r="B427" t="str">
            <v>리로디다디</v>
          </cell>
          <cell r="C427" t="str">
            <v>더컴퍼니</v>
          </cell>
        </row>
        <row r="428">
          <cell r="B428" t="str">
            <v>리로디다디</v>
          </cell>
          <cell r="C428" t="str">
            <v>더컴퍼니</v>
          </cell>
        </row>
        <row r="429">
          <cell r="B429" t="str">
            <v>마리봄</v>
          </cell>
          <cell r="C429" t="str">
            <v>더컴퍼니</v>
          </cell>
        </row>
        <row r="430">
          <cell r="B430" t="str">
            <v>마리봄</v>
          </cell>
          <cell r="C430" t="str">
            <v>더컴퍼니</v>
          </cell>
        </row>
        <row r="431">
          <cell r="B431" t="str">
            <v>마리봄</v>
          </cell>
          <cell r="C431" t="str">
            <v>더컴퍼니</v>
          </cell>
        </row>
        <row r="432">
          <cell r="B432" t="str">
            <v>마리봄</v>
          </cell>
          <cell r="C432" t="str">
            <v>더컴퍼니</v>
          </cell>
        </row>
        <row r="433">
          <cell r="B433" t="str">
            <v>마연</v>
          </cell>
          <cell r="C433" t="str">
            <v>더컴퍼니</v>
          </cell>
        </row>
        <row r="434">
          <cell r="B434" t="str">
            <v>마연</v>
          </cell>
          <cell r="C434" t="str">
            <v>더컴퍼니</v>
          </cell>
        </row>
        <row r="435">
          <cell r="B435" t="str">
            <v>마연</v>
          </cell>
          <cell r="C435" t="str">
            <v>더컴퍼니</v>
          </cell>
        </row>
        <row r="436">
          <cell r="B436" t="str">
            <v>마연</v>
          </cell>
          <cell r="C436" t="str">
            <v>더컴퍼니</v>
          </cell>
        </row>
        <row r="437">
          <cell r="B437" t="str">
            <v>마연</v>
          </cell>
          <cell r="C437" t="str">
            <v>더컴퍼니</v>
          </cell>
        </row>
        <row r="438">
          <cell r="B438" t="str">
            <v>마연</v>
          </cell>
          <cell r="C438" t="str">
            <v>더컴퍼니</v>
          </cell>
        </row>
        <row r="439">
          <cell r="B439" t="str">
            <v>마연</v>
          </cell>
          <cell r="C439" t="str">
            <v>더컴퍼니</v>
          </cell>
        </row>
        <row r="440">
          <cell r="B440" t="str">
            <v>마연</v>
          </cell>
          <cell r="C440" t="str">
            <v>더컴퍼니</v>
          </cell>
        </row>
        <row r="441">
          <cell r="B441" t="str">
            <v>마연</v>
          </cell>
          <cell r="C441" t="str">
            <v>더컴퍼니</v>
          </cell>
        </row>
        <row r="442">
          <cell r="B442" t="str">
            <v>마연</v>
          </cell>
          <cell r="C442" t="str">
            <v>더컴퍼니</v>
          </cell>
        </row>
        <row r="443">
          <cell r="B443" t="str">
            <v>마연</v>
          </cell>
          <cell r="C443" t="str">
            <v>더컴퍼니</v>
          </cell>
        </row>
        <row r="444">
          <cell r="B444" t="str">
            <v>마연</v>
          </cell>
          <cell r="C444" t="str">
            <v>더컴퍼니</v>
          </cell>
        </row>
        <row r="445">
          <cell r="B445" t="str">
            <v>마연</v>
          </cell>
          <cell r="C445" t="str">
            <v>더컴퍼니</v>
          </cell>
        </row>
        <row r="446">
          <cell r="B446" t="str">
            <v>마연</v>
          </cell>
          <cell r="C446" t="str">
            <v>더컴퍼니</v>
          </cell>
        </row>
        <row r="447">
          <cell r="B447" t="str">
            <v>마연(연필깎이)</v>
          </cell>
          <cell r="C447" t="str">
            <v>더컴퍼니</v>
          </cell>
        </row>
        <row r="448">
          <cell r="B448" t="str">
            <v>묜수</v>
          </cell>
          <cell r="C448" t="str">
            <v>더컴퍼니</v>
          </cell>
        </row>
        <row r="449">
          <cell r="B449" t="str">
            <v>묜수</v>
          </cell>
          <cell r="C449" t="str">
            <v>더컴퍼니</v>
          </cell>
        </row>
        <row r="450">
          <cell r="B450" t="str">
            <v>묜수</v>
          </cell>
          <cell r="C450" t="str">
            <v>더컴퍼니</v>
          </cell>
        </row>
        <row r="451">
          <cell r="B451" t="str">
            <v>묜수</v>
          </cell>
          <cell r="C451" t="str">
            <v>더컴퍼니</v>
          </cell>
        </row>
        <row r="452">
          <cell r="B452" t="str">
            <v>무슈슈</v>
          </cell>
          <cell r="C452" t="str">
            <v>더컴퍼니</v>
          </cell>
        </row>
        <row r="453">
          <cell r="B453" t="str">
            <v>무슈슈</v>
          </cell>
          <cell r="C453" t="str">
            <v>더컴퍼니</v>
          </cell>
        </row>
        <row r="454">
          <cell r="B454" t="str">
            <v>무슈슈</v>
          </cell>
          <cell r="C454" t="str">
            <v>더컴퍼니</v>
          </cell>
        </row>
        <row r="455">
          <cell r="B455" t="str">
            <v>무슈슈</v>
          </cell>
          <cell r="C455" t="str">
            <v>더컴퍼니</v>
          </cell>
        </row>
        <row r="456">
          <cell r="B456" t="str">
            <v>무슈슈</v>
          </cell>
          <cell r="C456" t="str">
            <v>더컴퍼니</v>
          </cell>
        </row>
        <row r="457">
          <cell r="B457" t="str">
            <v>무슈슈</v>
          </cell>
          <cell r="C457" t="str">
            <v>더컴퍼니</v>
          </cell>
        </row>
        <row r="458">
          <cell r="B458" t="str">
            <v>문시티</v>
          </cell>
          <cell r="C458" t="str">
            <v>더컴퍼니</v>
          </cell>
        </row>
        <row r="459">
          <cell r="B459" t="str">
            <v>문시티</v>
          </cell>
          <cell r="C459" t="str">
            <v>더컴퍼니</v>
          </cell>
        </row>
        <row r="460">
          <cell r="B460" t="str">
            <v>문시티</v>
          </cell>
          <cell r="C460" t="str">
            <v>더컴퍼니</v>
          </cell>
        </row>
        <row r="461">
          <cell r="B461" t="str">
            <v>문시티</v>
          </cell>
          <cell r="C461" t="str">
            <v>더컴퍼니</v>
          </cell>
        </row>
        <row r="462">
          <cell r="B462" t="str">
            <v>문시티</v>
          </cell>
          <cell r="C462" t="str">
            <v>더컴퍼니</v>
          </cell>
        </row>
        <row r="463">
          <cell r="B463" t="str">
            <v>문시티</v>
          </cell>
          <cell r="C463" t="str">
            <v>더컴퍼니</v>
          </cell>
        </row>
        <row r="464">
          <cell r="B464" t="str">
            <v>문시티</v>
          </cell>
          <cell r="C464" t="str">
            <v>더컴퍼니</v>
          </cell>
        </row>
        <row r="465">
          <cell r="B465" t="str">
            <v>문시티</v>
          </cell>
          <cell r="C465" t="str">
            <v>더컴퍼니</v>
          </cell>
        </row>
        <row r="466">
          <cell r="B466" t="str">
            <v>문시티</v>
          </cell>
          <cell r="C466" t="str">
            <v>더컴퍼니</v>
          </cell>
        </row>
        <row r="467">
          <cell r="B467" t="str">
            <v>문시티</v>
          </cell>
          <cell r="C467" t="str">
            <v>더컴퍼니</v>
          </cell>
        </row>
        <row r="468">
          <cell r="B468" t="str">
            <v>문시티</v>
          </cell>
          <cell r="C468" t="str">
            <v>더컴퍼니</v>
          </cell>
        </row>
        <row r="469">
          <cell r="B469" t="str">
            <v>민화</v>
          </cell>
          <cell r="C469" t="str">
            <v>더컴퍼니</v>
          </cell>
        </row>
        <row r="470">
          <cell r="B470" t="str">
            <v>민화</v>
          </cell>
          <cell r="C470" t="str">
            <v>더컴퍼니</v>
          </cell>
        </row>
        <row r="471">
          <cell r="B471" t="str">
            <v>민화</v>
          </cell>
          <cell r="C471" t="str">
            <v>더컴퍼니</v>
          </cell>
        </row>
        <row r="472">
          <cell r="B472" t="str">
            <v>박시앙</v>
          </cell>
          <cell r="C472" t="str">
            <v>더컴퍼니</v>
          </cell>
        </row>
        <row r="473">
          <cell r="B473" t="str">
            <v>배추적</v>
          </cell>
          <cell r="C473" t="str">
            <v>더컴퍼니</v>
          </cell>
        </row>
        <row r="474">
          <cell r="B474" t="str">
            <v>배추적</v>
          </cell>
          <cell r="C474" t="str">
            <v>더컴퍼니</v>
          </cell>
        </row>
        <row r="475">
          <cell r="B475" t="str">
            <v>배추적</v>
          </cell>
          <cell r="C475" t="str">
            <v>더컴퍼니</v>
          </cell>
        </row>
        <row r="476">
          <cell r="B476" t="str">
            <v>배추적</v>
          </cell>
          <cell r="C476" t="str">
            <v>더컴퍼니</v>
          </cell>
        </row>
        <row r="477">
          <cell r="B477" t="str">
            <v>배추적</v>
          </cell>
          <cell r="C477" t="str">
            <v>더컴퍼니</v>
          </cell>
        </row>
        <row r="478">
          <cell r="B478" t="str">
            <v>배추적</v>
          </cell>
          <cell r="C478" t="str">
            <v>더컴퍼니</v>
          </cell>
        </row>
        <row r="479">
          <cell r="B479" t="str">
            <v>배추적</v>
          </cell>
          <cell r="C479" t="str">
            <v>더컴퍼니</v>
          </cell>
        </row>
        <row r="480">
          <cell r="B480" t="str">
            <v>벨</v>
          </cell>
          <cell r="C480" t="str">
            <v>더컴퍼니</v>
          </cell>
        </row>
        <row r="481">
          <cell r="B481" t="str">
            <v>벨</v>
          </cell>
          <cell r="C481" t="str">
            <v>더컴퍼니</v>
          </cell>
        </row>
        <row r="482">
          <cell r="B482" t="str">
            <v>벨</v>
          </cell>
          <cell r="C482" t="str">
            <v>더컴퍼니</v>
          </cell>
        </row>
        <row r="483">
          <cell r="B483" t="str">
            <v>벨</v>
          </cell>
          <cell r="C483" t="str">
            <v>더컴퍼니</v>
          </cell>
        </row>
        <row r="484">
          <cell r="B484" t="str">
            <v>벨</v>
          </cell>
          <cell r="C484" t="str">
            <v>더컴퍼니</v>
          </cell>
        </row>
        <row r="485">
          <cell r="B485" t="str">
            <v>벨</v>
          </cell>
          <cell r="C485" t="str">
            <v>더컴퍼니</v>
          </cell>
        </row>
        <row r="486">
          <cell r="B486" t="str">
            <v>벨</v>
          </cell>
          <cell r="C486" t="str">
            <v>더컴퍼니</v>
          </cell>
        </row>
        <row r="487">
          <cell r="B487" t="str">
            <v>벨</v>
          </cell>
          <cell r="C487" t="str">
            <v>더컴퍼니</v>
          </cell>
        </row>
        <row r="488">
          <cell r="B488" t="str">
            <v>벨</v>
          </cell>
          <cell r="C488" t="str">
            <v>더컴퍼니</v>
          </cell>
        </row>
        <row r="489">
          <cell r="B489" t="str">
            <v>벨</v>
          </cell>
          <cell r="C489" t="str">
            <v>더컴퍼니</v>
          </cell>
        </row>
        <row r="490">
          <cell r="B490" t="str">
            <v>벨</v>
          </cell>
          <cell r="C490" t="str">
            <v>더컴퍼니</v>
          </cell>
        </row>
        <row r="491">
          <cell r="B491" t="str">
            <v>벨</v>
          </cell>
          <cell r="C491" t="str">
            <v>더컴퍼니</v>
          </cell>
        </row>
        <row r="492">
          <cell r="B492" t="str">
            <v>벨</v>
          </cell>
          <cell r="C492" t="str">
            <v>더컴퍼니</v>
          </cell>
        </row>
        <row r="493">
          <cell r="B493" t="str">
            <v>벨</v>
          </cell>
          <cell r="C493" t="str">
            <v>더컴퍼니</v>
          </cell>
        </row>
        <row r="494">
          <cell r="B494" t="str">
            <v>벨</v>
          </cell>
          <cell r="C494" t="str">
            <v>더컴퍼니</v>
          </cell>
        </row>
        <row r="495">
          <cell r="B495" t="str">
            <v>벨</v>
          </cell>
          <cell r="C495" t="str">
            <v>더컴퍼니</v>
          </cell>
        </row>
        <row r="496">
          <cell r="B496" t="str">
            <v>벨</v>
          </cell>
          <cell r="C496" t="str">
            <v>더컴퍼니</v>
          </cell>
        </row>
        <row r="497">
          <cell r="B497" t="str">
            <v>벨</v>
          </cell>
          <cell r="C497" t="str">
            <v>더컴퍼니</v>
          </cell>
        </row>
        <row r="498">
          <cell r="B498" t="str">
            <v>벨</v>
          </cell>
          <cell r="C498" t="str">
            <v>더컴퍼니</v>
          </cell>
        </row>
        <row r="499">
          <cell r="B499" t="str">
            <v>벨</v>
          </cell>
          <cell r="C499" t="str">
            <v>더컴퍼니</v>
          </cell>
        </row>
        <row r="500">
          <cell r="B500" t="str">
            <v>벨</v>
          </cell>
          <cell r="C500" t="str">
            <v>더컴퍼니</v>
          </cell>
        </row>
        <row r="501">
          <cell r="B501" t="str">
            <v>벨벳해머</v>
          </cell>
          <cell r="C501" t="str">
            <v>더컴퍼니</v>
          </cell>
        </row>
        <row r="502">
          <cell r="B502" t="str">
            <v>벨벳해머(AreYOUok)</v>
          </cell>
          <cell r="C502" t="str">
            <v>더컴퍼니</v>
          </cell>
        </row>
        <row r="503">
          <cell r="B503" t="str">
            <v>사공설류</v>
          </cell>
          <cell r="C503" t="str">
            <v>더컴퍼니</v>
          </cell>
        </row>
        <row r="504">
          <cell r="B504" t="str">
            <v>사공설류</v>
          </cell>
          <cell r="C504" t="str">
            <v>더컴퍼니</v>
          </cell>
        </row>
        <row r="505">
          <cell r="B505" t="str">
            <v>사공설류</v>
          </cell>
          <cell r="C505" t="str">
            <v>더컴퍼니</v>
          </cell>
        </row>
        <row r="506">
          <cell r="B506" t="str">
            <v>사공설류</v>
          </cell>
          <cell r="C506" t="str">
            <v>더컴퍼니</v>
          </cell>
        </row>
        <row r="507">
          <cell r="B507" t="str">
            <v>사공설류</v>
          </cell>
          <cell r="C507" t="str">
            <v>더컴퍼니</v>
          </cell>
        </row>
        <row r="508">
          <cell r="B508" t="str">
            <v>사공설류</v>
          </cell>
          <cell r="C508" t="str">
            <v>더컴퍼니</v>
          </cell>
        </row>
        <row r="509">
          <cell r="B509" t="str">
            <v>사나림</v>
          </cell>
          <cell r="C509" t="str">
            <v>더컴퍼니</v>
          </cell>
        </row>
        <row r="510">
          <cell r="B510" t="str">
            <v>사나림</v>
          </cell>
          <cell r="C510" t="str">
            <v>더컴퍼니</v>
          </cell>
        </row>
        <row r="511">
          <cell r="B511" t="str">
            <v>사보</v>
          </cell>
          <cell r="C511" t="str">
            <v>더컴퍼니</v>
          </cell>
        </row>
        <row r="512">
          <cell r="B512" t="str">
            <v>사보</v>
          </cell>
          <cell r="C512" t="str">
            <v>더컴퍼니</v>
          </cell>
        </row>
        <row r="513">
          <cell r="B513" t="str">
            <v>사틴</v>
          </cell>
          <cell r="C513" t="str">
            <v>더컴퍼니</v>
          </cell>
        </row>
        <row r="514">
          <cell r="B514" t="str">
            <v>사틴</v>
          </cell>
          <cell r="C514" t="str">
            <v>더컴퍼니</v>
          </cell>
        </row>
        <row r="515">
          <cell r="B515" t="str">
            <v>사틴</v>
          </cell>
          <cell r="C515" t="str">
            <v>더컴퍼니</v>
          </cell>
        </row>
        <row r="516">
          <cell r="B516" t="str">
            <v>사틴</v>
          </cell>
          <cell r="C516" t="str">
            <v>더컴퍼니</v>
          </cell>
        </row>
        <row r="517">
          <cell r="B517" t="str">
            <v>서향</v>
          </cell>
          <cell r="C517" t="str">
            <v>더컴퍼니</v>
          </cell>
        </row>
        <row r="518">
          <cell r="B518" t="str">
            <v>서향</v>
          </cell>
          <cell r="C518" t="str">
            <v>더컴퍼니</v>
          </cell>
        </row>
        <row r="519">
          <cell r="B519" t="str">
            <v>서향</v>
          </cell>
          <cell r="C519" t="str">
            <v>더컴퍼니</v>
          </cell>
        </row>
        <row r="520">
          <cell r="B520" t="str">
            <v>서향</v>
          </cell>
          <cell r="C520" t="str">
            <v>더컴퍼니</v>
          </cell>
        </row>
        <row r="521">
          <cell r="B521" t="str">
            <v>서향</v>
          </cell>
          <cell r="C521" t="str">
            <v>더컴퍼니</v>
          </cell>
        </row>
        <row r="522">
          <cell r="B522" t="str">
            <v>서향</v>
          </cell>
          <cell r="C522" t="str">
            <v>더컴퍼니</v>
          </cell>
        </row>
        <row r="523">
          <cell r="B523" t="str">
            <v>서향</v>
          </cell>
          <cell r="C523" t="str">
            <v>더컴퍼니</v>
          </cell>
        </row>
        <row r="524">
          <cell r="B524" t="str">
            <v>서향</v>
          </cell>
          <cell r="C524" t="str">
            <v>더컴퍼니</v>
          </cell>
        </row>
        <row r="525">
          <cell r="B525" t="str">
            <v>설연</v>
          </cell>
          <cell r="C525" t="str">
            <v>더컴퍼니</v>
          </cell>
        </row>
        <row r="526">
          <cell r="B526" t="str">
            <v>설연</v>
          </cell>
          <cell r="C526" t="str">
            <v>더컴퍼니</v>
          </cell>
        </row>
        <row r="527">
          <cell r="B527" t="str">
            <v>성실</v>
          </cell>
          <cell r="C527" t="str">
            <v>더컴퍼니</v>
          </cell>
        </row>
        <row r="528">
          <cell r="B528" t="str">
            <v>성실</v>
          </cell>
          <cell r="C528" t="str">
            <v>더컴퍼니</v>
          </cell>
        </row>
        <row r="529">
          <cell r="B529" t="str">
            <v>성실</v>
          </cell>
          <cell r="C529" t="str">
            <v>더컴퍼니</v>
          </cell>
        </row>
        <row r="530">
          <cell r="B530" t="str">
            <v>성실</v>
          </cell>
          <cell r="C530" t="str">
            <v>더컴퍼니</v>
          </cell>
        </row>
        <row r="531">
          <cell r="B531" t="str">
            <v>시아</v>
          </cell>
          <cell r="C531" t="str">
            <v>더컴퍼니</v>
          </cell>
        </row>
        <row r="532">
          <cell r="B532" t="str">
            <v>시아</v>
          </cell>
          <cell r="C532" t="str">
            <v>더컴퍼니</v>
          </cell>
        </row>
        <row r="533">
          <cell r="B533" t="str">
            <v>시아</v>
          </cell>
          <cell r="C533" t="str">
            <v>더컴퍼니</v>
          </cell>
        </row>
        <row r="534">
          <cell r="B534" t="str">
            <v>시아</v>
          </cell>
          <cell r="C534" t="str">
            <v>더컴퍼니</v>
          </cell>
        </row>
        <row r="535">
          <cell r="B535" t="str">
            <v>시아</v>
          </cell>
          <cell r="C535" t="str">
            <v>더컴퍼니</v>
          </cell>
        </row>
        <row r="536">
          <cell r="B536" t="str">
            <v>시아</v>
          </cell>
          <cell r="C536" t="str">
            <v>더컴퍼니</v>
          </cell>
        </row>
        <row r="537">
          <cell r="B537" t="str">
            <v>시아</v>
          </cell>
          <cell r="C537" t="str">
            <v>더컴퍼니</v>
          </cell>
        </row>
        <row r="538">
          <cell r="B538" t="str">
            <v>시아</v>
          </cell>
          <cell r="C538" t="str">
            <v>더컴퍼니</v>
          </cell>
        </row>
        <row r="539">
          <cell r="B539" t="str">
            <v>시아</v>
          </cell>
          <cell r="C539" t="str">
            <v>더컴퍼니</v>
          </cell>
        </row>
        <row r="540">
          <cell r="B540" t="str">
            <v>시아</v>
          </cell>
          <cell r="C540" t="str">
            <v>더컴퍼니</v>
          </cell>
        </row>
        <row r="541">
          <cell r="B541" t="str">
            <v>신또&amp;곰</v>
          </cell>
          <cell r="C541" t="str">
            <v>더컴퍼니</v>
          </cell>
        </row>
        <row r="542">
          <cell r="B542" t="str">
            <v>신또&amp;곰</v>
          </cell>
          <cell r="C542" t="str">
            <v>더컴퍼니</v>
          </cell>
        </row>
        <row r="543">
          <cell r="B543" t="str">
            <v>알트파인</v>
          </cell>
          <cell r="C543" t="str">
            <v>더컴퍼니</v>
          </cell>
        </row>
        <row r="544">
          <cell r="B544" t="str">
            <v>알트파인</v>
          </cell>
          <cell r="C544" t="str">
            <v>더컴퍼니</v>
          </cell>
        </row>
        <row r="545">
          <cell r="B545" t="str">
            <v>알트파인</v>
          </cell>
          <cell r="C545" t="str">
            <v>더컴퍼니</v>
          </cell>
        </row>
        <row r="546">
          <cell r="B546" t="str">
            <v>알트파인</v>
          </cell>
          <cell r="C546" t="str">
            <v>더컴퍼니</v>
          </cell>
        </row>
        <row r="547">
          <cell r="B547" t="str">
            <v>어색어색열매</v>
          </cell>
          <cell r="C547" t="str">
            <v>더컴퍼니</v>
          </cell>
        </row>
        <row r="548">
          <cell r="B548" t="str">
            <v>어색어색열매</v>
          </cell>
          <cell r="C548" t="str">
            <v>더컴퍼니</v>
          </cell>
        </row>
        <row r="549">
          <cell r="B549" t="str">
            <v>어색어색열매</v>
          </cell>
          <cell r="C549" t="str">
            <v>더컴퍼니</v>
          </cell>
        </row>
        <row r="550">
          <cell r="B550" t="str">
            <v>어색어색열매</v>
          </cell>
          <cell r="C550" t="str">
            <v>더컴퍼니</v>
          </cell>
        </row>
        <row r="551">
          <cell r="B551" t="str">
            <v>여러해살이풀</v>
          </cell>
          <cell r="C551" t="str">
            <v>더컴퍼니</v>
          </cell>
        </row>
        <row r="552">
          <cell r="B552" t="str">
            <v>여러해살이풀</v>
          </cell>
          <cell r="C552" t="str">
            <v>더컴퍼니</v>
          </cell>
        </row>
        <row r="553">
          <cell r="B553" t="str">
            <v>여러해살이풀</v>
          </cell>
          <cell r="C553" t="str">
            <v>더컴퍼니</v>
          </cell>
        </row>
        <row r="554">
          <cell r="B554" t="str">
            <v>여러해살이풀</v>
          </cell>
          <cell r="C554" t="str">
            <v>더컴퍼니</v>
          </cell>
        </row>
        <row r="555">
          <cell r="B555" t="str">
            <v>여러해살이풀</v>
          </cell>
          <cell r="C555" t="str">
            <v>더컴퍼니</v>
          </cell>
        </row>
        <row r="556">
          <cell r="B556" t="str">
            <v>여러해살이풀</v>
          </cell>
          <cell r="C556" t="str">
            <v>더컴퍼니</v>
          </cell>
        </row>
        <row r="557">
          <cell r="B557" t="str">
            <v>연유</v>
          </cell>
          <cell r="C557" t="str">
            <v>더컴퍼니</v>
          </cell>
        </row>
        <row r="558">
          <cell r="B558" t="str">
            <v>연유</v>
          </cell>
          <cell r="C558" t="str">
            <v>더컴퍼니</v>
          </cell>
        </row>
        <row r="559">
          <cell r="B559" t="str">
            <v>연유</v>
          </cell>
          <cell r="C559" t="str">
            <v>더컴퍼니</v>
          </cell>
        </row>
        <row r="560">
          <cell r="B560" t="str">
            <v>연유</v>
          </cell>
          <cell r="C560" t="str">
            <v>더컴퍼니</v>
          </cell>
        </row>
        <row r="561">
          <cell r="B561" t="str">
            <v>연유</v>
          </cell>
          <cell r="C561" t="str">
            <v>더컴퍼니</v>
          </cell>
        </row>
        <row r="562">
          <cell r="B562" t="str">
            <v>연유</v>
          </cell>
          <cell r="C562" t="str">
            <v>더컴퍼니</v>
          </cell>
        </row>
        <row r="563">
          <cell r="B563" t="str">
            <v>연유</v>
          </cell>
          <cell r="C563" t="str">
            <v>더컴퍼니</v>
          </cell>
        </row>
        <row r="564">
          <cell r="B564" t="str">
            <v>연유</v>
          </cell>
          <cell r="C564" t="str">
            <v>더컴퍼니</v>
          </cell>
        </row>
        <row r="565">
          <cell r="B565" t="str">
            <v>연유</v>
          </cell>
          <cell r="C565" t="str">
            <v>더컴퍼니</v>
          </cell>
        </row>
        <row r="566">
          <cell r="B566" t="str">
            <v>연유</v>
          </cell>
          <cell r="C566" t="str">
            <v>더컴퍼니</v>
          </cell>
        </row>
        <row r="567">
          <cell r="B567" t="str">
            <v>연유</v>
          </cell>
          <cell r="C567" t="str">
            <v>더컴퍼니</v>
          </cell>
        </row>
        <row r="568">
          <cell r="B568" t="str">
            <v>연유</v>
          </cell>
          <cell r="C568" t="str">
            <v>더컴퍼니</v>
          </cell>
        </row>
        <row r="569">
          <cell r="B569" t="str">
            <v>연유</v>
          </cell>
          <cell r="C569" t="str">
            <v>더컴퍼니</v>
          </cell>
        </row>
        <row r="570">
          <cell r="B570" t="str">
            <v>연유</v>
          </cell>
          <cell r="C570" t="str">
            <v>더컴퍼니</v>
          </cell>
        </row>
        <row r="571">
          <cell r="B571" t="str">
            <v>연유</v>
          </cell>
          <cell r="C571" t="str">
            <v>더컴퍼니</v>
          </cell>
        </row>
        <row r="572">
          <cell r="B572" t="str">
            <v>연유</v>
          </cell>
          <cell r="C572" t="str">
            <v>더컴퍼니</v>
          </cell>
        </row>
        <row r="573">
          <cell r="B573" t="str">
            <v>연유</v>
          </cell>
          <cell r="C573" t="str">
            <v>더컴퍼니</v>
          </cell>
        </row>
        <row r="574">
          <cell r="B574" t="str">
            <v>연유</v>
          </cell>
          <cell r="C574" t="str">
            <v>더컴퍼니</v>
          </cell>
        </row>
        <row r="575">
          <cell r="B575" t="str">
            <v>연유</v>
          </cell>
          <cell r="C575" t="str">
            <v>더컴퍼니</v>
          </cell>
        </row>
        <row r="576">
          <cell r="B576" t="str">
            <v>연유</v>
          </cell>
          <cell r="C576" t="str">
            <v>더컴퍼니</v>
          </cell>
        </row>
        <row r="577">
          <cell r="B577" t="str">
            <v>연유</v>
          </cell>
          <cell r="C577" t="str">
            <v>더컴퍼니</v>
          </cell>
        </row>
        <row r="578">
          <cell r="B578" t="str">
            <v>연유</v>
          </cell>
          <cell r="C578" t="str">
            <v>더컴퍼니</v>
          </cell>
        </row>
        <row r="579">
          <cell r="B579" t="str">
            <v>연유</v>
          </cell>
          <cell r="C579" t="str">
            <v>더컴퍼니</v>
          </cell>
        </row>
        <row r="580">
          <cell r="B580" t="str">
            <v>연유</v>
          </cell>
          <cell r="C580" t="str">
            <v>더컴퍼니</v>
          </cell>
        </row>
        <row r="581">
          <cell r="B581" t="str">
            <v>연진서</v>
          </cell>
          <cell r="C581" t="str">
            <v>더컴퍼니</v>
          </cell>
        </row>
        <row r="582">
          <cell r="B582" t="str">
            <v>예파란</v>
          </cell>
          <cell r="C582" t="str">
            <v>더컴퍼니</v>
          </cell>
        </row>
        <row r="583">
          <cell r="B583" t="str">
            <v>예파란</v>
          </cell>
          <cell r="C583" t="str">
            <v>더컴퍼니</v>
          </cell>
        </row>
        <row r="584">
          <cell r="B584" t="str">
            <v>오산타</v>
          </cell>
          <cell r="C584" t="str">
            <v>더컴퍼니</v>
          </cell>
        </row>
        <row r="585">
          <cell r="B585" t="str">
            <v>오산타</v>
          </cell>
          <cell r="C585" t="str">
            <v>더컴퍼니</v>
          </cell>
        </row>
        <row r="586">
          <cell r="B586" t="str">
            <v>오산타</v>
          </cell>
          <cell r="C586" t="str">
            <v>더컴퍼니</v>
          </cell>
        </row>
        <row r="587">
          <cell r="B587" t="str">
            <v>오산타</v>
          </cell>
          <cell r="C587" t="str">
            <v>더컴퍼니</v>
          </cell>
        </row>
        <row r="588">
          <cell r="B588" t="str">
            <v>오산타</v>
          </cell>
          <cell r="C588" t="str">
            <v>더컴퍼니</v>
          </cell>
        </row>
        <row r="589">
          <cell r="B589" t="str">
            <v>오산타</v>
          </cell>
          <cell r="C589" t="str">
            <v>더컴퍼니</v>
          </cell>
        </row>
        <row r="590">
          <cell r="B590" t="str">
            <v>오산타</v>
          </cell>
          <cell r="C590" t="str">
            <v>더컴퍼니</v>
          </cell>
        </row>
        <row r="591">
          <cell r="B591" t="str">
            <v>오산타</v>
          </cell>
          <cell r="C591" t="str">
            <v>더컴퍼니</v>
          </cell>
        </row>
        <row r="592">
          <cell r="B592" t="str">
            <v>오산타</v>
          </cell>
          <cell r="C592" t="str">
            <v>더컴퍼니</v>
          </cell>
        </row>
        <row r="593">
          <cell r="B593" t="str">
            <v>오산타</v>
          </cell>
          <cell r="C593" t="str">
            <v>더컴퍼니</v>
          </cell>
        </row>
        <row r="594">
          <cell r="B594" t="str">
            <v>오산타</v>
          </cell>
          <cell r="C594" t="str">
            <v>더컴퍼니</v>
          </cell>
        </row>
        <row r="595">
          <cell r="B595" t="str">
            <v>용가리맛쿠키</v>
          </cell>
          <cell r="C595" t="str">
            <v>더컴퍼니</v>
          </cell>
        </row>
        <row r="596">
          <cell r="B596" t="str">
            <v>용가리맛쿠키</v>
          </cell>
          <cell r="C596" t="str">
            <v>더컴퍼니</v>
          </cell>
        </row>
        <row r="597">
          <cell r="B597" t="str">
            <v>용가리맛쿠키</v>
          </cell>
          <cell r="C597" t="str">
            <v>더컴퍼니</v>
          </cell>
        </row>
        <row r="598">
          <cell r="B598" t="str">
            <v>용가리맛쿠키</v>
          </cell>
          <cell r="C598" t="str">
            <v>더컴퍼니</v>
          </cell>
        </row>
        <row r="599">
          <cell r="B599" t="str">
            <v>용가리맛쿠키</v>
          </cell>
          <cell r="C599" t="str">
            <v>더컴퍼니</v>
          </cell>
        </row>
        <row r="600">
          <cell r="B600" t="str">
            <v>용가리맛쿠키</v>
          </cell>
          <cell r="C600" t="str">
            <v>더컴퍼니</v>
          </cell>
        </row>
        <row r="601">
          <cell r="B601" t="str">
            <v>용가리맛쿠키</v>
          </cell>
          <cell r="C601" t="str">
            <v>더컴퍼니</v>
          </cell>
        </row>
        <row r="602">
          <cell r="B602" t="str">
            <v>용가리맛쿠키</v>
          </cell>
          <cell r="C602" t="str">
            <v>더컴퍼니</v>
          </cell>
        </row>
        <row r="603">
          <cell r="B603" t="str">
            <v>용가리맛쿠키</v>
          </cell>
          <cell r="C603" t="str">
            <v>더컴퍼니</v>
          </cell>
        </row>
        <row r="604">
          <cell r="B604" t="str">
            <v>용가리맛쿠키</v>
          </cell>
          <cell r="C604" t="str">
            <v>더컴퍼니</v>
          </cell>
        </row>
        <row r="605">
          <cell r="B605" t="str">
            <v>용가리맛쿠키</v>
          </cell>
          <cell r="C605" t="str">
            <v>더컴퍼니</v>
          </cell>
        </row>
        <row r="606">
          <cell r="B606" t="str">
            <v>용가리맛쿠키</v>
          </cell>
          <cell r="C606" t="str">
            <v>더컴퍼니</v>
          </cell>
        </row>
        <row r="607">
          <cell r="B607" t="str">
            <v>용가리맛쿠키</v>
          </cell>
          <cell r="C607" t="str">
            <v>더컴퍼니</v>
          </cell>
        </row>
        <row r="608">
          <cell r="B608" t="str">
            <v>용가리맛쿠키</v>
          </cell>
          <cell r="C608" t="str">
            <v>더컴퍼니</v>
          </cell>
        </row>
        <row r="609">
          <cell r="B609" t="str">
            <v>용가리맛쿠키</v>
          </cell>
          <cell r="C609" t="str">
            <v>더컴퍼니</v>
          </cell>
        </row>
        <row r="610">
          <cell r="B610" t="str">
            <v>용가리맛쿠키</v>
          </cell>
          <cell r="C610" t="str">
            <v>더컴퍼니</v>
          </cell>
        </row>
        <row r="611">
          <cell r="B611" t="str">
            <v>용가리맛쿠키</v>
          </cell>
          <cell r="C611" t="str">
            <v>더컴퍼니</v>
          </cell>
        </row>
        <row r="612">
          <cell r="B612" t="str">
            <v>용가리맛쿠키</v>
          </cell>
          <cell r="C612" t="str">
            <v>더컴퍼니</v>
          </cell>
        </row>
        <row r="613">
          <cell r="B613" t="str">
            <v>용가리맛쿠키</v>
          </cell>
          <cell r="C613" t="str">
            <v>더컴퍼니</v>
          </cell>
        </row>
        <row r="614">
          <cell r="B614" t="str">
            <v>용가리맛쿠키</v>
          </cell>
          <cell r="C614" t="str">
            <v>더컴퍼니</v>
          </cell>
        </row>
        <row r="615">
          <cell r="B615" t="str">
            <v>용가리맛쿠키</v>
          </cell>
          <cell r="C615" t="str">
            <v>더컴퍼니</v>
          </cell>
        </row>
        <row r="616">
          <cell r="B616" t="str">
            <v>용가리맛쿠키</v>
          </cell>
          <cell r="C616" t="str">
            <v>더컴퍼니</v>
          </cell>
        </row>
        <row r="617">
          <cell r="B617" t="str">
            <v>용가리맛쿠키</v>
          </cell>
          <cell r="C617" t="str">
            <v>더컴퍼니</v>
          </cell>
        </row>
        <row r="618">
          <cell r="B618" t="str">
            <v>용가리맛쿠키</v>
          </cell>
          <cell r="C618" t="str">
            <v>더컴퍼니</v>
          </cell>
        </row>
        <row r="619">
          <cell r="B619" t="str">
            <v>용가리맛쿠키</v>
          </cell>
          <cell r="C619" t="str">
            <v>더컴퍼니</v>
          </cell>
        </row>
        <row r="620">
          <cell r="B620" t="str">
            <v>용가리맛쿠키</v>
          </cell>
          <cell r="C620" t="str">
            <v>더컴퍼니</v>
          </cell>
        </row>
        <row r="621">
          <cell r="B621" t="str">
            <v>용가리맛쿠키</v>
          </cell>
          <cell r="C621" t="str">
            <v>더컴퍼니</v>
          </cell>
        </row>
        <row r="622">
          <cell r="B622" t="str">
            <v>용가리맛쿠키</v>
          </cell>
          <cell r="C622" t="str">
            <v>더컴퍼니</v>
          </cell>
        </row>
        <row r="623">
          <cell r="B623" t="str">
            <v>용가리맛쿠키</v>
          </cell>
          <cell r="C623" t="str">
            <v>더컴퍼니</v>
          </cell>
        </row>
        <row r="624">
          <cell r="B624" t="str">
            <v>용가리맛쿠키</v>
          </cell>
          <cell r="C624" t="str">
            <v>더컴퍼니</v>
          </cell>
        </row>
        <row r="625">
          <cell r="B625" t="str">
            <v>용가리맛쿠키</v>
          </cell>
          <cell r="C625" t="str">
            <v>더컴퍼니</v>
          </cell>
        </row>
        <row r="626">
          <cell r="B626" t="str">
            <v>웨인</v>
          </cell>
          <cell r="C626" t="str">
            <v>더컴퍼니</v>
          </cell>
        </row>
        <row r="627">
          <cell r="B627" t="str">
            <v>웨인</v>
          </cell>
          <cell r="C627" t="str">
            <v>더컴퍼니</v>
          </cell>
        </row>
        <row r="628">
          <cell r="B628" t="str">
            <v>웨인</v>
          </cell>
          <cell r="C628" t="str">
            <v>더컴퍼니</v>
          </cell>
        </row>
        <row r="629">
          <cell r="B629" t="str">
            <v>유능</v>
          </cell>
          <cell r="C629" t="str">
            <v>더컴퍼니</v>
          </cell>
        </row>
        <row r="630">
          <cell r="B630" t="str">
            <v>유능</v>
          </cell>
          <cell r="C630" t="str">
            <v>더컴퍼니</v>
          </cell>
        </row>
        <row r="631">
          <cell r="B631" t="str">
            <v>유능</v>
          </cell>
          <cell r="C631" t="str">
            <v>더컴퍼니</v>
          </cell>
        </row>
        <row r="632">
          <cell r="B632" t="str">
            <v>유능</v>
          </cell>
          <cell r="C632" t="str">
            <v>더컴퍼니</v>
          </cell>
        </row>
        <row r="633">
          <cell r="B633" t="str">
            <v>유능</v>
          </cell>
          <cell r="C633" t="str">
            <v>더컴퍼니</v>
          </cell>
        </row>
        <row r="634">
          <cell r="B634" t="str">
            <v>유능</v>
          </cell>
          <cell r="C634" t="str">
            <v>더컴퍼니</v>
          </cell>
        </row>
        <row r="635">
          <cell r="B635" t="str">
            <v>윤연주 영어샘</v>
          </cell>
          <cell r="C635" t="str">
            <v>더컴퍼니</v>
          </cell>
        </row>
        <row r="636">
          <cell r="B636" t="str">
            <v>윤연주 영어샘</v>
          </cell>
          <cell r="C636" t="str">
            <v>더컴퍼니</v>
          </cell>
        </row>
        <row r="637">
          <cell r="B637" t="str">
            <v>이도경</v>
          </cell>
          <cell r="C637" t="str">
            <v>아크스튜디오</v>
          </cell>
        </row>
        <row r="638">
          <cell r="B638" t="str">
            <v>이도경</v>
          </cell>
          <cell r="C638" t="str">
            <v>아크스튜디오</v>
          </cell>
        </row>
        <row r="639">
          <cell r="B639" t="str">
            <v>이락</v>
          </cell>
          <cell r="C639" t="str">
            <v>더컴퍼니</v>
          </cell>
        </row>
        <row r="640">
          <cell r="B640" t="str">
            <v>이락</v>
          </cell>
          <cell r="C640" t="str">
            <v>더컴퍼니</v>
          </cell>
        </row>
        <row r="641">
          <cell r="B641" t="str">
            <v>이락</v>
          </cell>
          <cell r="C641" t="str">
            <v>더컴퍼니</v>
          </cell>
        </row>
        <row r="642">
          <cell r="B642" t="str">
            <v>이서윤</v>
          </cell>
          <cell r="C642" t="str">
            <v>더컴퍼니</v>
          </cell>
        </row>
        <row r="643">
          <cell r="B643" t="str">
            <v>이서윤</v>
          </cell>
          <cell r="C643" t="str">
            <v>더컴퍼니</v>
          </cell>
        </row>
        <row r="644">
          <cell r="B644" t="str">
            <v>이서윤</v>
          </cell>
          <cell r="C644" t="str">
            <v>더컴퍼니</v>
          </cell>
        </row>
        <row r="645">
          <cell r="B645" t="str">
            <v>이염</v>
          </cell>
          <cell r="C645" t="str">
            <v>더컴퍼니</v>
          </cell>
        </row>
        <row r="646">
          <cell r="B646" t="str">
            <v>이염</v>
          </cell>
          <cell r="C646" t="str">
            <v>더컴퍼니</v>
          </cell>
        </row>
        <row r="647">
          <cell r="B647" t="str">
            <v>이염</v>
          </cell>
          <cell r="C647" t="str">
            <v>더컴퍼니</v>
          </cell>
        </row>
        <row r="648">
          <cell r="B648" t="str">
            <v>이염</v>
          </cell>
          <cell r="C648" t="str">
            <v>더컴퍼니</v>
          </cell>
        </row>
        <row r="649">
          <cell r="B649" t="str">
            <v>이염</v>
          </cell>
          <cell r="C649" t="str">
            <v>더컴퍼니</v>
          </cell>
        </row>
        <row r="650">
          <cell r="B650" t="str">
            <v>이염</v>
          </cell>
          <cell r="C650" t="str">
            <v>더컴퍼니</v>
          </cell>
        </row>
        <row r="651">
          <cell r="B651" t="str">
            <v>이염</v>
          </cell>
          <cell r="C651" t="str">
            <v>더컴퍼니</v>
          </cell>
        </row>
        <row r="652">
          <cell r="B652" t="str">
            <v>이예즈</v>
          </cell>
          <cell r="C652" t="str">
            <v>더컴퍼니</v>
          </cell>
        </row>
        <row r="653">
          <cell r="B653" t="str">
            <v>이예즈</v>
          </cell>
          <cell r="C653" t="str">
            <v>더컴퍼니</v>
          </cell>
        </row>
        <row r="654">
          <cell r="B654" t="str">
            <v>이예즈</v>
          </cell>
          <cell r="C654" t="str">
            <v>더컴퍼니</v>
          </cell>
        </row>
        <row r="655">
          <cell r="B655" t="str">
            <v>이예즈</v>
          </cell>
          <cell r="C655" t="str">
            <v>더컴퍼니</v>
          </cell>
        </row>
        <row r="656">
          <cell r="B656" t="str">
            <v>이예즈</v>
          </cell>
          <cell r="C656" t="str">
            <v>더컴퍼니</v>
          </cell>
        </row>
        <row r="657">
          <cell r="B657" t="str">
            <v>이예즈</v>
          </cell>
          <cell r="C657" t="str">
            <v>더컴퍼니</v>
          </cell>
        </row>
        <row r="658">
          <cell r="B658" t="str">
            <v>이예즈</v>
          </cell>
          <cell r="C658" t="str">
            <v>더컴퍼니</v>
          </cell>
        </row>
        <row r="659">
          <cell r="B659" t="str">
            <v>이예즈</v>
          </cell>
          <cell r="C659" t="str">
            <v>더컴퍼니</v>
          </cell>
        </row>
        <row r="660">
          <cell r="B660" t="str">
            <v>이예즈</v>
          </cell>
          <cell r="C660" t="str">
            <v>더컴퍼니</v>
          </cell>
        </row>
        <row r="661">
          <cell r="B661" t="str">
            <v>이예즈</v>
          </cell>
          <cell r="C661" t="str">
            <v>더컴퍼니</v>
          </cell>
        </row>
        <row r="662">
          <cell r="B662" t="str">
            <v>이예즈</v>
          </cell>
          <cell r="C662" t="str">
            <v>더컴퍼니</v>
          </cell>
        </row>
        <row r="663">
          <cell r="B663" t="str">
            <v>이예즈</v>
          </cell>
          <cell r="C663" t="str">
            <v>더컴퍼니</v>
          </cell>
        </row>
        <row r="664">
          <cell r="B664" t="str">
            <v>이예즈</v>
          </cell>
          <cell r="C664" t="str">
            <v>더컴퍼니</v>
          </cell>
        </row>
        <row r="665">
          <cell r="B665" t="str">
            <v>이예즈</v>
          </cell>
          <cell r="C665" t="str">
            <v>더컴퍼니</v>
          </cell>
        </row>
        <row r="666">
          <cell r="B666" t="str">
            <v>이일화</v>
          </cell>
          <cell r="C666" t="str">
            <v>더컴퍼니</v>
          </cell>
        </row>
        <row r="667">
          <cell r="B667" t="str">
            <v>이일화</v>
          </cell>
          <cell r="C667" t="str">
            <v>더컴퍼니</v>
          </cell>
        </row>
        <row r="668">
          <cell r="B668" t="str">
            <v>임경배</v>
          </cell>
          <cell r="C668" t="str">
            <v>아크스튜디오</v>
          </cell>
        </row>
        <row r="669">
          <cell r="B669" t="str">
            <v>정(情)</v>
          </cell>
          <cell r="C669" t="str">
            <v>더컴퍼니</v>
          </cell>
        </row>
        <row r="670">
          <cell r="B670" t="str">
            <v>정(情)</v>
          </cell>
          <cell r="C670" t="str">
            <v>더컴퍼니</v>
          </cell>
        </row>
        <row r="671">
          <cell r="B671" t="str">
            <v>정(情)</v>
          </cell>
          <cell r="C671" t="str">
            <v>더컴퍼니</v>
          </cell>
        </row>
        <row r="672">
          <cell r="B672" t="str">
            <v>정(情)</v>
          </cell>
          <cell r="C672" t="str">
            <v>더컴퍼니</v>
          </cell>
        </row>
        <row r="673">
          <cell r="B673" t="str">
            <v>정감</v>
          </cell>
          <cell r="C673" t="str">
            <v>더컴퍼니</v>
          </cell>
        </row>
        <row r="674">
          <cell r="B674" t="str">
            <v>정감</v>
          </cell>
          <cell r="C674" t="str">
            <v>더컴퍼니</v>
          </cell>
        </row>
        <row r="675">
          <cell r="B675" t="str">
            <v>정감</v>
          </cell>
          <cell r="C675" t="str">
            <v>더컴퍼니</v>
          </cell>
        </row>
        <row r="676">
          <cell r="B676" t="str">
            <v>정감</v>
          </cell>
          <cell r="C676" t="str">
            <v>더컴퍼니</v>
          </cell>
        </row>
        <row r="677">
          <cell r="B677" t="str">
            <v>정감</v>
          </cell>
          <cell r="C677" t="str">
            <v>더컴퍼니</v>
          </cell>
        </row>
        <row r="678">
          <cell r="B678" t="str">
            <v>정감</v>
          </cell>
          <cell r="C678" t="str">
            <v>더컴퍼니</v>
          </cell>
        </row>
        <row r="679">
          <cell r="B679" t="str">
            <v>정감</v>
          </cell>
          <cell r="C679" t="str">
            <v>더컴퍼니</v>
          </cell>
        </row>
        <row r="680">
          <cell r="B680" t="str">
            <v>정감</v>
          </cell>
          <cell r="C680" t="str">
            <v>더컴퍼니</v>
          </cell>
        </row>
        <row r="681">
          <cell r="B681" t="str">
            <v>정민이</v>
          </cell>
          <cell r="C681" t="str">
            <v>더컴퍼니</v>
          </cell>
        </row>
        <row r="682">
          <cell r="B682" t="str">
            <v>정민이</v>
          </cell>
          <cell r="C682" t="str">
            <v>더컴퍼니</v>
          </cell>
        </row>
        <row r="683">
          <cell r="B683" t="str">
            <v>정시온</v>
          </cell>
          <cell r="C683" t="str">
            <v>더컴퍼니</v>
          </cell>
        </row>
        <row r="684">
          <cell r="B684" t="str">
            <v>정연서</v>
          </cell>
          <cell r="C684" t="str">
            <v>더컴퍼니</v>
          </cell>
        </row>
        <row r="685">
          <cell r="B685" t="str">
            <v>정연서</v>
          </cell>
          <cell r="C685" t="str">
            <v>더컴퍼니</v>
          </cell>
        </row>
        <row r="686">
          <cell r="B686" t="str">
            <v>정연서</v>
          </cell>
          <cell r="C686" t="str">
            <v>더컴퍼니</v>
          </cell>
        </row>
        <row r="687">
          <cell r="B687" t="str">
            <v>정연서</v>
          </cell>
          <cell r="C687" t="str">
            <v>더컴퍼니</v>
          </cell>
        </row>
        <row r="688">
          <cell r="B688" t="str">
            <v>정연서</v>
          </cell>
          <cell r="C688" t="str">
            <v>더컴퍼니</v>
          </cell>
        </row>
        <row r="689">
          <cell r="B689" t="str">
            <v>주해나</v>
          </cell>
          <cell r="C689" t="str">
            <v>더컴퍼니</v>
          </cell>
        </row>
        <row r="690">
          <cell r="B690" t="str">
            <v>주해나</v>
          </cell>
          <cell r="C690" t="str">
            <v>더컴퍼니</v>
          </cell>
        </row>
        <row r="691">
          <cell r="B691" t="str">
            <v>주해나</v>
          </cell>
          <cell r="C691" t="str">
            <v>더컴퍼니</v>
          </cell>
        </row>
        <row r="692">
          <cell r="B692" t="str">
            <v>주해나</v>
          </cell>
          <cell r="C692" t="str">
            <v>더컴퍼니</v>
          </cell>
        </row>
        <row r="693">
          <cell r="B693" t="str">
            <v>주해나</v>
          </cell>
          <cell r="C693" t="str">
            <v>더컴퍼니</v>
          </cell>
        </row>
        <row r="694">
          <cell r="B694" t="str">
            <v>주해나</v>
          </cell>
          <cell r="C694" t="str">
            <v>더컴퍼니</v>
          </cell>
        </row>
        <row r="695">
          <cell r="B695" t="str">
            <v>주해나</v>
          </cell>
          <cell r="C695" t="str">
            <v>더컴퍼니</v>
          </cell>
        </row>
        <row r="696">
          <cell r="B696" t="str">
            <v>주해나</v>
          </cell>
          <cell r="C696" t="str">
            <v>더컴퍼니</v>
          </cell>
        </row>
        <row r="697">
          <cell r="B697" t="str">
            <v>주해나</v>
          </cell>
          <cell r="C697" t="str">
            <v>더컴퍼니</v>
          </cell>
        </row>
        <row r="698">
          <cell r="B698" t="str">
            <v>주해나</v>
          </cell>
          <cell r="C698" t="str">
            <v>더컴퍼니</v>
          </cell>
        </row>
        <row r="699">
          <cell r="B699" t="str">
            <v>주해나</v>
          </cell>
          <cell r="C699" t="str">
            <v>더컴퍼니</v>
          </cell>
        </row>
        <row r="700">
          <cell r="B700" t="str">
            <v>주해나</v>
          </cell>
          <cell r="C700" t="str">
            <v>더컴퍼니</v>
          </cell>
        </row>
        <row r="701">
          <cell r="B701" t="str">
            <v>주해나</v>
          </cell>
          <cell r="C701" t="str">
            <v>더컴퍼니</v>
          </cell>
        </row>
        <row r="702">
          <cell r="B702" t="str">
            <v>주해나</v>
          </cell>
          <cell r="C702" t="str">
            <v>더컴퍼니</v>
          </cell>
        </row>
        <row r="703">
          <cell r="B703" t="str">
            <v>주해나</v>
          </cell>
          <cell r="C703" t="str">
            <v>더컴퍼니</v>
          </cell>
        </row>
        <row r="704">
          <cell r="B704" t="str">
            <v>주해나</v>
          </cell>
          <cell r="C704" t="str">
            <v>더컴퍼니</v>
          </cell>
        </row>
        <row r="705">
          <cell r="B705" t="str">
            <v>주해나</v>
          </cell>
          <cell r="C705" t="str">
            <v>더컴퍼니</v>
          </cell>
        </row>
        <row r="706">
          <cell r="B706" t="str">
            <v>중년바나나</v>
          </cell>
          <cell r="C706" t="str">
            <v>더컴퍼니</v>
          </cell>
        </row>
        <row r="707">
          <cell r="B707" t="str">
            <v>중년바나나</v>
          </cell>
          <cell r="C707" t="str">
            <v>더컴퍼니</v>
          </cell>
        </row>
        <row r="708">
          <cell r="B708" t="str">
            <v>중년바나나</v>
          </cell>
          <cell r="C708" t="str">
            <v>더컴퍼니</v>
          </cell>
        </row>
        <row r="709">
          <cell r="B709" t="str">
            <v>중년바나나</v>
          </cell>
          <cell r="C709" t="str">
            <v>더컴퍼니</v>
          </cell>
        </row>
        <row r="710">
          <cell r="B710" t="str">
            <v>중년바나나</v>
          </cell>
          <cell r="C710" t="str">
            <v>더컴퍼니</v>
          </cell>
        </row>
        <row r="711">
          <cell r="B711" t="str">
            <v>중년바나나</v>
          </cell>
          <cell r="C711" t="str">
            <v>더컴퍼니</v>
          </cell>
        </row>
        <row r="712">
          <cell r="B712" t="str">
            <v>중년바나나</v>
          </cell>
          <cell r="C712" t="str">
            <v>더컴퍼니</v>
          </cell>
        </row>
        <row r="713">
          <cell r="B713" t="str">
            <v>지니</v>
          </cell>
          <cell r="C713" t="str">
            <v>더컴퍼니</v>
          </cell>
        </row>
        <row r="714">
          <cell r="B714" t="str">
            <v>지니</v>
          </cell>
          <cell r="C714" t="str">
            <v>더컴퍼니</v>
          </cell>
        </row>
        <row r="715">
          <cell r="B715" t="str">
            <v>지니</v>
          </cell>
          <cell r="C715" t="str">
            <v>더컴퍼니</v>
          </cell>
        </row>
        <row r="716">
          <cell r="B716" t="str">
            <v>지니</v>
          </cell>
          <cell r="C716" t="str">
            <v>더컴퍼니</v>
          </cell>
        </row>
        <row r="717">
          <cell r="B717" t="str">
            <v>지니</v>
          </cell>
          <cell r="C717" t="str">
            <v>더컴퍼니</v>
          </cell>
        </row>
        <row r="718">
          <cell r="B718" t="str">
            <v>지니</v>
          </cell>
          <cell r="C718" t="str">
            <v>더컴퍼니</v>
          </cell>
        </row>
        <row r="719">
          <cell r="B719" t="str">
            <v>지니</v>
          </cell>
          <cell r="C719" t="str">
            <v>더컴퍼니</v>
          </cell>
        </row>
        <row r="720">
          <cell r="B720" t="str">
            <v>지니</v>
          </cell>
          <cell r="C720" t="str">
            <v>더컴퍼니</v>
          </cell>
        </row>
        <row r="721">
          <cell r="B721" t="str">
            <v>지니</v>
          </cell>
          <cell r="C721" t="str">
            <v>더컴퍼니</v>
          </cell>
        </row>
        <row r="722">
          <cell r="B722" t="str">
            <v>지니</v>
          </cell>
          <cell r="C722" t="str">
            <v>더컴퍼니</v>
          </cell>
        </row>
        <row r="723">
          <cell r="B723" t="str">
            <v>지니</v>
          </cell>
          <cell r="C723" t="str">
            <v>더컴퍼니</v>
          </cell>
        </row>
        <row r="724">
          <cell r="B724" t="str">
            <v>지니</v>
          </cell>
          <cell r="C724" t="str">
            <v>더컴퍼니</v>
          </cell>
        </row>
        <row r="725">
          <cell r="B725" t="str">
            <v>지니</v>
          </cell>
          <cell r="C725" t="str">
            <v>더컴퍼니</v>
          </cell>
        </row>
        <row r="726">
          <cell r="B726" t="str">
            <v>지니</v>
          </cell>
          <cell r="C726" t="str">
            <v>더컴퍼니</v>
          </cell>
        </row>
        <row r="727">
          <cell r="B727" t="str">
            <v>지니</v>
          </cell>
          <cell r="C727" t="str">
            <v>더컴퍼니</v>
          </cell>
        </row>
        <row r="728">
          <cell r="B728" t="str">
            <v>지니</v>
          </cell>
          <cell r="C728" t="str">
            <v>더컴퍼니</v>
          </cell>
        </row>
        <row r="729">
          <cell r="B729" t="str">
            <v>지니</v>
          </cell>
          <cell r="C729" t="str">
            <v>더컴퍼니</v>
          </cell>
        </row>
        <row r="730">
          <cell r="B730" t="str">
            <v>지니</v>
          </cell>
          <cell r="C730" t="str">
            <v>더컴퍼니</v>
          </cell>
        </row>
        <row r="731">
          <cell r="B731" t="str">
            <v>지니</v>
          </cell>
          <cell r="C731" t="str">
            <v>더컴퍼니</v>
          </cell>
        </row>
        <row r="732">
          <cell r="B732" t="str">
            <v>지니</v>
          </cell>
          <cell r="C732" t="str">
            <v>더컴퍼니</v>
          </cell>
        </row>
        <row r="733">
          <cell r="B733" t="str">
            <v>지니</v>
          </cell>
          <cell r="C733" t="str">
            <v>더컴퍼니</v>
          </cell>
        </row>
        <row r="734">
          <cell r="B734" t="str">
            <v>지니</v>
          </cell>
          <cell r="C734" t="str">
            <v>더컴퍼니</v>
          </cell>
        </row>
        <row r="735">
          <cell r="B735" t="str">
            <v>지니</v>
          </cell>
          <cell r="C735" t="str">
            <v>더컴퍼니</v>
          </cell>
        </row>
        <row r="736">
          <cell r="B736" t="str">
            <v>지니</v>
          </cell>
          <cell r="C736" t="str">
            <v>더컴퍼니</v>
          </cell>
        </row>
        <row r="737">
          <cell r="B737" t="str">
            <v>지니</v>
          </cell>
          <cell r="C737" t="str">
            <v>더컴퍼니</v>
          </cell>
        </row>
        <row r="738">
          <cell r="B738" t="str">
            <v>지니</v>
          </cell>
          <cell r="C738" t="str">
            <v>더컴퍼니</v>
          </cell>
        </row>
        <row r="739">
          <cell r="B739" t="str">
            <v>진도넛</v>
          </cell>
          <cell r="C739" t="str">
            <v>더컴퍼니</v>
          </cell>
        </row>
        <row r="740">
          <cell r="B740" t="str">
            <v>진도넛</v>
          </cell>
          <cell r="C740" t="str">
            <v>더컴퍼니</v>
          </cell>
        </row>
        <row r="741">
          <cell r="B741" t="str">
            <v>진유이</v>
          </cell>
          <cell r="C741" t="str">
            <v>더컴퍼니</v>
          </cell>
        </row>
        <row r="742">
          <cell r="B742" t="str">
            <v>진유이</v>
          </cell>
          <cell r="C742" t="str">
            <v>더컴퍼니</v>
          </cell>
        </row>
        <row r="743">
          <cell r="B743" t="str">
            <v>진태이</v>
          </cell>
          <cell r="C743" t="str">
            <v>더컴퍼니</v>
          </cell>
        </row>
        <row r="744">
          <cell r="B744" t="str">
            <v>진태이</v>
          </cell>
          <cell r="C744" t="str">
            <v>더컴퍼니</v>
          </cell>
        </row>
        <row r="745">
          <cell r="B745" t="str">
            <v>진태이</v>
          </cell>
          <cell r="C745" t="str">
            <v>더컴퍼니</v>
          </cell>
        </row>
        <row r="746">
          <cell r="B746" t="str">
            <v>진태이</v>
          </cell>
          <cell r="C746" t="str">
            <v>더컴퍼니</v>
          </cell>
        </row>
        <row r="747">
          <cell r="B747" t="str">
            <v>진태이</v>
          </cell>
          <cell r="C747" t="str">
            <v>더컴퍼니</v>
          </cell>
        </row>
        <row r="748">
          <cell r="B748" t="str">
            <v>채플린</v>
          </cell>
          <cell r="C748" t="str">
            <v>더컴퍼니</v>
          </cell>
        </row>
        <row r="749">
          <cell r="B749" t="str">
            <v>채플린</v>
          </cell>
          <cell r="C749" t="str">
            <v>더컴퍼니</v>
          </cell>
        </row>
        <row r="750">
          <cell r="B750" t="str">
            <v>채플린</v>
          </cell>
          <cell r="C750" t="str">
            <v>더컴퍼니</v>
          </cell>
        </row>
        <row r="751">
          <cell r="B751" t="str">
            <v>채플린</v>
          </cell>
          <cell r="C751" t="str">
            <v>더컴퍼니</v>
          </cell>
        </row>
        <row r="752">
          <cell r="B752" t="str">
            <v>채플린</v>
          </cell>
          <cell r="C752" t="str">
            <v>더컴퍼니</v>
          </cell>
        </row>
        <row r="753">
          <cell r="B753" t="str">
            <v>채플린</v>
          </cell>
          <cell r="C753" t="str">
            <v>더컴퍼니</v>
          </cell>
        </row>
        <row r="754">
          <cell r="B754" t="str">
            <v>채플린</v>
          </cell>
          <cell r="C754" t="str">
            <v>더컴퍼니</v>
          </cell>
        </row>
        <row r="755">
          <cell r="B755" t="str">
            <v>채플린</v>
          </cell>
          <cell r="C755" t="str">
            <v>더컴퍼니</v>
          </cell>
        </row>
        <row r="756">
          <cell r="B756" t="str">
            <v>채플린</v>
          </cell>
          <cell r="C756" t="str">
            <v>더컴퍼니</v>
          </cell>
        </row>
        <row r="757">
          <cell r="B757" t="str">
            <v>채플린</v>
          </cell>
          <cell r="C757" t="str">
            <v>더컴퍼니</v>
          </cell>
        </row>
        <row r="758">
          <cell r="B758" t="str">
            <v>채플린</v>
          </cell>
          <cell r="C758" t="str">
            <v>더컴퍼니</v>
          </cell>
        </row>
        <row r="759">
          <cell r="B759" t="str">
            <v>채플린</v>
          </cell>
          <cell r="C759" t="str">
            <v>더컴퍼니</v>
          </cell>
        </row>
        <row r="760">
          <cell r="B760" t="str">
            <v>최강주</v>
          </cell>
          <cell r="C760" t="str">
            <v>더컴퍼니</v>
          </cell>
        </row>
        <row r="761">
          <cell r="B761" t="str">
            <v>최강주</v>
          </cell>
          <cell r="C761" t="str">
            <v>더컴퍼니</v>
          </cell>
        </row>
        <row r="762">
          <cell r="B762" t="str">
            <v>최강주</v>
          </cell>
          <cell r="C762" t="str">
            <v>더컴퍼니</v>
          </cell>
        </row>
        <row r="763">
          <cell r="B763" t="str">
            <v>최강주</v>
          </cell>
          <cell r="C763" t="str">
            <v>더컴퍼니</v>
          </cell>
        </row>
        <row r="764">
          <cell r="B764" t="str">
            <v>최소영</v>
          </cell>
          <cell r="C764" t="str">
            <v>더컴퍼니</v>
          </cell>
        </row>
        <row r="765">
          <cell r="B765" t="str">
            <v>최소영</v>
          </cell>
          <cell r="C765" t="str">
            <v>더컴퍼니</v>
          </cell>
        </row>
        <row r="766">
          <cell r="B766" t="str">
            <v>최재봉</v>
          </cell>
          <cell r="C766" t="str">
            <v>에필로그</v>
          </cell>
        </row>
        <row r="767">
          <cell r="B767" t="str">
            <v>최재봉</v>
          </cell>
          <cell r="C767" t="str">
            <v>에필로그</v>
          </cell>
        </row>
        <row r="768">
          <cell r="B768" t="str">
            <v>최재봉</v>
          </cell>
          <cell r="C768" t="str">
            <v>에필로그</v>
          </cell>
        </row>
        <row r="769">
          <cell r="B769" t="str">
            <v>최재봉</v>
          </cell>
          <cell r="C769" t="str">
            <v>에필로그</v>
          </cell>
        </row>
        <row r="770">
          <cell r="B770" t="str">
            <v>최재봉</v>
          </cell>
          <cell r="C770" t="str">
            <v>에필로그</v>
          </cell>
        </row>
        <row r="771">
          <cell r="B771" t="str">
            <v>최재봉</v>
          </cell>
          <cell r="C771" t="str">
            <v>에필로그</v>
          </cell>
        </row>
        <row r="772">
          <cell r="B772" t="str">
            <v>최재봉</v>
          </cell>
          <cell r="C772" t="str">
            <v>에필로그</v>
          </cell>
        </row>
        <row r="773">
          <cell r="B773" t="str">
            <v>최재봉</v>
          </cell>
          <cell r="C773" t="str">
            <v>에필로그</v>
          </cell>
        </row>
        <row r="774">
          <cell r="B774" t="str">
            <v>최재봉</v>
          </cell>
          <cell r="C774" t="str">
            <v>에필로그</v>
          </cell>
        </row>
        <row r="775">
          <cell r="B775" t="str">
            <v>최재봉</v>
          </cell>
          <cell r="C775" t="str">
            <v>에필로그</v>
          </cell>
        </row>
        <row r="776">
          <cell r="B776" t="str">
            <v>최재봉</v>
          </cell>
          <cell r="C776" t="str">
            <v>에필로그</v>
          </cell>
        </row>
        <row r="777">
          <cell r="B777" t="str">
            <v>최재봉</v>
          </cell>
          <cell r="C777" t="str">
            <v>에필로그</v>
          </cell>
        </row>
        <row r="778">
          <cell r="B778" t="str">
            <v>최재봉</v>
          </cell>
          <cell r="C778" t="str">
            <v>에필로그</v>
          </cell>
        </row>
        <row r="779">
          <cell r="B779" t="str">
            <v>최재봉</v>
          </cell>
          <cell r="C779" t="str">
            <v>에필로그</v>
          </cell>
        </row>
        <row r="780">
          <cell r="B780" t="str">
            <v>최재봉</v>
          </cell>
          <cell r="C780" t="str">
            <v>에필로그</v>
          </cell>
        </row>
        <row r="781">
          <cell r="B781" t="str">
            <v>최재봉</v>
          </cell>
          <cell r="C781" t="str">
            <v>에필로그</v>
          </cell>
        </row>
        <row r="782">
          <cell r="B782" t="str">
            <v>최재봉</v>
          </cell>
          <cell r="C782" t="str">
            <v>에필로그</v>
          </cell>
        </row>
        <row r="783">
          <cell r="B783" t="str">
            <v>최재봉</v>
          </cell>
          <cell r="C783" t="str">
            <v>에필로그</v>
          </cell>
        </row>
        <row r="784">
          <cell r="B784" t="str">
            <v>최재봉</v>
          </cell>
          <cell r="C784" t="str">
            <v>에필로그</v>
          </cell>
        </row>
        <row r="785">
          <cell r="B785" t="str">
            <v>최재봉</v>
          </cell>
          <cell r="C785" t="str">
            <v>에필로그</v>
          </cell>
        </row>
        <row r="786">
          <cell r="B786" t="str">
            <v>최재봉</v>
          </cell>
          <cell r="C786" t="str">
            <v>에필로그</v>
          </cell>
        </row>
        <row r="787">
          <cell r="B787" t="str">
            <v>최재봉</v>
          </cell>
          <cell r="C787" t="str">
            <v>에필로그</v>
          </cell>
        </row>
        <row r="788">
          <cell r="B788" t="str">
            <v>최재봉</v>
          </cell>
          <cell r="C788" t="str">
            <v>에필로그</v>
          </cell>
        </row>
        <row r="789">
          <cell r="B789" t="str">
            <v>최재봉</v>
          </cell>
          <cell r="C789" t="str">
            <v>에필로그</v>
          </cell>
        </row>
        <row r="790">
          <cell r="B790" t="str">
            <v>최재봉</v>
          </cell>
          <cell r="C790" t="str">
            <v>에필로그</v>
          </cell>
        </row>
        <row r="791">
          <cell r="B791" t="str">
            <v>최재봉</v>
          </cell>
          <cell r="C791" t="str">
            <v>에필로그</v>
          </cell>
        </row>
        <row r="792">
          <cell r="B792" t="str">
            <v>최재봉</v>
          </cell>
          <cell r="C792" t="str">
            <v>에필로그</v>
          </cell>
        </row>
        <row r="793">
          <cell r="B793" t="str">
            <v>최재봉</v>
          </cell>
          <cell r="C793" t="str">
            <v>에필로그</v>
          </cell>
        </row>
        <row r="794">
          <cell r="B794" t="str">
            <v>최재봉</v>
          </cell>
          <cell r="C794" t="str">
            <v>에필로그</v>
          </cell>
        </row>
        <row r="795">
          <cell r="B795" t="str">
            <v>최재봉</v>
          </cell>
          <cell r="C795" t="str">
            <v>에필로그</v>
          </cell>
        </row>
        <row r="796">
          <cell r="B796" t="str">
            <v>최재봉</v>
          </cell>
          <cell r="C796" t="str">
            <v>에필로그</v>
          </cell>
        </row>
        <row r="797">
          <cell r="B797" t="str">
            <v>최재봉</v>
          </cell>
          <cell r="C797" t="str">
            <v>에필로그</v>
          </cell>
        </row>
        <row r="798">
          <cell r="B798" t="str">
            <v>최재봉</v>
          </cell>
          <cell r="C798" t="str">
            <v>에필로그</v>
          </cell>
        </row>
        <row r="799">
          <cell r="B799" t="str">
            <v>최재봉</v>
          </cell>
          <cell r="C799" t="str">
            <v>에필로그</v>
          </cell>
        </row>
        <row r="800">
          <cell r="B800" t="str">
            <v>최재봉</v>
          </cell>
          <cell r="C800" t="str">
            <v>에필로그</v>
          </cell>
        </row>
        <row r="801">
          <cell r="B801" t="str">
            <v>최재봉</v>
          </cell>
          <cell r="C801" t="str">
            <v>에필로그</v>
          </cell>
        </row>
        <row r="802">
          <cell r="B802" t="str">
            <v>최재봉</v>
          </cell>
          <cell r="C802" t="str">
            <v>에필로그</v>
          </cell>
        </row>
        <row r="803">
          <cell r="B803" t="str">
            <v>최재봉</v>
          </cell>
          <cell r="C803" t="str">
            <v>에필로그</v>
          </cell>
        </row>
        <row r="804">
          <cell r="B804" t="str">
            <v>최재봉</v>
          </cell>
          <cell r="C804" t="str">
            <v>에필로그</v>
          </cell>
        </row>
        <row r="805">
          <cell r="B805" t="str">
            <v>최재봉</v>
          </cell>
          <cell r="C805" t="str">
            <v>에필로그</v>
          </cell>
        </row>
        <row r="806">
          <cell r="B806" t="str">
            <v>최재봉</v>
          </cell>
          <cell r="C806" t="str">
            <v>에필로그</v>
          </cell>
        </row>
        <row r="807">
          <cell r="B807" t="str">
            <v>최재봉</v>
          </cell>
          <cell r="C807" t="str">
            <v>에필로그</v>
          </cell>
        </row>
        <row r="808">
          <cell r="B808" t="str">
            <v>최재봉</v>
          </cell>
          <cell r="C808" t="str">
            <v>에필로그</v>
          </cell>
        </row>
        <row r="809">
          <cell r="B809" t="str">
            <v>최재봉</v>
          </cell>
          <cell r="C809" t="str">
            <v>에필로그</v>
          </cell>
        </row>
        <row r="810">
          <cell r="B810" t="str">
            <v>최재봉</v>
          </cell>
          <cell r="C810" t="str">
            <v>에필로그</v>
          </cell>
        </row>
        <row r="811">
          <cell r="B811" t="str">
            <v>최재봉</v>
          </cell>
          <cell r="C811" t="str">
            <v>에필로그</v>
          </cell>
        </row>
        <row r="812">
          <cell r="B812" t="str">
            <v>최재봉</v>
          </cell>
          <cell r="C812" t="str">
            <v>에필로그</v>
          </cell>
        </row>
        <row r="813">
          <cell r="B813" t="str">
            <v>최재봉</v>
          </cell>
          <cell r="C813" t="str">
            <v>에필로그</v>
          </cell>
        </row>
        <row r="814">
          <cell r="B814" t="str">
            <v>최재봉</v>
          </cell>
          <cell r="C814" t="str">
            <v>에필로그</v>
          </cell>
        </row>
        <row r="815">
          <cell r="B815" t="str">
            <v>최재봉</v>
          </cell>
          <cell r="C815" t="str">
            <v>에필로그</v>
          </cell>
        </row>
        <row r="816">
          <cell r="B816" t="str">
            <v>최재봉</v>
          </cell>
          <cell r="C816" t="str">
            <v>에필로그</v>
          </cell>
        </row>
        <row r="817">
          <cell r="B817" t="str">
            <v>최재봉</v>
          </cell>
          <cell r="C817" t="str">
            <v>에필로그</v>
          </cell>
        </row>
        <row r="818">
          <cell r="B818" t="str">
            <v>카나슈</v>
          </cell>
          <cell r="C818" t="str">
            <v>더컴퍼니</v>
          </cell>
        </row>
        <row r="819">
          <cell r="B819" t="str">
            <v>카나슈</v>
          </cell>
          <cell r="C819" t="str">
            <v>더컴퍼니</v>
          </cell>
        </row>
        <row r="820">
          <cell r="B820" t="str">
            <v>카나슈</v>
          </cell>
          <cell r="C820" t="str">
            <v>더컴퍼니</v>
          </cell>
        </row>
        <row r="821">
          <cell r="B821" t="str">
            <v>카나슈</v>
          </cell>
          <cell r="C821" t="str">
            <v>더컴퍼니</v>
          </cell>
        </row>
        <row r="822">
          <cell r="B822" t="str">
            <v>카에트</v>
          </cell>
          <cell r="C822" t="str">
            <v>더컴퍼니</v>
          </cell>
        </row>
        <row r="823">
          <cell r="B823" t="str">
            <v>카에트</v>
          </cell>
          <cell r="C823" t="str">
            <v>더컴퍼니</v>
          </cell>
        </row>
        <row r="824">
          <cell r="B824" t="str">
            <v>쿠노Kuno</v>
          </cell>
          <cell r="C824" t="str">
            <v>더컴퍼니</v>
          </cell>
        </row>
        <row r="825">
          <cell r="B825" t="str">
            <v>쿠노Kuno</v>
          </cell>
          <cell r="C825" t="str">
            <v>더컴퍼니</v>
          </cell>
        </row>
        <row r="826">
          <cell r="B826" t="str">
            <v>키도</v>
          </cell>
          <cell r="C826" t="str">
            <v>더컴퍼니</v>
          </cell>
        </row>
        <row r="827">
          <cell r="B827" t="str">
            <v>키도</v>
          </cell>
          <cell r="C827" t="str">
            <v>더컴퍼니</v>
          </cell>
        </row>
        <row r="828">
          <cell r="B828" t="str">
            <v>키도</v>
          </cell>
          <cell r="C828" t="str">
            <v>더컴퍼니</v>
          </cell>
        </row>
        <row r="829">
          <cell r="B829" t="str">
            <v>키도</v>
          </cell>
          <cell r="C829" t="str">
            <v>더컴퍼니</v>
          </cell>
        </row>
        <row r="830">
          <cell r="B830" t="str">
            <v>키도</v>
          </cell>
          <cell r="C830" t="str">
            <v>더컴퍼니</v>
          </cell>
        </row>
        <row r="831">
          <cell r="B831" t="str">
            <v>키도</v>
          </cell>
          <cell r="C831" t="str">
            <v>더컴퍼니</v>
          </cell>
        </row>
        <row r="832">
          <cell r="B832" t="str">
            <v>키도</v>
          </cell>
          <cell r="C832" t="str">
            <v>더컴퍼니</v>
          </cell>
        </row>
        <row r="833">
          <cell r="B833" t="str">
            <v>키도</v>
          </cell>
          <cell r="C833" t="str">
            <v>더컴퍼니</v>
          </cell>
        </row>
        <row r="834">
          <cell r="B834" t="str">
            <v>키도</v>
          </cell>
          <cell r="C834" t="str">
            <v>더컴퍼니</v>
          </cell>
        </row>
        <row r="835">
          <cell r="B835" t="str">
            <v>키도</v>
          </cell>
          <cell r="C835" t="str">
            <v>더컴퍼니</v>
          </cell>
        </row>
        <row r="836">
          <cell r="B836" t="str">
            <v>키도</v>
          </cell>
          <cell r="C836" t="str">
            <v>더컴퍼니</v>
          </cell>
        </row>
        <row r="837">
          <cell r="B837" t="str">
            <v>키도</v>
          </cell>
          <cell r="C837" t="str">
            <v>더컴퍼니</v>
          </cell>
        </row>
        <row r="838">
          <cell r="B838" t="str">
            <v>키도</v>
          </cell>
          <cell r="C838" t="str">
            <v>더컴퍼니</v>
          </cell>
        </row>
        <row r="839">
          <cell r="B839" t="str">
            <v>키도</v>
          </cell>
          <cell r="C839" t="str">
            <v>더컴퍼니</v>
          </cell>
        </row>
        <row r="840">
          <cell r="B840" t="str">
            <v>키도</v>
          </cell>
          <cell r="C840" t="str">
            <v>더컴퍼니</v>
          </cell>
        </row>
        <row r="841">
          <cell r="B841" t="str">
            <v>키도</v>
          </cell>
          <cell r="C841" t="str">
            <v>더컴퍼니</v>
          </cell>
        </row>
        <row r="842">
          <cell r="B842" t="str">
            <v>키도</v>
          </cell>
          <cell r="C842" t="str">
            <v>더컴퍼니</v>
          </cell>
        </row>
        <row r="843">
          <cell r="B843" t="str">
            <v>키도</v>
          </cell>
          <cell r="C843" t="str">
            <v>더컴퍼니</v>
          </cell>
        </row>
        <row r="844">
          <cell r="B844" t="str">
            <v>키도</v>
          </cell>
          <cell r="C844" t="str">
            <v>더컴퍼니</v>
          </cell>
        </row>
        <row r="845">
          <cell r="B845" t="str">
            <v>키도</v>
          </cell>
          <cell r="C845" t="str">
            <v>더컴퍼니</v>
          </cell>
        </row>
        <row r="846">
          <cell r="B846" t="str">
            <v>키도</v>
          </cell>
          <cell r="C846" t="str">
            <v>더컴퍼니</v>
          </cell>
        </row>
        <row r="847">
          <cell r="B847" t="str">
            <v>키도</v>
          </cell>
          <cell r="C847" t="str">
            <v>더컴퍼니</v>
          </cell>
        </row>
        <row r="848">
          <cell r="B848" t="str">
            <v>키도</v>
          </cell>
          <cell r="C848" t="str">
            <v>더컴퍼니</v>
          </cell>
        </row>
        <row r="849">
          <cell r="B849" t="str">
            <v>키도</v>
          </cell>
          <cell r="C849" t="str">
            <v>더컴퍼니</v>
          </cell>
        </row>
        <row r="850">
          <cell r="B850" t="str">
            <v>키도</v>
          </cell>
          <cell r="C850" t="str">
            <v>더컴퍼니</v>
          </cell>
        </row>
        <row r="851">
          <cell r="B851" t="str">
            <v>키도</v>
          </cell>
          <cell r="C851" t="str">
            <v>더컴퍼니</v>
          </cell>
        </row>
        <row r="852">
          <cell r="B852" t="str">
            <v>키도</v>
          </cell>
          <cell r="C852" t="str">
            <v>더컴퍼니</v>
          </cell>
        </row>
        <row r="853">
          <cell r="B853" t="str">
            <v>키도</v>
          </cell>
          <cell r="C853" t="str">
            <v>더컴퍼니</v>
          </cell>
        </row>
        <row r="854">
          <cell r="B854" t="str">
            <v>키도</v>
          </cell>
          <cell r="C854" t="str">
            <v>더컴퍼니</v>
          </cell>
        </row>
        <row r="855">
          <cell r="B855" t="str">
            <v>키도</v>
          </cell>
          <cell r="C855" t="str">
            <v>더컴퍼니</v>
          </cell>
        </row>
        <row r="856">
          <cell r="B856" t="str">
            <v>키도</v>
          </cell>
          <cell r="C856" t="str">
            <v>더컴퍼니</v>
          </cell>
        </row>
        <row r="857">
          <cell r="B857" t="str">
            <v>키도</v>
          </cell>
          <cell r="C857" t="str">
            <v>더컴퍼니</v>
          </cell>
        </row>
        <row r="858">
          <cell r="B858" t="str">
            <v>키도</v>
          </cell>
          <cell r="C858" t="str">
            <v>더컴퍼니</v>
          </cell>
        </row>
        <row r="859">
          <cell r="B859" t="str">
            <v>키도</v>
          </cell>
          <cell r="C859" t="str">
            <v>더컴퍼니</v>
          </cell>
        </row>
        <row r="860">
          <cell r="B860" t="str">
            <v>키도</v>
          </cell>
          <cell r="C860" t="str">
            <v>더컴퍼니</v>
          </cell>
        </row>
        <row r="861">
          <cell r="B861" t="str">
            <v>키도</v>
          </cell>
          <cell r="C861" t="str">
            <v>더컴퍼니</v>
          </cell>
        </row>
        <row r="862">
          <cell r="B862" t="str">
            <v>키도</v>
          </cell>
          <cell r="C862" t="str">
            <v>더컴퍼니</v>
          </cell>
        </row>
        <row r="863">
          <cell r="B863" t="str">
            <v>키도</v>
          </cell>
          <cell r="C863" t="str">
            <v>더컴퍼니</v>
          </cell>
        </row>
        <row r="864">
          <cell r="B864" t="str">
            <v>키도</v>
          </cell>
          <cell r="C864" t="str">
            <v>더컴퍼니</v>
          </cell>
        </row>
        <row r="865">
          <cell r="B865" t="str">
            <v>키도</v>
          </cell>
          <cell r="C865" t="str">
            <v>더컴퍼니</v>
          </cell>
        </row>
        <row r="866">
          <cell r="B866" t="str">
            <v>키도</v>
          </cell>
          <cell r="C866" t="str">
            <v>더컴퍼니</v>
          </cell>
        </row>
        <row r="867">
          <cell r="B867" t="str">
            <v>키도</v>
          </cell>
          <cell r="C867" t="str">
            <v>더컴퍼니</v>
          </cell>
        </row>
        <row r="868">
          <cell r="B868" t="str">
            <v>키도</v>
          </cell>
          <cell r="C868" t="str">
            <v>더컴퍼니</v>
          </cell>
        </row>
        <row r="869">
          <cell r="B869" t="str">
            <v>키도</v>
          </cell>
          <cell r="C869" t="str">
            <v>더컴퍼니</v>
          </cell>
        </row>
        <row r="870">
          <cell r="B870" t="str">
            <v>키도</v>
          </cell>
          <cell r="C870" t="str">
            <v>더컴퍼니</v>
          </cell>
        </row>
        <row r="871">
          <cell r="B871" t="str">
            <v>키도</v>
          </cell>
          <cell r="C871" t="str">
            <v>더컴퍼니</v>
          </cell>
        </row>
        <row r="872">
          <cell r="B872" t="str">
            <v>키도</v>
          </cell>
          <cell r="C872" t="str">
            <v>더컴퍼니</v>
          </cell>
        </row>
        <row r="873">
          <cell r="B873" t="str">
            <v>泰龍</v>
          </cell>
          <cell r="C873" t="str">
            <v>더컴퍼니</v>
          </cell>
        </row>
        <row r="874">
          <cell r="B874" t="str">
            <v>토돌</v>
          </cell>
          <cell r="C874" t="str">
            <v>아크스튜디오</v>
          </cell>
        </row>
        <row r="875">
          <cell r="B875" t="str">
            <v>토돌</v>
          </cell>
          <cell r="C875" t="str">
            <v>아크스튜디오</v>
          </cell>
        </row>
        <row r="876">
          <cell r="B876" t="str">
            <v>토돌</v>
          </cell>
          <cell r="C876" t="str">
            <v>아크스튜디오</v>
          </cell>
        </row>
        <row r="877">
          <cell r="B877" t="str">
            <v>투즈</v>
          </cell>
          <cell r="C877" t="str">
            <v>더컴퍼니</v>
          </cell>
        </row>
        <row r="878">
          <cell r="B878" t="str">
            <v>투즈</v>
          </cell>
          <cell r="C878" t="str">
            <v>더컴퍼니</v>
          </cell>
        </row>
        <row r="879">
          <cell r="B879" t="str">
            <v>투즈</v>
          </cell>
          <cell r="C879" t="str">
            <v>더컴퍼니</v>
          </cell>
        </row>
        <row r="880">
          <cell r="B880" t="str">
            <v>투즈</v>
          </cell>
          <cell r="C880" t="str">
            <v>더컴퍼니</v>
          </cell>
        </row>
        <row r="881">
          <cell r="B881" t="str">
            <v>파르소</v>
          </cell>
          <cell r="C881" t="str">
            <v>더컴퍼니</v>
          </cell>
        </row>
        <row r="882">
          <cell r="B882" t="str">
            <v>파르소</v>
          </cell>
          <cell r="C882" t="str">
            <v>더컴퍼니</v>
          </cell>
        </row>
        <row r="883">
          <cell r="B883" t="str">
            <v>파르소</v>
          </cell>
          <cell r="C883" t="str">
            <v>더컴퍼니</v>
          </cell>
        </row>
        <row r="884">
          <cell r="B884" t="str">
            <v>파르소</v>
          </cell>
          <cell r="C884" t="str">
            <v>더컴퍼니</v>
          </cell>
        </row>
        <row r="885">
          <cell r="B885" t="str">
            <v>파씨</v>
          </cell>
          <cell r="C885" t="str">
            <v>더컴퍼니</v>
          </cell>
        </row>
        <row r="886">
          <cell r="B886" t="str">
            <v>파씨</v>
          </cell>
          <cell r="C886" t="str">
            <v>더컴퍼니</v>
          </cell>
        </row>
        <row r="887">
          <cell r="B887" t="str">
            <v>파씨</v>
          </cell>
          <cell r="C887" t="str">
            <v>더컴퍼니</v>
          </cell>
        </row>
        <row r="888">
          <cell r="B888" t="str">
            <v>파씨</v>
          </cell>
          <cell r="C888" t="str">
            <v>더컴퍼니</v>
          </cell>
        </row>
        <row r="889">
          <cell r="B889" t="str">
            <v>파씨</v>
          </cell>
          <cell r="C889" t="str">
            <v>더컴퍼니</v>
          </cell>
        </row>
        <row r="890">
          <cell r="B890" t="str">
            <v>파씨</v>
          </cell>
          <cell r="C890" t="str">
            <v>더컴퍼니</v>
          </cell>
        </row>
        <row r="891">
          <cell r="B891" t="str">
            <v>플이</v>
          </cell>
          <cell r="C891" t="str">
            <v>더컴퍼니</v>
          </cell>
        </row>
        <row r="892">
          <cell r="B892" t="str">
            <v>플이</v>
          </cell>
          <cell r="C892" t="str">
            <v>더컴퍼니</v>
          </cell>
        </row>
        <row r="893">
          <cell r="B893" t="str">
            <v>피모</v>
          </cell>
          <cell r="C893" t="str">
            <v>더컴퍼니</v>
          </cell>
        </row>
        <row r="894">
          <cell r="B894" t="str">
            <v>피모</v>
          </cell>
          <cell r="C894" t="str">
            <v>더컴퍼니</v>
          </cell>
        </row>
        <row r="895">
          <cell r="B895" t="str">
            <v>피모</v>
          </cell>
          <cell r="C895" t="str">
            <v>더컴퍼니</v>
          </cell>
        </row>
        <row r="896">
          <cell r="B896" t="str">
            <v>피모</v>
          </cell>
          <cell r="C896" t="str">
            <v>더컴퍼니</v>
          </cell>
        </row>
        <row r="897">
          <cell r="B897" t="str">
            <v>피모</v>
          </cell>
          <cell r="C897" t="str">
            <v>더컴퍼니</v>
          </cell>
        </row>
        <row r="898">
          <cell r="B898" t="str">
            <v>피모</v>
          </cell>
          <cell r="C898" t="str">
            <v>더컴퍼니</v>
          </cell>
        </row>
        <row r="899">
          <cell r="B899" t="str">
            <v>피모</v>
          </cell>
          <cell r="C899" t="str">
            <v>더컴퍼니</v>
          </cell>
        </row>
        <row r="900">
          <cell r="B900" t="str">
            <v>피모</v>
          </cell>
          <cell r="C900" t="str">
            <v>더컴퍼니</v>
          </cell>
        </row>
        <row r="901">
          <cell r="B901" t="str">
            <v>피모</v>
          </cell>
          <cell r="C901" t="str">
            <v>더컴퍼니</v>
          </cell>
        </row>
        <row r="902">
          <cell r="B902" t="str">
            <v>피모</v>
          </cell>
          <cell r="C902" t="str">
            <v>더컴퍼니</v>
          </cell>
        </row>
        <row r="903">
          <cell r="B903" t="str">
            <v>피모</v>
          </cell>
          <cell r="C903" t="str">
            <v>더컴퍼니</v>
          </cell>
        </row>
        <row r="904">
          <cell r="B904" t="str">
            <v>피모</v>
          </cell>
          <cell r="C904" t="str">
            <v>더컴퍼니</v>
          </cell>
        </row>
        <row r="905">
          <cell r="B905" t="str">
            <v>피모</v>
          </cell>
          <cell r="C905" t="str">
            <v>더컴퍼니</v>
          </cell>
        </row>
        <row r="906">
          <cell r="B906" t="str">
            <v>피모</v>
          </cell>
          <cell r="C906" t="str">
            <v>더컴퍼니</v>
          </cell>
        </row>
        <row r="907">
          <cell r="B907" t="str">
            <v>피모</v>
          </cell>
          <cell r="C907" t="str">
            <v>더컴퍼니</v>
          </cell>
        </row>
        <row r="908">
          <cell r="B908" t="str">
            <v>피모</v>
          </cell>
          <cell r="C908" t="str">
            <v>더컴퍼니</v>
          </cell>
        </row>
        <row r="909">
          <cell r="B909" t="str">
            <v>피모</v>
          </cell>
          <cell r="C909" t="str">
            <v>더컴퍼니</v>
          </cell>
        </row>
        <row r="910">
          <cell r="B910" t="str">
            <v>피모</v>
          </cell>
          <cell r="C910" t="str">
            <v>더컴퍼니</v>
          </cell>
        </row>
        <row r="911">
          <cell r="B911" t="str">
            <v>피모</v>
          </cell>
          <cell r="C911" t="str">
            <v>더컴퍼니</v>
          </cell>
        </row>
        <row r="912">
          <cell r="B912" t="str">
            <v>피모</v>
          </cell>
          <cell r="C912" t="str">
            <v>더컴퍼니</v>
          </cell>
        </row>
        <row r="913">
          <cell r="B913" t="str">
            <v>하나린</v>
          </cell>
          <cell r="C913" t="str">
            <v>더컴퍼니</v>
          </cell>
        </row>
        <row r="914">
          <cell r="B914" t="str">
            <v>하나린</v>
          </cell>
          <cell r="C914" t="str">
            <v>더컴퍼니</v>
          </cell>
        </row>
        <row r="915">
          <cell r="B915" t="str">
            <v>하나린</v>
          </cell>
          <cell r="C915" t="str">
            <v>더컴퍼니</v>
          </cell>
        </row>
        <row r="916">
          <cell r="B916" t="str">
            <v>하나린</v>
          </cell>
          <cell r="C916" t="str">
            <v>더컴퍼니</v>
          </cell>
        </row>
        <row r="917">
          <cell r="B917" t="str">
            <v>하나린</v>
          </cell>
          <cell r="C917" t="str">
            <v>더컴퍼니</v>
          </cell>
        </row>
        <row r="918">
          <cell r="B918" t="str">
            <v>하바수</v>
          </cell>
          <cell r="C918" t="str">
            <v>더컴퍼니</v>
          </cell>
        </row>
        <row r="919">
          <cell r="B919" t="str">
            <v>하바수</v>
          </cell>
          <cell r="C919" t="str">
            <v>더컴퍼니</v>
          </cell>
        </row>
        <row r="920">
          <cell r="B920" t="str">
            <v>하바수</v>
          </cell>
          <cell r="C920" t="str">
            <v>더컴퍼니</v>
          </cell>
        </row>
        <row r="921">
          <cell r="B921" t="str">
            <v>하바수</v>
          </cell>
          <cell r="C921" t="str">
            <v>더컴퍼니</v>
          </cell>
        </row>
        <row r="922">
          <cell r="B922" t="str">
            <v>하바수</v>
          </cell>
          <cell r="C922" t="str">
            <v>더컴퍼니</v>
          </cell>
        </row>
        <row r="923">
          <cell r="B923" t="str">
            <v>하바수</v>
          </cell>
          <cell r="C923" t="str">
            <v>더컴퍼니</v>
          </cell>
        </row>
        <row r="924">
          <cell r="B924" t="str">
            <v>하지</v>
          </cell>
          <cell r="C924" t="str">
            <v>더컴퍼니</v>
          </cell>
        </row>
        <row r="925">
          <cell r="B925" t="str">
            <v>하지</v>
          </cell>
          <cell r="C925" t="str">
            <v>더컴퍼니</v>
          </cell>
        </row>
        <row r="926">
          <cell r="B926" t="str">
            <v>하지</v>
          </cell>
          <cell r="C926" t="str">
            <v>더컴퍼니</v>
          </cell>
        </row>
        <row r="927">
          <cell r="B927" t="str">
            <v>하지</v>
          </cell>
          <cell r="C927" t="str">
            <v>더컴퍼니</v>
          </cell>
        </row>
        <row r="928">
          <cell r="B928" t="str">
            <v>하지</v>
          </cell>
          <cell r="C928" t="str">
            <v>더컴퍼니</v>
          </cell>
        </row>
        <row r="929">
          <cell r="B929" t="str">
            <v>하지</v>
          </cell>
          <cell r="C929" t="str">
            <v>더컴퍼니</v>
          </cell>
        </row>
        <row r="930">
          <cell r="B930" t="str">
            <v>하지</v>
          </cell>
          <cell r="C930" t="str">
            <v>더컴퍼니</v>
          </cell>
        </row>
        <row r="931">
          <cell r="B931" t="str">
            <v>하지</v>
          </cell>
          <cell r="C931" t="str">
            <v>더컴퍼니</v>
          </cell>
        </row>
        <row r="932">
          <cell r="B932" t="str">
            <v>한슬</v>
          </cell>
          <cell r="C932" t="str">
            <v>더컴퍼니</v>
          </cell>
        </row>
        <row r="933">
          <cell r="B933" t="str">
            <v>한슬</v>
          </cell>
          <cell r="C933" t="str">
            <v>더컴퍼니</v>
          </cell>
        </row>
        <row r="934">
          <cell r="B934" t="str">
            <v>한슬</v>
          </cell>
          <cell r="C934" t="str">
            <v>더컴퍼니</v>
          </cell>
        </row>
        <row r="935">
          <cell r="B935" t="str">
            <v>한슬</v>
          </cell>
          <cell r="C935" t="str">
            <v>더컴퍼니</v>
          </cell>
        </row>
        <row r="936">
          <cell r="B936" t="str">
            <v>한슬</v>
          </cell>
          <cell r="C936" t="str">
            <v>더컴퍼니</v>
          </cell>
        </row>
        <row r="937">
          <cell r="B937" t="str">
            <v>한슬</v>
          </cell>
          <cell r="C937" t="str">
            <v>더컴퍼니</v>
          </cell>
        </row>
        <row r="938">
          <cell r="B938" t="str">
            <v>한슬</v>
          </cell>
          <cell r="C938" t="str">
            <v>더컴퍼니</v>
          </cell>
        </row>
        <row r="939">
          <cell r="B939" t="str">
            <v>한슬</v>
          </cell>
          <cell r="C939" t="str">
            <v>더컴퍼니</v>
          </cell>
        </row>
        <row r="940">
          <cell r="B940" t="str">
            <v>한슬</v>
          </cell>
          <cell r="C940" t="str">
            <v>더컴퍼니</v>
          </cell>
        </row>
        <row r="941">
          <cell r="B941" t="str">
            <v>한슬</v>
          </cell>
          <cell r="C941" t="str">
            <v>더컴퍼니</v>
          </cell>
        </row>
        <row r="942">
          <cell r="B942" t="str">
            <v>한슬</v>
          </cell>
          <cell r="C942" t="str">
            <v>더컴퍼니</v>
          </cell>
        </row>
        <row r="943">
          <cell r="B943" t="str">
            <v>한슬</v>
          </cell>
          <cell r="C943" t="str">
            <v>더컴퍼니</v>
          </cell>
        </row>
        <row r="944">
          <cell r="B944" t="str">
            <v>한슬</v>
          </cell>
          <cell r="C944" t="str">
            <v>더컴퍼니</v>
          </cell>
        </row>
        <row r="945">
          <cell r="B945" t="str">
            <v>한슬</v>
          </cell>
          <cell r="C945" t="str">
            <v>더컴퍼니</v>
          </cell>
        </row>
        <row r="946">
          <cell r="B946" t="str">
            <v>한슬</v>
          </cell>
          <cell r="C946" t="str">
            <v>더컴퍼니</v>
          </cell>
        </row>
        <row r="947">
          <cell r="B947" t="str">
            <v>한슬</v>
          </cell>
          <cell r="C947" t="str">
            <v>더컴퍼니</v>
          </cell>
        </row>
        <row r="948">
          <cell r="B948" t="str">
            <v>한슬</v>
          </cell>
          <cell r="C948" t="str">
            <v>더컴퍼니</v>
          </cell>
        </row>
        <row r="949">
          <cell r="B949" t="str">
            <v>한슬</v>
          </cell>
          <cell r="C949" t="str">
            <v>더컴퍼니</v>
          </cell>
        </row>
        <row r="950">
          <cell r="B950" t="str">
            <v>한슬</v>
          </cell>
          <cell r="C950" t="str">
            <v>더컴퍼니</v>
          </cell>
        </row>
        <row r="951">
          <cell r="B951" t="str">
            <v>한슬</v>
          </cell>
          <cell r="C951" t="str">
            <v>더컴퍼니</v>
          </cell>
        </row>
        <row r="952">
          <cell r="B952" t="str">
            <v>해양정원</v>
          </cell>
          <cell r="C952" t="str">
            <v>더컴퍼니</v>
          </cell>
        </row>
        <row r="953">
          <cell r="B953" t="str">
            <v>해양정원</v>
          </cell>
          <cell r="C953" t="str">
            <v>더컴퍼니</v>
          </cell>
        </row>
        <row r="954">
          <cell r="B954" t="str">
            <v>해양정원</v>
          </cell>
          <cell r="C954" t="str">
            <v>더컴퍼니</v>
          </cell>
        </row>
        <row r="955">
          <cell r="B955" t="str">
            <v>해양정원</v>
          </cell>
          <cell r="C955" t="str">
            <v>더컴퍼니</v>
          </cell>
        </row>
        <row r="956">
          <cell r="B956" t="str">
            <v>해양정원</v>
          </cell>
          <cell r="C956" t="str">
            <v>더컴퍼니</v>
          </cell>
        </row>
        <row r="957">
          <cell r="B957" t="str">
            <v>협행마</v>
          </cell>
          <cell r="C957" t="str">
            <v>에필로그</v>
          </cell>
        </row>
        <row r="958">
          <cell r="B958" t="str">
            <v>협행마</v>
          </cell>
          <cell r="C958" t="str">
            <v>에필로그</v>
          </cell>
        </row>
        <row r="959">
          <cell r="B959" t="str">
            <v>협행마</v>
          </cell>
          <cell r="C959" t="str">
            <v>에필로그</v>
          </cell>
        </row>
        <row r="960">
          <cell r="B960" t="str">
            <v>협행마</v>
          </cell>
          <cell r="C960" t="str">
            <v>에필로그</v>
          </cell>
        </row>
        <row r="961">
          <cell r="B961" t="str">
            <v>협행마</v>
          </cell>
          <cell r="C961" t="str">
            <v>에필로그</v>
          </cell>
        </row>
        <row r="962">
          <cell r="B962" t="str">
            <v>협행마</v>
          </cell>
          <cell r="C962" t="str">
            <v>에필로그</v>
          </cell>
        </row>
        <row r="963">
          <cell r="B963" t="str">
            <v>협행마</v>
          </cell>
          <cell r="C963" t="str">
            <v>에필로그</v>
          </cell>
        </row>
        <row r="964">
          <cell r="B964" t="str">
            <v>협행마</v>
          </cell>
          <cell r="C964" t="str">
            <v>에필로그</v>
          </cell>
        </row>
        <row r="965">
          <cell r="B965" t="str">
            <v>협행마</v>
          </cell>
          <cell r="C965" t="str">
            <v>에필로그</v>
          </cell>
        </row>
        <row r="966">
          <cell r="B966" t="str">
            <v>협행마</v>
          </cell>
          <cell r="C966" t="str">
            <v>에필로그</v>
          </cell>
        </row>
        <row r="967">
          <cell r="B967" t="str">
            <v>협행마</v>
          </cell>
          <cell r="C967" t="str">
            <v>에필로그</v>
          </cell>
        </row>
        <row r="968">
          <cell r="B968" t="str">
            <v>협행마</v>
          </cell>
          <cell r="C968" t="str">
            <v>에필로그</v>
          </cell>
        </row>
        <row r="969">
          <cell r="B969" t="str">
            <v>협행마</v>
          </cell>
          <cell r="C969" t="str">
            <v>에필로그</v>
          </cell>
        </row>
        <row r="970">
          <cell r="B970" t="str">
            <v>협행마</v>
          </cell>
          <cell r="C970" t="str">
            <v>에필로그</v>
          </cell>
        </row>
        <row r="971">
          <cell r="B971" t="str">
            <v>협행마</v>
          </cell>
          <cell r="C971" t="str">
            <v>에필로그</v>
          </cell>
        </row>
        <row r="972">
          <cell r="B972" t="str">
            <v>협행마</v>
          </cell>
          <cell r="C972" t="str">
            <v>에필로그</v>
          </cell>
        </row>
        <row r="973">
          <cell r="B973" t="str">
            <v>협행마</v>
          </cell>
          <cell r="C973" t="str">
            <v>에필로그</v>
          </cell>
        </row>
        <row r="974">
          <cell r="B974" t="str">
            <v>협행마</v>
          </cell>
          <cell r="C974" t="str">
            <v>에필로그</v>
          </cell>
        </row>
        <row r="975">
          <cell r="B975" t="str">
            <v>협행마</v>
          </cell>
          <cell r="C975" t="str">
            <v>에필로그</v>
          </cell>
        </row>
        <row r="976">
          <cell r="B976" t="str">
            <v>협행마</v>
          </cell>
          <cell r="C976" t="str">
            <v>에필로그</v>
          </cell>
        </row>
        <row r="977">
          <cell r="B977" t="str">
            <v>협행마</v>
          </cell>
          <cell r="C977" t="str">
            <v>에필로그</v>
          </cell>
        </row>
        <row r="978">
          <cell r="B978" t="str">
            <v>협행마</v>
          </cell>
          <cell r="C978" t="str">
            <v>에필로그</v>
          </cell>
        </row>
        <row r="979">
          <cell r="B979" t="str">
            <v>협행마</v>
          </cell>
          <cell r="C979" t="str">
            <v>에필로그</v>
          </cell>
        </row>
        <row r="980">
          <cell r="B980" t="str">
            <v>협행마</v>
          </cell>
          <cell r="C980" t="str">
            <v>에필로그</v>
          </cell>
        </row>
        <row r="981">
          <cell r="B981" t="str">
            <v>협행마</v>
          </cell>
          <cell r="C981" t="str">
            <v>에필로그</v>
          </cell>
        </row>
        <row r="982">
          <cell r="B982" t="str">
            <v>협행마</v>
          </cell>
          <cell r="C982" t="str">
            <v>에필로그</v>
          </cell>
        </row>
        <row r="983">
          <cell r="B983" t="str">
            <v>협행마</v>
          </cell>
          <cell r="C983" t="str">
            <v>에필로그</v>
          </cell>
        </row>
        <row r="984">
          <cell r="B984" t="str">
            <v>협행마</v>
          </cell>
          <cell r="C984" t="str">
            <v>에필로그</v>
          </cell>
        </row>
        <row r="985">
          <cell r="B985" t="str">
            <v>협행마</v>
          </cell>
          <cell r="C985" t="str">
            <v>에필로그</v>
          </cell>
        </row>
        <row r="986">
          <cell r="B986" t="str">
            <v>협행마</v>
          </cell>
          <cell r="C986" t="str">
            <v>에필로그</v>
          </cell>
        </row>
        <row r="987">
          <cell r="B987" t="str">
            <v>협행마</v>
          </cell>
          <cell r="C987" t="str">
            <v>에필로그</v>
          </cell>
        </row>
        <row r="988">
          <cell r="B988" t="str">
            <v>협행마</v>
          </cell>
          <cell r="C988" t="str">
            <v>에필로그</v>
          </cell>
        </row>
        <row r="989">
          <cell r="B989" t="str">
            <v>협행마</v>
          </cell>
          <cell r="C989" t="str">
            <v>에필로그</v>
          </cell>
        </row>
        <row r="990">
          <cell r="B990" t="str">
            <v>협행마</v>
          </cell>
          <cell r="C990" t="str">
            <v>에필로그</v>
          </cell>
        </row>
        <row r="991">
          <cell r="B991" t="str">
            <v>협행마</v>
          </cell>
          <cell r="C991" t="str">
            <v>에필로그</v>
          </cell>
        </row>
        <row r="992">
          <cell r="B992" t="str">
            <v>협행마</v>
          </cell>
          <cell r="C992" t="str">
            <v>에필로그</v>
          </cell>
        </row>
        <row r="993">
          <cell r="B993" t="str">
            <v>협행마</v>
          </cell>
          <cell r="C993" t="str">
            <v>에필로그</v>
          </cell>
        </row>
        <row r="994">
          <cell r="B994" t="str">
            <v>협행마</v>
          </cell>
          <cell r="C994" t="str">
            <v>에필로그</v>
          </cell>
        </row>
        <row r="995">
          <cell r="B995" t="str">
            <v>협행마</v>
          </cell>
          <cell r="C995" t="str">
            <v>에필로그</v>
          </cell>
        </row>
        <row r="996">
          <cell r="B996" t="str">
            <v>협행마</v>
          </cell>
          <cell r="C996" t="str">
            <v>에필로그</v>
          </cell>
        </row>
        <row r="997">
          <cell r="B997" t="str">
            <v>협행마</v>
          </cell>
          <cell r="C997" t="str">
            <v>에필로그</v>
          </cell>
        </row>
        <row r="998">
          <cell r="B998" t="str">
            <v>협행마</v>
          </cell>
          <cell r="C998" t="str">
            <v>에필로그</v>
          </cell>
        </row>
        <row r="999">
          <cell r="B999" t="str">
            <v>협행마</v>
          </cell>
          <cell r="C999" t="str">
            <v>에필로그</v>
          </cell>
        </row>
        <row r="1000">
          <cell r="B1000" t="str">
            <v>협행마</v>
          </cell>
          <cell r="C1000" t="str">
            <v>에필로그</v>
          </cell>
        </row>
        <row r="1001">
          <cell r="B1001" t="str">
            <v>협행마</v>
          </cell>
          <cell r="C1001" t="str">
            <v>에필로그</v>
          </cell>
        </row>
        <row r="1002">
          <cell r="B1002" t="str">
            <v>협행마</v>
          </cell>
          <cell r="C1002" t="str">
            <v>에필로그</v>
          </cell>
        </row>
        <row r="1003">
          <cell r="B1003" t="str">
            <v>협행마</v>
          </cell>
          <cell r="C1003" t="str">
            <v>에필로그</v>
          </cell>
        </row>
        <row r="1004">
          <cell r="B1004" t="str">
            <v>협행마</v>
          </cell>
          <cell r="C1004" t="str">
            <v>에필로그</v>
          </cell>
        </row>
        <row r="1005">
          <cell r="B1005" t="str">
            <v>협행마</v>
          </cell>
          <cell r="C1005" t="str">
            <v>에필로그</v>
          </cell>
        </row>
        <row r="1006">
          <cell r="B1006" t="str">
            <v>협행마</v>
          </cell>
          <cell r="C1006" t="str">
            <v>에필로그</v>
          </cell>
        </row>
        <row r="1007">
          <cell r="B1007" t="str">
            <v>협행마</v>
          </cell>
          <cell r="C1007" t="str">
            <v>에필로그</v>
          </cell>
        </row>
        <row r="1008">
          <cell r="B1008" t="str">
            <v>협행마</v>
          </cell>
          <cell r="C1008" t="str">
            <v>에필로그</v>
          </cell>
        </row>
        <row r="1009">
          <cell r="B1009" t="str">
            <v>협행마</v>
          </cell>
          <cell r="C1009" t="str">
            <v>에필로그</v>
          </cell>
        </row>
        <row r="1010">
          <cell r="B1010" t="str">
            <v>협행마</v>
          </cell>
          <cell r="C1010" t="str">
            <v>에필로그</v>
          </cell>
        </row>
        <row r="1011">
          <cell r="B1011" t="str">
            <v>협행마</v>
          </cell>
          <cell r="C1011" t="str">
            <v>에필로그</v>
          </cell>
        </row>
        <row r="1012">
          <cell r="B1012" t="str">
            <v>협행마</v>
          </cell>
          <cell r="C1012" t="str">
            <v>에필로그</v>
          </cell>
        </row>
        <row r="1013">
          <cell r="B1013" t="str">
            <v>협행마</v>
          </cell>
          <cell r="C1013" t="str">
            <v>에필로그</v>
          </cell>
        </row>
        <row r="1014">
          <cell r="B1014" t="str">
            <v>협행마</v>
          </cell>
          <cell r="C1014" t="str">
            <v>에필로그</v>
          </cell>
        </row>
        <row r="1015">
          <cell r="B1015" t="str">
            <v>협행마</v>
          </cell>
          <cell r="C1015" t="str">
            <v>에필로그</v>
          </cell>
        </row>
        <row r="1016">
          <cell r="B1016" t="str">
            <v>협행마</v>
          </cell>
          <cell r="C1016" t="str">
            <v>에필로그</v>
          </cell>
        </row>
        <row r="1017">
          <cell r="B1017" t="str">
            <v>협행마</v>
          </cell>
          <cell r="C1017" t="str">
            <v>에필로그</v>
          </cell>
        </row>
        <row r="1018">
          <cell r="B1018" t="str">
            <v>협행마</v>
          </cell>
          <cell r="C1018" t="str">
            <v>에필로그</v>
          </cell>
        </row>
        <row r="1019">
          <cell r="B1019" t="str">
            <v>협행마</v>
          </cell>
          <cell r="C1019" t="str">
            <v>에필로그</v>
          </cell>
        </row>
        <row r="1020">
          <cell r="B1020" t="str">
            <v>협행마</v>
          </cell>
          <cell r="C1020" t="str">
            <v>에필로그</v>
          </cell>
        </row>
        <row r="1021">
          <cell r="B1021" t="str">
            <v>협행마</v>
          </cell>
          <cell r="C1021" t="str">
            <v>에필로그</v>
          </cell>
        </row>
        <row r="1022">
          <cell r="B1022" t="str">
            <v>협행마</v>
          </cell>
          <cell r="C1022" t="str">
            <v>에필로그</v>
          </cell>
        </row>
        <row r="1023">
          <cell r="B1023" t="str">
            <v>협행마</v>
          </cell>
          <cell r="C1023" t="str">
            <v>에필로그</v>
          </cell>
        </row>
        <row r="1024">
          <cell r="B1024" t="str">
            <v>협행마</v>
          </cell>
          <cell r="C1024" t="str">
            <v>에필로그</v>
          </cell>
        </row>
        <row r="1025">
          <cell r="B1025" t="str">
            <v>협행마</v>
          </cell>
          <cell r="C1025" t="str">
            <v>에필로그</v>
          </cell>
        </row>
        <row r="1026">
          <cell r="B1026" t="str">
            <v>협행마</v>
          </cell>
          <cell r="C1026" t="str">
            <v>에필로그</v>
          </cell>
        </row>
        <row r="1027">
          <cell r="B1027" t="str">
            <v>협행마</v>
          </cell>
          <cell r="C1027" t="str">
            <v>에필로그</v>
          </cell>
        </row>
        <row r="1028">
          <cell r="B1028" t="str">
            <v>협행마</v>
          </cell>
          <cell r="C1028" t="str">
            <v>에필로그</v>
          </cell>
        </row>
        <row r="1029">
          <cell r="B1029" t="str">
            <v>협행마</v>
          </cell>
          <cell r="C1029" t="str">
            <v>에필로그</v>
          </cell>
        </row>
        <row r="1030">
          <cell r="B1030" t="str">
            <v>협행마</v>
          </cell>
          <cell r="C1030" t="str">
            <v>에필로그</v>
          </cell>
        </row>
        <row r="1031">
          <cell r="B1031" t="str">
            <v>협행마</v>
          </cell>
          <cell r="C1031" t="str">
            <v>에필로그</v>
          </cell>
        </row>
        <row r="1032">
          <cell r="B1032" t="str">
            <v>협행마</v>
          </cell>
          <cell r="C1032" t="str">
            <v>에필로그</v>
          </cell>
        </row>
        <row r="1033">
          <cell r="B1033" t="str">
            <v>협행마</v>
          </cell>
          <cell r="C1033" t="str">
            <v>에필로그</v>
          </cell>
        </row>
        <row r="1034">
          <cell r="B1034" t="str">
            <v>협행마</v>
          </cell>
          <cell r="C1034" t="str">
            <v>에필로그</v>
          </cell>
        </row>
        <row r="1035">
          <cell r="B1035" t="str">
            <v>협행마</v>
          </cell>
          <cell r="C1035" t="str">
            <v>에필로그</v>
          </cell>
        </row>
        <row r="1036">
          <cell r="B1036" t="str">
            <v>협행마</v>
          </cell>
          <cell r="C1036" t="str">
            <v>에필로그</v>
          </cell>
        </row>
        <row r="1037">
          <cell r="B1037" t="str">
            <v>협행마</v>
          </cell>
          <cell r="C1037" t="str">
            <v>에필로그</v>
          </cell>
        </row>
        <row r="1038">
          <cell r="B1038" t="str">
            <v>협행마</v>
          </cell>
          <cell r="C1038" t="str">
            <v>에필로그</v>
          </cell>
        </row>
        <row r="1039">
          <cell r="B1039" t="str">
            <v>협행마</v>
          </cell>
          <cell r="C1039" t="str">
            <v>에필로그</v>
          </cell>
        </row>
        <row r="1040">
          <cell r="B1040" t="str">
            <v>협행마</v>
          </cell>
          <cell r="C1040" t="str">
            <v>에필로그</v>
          </cell>
        </row>
        <row r="1041">
          <cell r="B1041" t="str">
            <v>협행마</v>
          </cell>
          <cell r="C1041" t="str">
            <v>에필로그</v>
          </cell>
        </row>
        <row r="1042">
          <cell r="B1042" t="str">
            <v>협행마</v>
          </cell>
          <cell r="C1042" t="str">
            <v>에필로그</v>
          </cell>
        </row>
        <row r="1043">
          <cell r="B1043" t="str">
            <v>협행마</v>
          </cell>
          <cell r="C1043" t="str">
            <v>에필로그</v>
          </cell>
        </row>
        <row r="1044">
          <cell r="B1044" t="str">
            <v>협행마</v>
          </cell>
          <cell r="C1044" t="str">
            <v>에필로그</v>
          </cell>
        </row>
        <row r="1045">
          <cell r="B1045" t="str">
            <v>협행마</v>
          </cell>
          <cell r="C1045" t="str">
            <v>에필로그</v>
          </cell>
        </row>
        <row r="1046">
          <cell r="B1046" t="str">
            <v>협행마</v>
          </cell>
          <cell r="C1046" t="str">
            <v>에필로그</v>
          </cell>
        </row>
        <row r="1047">
          <cell r="B1047" t="str">
            <v>협행마</v>
          </cell>
          <cell r="C1047" t="str">
            <v>에필로그</v>
          </cell>
        </row>
        <row r="1048">
          <cell r="B1048" t="str">
            <v>협행마</v>
          </cell>
          <cell r="C1048" t="str">
            <v>에필로그</v>
          </cell>
        </row>
        <row r="1049">
          <cell r="B1049" t="str">
            <v>협행마</v>
          </cell>
          <cell r="C1049" t="str">
            <v>에필로그</v>
          </cell>
        </row>
        <row r="1050">
          <cell r="B1050" t="str">
            <v>협행마</v>
          </cell>
          <cell r="C1050" t="str">
            <v>에필로그</v>
          </cell>
        </row>
        <row r="1051">
          <cell r="B1051" t="str">
            <v>협행마</v>
          </cell>
          <cell r="C1051" t="str">
            <v>에필로그</v>
          </cell>
        </row>
        <row r="1052">
          <cell r="B1052" t="str">
            <v>협행마</v>
          </cell>
          <cell r="C1052" t="str">
            <v>에필로그</v>
          </cell>
        </row>
        <row r="1053">
          <cell r="B1053" t="str">
            <v>협행마</v>
          </cell>
          <cell r="C1053" t="str">
            <v>에필로그</v>
          </cell>
        </row>
        <row r="1054">
          <cell r="B1054" t="str">
            <v>협행마</v>
          </cell>
          <cell r="C1054" t="str">
            <v>에필로그</v>
          </cell>
        </row>
        <row r="1055">
          <cell r="B1055" t="str">
            <v>협행마</v>
          </cell>
          <cell r="C1055" t="str">
            <v>에필로그</v>
          </cell>
        </row>
        <row r="1056">
          <cell r="B1056" t="str">
            <v>협행마</v>
          </cell>
          <cell r="C1056" t="str">
            <v>에필로그</v>
          </cell>
        </row>
        <row r="1057">
          <cell r="B1057" t="str">
            <v>협행마</v>
          </cell>
          <cell r="C1057" t="str">
            <v>에필로그</v>
          </cell>
        </row>
        <row r="1058">
          <cell r="B1058" t="str">
            <v>협행마</v>
          </cell>
          <cell r="C1058" t="str">
            <v>에필로그</v>
          </cell>
        </row>
        <row r="1059">
          <cell r="B1059" t="str">
            <v>협행마</v>
          </cell>
          <cell r="C1059" t="str">
            <v>에필로그</v>
          </cell>
        </row>
        <row r="1060">
          <cell r="B1060" t="str">
            <v>협행마</v>
          </cell>
          <cell r="C1060" t="str">
            <v>에필로그</v>
          </cell>
        </row>
        <row r="1061">
          <cell r="B1061" t="str">
            <v>협행마</v>
          </cell>
          <cell r="C1061" t="str">
            <v>에필로그</v>
          </cell>
        </row>
        <row r="1062">
          <cell r="B1062" t="str">
            <v>협행마</v>
          </cell>
          <cell r="C1062" t="str">
            <v>에필로그</v>
          </cell>
        </row>
        <row r="1063">
          <cell r="B1063" t="str">
            <v>협행마</v>
          </cell>
          <cell r="C1063" t="str">
            <v>에필로그</v>
          </cell>
        </row>
        <row r="1064">
          <cell r="B1064" t="str">
            <v>협행마</v>
          </cell>
          <cell r="C1064" t="str">
            <v>에필로그</v>
          </cell>
        </row>
        <row r="1065">
          <cell r="B1065" t="str">
            <v>협행마</v>
          </cell>
          <cell r="C1065" t="str">
            <v>에필로그</v>
          </cell>
        </row>
        <row r="1066">
          <cell r="B1066" t="str">
            <v>협행마</v>
          </cell>
          <cell r="C1066" t="str">
            <v>에필로그</v>
          </cell>
        </row>
        <row r="1067">
          <cell r="B1067" t="str">
            <v>협행마</v>
          </cell>
          <cell r="C1067" t="str">
            <v>에필로그</v>
          </cell>
        </row>
        <row r="1068">
          <cell r="B1068" t="str">
            <v>협행마</v>
          </cell>
          <cell r="C1068" t="str">
            <v>에필로그</v>
          </cell>
        </row>
        <row r="1069">
          <cell r="B1069" t="str">
            <v>협행마</v>
          </cell>
          <cell r="C1069" t="str">
            <v>에필로그</v>
          </cell>
        </row>
        <row r="1070">
          <cell r="B1070" t="str">
            <v>협행마</v>
          </cell>
          <cell r="C1070" t="str">
            <v>에필로그</v>
          </cell>
        </row>
        <row r="1071">
          <cell r="B1071" t="str">
            <v>협행마</v>
          </cell>
          <cell r="C1071" t="str">
            <v>에필로그</v>
          </cell>
        </row>
        <row r="1072">
          <cell r="B1072" t="str">
            <v>협행마</v>
          </cell>
          <cell r="C1072" t="str">
            <v>에필로그</v>
          </cell>
        </row>
        <row r="1073">
          <cell r="B1073" t="str">
            <v>협행마</v>
          </cell>
          <cell r="C1073" t="str">
            <v>에필로그</v>
          </cell>
        </row>
        <row r="1074">
          <cell r="B1074" t="str">
            <v>협행마</v>
          </cell>
          <cell r="C1074" t="str">
            <v>에필로그</v>
          </cell>
        </row>
        <row r="1075">
          <cell r="B1075" t="str">
            <v>협행마</v>
          </cell>
          <cell r="C1075" t="str">
            <v>에필로그</v>
          </cell>
        </row>
        <row r="1076">
          <cell r="B1076" t="str">
            <v>협행마</v>
          </cell>
          <cell r="C1076" t="str">
            <v>에필로그</v>
          </cell>
        </row>
        <row r="1077">
          <cell r="B1077" t="str">
            <v>협행마</v>
          </cell>
          <cell r="C1077" t="str">
            <v>에필로그</v>
          </cell>
        </row>
        <row r="1078">
          <cell r="B1078" t="str">
            <v>협행마</v>
          </cell>
          <cell r="C1078" t="str">
            <v>에필로그</v>
          </cell>
        </row>
        <row r="1079">
          <cell r="B1079" t="str">
            <v>협행마</v>
          </cell>
          <cell r="C1079" t="str">
            <v>에필로그</v>
          </cell>
        </row>
        <row r="1080">
          <cell r="B1080" t="str">
            <v>협행마</v>
          </cell>
          <cell r="C1080" t="str">
            <v>에필로그</v>
          </cell>
        </row>
        <row r="1081">
          <cell r="B1081" t="str">
            <v>협행마</v>
          </cell>
          <cell r="C1081" t="str">
            <v>에필로그</v>
          </cell>
        </row>
        <row r="1082">
          <cell r="B1082" t="str">
            <v>협행마</v>
          </cell>
          <cell r="C1082" t="str">
            <v>에필로그</v>
          </cell>
        </row>
        <row r="1083">
          <cell r="B1083" t="str">
            <v>홍영</v>
          </cell>
          <cell r="C1083" t="str">
            <v>더컴퍼니</v>
          </cell>
        </row>
        <row r="1084">
          <cell r="B1084" t="str">
            <v>정희웅</v>
          </cell>
          <cell r="C1084" t="str">
            <v>에필로그</v>
          </cell>
        </row>
        <row r="1085">
          <cell r="B1085" t="str">
            <v>직하인</v>
          </cell>
          <cell r="C1085" t="str">
            <v>에필로그</v>
          </cell>
        </row>
        <row r="1086">
          <cell r="B1086" t="str">
            <v>직하인</v>
          </cell>
          <cell r="C1086" t="str">
            <v>에필로그</v>
          </cell>
        </row>
        <row r="1087">
          <cell r="B1087" t="str">
            <v>라벤더블루</v>
          </cell>
          <cell r="C1087" t="str">
            <v>밀리의 서재</v>
          </cell>
        </row>
        <row r="1088">
          <cell r="B1088" t="str">
            <v>송여희</v>
          </cell>
          <cell r="C1088" t="str">
            <v>밀리의 서재</v>
          </cell>
        </row>
        <row r="1089">
          <cell r="B1089" t="str">
            <v>정경하</v>
          </cell>
          <cell r="C1089" t="str">
            <v>밀리의 서재</v>
          </cell>
        </row>
        <row r="1090">
          <cell r="B1090" t="str">
            <v>마뇽</v>
          </cell>
          <cell r="C1090" t="str">
            <v>밀리의 서재</v>
          </cell>
        </row>
        <row r="1091">
          <cell r="B1091" t="str">
            <v>여도흔</v>
          </cell>
          <cell r="C1091" t="str">
            <v>밀리의 서재</v>
          </cell>
        </row>
        <row r="1092">
          <cell r="B1092" t="str">
            <v>하이지</v>
          </cell>
          <cell r="C1092" t="str">
            <v>밀리의 서재</v>
          </cell>
        </row>
        <row r="1093">
          <cell r="B1093" t="str">
            <v>하이지</v>
          </cell>
          <cell r="C1093" t="str">
            <v>밀리의 서재</v>
          </cell>
        </row>
        <row r="1094">
          <cell r="B1094" t="str">
            <v>박지영</v>
          </cell>
          <cell r="C1094" t="str">
            <v>밀리의 서재</v>
          </cell>
        </row>
        <row r="1095">
          <cell r="B1095" t="str">
            <v>우유양</v>
          </cell>
          <cell r="C1095" t="str">
            <v>밀리의 서재</v>
          </cell>
        </row>
        <row r="1096">
          <cell r="B1096" t="str">
            <v>우유양</v>
          </cell>
          <cell r="C1096" t="str">
            <v>밀리의 서재</v>
          </cell>
        </row>
        <row r="1097">
          <cell r="B1097" t="str">
            <v>춈춈</v>
          </cell>
          <cell r="C1097" t="str">
            <v>밀리의 서재</v>
          </cell>
        </row>
        <row r="1098">
          <cell r="B1098" t="str">
            <v>다혜람</v>
          </cell>
          <cell r="C1098" t="str">
            <v>더컴퍼니</v>
          </cell>
        </row>
        <row r="1099">
          <cell r="B1099" t="str">
            <v>뚜여사</v>
          </cell>
          <cell r="C1099" t="str">
            <v>더컴퍼니</v>
          </cell>
        </row>
        <row r="1100">
          <cell r="B1100" t="str">
            <v>차크</v>
          </cell>
          <cell r="C1100" t="str">
            <v>밀리의 서재</v>
          </cell>
        </row>
        <row r="1101">
          <cell r="B1101" t="str">
            <v>김혜연</v>
          </cell>
          <cell r="C1101" t="str">
            <v>밀리의 서재</v>
          </cell>
        </row>
        <row r="1102">
          <cell r="B1102" t="str">
            <v>등나무밑소공자</v>
          </cell>
          <cell r="C1102" t="str">
            <v>더컴퍼니</v>
          </cell>
        </row>
        <row r="1103">
          <cell r="B1103" t="str">
            <v>서풍</v>
          </cell>
          <cell r="C1103" t="str">
            <v>밀리의 서재</v>
          </cell>
        </row>
        <row r="1104">
          <cell r="B1104" t="str">
            <v>박샛별</v>
          </cell>
          <cell r="C1104" t="str">
            <v>밀리의 서재</v>
          </cell>
        </row>
        <row r="1105">
          <cell r="B1105" t="str">
            <v>하루가</v>
          </cell>
          <cell r="C1105" t="str">
            <v>밀리의 서재</v>
          </cell>
        </row>
        <row r="1106">
          <cell r="B1106" t="str">
            <v>꿀레</v>
          </cell>
          <cell r="C1106" t="str">
            <v>더컴퍼니</v>
          </cell>
        </row>
        <row r="1107">
          <cell r="B1107" t="str">
            <v>이정숙</v>
          </cell>
          <cell r="C1107" t="str">
            <v>밀리의 서재</v>
          </cell>
        </row>
        <row r="1108">
          <cell r="B1108" t="str">
            <v>이진희</v>
          </cell>
          <cell r="C1108" t="str">
            <v>밀리의 서재</v>
          </cell>
        </row>
        <row r="1109">
          <cell r="B1109" t="str">
            <v>원성혜</v>
          </cell>
          <cell r="C1109" t="str">
            <v>밀리의 서재</v>
          </cell>
        </row>
        <row r="1110">
          <cell r="B1110" t="str">
            <v>전혜진</v>
          </cell>
          <cell r="C1110" t="str">
            <v>밀리의 서재</v>
          </cell>
        </row>
        <row r="1111">
          <cell r="B1111" t="str">
            <v>정은숙</v>
          </cell>
          <cell r="C1111" t="str">
            <v>밀리의 서재</v>
          </cell>
        </row>
      </sheetData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AW69"/>
  <sheetViews>
    <sheetView tabSelected="1" zoomScale="81" zoomScaleNormal="81" workbookViewId="0"/>
  </sheetViews>
  <sheetFormatPr defaultRowHeight="17.399999999999999" x14ac:dyDescent="0.4"/>
  <cols>
    <col min="1" max="1" width="12.296875" style="1" customWidth="1"/>
    <col min="2" max="2" width="20" bestFit="1" customWidth="1"/>
    <col min="3" max="3" width="6.5" customWidth="1"/>
    <col min="4" max="4" width="7.19921875" customWidth="1"/>
    <col min="5" max="5" width="10" customWidth="1"/>
    <col min="6" max="6" width="10.296875" customWidth="1"/>
    <col min="7" max="7" width="10" bestFit="1" customWidth="1"/>
    <col min="8" max="8" width="10" customWidth="1"/>
    <col min="9" max="9" width="13.59765625" customWidth="1"/>
    <col min="10" max="10" width="7.3984375" customWidth="1"/>
    <col min="11" max="11" width="4.296875" customWidth="1"/>
    <col min="12" max="12" width="4.796875" customWidth="1"/>
    <col min="13" max="13" width="7.19921875" customWidth="1"/>
    <col min="14" max="14" width="6.69921875" customWidth="1"/>
    <col min="15" max="15" width="6" customWidth="1"/>
    <col min="16" max="17" width="6.296875" customWidth="1"/>
    <col min="18" max="18" width="5" customWidth="1"/>
    <col min="19" max="19" width="4.796875" customWidth="1"/>
    <col min="20" max="20" width="7.19921875" customWidth="1"/>
    <col min="21" max="21" width="6.69921875" customWidth="1"/>
    <col min="22" max="22" width="6" customWidth="1"/>
    <col min="23" max="24" width="6.296875" customWidth="1"/>
    <col min="25" max="25" width="3.59765625" customWidth="1"/>
    <col min="26" max="26" width="5" customWidth="1"/>
    <col min="27" max="28" width="3.59765625" customWidth="1"/>
    <col min="29" max="29" width="5" customWidth="1"/>
    <col min="30" max="30" width="4.296875" customWidth="1"/>
    <col min="31" max="36" width="3.59765625" customWidth="1"/>
    <col min="37" max="37" width="7.8984375" customWidth="1"/>
    <col min="38" max="39" width="12.8984375" bestFit="1" customWidth="1"/>
    <col min="40" max="40" width="12.296875" bestFit="1" customWidth="1"/>
    <col min="47" max="48" width="12.796875" bestFit="1" customWidth="1"/>
    <col min="49" max="49" width="13.5" bestFit="1" customWidth="1"/>
  </cols>
  <sheetData>
    <row r="1" spans="1:49" ht="25.8" customHeight="1" x14ac:dyDescent="0.4">
      <c r="A1" s="2" t="s">
        <v>10</v>
      </c>
      <c r="B1" s="2" t="s">
        <v>0</v>
      </c>
      <c r="C1" s="2" t="s">
        <v>1</v>
      </c>
      <c r="D1" s="3" t="s">
        <v>2</v>
      </c>
      <c r="E1" s="2" t="s">
        <v>3</v>
      </c>
      <c r="F1" s="2" t="s">
        <v>4</v>
      </c>
      <c r="G1" s="2" t="s">
        <v>5</v>
      </c>
      <c r="H1" s="3" t="s">
        <v>6</v>
      </c>
      <c r="I1" s="3" t="s">
        <v>7</v>
      </c>
      <c r="J1" s="10" t="s">
        <v>11</v>
      </c>
      <c r="K1" s="10" t="s">
        <v>12</v>
      </c>
      <c r="L1" s="10" t="s">
        <v>13</v>
      </c>
      <c r="M1" s="10" t="s">
        <v>14</v>
      </c>
      <c r="N1" s="10" t="s">
        <v>15</v>
      </c>
      <c r="O1" s="10" t="s">
        <v>16</v>
      </c>
      <c r="P1" s="10" t="s">
        <v>17</v>
      </c>
      <c r="Q1" s="10" t="s">
        <v>18</v>
      </c>
      <c r="R1" s="10" t="s">
        <v>19</v>
      </c>
      <c r="S1" s="10" t="s">
        <v>11</v>
      </c>
      <c r="T1" s="10" t="s">
        <v>12</v>
      </c>
      <c r="U1" s="10" t="s">
        <v>13</v>
      </c>
      <c r="V1" s="10" t="s">
        <v>14</v>
      </c>
      <c r="W1" s="10" t="s">
        <v>15</v>
      </c>
      <c r="X1" s="10" t="s">
        <v>16</v>
      </c>
      <c r="Y1" s="10" t="s">
        <v>17</v>
      </c>
      <c r="Z1" s="10" t="s">
        <v>18</v>
      </c>
      <c r="AA1" s="10" t="s">
        <v>19</v>
      </c>
      <c r="AB1" s="10" t="s">
        <v>11</v>
      </c>
      <c r="AC1" s="10" t="s">
        <v>20</v>
      </c>
      <c r="AD1" s="10" t="s">
        <v>21</v>
      </c>
      <c r="AE1" s="10" t="s">
        <v>11</v>
      </c>
      <c r="AF1" s="10" t="s">
        <v>20</v>
      </c>
      <c r="AG1" s="10" t="s">
        <v>21</v>
      </c>
      <c r="AH1" s="10" t="s">
        <v>11</v>
      </c>
      <c r="AI1" s="10" t="s">
        <v>20</v>
      </c>
      <c r="AJ1" s="10" t="s">
        <v>21</v>
      </c>
      <c r="AK1" s="10" t="s">
        <v>11</v>
      </c>
      <c r="AL1" s="10" t="s">
        <v>20</v>
      </c>
      <c r="AM1" s="10" t="s">
        <v>21</v>
      </c>
      <c r="AN1" s="11" t="s">
        <v>22</v>
      </c>
      <c r="AO1" s="10" t="s">
        <v>11</v>
      </c>
      <c r="AP1" s="10" t="s">
        <v>20</v>
      </c>
      <c r="AQ1" s="10" t="s">
        <v>21</v>
      </c>
      <c r="AR1" s="10" t="s">
        <v>11</v>
      </c>
      <c r="AS1" s="10" t="s">
        <v>20</v>
      </c>
      <c r="AT1" s="10" t="s">
        <v>21</v>
      </c>
      <c r="AU1" s="11" t="s">
        <v>23</v>
      </c>
      <c r="AV1" s="10" t="s">
        <v>24</v>
      </c>
      <c r="AW1" s="11" t="s">
        <v>25</v>
      </c>
    </row>
    <row r="2" spans="1:49" ht="19.2" x14ac:dyDescent="0.4">
      <c r="A2" s="1" t="s">
        <v>80</v>
      </c>
      <c r="B2" s="4" t="s">
        <v>31</v>
      </c>
      <c r="C2" s="4">
        <v>387161</v>
      </c>
      <c r="D2" s="5"/>
      <c r="E2" s="4" t="s">
        <v>26</v>
      </c>
      <c r="F2" s="4" t="s">
        <v>32</v>
      </c>
      <c r="G2" s="4" t="str">
        <f>VLOOKUP(F2,[1]Sheet1!$B$2:$C$1111,2,FALSE)</f>
        <v>더컴퍼니</v>
      </c>
      <c r="H2" s="6" t="s">
        <v>29</v>
      </c>
      <c r="I2" s="6" t="s">
        <v>33</v>
      </c>
      <c r="J2" s="6">
        <v>0</v>
      </c>
      <c r="K2" s="6">
        <v>0</v>
      </c>
      <c r="L2" s="6">
        <v>0</v>
      </c>
      <c r="M2" s="6">
        <v>0</v>
      </c>
      <c r="N2" s="6">
        <v>0</v>
      </c>
      <c r="O2" s="6">
        <v>0</v>
      </c>
      <c r="P2" s="6">
        <v>0</v>
      </c>
      <c r="Q2" s="6">
        <v>0</v>
      </c>
      <c r="R2" s="6">
        <v>0</v>
      </c>
      <c r="S2" s="6">
        <v>0</v>
      </c>
      <c r="T2" s="6">
        <v>0</v>
      </c>
      <c r="U2" s="6">
        <v>0</v>
      </c>
      <c r="V2" s="6">
        <v>0</v>
      </c>
      <c r="W2" s="6">
        <v>0</v>
      </c>
      <c r="X2" s="6">
        <v>0</v>
      </c>
      <c r="Y2" s="6">
        <v>0</v>
      </c>
      <c r="Z2" s="6">
        <v>0</v>
      </c>
      <c r="AA2" s="6">
        <v>0</v>
      </c>
      <c r="AB2" s="6">
        <v>0</v>
      </c>
      <c r="AC2" s="6">
        <v>0</v>
      </c>
      <c r="AD2" s="6">
        <v>0</v>
      </c>
      <c r="AE2" s="6">
        <v>11</v>
      </c>
      <c r="AF2" s="7">
        <v>35200</v>
      </c>
      <c r="AG2" s="6">
        <v>0</v>
      </c>
      <c r="AH2" s="6">
        <v>0</v>
      </c>
      <c r="AI2" s="6">
        <v>0</v>
      </c>
      <c r="AJ2" s="6">
        <v>0</v>
      </c>
      <c r="AK2" s="6">
        <v>0</v>
      </c>
      <c r="AL2" s="6">
        <v>0</v>
      </c>
      <c r="AM2" s="6">
        <v>0</v>
      </c>
      <c r="AN2" s="6">
        <v>0</v>
      </c>
      <c r="AO2" s="6">
        <v>0</v>
      </c>
      <c r="AP2" s="6">
        <v>0</v>
      </c>
      <c r="AQ2" s="6">
        <v>0</v>
      </c>
      <c r="AR2" s="6">
        <v>0</v>
      </c>
      <c r="AS2" s="6">
        <v>0</v>
      </c>
      <c r="AT2" s="6">
        <v>0</v>
      </c>
      <c r="AU2" s="8">
        <v>35200</v>
      </c>
      <c r="AV2" s="12">
        <f>AU2-AN2</f>
        <v>35200</v>
      </c>
      <c r="AW2">
        <f>AV2*70%</f>
        <v>24640</v>
      </c>
    </row>
    <row r="3" spans="1:49" ht="19.2" x14ac:dyDescent="0.4">
      <c r="A3" s="1" t="s">
        <v>80</v>
      </c>
      <c r="B3" s="4" t="s">
        <v>99</v>
      </c>
      <c r="C3" s="4">
        <v>461347</v>
      </c>
      <c r="D3" s="5"/>
      <c r="E3" s="4" t="s">
        <v>26</v>
      </c>
      <c r="F3" s="4" t="s">
        <v>100</v>
      </c>
      <c r="G3" s="4" t="s">
        <v>96</v>
      </c>
      <c r="H3" s="6" t="s">
        <v>29</v>
      </c>
      <c r="I3" s="6" t="s">
        <v>101</v>
      </c>
      <c r="J3" s="6">
        <v>0</v>
      </c>
      <c r="K3" s="6">
        <v>0</v>
      </c>
      <c r="L3" s="6">
        <v>0</v>
      </c>
      <c r="M3" s="6">
        <v>0</v>
      </c>
      <c r="N3" s="6">
        <v>0</v>
      </c>
      <c r="O3" s="6">
        <v>0</v>
      </c>
      <c r="P3" s="6">
        <v>0</v>
      </c>
      <c r="Q3" s="6">
        <v>0</v>
      </c>
      <c r="R3" s="6">
        <v>0</v>
      </c>
      <c r="S3" s="6">
        <v>0</v>
      </c>
      <c r="T3" s="6">
        <v>0</v>
      </c>
      <c r="U3" s="6">
        <v>0</v>
      </c>
      <c r="V3" s="6">
        <v>0</v>
      </c>
      <c r="W3" s="6">
        <v>0</v>
      </c>
      <c r="X3" s="6">
        <v>0</v>
      </c>
      <c r="Y3" s="6">
        <v>0</v>
      </c>
      <c r="Z3" s="6">
        <v>0</v>
      </c>
      <c r="AA3" s="6">
        <v>0</v>
      </c>
      <c r="AB3" s="6">
        <v>0</v>
      </c>
      <c r="AC3" s="6">
        <v>0</v>
      </c>
      <c r="AD3" s="6">
        <v>0</v>
      </c>
      <c r="AE3" s="6">
        <v>4</v>
      </c>
      <c r="AF3" s="7">
        <v>8000</v>
      </c>
      <c r="AG3" s="6">
        <v>0</v>
      </c>
      <c r="AH3" s="6">
        <v>0</v>
      </c>
      <c r="AI3" s="6">
        <v>0</v>
      </c>
      <c r="AJ3" s="6">
        <v>0</v>
      </c>
      <c r="AK3" s="6">
        <v>0</v>
      </c>
      <c r="AL3" s="6">
        <v>0</v>
      </c>
      <c r="AM3" s="6">
        <v>0</v>
      </c>
      <c r="AN3" s="6">
        <v>0</v>
      </c>
      <c r="AO3" s="6">
        <v>0</v>
      </c>
      <c r="AP3" s="6">
        <v>0</v>
      </c>
      <c r="AQ3" s="6">
        <v>0</v>
      </c>
      <c r="AR3" s="6">
        <v>2</v>
      </c>
      <c r="AS3" s="7">
        <v>4000</v>
      </c>
      <c r="AT3" s="6">
        <v>0</v>
      </c>
      <c r="AU3" s="8">
        <v>12000</v>
      </c>
      <c r="AV3" s="12">
        <f t="shared" ref="AV3:AV46" si="0">AU3-AN3</f>
        <v>12000</v>
      </c>
      <c r="AW3">
        <f t="shared" ref="AW3:AW46" si="1">AV3*70%</f>
        <v>8400</v>
      </c>
    </row>
    <row r="4" spans="1:49" ht="19.2" x14ac:dyDescent="0.4">
      <c r="A4" s="1" t="s">
        <v>80</v>
      </c>
      <c r="B4" s="4" t="s">
        <v>69</v>
      </c>
      <c r="C4" s="4">
        <v>459229</v>
      </c>
      <c r="D4" s="5"/>
      <c r="E4" s="4" t="s">
        <v>26</v>
      </c>
      <c r="F4" s="4" t="s">
        <v>70</v>
      </c>
      <c r="G4" s="4" t="str">
        <f>VLOOKUP(F4,[1]Sheet1!$B$2:$C$1111,2,FALSE)</f>
        <v>밀리의 서재</v>
      </c>
      <c r="H4" s="6" t="s">
        <v>29</v>
      </c>
      <c r="I4" s="6" t="s">
        <v>71</v>
      </c>
      <c r="J4" s="6">
        <v>0</v>
      </c>
      <c r="K4" s="6">
        <v>0</v>
      </c>
      <c r="L4" s="6">
        <v>0</v>
      </c>
      <c r="M4" s="6">
        <v>0</v>
      </c>
      <c r="N4" s="6">
        <v>0</v>
      </c>
      <c r="O4" s="6">
        <v>0</v>
      </c>
      <c r="P4" s="6">
        <v>0</v>
      </c>
      <c r="Q4" s="6">
        <v>0</v>
      </c>
      <c r="R4" s="6">
        <v>0</v>
      </c>
      <c r="S4" s="6">
        <v>0</v>
      </c>
      <c r="T4" s="6">
        <v>0</v>
      </c>
      <c r="U4" s="6">
        <v>0</v>
      </c>
      <c r="V4" s="6">
        <v>0</v>
      </c>
      <c r="W4" s="6">
        <v>0</v>
      </c>
      <c r="X4" s="6">
        <v>0</v>
      </c>
      <c r="Y4" s="6">
        <v>0</v>
      </c>
      <c r="Z4" s="6">
        <v>0</v>
      </c>
      <c r="AA4" s="6">
        <v>0</v>
      </c>
      <c r="AB4" s="6">
        <v>0</v>
      </c>
      <c r="AC4" s="6">
        <v>0</v>
      </c>
      <c r="AD4" s="6">
        <v>0</v>
      </c>
      <c r="AE4" s="6">
        <v>2</v>
      </c>
      <c r="AF4" s="7">
        <v>6000</v>
      </c>
      <c r="AG4" s="6">
        <v>0</v>
      </c>
      <c r="AH4" s="6">
        <v>0</v>
      </c>
      <c r="AI4" s="6">
        <v>0</v>
      </c>
      <c r="AJ4" s="6">
        <v>0</v>
      </c>
      <c r="AK4" s="6">
        <v>0</v>
      </c>
      <c r="AL4" s="6">
        <v>0</v>
      </c>
      <c r="AM4" s="6">
        <v>0</v>
      </c>
      <c r="AN4" s="6">
        <v>0</v>
      </c>
      <c r="AO4" s="6">
        <v>0</v>
      </c>
      <c r="AP4" s="6">
        <v>0</v>
      </c>
      <c r="AQ4" s="6">
        <v>0</v>
      </c>
      <c r="AR4" s="6">
        <v>1</v>
      </c>
      <c r="AS4" s="7">
        <v>3000</v>
      </c>
      <c r="AT4" s="6">
        <v>0</v>
      </c>
      <c r="AU4" s="8">
        <v>9000</v>
      </c>
      <c r="AV4" s="12">
        <f t="shared" si="0"/>
        <v>9000</v>
      </c>
      <c r="AW4">
        <f t="shared" si="1"/>
        <v>6300</v>
      </c>
    </row>
    <row r="5" spans="1:49" ht="19.2" x14ac:dyDescent="0.4">
      <c r="A5" s="1" t="s">
        <v>80</v>
      </c>
      <c r="B5" s="4" t="s">
        <v>102</v>
      </c>
      <c r="C5" s="4">
        <v>275218</v>
      </c>
      <c r="D5" s="5"/>
      <c r="E5" s="4" t="s">
        <v>26</v>
      </c>
      <c r="F5" s="4" t="s">
        <v>103</v>
      </c>
      <c r="G5" s="4" t="str">
        <f>VLOOKUP(F5,[1]Sheet1!$B$2:$C$1111,2,FALSE)</f>
        <v>더컴퍼니</v>
      </c>
      <c r="H5" s="6" t="s">
        <v>104</v>
      </c>
      <c r="I5" s="6" t="s">
        <v>105</v>
      </c>
      <c r="J5" s="6">
        <v>0</v>
      </c>
      <c r="K5" s="6">
        <v>0</v>
      </c>
      <c r="L5" s="6">
        <v>0</v>
      </c>
      <c r="M5" s="6">
        <v>0</v>
      </c>
      <c r="N5" s="6">
        <v>0</v>
      </c>
      <c r="O5" s="6">
        <v>0</v>
      </c>
      <c r="P5" s="6">
        <v>0</v>
      </c>
      <c r="Q5" s="6">
        <v>0</v>
      </c>
      <c r="R5" s="6">
        <v>0</v>
      </c>
      <c r="S5" s="6">
        <v>0</v>
      </c>
      <c r="T5" s="6">
        <v>0</v>
      </c>
      <c r="U5" s="6">
        <v>0</v>
      </c>
      <c r="V5" s="6">
        <v>0</v>
      </c>
      <c r="W5" s="6">
        <v>0</v>
      </c>
      <c r="X5" s="6">
        <v>0</v>
      </c>
      <c r="Y5" s="6">
        <v>0</v>
      </c>
      <c r="Z5" s="6">
        <v>0</v>
      </c>
      <c r="AA5" s="6">
        <v>0</v>
      </c>
      <c r="AB5" s="6">
        <v>0</v>
      </c>
      <c r="AC5" s="6">
        <v>0</v>
      </c>
      <c r="AD5" s="6">
        <v>0</v>
      </c>
      <c r="AE5" s="6">
        <v>3</v>
      </c>
      <c r="AF5" s="7">
        <v>7500</v>
      </c>
      <c r="AG5" s="6">
        <v>0</v>
      </c>
      <c r="AH5" s="6">
        <v>0</v>
      </c>
      <c r="AI5" s="6">
        <v>0</v>
      </c>
      <c r="AJ5" s="6">
        <v>0</v>
      </c>
      <c r="AK5" s="6">
        <v>0</v>
      </c>
      <c r="AL5" s="6">
        <v>0</v>
      </c>
      <c r="AM5" s="6">
        <v>0</v>
      </c>
      <c r="AN5" s="6">
        <v>0</v>
      </c>
      <c r="AO5" s="6">
        <v>0</v>
      </c>
      <c r="AP5" s="6">
        <v>0</v>
      </c>
      <c r="AQ5" s="6">
        <v>0</v>
      </c>
      <c r="AR5" s="6">
        <v>0</v>
      </c>
      <c r="AS5" s="6">
        <v>0</v>
      </c>
      <c r="AT5" s="6">
        <v>0</v>
      </c>
      <c r="AU5" s="8">
        <v>7500</v>
      </c>
      <c r="AV5" s="12">
        <f t="shared" si="0"/>
        <v>7500</v>
      </c>
      <c r="AW5">
        <f t="shared" si="1"/>
        <v>5250</v>
      </c>
    </row>
    <row r="6" spans="1:49" ht="19.2" x14ac:dyDescent="0.4">
      <c r="A6" s="1" t="s">
        <v>80</v>
      </c>
      <c r="B6" s="4" t="s">
        <v>47</v>
      </c>
      <c r="C6" s="4">
        <v>453445</v>
      </c>
      <c r="D6" s="5"/>
      <c r="E6" s="4" t="s">
        <v>26</v>
      </c>
      <c r="F6" s="4" t="s">
        <v>46</v>
      </c>
      <c r="G6" s="4" t="str">
        <f>VLOOKUP(F6,[1]Sheet1!$B$2:$C$1111,2,FALSE)</f>
        <v>에필로그</v>
      </c>
      <c r="H6" s="6" t="s">
        <v>9</v>
      </c>
      <c r="I6" s="6" t="s">
        <v>48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  <c r="Z6" s="6">
        <v>0</v>
      </c>
      <c r="AA6" s="6">
        <v>0</v>
      </c>
      <c r="AB6" s="6">
        <v>7</v>
      </c>
      <c r="AC6" s="7">
        <v>6300</v>
      </c>
      <c r="AD6" s="6">
        <v>0</v>
      </c>
      <c r="AE6" s="6">
        <v>0</v>
      </c>
      <c r="AF6" s="6">
        <v>0</v>
      </c>
      <c r="AG6" s="6">
        <v>0</v>
      </c>
      <c r="AH6" s="6">
        <v>0</v>
      </c>
      <c r="AI6" s="6">
        <v>0</v>
      </c>
      <c r="AJ6" s="6">
        <v>0</v>
      </c>
      <c r="AK6" s="6">
        <v>0</v>
      </c>
      <c r="AL6" s="6">
        <v>0</v>
      </c>
      <c r="AM6" s="6">
        <v>0</v>
      </c>
      <c r="AN6" s="6">
        <v>0</v>
      </c>
      <c r="AO6" s="6">
        <v>0</v>
      </c>
      <c r="AP6" s="6">
        <v>0</v>
      </c>
      <c r="AQ6" s="6">
        <v>0</v>
      </c>
      <c r="AR6" s="6">
        <v>0</v>
      </c>
      <c r="AS6" s="6">
        <v>0</v>
      </c>
      <c r="AT6" s="6">
        <v>0</v>
      </c>
      <c r="AU6" s="8">
        <v>6300</v>
      </c>
      <c r="AV6" s="12">
        <f t="shared" si="0"/>
        <v>6300</v>
      </c>
      <c r="AW6">
        <f t="shared" si="1"/>
        <v>4410</v>
      </c>
    </row>
    <row r="7" spans="1:49" ht="19.2" x14ac:dyDescent="0.4">
      <c r="A7" s="1" t="s">
        <v>80</v>
      </c>
      <c r="B7" s="4" t="s">
        <v>106</v>
      </c>
      <c r="C7" s="4">
        <v>461348</v>
      </c>
      <c r="D7" s="5"/>
      <c r="E7" s="4" t="s">
        <v>26</v>
      </c>
      <c r="F7" s="4" t="s">
        <v>107</v>
      </c>
      <c r="G7" s="4" t="str">
        <f>VLOOKUP(F7,[1]Sheet1!$B$2:$C$1111,2,FALSE)</f>
        <v>밀리의 서재</v>
      </c>
      <c r="H7" s="6" t="s">
        <v>104</v>
      </c>
      <c r="I7" s="6" t="s">
        <v>108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  <c r="Z7" s="6">
        <v>0</v>
      </c>
      <c r="AA7" s="6">
        <v>0</v>
      </c>
      <c r="AB7" s="6">
        <v>0</v>
      </c>
      <c r="AC7" s="6">
        <v>0</v>
      </c>
      <c r="AD7" s="6">
        <v>0</v>
      </c>
      <c r="AE7" s="6">
        <v>3</v>
      </c>
      <c r="AF7" s="7">
        <v>6000</v>
      </c>
      <c r="AG7" s="6">
        <v>0</v>
      </c>
      <c r="AH7" s="6">
        <v>0</v>
      </c>
      <c r="AI7" s="6">
        <v>0</v>
      </c>
      <c r="AJ7" s="6">
        <v>0</v>
      </c>
      <c r="AK7" s="6">
        <v>0</v>
      </c>
      <c r="AL7" s="6">
        <v>0</v>
      </c>
      <c r="AM7" s="6">
        <v>0</v>
      </c>
      <c r="AN7" s="6">
        <v>0</v>
      </c>
      <c r="AO7" s="6">
        <v>0</v>
      </c>
      <c r="AP7" s="6">
        <v>0</v>
      </c>
      <c r="AQ7" s="6">
        <v>0</v>
      </c>
      <c r="AR7" s="6">
        <v>0</v>
      </c>
      <c r="AS7" s="6">
        <v>0</v>
      </c>
      <c r="AT7" s="6">
        <v>0</v>
      </c>
      <c r="AU7" s="8">
        <v>6000</v>
      </c>
      <c r="AV7" s="12">
        <f t="shared" si="0"/>
        <v>6000</v>
      </c>
      <c r="AW7">
        <f t="shared" si="1"/>
        <v>4200</v>
      </c>
    </row>
    <row r="8" spans="1:49" ht="19.2" x14ac:dyDescent="0.4">
      <c r="A8" s="1" t="s">
        <v>80</v>
      </c>
      <c r="B8" s="4" t="s">
        <v>109</v>
      </c>
      <c r="C8" s="4">
        <v>329865</v>
      </c>
      <c r="D8" s="5"/>
      <c r="E8" s="4" t="s">
        <v>26</v>
      </c>
      <c r="F8" s="4" t="s">
        <v>110</v>
      </c>
      <c r="G8" s="4" t="str">
        <f>VLOOKUP(F8,[1]Sheet1!$B$2:$C$1111,2,FALSE)</f>
        <v>더컴퍼니</v>
      </c>
      <c r="H8" s="6" t="s">
        <v>29</v>
      </c>
      <c r="I8" s="6" t="s">
        <v>111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  <c r="Z8" s="6">
        <v>0</v>
      </c>
      <c r="AA8" s="6">
        <v>0</v>
      </c>
      <c r="AB8" s="6">
        <v>0</v>
      </c>
      <c r="AC8" s="6">
        <v>0</v>
      </c>
      <c r="AD8" s="6">
        <v>0</v>
      </c>
      <c r="AE8" s="6">
        <v>1</v>
      </c>
      <c r="AF8" s="7">
        <v>4200</v>
      </c>
      <c r="AG8" s="6">
        <v>0</v>
      </c>
      <c r="AH8" s="6">
        <v>0</v>
      </c>
      <c r="AI8" s="6">
        <v>0</v>
      </c>
      <c r="AJ8" s="6">
        <v>0</v>
      </c>
      <c r="AK8" s="6">
        <v>0</v>
      </c>
      <c r="AL8" s="6">
        <v>0</v>
      </c>
      <c r="AM8" s="6">
        <v>0</v>
      </c>
      <c r="AN8" s="6">
        <v>0</v>
      </c>
      <c r="AO8" s="6">
        <v>0</v>
      </c>
      <c r="AP8" s="6">
        <v>0</v>
      </c>
      <c r="AQ8" s="6">
        <v>0</v>
      </c>
      <c r="AR8" s="6">
        <v>0</v>
      </c>
      <c r="AS8" s="6">
        <v>0</v>
      </c>
      <c r="AT8" s="6">
        <v>0</v>
      </c>
      <c r="AU8" s="8">
        <v>4200</v>
      </c>
      <c r="AV8" s="12">
        <f t="shared" si="0"/>
        <v>4200</v>
      </c>
      <c r="AW8">
        <f t="shared" si="1"/>
        <v>2940</v>
      </c>
    </row>
    <row r="9" spans="1:49" ht="19.2" x14ac:dyDescent="0.4">
      <c r="A9" s="1" t="s">
        <v>80</v>
      </c>
      <c r="B9" s="4" t="s">
        <v>57</v>
      </c>
      <c r="C9" s="4">
        <v>457534</v>
      </c>
      <c r="D9" s="5"/>
      <c r="E9" s="4" t="s">
        <v>26</v>
      </c>
      <c r="F9" s="4" t="s">
        <v>58</v>
      </c>
      <c r="G9" s="4" t="str">
        <f>VLOOKUP(F9,[1]Sheet1!$B$2:$C$1111,2,FALSE)</f>
        <v>밀리의 서재</v>
      </c>
      <c r="H9" s="6" t="s">
        <v>29</v>
      </c>
      <c r="I9" s="6" t="s">
        <v>59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  <c r="Z9" s="6">
        <v>0</v>
      </c>
      <c r="AA9" s="6">
        <v>0</v>
      </c>
      <c r="AB9" s="6">
        <v>0</v>
      </c>
      <c r="AC9" s="6">
        <v>0</v>
      </c>
      <c r="AD9" s="6">
        <v>0</v>
      </c>
      <c r="AE9" s="6">
        <v>2</v>
      </c>
      <c r="AF9" s="7">
        <v>2000</v>
      </c>
      <c r="AG9" s="7">
        <v>2000</v>
      </c>
      <c r="AH9" s="6">
        <v>0</v>
      </c>
      <c r="AI9" s="6">
        <v>0</v>
      </c>
      <c r="AJ9" s="6">
        <v>0</v>
      </c>
      <c r="AK9" s="6">
        <v>0</v>
      </c>
      <c r="AL9" s="6">
        <v>0</v>
      </c>
      <c r="AM9" s="6">
        <v>0</v>
      </c>
      <c r="AN9" s="6">
        <v>0</v>
      </c>
      <c r="AO9" s="6">
        <v>0</v>
      </c>
      <c r="AP9" s="6">
        <v>0</v>
      </c>
      <c r="AQ9" s="6">
        <v>0</v>
      </c>
      <c r="AR9" s="6">
        <v>0</v>
      </c>
      <c r="AS9" s="6">
        <v>0</v>
      </c>
      <c r="AT9" s="6">
        <v>0</v>
      </c>
      <c r="AU9" s="8">
        <v>4000</v>
      </c>
      <c r="AV9" s="12">
        <f t="shared" si="0"/>
        <v>4000</v>
      </c>
      <c r="AW9">
        <f t="shared" si="1"/>
        <v>2800</v>
      </c>
    </row>
    <row r="10" spans="1:49" ht="19.2" x14ac:dyDescent="0.4">
      <c r="A10" s="1" t="s">
        <v>80</v>
      </c>
      <c r="B10" s="4" t="s">
        <v>112</v>
      </c>
      <c r="C10" s="4">
        <v>451051</v>
      </c>
      <c r="D10" s="5"/>
      <c r="E10" s="4" t="s">
        <v>26</v>
      </c>
      <c r="F10" s="4" t="s">
        <v>46</v>
      </c>
      <c r="G10" s="4" t="str">
        <f>VLOOKUP(F10,[1]Sheet1!$B$2:$C$1111,2,FALSE)</f>
        <v>에필로그</v>
      </c>
      <c r="H10" s="6" t="s">
        <v>104</v>
      </c>
      <c r="I10" s="6" t="s">
        <v>113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  <c r="Z10" s="6">
        <v>0</v>
      </c>
      <c r="AA10" s="6">
        <v>0</v>
      </c>
      <c r="AB10" s="6">
        <v>0</v>
      </c>
      <c r="AC10" s="6">
        <v>0</v>
      </c>
      <c r="AD10" s="6">
        <v>0</v>
      </c>
      <c r="AE10" s="6">
        <v>17</v>
      </c>
      <c r="AF10" s="7">
        <v>1700</v>
      </c>
      <c r="AG10" s="6">
        <v>0</v>
      </c>
      <c r="AH10" s="6">
        <v>0</v>
      </c>
      <c r="AI10" s="6">
        <v>0</v>
      </c>
      <c r="AJ10" s="6">
        <v>0</v>
      </c>
      <c r="AK10" s="6">
        <v>0</v>
      </c>
      <c r="AL10" s="6">
        <v>0</v>
      </c>
      <c r="AM10" s="6">
        <v>0</v>
      </c>
      <c r="AN10" s="6">
        <v>0</v>
      </c>
      <c r="AO10" s="6">
        <v>0</v>
      </c>
      <c r="AP10" s="6">
        <v>0</v>
      </c>
      <c r="AQ10" s="6">
        <v>0</v>
      </c>
      <c r="AR10" s="6">
        <v>9</v>
      </c>
      <c r="AS10" s="6">
        <v>900</v>
      </c>
      <c r="AT10" s="6">
        <v>0</v>
      </c>
      <c r="AU10" s="8">
        <v>2600</v>
      </c>
      <c r="AV10" s="12">
        <f t="shared" si="0"/>
        <v>2600</v>
      </c>
      <c r="AW10">
        <f t="shared" si="1"/>
        <v>1819.9999999999998</v>
      </c>
    </row>
    <row r="11" spans="1:49" x14ac:dyDescent="0.4">
      <c r="A11" s="1" t="s">
        <v>80</v>
      </c>
      <c r="B11" s="4" t="s">
        <v>114</v>
      </c>
      <c r="C11" s="4">
        <v>461355</v>
      </c>
      <c r="D11" s="5"/>
      <c r="E11" s="4" t="s">
        <v>26</v>
      </c>
      <c r="F11" s="4" t="s">
        <v>115</v>
      </c>
      <c r="G11" s="4" t="str">
        <f>VLOOKUP(F11,[1]Sheet1!$B$2:$C$1111,2,FALSE)</f>
        <v>밀리의 서재</v>
      </c>
      <c r="H11" s="6" t="s">
        <v>8</v>
      </c>
      <c r="I11" s="6" t="s">
        <v>116</v>
      </c>
      <c r="J11" s="6">
        <v>0</v>
      </c>
      <c r="K11" s="6">
        <v>0</v>
      </c>
      <c r="L11" s="6">
        <v>0</v>
      </c>
      <c r="M11" s="6">
        <v>0</v>
      </c>
      <c r="N11" s="6">
        <v>0</v>
      </c>
      <c r="O11" s="6">
        <v>0</v>
      </c>
      <c r="P11" s="6">
        <v>0</v>
      </c>
      <c r="Q11" s="6">
        <v>0</v>
      </c>
      <c r="R11" s="6">
        <v>0</v>
      </c>
      <c r="S11" s="6">
        <v>0</v>
      </c>
      <c r="T11" s="6">
        <v>0</v>
      </c>
      <c r="U11" s="6">
        <v>0</v>
      </c>
      <c r="V11" s="6">
        <v>0</v>
      </c>
      <c r="W11" s="6">
        <v>0</v>
      </c>
      <c r="X11" s="6">
        <v>0</v>
      </c>
      <c r="Y11" s="6">
        <v>0</v>
      </c>
      <c r="Z11" s="6">
        <v>0</v>
      </c>
      <c r="AA11" s="6">
        <v>0</v>
      </c>
      <c r="AB11" s="6">
        <v>0</v>
      </c>
      <c r="AC11" s="6">
        <v>0</v>
      </c>
      <c r="AD11" s="6">
        <v>0</v>
      </c>
      <c r="AE11" s="6">
        <v>1</v>
      </c>
      <c r="AF11" s="7">
        <v>2000</v>
      </c>
      <c r="AG11" s="6">
        <v>0</v>
      </c>
      <c r="AH11" s="6">
        <v>0</v>
      </c>
      <c r="AI11" s="6">
        <v>0</v>
      </c>
      <c r="AJ11" s="6">
        <v>0</v>
      </c>
      <c r="AK11" s="6">
        <v>0</v>
      </c>
      <c r="AL11" s="6">
        <v>0</v>
      </c>
      <c r="AM11" s="6">
        <v>0</v>
      </c>
      <c r="AN11" s="6">
        <v>0</v>
      </c>
      <c r="AO11" s="6">
        <v>0</v>
      </c>
      <c r="AP11" s="6">
        <v>0</v>
      </c>
      <c r="AQ11" s="6">
        <v>0</v>
      </c>
      <c r="AR11" s="6">
        <v>0</v>
      </c>
      <c r="AS11" s="6">
        <v>0</v>
      </c>
      <c r="AT11" s="6">
        <v>0</v>
      </c>
      <c r="AU11" s="8">
        <v>2000</v>
      </c>
      <c r="AV11" s="12">
        <f t="shared" si="0"/>
        <v>2000</v>
      </c>
      <c r="AW11">
        <f t="shared" si="1"/>
        <v>1400</v>
      </c>
    </row>
    <row r="12" spans="1:49" ht="19.2" x14ac:dyDescent="0.4">
      <c r="A12" s="1" t="s">
        <v>80</v>
      </c>
      <c r="B12" s="4" t="s">
        <v>117</v>
      </c>
      <c r="C12" s="4">
        <v>461450</v>
      </c>
      <c r="D12" s="5"/>
      <c r="E12" s="4" t="s">
        <v>26</v>
      </c>
      <c r="F12" s="4" t="s">
        <v>46</v>
      </c>
      <c r="G12" s="4" t="str">
        <f>VLOOKUP(F12,[1]Sheet1!$B$2:$C$1111,2,FALSE)</f>
        <v>에필로그</v>
      </c>
      <c r="H12" s="6" t="s">
        <v>104</v>
      </c>
      <c r="I12" s="6" t="s">
        <v>118</v>
      </c>
      <c r="J12" s="6">
        <v>0</v>
      </c>
      <c r="K12" s="6">
        <v>0</v>
      </c>
      <c r="L12" s="6">
        <v>0</v>
      </c>
      <c r="M12" s="6">
        <v>0</v>
      </c>
      <c r="N12" s="6">
        <v>0</v>
      </c>
      <c r="O12" s="6">
        <v>0</v>
      </c>
      <c r="P12" s="6">
        <v>0</v>
      </c>
      <c r="Q12" s="6">
        <v>0</v>
      </c>
      <c r="R12" s="6">
        <v>0</v>
      </c>
      <c r="S12" s="6">
        <v>0</v>
      </c>
      <c r="T12" s="6">
        <v>0</v>
      </c>
      <c r="U12" s="6">
        <v>0</v>
      </c>
      <c r="V12" s="6">
        <v>0</v>
      </c>
      <c r="W12" s="6">
        <v>0</v>
      </c>
      <c r="X12" s="6">
        <v>0</v>
      </c>
      <c r="Y12" s="6">
        <v>0</v>
      </c>
      <c r="Z12" s="6">
        <v>0</v>
      </c>
      <c r="AA12" s="6">
        <v>0</v>
      </c>
      <c r="AB12" s="6">
        <v>2</v>
      </c>
      <c r="AC12" s="7">
        <v>1800</v>
      </c>
      <c r="AD12" s="6">
        <v>0</v>
      </c>
      <c r="AE12" s="6">
        <v>0</v>
      </c>
      <c r="AF12" s="6">
        <v>0</v>
      </c>
      <c r="AG12" s="6">
        <v>0</v>
      </c>
      <c r="AH12" s="6">
        <v>0</v>
      </c>
      <c r="AI12" s="6">
        <v>0</v>
      </c>
      <c r="AJ12" s="6">
        <v>0</v>
      </c>
      <c r="AK12" s="6">
        <v>0</v>
      </c>
      <c r="AL12" s="6">
        <v>0</v>
      </c>
      <c r="AM12" s="6">
        <v>0</v>
      </c>
      <c r="AN12" s="6">
        <v>0</v>
      </c>
      <c r="AO12" s="6">
        <v>0</v>
      </c>
      <c r="AP12" s="6">
        <v>0</v>
      </c>
      <c r="AQ12" s="6">
        <v>0</v>
      </c>
      <c r="AR12" s="6">
        <v>0</v>
      </c>
      <c r="AS12" s="6">
        <v>0</v>
      </c>
      <c r="AT12" s="6">
        <v>0</v>
      </c>
      <c r="AU12" s="8">
        <v>1800</v>
      </c>
      <c r="AV12" s="12">
        <f t="shared" si="0"/>
        <v>1800</v>
      </c>
      <c r="AW12">
        <f t="shared" si="1"/>
        <v>1260</v>
      </c>
    </row>
    <row r="13" spans="1:49" x14ac:dyDescent="0.4">
      <c r="A13" s="1" t="s">
        <v>80</v>
      </c>
      <c r="B13" s="4" t="s">
        <v>37</v>
      </c>
      <c r="C13" s="4">
        <v>380954</v>
      </c>
      <c r="D13" s="5"/>
      <c r="E13" s="4" t="s">
        <v>26</v>
      </c>
      <c r="F13" s="4" t="s">
        <v>35</v>
      </c>
      <c r="G13" s="4" t="str">
        <f>VLOOKUP(F13,[1]Sheet1!$B$2:$C$1111,2,FALSE)</f>
        <v>에필로그</v>
      </c>
      <c r="H13" s="6" t="s">
        <v>8</v>
      </c>
      <c r="I13" s="6" t="s">
        <v>36</v>
      </c>
      <c r="J13" s="6">
        <v>0</v>
      </c>
      <c r="K13" s="6">
        <v>0</v>
      </c>
      <c r="L13" s="6">
        <v>0</v>
      </c>
      <c r="M13" s="6">
        <v>0</v>
      </c>
      <c r="N13" s="6">
        <v>0</v>
      </c>
      <c r="O13" s="6">
        <v>0</v>
      </c>
      <c r="P13" s="6">
        <v>0</v>
      </c>
      <c r="Q13" s="6">
        <v>0</v>
      </c>
      <c r="R13" s="6">
        <v>0</v>
      </c>
      <c r="S13" s="6">
        <v>0</v>
      </c>
      <c r="T13" s="6">
        <v>0</v>
      </c>
      <c r="U13" s="6">
        <v>0</v>
      </c>
      <c r="V13" s="6">
        <v>0</v>
      </c>
      <c r="W13" s="6">
        <v>0</v>
      </c>
      <c r="X13" s="6">
        <v>0</v>
      </c>
      <c r="Y13" s="6">
        <v>0</v>
      </c>
      <c r="Z13" s="6">
        <v>0</v>
      </c>
      <c r="AA13" s="6">
        <v>0</v>
      </c>
      <c r="AB13" s="6">
        <v>2</v>
      </c>
      <c r="AC13" s="7">
        <v>1800</v>
      </c>
      <c r="AD13" s="6">
        <v>0</v>
      </c>
      <c r="AE13" s="6">
        <v>0</v>
      </c>
      <c r="AF13" s="6">
        <v>0</v>
      </c>
      <c r="AG13" s="6">
        <v>0</v>
      </c>
      <c r="AH13" s="6">
        <v>0</v>
      </c>
      <c r="AI13" s="6">
        <v>0</v>
      </c>
      <c r="AJ13" s="6">
        <v>0</v>
      </c>
      <c r="AK13" s="6">
        <v>0</v>
      </c>
      <c r="AL13" s="6">
        <v>0</v>
      </c>
      <c r="AM13" s="6">
        <v>0</v>
      </c>
      <c r="AN13" s="6">
        <v>0</v>
      </c>
      <c r="AO13" s="6">
        <v>0</v>
      </c>
      <c r="AP13" s="6">
        <v>0</v>
      </c>
      <c r="AQ13" s="6">
        <v>0</v>
      </c>
      <c r="AR13" s="6">
        <v>0</v>
      </c>
      <c r="AS13" s="6">
        <v>0</v>
      </c>
      <c r="AT13" s="6">
        <v>0</v>
      </c>
      <c r="AU13" s="8">
        <v>1800</v>
      </c>
      <c r="AV13" s="12">
        <f t="shared" si="0"/>
        <v>1800</v>
      </c>
      <c r="AW13">
        <f t="shared" si="1"/>
        <v>1260</v>
      </c>
    </row>
    <row r="14" spans="1:49" x14ac:dyDescent="0.4">
      <c r="A14" s="1" t="s">
        <v>80</v>
      </c>
      <c r="B14" s="4" t="s">
        <v>63</v>
      </c>
      <c r="C14" s="4">
        <v>455900</v>
      </c>
      <c r="D14" s="5"/>
      <c r="E14" s="4" t="s">
        <v>26</v>
      </c>
      <c r="F14" s="4" t="s">
        <v>46</v>
      </c>
      <c r="G14" s="4" t="str">
        <f>VLOOKUP(F14,[1]Sheet1!$B$2:$C$1111,2,FALSE)</f>
        <v>에필로그</v>
      </c>
      <c r="H14" s="6" t="s">
        <v>8</v>
      </c>
      <c r="I14" s="6" t="s">
        <v>64</v>
      </c>
      <c r="J14" s="6">
        <v>0</v>
      </c>
      <c r="K14" s="6">
        <v>0</v>
      </c>
      <c r="L14" s="6">
        <v>0</v>
      </c>
      <c r="M14" s="6">
        <v>0</v>
      </c>
      <c r="N14" s="6">
        <v>0</v>
      </c>
      <c r="O14" s="6">
        <v>0</v>
      </c>
      <c r="P14" s="6">
        <v>0</v>
      </c>
      <c r="Q14" s="6">
        <v>0</v>
      </c>
      <c r="R14" s="6">
        <v>0</v>
      </c>
      <c r="S14" s="6">
        <v>0</v>
      </c>
      <c r="T14" s="6">
        <v>0</v>
      </c>
      <c r="U14" s="6">
        <v>0</v>
      </c>
      <c r="V14" s="6">
        <v>0</v>
      </c>
      <c r="W14" s="6">
        <v>0</v>
      </c>
      <c r="X14" s="6">
        <v>0</v>
      </c>
      <c r="Y14" s="6">
        <v>0</v>
      </c>
      <c r="Z14" s="6">
        <v>0</v>
      </c>
      <c r="AA14" s="6">
        <v>0</v>
      </c>
      <c r="AB14" s="6">
        <v>1</v>
      </c>
      <c r="AC14" s="6">
        <v>900</v>
      </c>
      <c r="AD14" s="6">
        <v>0</v>
      </c>
      <c r="AE14" s="6">
        <v>0</v>
      </c>
      <c r="AF14" s="6">
        <v>0</v>
      </c>
      <c r="AG14" s="6">
        <v>0</v>
      </c>
      <c r="AH14" s="6">
        <v>0</v>
      </c>
      <c r="AI14" s="6">
        <v>0</v>
      </c>
      <c r="AJ14" s="6">
        <v>0</v>
      </c>
      <c r="AK14" s="6">
        <v>0</v>
      </c>
      <c r="AL14" s="6">
        <v>0</v>
      </c>
      <c r="AM14" s="6">
        <v>0</v>
      </c>
      <c r="AN14" s="6">
        <v>0</v>
      </c>
      <c r="AO14" s="6">
        <v>0</v>
      </c>
      <c r="AP14" s="6">
        <v>0</v>
      </c>
      <c r="AQ14" s="6">
        <v>0</v>
      </c>
      <c r="AR14" s="6">
        <v>0</v>
      </c>
      <c r="AS14" s="6">
        <v>0</v>
      </c>
      <c r="AT14" s="6">
        <v>0</v>
      </c>
      <c r="AU14" s="9">
        <v>900</v>
      </c>
      <c r="AV14" s="12">
        <f t="shared" si="0"/>
        <v>900</v>
      </c>
      <c r="AW14">
        <f t="shared" si="1"/>
        <v>630</v>
      </c>
    </row>
    <row r="15" spans="1:49" x14ac:dyDescent="0.4">
      <c r="A15" s="1" t="s">
        <v>80</v>
      </c>
      <c r="B15" s="4" t="s">
        <v>119</v>
      </c>
      <c r="C15" s="4">
        <v>382098</v>
      </c>
      <c r="D15" s="5"/>
      <c r="E15" s="4" t="s">
        <v>26</v>
      </c>
      <c r="F15" s="4" t="s">
        <v>46</v>
      </c>
      <c r="G15" s="4" t="str">
        <f>VLOOKUP(F15,[1]Sheet1!$B$2:$C$1111,2,FALSE)</f>
        <v>에필로그</v>
      </c>
      <c r="H15" s="6" t="s">
        <v>8</v>
      </c>
      <c r="I15" s="6" t="s">
        <v>120</v>
      </c>
      <c r="J15" s="6">
        <v>0</v>
      </c>
      <c r="K15" s="6">
        <v>0</v>
      </c>
      <c r="L15" s="6">
        <v>0</v>
      </c>
      <c r="M15" s="6">
        <v>0</v>
      </c>
      <c r="N15" s="6">
        <v>0</v>
      </c>
      <c r="O15" s="6">
        <v>0</v>
      </c>
      <c r="P15" s="6">
        <v>0</v>
      </c>
      <c r="Q15" s="6">
        <v>0</v>
      </c>
      <c r="R15" s="6">
        <v>0</v>
      </c>
      <c r="S15" s="6">
        <v>0</v>
      </c>
      <c r="T15" s="6">
        <v>0</v>
      </c>
      <c r="U15" s="6">
        <v>0</v>
      </c>
      <c r="V15" s="6">
        <v>0</v>
      </c>
      <c r="W15" s="6">
        <v>0</v>
      </c>
      <c r="X15" s="6">
        <v>0</v>
      </c>
      <c r="Y15" s="6">
        <v>0</v>
      </c>
      <c r="Z15" s="6">
        <v>0</v>
      </c>
      <c r="AA15" s="6">
        <v>0</v>
      </c>
      <c r="AB15" s="6">
        <v>0</v>
      </c>
      <c r="AC15" s="6">
        <v>0</v>
      </c>
      <c r="AD15" s="6">
        <v>0</v>
      </c>
      <c r="AE15" s="6">
        <v>0</v>
      </c>
      <c r="AF15" s="6">
        <v>0</v>
      </c>
      <c r="AG15" s="6">
        <v>0</v>
      </c>
      <c r="AH15" s="6">
        <v>0</v>
      </c>
      <c r="AI15" s="6">
        <v>0</v>
      </c>
      <c r="AJ15" s="6">
        <v>0</v>
      </c>
      <c r="AK15" s="6">
        <v>0</v>
      </c>
      <c r="AL15" s="6">
        <v>0</v>
      </c>
      <c r="AM15" s="6">
        <v>0</v>
      </c>
      <c r="AN15" s="6">
        <v>0</v>
      </c>
      <c r="AO15" s="6">
        <v>1</v>
      </c>
      <c r="AP15" s="6">
        <v>900</v>
      </c>
      <c r="AQ15" s="6">
        <v>0</v>
      </c>
      <c r="AR15" s="6">
        <v>0</v>
      </c>
      <c r="AS15" s="6">
        <v>0</v>
      </c>
      <c r="AT15" s="6">
        <v>0</v>
      </c>
      <c r="AU15" s="9">
        <v>900</v>
      </c>
      <c r="AV15" s="12">
        <f t="shared" si="0"/>
        <v>900</v>
      </c>
      <c r="AW15">
        <f t="shared" si="1"/>
        <v>630</v>
      </c>
    </row>
    <row r="16" spans="1:49" x14ac:dyDescent="0.4">
      <c r="A16" s="1" t="s">
        <v>80</v>
      </c>
      <c r="B16" s="4" t="s">
        <v>50</v>
      </c>
      <c r="C16" s="4">
        <v>454228</v>
      </c>
      <c r="D16" s="5"/>
      <c r="E16" s="4" t="s">
        <v>26</v>
      </c>
      <c r="F16" s="4" t="s">
        <v>46</v>
      </c>
      <c r="G16" s="4" t="str">
        <f>VLOOKUP(F16,[1]Sheet1!$B$2:$C$1111,2,FALSE)</f>
        <v>에필로그</v>
      </c>
      <c r="H16" s="6" t="s">
        <v>8</v>
      </c>
      <c r="I16" s="6" t="s">
        <v>51</v>
      </c>
      <c r="J16" s="6">
        <v>0</v>
      </c>
      <c r="K16" s="6">
        <v>0</v>
      </c>
      <c r="L16" s="6">
        <v>0</v>
      </c>
      <c r="M16" s="6">
        <v>0</v>
      </c>
      <c r="N16" s="6">
        <v>0</v>
      </c>
      <c r="O16" s="6">
        <v>0</v>
      </c>
      <c r="P16" s="6">
        <v>0</v>
      </c>
      <c r="Q16" s="6">
        <v>0</v>
      </c>
      <c r="R16" s="6">
        <v>0</v>
      </c>
      <c r="S16" s="6">
        <v>0</v>
      </c>
      <c r="T16" s="6">
        <v>0</v>
      </c>
      <c r="U16" s="6">
        <v>0</v>
      </c>
      <c r="V16" s="6">
        <v>0</v>
      </c>
      <c r="W16" s="6">
        <v>0</v>
      </c>
      <c r="X16" s="6">
        <v>0</v>
      </c>
      <c r="Y16" s="6">
        <v>0</v>
      </c>
      <c r="Z16" s="6">
        <v>0</v>
      </c>
      <c r="AA16" s="6">
        <v>0</v>
      </c>
      <c r="AB16" s="6">
        <v>1</v>
      </c>
      <c r="AC16" s="6">
        <v>900</v>
      </c>
      <c r="AD16" s="6">
        <v>0</v>
      </c>
      <c r="AE16" s="6">
        <v>0</v>
      </c>
      <c r="AF16" s="6">
        <v>0</v>
      </c>
      <c r="AG16" s="6">
        <v>0</v>
      </c>
      <c r="AH16" s="6">
        <v>0</v>
      </c>
      <c r="AI16" s="6">
        <v>0</v>
      </c>
      <c r="AJ16" s="6">
        <v>0</v>
      </c>
      <c r="AK16" s="6">
        <v>0</v>
      </c>
      <c r="AL16" s="6">
        <v>0</v>
      </c>
      <c r="AM16" s="6">
        <v>0</v>
      </c>
      <c r="AN16" s="6">
        <v>0</v>
      </c>
      <c r="AO16" s="6">
        <v>0</v>
      </c>
      <c r="AP16" s="6">
        <v>0</v>
      </c>
      <c r="AQ16" s="6">
        <v>0</v>
      </c>
      <c r="AR16" s="6">
        <v>0</v>
      </c>
      <c r="AS16" s="6">
        <v>0</v>
      </c>
      <c r="AT16" s="6">
        <v>0</v>
      </c>
      <c r="AU16" s="9">
        <v>900</v>
      </c>
      <c r="AV16" s="12">
        <f t="shared" si="0"/>
        <v>900</v>
      </c>
      <c r="AW16">
        <f t="shared" si="1"/>
        <v>630</v>
      </c>
    </row>
    <row r="17" spans="1:49" ht="19.2" x14ac:dyDescent="0.4">
      <c r="A17" s="1" t="s">
        <v>80</v>
      </c>
      <c r="B17" s="4" t="s">
        <v>82</v>
      </c>
      <c r="C17" s="4">
        <v>460820</v>
      </c>
      <c r="D17" s="5"/>
      <c r="E17" s="4" t="s">
        <v>26</v>
      </c>
      <c r="F17" s="4" t="s">
        <v>83</v>
      </c>
      <c r="G17" s="4" t="str">
        <f>VLOOKUP(F17,[1]Sheet1!$B$2:$C$1111,2,FALSE)</f>
        <v>더컴퍼니</v>
      </c>
      <c r="H17" s="6" t="s">
        <v>9</v>
      </c>
      <c r="I17" s="6" t="s">
        <v>84</v>
      </c>
      <c r="J17" s="6">
        <v>0</v>
      </c>
      <c r="K17" s="6">
        <v>0</v>
      </c>
      <c r="L17" s="6">
        <v>0</v>
      </c>
      <c r="M17" s="6">
        <v>0</v>
      </c>
      <c r="N17" s="6">
        <v>0</v>
      </c>
      <c r="O17" s="6">
        <v>0</v>
      </c>
      <c r="P17" s="6">
        <v>0</v>
      </c>
      <c r="Q17" s="6">
        <v>0</v>
      </c>
      <c r="R17" s="6">
        <v>0</v>
      </c>
      <c r="S17" s="6">
        <v>0</v>
      </c>
      <c r="T17" s="6">
        <v>0</v>
      </c>
      <c r="U17" s="6">
        <v>0</v>
      </c>
      <c r="V17" s="6">
        <v>0</v>
      </c>
      <c r="W17" s="6">
        <v>0</v>
      </c>
      <c r="X17" s="6">
        <v>0</v>
      </c>
      <c r="Y17" s="6">
        <v>0</v>
      </c>
      <c r="Z17" s="6">
        <v>0</v>
      </c>
      <c r="AA17" s="6">
        <v>0</v>
      </c>
      <c r="AB17" s="6">
        <v>0</v>
      </c>
      <c r="AC17" s="6">
        <v>0</v>
      </c>
      <c r="AD17" s="6">
        <v>0</v>
      </c>
      <c r="AE17" s="6">
        <v>8</v>
      </c>
      <c r="AF17" s="6">
        <v>800</v>
      </c>
      <c r="AG17" s="6">
        <v>0</v>
      </c>
      <c r="AH17" s="6">
        <v>0</v>
      </c>
      <c r="AI17" s="6">
        <v>0</v>
      </c>
      <c r="AJ17" s="6">
        <v>0</v>
      </c>
      <c r="AK17" s="6">
        <v>0</v>
      </c>
      <c r="AL17" s="6">
        <v>0</v>
      </c>
      <c r="AM17" s="6">
        <v>0</v>
      </c>
      <c r="AN17" s="6">
        <v>0</v>
      </c>
      <c r="AO17" s="6">
        <v>0</v>
      </c>
      <c r="AP17" s="6">
        <v>0</v>
      </c>
      <c r="AQ17" s="6">
        <v>0</v>
      </c>
      <c r="AR17" s="6">
        <v>0</v>
      </c>
      <c r="AS17" s="6">
        <v>0</v>
      </c>
      <c r="AT17" s="6">
        <v>0</v>
      </c>
      <c r="AU17" s="9">
        <v>800</v>
      </c>
      <c r="AV17" s="12">
        <f t="shared" si="0"/>
        <v>800</v>
      </c>
      <c r="AW17">
        <f t="shared" si="1"/>
        <v>560</v>
      </c>
    </row>
    <row r="18" spans="1:49" x14ac:dyDescent="0.4">
      <c r="A18" s="1" t="s">
        <v>80</v>
      </c>
      <c r="B18" s="4" t="s">
        <v>66</v>
      </c>
      <c r="C18" s="4">
        <v>455896</v>
      </c>
      <c r="D18" s="5"/>
      <c r="E18" s="4" t="s">
        <v>26</v>
      </c>
      <c r="F18" s="4" t="s">
        <v>46</v>
      </c>
      <c r="G18" s="4" t="str">
        <f>VLOOKUP(F18,[1]Sheet1!$B$2:$C$1111,2,FALSE)</f>
        <v>에필로그</v>
      </c>
      <c r="H18" s="6" t="s">
        <v>8</v>
      </c>
      <c r="I18" s="6" t="s">
        <v>64</v>
      </c>
      <c r="J18" s="6">
        <v>0</v>
      </c>
      <c r="K18" s="6">
        <v>0</v>
      </c>
      <c r="L18" s="6">
        <v>0</v>
      </c>
      <c r="M18" s="6">
        <v>0</v>
      </c>
      <c r="N18" s="6">
        <v>0</v>
      </c>
      <c r="O18" s="6">
        <v>0</v>
      </c>
      <c r="P18" s="6">
        <v>0</v>
      </c>
      <c r="Q18" s="6">
        <v>0</v>
      </c>
      <c r="R18" s="6">
        <v>0</v>
      </c>
      <c r="S18" s="6">
        <v>0</v>
      </c>
      <c r="T18" s="6">
        <v>0</v>
      </c>
      <c r="U18" s="6">
        <v>0</v>
      </c>
      <c r="V18" s="6">
        <v>0</v>
      </c>
      <c r="W18" s="6">
        <v>0</v>
      </c>
      <c r="X18" s="6">
        <v>0</v>
      </c>
      <c r="Y18" s="6">
        <v>0</v>
      </c>
      <c r="Z18" s="6">
        <v>0</v>
      </c>
      <c r="AA18" s="6">
        <v>0</v>
      </c>
      <c r="AB18" s="6">
        <v>0</v>
      </c>
      <c r="AC18" s="6">
        <v>0</v>
      </c>
      <c r="AD18" s="6">
        <v>0</v>
      </c>
      <c r="AE18" s="6">
        <v>6</v>
      </c>
      <c r="AF18" s="6">
        <v>600</v>
      </c>
      <c r="AG18" s="6">
        <v>0</v>
      </c>
      <c r="AH18" s="6">
        <v>0</v>
      </c>
      <c r="AI18" s="6">
        <v>0</v>
      </c>
      <c r="AJ18" s="6">
        <v>0</v>
      </c>
      <c r="AK18" s="6">
        <v>0</v>
      </c>
      <c r="AL18" s="6">
        <v>0</v>
      </c>
      <c r="AM18" s="6">
        <v>0</v>
      </c>
      <c r="AN18" s="6">
        <v>0</v>
      </c>
      <c r="AO18" s="6">
        <v>0</v>
      </c>
      <c r="AP18" s="6">
        <v>0</v>
      </c>
      <c r="AQ18" s="6">
        <v>0</v>
      </c>
      <c r="AR18" s="6">
        <v>0</v>
      </c>
      <c r="AS18" s="6">
        <v>0</v>
      </c>
      <c r="AT18" s="6">
        <v>0</v>
      </c>
      <c r="AU18" s="9">
        <v>600</v>
      </c>
      <c r="AV18" s="12">
        <f t="shared" si="0"/>
        <v>600</v>
      </c>
      <c r="AW18">
        <f t="shared" si="1"/>
        <v>420</v>
      </c>
    </row>
    <row r="19" spans="1:49" ht="19.2" x14ac:dyDescent="0.4">
      <c r="A19" s="1" t="s">
        <v>80</v>
      </c>
      <c r="B19" s="4" t="s">
        <v>43</v>
      </c>
      <c r="C19" s="4">
        <v>448030</v>
      </c>
      <c r="D19" s="5"/>
      <c r="E19" s="4" t="s">
        <v>26</v>
      </c>
      <c r="F19" s="4" t="s">
        <v>38</v>
      </c>
      <c r="G19" s="4" t="str">
        <f>VLOOKUP(F19,[1]Sheet1!$B$2:$C$1111,2,FALSE)</f>
        <v>더컴퍼니</v>
      </c>
      <c r="H19" s="6" t="s">
        <v>9</v>
      </c>
      <c r="I19" s="6" t="s">
        <v>44</v>
      </c>
      <c r="J19" s="6">
        <v>0</v>
      </c>
      <c r="K19" s="6">
        <v>22</v>
      </c>
      <c r="L19" s="6">
        <v>0</v>
      </c>
      <c r="M19" s="6">
        <v>0</v>
      </c>
      <c r="N19" s="6">
        <v>0</v>
      </c>
      <c r="O19" s="6">
        <v>0</v>
      </c>
      <c r="P19" s="6">
        <v>0</v>
      </c>
      <c r="Q19" s="6">
        <v>0</v>
      </c>
      <c r="R19" s="6">
        <v>0</v>
      </c>
      <c r="S19" s="6">
        <v>0</v>
      </c>
      <c r="T19" s="6">
        <v>0</v>
      </c>
      <c r="U19" s="6">
        <v>0</v>
      </c>
      <c r="V19" s="6">
        <v>0</v>
      </c>
      <c r="W19" s="6">
        <v>0</v>
      </c>
      <c r="X19" s="6">
        <v>0</v>
      </c>
      <c r="Y19" s="6">
        <v>0</v>
      </c>
      <c r="Z19" s="6">
        <v>0</v>
      </c>
      <c r="AA19" s="6">
        <v>0</v>
      </c>
      <c r="AB19" s="6">
        <v>0</v>
      </c>
      <c r="AC19" s="6">
        <v>0</v>
      </c>
      <c r="AD19" s="6">
        <v>0</v>
      </c>
      <c r="AE19" s="6">
        <v>5</v>
      </c>
      <c r="AF19" s="6">
        <v>0</v>
      </c>
      <c r="AG19" s="6">
        <v>500</v>
      </c>
      <c r="AH19" s="6">
        <v>0</v>
      </c>
      <c r="AI19" s="6">
        <v>0</v>
      </c>
      <c r="AJ19" s="6">
        <v>0</v>
      </c>
      <c r="AK19" s="6">
        <v>0</v>
      </c>
      <c r="AL19" s="6">
        <v>0</v>
      </c>
      <c r="AM19" s="6">
        <v>0</v>
      </c>
      <c r="AN19" s="6">
        <v>0</v>
      </c>
      <c r="AO19" s="6">
        <v>0</v>
      </c>
      <c r="AP19" s="6">
        <v>0</v>
      </c>
      <c r="AQ19" s="6">
        <v>0</v>
      </c>
      <c r="AR19" s="6">
        <v>0</v>
      </c>
      <c r="AS19" s="6">
        <v>0</v>
      </c>
      <c r="AT19" s="6">
        <v>0</v>
      </c>
      <c r="AU19" s="9">
        <v>500</v>
      </c>
      <c r="AV19" s="12">
        <f t="shared" si="0"/>
        <v>500</v>
      </c>
      <c r="AW19">
        <f t="shared" si="1"/>
        <v>350</v>
      </c>
    </row>
    <row r="20" spans="1:49" ht="19.2" x14ac:dyDescent="0.4">
      <c r="A20" s="1" t="s">
        <v>80</v>
      </c>
      <c r="B20" s="4" t="s">
        <v>72</v>
      </c>
      <c r="C20" s="4">
        <v>416209</v>
      </c>
      <c r="D20" s="5"/>
      <c r="E20" s="4" t="s">
        <v>26</v>
      </c>
      <c r="F20" s="4" t="s">
        <v>73</v>
      </c>
      <c r="G20" s="4" t="str">
        <f>VLOOKUP(F20,[1]Sheet1!$B$2:$C$1111,2,FALSE)</f>
        <v>더컴퍼니</v>
      </c>
      <c r="H20" s="6" t="s">
        <v>29</v>
      </c>
      <c r="I20" s="6" t="s">
        <v>74</v>
      </c>
      <c r="J20" s="6">
        <v>0</v>
      </c>
      <c r="K20" s="6">
        <v>0</v>
      </c>
      <c r="L20" s="6">
        <v>0</v>
      </c>
      <c r="M20" s="6">
        <v>0</v>
      </c>
      <c r="N20" s="6">
        <v>0</v>
      </c>
      <c r="O20" s="6">
        <v>0</v>
      </c>
      <c r="P20" s="6">
        <v>0</v>
      </c>
      <c r="Q20" s="6">
        <v>0</v>
      </c>
      <c r="R20" s="6">
        <v>0</v>
      </c>
      <c r="S20" s="6">
        <v>0</v>
      </c>
      <c r="T20" s="6">
        <v>0</v>
      </c>
      <c r="U20" s="6">
        <v>0</v>
      </c>
      <c r="V20" s="6">
        <v>0</v>
      </c>
      <c r="W20" s="6">
        <v>0</v>
      </c>
      <c r="X20" s="6">
        <v>0</v>
      </c>
      <c r="Y20" s="6">
        <v>0</v>
      </c>
      <c r="Z20" s="6">
        <v>0</v>
      </c>
      <c r="AA20" s="6">
        <v>0</v>
      </c>
      <c r="AB20" s="6">
        <v>0</v>
      </c>
      <c r="AC20" s="6">
        <v>0</v>
      </c>
      <c r="AD20" s="6">
        <v>0</v>
      </c>
      <c r="AE20" s="6">
        <v>1</v>
      </c>
      <c r="AF20" s="6">
        <v>400</v>
      </c>
      <c r="AG20" s="6">
        <v>0</v>
      </c>
      <c r="AH20" s="6">
        <v>0</v>
      </c>
      <c r="AI20" s="6">
        <v>0</v>
      </c>
      <c r="AJ20" s="6">
        <v>0</v>
      </c>
      <c r="AK20" s="6">
        <v>0</v>
      </c>
      <c r="AL20" s="6">
        <v>0</v>
      </c>
      <c r="AM20" s="6">
        <v>0</v>
      </c>
      <c r="AN20" s="6">
        <v>0</v>
      </c>
      <c r="AO20" s="6">
        <v>0</v>
      </c>
      <c r="AP20" s="6">
        <v>0</v>
      </c>
      <c r="AQ20" s="6">
        <v>0</v>
      </c>
      <c r="AR20" s="6">
        <v>0</v>
      </c>
      <c r="AS20" s="6">
        <v>0</v>
      </c>
      <c r="AT20" s="6">
        <v>0</v>
      </c>
      <c r="AU20" s="9">
        <v>400</v>
      </c>
      <c r="AV20" s="12">
        <f t="shared" si="0"/>
        <v>400</v>
      </c>
      <c r="AW20">
        <f t="shared" si="1"/>
        <v>280</v>
      </c>
    </row>
    <row r="21" spans="1:49" x14ac:dyDescent="0.4">
      <c r="A21" s="1" t="s">
        <v>80</v>
      </c>
      <c r="B21" s="4" t="s">
        <v>52</v>
      </c>
      <c r="C21" s="4">
        <v>451947</v>
      </c>
      <c r="D21" s="5"/>
      <c r="E21" s="4" t="s">
        <v>26</v>
      </c>
      <c r="F21" s="4" t="s">
        <v>46</v>
      </c>
      <c r="G21" s="4" t="str">
        <f>VLOOKUP(F21,[1]Sheet1!$B$2:$C$1111,2,FALSE)</f>
        <v>에필로그</v>
      </c>
      <c r="H21" s="6" t="s">
        <v>8</v>
      </c>
      <c r="I21" s="6" t="s">
        <v>48</v>
      </c>
      <c r="J21" s="6">
        <v>0</v>
      </c>
      <c r="K21" s="6">
        <v>0</v>
      </c>
      <c r="L21" s="6">
        <v>0</v>
      </c>
      <c r="M21" s="6">
        <v>0</v>
      </c>
      <c r="N21" s="6">
        <v>0</v>
      </c>
      <c r="O21" s="6">
        <v>0</v>
      </c>
      <c r="P21" s="6">
        <v>0</v>
      </c>
      <c r="Q21" s="6">
        <v>0</v>
      </c>
      <c r="R21" s="6">
        <v>0</v>
      </c>
      <c r="S21" s="6">
        <v>0</v>
      </c>
      <c r="T21" s="6">
        <v>0</v>
      </c>
      <c r="U21" s="6">
        <v>0</v>
      </c>
      <c r="V21" s="6">
        <v>0</v>
      </c>
      <c r="W21" s="6">
        <v>0</v>
      </c>
      <c r="X21" s="6">
        <v>0</v>
      </c>
      <c r="Y21" s="6">
        <v>0</v>
      </c>
      <c r="Z21" s="6">
        <v>0</v>
      </c>
      <c r="AA21" s="6">
        <v>0</v>
      </c>
      <c r="AB21" s="6">
        <v>0</v>
      </c>
      <c r="AC21" s="6">
        <v>0</v>
      </c>
      <c r="AD21" s="6">
        <v>0</v>
      </c>
      <c r="AE21" s="6">
        <v>4</v>
      </c>
      <c r="AF21" s="6">
        <v>400</v>
      </c>
      <c r="AG21" s="6">
        <v>0</v>
      </c>
      <c r="AH21" s="6">
        <v>0</v>
      </c>
      <c r="AI21" s="6">
        <v>0</v>
      </c>
      <c r="AJ21" s="6">
        <v>0</v>
      </c>
      <c r="AK21" s="6">
        <v>0</v>
      </c>
      <c r="AL21" s="6">
        <v>0</v>
      </c>
      <c r="AM21" s="6">
        <v>0</v>
      </c>
      <c r="AN21" s="6">
        <v>0</v>
      </c>
      <c r="AO21" s="6">
        <v>0</v>
      </c>
      <c r="AP21" s="6">
        <v>0</v>
      </c>
      <c r="AQ21" s="6">
        <v>0</v>
      </c>
      <c r="AR21" s="6">
        <v>0</v>
      </c>
      <c r="AS21" s="6">
        <v>0</v>
      </c>
      <c r="AT21" s="6">
        <v>0</v>
      </c>
      <c r="AU21" s="9">
        <v>400</v>
      </c>
      <c r="AV21" s="12">
        <f t="shared" si="0"/>
        <v>400</v>
      </c>
      <c r="AW21">
        <f t="shared" si="1"/>
        <v>280</v>
      </c>
    </row>
    <row r="22" spans="1:49" ht="19.2" x14ac:dyDescent="0.4">
      <c r="A22" s="1" t="s">
        <v>80</v>
      </c>
      <c r="B22" s="4" t="s">
        <v>121</v>
      </c>
      <c r="C22" s="4">
        <v>411957</v>
      </c>
      <c r="D22" s="5"/>
      <c r="E22" s="4" t="s">
        <v>26</v>
      </c>
      <c r="F22" s="4" t="s">
        <v>76</v>
      </c>
      <c r="G22" s="4" t="str">
        <f>VLOOKUP(F22,[1]Sheet1!$B$2:$C$1111,2,FALSE)</f>
        <v>더컴퍼니</v>
      </c>
      <c r="H22" s="6" t="s">
        <v>29</v>
      </c>
      <c r="I22" s="6" t="s">
        <v>122</v>
      </c>
      <c r="J22" s="6">
        <v>0</v>
      </c>
      <c r="K22" s="6">
        <v>0</v>
      </c>
      <c r="L22" s="6">
        <v>0</v>
      </c>
      <c r="M22" s="6">
        <v>0</v>
      </c>
      <c r="N22" s="6">
        <v>0</v>
      </c>
      <c r="O22" s="6">
        <v>0</v>
      </c>
      <c r="P22" s="6">
        <v>0</v>
      </c>
      <c r="Q22" s="6">
        <v>0</v>
      </c>
      <c r="R22" s="6">
        <v>0</v>
      </c>
      <c r="S22" s="6">
        <v>0</v>
      </c>
      <c r="T22" s="6">
        <v>0</v>
      </c>
      <c r="U22" s="6">
        <v>0</v>
      </c>
      <c r="V22" s="6">
        <v>0</v>
      </c>
      <c r="W22" s="6">
        <v>0</v>
      </c>
      <c r="X22" s="6">
        <v>0</v>
      </c>
      <c r="Y22" s="6">
        <v>0</v>
      </c>
      <c r="Z22" s="6">
        <v>0</v>
      </c>
      <c r="AA22" s="6">
        <v>0</v>
      </c>
      <c r="AB22" s="6">
        <v>0</v>
      </c>
      <c r="AC22" s="6">
        <v>0</v>
      </c>
      <c r="AD22" s="6">
        <v>0</v>
      </c>
      <c r="AE22" s="6">
        <v>1</v>
      </c>
      <c r="AF22" s="6">
        <v>400</v>
      </c>
      <c r="AG22" s="6">
        <v>0</v>
      </c>
      <c r="AH22" s="6">
        <v>0</v>
      </c>
      <c r="AI22" s="6">
        <v>0</v>
      </c>
      <c r="AJ22" s="6">
        <v>0</v>
      </c>
      <c r="AK22" s="6">
        <v>0</v>
      </c>
      <c r="AL22" s="6">
        <v>0</v>
      </c>
      <c r="AM22" s="6">
        <v>0</v>
      </c>
      <c r="AN22" s="6">
        <v>0</v>
      </c>
      <c r="AO22" s="6">
        <v>0</v>
      </c>
      <c r="AP22" s="6">
        <v>0</v>
      </c>
      <c r="AQ22" s="6">
        <v>0</v>
      </c>
      <c r="AR22" s="6">
        <v>0</v>
      </c>
      <c r="AS22" s="6">
        <v>0</v>
      </c>
      <c r="AT22" s="6">
        <v>0</v>
      </c>
      <c r="AU22" s="9">
        <v>400</v>
      </c>
      <c r="AV22" s="12">
        <f t="shared" si="0"/>
        <v>400</v>
      </c>
      <c r="AW22">
        <f t="shared" si="1"/>
        <v>280</v>
      </c>
    </row>
    <row r="23" spans="1:49" x14ac:dyDescent="0.4">
      <c r="A23" s="1" t="s">
        <v>80</v>
      </c>
      <c r="B23" s="4" t="s">
        <v>85</v>
      </c>
      <c r="C23" s="4">
        <v>445598</v>
      </c>
      <c r="D23" s="5"/>
      <c r="E23" s="4" t="s">
        <v>26</v>
      </c>
      <c r="F23" s="4" t="s">
        <v>46</v>
      </c>
      <c r="G23" s="4" t="str">
        <f>VLOOKUP(F23,[1]Sheet1!$B$2:$C$1111,2,FALSE)</f>
        <v>에필로그</v>
      </c>
      <c r="H23" s="6" t="s">
        <v>8</v>
      </c>
      <c r="I23" s="6" t="s">
        <v>42</v>
      </c>
      <c r="J23" s="6">
        <v>0</v>
      </c>
      <c r="K23" s="6">
        <v>0</v>
      </c>
      <c r="L23" s="6">
        <v>0</v>
      </c>
      <c r="M23" s="6">
        <v>0</v>
      </c>
      <c r="N23" s="6">
        <v>0</v>
      </c>
      <c r="O23" s="6">
        <v>0</v>
      </c>
      <c r="P23" s="6">
        <v>0</v>
      </c>
      <c r="Q23" s="6">
        <v>0</v>
      </c>
      <c r="R23" s="6">
        <v>0</v>
      </c>
      <c r="S23" s="6">
        <v>0</v>
      </c>
      <c r="T23" s="6">
        <v>0</v>
      </c>
      <c r="U23" s="6">
        <v>0</v>
      </c>
      <c r="V23" s="6">
        <v>0</v>
      </c>
      <c r="W23" s="6">
        <v>0</v>
      </c>
      <c r="X23" s="6">
        <v>0</v>
      </c>
      <c r="Y23" s="6">
        <v>0</v>
      </c>
      <c r="Z23" s="6">
        <v>0</v>
      </c>
      <c r="AA23" s="6">
        <v>0</v>
      </c>
      <c r="AB23" s="6">
        <v>0</v>
      </c>
      <c r="AC23" s="6">
        <v>0</v>
      </c>
      <c r="AD23" s="6">
        <v>0</v>
      </c>
      <c r="AE23" s="6">
        <v>2</v>
      </c>
      <c r="AF23" s="6">
        <v>200</v>
      </c>
      <c r="AG23" s="6">
        <v>0</v>
      </c>
      <c r="AH23" s="6">
        <v>0</v>
      </c>
      <c r="AI23" s="6">
        <v>0</v>
      </c>
      <c r="AJ23" s="6">
        <v>0</v>
      </c>
      <c r="AK23" s="6">
        <v>0</v>
      </c>
      <c r="AL23" s="6">
        <v>0</v>
      </c>
      <c r="AM23" s="6">
        <v>0</v>
      </c>
      <c r="AN23" s="6">
        <v>0</v>
      </c>
      <c r="AO23" s="6">
        <v>0</v>
      </c>
      <c r="AP23" s="6">
        <v>0</v>
      </c>
      <c r="AQ23" s="6">
        <v>0</v>
      </c>
      <c r="AR23" s="6">
        <v>0</v>
      </c>
      <c r="AS23" s="6">
        <v>0</v>
      </c>
      <c r="AT23" s="6">
        <v>0</v>
      </c>
      <c r="AU23" s="9">
        <v>200</v>
      </c>
      <c r="AV23" s="12">
        <f t="shared" si="0"/>
        <v>200</v>
      </c>
      <c r="AW23">
        <f t="shared" si="1"/>
        <v>140</v>
      </c>
    </row>
    <row r="24" spans="1:49" x14ac:dyDescent="0.4">
      <c r="A24" s="1" t="s">
        <v>80</v>
      </c>
      <c r="B24" s="4" t="s">
        <v>78</v>
      </c>
      <c r="C24" s="4">
        <v>369060</v>
      </c>
      <c r="D24" s="5"/>
      <c r="E24" s="4" t="s">
        <v>26</v>
      </c>
      <c r="F24" s="4" t="s">
        <v>35</v>
      </c>
      <c r="G24" s="4" t="str">
        <f>VLOOKUP(F24,[1]Sheet1!$B$2:$C$1111,2,FALSE)</f>
        <v>에필로그</v>
      </c>
      <c r="H24" s="6" t="s">
        <v>8</v>
      </c>
      <c r="I24" s="6" t="s">
        <v>79</v>
      </c>
      <c r="J24" s="6">
        <v>0</v>
      </c>
      <c r="K24" s="6">
        <v>0</v>
      </c>
      <c r="L24" s="6">
        <v>0</v>
      </c>
      <c r="M24" s="6">
        <v>0</v>
      </c>
      <c r="N24" s="6">
        <v>0</v>
      </c>
      <c r="O24" s="6">
        <v>0</v>
      </c>
      <c r="P24" s="6">
        <v>0</v>
      </c>
      <c r="Q24" s="6">
        <v>0</v>
      </c>
      <c r="R24" s="6">
        <v>0</v>
      </c>
      <c r="S24" s="6">
        <v>0</v>
      </c>
      <c r="T24" s="6">
        <v>0</v>
      </c>
      <c r="U24" s="6">
        <v>0</v>
      </c>
      <c r="V24" s="6">
        <v>0</v>
      </c>
      <c r="W24" s="6">
        <v>0</v>
      </c>
      <c r="X24" s="6">
        <v>0</v>
      </c>
      <c r="Y24" s="6">
        <v>0</v>
      </c>
      <c r="Z24" s="6">
        <v>0</v>
      </c>
      <c r="AA24" s="6">
        <v>0</v>
      </c>
      <c r="AB24" s="6">
        <v>0</v>
      </c>
      <c r="AC24" s="6">
        <v>0</v>
      </c>
      <c r="AD24" s="6">
        <v>0</v>
      </c>
      <c r="AE24" s="6">
        <v>0</v>
      </c>
      <c r="AF24" s="6">
        <v>0</v>
      </c>
      <c r="AG24" s="6">
        <v>0</v>
      </c>
      <c r="AH24" s="6">
        <v>0</v>
      </c>
      <c r="AI24" s="6">
        <v>0</v>
      </c>
      <c r="AJ24" s="6">
        <v>0</v>
      </c>
      <c r="AK24" s="6">
        <v>0</v>
      </c>
      <c r="AL24" s="6">
        <v>0</v>
      </c>
      <c r="AM24" s="6">
        <v>0</v>
      </c>
      <c r="AN24" s="6">
        <v>0</v>
      </c>
      <c r="AO24" s="6">
        <v>0</v>
      </c>
      <c r="AP24" s="6">
        <v>0</v>
      </c>
      <c r="AQ24" s="6">
        <v>0</v>
      </c>
      <c r="AR24" s="6">
        <v>1</v>
      </c>
      <c r="AS24" s="6">
        <v>100</v>
      </c>
      <c r="AT24" s="6">
        <v>0</v>
      </c>
      <c r="AU24" s="9">
        <v>100</v>
      </c>
      <c r="AV24" s="12">
        <f t="shared" si="0"/>
        <v>100</v>
      </c>
      <c r="AW24">
        <f t="shared" si="1"/>
        <v>70</v>
      </c>
    </row>
    <row r="25" spans="1:49" x14ac:dyDescent="0.4">
      <c r="A25" s="1" t="s">
        <v>80</v>
      </c>
      <c r="B25" s="4" t="s">
        <v>123</v>
      </c>
      <c r="C25" s="4">
        <v>397687</v>
      </c>
      <c r="D25" s="5"/>
      <c r="E25" s="4" t="s">
        <v>26</v>
      </c>
      <c r="F25" s="4" t="s">
        <v>27</v>
      </c>
      <c r="G25" s="4" t="str">
        <f>VLOOKUP(F25,[1]Sheet1!$B$2:$C$1111,2,FALSE)</f>
        <v>에필로그</v>
      </c>
      <c r="H25" s="6" t="s">
        <v>8</v>
      </c>
      <c r="I25" s="6" t="s">
        <v>124</v>
      </c>
      <c r="J25" s="6">
        <v>0</v>
      </c>
      <c r="K25" s="6">
        <v>0</v>
      </c>
      <c r="L25" s="6">
        <v>0</v>
      </c>
      <c r="M25" s="6">
        <v>0</v>
      </c>
      <c r="N25" s="6">
        <v>0</v>
      </c>
      <c r="O25" s="6">
        <v>0</v>
      </c>
      <c r="P25" s="6">
        <v>0</v>
      </c>
      <c r="Q25" s="6">
        <v>0</v>
      </c>
      <c r="R25" s="6">
        <v>0</v>
      </c>
      <c r="S25" s="6">
        <v>0</v>
      </c>
      <c r="T25" s="6">
        <v>0</v>
      </c>
      <c r="U25" s="6">
        <v>0</v>
      </c>
      <c r="V25" s="6">
        <v>0</v>
      </c>
      <c r="W25" s="6">
        <v>0</v>
      </c>
      <c r="X25" s="6">
        <v>0</v>
      </c>
      <c r="Y25" s="6">
        <v>0</v>
      </c>
      <c r="Z25" s="6">
        <v>0</v>
      </c>
      <c r="AA25" s="6">
        <v>0</v>
      </c>
      <c r="AB25" s="6">
        <v>0</v>
      </c>
      <c r="AC25" s="6">
        <v>0</v>
      </c>
      <c r="AD25" s="6">
        <v>0</v>
      </c>
      <c r="AE25" s="6">
        <v>1</v>
      </c>
      <c r="AF25" s="6">
        <v>100</v>
      </c>
      <c r="AG25" s="6">
        <v>0</v>
      </c>
      <c r="AH25" s="6">
        <v>0</v>
      </c>
      <c r="AI25" s="6">
        <v>0</v>
      </c>
      <c r="AJ25" s="6">
        <v>0</v>
      </c>
      <c r="AK25" s="6">
        <v>0</v>
      </c>
      <c r="AL25" s="6">
        <v>0</v>
      </c>
      <c r="AM25" s="6">
        <v>0</v>
      </c>
      <c r="AN25" s="6">
        <v>0</v>
      </c>
      <c r="AO25" s="6">
        <v>0</v>
      </c>
      <c r="AP25" s="6">
        <v>0</v>
      </c>
      <c r="AQ25" s="6">
        <v>0</v>
      </c>
      <c r="AR25" s="6">
        <v>0</v>
      </c>
      <c r="AS25" s="6">
        <v>0</v>
      </c>
      <c r="AT25" s="6">
        <v>0</v>
      </c>
      <c r="AU25" s="9">
        <v>100</v>
      </c>
      <c r="AV25" s="12">
        <f t="shared" si="0"/>
        <v>100</v>
      </c>
      <c r="AW25">
        <f t="shared" si="1"/>
        <v>70</v>
      </c>
    </row>
    <row r="26" spans="1:49" ht="19.2" x14ac:dyDescent="0.4">
      <c r="A26" s="1" t="s">
        <v>80</v>
      </c>
      <c r="B26" s="4" t="s">
        <v>125</v>
      </c>
      <c r="C26" s="4">
        <v>395341</v>
      </c>
      <c r="D26" s="5"/>
      <c r="E26" s="4" t="s">
        <v>26</v>
      </c>
      <c r="F26" s="4" t="s">
        <v>28</v>
      </c>
      <c r="G26" s="4" t="str">
        <f>VLOOKUP(F26,[1]Sheet1!$B$2:$C$1111,2,FALSE)</f>
        <v>더컴퍼니</v>
      </c>
      <c r="H26" s="6" t="s">
        <v>9</v>
      </c>
      <c r="I26" s="6" t="s">
        <v>126</v>
      </c>
      <c r="J26" s="6">
        <v>0</v>
      </c>
      <c r="K26" s="6">
        <v>0</v>
      </c>
      <c r="L26" s="6">
        <v>0</v>
      </c>
      <c r="M26" s="6">
        <v>0</v>
      </c>
      <c r="N26" s="6">
        <v>0</v>
      </c>
      <c r="O26" s="6">
        <v>0</v>
      </c>
      <c r="P26" s="6">
        <v>0</v>
      </c>
      <c r="Q26" s="6">
        <v>0</v>
      </c>
      <c r="R26" s="6">
        <v>0</v>
      </c>
      <c r="S26" s="6">
        <v>0</v>
      </c>
      <c r="T26" s="6">
        <v>0</v>
      </c>
      <c r="U26" s="6">
        <v>0</v>
      </c>
      <c r="V26" s="6">
        <v>0</v>
      </c>
      <c r="W26" s="6">
        <v>0</v>
      </c>
      <c r="X26" s="6">
        <v>0</v>
      </c>
      <c r="Y26" s="6">
        <v>0</v>
      </c>
      <c r="Z26" s="6">
        <v>0</v>
      </c>
      <c r="AA26" s="6">
        <v>0</v>
      </c>
      <c r="AB26" s="6">
        <v>0</v>
      </c>
      <c r="AC26" s="6">
        <v>0</v>
      </c>
      <c r="AD26" s="6">
        <v>0</v>
      </c>
      <c r="AE26" s="6">
        <v>1</v>
      </c>
      <c r="AF26" s="6">
        <v>100</v>
      </c>
      <c r="AG26" s="6">
        <v>0</v>
      </c>
      <c r="AH26" s="6">
        <v>0</v>
      </c>
      <c r="AI26" s="6">
        <v>0</v>
      </c>
      <c r="AJ26" s="6">
        <v>0</v>
      </c>
      <c r="AK26" s="6">
        <v>0</v>
      </c>
      <c r="AL26" s="6">
        <v>0</v>
      </c>
      <c r="AM26" s="6">
        <v>0</v>
      </c>
      <c r="AN26" s="6">
        <v>0</v>
      </c>
      <c r="AO26" s="6">
        <v>0</v>
      </c>
      <c r="AP26" s="6">
        <v>0</v>
      </c>
      <c r="AQ26" s="6">
        <v>0</v>
      </c>
      <c r="AR26" s="6">
        <v>0</v>
      </c>
      <c r="AS26" s="6">
        <v>0</v>
      </c>
      <c r="AT26" s="6">
        <v>0</v>
      </c>
      <c r="AU26" s="9">
        <v>100</v>
      </c>
      <c r="AV26" s="12">
        <f t="shared" si="0"/>
        <v>100</v>
      </c>
      <c r="AW26">
        <f t="shared" si="1"/>
        <v>70</v>
      </c>
    </row>
    <row r="27" spans="1:49" x14ac:dyDescent="0.4">
      <c r="A27" s="1" t="s">
        <v>80</v>
      </c>
      <c r="B27" s="4" t="s">
        <v>40</v>
      </c>
      <c r="C27" s="4">
        <v>440710</v>
      </c>
      <c r="D27" s="5"/>
      <c r="E27" s="4" t="s">
        <v>26</v>
      </c>
      <c r="F27" s="4" t="s">
        <v>41</v>
      </c>
      <c r="G27" s="4" t="str">
        <f>VLOOKUP(F27,[1]Sheet1!$B$2:$C$1111,2,FALSE)</f>
        <v>아크스튜디오</v>
      </c>
      <c r="H27" s="6" t="s">
        <v>8</v>
      </c>
      <c r="I27" s="6" t="s">
        <v>53</v>
      </c>
      <c r="J27" s="6">
        <v>0</v>
      </c>
      <c r="K27" s="6">
        <v>34</v>
      </c>
      <c r="L27" s="6">
        <v>0</v>
      </c>
      <c r="M27" s="6">
        <v>0</v>
      </c>
      <c r="N27" s="6">
        <v>0</v>
      </c>
      <c r="O27" s="6">
        <v>0</v>
      </c>
      <c r="P27" s="6">
        <v>0</v>
      </c>
      <c r="Q27" s="6">
        <v>0</v>
      </c>
      <c r="R27" s="6">
        <v>0</v>
      </c>
      <c r="S27" s="6">
        <v>0</v>
      </c>
      <c r="T27" s="6">
        <v>0</v>
      </c>
      <c r="U27" s="6">
        <v>0</v>
      </c>
      <c r="V27" s="6">
        <v>0</v>
      </c>
      <c r="W27" s="6">
        <v>0</v>
      </c>
      <c r="X27" s="6">
        <v>0</v>
      </c>
      <c r="Y27" s="6">
        <v>0</v>
      </c>
      <c r="Z27" s="6">
        <v>0</v>
      </c>
      <c r="AA27" s="6">
        <v>0</v>
      </c>
      <c r="AB27" s="6">
        <v>0</v>
      </c>
      <c r="AC27" s="6">
        <v>0</v>
      </c>
      <c r="AD27" s="6">
        <v>0</v>
      </c>
      <c r="AE27" s="6">
        <v>0</v>
      </c>
      <c r="AF27" s="6">
        <v>0</v>
      </c>
      <c r="AG27" s="6">
        <v>0</v>
      </c>
      <c r="AH27" s="6">
        <v>0</v>
      </c>
      <c r="AI27" s="6">
        <v>0</v>
      </c>
      <c r="AJ27" s="6">
        <v>0</v>
      </c>
      <c r="AK27" s="6">
        <v>0</v>
      </c>
      <c r="AL27" s="6">
        <v>0</v>
      </c>
      <c r="AM27" s="6">
        <v>0</v>
      </c>
      <c r="AN27" s="6">
        <v>0</v>
      </c>
      <c r="AO27" s="6">
        <v>0</v>
      </c>
      <c r="AP27" s="6">
        <v>0</v>
      </c>
      <c r="AQ27" s="6">
        <v>0</v>
      </c>
      <c r="AR27" s="6">
        <v>0</v>
      </c>
      <c r="AS27" s="6">
        <v>0</v>
      </c>
      <c r="AT27" s="6">
        <v>0</v>
      </c>
      <c r="AU27" s="9">
        <v>0</v>
      </c>
      <c r="AV27" s="12">
        <f t="shared" si="0"/>
        <v>0</v>
      </c>
      <c r="AW27">
        <f t="shared" si="1"/>
        <v>0</v>
      </c>
    </row>
    <row r="28" spans="1:49" ht="19.2" x14ac:dyDescent="0.4">
      <c r="A28" s="1" t="s">
        <v>86</v>
      </c>
      <c r="B28" s="4" t="s">
        <v>112</v>
      </c>
      <c r="C28" s="4">
        <v>451051</v>
      </c>
      <c r="D28" s="5"/>
      <c r="E28" s="4" t="s">
        <v>26</v>
      </c>
      <c r="F28" s="4" t="s">
        <v>46</v>
      </c>
      <c r="G28" s="4" t="str">
        <f>VLOOKUP(F28,[1]Sheet1!$B$2:$C$1111,2,FALSE)</f>
        <v>에필로그</v>
      </c>
      <c r="H28" s="6" t="s">
        <v>104</v>
      </c>
      <c r="I28" s="6" t="s">
        <v>113</v>
      </c>
      <c r="J28" s="6">
        <v>0</v>
      </c>
      <c r="K28" s="6">
        <v>0</v>
      </c>
      <c r="L28" s="6">
        <v>0</v>
      </c>
      <c r="M28" s="6">
        <v>0</v>
      </c>
      <c r="N28" s="6">
        <v>0</v>
      </c>
      <c r="O28" s="6">
        <v>0</v>
      </c>
      <c r="P28" s="6">
        <v>0</v>
      </c>
      <c r="Q28" s="6">
        <v>0</v>
      </c>
      <c r="R28" s="6">
        <v>0</v>
      </c>
      <c r="S28" s="6">
        <v>0</v>
      </c>
      <c r="T28" s="6">
        <v>0</v>
      </c>
      <c r="U28" s="6">
        <v>0</v>
      </c>
      <c r="V28" s="6">
        <v>0</v>
      </c>
      <c r="W28" s="6">
        <v>0</v>
      </c>
      <c r="X28" s="6">
        <v>0</v>
      </c>
      <c r="Y28" s="6">
        <v>0</v>
      </c>
      <c r="Z28" s="6">
        <v>0</v>
      </c>
      <c r="AA28" s="6">
        <v>0</v>
      </c>
      <c r="AB28" s="6">
        <v>0</v>
      </c>
      <c r="AC28" s="6">
        <v>0</v>
      </c>
      <c r="AD28" s="6">
        <v>0</v>
      </c>
      <c r="AE28" s="6">
        <v>527</v>
      </c>
      <c r="AF28" s="7">
        <v>52700</v>
      </c>
      <c r="AG28" s="6">
        <v>0</v>
      </c>
      <c r="AH28" s="6">
        <v>0</v>
      </c>
      <c r="AI28" s="6">
        <v>0</v>
      </c>
      <c r="AJ28" s="6">
        <v>0</v>
      </c>
      <c r="AK28" s="6">
        <v>0</v>
      </c>
      <c r="AL28" s="6">
        <v>0</v>
      </c>
      <c r="AM28" s="6">
        <v>0</v>
      </c>
      <c r="AN28" s="6">
        <v>0</v>
      </c>
      <c r="AO28" s="6">
        <v>0</v>
      </c>
      <c r="AP28" s="6">
        <v>0</v>
      </c>
      <c r="AQ28" s="6">
        <v>0</v>
      </c>
      <c r="AR28" s="6">
        <v>492</v>
      </c>
      <c r="AS28" s="7">
        <v>48800</v>
      </c>
      <c r="AT28" s="6">
        <v>400</v>
      </c>
      <c r="AU28" s="8">
        <v>101900</v>
      </c>
      <c r="AV28" s="12">
        <f t="shared" si="0"/>
        <v>101900</v>
      </c>
      <c r="AW28">
        <f t="shared" si="1"/>
        <v>71330</v>
      </c>
    </row>
    <row r="29" spans="1:49" ht="19.2" x14ac:dyDescent="0.4">
      <c r="A29" s="1" t="s">
        <v>86</v>
      </c>
      <c r="B29" s="4" t="s">
        <v>127</v>
      </c>
      <c r="C29" s="4">
        <v>461432</v>
      </c>
      <c r="D29" s="5"/>
      <c r="E29" s="4" t="s">
        <v>26</v>
      </c>
      <c r="F29" s="4" t="s">
        <v>46</v>
      </c>
      <c r="G29" s="4" t="str">
        <f>VLOOKUP(F29,[1]Sheet1!$B$2:$C$1111,2,FALSE)</f>
        <v>에필로그</v>
      </c>
      <c r="H29" s="6" t="s">
        <v>104</v>
      </c>
      <c r="I29" s="6" t="s">
        <v>118</v>
      </c>
      <c r="J29" s="6">
        <v>0</v>
      </c>
      <c r="K29" s="6">
        <v>0</v>
      </c>
      <c r="L29" s="6">
        <v>0</v>
      </c>
      <c r="M29" s="6">
        <v>0</v>
      </c>
      <c r="N29" s="6">
        <v>0</v>
      </c>
      <c r="O29" s="6">
        <v>0</v>
      </c>
      <c r="P29" s="6">
        <v>0</v>
      </c>
      <c r="Q29" s="6">
        <v>0</v>
      </c>
      <c r="R29" s="6">
        <v>0</v>
      </c>
      <c r="S29" s="6">
        <v>0</v>
      </c>
      <c r="T29" s="6">
        <v>0</v>
      </c>
      <c r="U29" s="6">
        <v>0</v>
      </c>
      <c r="V29" s="6">
        <v>0</v>
      </c>
      <c r="W29" s="6">
        <v>0</v>
      </c>
      <c r="X29" s="6">
        <v>0</v>
      </c>
      <c r="Y29" s="6">
        <v>0</v>
      </c>
      <c r="Z29" s="6">
        <v>0</v>
      </c>
      <c r="AA29" s="6">
        <v>0</v>
      </c>
      <c r="AB29" s="6">
        <v>0</v>
      </c>
      <c r="AC29" s="6">
        <v>0</v>
      </c>
      <c r="AD29" s="6">
        <v>0</v>
      </c>
      <c r="AE29" s="6">
        <v>143</v>
      </c>
      <c r="AF29" s="7">
        <v>14300</v>
      </c>
      <c r="AG29" s="6">
        <v>0</v>
      </c>
      <c r="AH29" s="6">
        <v>0</v>
      </c>
      <c r="AI29" s="6">
        <v>0</v>
      </c>
      <c r="AJ29" s="6">
        <v>0</v>
      </c>
      <c r="AK29" s="6">
        <v>0</v>
      </c>
      <c r="AL29" s="6">
        <v>0</v>
      </c>
      <c r="AM29" s="6">
        <v>0</v>
      </c>
      <c r="AN29" s="6">
        <v>0</v>
      </c>
      <c r="AO29" s="6">
        <v>0</v>
      </c>
      <c r="AP29" s="6">
        <v>0</v>
      </c>
      <c r="AQ29" s="6">
        <v>0</v>
      </c>
      <c r="AR29" s="6">
        <v>164</v>
      </c>
      <c r="AS29" s="7">
        <v>16400</v>
      </c>
      <c r="AT29" s="6">
        <v>0</v>
      </c>
      <c r="AU29" s="8">
        <v>30700</v>
      </c>
      <c r="AV29" s="12">
        <f t="shared" si="0"/>
        <v>30700</v>
      </c>
      <c r="AW29">
        <f t="shared" si="1"/>
        <v>21490</v>
      </c>
    </row>
    <row r="30" spans="1:49" ht="19.2" x14ac:dyDescent="0.4">
      <c r="A30" s="1" t="s">
        <v>86</v>
      </c>
      <c r="B30" s="4" t="s">
        <v>117</v>
      </c>
      <c r="C30" s="4">
        <v>461450</v>
      </c>
      <c r="D30" s="5"/>
      <c r="E30" s="4" t="s">
        <v>26</v>
      </c>
      <c r="F30" s="4" t="s">
        <v>46</v>
      </c>
      <c r="G30" s="4" t="str">
        <f>VLOOKUP(F30,[1]Sheet1!$B$2:$C$1111,2,FALSE)</f>
        <v>에필로그</v>
      </c>
      <c r="H30" s="6" t="s">
        <v>104</v>
      </c>
      <c r="I30" s="6" t="s">
        <v>118</v>
      </c>
      <c r="J30" s="6">
        <v>0</v>
      </c>
      <c r="K30" s="6">
        <v>0</v>
      </c>
      <c r="L30" s="6">
        <v>0</v>
      </c>
      <c r="M30" s="6">
        <v>0</v>
      </c>
      <c r="N30" s="6">
        <v>0</v>
      </c>
      <c r="O30" s="6">
        <v>0</v>
      </c>
      <c r="P30" s="6">
        <v>0</v>
      </c>
      <c r="Q30" s="6">
        <v>0</v>
      </c>
      <c r="R30" s="6">
        <v>0</v>
      </c>
      <c r="S30" s="6">
        <v>0</v>
      </c>
      <c r="T30" s="6">
        <v>0</v>
      </c>
      <c r="U30" s="6">
        <v>0</v>
      </c>
      <c r="V30" s="6">
        <v>0</v>
      </c>
      <c r="W30" s="6">
        <v>0</v>
      </c>
      <c r="X30" s="6">
        <v>0</v>
      </c>
      <c r="Y30" s="6">
        <v>0</v>
      </c>
      <c r="Z30" s="6">
        <v>0</v>
      </c>
      <c r="AA30" s="6">
        <v>0</v>
      </c>
      <c r="AB30" s="6">
        <v>25</v>
      </c>
      <c r="AC30" s="7">
        <v>22500</v>
      </c>
      <c r="AD30" s="6">
        <v>0</v>
      </c>
      <c r="AE30" s="6">
        <v>0</v>
      </c>
      <c r="AF30" s="6">
        <v>0</v>
      </c>
      <c r="AG30" s="6">
        <v>0</v>
      </c>
      <c r="AH30" s="6">
        <v>0</v>
      </c>
      <c r="AI30" s="6">
        <v>0</v>
      </c>
      <c r="AJ30" s="6">
        <v>0</v>
      </c>
      <c r="AK30" s="6">
        <v>0</v>
      </c>
      <c r="AL30" s="6">
        <v>0</v>
      </c>
      <c r="AM30" s="6">
        <v>0</v>
      </c>
      <c r="AN30" s="6">
        <v>0</v>
      </c>
      <c r="AO30" s="6">
        <v>0</v>
      </c>
      <c r="AP30" s="6">
        <v>0</v>
      </c>
      <c r="AQ30" s="6">
        <v>0</v>
      </c>
      <c r="AR30" s="6">
        <v>0</v>
      </c>
      <c r="AS30" s="6">
        <v>0</v>
      </c>
      <c r="AT30" s="6">
        <v>0</v>
      </c>
      <c r="AU30" s="8">
        <v>22500</v>
      </c>
      <c r="AV30" s="12">
        <f t="shared" si="0"/>
        <v>22500</v>
      </c>
      <c r="AW30">
        <f t="shared" si="1"/>
        <v>15749.999999999998</v>
      </c>
    </row>
    <row r="31" spans="1:49" x14ac:dyDescent="0.4">
      <c r="A31" s="1" t="s">
        <v>86</v>
      </c>
      <c r="B31" s="4" t="s">
        <v>37</v>
      </c>
      <c r="C31" s="4">
        <v>380954</v>
      </c>
      <c r="D31" s="5"/>
      <c r="E31" s="4" t="s">
        <v>26</v>
      </c>
      <c r="F31" s="4" t="s">
        <v>35</v>
      </c>
      <c r="G31" s="4" t="str">
        <f>VLOOKUP(F31,[1]Sheet1!$B$2:$C$1111,2,FALSE)</f>
        <v>에필로그</v>
      </c>
      <c r="H31" s="6" t="s">
        <v>8</v>
      </c>
      <c r="I31" s="6" t="s">
        <v>36</v>
      </c>
      <c r="J31" s="6">
        <v>0</v>
      </c>
      <c r="K31" s="6">
        <v>0</v>
      </c>
      <c r="L31" s="6">
        <v>0</v>
      </c>
      <c r="M31" s="6">
        <v>0</v>
      </c>
      <c r="N31" s="6">
        <v>0</v>
      </c>
      <c r="O31" s="6">
        <v>0</v>
      </c>
      <c r="P31" s="6">
        <v>0</v>
      </c>
      <c r="Q31" s="6">
        <v>0</v>
      </c>
      <c r="R31" s="6">
        <v>0</v>
      </c>
      <c r="S31" s="6">
        <v>0</v>
      </c>
      <c r="T31" s="6">
        <v>0</v>
      </c>
      <c r="U31" s="6">
        <v>0</v>
      </c>
      <c r="V31" s="6">
        <v>0</v>
      </c>
      <c r="W31" s="6">
        <v>0</v>
      </c>
      <c r="X31" s="6">
        <v>0</v>
      </c>
      <c r="Y31" s="6">
        <v>0</v>
      </c>
      <c r="Z31" s="6">
        <v>0</v>
      </c>
      <c r="AA31" s="6">
        <v>0</v>
      </c>
      <c r="AB31" s="6">
        <v>19</v>
      </c>
      <c r="AC31" s="7">
        <v>17100</v>
      </c>
      <c r="AD31" s="6">
        <v>0</v>
      </c>
      <c r="AE31" s="6">
        <v>0</v>
      </c>
      <c r="AF31" s="6">
        <v>0</v>
      </c>
      <c r="AG31" s="6">
        <v>0</v>
      </c>
      <c r="AH31" s="6">
        <v>0</v>
      </c>
      <c r="AI31" s="6">
        <v>0</v>
      </c>
      <c r="AJ31" s="6">
        <v>0</v>
      </c>
      <c r="AK31" s="6">
        <v>0</v>
      </c>
      <c r="AL31" s="6">
        <v>0</v>
      </c>
      <c r="AM31" s="6">
        <v>0</v>
      </c>
      <c r="AN31" s="6">
        <v>0</v>
      </c>
      <c r="AO31" s="6">
        <v>0</v>
      </c>
      <c r="AP31" s="6">
        <v>0</v>
      </c>
      <c r="AQ31" s="6">
        <v>0</v>
      </c>
      <c r="AR31" s="6">
        <v>0</v>
      </c>
      <c r="AS31" s="6">
        <v>0</v>
      </c>
      <c r="AT31" s="6">
        <v>0</v>
      </c>
      <c r="AU31" s="8">
        <v>17100</v>
      </c>
      <c r="AV31" s="12">
        <f t="shared" si="0"/>
        <v>17100</v>
      </c>
      <c r="AW31">
        <f t="shared" si="1"/>
        <v>11970</v>
      </c>
    </row>
    <row r="32" spans="1:49" x14ac:dyDescent="0.4">
      <c r="A32" s="1" t="s">
        <v>86</v>
      </c>
      <c r="B32" s="4" t="s">
        <v>66</v>
      </c>
      <c r="C32" s="4">
        <v>455896</v>
      </c>
      <c r="D32" s="5"/>
      <c r="E32" s="4" t="s">
        <v>26</v>
      </c>
      <c r="F32" s="4" t="s">
        <v>46</v>
      </c>
      <c r="G32" s="4" t="str">
        <f>VLOOKUP(F32,[1]Sheet1!$B$2:$C$1111,2,FALSE)</f>
        <v>에필로그</v>
      </c>
      <c r="H32" s="6" t="s">
        <v>8</v>
      </c>
      <c r="I32" s="6" t="s">
        <v>64</v>
      </c>
      <c r="J32" s="6">
        <v>0</v>
      </c>
      <c r="K32" s="6">
        <v>0</v>
      </c>
      <c r="L32" s="6">
        <v>0</v>
      </c>
      <c r="M32" s="6">
        <v>0</v>
      </c>
      <c r="N32" s="6">
        <v>0</v>
      </c>
      <c r="O32" s="6">
        <v>0</v>
      </c>
      <c r="P32" s="6">
        <v>0</v>
      </c>
      <c r="Q32" s="6">
        <v>0</v>
      </c>
      <c r="R32" s="6">
        <v>0</v>
      </c>
      <c r="S32" s="6">
        <v>0</v>
      </c>
      <c r="T32" s="6">
        <v>0</v>
      </c>
      <c r="U32" s="6">
        <v>0</v>
      </c>
      <c r="V32" s="6">
        <v>0</v>
      </c>
      <c r="W32" s="6">
        <v>0</v>
      </c>
      <c r="X32" s="6">
        <v>0</v>
      </c>
      <c r="Y32" s="6">
        <v>0</v>
      </c>
      <c r="Z32" s="6">
        <v>0</v>
      </c>
      <c r="AA32" s="6">
        <v>0</v>
      </c>
      <c r="AB32" s="6">
        <v>0</v>
      </c>
      <c r="AC32" s="6">
        <v>0</v>
      </c>
      <c r="AD32" s="6">
        <v>0</v>
      </c>
      <c r="AE32" s="6">
        <v>168</v>
      </c>
      <c r="AF32" s="7">
        <v>16800</v>
      </c>
      <c r="AG32" s="6">
        <v>0</v>
      </c>
      <c r="AH32" s="6">
        <v>0</v>
      </c>
      <c r="AI32" s="6">
        <v>0</v>
      </c>
      <c r="AJ32" s="6">
        <v>0</v>
      </c>
      <c r="AK32" s="6">
        <v>0</v>
      </c>
      <c r="AL32" s="6">
        <v>0</v>
      </c>
      <c r="AM32" s="6">
        <v>0</v>
      </c>
      <c r="AN32" s="6">
        <v>0</v>
      </c>
      <c r="AO32" s="6">
        <v>0</v>
      </c>
      <c r="AP32" s="6">
        <v>0</v>
      </c>
      <c r="AQ32" s="6">
        <v>0</v>
      </c>
      <c r="AR32" s="6">
        <v>0</v>
      </c>
      <c r="AS32" s="6">
        <v>0</v>
      </c>
      <c r="AT32" s="6">
        <v>0</v>
      </c>
      <c r="AU32" s="8">
        <v>16800</v>
      </c>
      <c r="AV32" s="12">
        <f t="shared" si="0"/>
        <v>16800</v>
      </c>
      <c r="AW32">
        <f t="shared" si="1"/>
        <v>11760</v>
      </c>
    </row>
    <row r="33" spans="1:49" x14ac:dyDescent="0.4">
      <c r="A33" s="1" t="s">
        <v>86</v>
      </c>
      <c r="B33" s="4" t="s">
        <v>63</v>
      </c>
      <c r="C33" s="4">
        <v>455900</v>
      </c>
      <c r="D33" s="5"/>
      <c r="E33" s="4" t="s">
        <v>26</v>
      </c>
      <c r="F33" s="4" t="s">
        <v>46</v>
      </c>
      <c r="G33" s="4" t="str">
        <f>VLOOKUP(F33,[1]Sheet1!$B$2:$C$1111,2,FALSE)</f>
        <v>에필로그</v>
      </c>
      <c r="H33" s="6" t="s">
        <v>8</v>
      </c>
      <c r="I33" s="6" t="s">
        <v>64</v>
      </c>
      <c r="J33" s="6">
        <v>0</v>
      </c>
      <c r="K33" s="6">
        <v>0</v>
      </c>
      <c r="L33" s="6">
        <v>0</v>
      </c>
      <c r="M33" s="6">
        <v>0</v>
      </c>
      <c r="N33" s="6">
        <v>0</v>
      </c>
      <c r="O33" s="6">
        <v>0</v>
      </c>
      <c r="P33" s="6">
        <v>0</v>
      </c>
      <c r="Q33" s="6">
        <v>0</v>
      </c>
      <c r="R33" s="6">
        <v>0</v>
      </c>
      <c r="S33" s="6">
        <v>0</v>
      </c>
      <c r="T33" s="6">
        <v>0</v>
      </c>
      <c r="U33" s="6">
        <v>0</v>
      </c>
      <c r="V33" s="6">
        <v>0</v>
      </c>
      <c r="W33" s="6">
        <v>0</v>
      </c>
      <c r="X33" s="6">
        <v>0</v>
      </c>
      <c r="Y33" s="6">
        <v>0</v>
      </c>
      <c r="Z33" s="6">
        <v>0</v>
      </c>
      <c r="AA33" s="6">
        <v>0</v>
      </c>
      <c r="AB33" s="6">
        <v>11</v>
      </c>
      <c r="AC33" s="7">
        <v>9900</v>
      </c>
      <c r="AD33" s="6">
        <v>0</v>
      </c>
      <c r="AE33" s="6">
        <v>0</v>
      </c>
      <c r="AF33" s="6">
        <v>0</v>
      </c>
      <c r="AG33" s="6">
        <v>0</v>
      </c>
      <c r="AH33" s="6">
        <v>0</v>
      </c>
      <c r="AI33" s="6">
        <v>0</v>
      </c>
      <c r="AJ33" s="6">
        <v>0</v>
      </c>
      <c r="AK33" s="6">
        <v>0</v>
      </c>
      <c r="AL33" s="6">
        <v>0</v>
      </c>
      <c r="AM33" s="6">
        <v>0</v>
      </c>
      <c r="AN33" s="6">
        <v>0</v>
      </c>
      <c r="AO33" s="6">
        <v>4</v>
      </c>
      <c r="AP33" s="7">
        <v>3600</v>
      </c>
      <c r="AQ33" s="6">
        <v>0</v>
      </c>
      <c r="AR33" s="6">
        <v>0</v>
      </c>
      <c r="AS33" s="6">
        <v>0</v>
      </c>
      <c r="AT33" s="6">
        <v>0</v>
      </c>
      <c r="AU33" s="8">
        <v>13500</v>
      </c>
      <c r="AV33" s="12">
        <f t="shared" si="0"/>
        <v>13500</v>
      </c>
      <c r="AW33">
        <f t="shared" si="1"/>
        <v>9450</v>
      </c>
    </row>
    <row r="34" spans="1:49" x14ac:dyDescent="0.4">
      <c r="A34" s="1" t="s">
        <v>86</v>
      </c>
      <c r="B34" s="4" t="s">
        <v>85</v>
      </c>
      <c r="C34" s="4">
        <v>445598</v>
      </c>
      <c r="D34" s="5"/>
      <c r="E34" s="4" t="s">
        <v>26</v>
      </c>
      <c r="F34" s="4" t="s">
        <v>46</v>
      </c>
      <c r="G34" s="4" t="str">
        <f>VLOOKUP(F34,[1]Sheet1!$B$2:$C$1111,2,FALSE)</f>
        <v>에필로그</v>
      </c>
      <c r="H34" s="6" t="s">
        <v>8</v>
      </c>
      <c r="I34" s="6" t="s">
        <v>42</v>
      </c>
      <c r="J34" s="6">
        <v>0</v>
      </c>
      <c r="K34" s="6">
        <v>0</v>
      </c>
      <c r="L34" s="6">
        <v>0</v>
      </c>
      <c r="M34" s="6">
        <v>0</v>
      </c>
      <c r="N34" s="6">
        <v>0</v>
      </c>
      <c r="O34" s="6">
        <v>0</v>
      </c>
      <c r="P34" s="6">
        <v>0</v>
      </c>
      <c r="Q34" s="6">
        <v>0</v>
      </c>
      <c r="R34" s="6">
        <v>0</v>
      </c>
      <c r="S34" s="6">
        <v>0</v>
      </c>
      <c r="T34" s="6">
        <v>0</v>
      </c>
      <c r="U34" s="6">
        <v>0</v>
      </c>
      <c r="V34" s="6">
        <v>0</v>
      </c>
      <c r="W34" s="6">
        <v>0</v>
      </c>
      <c r="X34" s="6">
        <v>0</v>
      </c>
      <c r="Y34" s="6">
        <v>0</v>
      </c>
      <c r="Z34" s="6">
        <v>0</v>
      </c>
      <c r="AA34" s="6">
        <v>0</v>
      </c>
      <c r="AB34" s="6">
        <v>0</v>
      </c>
      <c r="AC34" s="6">
        <v>0</v>
      </c>
      <c r="AD34" s="6">
        <v>0</v>
      </c>
      <c r="AE34" s="6">
        <v>122</v>
      </c>
      <c r="AF34" s="7">
        <v>12200</v>
      </c>
      <c r="AG34" s="6">
        <v>0</v>
      </c>
      <c r="AH34" s="6">
        <v>0</v>
      </c>
      <c r="AI34" s="6">
        <v>0</v>
      </c>
      <c r="AJ34" s="6">
        <v>0</v>
      </c>
      <c r="AK34" s="6">
        <v>0</v>
      </c>
      <c r="AL34" s="6">
        <v>0</v>
      </c>
      <c r="AM34" s="6">
        <v>0</v>
      </c>
      <c r="AN34" s="6">
        <v>0</v>
      </c>
      <c r="AO34" s="6">
        <v>0</v>
      </c>
      <c r="AP34" s="6">
        <v>0</v>
      </c>
      <c r="AQ34" s="6">
        <v>0</v>
      </c>
      <c r="AR34" s="6">
        <v>0</v>
      </c>
      <c r="AS34" s="6">
        <v>0</v>
      </c>
      <c r="AT34" s="6">
        <v>0</v>
      </c>
      <c r="AU34" s="8">
        <v>12200</v>
      </c>
      <c r="AV34" s="12">
        <f t="shared" si="0"/>
        <v>12200</v>
      </c>
      <c r="AW34">
        <f t="shared" si="1"/>
        <v>8540</v>
      </c>
    </row>
    <row r="35" spans="1:49" ht="19.2" x14ac:dyDescent="0.4">
      <c r="A35" s="1" t="s">
        <v>86</v>
      </c>
      <c r="B35" s="4" t="s">
        <v>31</v>
      </c>
      <c r="C35" s="4">
        <v>387161</v>
      </c>
      <c r="D35" s="5"/>
      <c r="E35" s="4" t="s">
        <v>26</v>
      </c>
      <c r="F35" s="4" t="s">
        <v>32</v>
      </c>
      <c r="G35" s="4" t="str">
        <f>VLOOKUP(F35,[1]Sheet1!$B$2:$C$1111,2,FALSE)</f>
        <v>더컴퍼니</v>
      </c>
      <c r="H35" s="6" t="s">
        <v>29</v>
      </c>
      <c r="I35" s="6" t="s">
        <v>33</v>
      </c>
      <c r="J35" s="6">
        <v>0</v>
      </c>
      <c r="K35" s="6">
        <v>0</v>
      </c>
      <c r="L35" s="6">
        <v>0</v>
      </c>
      <c r="M35" s="6">
        <v>0</v>
      </c>
      <c r="N35" s="6">
        <v>0</v>
      </c>
      <c r="O35" s="6">
        <v>0</v>
      </c>
      <c r="P35" s="6">
        <v>0</v>
      </c>
      <c r="Q35" s="6">
        <v>0</v>
      </c>
      <c r="R35" s="6">
        <v>0</v>
      </c>
      <c r="S35" s="6">
        <v>0</v>
      </c>
      <c r="T35" s="6">
        <v>0</v>
      </c>
      <c r="U35" s="6">
        <v>0</v>
      </c>
      <c r="V35" s="6">
        <v>0</v>
      </c>
      <c r="W35" s="6">
        <v>0</v>
      </c>
      <c r="X35" s="6">
        <v>0</v>
      </c>
      <c r="Y35" s="6">
        <v>0</v>
      </c>
      <c r="Z35" s="6">
        <v>0</v>
      </c>
      <c r="AA35" s="6">
        <v>0</v>
      </c>
      <c r="AB35" s="6">
        <v>0</v>
      </c>
      <c r="AC35" s="6">
        <v>0</v>
      </c>
      <c r="AD35" s="6">
        <v>0</v>
      </c>
      <c r="AE35" s="6">
        <v>3</v>
      </c>
      <c r="AF35" s="7">
        <v>9600</v>
      </c>
      <c r="AG35" s="6">
        <v>0</v>
      </c>
      <c r="AH35" s="6">
        <v>0</v>
      </c>
      <c r="AI35" s="6">
        <v>0</v>
      </c>
      <c r="AJ35" s="6">
        <v>0</v>
      </c>
      <c r="AK35" s="6">
        <v>0</v>
      </c>
      <c r="AL35" s="6">
        <v>0</v>
      </c>
      <c r="AM35" s="6">
        <v>0</v>
      </c>
      <c r="AN35" s="6">
        <v>0</v>
      </c>
      <c r="AO35" s="6">
        <v>0</v>
      </c>
      <c r="AP35" s="6">
        <v>0</v>
      </c>
      <c r="AQ35" s="6">
        <v>0</v>
      </c>
      <c r="AR35" s="6">
        <v>0</v>
      </c>
      <c r="AS35" s="6">
        <v>0</v>
      </c>
      <c r="AT35" s="6">
        <v>0</v>
      </c>
      <c r="AU35" s="8">
        <v>9600</v>
      </c>
      <c r="AV35" s="12">
        <f t="shared" si="0"/>
        <v>9600</v>
      </c>
      <c r="AW35">
        <f t="shared" si="1"/>
        <v>6720</v>
      </c>
    </row>
    <row r="36" spans="1:49" x14ac:dyDescent="0.4">
      <c r="A36" s="1" t="s">
        <v>86</v>
      </c>
      <c r="B36" s="4" t="s">
        <v>52</v>
      </c>
      <c r="C36" s="4">
        <v>451947</v>
      </c>
      <c r="D36" s="5"/>
      <c r="E36" s="4" t="s">
        <v>26</v>
      </c>
      <c r="F36" s="4" t="s">
        <v>46</v>
      </c>
      <c r="G36" s="4" t="str">
        <f>VLOOKUP(F36,[1]Sheet1!$B$2:$C$1111,2,FALSE)</f>
        <v>에필로그</v>
      </c>
      <c r="H36" s="6" t="s">
        <v>8</v>
      </c>
      <c r="I36" s="6" t="s">
        <v>48</v>
      </c>
      <c r="J36" s="6">
        <v>0</v>
      </c>
      <c r="K36" s="6">
        <v>0</v>
      </c>
      <c r="L36" s="6">
        <v>0</v>
      </c>
      <c r="M36" s="6">
        <v>0</v>
      </c>
      <c r="N36" s="6">
        <v>0</v>
      </c>
      <c r="O36" s="6">
        <v>0</v>
      </c>
      <c r="P36" s="6">
        <v>0</v>
      </c>
      <c r="Q36" s="6">
        <v>0</v>
      </c>
      <c r="R36" s="6">
        <v>0</v>
      </c>
      <c r="S36" s="6">
        <v>0</v>
      </c>
      <c r="T36" s="6">
        <v>0</v>
      </c>
      <c r="U36" s="6">
        <v>0</v>
      </c>
      <c r="V36" s="6">
        <v>0</v>
      </c>
      <c r="W36" s="6">
        <v>0</v>
      </c>
      <c r="X36" s="6">
        <v>0</v>
      </c>
      <c r="Y36" s="6">
        <v>0</v>
      </c>
      <c r="Z36" s="6">
        <v>0</v>
      </c>
      <c r="AA36" s="6">
        <v>0</v>
      </c>
      <c r="AB36" s="6">
        <v>0</v>
      </c>
      <c r="AC36" s="6">
        <v>0</v>
      </c>
      <c r="AD36" s="6">
        <v>0</v>
      </c>
      <c r="AE36" s="6">
        <v>73</v>
      </c>
      <c r="AF36" s="7">
        <v>7300</v>
      </c>
      <c r="AG36" s="6">
        <v>0</v>
      </c>
      <c r="AH36" s="6">
        <v>0</v>
      </c>
      <c r="AI36" s="6">
        <v>0</v>
      </c>
      <c r="AJ36" s="6">
        <v>0</v>
      </c>
      <c r="AK36" s="6">
        <v>0</v>
      </c>
      <c r="AL36" s="6">
        <v>0</v>
      </c>
      <c r="AM36" s="6">
        <v>0</v>
      </c>
      <c r="AN36" s="6">
        <v>0</v>
      </c>
      <c r="AO36" s="6">
        <v>0</v>
      </c>
      <c r="AP36" s="6">
        <v>0</v>
      </c>
      <c r="AQ36" s="6">
        <v>0</v>
      </c>
      <c r="AR36" s="6">
        <v>0</v>
      </c>
      <c r="AS36" s="6">
        <v>0</v>
      </c>
      <c r="AT36" s="6">
        <v>0</v>
      </c>
      <c r="AU36" s="8">
        <v>7300</v>
      </c>
      <c r="AV36" s="12">
        <f t="shared" si="0"/>
        <v>7300</v>
      </c>
      <c r="AW36">
        <f t="shared" si="1"/>
        <v>5110</v>
      </c>
    </row>
    <row r="37" spans="1:49" x14ac:dyDescent="0.4">
      <c r="A37" s="1" t="s">
        <v>86</v>
      </c>
      <c r="B37" s="4" t="s">
        <v>50</v>
      </c>
      <c r="C37" s="4">
        <v>454228</v>
      </c>
      <c r="D37" s="5"/>
      <c r="E37" s="4" t="s">
        <v>26</v>
      </c>
      <c r="F37" s="4" t="s">
        <v>46</v>
      </c>
      <c r="G37" s="4" t="str">
        <f>VLOOKUP(F37,[1]Sheet1!$B$2:$C$1111,2,FALSE)</f>
        <v>에필로그</v>
      </c>
      <c r="H37" s="6" t="s">
        <v>8</v>
      </c>
      <c r="I37" s="6" t="s">
        <v>51</v>
      </c>
      <c r="J37" s="6">
        <v>0</v>
      </c>
      <c r="K37" s="6">
        <v>0</v>
      </c>
      <c r="L37" s="6">
        <v>0</v>
      </c>
      <c r="M37" s="6">
        <v>0</v>
      </c>
      <c r="N37" s="6">
        <v>0</v>
      </c>
      <c r="O37" s="6">
        <v>0</v>
      </c>
      <c r="P37" s="6">
        <v>0</v>
      </c>
      <c r="Q37" s="6">
        <v>0</v>
      </c>
      <c r="R37" s="6">
        <v>0</v>
      </c>
      <c r="S37" s="6">
        <v>0</v>
      </c>
      <c r="T37" s="6">
        <v>0</v>
      </c>
      <c r="U37" s="6">
        <v>0</v>
      </c>
      <c r="V37" s="6">
        <v>0</v>
      </c>
      <c r="W37" s="6">
        <v>0</v>
      </c>
      <c r="X37" s="6">
        <v>0</v>
      </c>
      <c r="Y37" s="6">
        <v>0</v>
      </c>
      <c r="Z37" s="6">
        <v>0</v>
      </c>
      <c r="AA37" s="6">
        <v>0</v>
      </c>
      <c r="AB37" s="6">
        <v>8</v>
      </c>
      <c r="AC37" s="7">
        <v>7200</v>
      </c>
      <c r="AD37" s="6">
        <v>0</v>
      </c>
      <c r="AE37" s="6">
        <v>0</v>
      </c>
      <c r="AF37" s="6">
        <v>0</v>
      </c>
      <c r="AG37" s="6">
        <v>0</v>
      </c>
      <c r="AH37" s="6">
        <v>0</v>
      </c>
      <c r="AI37" s="6">
        <v>0</v>
      </c>
      <c r="AJ37" s="6">
        <v>0</v>
      </c>
      <c r="AK37" s="6">
        <v>0</v>
      </c>
      <c r="AL37" s="6">
        <v>0</v>
      </c>
      <c r="AM37" s="6">
        <v>0</v>
      </c>
      <c r="AN37" s="6">
        <v>0</v>
      </c>
      <c r="AO37" s="6">
        <v>0</v>
      </c>
      <c r="AP37" s="6">
        <v>0</v>
      </c>
      <c r="AQ37" s="6">
        <v>0</v>
      </c>
      <c r="AR37" s="6">
        <v>0</v>
      </c>
      <c r="AS37" s="6">
        <v>0</v>
      </c>
      <c r="AT37" s="6">
        <v>0</v>
      </c>
      <c r="AU37" s="8">
        <v>7200</v>
      </c>
      <c r="AV37" s="12">
        <f t="shared" si="0"/>
        <v>7200</v>
      </c>
      <c r="AW37">
        <f t="shared" si="1"/>
        <v>5040</v>
      </c>
    </row>
    <row r="38" spans="1:49" x14ac:dyDescent="0.4">
      <c r="A38" s="1" t="s">
        <v>86</v>
      </c>
      <c r="B38" s="4" t="s">
        <v>67</v>
      </c>
      <c r="C38" s="4">
        <v>408836</v>
      </c>
      <c r="D38" s="5"/>
      <c r="E38" s="4" t="s">
        <v>26</v>
      </c>
      <c r="F38" s="4" t="s">
        <v>27</v>
      </c>
      <c r="G38" s="4" t="str">
        <f>VLOOKUP(F38,[1]Sheet1!$B$2:$C$1111,2,FALSE)</f>
        <v>에필로그</v>
      </c>
      <c r="H38" s="6" t="s">
        <v>8</v>
      </c>
      <c r="I38" s="6" t="s">
        <v>68</v>
      </c>
      <c r="J38" s="6">
        <v>0</v>
      </c>
      <c r="K38" s="6">
        <v>0</v>
      </c>
      <c r="L38" s="6">
        <v>0</v>
      </c>
      <c r="M38" s="6">
        <v>0</v>
      </c>
      <c r="N38" s="6">
        <v>0</v>
      </c>
      <c r="O38" s="6">
        <v>0</v>
      </c>
      <c r="P38" s="6">
        <v>0</v>
      </c>
      <c r="Q38" s="6">
        <v>0</v>
      </c>
      <c r="R38" s="6">
        <v>0</v>
      </c>
      <c r="S38" s="6">
        <v>0</v>
      </c>
      <c r="T38" s="6">
        <v>0</v>
      </c>
      <c r="U38" s="6">
        <v>0</v>
      </c>
      <c r="V38" s="6">
        <v>0</v>
      </c>
      <c r="W38" s="6">
        <v>0</v>
      </c>
      <c r="X38" s="6">
        <v>0</v>
      </c>
      <c r="Y38" s="6">
        <v>0</v>
      </c>
      <c r="Z38" s="6">
        <v>0</v>
      </c>
      <c r="AA38" s="6">
        <v>0</v>
      </c>
      <c r="AB38" s="6">
        <v>9</v>
      </c>
      <c r="AC38" s="7">
        <v>6300</v>
      </c>
      <c r="AD38" s="6">
        <v>0</v>
      </c>
      <c r="AE38" s="6">
        <v>0</v>
      </c>
      <c r="AF38" s="6">
        <v>0</v>
      </c>
      <c r="AG38" s="6">
        <v>0</v>
      </c>
      <c r="AH38" s="6">
        <v>0</v>
      </c>
      <c r="AI38" s="6">
        <v>0</v>
      </c>
      <c r="AJ38" s="6">
        <v>0</v>
      </c>
      <c r="AK38" s="6">
        <v>0</v>
      </c>
      <c r="AL38" s="6">
        <v>0</v>
      </c>
      <c r="AM38" s="6">
        <v>0</v>
      </c>
      <c r="AN38" s="6">
        <v>0</v>
      </c>
      <c r="AO38" s="6">
        <v>0</v>
      </c>
      <c r="AP38" s="6">
        <v>0</v>
      </c>
      <c r="AQ38" s="6">
        <v>0</v>
      </c>
      <c r="AR38" s="6">
        <v>0</v>
      </c>
      <c r="AS38" s="6">
        <v>0</v>
      </c>
      <c r="AT38" s="6">
        <v>0</v>
      </c>
      <c r="AU38" s="8">
        <v>6300</v>
      </c>
      <c r="AV38" s="12">
        <f t="shared" si="0"/>
        <v>6300</v>
      </c>
      <c r="AW38">
        <f t="shared" si="1"/>
        <v>4410</v>
      </c>
    </row>
    <row r="39" spans="1:49" ht="19.2" x14ac:dyDescent="0.4">
      <c r="A39" s="1" t="s">
        <v>86</v>
      </c>
      <c r="B39" s="4" t="s">
        <v>47</v>
      </c>
      <c r="C39" s="4">
        <v>453445</v>
      </c>
      <c r="D39" s="5"/>
      <c r="E39" s="4" t="s">
        <v>26</v>
      </c>
      <c r="F39" s="4" t="s">
        <v>46</v>
      </c>
      <c r="G39" s="4" t="str">
        <f>VLOOKUP(F39,[1]Sheet1!$B$2:$C$1111,2,FALSE)</f>
        <v>에필로그</v>
      </c>
      <c r="H39" s="6" t="s">
        <v>9</v>
      </c>
      <c r="I39" s="6" t="s">
        <v>48</v>
      </c>
      <c r="J39" s="6">
        <v>0</v>
      </c>
      <c r="K39" s="6">
        <v>0</v>
      </c>
      <c r="L39" s="6">
        <v>0</v>
      </c>
      <c r="M39" s="6">
        <v>0</v>
      </c>
      <c r="N39" s="6">
        <v>0</v>
      </c>
      <c r="O39" s="6">
        <v>0</v>
      </c>
      <c r="P39" s="6">
        <v>0</v>
      </c>
      <c r="Q39" s="6">
        <v>0</v>
      </c>
      <c r="R39" s="6">
        <v>0</v>
      </c>
      <c r="S39" s="6">
        <v>0</v>
      </c>
      <c r="T39" s="6">
        <v>0</v>
      </c>
      <c r="U39" s="6">
        <v>0</v>
      </c>
      <c r="V39" s="6">
        <v>0</v>
      </c>
      <c r="W39" s="6">
        <v>0</v>
      </c>
      <c r="X39" s="6">
        <v>0</v>
      </c>
      <c r="Y39" s="6">
        <v>0</v>
      </c>
      <c r="Z39" s="6">
        <v>0</v>
      </c>
      <c r="AA39" s="6">
        <v>0</v>
      </c>
      <c r="AB39" s="6">
        <v>4</v>
      </c>
      <c r="AC39" s="7">
        <v>3600</v>
      </c>
      <c r="AD39" s="6">
        <v>0</v>
      </c>
      <c r="AE39" s="6">
        <v>0</v>
      </c>
      <c r="AF39" s="6">
        <v>0</v>
      </c>
      <c r="AG39" s="6">
        <v>0</v>
      </c>
      <c r="AH39" s="6">
        <v>0</v>
      </c>
      <c r="AI39" s="6">
        <v>0</v>
      </c>
      <c r="AJ39" s="6">
        <v>0</v>
      </c>
      <c r="AK39" s="6">
        <v>0</v>
      </c>
      <c r="AL39" s="6">
        <v>0</v>
      </c>
      <c r="AM39" s="6">
        <v>0</v>
      </c>
      <c r="AN39" s="6">
        <v>0</v>
      </c>
      <c r="AO39" s="6">
        <v>0</v>
      </c>
      <c r="AP39" s="6">
        <v>0</v>
      </c>
      <c r="AQ39" s="6">
        <v>0</v>
      </c>
      <c r="AR39" s="6">
        <v>0</v>
      </c>
      <c r="AS39" s="6">
        <v>0</v>
      </c>
      <c r="AT39" s="6">
        <v>0</v>
      </c>
      <c r="AU39" s="8">
        <v>3600</v>
      </c>
      <c r="AV39" s="12">
        <f t="shared" si="0"/>
        <v>3600</v>
      </c>
      <c r="AW39">
        <f t="shared" si="1"/>
        <v>2520</v>
      </c>
    </row>
    <row r="40" spans="1:49" x14ac:dyDescent="0.4">
      <c r="A40" s="1" t="s">
        <v>86</v>
      </c>
      <c r="B40" s="4" t="s">
        <v>128</v>
      </c>
      <c r="C40" s="4">
        <v>408846</v>
      </c>
      <c r="D40" s="5"/>
      <c r="E40" s="4" t="s">
        <v>26</v>
      </c>
      <c r="F40" s="4" t="s">
        <v>27</v>
      </c>
      <c r="G40" s="4" t="str">
        <f>VLOOKUP(F40,[1]Sheet1!$B$2:$C$1111,2,FALSE)</f>
        <v>에필로그</v>
      </c>
      <c r="H40" s="6" t="s">
        <v>8</v>
      </c>
      <c r="I40" s="6" t="s">
        <v>129</v>
      </c>
      <c r="J40" s="6">
        <v>0</v>
      </c>
      <c r="K40" s="6">
        <v>0</v>
      </c>
      <c r="L40" s="6">
        <v>0</v>
      </c>
      <c r="M40" s="6">
        <v>0</v>
      </c>
      <c r="N40" s="6">
        <v>0</v>
      </c>
      <c r="O40" s="6">
        <v>0</v>
      </c>
      <c r="P40" s="6">
        <v>0</v>
      </c>
      <c r="Q40" s="6">
        <v>0</v>
      </c>
      <c r="R40" s="6">
        <v>0</v>
      </c>
      <c r="S40" s="6">
        <v>0</v>
      </c>
      <c r="T40" s="6">
        <v>0</v>
      </c>
      <c r="U40" s="6">
        <v>0</v>
      </c>
      <c r="V40" s="6">
        <v>0</v>
      </c>
      <c r="W40" s="6">
        <v>0</v>
      </c>
      <c r="X40" s="6">
        <v>0</v>
      </c>
      <c r="Y40" s="6">
        <v>0</v>
      </c>
      <c r="Z40" s="6">
        <v>0</v>
      </c>
      <c r="AA40" s="6">
        <v>0</v>
      </c>
      <c r="AB40" s="6">
        <v>4</v>
      </c>
      <c r="AC40" s="7">
        <v>3600</v>
      </c>
      <c r="AD40" s="6">
        <v>0</v>
      </c>
      <c r="AE40" s="6">
        <v>0</v>
      </c>
      <c r="AF40" s="6">
        <v>0</v>
      </c>
      <c r="AG40" s="6">
        <v>0</v>
      </c>
      <c r="AH40" s="6">
        <v>0</v>
      </c>
      <c r="AI40" s="6">
        <v>0</v>
      </c>
      <c r="AJ40" s="6">
        <v>0</v>
      </c>
      <c r="AK40" s="6">
        <v>0</v>
      </c>
      <c r="AL40" s="6">
        <v>0</v>
      </c>
      <c r="AM40" s="6">
        <v>0</v>
      </c>
      <c r="AN40" s="6">
        <v>0</v>
      </c>
      <c r="AO40" s="6">
        <v>0</v>
      </c>
      <c r="AP40" s="6">
        <v>0</v>
      </c>
      <c r="AQ40" s="6">
        <v>0</v>
      </c>
      <c r="AR40" s="6">
        <v>0</v>
      </c>
      <c r="AS40" s="6">
        <v>0</v>
      </c>
      <c r="AT40" s="6">
        <v>0</v>
      </c>
      <c r="AU40" s="8">
        <v>3600</v>
      </c>
      <c r="AV40" s="12">
        <f t="shared" si="0"/>
        <v>3600</v>
      </c>
      <c r="AW40">
        <f t="shared" si="1"/>
        <v>2520</v>
      </c>
    </row>
    <row r="41" spans="1:49" x14ac:dyDescent="0.4">
      <c r="A41" s="1" t="s">
        <v>86</v>
      </c>
      <c r="B41" s="4" t="s">
        <v>119</v>
      </c>
      <c r="C41" s="4">
        <v>382098</v>
      </c>
      <c r="D41" s="5"/>
      <c r="E41" s="4" t="s">
        <v>26</v>
      </c>
      <c r="F41" s="4" t="s">
        <v>46</v>
      </c>
      <c r="G41" s="4" t="str">
        <f>VLOOKUP(F41,[1]Sheet1!$B$2:$C$1111,2,FALSE)</f>
        <v>에필로그</v>
      </c>
      <c r="H41" s="6" t="s">
        <v>8</v>
      </c>
      <c r="I41" s="6" t="s">
        <v>120</v>
      </c>
      <c r="J41" s="6">
        <v>0</v>
      </c>
      <c r="K41" s="6">
        <v>0</v>
      </c>
      <c r="L41" s="6">
        <v>0</v>
      </c>
      <c r="M41" s="6">
        <v>0</v>
      </c>
      <c r="N41" s="6">
        <v>0</v>
      </c>
      <c r="O41" s="6">
        <v>0</v>
      </c>
      <c r="P41" s="6">
        <v>0</v>
      </c>
      <c r="Q41" s="6">
        <v>0</v>
      </c>
      <c r="R41" s="6">
        <v>0</v>
      </c>
      <c r="S41" s="6">
        <v>0</v>
      </c>
      <c r="T41" s="6">
        <v>0</v>
      </c>
      <c r="U41" s="6">
        <v>0</v>
      </c>
      <c r="V41" s="6">
        <v>0</v>
      </c>
      <c r="W41" s="6">
        <v>0</v>
      </c>
      <c r="X41" s="6">
        <v>0</v>
      </c>
      <c r="Y41" s="6">
        <v>0</v>
      </c>
      <c r="Z41" s="6">
        <v>0</v>
      </c>
      <c r="AA41" s="6">
        <v>0</v>
      </c>
      <c r="AB41" s="6">
        <v>2</v>
      </c>
      <c r="AC41" s="7">
        <v>1800</v>
      </c>
      <c r="AD41" s="6">
        <v>0</v>
      </c>
      <c r="AE41" s="6">
        <v>0</v>
      </c>
      <c r="AF41" s="6">
        <v>0</v>
      </c>
      <c r="AG41" s="6">
        <v>0</v>
      </c>
      <c r="AH41" s="6">
        <v>0</v>
      </c>
      <c r="AI41" s="6">
        <v>0</v>
      </c>
      <c r="AJ41" s="6">
        <v>0</v>
      </c>
      <c r="AK41" s="6">
        <v>0</v>
      </c>
      <c r="AL41" s="6">
        <v>0</v>
      </c>
      <c r="AM41" s="6">
        <v>0</v>
      </c>
      <c r="AN41" s="6">
        <v>0</v>
      </c>
      <c r="AO41" s="6">
        <v>1</v>
      </c>
      <c r="AP41" s="6">
        <v>900</v>
      </c>
      <c r="AQ41" s="6">
        <v>0</v>
      </c>
      <c r="AR41" s="6">
        <v>0</v>
      </c>
      <c r="AS41" s="6">
        <v>0</v>
      </c>
      <c r="AT41" s="6">
        <v>0</v>
      </c>
      <c r="AU41" s="8">
        <v>2700</v>
      </c>
      <c r="AV41" s="12">
        <f t="shared" si="0"/>
        <v>2700</v>
      </c>
      <c r="AW41">
        <f t="shared" si="1"/>
        <v>1889.9999999999998</v>
      </c>
    </row>
    <row r="42" spans="1:49" x14ac:dyDescent="0.4">
      <c r="A42" s="1" t="s">
        <v>86</v>
      </c>
      <c r="B42" s="4" t="s">
        <v>81</v>
      </c>
      <c r="C42" s="4">
        <v>454224</v>
      </c>
      <c r="D42" s="5"/>
      <c r="E42" s="4" t="s">
        <v>26</v>
      </c>
      <c r="F42" s="4" t="s">
        <v>46</v>
      </c>
      <c r="G42" s="4" t="str">
        <f>VLOOKUP(F42,[1]Sheet1!$B$2:$C$1111,2,FALSE)</f>
        <v>에필로그</v>
      </c>
      <c r="H42" s="6" t="s">
        <v>8</v>
      </c>
      <c r="I42" s="6" t="s">
        <v>51</v>
      </c>
      <c r="J42" s="6">
        <v>0</v>
      </c>
      <c r="K42" s="6">
        <v>0</v>
      </c>
      <c r="L42" s="6">
        <v>0</v>
      </c>
      <c r="M42" s="6">
        <v>0</v>
      </c>
      <c r="N42" s="6">
        <v>0</v>
      </c>
      <c r="O42" s="6">
        <v>0</v>
      </c>
      <c r="P42" s="6">
        <v>0</v>
      </c>
      <c r="Q42" s="6">
        <v>0</v>
      </c>
      <c r="R42" s="6">
        <v>0</v>
      </c>
      <c r="S42" s="6">
        <v>0</v>
      </c>
      <c r="T42" s="6">
        <v>0</v>
      </c>
      <c r="U42" s="6">
        <v>0</v>
      </c>
      <c r="V42" s="6">
        <v>0</v>
      </c>
      <c r="W42" s="6">
        <v>0</v>
      </c>
      <c r="X42" s="6">
        <v>0</v>
      </c>
      <c r="Y42" s="6">
        <v>0</v>
      </c>
      <c r="Z42" s="6">
        <v>0</v>
      </c>
      <c r="AA42" s="6">
        <v>0</v>
      </c>
      <c r="AB42" s="6">
        <v>0</v>
      </c>
      <c r="AC42" s="6">
        <v>0</v>
      </c>
      <c r="AD42" s="6">
        <v>0</v>
      </c>
      <c r="AE42" s="6">
        <v>11</v>
      </c>
      <c r="AF42" s="7">
        <v>1100</v>
      </c>
      <c r="AG42" s="6">
        <v>0</v>
      </c>
      <c r="AH42" s="6">
        <v>0</v>
      </c>
      <c r="AI42" s="6">
        <v>0</v>
      </c>
      <c r="AJ42" s="6">
        <v>0</v>
      </c>
      <c r="AK42" s="6">
        <v>0</v>
      </c>
      <c r="AL42" s="6">
        <v>0</v>
      </c>
      <c r="AM42" s="6">
        <v>0</v>
      </c>
      <c r="AN42" s="6">
        <v>0</v>
      </c>
      <c r="AO42" s="6">
        <v>0</v>
      </c>
      <c r="AP42" s="6">
        <v>0</v>
      </c>
      <c r="AQ42" s="6">
        <v>0</v>
      </c>
      <c r="AR42" s="6">
        <v>0</v>
      </c>
      <c r="AS42" s="6">
        <v>0</v>
      </c>
      <c r="AT42" s="6">
        <v>0</v>
      </c>
      <c r="AU42" s="8">
        <v>1100</v>
      </c>
      <c r="AV42" s="12">
        <f t="shared" si="0"/>
        <v>1100</v>
      </c>
      <c r="AW42">
        <f t="shared" si="1"/>
        <v>770</v>
      </c>
    </row>
    <row r="43" spans="1:49" ht="19.2" x14ac:dyDescent="0.4">
      <c r="A43" s="1" t="s">
        <v>86</v>
      </c>
      <c r="B43" s="4" t="s">
        <v>82</v>
      </c>
      <c r="C43" s="4">
        <v>460820</v>
      </c>
      <c r="D43" s="5"/>
      <c r="E43" s="4" t="s">
        <v>26</v>
      </c>
      <c r="F43" s="4" t="s">
        <v>83</v>
      </c>
      <c r="G43" s="4" t="str">
        <f>VLOOKUP(F43,[1]Sheet1!$B$2:$C$1111,2,FALSE)</f>
        <v>더컴퍼니</v>
      </c>
      <c r="H43" s="6" t="s">
        <v>9</v>
      </c>
      <c r="I43" s="6" t="s">
        <v>84</v>
      </c>
      <c r="J43" s="6">
        <v>0</v>
      </c>
      <c r="K43" s="6">
        <v>0</v>
      </c>
      <c r="L43" s="6">
        <v>0</v>
      </c>
      <c r="M43" s="6">
        <v>0</v>
      </c>
      <c r="N43" s="6">
        <v>0</v>
      </c>
      <c r="O43" s="6">
        <v>0</v>
      </c>
      <c r="P43" s="6">
        <v>0</v>
      </c>
      <c r="Q43" s="6">
        <v>0</v>
      </c>
      <c r="R43" s="6">
        <v>0</v>
      </c>
      <c r="S43" s="6">
        <v>0</v>
      </c>
      <c r="T43" s="6">
        <v>0</v>
      </c>
      <c r="U43" s="6">
        <v>0</v>
      </c>
      <c r="V43" s="6">
        <v>0</v>
      </c>
      <c r="W43" s="6">
        <v>0</v>
      </c>
      <c r="X43" s="6">
        <v>0</v>
      </c>
      <c r="Y43" s="6">
        <v>0</v>
      </c>
      <c r="Z43" s="6">
        <v>0</v>
      </c>
      <c r="AA43" s="6">
        <v>0</v>
      </c>
      <c r="AB43" s="6">
        <v>0</v>
      </c>
      <c r="AC43" s="6">
        <v>0</v>
      </c>
      <c r="AD43" s="6">
        <v>0</v>
      </c>
      <c r="AE43" s="6">
        <v>5</v>
      </c>
      <c r="AF43" s="6">
        <v>500</v>
      </c>
      <c r="AG43" s="6">
        <v>0</v>
      </c>
      <c r="AH43" s="6">
        <v>0</v>
      </c>
      <c r="AI43" s="6">
        <v>0</v>
      </c>
      <c r="AJ43" s="6">
        <v>0</v>
      </c>
      <c r="AK43" s="6">
        <v>0</v>
      </c>
      <c r="AL43" s="6">
        <v>0</v>
      </c>
      <c r="AM43" s="6">
        <v>0</v>
      </c>
      <c r="AN43" s="6">
        <v>0</v>
      </c>
      <c r="AO43" s="6">
        <v>0</v>
      </c>
      <c r="AP43" s="6">
        <v>0</v>
      </c>
      <c r="AQ43" s="6">
        <v>0</v>
      </c>
      <c r="AR43" s="6">
        <v>0</v>
      </c>
      <c r="AS43" s="6">
        <v>0</v>
      </c>
      <c r="AT43" s="6">
        <v>0</v>
      </c>
      <c r="AU43" s="9">
        <v>500</v>
      </c>
      <c r="AV43" s="12">
        <f t="shared" si="0"/>
        <v>500</v>
      </c>
      <c r="AW43">
        <f t="shared" si="1"/>
        <v>350</v>
      </c>
    </row>
    <row r="44" spans="1:49" x14ac:dyDescent="0.4">
      <c r="A44" s="1" t="s">
        <v>86</v>
      </c>
      <c r="B44" s="4" t="s">
        <v>40</v>
      </c>
      <c r="C44" s="4">
        <v>440710</v>
      </c>
      <c r="D44" s="5"/>
      <c r="E44" s="4" t="s">
        <v>26</v>
      </c>
      <c r="F44" s="4" t="s">
        <v>41</v>
      </c>
      <c r="G44" s="4" t="str">
        <f>VLOOKUP(F44,[1]Sheet1!$B$2:$C$1111,2,FALSE)</f>
        <v>아크스튜디오</v>
      </c>
      <c r="H44" s="6" t="s">
        <v>8</v>
      </c>
      <c r="I44" s="6" t="s">
        <v>53</v>
      </c>
      <c r="J44" s="6">
        <v>0</v>
      </c>
      <c r="K44" s="6">
        <v>21</v>
      </c>
      <c r="L44" s="6">
        <v>0</v>
      </c>
      <c r="M44" s="6">
        <v>0</v>
      </c>
      <c r="N44" s="6">
        <v>0</v>
      </c>
      <c r="O44" s="6">
        <v>0</v>
      </c>
      <c r="P44" s="6">
        <v>0</v>
      </c>
      <c r="Q44" s="6">
        <v>0</v>
      </c>
      <c r="R44" s="6">
        <v>0</v>
      </c>
      <c r="S44" s="6">
        <v>0</v>
      </c>
      <c r="T44" s="6">
        <v>0</v>
      </c>
      <c r="U44" s="6">
        <v>0</v>
      </c>
      <c r="V44" s="6">
        <v>0</v>
      </c>
      <c r="W44" s="6">
        <v>0</v>
      </c>
      <c r="X44" s="6">
        <v>0</v>
      </c>
      <c r="Y44" s="6">
        <v>0</v>
      </c>
      <c r="Z44" s="6">
        <v>0</v>
      </c>
      <c r="AA44" s="6">
        <v>0</v>
      </c>
      <c r="AB44" s="6">
        <v>0</v>
      </c>
      <c r="AC44" s="6">
        <v>0</v>
      </c>
      <c r="AD44" s="6">
        <v>0</v>
      </c>
      <c r="AE44" s="6">
        <v>0</v>
      </c>
      <c r="AF44" s="6">
        <v>0</v>
      </c>
      <c r="AG44" s="6">
        <v>0</v>
      </c>
      <c r="AH44" s="6">
        <v>0</v>
      </c>
      <c r="AI44" s="6">
        <v>0</v>
      </c>
      <c r="AJ44" s="6">
        <v>0</v>
      </c>
      <c r="AK44" s="6">
        <v>0</v>
      </c>
      <c r="AL44" s="6">
        <v>0</v>
      </c>
      <c r="AM44" s="6">
        <v>0</v>
      </c>
      <c r="AN44" s="6">
        <v>0</v>
      </c>
      <c r="AO44" s="6">
        <v>0</v>
      </c>
      <c r="AP44" s="6">
        <v>0</v>
      </c>
      <c r="AQ44" s="6">
        <v>0</v>
      </c>
      <c r="AR44" s="6">
        <v>0</v>
      </c>
      <c r="AS44" s="6">
        <v>0</v>
      </c>
      <c r="AT44" s="6">
        <v>0</v>
      </c>
      <c r="AU44" s="9">
        <v>0</v>
      </c>
      <c r="AV44" s="12">
        <f t="shared" si="0"/>
        <v>0</v>
      </c>
      <c r="AW44">
        <f t="shared" si="1"/>
        <v>0</v>
      </c>
    </row>
    <row r="45" spans="1:49" ht="19.2" x14ac:dyDescent="0.4">
      <c r="A45" s="1" t="s">
        <v>86</v>
      </c>
      <c r="B45" s="4" t="s">
        <v>43</v>
      </c>
      <c r="C45" s="4">
        <v>448030</v>
      </c>
      <c r="D45" s="5"/>
      <c r="E45" s="4" t="s">
        <v>26</v>
      </c>
      <c r="F45" s="4" t="s">
        <v>38</v>
      </c>
      <c r="G45" s="4" t="str">
        <f>VLOOKUP(F45,[1]Sheet1!$B$2:$C$1111,2,FALSE)</f>
        <v>더컴퍼니</v>
      </c>
      <c r="H45" s="6" t="s">
        <v>9</v>
      </c>
      <c r="I45" s="6" t="s">
        <v>44</v>
      </c>
      <c r="J45" s="6">
        <v>0</v>
      </c>
      <c r="K45" s="6">
        <v>9</v>
      </c>
      <c r="L45" s="6">
        <v>0</v>
      </c>
      <c r="M45" s="6">
        <v>0</v>
      </c>
      <c r="N45" s="6">
        <v>0</v>
      </c>
      <c r="O45" s="6">
        <v>0</v>
      </c>
      <c r="P45" s="6">
        <v>0</v>
      </c>
      <c r="Q45" s="6">
        <v>0</v>
      </c>
      <c r="R45" s="6">
        <v>0</v>
      </c>
      <c r="S45" s="6">
        <v>0</v>
      </c>
      <c r="T45" s="6">
        <v>0</v>
      </c>
      <c r="U45" s="6">
        <v>0</v>
      </c>
      <c r="V45" s="6">
        <v>0</v>
      </c>
      <c r="W45" s="6">
        <v>0</v>
      </c>
      <c r="X45" s="6">
        <v>0</v>
      </c>
      <c r="Y45" s="6">
        <v>0</v>
      </c>
      <c r="Z45" s="6">
        <v>0</v>
      </c>
      <c r="AA45" s="6">
        <v>0</v>
      </c>
      <c r="AB45" s="6">
        <v>0</v>
      </c>
      <c r="AC45" s="6">
        <v>0</v>
      </c>
      <c r="AD45" s="6">
        <v>0</v>
      </c>
      <c r="AE45" s="6">
        <v>0</v>
      </c>
      <c r="AF45" s="6">
        <v>0</v>
      </c>
      <c r="AG45" s="6">
        <v>0</v>
      </c>
      <c r="AH45" s="6">
        <v>0</v>
      </c>
      <c r="AI45" s="6">
        <v>0</v>
      </c>
      <c r="AJ45" s="6">
        <v>0</v>
      </c>
      <c r="AK45" s="6">
        <v>0</v>
      </c>
      <c r="AL45" s="6">
        <v>0</v>
      </c>
      <c r="AM45" s="6">
        <v>0</v>
      </c>
      <c r="AN45" s="6">
        <v>0</v>
      </c>
      <c r="AO45" s="6">
        <v>0</v>
      </c>
      <c r="AP45" s="6">
        <v>0</v>
      </c>
      <c r="AQ45" s="6">
        <v>0</v>
      </c>
      <c r="AR45" s="6">
        <v>0</v>
      </c>
      <c r="AS45" s="6">
        <v>0</v>
      </c>
      <c r="AT45" s="6">
        <v>0</v>
      </c>
      <c r="AU45" s="9">
        <v>0</v>
      </c>
      <c r="AV45" s="12">
        <f t="shared" si="0"/>
        <v>0</v>
      </c>
      <c r="AW45">
        <f t="shared" si="1"/>
        <v>0</v>
      </c>
    </row>
    <row r="46" spans="1:49" ht="19.2" x14ac:dyDescent="0.4">
      <c r="A46" s="1" t="s">
        <v>95</v>
      </c>
      <c r="B46" s="4" t="s">
        <v>69</v>
      </c>
      <c r="C46" s="4">
        <v>459229</v>
      </c>
      <c r="D46" s="5"/>
      <c r="E46" s="4" t="s">
        <v>26</v>
      </c>
      <c r="F46" s="4" t="s">
        <v>70</v>
      </c>
      <c r="G46" s="4" t="str">
        <f>VLOOKUP(F46,[1]Sheet1!$B$2:$C$1111,2,FALSE)</f>
        <v>밀리의 서재</v>
      </c>
      <c r="H46" s="6" t="s">
        <v>29</v>
      </c>
      <c r="I46" s="6" t="s">
        <v>71</v>
      </c>
      <c r="J46" s="6">
        <v>0</v>
      </c>
      <c r="K46" s="6">
        <v>0</v>
      </c>
      <c r="L46" s="6">
        <v>0</v>
      </c>
      <c r="M46" s="6">
        <v>0</v>
      </c>
      <c r="N46" s="6">
        <v>0</v>
      </c>
      <c r="O46" s="6">
        <v>0</v>
      </c>
      <c r="P46" s="6">
        <v>0</v>
      </c>
      <c r="Q46" s="6">
        <v>0</v>
      </c>
      <c r="R46" s="6">
        <v>0</v>
      </c>
      <c r="S46" s="6">
        <v>0</v>
      </c>
      <c r="T46" s="6">
        <v>0</v>
      </c>
      <c r="U46" s="6">
        <v>0</v>
      </c>
      <c r="V46" s="6">
        <v>0</v>
      </c>
      <c r="W46" s="6">
        <v>0</v>
      </c>
      <c r="X46" s="6">
        <v>0</v>
      </c>
      <c r="Y46" s="6">
        <v>0</v>
      </c>
      <c r="Z46" s="6">
        <v>0</v>
      </c>
      <c r="AA46" s="6">
        <v>0</v>
      </c>
      <c r="AB46" s="6">
        <v>0</v>
      </c>
      <c r="AC46" s="6">
        <v>0</v>
      </c>
      <c r="AD46" s="6">
        <v>0</v>
      </c>
      <c r="AE46" s="6">
        <v>18</v>
      </c>
      <c r="AF46" s="7">
        <v>48000</v>
      </c>
      <c r="AG46" s="7">
        <v>3700</v>
      </c>
      <c r="AH46" s="6">
        <v>0</v>
      </c>
      <c r="AI46" s="6">
        <v>0</v>
      </c>
      <c r="AJ46" s="6">
        <v>0</v>
      </c>
      <c r="AK46" s="6">
        <v>0</v>
      </c>
      <c r="AL46" s="6">
        <v>0</v>
      </c>
      <c r="AM46" s="6">
        <v>0</v>
      </c>
      <c r="AN46" s="6">
        <v>0</v>
      </c>
      <c r="AO46" s="6">
        <v>0</v>
      </c>
      <c r="AP46" s="6">
        <v>0</v>
      </c>
      <c r="AQ46" s="6">
        <v>0</v>
      </c>
      <c r="AR46" s="6">
        <v>4</v>
      </c>
      <c r="AS46" s="7">
        <v>11100</v>
      </c>
      <c r="AT46" s="6">
        <v>200</v>
      </c>
      <c r="AU46" s="8">
        <v>63000</v>
      </c>
      <c r="AV46" s="12">
        <f t="shared" si="0"/>
        <v>63000</v>
      </c>
      <c r="AW46">
        <f t="shared" si="1"/>
        <v>44100</v>
      </c>
    </row>
    <row r="47" spans="1:49" ht="19.2" x14ac:dyDescent="0.4">
      <c r="A47" s="1" t="s">
        <v>95</v>
      </c>
      <c r="B47" s="4" t="s">
        <v>99</v>
      </c>
      <c r="C47" s="4">
        <v>461347</v>
      </c>
      <c r="D47" s="5"/>
      <c r="E47" s="4" t="s">
        <v>26</v>
      </c>
      <c r="F47" s="4" t="s">
        <v>100</v>
      </c>
      <c r="G47" s="4" t="s">
        <v>96</v>
      </c>
      <c r="H47" s="6" t="s">
        <v>29</v>
      </c>
      <c r="I47" s="6" t="s">
        <v>101</v>
      </c>
      <c r="J47" s="6">
        <v>0</v>
      </c>
      <c r="K47" s="6">
        <v>0</v>
      </c>
      <c r="L47" s="6">
        <v>0</v>
      </c>
      <c r="M47" s="6">
        <v>0</v>
      </c>
      <c r="N47" s="6">
        <v>0</v>
      </c>
      <c r="O47" s="6">
        <v>0</v>
      </c>
      <c r="P47" s="6">
        <v>0</v>
      </c>
      <c r="Q47" s="6">
        <v>0</v>
      </c>
      <c r="R47" s="6">
        <v>0</v>
      </c>
      <c r="S47" s="6">
        <v>0</v>
      </c>
      <c r="T47" s="6">
        <v>0</v>
      </c>
      <c r="U47" s="6">
        <v>0</v>
      </c>
      <c r="V47" s="6">
        <v>0</v>
      </c>
      <c r="W47" s="6">
        <v>0</v>
      </c>
      <c r="X47" s="6">
        <v>0</v>
      </c>
      <c r="Y47" s="6">
        <v>0</v>
      </c>
      <c r="Z47" s="6">
        <v>0</v>
      </c>
      <c r="AA47" s="6">
        <v>0</v>
      </c>
      <c r="AB47" s="6">
        <v>0</v>
      </c>
      <c r="AC47" s="6">
        <v>0</v>
      </c>
      <c r="AD47" s="6">
        <v>0</v>
      </c>
      <c r="AE47" s="6">
        <v>26</v>
      </c>
      <c r="AF47" s="7">
        <v>49800</v>
      </c>
      <c r="AG47" s="6">
        <v>700</v>
      </c>
      <c r="AH47" s="6">
        <v>0</v>
      </c>
      <c r="AI47" s="6">
        <v>0</v>
      </c>
      <c r="AJ47" s="6">
        <v>0</v>
      </c>
      <c r="AK47" s="6">
        <v>4</v>
      </c>
      <c r="AL47" s="7">
        <v>2300</v>
      </c>
      <c r="AM47" s="7">
        <v>3500</v>
      </c>
      <c r="AN47" s="6">
        <v>690</v>
      </c>
      <c r="AO47" s="6">
        <v>0</v>
      </c>
      <c r="AP47" s="6">
        <v>0</v>
      </c>
      <c r="AQ47" s="6">
        <v>0</v>
      </c>
      <c r="AR47" s="6">
        <v>2</v>
      </c>
      <c r="AS47" s="7">
        <v>4000</v>
      </c>
      <c r="AT47" s="6">
        <v>0</v>
      </c>
      <c r="AU47" s="8">
        <v>60300</v>
      </c>
      <c r="AV47" s="12">
        <f t="shared" ref="AV47:AV68" si="2">AU47-AN47</f>
        <v>59610</v>
      </c>
      <c r="AW47">
        <f t="shared" ref="AW47:AW68" si="3">AV47*70%</f>
        <v>41727</v>
      </c>
    </row>
    <row r="48" spans="1:49" ht="19.2" x14ac:dyDescent="0.4">
      <c r="A48" s="1" t="s">
        <v>95</v>
      </c>
      <c r="B48" s="4" t="s">
        <v>130</v>
      </c>
      <c r="C48" s="4">
        <v>461351</v>
      </c>
      <c r="D48" s="5"/>
      <c r="E48" s="4" t="s">
        <v>26</v>
      </c>
      <c r="F48" s="4" t="s">
        <v>131</v>
      </c>
      <c r="G48" s="4" t="s">
        <v>96</v>
      </c>
      <c r="H48" s="6" t="s">
        <v>29</v>
      </c>
      <c r="I48" s="6" t="s">
        <v>132</v>
      </c>
      <c r="J48" s="6">
        <v>0</v>
      </c>
      <c r="K48" s="6">
        <v>0</v>
      </c>
      <c r="L48" s="6">
        <v>0</v>
      </c>
      <c r="M48" s="6">
        <v>0</v>
      </c>
      <c r="N48" s="6">
        <v>0</v>
      </c>
      <c r="O48" s="6">
        <v>0</v>
      </c>
      <c r="P48" s="6">
        <v>0</v>
      </c>
      <c r="Q48" s="6">
        <v>0</v>
      </c>
      <c r="R48" s="6">
        <v>0</v>
      </c>
      <c r="S48" s="6">
        <v>0</v>
      </c>
      <c r="T48" s="6">
        <v>0</v>
      </c>
      <c r="U48" s="6">
        <v>0</v>
      </c>
      <c r="V48" s="6">
        <v>0</v>
      </c>
      <c r="W48" s="6">
        <v>0</v>
      </c>
      <c r="X48" s="6">
        <v>0</v>
      </c>
      <c r="Y48" s="6">
        <v>0</v>
      </c>
      <c r="Z48" s="6">
        <v>0</v>
      </c>
      <c r="AA48" s="6">
        <v>0</v>
      </c>
      <c r="AB48" s="6">
        <v>0</v>
      </c>
      <c r="AC48" s="6">
        <v>0</v>
      </c>
      <c r="AD48" s="6">
        <v>0</v>
      </c>
      <c r="AE48" s="6">
        <v>8</v>
      </c>
      <c r="AF48" s="7">
        <v>16000</v>
      </c>
      <c r="AG48" s="6">
        <v>0</v>
      </c>
      <c r="AH48" s="6">
        <v>0</v>
      </c>
      <c r="AI48" s="6">
        <v>0</v>
      </c>
      <c r="AJ48" s="6">
        <v>0</v>
      </c>
      <c r="AK48" s="6">
        <v>1</v>
      </c>
      <c r="AL48" s="6">
        <v>0</v>
      </c>
      <c r="AM48" s="7">
        <v>2000</v>
      </c>
      <c r="AN48" s="6">
        <v>0</v>
      </c>
      <c r="AO48" s="6">
        <v>0</v>
      </c>
      <c r="AP48" s="6">
        <v>0</v>
      </c>
      <c r="AQ48" s="6">
        <v>0</v>
      </c>
      <c r="AR48" s="6">
        <v>0</v>
      </c>
      <c r="AS48" s="6">
        <v>0</v>
      </c>
      <c r="AT48" s="6">
        <v>0</v>
      </c>
      <c r="AU48" s="8">
        <v>18000</v>
      </c>
      <c r="AV48" s="12">
        <f t="shared" si="2"/>
        <v>18000</v>
      </c>
      <c r="AW48">
        <f t="shared" si="3"/>
        <v>12600</v>
      </c>
    </row>
    <row r="49" spans="1:49" ht="19.2" x14ac:dyDescent="0.4">
      <c r="A49" s="1" t="s">
        <v>95</v>
      </c>
      <c r="B49" s="4" t="s">
        <v>93</v>
      </c>
      <c r="C49" s="4">
        <v>442667</v>
      </c>
      <c r="D49" s="5"/>
      <c r="E49" s="4" t="s">
        <v>26</v>
      </c>
      <c r="F49" s="4" t="s">
        <v>94</v>
      </c>
      <c r="G49" s="4" t="str">
        <f>VLOOKUP(F49,[1]Sheet1!$B$2:$C$1111,2,FALSE)</f>
        <v>더컴퍼니</v>
      </c>
      <c r="H49" s="6" t="s">
        <v>29</v>
      </c>
      <c r="I49" s="6" t="s">
        <v>45</v>
      </c>
      <c r="J49" s="6">
        <v>0</v>
      </c>
      <c r="K49" s="6">
        <v>0</v>
      </c>
      <c r="L49" s="6">
        <v>0</v>
      </c>
      <c r="M49" s="6">
        <v>0</v>
      </c>
      <c r="N49" s="6">
        <v>0</v>
      </c>
      <c r="O49" s="6">
        <v>0</v>
      </c>
      <c r="P49" s="6">
        <v>0</v>
      </c>
      <c r="Q49" s="6">
        <v>0</v>
      </c>
      <c r="R49" s="6">
        <v>0</v>
      </c>
      <c r="S49" s="6">
        <v>0</v>
      </c>
      <c r="T49" s="6">
        <v>0</v>
      </c>
      <c r="U49" s="6">
        <v>0</v>
      </c>
      <c r="V49" s="6">
        <v>0</v>
      </c>
      <c r="W49" s="6">
        <v>0</v>
      </c>
      <c r="X49" s="6">
        <v>0</v>
      </c>
      <c r="Y49" s="6">
        <v>0</v>
      </c>
      <c r="Z49" s="6">
        <v>0</v>
      </c>
      <c r="AA49" s="6">
        <v>0</v>
      </c>
      <c r="AB49" s="6">
        <v>0</v>
      </c>
      <c r="AC49" s="6">
        <v>0</v>
      </c>
      <c r="AD49" s="6">
        <v>0</v>
      </c>
      <c r="AE49" s="6">
        <v>3</v>
      </c>
      <c r="AF49" s="6">
        <v>900</v>
      </c>
      <c r="AG49" s="7">
        <v>7100</v>
      </c>
      <c r="AH49" s="6">
        <v>0</v>
      </c>
      <c r="AI49" s="6">
        <v>0</v>
      </c>
      <c r="AJ49" s="6">
        <v>0</v>
      </c>
      <c r="AK49" s="6">
        <v>2</v>
      </c>
      <c r="AL49" s="6">
        <v>0</v>
      </c>
      <c r="AM49" s="7">
        <v>4000</v>
      </c>
      <c r="AN49" s="6">
        <v>0</v>
      </c>
      <c r="AO49" s="6">
        <v>0</v>
      </c>
      <c r="AP49" s="6">
        <v>0</v>
      </c>
      <c r="AQ49" s="6">
        <v>0</v>
      </c>
      <c r="AR49" s="6">
        <v>0</v>
      </c>
      <c r="AS49" s="6">
        <v>0</v>
      </c>
      <c r="AT49" s="6">
        <v>0</v>
      </c>
      <c r="AU49" s="8">
        <v>12000</v>
      </c>
      <c r="AV49" s="12">
        <f t="shared" si="2"/>
        <v>12000</v>
      </c>
      <c r="AW49">
        <f t="shared" si="3"/>
        <v>8400</v>
      </c>
    </row>
    <row r="50" spans="1:49" ht="19.2" x14ac:dyDescent="0.4">
      <c r="A50" s="1" t="s">
        <v>95</v>
      </c>
      <c r="B50" s="4" t="s">
        <v>57</v>
      </c>
      <c r="C50" s="4">
        <v>457534</v>
      </c>
      <c r="D50" s="5"/>
      <c r="E50" s="4" t="s">
        <v>26</v>
      </c>
      <c r="F50" s="4" t="s">
        <v>58</v>
      </c>
      <c r="G50" s="4" t="str">
        <f>VLOOKUP(F50,[1]Sheet1!$B$2:$C$1111,2,FALSE)</f>
        <v>밀리의 서재</v>
      </c>
      <c r="H50" s="6" t="s">
        <v>29</v>
      </c>
      <c r="I50" s="6" t="s">
        <v>59</v>
      </c>
      <c r="J50" s="6">
        <v>0</v>
      </c>
      <c r="K50" s="6">
        <v>0</v>
      </c>
      <c r="L50" s="6">
        <v>0</v>
      </c>
      <c r="M50" s="6">
        <v>0</v>
      </c>
      <c r="N50" s="6">
        <v>0</v>
      </c>
      <c r="O50" s="6">
        <v>0</v>
      </c>
      <c r="P50" s="6">
        <v>0</v>
      </c>
      <c r="Q50" s="6">
        <v>0</v>
      </c>
      <c r="R50" s="6">
        <v>0</v>
      </c>
      <c r="S50" s="6">
        <v>0</v>
      </c>
      <c r="T50" s="6">
        <v>0</v>
      </c>
      <c r="U50" s="6">
        <v>0</v>
      </c>
      <c r="V50" s="6">
        <v>0</v>
      </c>
      <c r="W50" s="6">
        <v>0</v>
      </c>
      <c r="X50" s="6">
        <v>0</v>
      </c>
      <c r="Y50" s="6">
        <v>0</v>
      </c>
      <c r="Z50" s="6">
        <v>0</v>
      </c>
      <c r="AA50" s="6">
        <v>0</v>
      </c>
      <c r="AB50" s="6">
        <v>0</v>
      </c>
      <c r="AC50" s="6">
        <v>0</v>
      </c>
      <c r="AD50" s="6">
        <v>0</v>
      </c>
      <c r="AE50" s="6">
        <v>5</v>
      </c>
      <c r="AF50" s="7">
        <v>6000</v>
      </c>
      <c r="AG50" s="7">
        <v>3400</v>
      </c>
      <c r="AH50" s="6">
        <v>0</v>
      </c>
      <c r="AI50" s="6">
        <v>0</v>
      </c>
      <c r="AJ50" s="6">
        <v>0</v>
      </c>
      <c r="AK50" s="6">
        <v>2</v>
      </c>
      <c r="AL50" s="6">
        <v>0</v>
      </c>
      <c r="AM50" s="7">
        <v>2600</v>
      </c>
      <c r="AN50" s="6">
        <v>0</v>
      </c>
      <c r="AO50" s="6">
        <v>0</v>
      </c>
      <c r="AP50" s="6">
        <v>0</v>
      </c>
      <c r="AQ50" s="6">
        <v>0</v>
      </c>
      <c r="AR50" s="6">
        <v>0</v>
      </c>
      <c r="AS50" s="6">
        <v>0</v>
      </c>
      <c r="AT50" s="6">
        <v>0</v>
      </c>
      <c r="AU50" s="8">
        <v>12000</v>
      </c>
      <c r="AV50" s="12">
        <f t="shared" si="2"/>
        <v>12000</v>
      </c>
      <c r="AW50">
        <f t="shared" si="3"/>
        <v>8400</v>
      </c>
    </row>
    <row r="51" spans="1:49" ht="19.2" x14ac:dyDescent="0.4">
      <c r="A51" s="1" t="s">
        <v>95</v>
      </c>
      <c r="B51" s="4" t="s">
        <v>31</v>
      </c>
      <c r="C51" s="4">
        <v>387161</v>
      </c>
      <c r="D51" s="5"/>
      <c r="E51" s="4" t="s">
        <v>26</v>
      </c>
      <c r="F51" s="4" t="s">
        <v>32</v>
      </c>
      <c r="G51" s="4" t="str">
        <f>VLOOKUP(F51,[1]Sheet1!$B$2:$C$1111,2,FALSE)</f>
        <v>더컴퍼니</v>
      </c>
      <c r="H51" s="6" t="s">
        <v>29</v>
      </c>
      <c r="I51" s="6" t="s">
        <v>33</v>
      </c>
      <c r="J51" s="6">
        <v>0</v>
      </c>
      <c r="K51" s="6">
        <v>0</v>
      </c>
      <c r="L51" s="6">
        <v>0</v>
      </c>
      <c r="M51" s="6">
        <v>0</v>
      </c>
      <c r="N51" s="6">
        <v>0</v>
      </c>
      <c r="O51" s="6">
        <v>0</v>
      </c>
      <c r="P51" s="6">
        <v>0</v>
      </c>
      <c r="Q51" s="6">
        <v>0</v>
      </c>
      <c r="R51" s="6">
        <v>0</v>
      </c>
      <c r="S51" s="6">
        <v>0</v>
      </c>
      <c r="T51" s="6">
        <v>0</v>
      </c>
      <c r="U51" s="6">
        <v>0</v>
      </c>
      <c r="V51" s="6">
        <v>0</v>
      </c>
      <c r="W51" s="6">
        <v>0</v>
      </c>
      <c r="X51" s="6">
        <v>0</v>
      </c>
      <c r="Y51" s="6">
        <v>0</v>
      </c>
      <c r="Z51" s="6">
        <v>0</v>
      </c>
      <c r="AA51" s="6">
        <v>0</v>
      </c>
      <c r="AB51" s="6">
        <v>0</v>
      </c>
      <c r="AC51" s="6">
        <v>0</v>
      </c>
      <c r="AD51" s="6">
        <v>0</v>
      </c>
      <c r="AE51" s="6">
        <v>2</v>
      </c>
      <c r="AF51" s="7">
        <v>6400</v>
      </c>
      <c r="AG51" s="6">
        <v>0</v>
      </c>
      <c r="AH51" s="6">
        <v>0</v>
      </c>
      <c r="AI51" s="6">
        <v>0</v>
      </c>
      <c r="AJ51" s="6">
        <v>0</v>
      </c>
      <c r="AK51" s="6">
        <v>1</v>
      </c>
      <c r="AL51" s="7">
        <v>3840</v>
      </c>
      <c r="AM51" s="6">
        <v>0</v>
      </c>
      <c r="AN51" s="13">
        <v>1152</v>
      </c>
      <c r="AO51" s="6">
        <v>0</v>
      </c>
      <c r="AP51" s="6">
        <v>0</v>
      </c>
      <c r="AQ51" s="6">
        <v>0</v>
      </c>
      <c r="AR51" s="6">
        <v>0</v>
      </c>
      <c r="AS51" s="6">
        <v>0</v>
      </c>
      <c r="AT51" s="6">
        <v>0</v>
      </c>
      <c r="AU51" s="8">
        <v>10240</v>
      </c>
      <c r="AV51" s="12">
        <f t="shared" si="2"/>
        <v>9088</v>
      </c>
      <c r="AW51">
        <f t="shared" si="3"/>
        <v>6361.5999999999995</v>
      </c>
    </row>
    <row r="52" spans="1:49" ht="19.2" x14ac:dyDescent="0.4">
      <c r="A52" s="1" t="s">
        <v>95</v>
      </c>
      <c r="B52" s="4" t="s">
        <v>54</v>
      </c>
      <c r="C52" s="4">
        <v>457533</v>
      </c>
      <c r="D52" s="5"/>
      <c r="E52" s="4" t="s">
        <v>26</v>
      </c>
      <c r="F52" s="4" t="s">
        <v>55</v>
      </c>
      <c r="G52" s="4" t="str">
        <f>VLOOKUP(F52,[1]Sheet1!$B$2:$C$1111,2,FALSE)</f>
        <v>밀리의 서재</v>
      </c>
      <c r="H52" s="6" t="s">
        <v>29</v>
      </c>
      <c r="I52" s="6" t="s">
        <v>56</v>
      </c>
      <c r="J52" s="6">
        <v>0</v>
      </c>
      <c r="K52" s="6">
        <v>0</v>
      </c>
      <c r="L52" s="6">
        <v>0</v>
      </c>
      <c r="M52" s="6">
        <v>0</v>
      </c>
      <c r="N52" s="6">
        <v>0</v>
      </c>
      <c r="O52" s="6">
        <v>0</v>
      </c>
      <c r="P52" s="6">
        <v>0</v>
      </c>
      <c r="Q52" s="6">
        <v>0</v>
      </c>
      <c r="R52" s="6">
        <v>0</v>
      </c>
      <c r="S52" s="6">
        <v>0</v>
      </c>
      <c r="T52" s="6">
        <v>0</v>
      </c>
      <c r="U52" s="6">
        <v>0</v>
      </c>
      <c r="V52" s="6">
        <v>0</v>
      </c>
      <c r="W52" s="6">
        <v>0</v>
      </c>
      <c r="X52" s="6">
        <v>0</v>
      </c>
      <c r="Y52" s="6">
        <v>0</v>
      </c>
      <c r="Z52" s="6">
        <v>0</v>
      </c>
      <c r="AA52" s="6">
        <v>0</v>
      </c>
      <c r="AB52" s="6">
        <v>0</v>
      </c>
      <c r="AC52" s="6">
        <v>0</v>
      </c>
      <c r="AD52" s="6">
        <v>0</v>
      </c>
      <c r="AE52" s="6">
        <v>3</v>
      </c>
      <c r="AF52" s="7">
        <v>7500</v>
      </c>
      <c r="AG52" s="6">
        <v>0</v>
      </c>
      <c r="AH52" s="6">
        <v>0</v>
      </c>
      <c r="AI52" s="6">
        <v>0</v>
      </c>
      <c r="AJ52" s="6">
        <v>0</v>
      </c>
      <c r="AK52" s="6">
        <v>1</v>
      </c>
      <c r="AL52" s="6">
        <v>0</v>
      </c>
      <c r="AM52" s="7">
        <v>2500</v>
      </c>
      <c r="AN52" s="6">
        <v>0</v>
      </c>
      <c r="AO52" s="6">
        <v>0</v>
      </c>
      <c r="AP52" s="6">
        <v>0</v>
      </c>
      <c r="AQ52" s="6">
        <v>0</v>
      </c>
      <c r="AR52" s="6">
        <v>0</v>
      </c>
      <c r="AS52" s="6">
        <v>0</v>
      </c>
      <c r="AT52" s="6">
        <v>0</v>
      </c>
      <c r="AU52" s="8">
        <v>10000</v>
      </c>
      <c r="AV52" s="12">
        <f t="shared" si="2"/>
        <v>10000</v>
      </c>
      <c r="AW52">
        <f t="shared" si="3"/>
        <v>7000</v>
      </c>
    </row>
    <row r="53" spans="1:49" ht="19.2" x14ac:dyDescent="0.4">
      <c r="A53" s="1" t="s">
        <v>95</v>
      </c>
      <c r="B53" s="4" t="s">
        <v>87</v>
      </c>
      <c r="C53" s="4">
        <v>459228</v>
      </c>
      <c r="D53" s="5"/>
      <c r="E53" s="4" t="s">
        <v>26</v>
      </c>
      <c r="F53" s="4" t="s">
        <v>88</v>
      </c>
      <c r="G53" s="4" t="str">
        <f>VLOOKUP(F53,[1]Sheet1!$B$2:$C$1111,2,FALSE)</f>
        <v>밀리의 서재</v>
      </c>
      <c r="H53" s="6" t="s">
        <v>29</v>
      </c>
      <c r="I53" s="6" t="s">
        <v>89</v>
      </c>
      <c r="J53" s="6">
        <v>0</v>
      </c>
      <c r="K53" s="6">
        <v>0</v>
      </c>
      <c r="L53" s="6">
        <v>0</v>
      </c>
      <c r="M53" s="6">
        <v>0</v>
      </c>
      <c r="N53" s="6">
        <v>0</v>
      </c>
      <c r="O53" s="6">
        <v>0</v>
      </c>
      <c r="P53" s="6">
        <v>0</v>
      </c>
      <c r="Q53" s="6">
        <v>0</v>
      </c>
      <c r="R53" s="6">
        <v>0</v>
      </c>
      <c r="S53" s="6">
        <v>0</v>
      </c>
      <c r="T53" s="6">
        <v>0</v>
      </c>
      <c r="U53" s="6">
        <v>0</v>
      </c>
      <c r="V53" s="6">
        <v>0</v>
      </c>
      <c r="W53" s="6">
        <v>0</v>
      </c>
      <c r="X53" s="6">
        <v>0</v>
      </c>
      <c r="Y53" s="6">
        <v>0</v>
      </c>
      <c r="Z53" s="6">
        <v>0</v>
      </c>
      <c r="AA53" s="6">
        <v>0</v>
      </c>
      <c r="AB53" s="6">
        <v>0</v>
      </c>
      <c r="AC53" s="6">
        <v>0</v>
      </c>
      <c r="AD53" s="6">
        <v>0</v>
      </c>
      <c r="AE53" s="6">
        <v>2</v>
      </c>
      <c r="AF53" s="7">
        <v>6000</v>
      </c>
      <c r="AG53" s="6">
        <v>0</v>
      </c>
      <c r="AH53" s="6">
        <v>0</v>
      </c>
      <c r="AI53" s="6">
        <v>0</v>
      </c>
      <c r="AJ53" s="6">
        <v>0</v>
      </c>
      <c r="AK53" s="6">
        <v>0</v>
      </c>
      <c r="AL53" s="6">
        <v>0</v>
      </c>
      <c r="AM53" s="6">
        <v>0</v>
      </c>
      <c r="AN53" s="6">
        <v>0</v>
      </c>
      <c r="AO53" s="6">
        <v>0</v>
      </c>
      <c r="AP53" s="6">
        <v>0</v>
      </c>
      <c r="AQ53" s="6">
        <v>0</v>
      </c>
      <c r="AR53" s="6">
        <v>1</v>
      </c>
      <c r="AS53" s="7">
        <v>3000</v>
      </c>
      <c r="AT53" s="6">
        <v>0</v>
      </c>
      <c r="AU53" s="8">
        <v>9000</v>
      </c>
      <c r="AV53" s="12">
        <f t="shared" si="2"/>
        <v>9000</v>
      </c>
      <c r="AW53">
        <f t="shared" si="3"/>
        <v>6300</v>
      </c>
    </row>
    <row r="54" spans="1:49" ht="19.2" x14ac:dyDescent="0.4">
      <c r="A54" s="1" t="s">
        <v>95</v>
      </c>
      <c r="B54" s="4" t="s">
        <v>90</v>
      </c>
      <c r="C54" s="4">
        <v>355068</v>
      </c>
      <c r="D54" s="5"/>
      <c r="E54" s="4" t="s">
        <v>26</v>
      </c>
      <c r="F54" s="4" t="s">
        <v>91</v>
      </c>
      <c r="G54" s="4" t="str">
        <f>VLOOKUP(F54,[1]Sheet1!$B$2:$C$1111,2,FALSE)</f>
        <v>더컴퍼니</v>
      </c>
      <c r="H54" s="6" t="s">
        <v>29</v>
      </c>
      <c r="I54" s="6" t="s">
        <v>92</v>
      </c>
      <c r="J54" s="6">
        <v>0</v>
      </c>
      <c r="K54" s="6">
        <v>0</v>
      </c>
      <c r="L54" s="6">
        <v>0</v>
      </c>
      <c r="M54" s="6">
        <v>0</v>
      </c>
      <c r="N54" s="6">
        <v>0</v>
      </c>
      <c r="O54" s="6">
        <v>0</v>
      </c>
      <c r="P54" s="6">
        <v>0</v>
      </c>
      <c r="Q54" s="6">
        <v>0</v>
      </c>
      <c r="R54" s="6">
        <v>0</v>
      </c>
      <c r="S54" s="6">
        <v>0</v>
      </c>
      <c r="T54" s="6">
        <v>0</v>
      </c>
      <c r="U54" s="6">
        <v>0</v>
      </c>
      <c r="V54" s="6">
        <v>0</v>
      </c>
      <c r="W54" s="6">
        <v>0</v>
      </c>
      <c r="X54" s="6">
        <v>0</v>
      </c>
      <c r="Y54" s="6">
        <v>0</v>
      </c>
      <c r="Z54" s="6">
        <v>0</v>
      </c>
      <c r="AA54" s="6">
        <v>0</v>
      </c>
      <c r="AB54" s="6">
        <v>0</v>
      </c>
      <c r="AC54" s="6">
        <v>0</v>
      </c>
      <c r="AD54" s="6">
        <v>0</v>
      </c>
      <c r="AE54" s="6">
        <v>2</v>
      </c>
      <c r="AF54" s="7">
        <v>7200</v>
      </c>
      <c r="AG54" s="6">
        <v>0</v>
      </c>
      <c r="AH54" s="6">
        <v>0</v>
      </c>
      <c r="AI54" s="6">
        <v>0</v>
      </c>
      <c r="AJ54" s="6">
        <v>0</v>
      </c>
      <c r="AK54" s="6">
        <v>0</v>
      </c>
      <c r="AL54" s="6">
        <v>0</v>
      </c>
      <c r="AM54" s="6">
        <v>0</v>
      </c>
      <c r="AN54" s="6">
        <v>0</v>
      </c>
      <c r="AO54" s="6">
        <v>0</v>
      </c>
      <c r="AP54" s="6">
        <v>0</v>
      </c>
      <c r="AQ54" s="6">
        <v>0</v>
      </c>
      <c r="AR54" s="6">
        <v>0</v>
      </c>
      <c r="AS54" s="6">
        <v>0</v>
      </c>
      <c r="AT54" s="6">
        <v>0</v>
      </c>
      <c r="AU54" s="8">
        <v>7200</v>
      </c>
      <c r="AV54" s="12">
        <f t="shared" si="2"/>
        <v>7200</v>
      </c>
      <c r="AW54">
        <f t="shared" si="3"/>
        <v>5040</v>
      </c>
    </row>
    <row r="55" spans="1:49" ht="19.2" x14ac:dyDescent="0.4">
      <c r="A55" s="1" t="s">
        <v>95</v>
      </c>
      <c r="B55" s="4" t="s">
        <v>133</v>
      </c>
      <c r="C55" s="4">
        <v>423721</v>
      </c>
      <c r="D55" s="5"/>
      <c r="E55" s="4" t="s">
        <v>26</v>
      </c>
      <c r="F55" s="4" t="s">
        <v>134</v>
      </c>
      <c r="G55" s="4" t="str">
        <f>VLOOKUP(F55,[1]Sheet1!$B$2:$C$1111,2,FALSE)</f>
        <v>더컴퍼니</v>
      </c>
      <c r="H55" s="6" t="s">
        <v>29</v>
      </c>
      <c r="I55" s="6" t="s">
        <v>135</v>
      </c>
      <c r="J55" s="6">
        <v>0</v>
      </c>
      <c r="K55" s="6">
        <v>0</v>
      </c>
      <c r="L55" s="6">
        <v>0</v>
      </c>
      <c r="M55" s="6">
        <v>0</v>
      </c>
      <c r="N55" s="6">
        <v>0</v>
      </c>
      <c r="O55" s="6">
        <v>0</v>
      </c>
      <c r="P55" s="6">
        <v>0</v>
      </c>
      <c r="Q55" s="6">
        <v>0</v>
      </c>
      <c r="R55" s="6">
        <v>0</v>
      </c>
      <c r="S55" s="6">
        <v>0</v>
      </c>
      <c r="T55" s="6">
        <v>0</v>
      </c>
      <c r="U55" s="6">
        <v>0</v>
      </c>
      <c r="V55" s="6">
        <v>0</v>
      </c>
      <c r="W55" s="6">
        <v>0</v>
      </c>
      <c r="X55" s="6">
        <v>0</v>
      </c>
      <c r="Y55" s="6">
        <v>0</v>
      </c>
      <c r="Z55" s="6">
        <v>0</v>
      </c>
      <c r="AA55" s="6">
        <v>0</v>
      </c>
      <c r="AB55" s="6">
        <v>0</v>
      </c>
      <c r="AC55" s="6">
        <v>0</v>
      </c>
      <c r="AD55" s="6">
        <v>0</v>
      </c>
      <c r="AE55" s="6">
        <v>1</v>
      </c>
      <c r="AF55" s="7">
        <v>4200</v>
      </c>
      <c r="AG55" s="6">
        <v>0</v>
      </c>
      <c r="AH55" s="6">
        <v>0</v>
      </c>
      <c r="AI55" s="6">
        <v>0</v>
      </c>
      <c r="AJ55" s="6">
        <v>0</v>
      </c>
      <c r="AK55" s="6">
        <v>0</v>
      </c>
      <c r="AL55" s="6">
        <v>0</v>
      </c>
      <c r="AM55" s="6">
        <v>0</v>
      </c>
      <c r="AN55" s="6">
        <v>0</v>
      </c>
      <c r="AO55" s="6">
        <v>0</v>
      </c>
      <c r="AP55" s="6">
        <v>0</v>
      </c>
      <c r="AQ55" s="6">
        <v>0</v>
      </c>
      <c r="AR55" s="6">
        <v>0</v>
      </c>
      <c r="AS55" s="6">
        <v>0</v>
      </c>
      <c r="AT55" s="6">
        <v>0</v>
      </c>
      <c r="AU55" s="8">
        <v>4200</v>
      </c>
      <c r="AV55" s="12">
        <f t="shared" si="2"/>
        <v>4200</v>
      </c>
      <c r="AW55">
        <f t="shared" si="3"/>
        <v>2940</v>
      </c>
    </row>
    <row r="56" spans="1:49" ht="19.2" x14ac:dyDescent="0.4">
      <c r="A56" s="1" t="s">
        <v>95</v>
      </c>
      <c r="B56" s="4" t="s">
        <v>136</v>
      </c>
      <c r="C56" s="4">
        <v>326776</v>
      </c>
      <c r="D56" s="5"/>
      <c r="E56" s="4" t="s">
        <v>26</v>
      </c>
      <c r="F56" s="4" t="s">
        <v>137</v>
      </c>
      <c r="G56" s="4" t="str">
        <f>VLOOKUP(F56,[1]Sheet1!$B$2:$C$1111,2,FALSE)</f>
        <v>더컴퍼니</v>
      </c>
      <c r="H56" s="6" t="s">
        <v>29</v>
      </c>
      <c r="I56" s="6" t="s">
        <v>138</v>
      </c>
      <c r="J56" s="6">
        <v>0</v>
      </c>
      <c r="K56" s="6">
        <v>0</v>
      </c>
      <c r="L56" s="6">
        <v>0</v>
      </c>
      <c r="M56" s="6">
        <v>0</v>
      </c>
      <c r="N56" s="6">
        <v>0</v>
      </c>
      <c r="O56" s="6">
        <v>0</v>
      </c>
      <c r="P56" s="6">
        <v>0</v>
      </c>
      <c r="Q56" s="6">
        <v>0</v>
      </c>
      <c r="R56" s="6">
        <v>0</v>
      </c>
      <c r="S56" s="6">
        <v>0</v>
      </c>
      <c r="T56" s="6">
        <v>0</v>
      </c>
      <c r="U56" s="6">
        <v>0</v>
      </c>
      <c r="V56" s="6">
        <v>0</v>
      </c>
      <c r="W56" s="6">
        <v>0</v>
      </c>
      <c r="X56" s="6">
        <v>0</v>
      </c>
      <c r="Y56" s="6">
        <v>0</v>
      </c>
      <c r="Z56" s="6">
        <v>0</v>
      </c>
      <c r="AA56" s="6">
        <v>0</v>
      </c>
      <c r="AB56" s="6">
        <v>0</v>
      </c>
      <c r="AC56" s="6">
        <v>0</v>
      </c>
      <c r="AD56" s="6">
        <v>0</v>
      </c>
      <c r="AE56" s="6">
        <v>1</v>
      </c>
      <c r="AF56" s="7">
        <v>3800</v>
      </c>
      <c r="AG56" s="6">
        <v>0</v>
      </c>
      <c r="AH56" s="6">
        <v>0</v>
      </c>
      <c r="AI56" s="6">
        <v>0</v>
      </c>
      <c r="AJ56" s="6">
        <v>0</v>
      </c>
      <c r="AK56" s="6">
        <v>0</v>
      </c>
      <c r="AL56" s="6">
        <v>0</v>
      </c>
      <c r="AM56" s="6">
        <v>0</v>
      </c>
      <c r="AN56" s="6">
        <v>0</v>
      </c>
      <c r="AO56" s="6">
        <v>0</v>
      </c>
      <c r="AP56" s="6">
        <v>0</v>
      </c>
      <c r="AQ56" s="6">
        <v>0</v>
      </c>
      <c r="AR56" s="6">
        <v>0</v>
      </c>
      <c r="AS56" s="6">
        <v>0</v>
      </c>
      <c r="AT56" s="6">
        <v>0</v>
      </c>
      <c r="AU56" s="8">
        <v>3800</v>
      </c>
      <c r="AV56" s="12">
        <f t="shared" si="2"/>
        <v>3800</v>
      </c>
      <c r="AW56">
        <f t="shared" si="3"/>
        <v>2660</v>
      </c>
    </row>
    <row r="57" spans="1:49" ht="19.2" x14ac:dyDescent="0.4">
      <c r="A57" s="1" t="s">
        <v>95</v>
      </c>
      <c r="B57" s="4" t="s">
        <v>139</v>
      </c>
      <c r="C57" s="4">
        <v>442669</v>
      </c>
      <c r="D57" s="5"/>
      <c r="E57" s="4" t="s">
        <v>26</v>
      </c>
      <c r="F57" s="4" t="s">
        <v>140</v>
      </c>
      <c r="G57" s="4" t="str">
        <f>VLOOKUP(F57,[1]Sheet1!$B$2:$C$1111,2,FALSE)</f>
        <v>더컴퍼니</v>
      </c>
      <c r="H57" s="6" t="s">
        <v>29</v>
      </c>
      <c r="I57" s="6" t="s">
        <v>141</v>
      </c>
      <c r="J57" s="6">
        <v>0</v>
      </c>
      <c r="K57" s="6">
        <v>0</v>
      </c>
      <c r="L57" s="6">
        <v>0</v>
      </c>
      <c r="M57" s="6">
        <v>0</v>
      </c>
      <c r="N57" s="6">
        <v>0</v>
      </c>
      <c r="O57" s="6">
        <v>0</v>
      </c>
      <c r="P57" s="6">
        <v>0</v>
      </c>
      <c r="Q57" s="6">
        <v>0</v>
      </c>
      <c r="R57" s="6">
        <v>0</v>
      </c>
      <c r="S57" s="6">
        <v>0</v>
      </c>
      <c r="T57" s="6">
        <v>0</v>
      </c>
      <c r="U57" s="6">
        <v>0</v>
      </c>
      <c r="V57" s="6">
        <v>0</v>
      </c>
      <c r="W57" s="6">
        <v>0</v>
      </c>
      <c r="X57" s="6">
        <v>0</v>
      </c>
      <c r="Y57" s="6">
        <v>0</v>
      </c>
      <c r="Z57" s="6">
        <v>0</v>
      </c>
      <c r="AA57" s="6">
        <v>0</v>
      </c>
      <c r="AB57" s="6">
        <v>0</v>
      </c>
      <c r="AC57" s="6">
        <v>0</v>
      </c>
      <c r="AD57" s="6">
        <v>0</v>
      </c>
      <c r="AE57" s="6">
        <v>1</v>
      </c>
      <c r="AF57" s="7">
        <v>3500</v>
      </c>
      <c r="AG57" s="6">
        <v>0</v>
      </c>
      <c r="AH57" s="6">
        <v>0</v>
      </c>
      <c r="AI57" s="6">
        <v>0</v>
      </c>
      <c r="AJ57" s="6">
        <v>0</v>
      </c>
      <c r="AK57" s="6">
        <v>0</v>
      </c>
      <c r="AL57" s="6">
        <v>0</v>
      </c>
      <c r="AM57" s="6">
        <v>0</v>
      </c>
      <c r="AN57" s="6">
        <v>0</v>
      </c>
      <c r="AO57" s="6">
        <v>0</v>
      </c>
      <c r="AP57" s="6">
        <v>0</v>
      </c>
      <c r="AQ57" s="6">
        <v>0</v>
      </c>
      <c r="AR57" s="6">
        <v>0</v>
      </c>
      <c r="AS57" s="6">
        <v>0</v>
      </c>
      <c r="AT57" s="6">
        <v>0</v>
      </c>
      <c r="AU57" s="8">
        <v>3500</v>
      </c>
      <c r="AV57" s="12">
        <f t="shared" si="2"/>
        <v>3500</v>
      </c>
      <c r="AW57">
        <f t="shared" si="3"/>
        <v>2450</v>
      </c>
    </row>
    <row r="58" spans="1:49" ht="19.2" x14ac:dyDescent="0.4">
      <c r="A58" s="1" t="s">
        <v>95</v>
      </c>
      <c r="B58" s="4" t="s">
        <v>142</v>
      </c>
      <c r="C58" s="4">
        <v>414543</v>
      </c>
      <c r="D58" s="5"/>
      <c r="E58" s="4" t="s">
        <v>26</v>
      </c>
      <c r="F58" s="4" t="s">
        <v>49</v>
      </c>
      <c r="G58" s="4" t="str">
        <f>VLOOKUP(F58,[1]Sheet1!$B$2:$C$1111,2,FALSE)</f>
        <v>더컴퍼니</v>
      </c>
      <c r="H58" s="6" t="s">
        <v>29</v>
      </c>
      <c r="I58" s="6" t="s">
        <v>143</v>
      </c>
      <c r="J58" s="6">
        <v>0</v>
      </c>
      <c r="K58" s="6">
        <v>0</v>
      </c>
      <c r="L58" s="6">
        <v>0</v>
      </c>
      <c r="M58" s="6">
        <v>0</v>
      </c>
      <c r="N58" s="6">
        <v>0</v>
      </c>
      <c r="O58" s="6">
        <v>0</v>
      </c>
      <c r="P58" s="6">
        <v>0</v>
      </c>
      <c r="Q58" s="6">
        <v>0</v>
      </c>
      <c r="R58" s="6">
        <v>0</v>
      </c>
      <c r="S58" s="6">
        <v>0</v>
      </c>
      <c r="T58" s="6">
        <v>0</v>
      </c>
      <c r="U58" s="6">
        <v>0</v>
      </c>
      <c r="V58" s="6">
        <v>0</v>
      </c>
      <c r="W58" s="6">
        <v>0</v>
      </c>
      <c r="X58" s="6">
        <v>0</v>
      </c>
      <c r="Y58" s="6">
        <v>0</v>
      </c>
      <c r="Z58" s="6">
        <v>0</v>
      </c>
      <c r="AA58" s="6">
        <v>0</v>
      </c>
      <c r="AB58" s="6">
        <v>0</v>
      </c>
      <c r="AC58" s="6">
        <v>0</v>
      </c>
      <c r="AD58" s="6">
        <v>0</v>
      </c>
      <c r="AE58" s="6">
        <v>1</v>
      </c>
      <c r="AF58" s="7">
        <v>3400</v>
      </c>
      <c r="AG58" s="6">
        <v>0</v>
      </c>
      <c r="AH58" s="6">
        <v>0</v>
      </c>
      <c r="AI58" s="6">
        <v>0</v>
      </c>
      <c r="AJ58" s="6">
        <v>0</v>
      </c>
      <c r="AK58" s="6">
        <v>0</v>
      </c>
      <c r="AL58" s="6">
        <v>0</v>
      </c>
      <c r="AM58" s="6">
        <v>0</v>
      </c>
      <c r="AN58" s="6">
        <v>0</v>
      </c>
      <c r="AO58" s="6">
        <v>0</v>
      </c>
      <c r="AP58" s="6">
        <v>0</v>
      </c>
      <c r="AQ58" s="6">
        <v>0</v>
      </c>
      <c r="AR58" s="6">
        <v>0</v>
      </c>
      <c r="AS58" s="6">
        <v>0</v>
      </c>
      <c r="AT58" s="6">
        <v>0</v>
      </c>
      <c r="AU58" s="8">
        <v>3400</v>
      </c>
      <c r="AV58" s="12">
        <f t="shared" si="2"/>
        <v>3400</v>
      </c>
      <c r="AW58">
        <f t="shared" si="3"/>
        <v>2380</v>
      </c>
    </row>
    <row r="59" spans="1:49" ht="19.2" x14ac:dyDescent="0.4">
      <c r="A59" s="1" t="s">
        <v>95</v>
      </c>
      <c r="B59" s="4" t="s">
        <v>144</v>
      </c>
      <c r="C59" s="4">
        <v>355226</v>
      </c>
      <c r="D59" s="5"/>
      <c r="E59" s="4" t="s">
        <v>26</v>
      </c>
      <c r="F59" s="4" t="s">
        <v>145</v>
      </c>
      <c r="G59" s="4" t="str">
        <f>VLOOKUP(F59,[1]Sheet1!$B$2:$C$1111,2,FALSE)</f>
        <v>더컴퍼니</v>
      </c>
      <c r="H59" s="6" t="s">
        <v>29</v>
      </c>
      <c r="I59" s="6" t="s">
        <v>146</v>
      </c>
      <c r="J59" s="6">
        <v>0</v>
      </c>
      <c r="K59" s="6">
        <v>0</v>
      </c>
      <c r="L59" s="6">
        <v>0</v>
      </c>
      <c r="M59" s="6">
        <v>0</v>
      </c>
      <c r="N59" s="6">
        <v>0</v>
      </c>
      <c r="O59" s="6">
        <v>0</v>
      </c>
      <c r="P59" s="6">
        <v>0</v>
      </c>
      <c r="Q59" s="6">
        <v>0</v>
      </c>
      <c r="R59" s="6">
        <v>0</v>
      </c>
      <c r="S59" s="6">
        <v>0</v>
      </c>
      <c r="T59" s="6">
        <v>0</v>
      </c>
      <c r="U59" s="6">
        <v>0</v>
      </c>
      <c r="V59" s="6">
        <v>0</v>
      </c>
      <c r="W59" s="6">
        <v>0</v>
      </c>
      <c r="X59" s="6">
        <v>0</v>
      </c>
      <c r="Y59" s="6">
        <v>0</v>
      </c>
      <c r="Z59" s="6">
        <v>0</v>
      </c>
      <c r="AA59" s="6">
        <v>0</v>
      </c>
      <c r="AB59" s="6">
        <v>0</v>
      </c>
      <c r="AC59" s="6">
        <v>0</v>
      </c>
      <c r="AD59" s="6">
        <v>0</v>
      </c>
      <c r="AE59" s="6">
        <v>1</v>
      </c>
      <c r="AF59" s="7">
        <v>3400</v>
      </c>
      <c r="AG59" s="6">
        <v>0</v>
      </c>
      <c r="AH59" s="6">
        <v>0</v>
      </c>
      <c r="AI59" s="6">
        <v>0</v>
      </c>
      <c r="AJ59" s="6">
        <v>0</v>
      </c>
      <c r="AK59" s="6">
        <v>0</v>
      </c>
      <c r="AL59" s="6">
        <v>0</v>
      </c>
      <c r="AM59" s="6">
        <v>0</v>
      </c>
      <c r="AN59" s="6">
        <v>0</v>
      </c>
      <c r="AO59" s="6">
        <v>0</v>
      </c>
      <c r="AP59" s="6">
        <v>0</v>
      </c>
      <c r="AQ59" s="6">
        <v>0</v>
      </c>
      <c r="AR59" s="6">
        <v>0</v>
      </c>
      <c r="AS59" s="6">
        <v>0</v>
      </c>
      <c r="AT59" s="6">
        <v>0</v>
      </c>
      <c r="AU59" s="8">
        <v>3400</v>
      </c>
      <c r="AV59" s="12">
        <f t="shared" si="2"/>
        <v>3400</v>
      </c>
      <c r="AW59">
        <f t="shared" si="3"/>
        <v>2380</v>
      </c>
    </row>
    <row r="60" spans="1:49" ht="19.2" x14ac:dyDescent="0.4">
      <c r="A60" s="1" t="s">
        <v>95</v>
      </c>
      <c r="B60" s="4" t="s">
        <v>147</v>
      </c>
      <c r="C60" s="4">
        <v>423996</v>
      </c>
      <c r="D60" s="5"/>
      <c r="E60" s="4" t="s">
        <v>26</v>
      </c>
      <c r="F60" s="4" t="s">
        <v>76</v>
      </c>
      <c r="G60" s="4" t="str">
        <f>VLOOKUP(F60,[1]Sheet1!$B$2:$C$1111,2,FALSE)</f>
        <v>더컴퍼니</v>
      </c>
      <c r="H60" s="6" t="s">
        <v>29</v>
      </c>
      <c r="I60" s="6" t="s">
        <v>77</v>
      </c>
      <c r="J60" s="6">
        <v>0</v>
      </c>
      <c r="K60" s="6">
        <v>0</v>
      </c>
      <c r="L60" s="6">
        <v>0</v>
      </c>
      <c r="M60" s="6">
        <v>0</v>
      </c>
      <c r="N60" s="6">
        <v>0</v>
      </c>
      <c r="O60" s="6">
        <v>0</v>
      </c>
      <c r="P60" s="6">
        <v>0</v>
      </c>
      <c r="Q60" s="6">
        <v>0</v>
      </c>
      <c r="R60" s="6">
        <v>0</v>
      </c>
      <c r="S60" s="6">
        <v>0</v>
      </c>
      <c r="T60" s="6">
        <v>0</v>
      </c>
      <c r="U60" s="6">
        <v>0</v>
      </c>
      <c r="V60" s="6">
        <v>0</v>
      </c>
      <c r="W60" s="6">
        <v>0</v>
      </c>
      <c r="X60" s="6">
        <v>0</v>
      </c>
      <c r="Y60" s="6">
        <v>0</v>
      </c>
      <c r="Z60" s="6">
        <v>0</v>
      </c>
      <c r="AA60" s="6">
        <v>0</v>
      </c>
      <c r="AB60" s="6">
        <v>0</v>
      </c>
      <c r="AC60" s="6">
        <v>0</v>
      </c>
      <c r="AD60" s="6">
        <v>0</v>
      </c>
      <c r="AE60" s="6">
        <v>0</v>
      </c>
      <c r="AF60" s="6">
        <v>0</v>
      </c>
      <c r="AG60" s="6">
        <v>0</v>
      </c>
      <c r="AH60" s="6">
        <v>0</v>
      </c>
      <c r="AI60" s="6">
        <v>0</v>
      </c>
      <c r="AJ60" s="6">
        <v>0</v>
      </c>
      <c r="AK60" s="6">
        <v>0</v>
      </c>
      <c r="AL60" s="6">
        <v>0</v>
      </c>
      <c r="AM60" s="6">
        <v>0</v>
      </c>
      <c r="AN60" s="6">
        <v>0</v>
      </c>
      <c r="AO60" s="6">
        <v>0</v>
      </c>
      <c r="AP60" s="6">
        <v>0</v>
      </c>
      <c r="AQ60" s="6">
        <v>0</v>
      </c>
      <c r="AR60" s="6">
        <v>1</v>
      </c>
      <c r="AS60" s="7">
        <v>3400</v>
      </c>
      <c r="AT60" s="6">
        <v>0</v>
      </c>
      <c r="AU60" s="8">
        <v>3400</v>
      </c>
      <c r="AV60" s="12">
        <f t="shared" si="2"/>
        <v>3400</v>
      </c>
      <c r="AW60">
        <f t="shared" si="3"/>
        <v>2380</v>
      </c>
    </row>
    <row r="61" spans="1:49" ht="19.2" x14ac:dyDescent="0.4">
      <c r="A61" s="1" t="s">
        <v>95</v>
      </c>
      <c r="B61" s="4" t="s">
        <v>148</v>
      </c>
      <c r="C61" s="4">
        <v>361579</v>
      </c>
      <c r="D61" s="5"/>
      <c r="E61" s="4" t="s">
        <v>26</v>
      </c>
      <c r="F61" s="4" t="s">
        <v>65</v>
      </c>
      <c r="G61" s="4" t="str">
        <f>VLOOKUP(F61,[1]Sheet1!$B$2:$C$1111,2,FALSE)</f>
        <v>더컴퍼니</v>
      </c>
      <c r="H61" s="6" t="s">
        <v>29</v>
      </c>
      <c r="I61" s="6" t="s">
        <v>149</v>
      </c>
      <c r="J61" s="6">
        <v>0</v>
      </c>
      <c r="K61" s="6">
        <v>0</v>
      </c>
      <c r="L61" s="6">
        <v>0</v>
      </c>
      <c r="M61" s="6">
        <v>0</v>
      </c>
      <c r="N61" s="6">
        <v>0</v>
      </c>
      <c r="O61" s="6">
        <v>0</v>
      </c>
      <c r="P61" s="6">
        <v>0</v>
      </c>
      <c r="Q61" s="6">
        <v>0</v>
      </c>
      <c r="R61" s="6">
        <v>0</v>
      </c>
      <c r="S61" s="6">
        <v>0</v>
      </c>
      <c r="T61" s="6">
        <v>0</v>
      </c>
      <c r="U61" s="6">
        <v>0</v>
      </c>
      <c r="V61" s="6">
        <v>0</v>
      </c>
      <c r="W61" s="6">
        <v>0</v>
      </c>
      <c r="X61" s="6">
        <v>0</v>
      </c>
      <c r="Y61" s="6">
        <v>0</v>
      </c>
      <c r="Z61" s="6">
        <v>0</v>
      </c>
      <c r="AA61" s="6">
        <v>0</v>
      </c>
      <c r="AB61" s="6">
        <v>0</v>
      </c>
      <c r="AC61" s="6">
        <v>0</v>
      </c>
      <c r="AD61" s="6">
        <v>0</v>
      </c>
      <c r="AE61" s="6">
        <v>1</v>
      </c>
      <c r="AF61" s="7">
        <v>3200</v>
      </c>
      <c r="AG61" s="6">
        <v>0</v>
      </c>
      <c r="AH61" s="6">
        <v>0</v>
      </c>
      <c r="AI61" s="6">
        <v>0</v>
      </c>
      <c r="AJ61" s="6">
        <v>0</v>
      </c>
      <c r="AK61" s="6">
        <v>0</v>
      </c>
      <c r="AL61" s="6">
        <v>0</v>
      </c>
      <c r="AM61" s="6">
        <v>0</v>
      </c>
      <c r="AN61" s="6">
        <v>0</v>
      </c>
      <c r="AO61" s="6">
        <v>0</v>
      </c>
      <c r="AP61" s="6">
        <v>0</v>
      </c>
      <c r="AQ61" s="6">
        <v>0</v>
      </c>
      <c r="AR61" s="6">
        <v>0</v>
      </c>
      <c r="AS61" s="6">
        <v>0</v>
      </c>
      <c r="AT61" s="6">
        <v>0</v>
      </c>
      <c r="AU61" s="8">
        <v>3200</v>
      </c>
      <c r="AV61" s="12">
        <f t="shared" si="2"/>
        <v>3200</v>
      </c>
      <c r="AW61">
        <f t="shared" si="3"/>
        <v>2240</v>
      </c>
    </row>
    <row r="62" spans="1:49" ht="19.2" x14ac:dyDescent="0.4">
      <c r="A62" s="1" t="s">
        <v>95</v>
      </c>
      <c r="B62" s="4" t="s">
        <v>150</v>
      </c>
      <c r="C62" s="4">
        <v>317423</v>
      </c>
      <c r="D62" s="5"/>
      <c r="E62" s="4" t="s">
        <v>26</v>
      </c>
      <c r="F62" s="4" t="s">
        <v>151</v>
      </c>
      <c r="G62" s="4" t="str">
        <f>VLOOKUP(F62,[1]Sheet1!$B$2:$C$1111,2,FALSE)</f>
        <v>더컴퍼니</v>
      </c>
      <c r="H62" s="6" t="s">
        <v>29</v>
      </c>
      <c r="I62" s="6" t="s">
        <v>152</v>
      </c>
      <c r="J62" s="6">
        <v>0</v>
      </c>
      <c r="K62" s="6">
        <v>0</v>
      </c>
      <c r="L62" s="6">
        <v>0</v>
      </c>
      <c r="M62" s="6">
        <v>0</v>
      </c>
      <c r="N62" s="6">
        <v>0</v>
      </c>
      <c r="O62" s="6">
        <v>0</v>
      </c>
      <c r="P62" s="6">
        <v>0</v>
      </c>
      <c r="Q62" s="6">
        <v>0</v>
      </c>
      <c r="R62" s="6">
        <v>0</v>
      </c>
      <c r="S62" s="6">
        <v>0</v>
      </c>
      <c r="T62" s="6">
        <v>0</v>
      </c>
      <c r="U62" s="6">
        <v>0</v>
      </c>
      <c r="V62" s="6">
        <v>0</v>
      </c>
      <c r="W62" s="6">
        <v>0</v>
      </c>
      <c r="X62" s="6">
        <v>0</v>
      </c>
      <c r="Y62" s="6">
        <v>0</v>
      </c>
      <c r="Z62" s="6">
        <v>0</v>
      </c>
      <c r="AA62" s="6">
        <v>0</v>
      </c>
      <c r="AB62" s="6">
        <v>0</v>
      </c>
      <c r="AC62" s="6">
        <v>0</v>
      </c>
      <c r="AD62" s="6">
        <v>0</v>
      </c>
      <c r="AE62" s="6">
        <v>1</v>
      </c>
      <c r="AF62" s="7">
        <v>2900</v>
      </c>
      <c r="AG62" s="6">
        <v>0</v>
      </c>
      <c r="AH62" s="6">
        <v>0</v>
      </c>
      <c r="AI62" s="6">
        <v>0</v>
      </c>
      <c r="AJ62" s="6">
        <v>0</v>
      </c>
      <c r="AK62" s="6">
        <v>0</v>
      </c>
      <c r="AL62" s="6">
        <v>0</v>
      </c>
      <c r="AM62" s="6">
        <v>0</v>
      </c>
      <c r="AN62" s="6">
        <v>0</v>
      </c>
      <c r="AO62" s="6">
        <v>0</v>
      </c>
      <c r="AP62" s="6">
        <v>0</v>
      </c>
      <c r="AQ62" s="6">
        <v>0</v>
      </c>
      <c r="AR62" s="6">
        <v>0</v>
      </c>
      <c r="AS62" s="6">
        <v>0</v>
      </c>
      <c r="AT62" s="6">
        <v>0</v>
      </c>
      <c r="AU62" s="8">
        <v>2900</v>
      </c>
      <c r="AV62" s="12">
        <f t="shared" si="2"/>
        <v>2900</v>
      </c>
      <c r="AW62">
        <f t="shared" si="3"/>
        <v>2029.9999999999998</v>
      </c>
    </row>
    <row r="63" spans="1:49" ht="19.2" x14ac:dyDescent="0.4">
      <c r="A63" s="1" t="s">
        <v>95</v>
      </c>
      <c r="B63" s="4" t="s">
        <v>60</v>
      </c>
      <c r="C63" s="4">
        <v>457239</v>
      </c>
      <c r="D63" s="5"/>
      <c r="E63" s="4" t="s">
        <v>26</v>
      </c>
      <c r="F63" s="4" t="s">
        <v>61</v>
      </c>
      <c r="G63" s="4" t="str">
        <f>VLOOKUP(F63,[1]Sheet1!$B$2:$C$1111,2,FALSE)</f>
        <v>밀리의 서재</v>
      </c>
      <c r="H63" s="6" t="s">
        <v>29</v>
      </c>
      <c r="I63" s="6" t="s">
        <v>62</v>
      </c>
      <c r="J63" s="6">
        <v>0</v>
      </c>
      <c r="K63" s="6">
        <v>0</v>
      </c>
      <c r="L63" s="6">
        <v>0</v>
      </c>
      <c r="M63" s="6">
        <v>0</v>
      </c>
      <c r="N63" s="6">
        <v>0</v>
      </c>
      <c r="O63" s="6">
        <v>0</v>
      </c>
      <c r="P63" s="6">
        <v>0</v>
      </c>
      <c r="Q63" s="6">
        <v>0</v>
      </c>
      <c r="R63" s="6">
        <v>0</v>
      </c>
      <c r="S63" s="6">
        <v>0</v>
      </c>
      <c r="T63" s="6">
        <v>0</v>
      </c>
      <c r="U63" s="6">
        <v>0</v>
      </c>
      <c r="V63" s="6">
        <v>0</v>
      </c>
      <c r="W63" s="6">
        <v>0</v>
      </c>
      <c r="X63" s="6">
        <v>0</v>
      </c>
      <c r="Y63" s="6">
        <v>0</v>
      </c>
      <c r="Z63" s="6">
        <v>0</v>
      </c>
      <c r="AA63" s="6">
        <v>0</v>
      </c>
      <c r="AB63" s="6">
        <v>0</v>
      </c>
      <c r="AC63" s="6">
        <v>0</v>
      </c>
      <c r="AD63" s="6">
        <v>0</v>
      </c>
      <c r="AE63" s="6">
        <v>1</v>
      </c>
      <c r="AF63" s="6">
        <v>800</v>
      </c>
      <c r="AG63" s="6">
        <v>0</v>
      </c>
      <c r="AH63" s="6">
        <v>0</v>
      </c>
      <c r="AI63" s="6">
        <v>0</v>
      </c>
      <c r="AJ63" s="6">
        <v>0</v>
      </c>
      <c r="AK63" s="6">
        <v>1</v>
      </c>
      <c r="AL63" s="7">
        <v>1440</v>
      </c>
      <c r="AM63" s="6">
        <v>0</v>
      </c>
      <c r="AN63" s="6">
        <v>432</v>
      </c>
      <c r="AO63" s="6">
        <v>0</v>
      </c>
      <c r="AP63" s="6">
        <v>0</v>
      </c>
      <c r="AQ63" s="6">
        <v>0</v>
      </c>
      <c r="AR63" s="6">
        <v>0</v>
      </c>
      <c r="AS63" s="6">
        <v>0</v>
      </c>
      <c r="AT63" s="6">
        <v>0</v>
      </c>
      <c r="AU63" s="8">
        <v>2240</v>
      </c>
      <c r="AV63" s="12">
        <f t="shared" si="2"/>
        <v>1808</v>
      </c>
      <c r="AW63">
        <f t="shared" si="3"/>
        <v>1265.5999999999999</v>
      </c>
    </row>
    <row r="64" spans="1:49" x14ac:dyDescent="0.4">
      <c r="A64" s="1" t="s">
        <v>95</v>
      </c>
      <c r="B64" s="4" t="s">
        <v>67</v>
      </c>
      <c r="C64" s="4">
        <v>408836</v>
      </c>
      <c r="D64" s="5"/>
      <c r="E64" s="4" t="s">
        <v>26</v>
      </c>
      <c r="F64" s="4" t="s">
        <v>27</v>
      </c>
      <c r="G64" s="4" t="str">
        <f>VLOOKUP(F64,[1]Sheet1!$B$2:$C$1111,2,FALSE)</f>
        <v>에필로그</v>
      </c>
      <c r="H64" s="6" t="s">
        <v>8</v>
      </c>
      <c r="I64" s="6" t="s">
        <v>68</v>
      </c>
      <c r="J64" s="6">
        <v>0</v>
      </c>
      <c r="K64" s="6">
        <v>0</v>
      </c>
      <c r="L64" s="6">
        <v>0</v>
      </c>
      <c r="M64" s="6">
        <v>0</v>
      </c>
      <c r="N64" s="6">
        <v>0</v>
      </c>
      <c r="O64" s="6">
        <v>0</v>
      </c>
      <c r="P64" s="6">
        <v>0</v>
      </c>
      <c r="Q64" s="6">
        <v>0</v>
      </c>
      <c r="R64" s="6">
        <v>0</v>
      </c>
      <c r="S64" s="6">
        <v>0</v>
      </c>
      <c r="T64" s="6">
        <v>0</v>
      </c>
      <c r="U64" s="6">
        <v>0</v>
      </c>
      <c r="V64" s="6">
        <v>0</v>
      </c>
      <c r="W64" s="6">
        <v>0</v>
      </c>
      <c r="X64" s="6">
        <v>0</v>
      </c>
      <c r="Y64" s="6">
        <v>0</v>
      </c>
      <c r="Z64" s="6">
        <v>0</v>
      </c>
      <c r="AA64" s="6">
        <v>0</v>
      </c>
      <c r="AB64" s="6">
        <v>2</v>
      </c>
      <c r="AC64" s="7">
        <v>1400</v>
      </c>
      <c r="AD64" s="6">
        <v>0</v>
      </c>
      <c r="AE64" s="6">
        <v>0</v>
      </c>
      <c r="AF64" s="6">
        <v>0</v>
      </c>
      <c r="AG64" s="6">
        <v>0</v>
      </c>
      <c r="AH64" s="6">
        <v>0</v>
      </c>
      <c r="AI64" s="6">
        <v>0</v>
      </c>
      <c r="AJ64" s="6">
        <v>0</v>
      </c>
      <c r="AK64" s="6">
        <v>0</v>
      </c>
      <c r="AL64" s="6">
        <v>0</v>
      </c>
      <c r="AM64" s="6">
        <v>0</v>
      </c>
      <c r="AN64" s="6">
        <v>0</v>
      </c>
      <c r="AO64" s="6">
        <v>0</v>
      </c>
      <c r="AP64" s="6">
        <v>0</v>
      </c>
      <c r="AQ64" s="6">
        <v>0</v>
      </c>
      <c r="AR64" s="6">
        <v>0</v>
      </c>
      <c r="AS64" s="6">
        <v>0</v>
      </c>
      <c r="AT64" s="6">
        <v>0</v>
      </c>
      <c r="AU64" s="8">
        <v>1400</v>
      </c>
      <c r="AV64" s="12">
        <f t="shared" si="2"/>
        <v>1400</v>
      </c>
      <c r="AW64">
        <f t="shared" si="3"/>
        <v>979.99999999999989</v>
      </c>
    </row>
    <row r="65" spans="1:49" ht="19.2" x14ac:dyDescent="0.4">
      <c r="A65" s="1" t="s">
        <v>95</v>
      </c>
      <c r="B65" s="4" t="s">
        <v>75</v>
      </c>
      <c r="C65" s="4">
        <v>423997</v>
      </c>
      <c r="D65" s="5"/>
      <c r="E65" s="4" t="s">
        <v>26</v>
      </c>
      <c r="F65" s="4" t="s">
        <v>76</v>
      </c>
      <c r="G65" s="4" t="str">
        <f>VLOOKUP(F65,[1]Sheet1!$B$2:$C$1111,2,FALSE)</f>
        <v>더컴퍼니</v>
      </c>
      <c r="H65" s="6" t="s">
        <v>29</v>
      </c>
      <c r="I65" s="6" t="s">
        <v>77</v>
      </c>
      <c r="J65" s="6">
        <v>0</v>
      </c>
      <c r="K65" s="6">
        <v>0</v>
      </c>
      <c r="L65" s="6">
        <v>0</v>
      </c>
      <c r="M65" s="6">
        <v>0</v>
      </c>
      <c r="N65" s="6">
        <v>0</v>
      </c>
      <c r="O65" s="6">
        <v>0</v>
      </c>
      <c r="P65" s="6">
        <v>0</v>
      </c>
      <c r="Q65" s="6">
        <v>0</v>
      </c>
      <c r="R65" s="6">
        <v>0</v>
      </c>
      <c r="S65" s="6">
        <v>0</v>
      </c>
      <c r="T65" s="6">
        <v>0</v>
      </c>
      <c r="U65" s="6">
        <v>0</v>
      </c>
      <c r="V65" s="6">
        <v>0</v>
      </c>
      <c r="W65" s="6">
        <v>0</v>
      </c>
      <c r="X65" s="6">
        <v>0</v>
      </c>
      <c r="Y65" s="6">
        <v>0</v>
      </c>
      <c r="Z65" s="6">
        <v>0</v>
      </c>
      <c r="AA65" s="6">
        <v>0</v>
      </c>
      <c r="AB65" s="6">
        <v>0</v>
      </c>
      <c r="AC65" s="6">
        <v>0</v>
      </c>
      <c r="AD65" s="6">
        <v>0</v>
      </c>
      <c r="AE65" s="6">
        <v>0</v>
      </c>
      <c r="AF65" s="6">
        <v>0</v>
      </c>
      <c r="AG65" s="6">
        <v>0</v>
      </c>
      <c r="AH65" s="6">
        <v>0</v>
      </c>
      <c r="AI65" s="6">
        <v>0</v>
      </c>
      <c r="AJ65" s="6">
        <v>0</v>
      </c>
      <c r="AK65" s="6">
        <v>0</v>
      </c>
      <c r="AL65" s="6">
        <v>0</v>
      </c>
      <c r="AM65" s="6">
        <v>0</v>
      </c>
      <c r="AN65" s="6">
        <v>0</v>
      </c>
      <c r="AO65" s="6">
        <v>0</v>
      </c>
      <c r="AP65" s="6">
        <v>0</v>
      </c>
      <c r="AQ65" s="6">
        <v>0</v>
      </c>
      <c r="AR65" s="6">
        <v>1</v>
      </c>
      <c r="AS65" s="6">
        <v>0</v>
      </c>
      <c r="AT65" s="6">
        <v>300</v>
      </c>
      <c r="AU65" s="9">
        <v>300</v>
      </c>
      <c r="AV65" s="12">
        <f t="shared" si="2"/>
        <v>300</v>
      </c>
      <c r="AW65">
        <f t="shared" si="3"/>
        <v>210</v>
      </c>
    </row>
    <row r="66" spans="1:49" ht="19.2" x14ac:dyDescent="0.4">
      <c r="A66" s="1" t="s">
        <v>95</v>
      </c>
      <c r="B66" s="4" t="s">
        <v>34</v>
      </c>
      <c r="C66" s="4">
        <v>395237</v>
      </c>
      <c r="D66" s="5"/>
      <c r="E66" s="4" t="s">
        <v>26</v>
      </c>
      <c r="F66" s="4" t="s">
        <v>28</v>
      </c>
      <c r="G66" s="4" t="str">
        <f>VLOOKUP(F66,[1]Sheet1!$B$2:$C$1111,2,FALSE)</f>
        <v>더컴퍼니</v>
      </c>
      <c r="H66" s="6" t="s">
        <v>29</v>
      </c>
      <c r="I66" s="6" t="s">
        <v>30</v>
      </c>
      <c r="J66" s="6">
        <v>0</v>
      </c>
      <c r="K66" s="6">
        <v>0</v>
      </c>
      <c r="L66" s="6">
        <v>0</v>
      </c>
      <c r="M66" s="6">
        <v>0</v>
      </c>
      <c r="N66" s="6">
        <v>0</v>
      </c>
      <c r="O66" s="6">
        <v>0</v>
      </c>
      <c r="P66" s="6">
        <v>0</v>
      </c>
      <c r="Q66" s="6">
        <v>0</v>
      </c>
      <c r="R66" s="6">
        <v>0</v>
      </c>
      <c r="S66" s="6">
        <v>0</v>
      </c>
      <c r="T66" s="6">
        <v>0</v>
      </c>
      <c r="U66" s="6">
        <v>0</v>
      </c>
      <c r="V66" s="6">
        <v>0</v>
      </c>
      <c r="W66" s="6">
        <v>0</v>
      </c>
      <c r="X66" s="6">
        <v>0</v>
      </c>
      <c r="Y66" s="6">
        <v>0</v>
      </c>
      <c r="Z66" s="6">
        <v>0</v>
      </c>
      <c r="AA66" s="6">
        <v>0</v>
      </c>
      <c r="AB66" s="6">
        <v>0</v>
      </c>
      <c r="AC66" s="6">
        <v>0</v>
      </c>
      <c r="AD66" s="6">
        <v>0</v>
      </c>
      <c r="AE66" s="6">
        <v>1</v>
      </c>
      <c r="AF66" s="6">
        <v>200</v>
      </c>
      <c r="AG66" s="6">
        <v>0</v>
      </c>
      <c r="AH66" s="6">
        <v>0</v>
      </c>
      <c r="AI66" s="6">
        <v>0</v>
      </c>
      <c r="AJ66" s="6">
        <v>0</v>
      </c>
      <c r="AK66" s="6">
        <v>0</v>
      </c>
      <c r="AL66" s="6">
        <v>0</v>
      </c>
      <c r="AM66" s="6">
        <v>0</v>
      </c>
      <c r="AN66" s="6">
        <v>0</v>
      </c>
      <c r="AO66" s="6">
        <v>0</v>
      </c>
      <c r="AP66" s="6">
        <v>0</v>
      </c>
      <c r="AQ66" s="6">
        <v>0</v>
      </c>
      <c r="AR66" s="6">
        <v>0</v>
      </c>
      <c r="AS66" s="6">
        <v>0</v>
      </c>
      <c r="AT66" s="6">
        <v>0</v>
      </c>
      <c r="AU66" s="9">
        <v>200</v>
      </c>
      <c r="AV66" s="12">
        <f t="shared" si="2"/>
        <v>200</v>
      </c>
      <c r="AW66">
        <f t="shared" si="3"/>
        <v>140</v>
      </c>
    </row>
    <row r="67" spans="1:49" x14ac:dyDescent="0.4">
      <c r="A67" s="1" t="s">
        <v>95</v>
      </c>
      <c r="B67" s="4" t="s">
        <v>153</v>
      </c>
      <c r="C67" s="4">
        <v>361185</v>
      </c>
      <c r="D67" s="5"/>
      <c r="E67" s="4" t="s">
        <v>26</v>
      </c>
      <c r="F67" s="4" t="s">
        <v>27</v>
      </c>
      <c r="G67" s="4" t="str">
        <f>VLOOKUP(F67,[1]Sheet1!$B$2:$C$1111,2,FALSE)</f>
        <v>에필로그</v>
      </c>
      <c r="H67" s="6" t="s">
        <v>8</v>
      </c>
      <c r="I67" s="6" t="s">
        <v>154</v>
      </c>
      <c r="J67" s="6">
        <v>0</v>
      </c>
      <c r="K67" s="6">
        <v>0</v>
      </c>
      <c r="L67" s="6">
        <v>0</v>
      </c>
      <c r="M67" s="6">
        <v>0</v>
      </c>
      <c r="N67" s="6">
        <v>0</v>
      </c>
      <c r="O67" s="6">
        <v>0</v>
      </c>
      <c r="P67" s="6">
        <v>0</v>
      </c>
      <c r="Q67" s="6">
        <v>0</v>
      </c>
      <c r="R67" s="6">
        <v>0</v>
      </c>
      <c r="S67" s="6">
        <v>0</v>
      </c>
      <c r="T67" s="6">
        <v>0</v>
      </c>
      <c r="U67" s="6">
        <v>0</v>
      </c>
      <c r="V67" s="6">
        <v>0</v>
      </c>
      <c r="W67" s="6">
        <v>0</v>
      </c>
      <c r="X67" s="6">
        <v>0</v>
      </c>
      <c r="Y67" s="6">
        <v>0</v>
      </c>
      <c r="Z67" s="6">
        <v>0</v>
      </c>
      <c r="AA67" s="6">
        <v>0</v>
      </c>
      <c r="AB67" s="6">
        <v>0</v>
      </c>
      <c r="AC67" s="6">
        <v>0</v>
      </c>
      <c r="AD67" s="6">
        <v>0</v>
      </c>
      <c r="AE67" s="6">
        <v>2</v>
      </c>
      <c r="AF67" s="6">
        <v>200</v>
      </c>
      <c r="AG67" s="6">
        <v>0</v>
      </c>
      <c r="AH67" s="6">
        <v>0</v>
      </c>
      <c r="AI67" s="6">
        <v>0</v>
      </c>
      <c r="AJ67" s="6">
        <v>0</v>
      </c>
      <c r="AK67" s="6">
        <v>0</v>
      </c>
      <c r="AL67" s="6">
        <v>0</v>
      </c>
      <c r="AM67" s="6">
        <v>0</v>
      </c>
      <c r="AN67" s="6">
        <v>0</v>
      </c>
      <c r="AO67" s="6">
        <v>0</v>
      </c>
      <c r="AP67" s="6">
        <v>0</v>
      </c>
      <c r="AQ67" s="6">
        <v>0</v>
      </c>
      <c r="AR67" s="6">
        <v>0</v>
      </c>
      <c r="AS67" s="6">
        <v>0</v>
      </c>
      <c r="AT67" s="6">
        <v>0</v>
      </c>
      <c r="AU67" s="9">
        <v>200</v>
      </c>
      <c r="AV67" s="12">
        <f t="shared" si="2"/>
        <v>200</v>
      </c>
      <c r="AW67">
        <f t="shared" si="3"/>
        <v>140</v>
      </c>
    </row>
    <row r="68" spans="1:49" ht="19.2" x14ac:dyDescent="0.4">
      <c r="A68" s="1" t="s">
        <v>95</v>
      </c>
      <c r="B68" s="4" t="s">
        <v>127</v>
      </c>
      <c r="C68" s="4">
        <v>461432</v>
      </c>
      <c r="D68" s="5"/>
      <c r="E68" s="4" t="s">
        <v>26</v>
      </c>
      <c r="F68" s="4" t="s">
        <v>46</v>
      </c>
      <c r="G68" s="4" t="str">
        <f>VLOOKUP(F68,[1]Sheet1!$B$2:$C$1111,2,FALSE)</f>
        <v>에필로그</v>
      </c>
      <c r="H68" s="6" t="s">
        <v>104</v>
      </c>
      <c r="I68" s="6" t="s">
        <v>118</v>
      </c>
      <c r="J68" s="6">
        <v>0</v>
      </c>
      <c r="K68" s="6">
        <v>0</v>
      </c>
      <c r="L68" s="6">
        <v>0</v>
      </c>
      <c r="M68" s="6">
        <v>0</v>
      </c>
      <c r="N68" s="6">
        <v>0</v>
      </c>
      <c r="O68" s="6">
        <v>0</v>
      </c>
      <c r="P68" s="6">
        <v>0</v>
      </c>
      <c r="Q68" s="6">
        <v>0</v>
      </c>
      <c r="R68" s="6">
        <v>0</v>
      </c>
      <c r="S68" s="6">
        <v>0</v>
      </c>
      <c r="T68" s="6">
        <v>0</v>
      </c>
      <c r="U68" s="6">
        <v>0</v>
      </c>
      <c r="V68" s="6">
        <v>0</v>
      </c>
      <c r="W68" s="6">
        <v>0</v>
      </c>
      <c r="X68" s="6">
        <v>0</v>
      </c>
      <c r="Y68" s="6">
        <v>0</v>
      </c>
      <c r="Z68" s="6">
        <v>0</v>
      </c>
      <c r="AA68" s="6">
        <v>0</v>
      </c>
      <c r="AB68" s="6">
        <v>0</v>
      </c>
      <c r="AC68" s="6">
        <v>0</v>
      </c>
      <c r="AD68" s="6">
        <v>0</v>
      </c>
      <c r="AE68" s="6">
        <v>1</v>
      </c>
      <c r="AF68" s="6">
        <v>100</v>
      </c>
      <c r="AG68" s="6">
        <v>0</v>
      </c>
      <c r="AH68" s="6">
        <v>0</v>
      </c>
      <c r="AI68" s="6">
        <v>0</v>
      </c>
      <c r="AJ68" s="6">
        <v>0</v>
      </c>
      <c r="AK68" s="6">
        <v>0</v>
      </c>
      <c r="AL68" s="6">
        <v>0</v>
      </c>
      <c r="AM68" s="6">
        <v>0</v>
      </c>
      <c r="AN68" s="6">
        <v>0</v>
      </c>
      <c r="AO68" s="6">
        <v>0</v>
      </c>
      <c r="AP68" s="6">
        <v>0</v>
      </c>
      <c r="AQ68" s="6">
        <v>0</v>
      </c>
      <c r="AR68" s="6">
        <v>0</v>
      </c>
      <c r="AS68" s="6">
        <v>0</v>
      </c>
      <c r="AT68" s="6">
        <v>0</v>
      </c>
      <c r="AU68" s="9">
        <v>100</v>
      </c>
      <c r="AV68" s="12">
        <f t="shared" si="2"/>
        <v>100</v>
      </c>
      <c r="AW68">
        <f t="shared" si="3"/>
        <v>70</v>
      </c>
    </row>
    <row r="69" spans="1:49" x14ac:dyDescent="0.4">
      <c r="AW69" s="14">
        <f>SUM(AW2:AW68)</f>
        <v>410904.19999999995</v>
      </c>
    </row>
  </sheetData>
  <phoneticPr fontId="20" type="noConversion"/>
  <pageMargins left="0.75" right="0.75" top="1" bottom="1" header="0.5" footer="0.5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AW25"/>
  <sheetViews>
    <sheetView workbookViewId="0"/>
  </sheetViews>
  <sheetFormatPr defaultRowHeight="17.399999999999999" x14ac:dyDescent="0.4"/>
  <cols>
    <col min="1" max="1" width="12.796875" bestFit="1" customWidth="1"/>
    <col min="2" max="2" width="9.296875" bestFit="1" customWidth="1"/>
    <col min="3" max="3" width="6.5" bestFit="1" customWidth="1"/>
    <col min="4" max="4" width="7.19921875" bestFit="1" customWidth="1"/>
    <col min="5" max="6" width="8.3984375" bestFit="1" customWidth="1"/>
    <col min="7" max="7" width="6" bestFit="1" customWidth="1"/>
    <col min="8" max="8" width="8.19921875" bestFit="1" customWidth="1"/>
    <col min="9" max="9" width="7.3984375" bestFit="1" customWidth="1"/>
    <col min="10" max="10" width="3.59765625" bestFit="1" customWidth="1"/>
    <col min="11" max="11" width="4.796875" bestFit="1" customWidth="1"/>
    <col min="12" max="12" width="7.19921875" bestFit="1" customWidth="1"/>
    <col min="13" max="14" width="6" bestFit="1" customWidth="1"/>
    <col min="15" max="16" width="6.296875" bestFit="1" customWidth="1"/>
    <col min="17" max="18" width="8.3984375" bestFit="1" customWidth="1"/>
    <col min="19" max="19" width="3.59765625" bestFit="1" customWidth="1"/>
    <col min="20" max="20" width="4.796875" bestFit="1" customWidth="1"/>
    <col min="21" max="21" width="7.19921875" bestFit="1" customWidth="1"/>
    <col min="22" max="23" width="6" bestFit="1" customWidth="1"/>
    <col min="24" max="25" width="6.296875" bestFit="1" customWidth="1"/>
    <col min="26" max="27" width="8.3984375" bestFit="1" customWidth="1"/>
    <col min="28" max="39" width="3.59765625" bestFit="1" customWidth="1"/>
    <col min="40" max="40" width="7.8984375" bestFit="1" customWidth="1"/>
    <col min="41" max="46" width="3.59765625" bestFit="1" customWidth="1"/>
    <col min="47" max="47" width="6.69921875" bestFit="1" customWidth="1"/>
    <col min="48" max="48" width="9.796875" bestFit="1" customWidth="1"/>
    <col min="49" max="49" width="7.3984375" bestFit="1" customWidth="1"/>
  </cols>
  <sheetData>
    <row r="1" spans="1:49" ht="19.2" x14ac:dyDescent="0.4">
      <c r="A1" s="2" t="s">
        <v>10</v>
      </c>
      <c r="B1" s="2" t="s">
        <v>0</v>
      </c>
      <c r="C1" s="2" t="s">
        <v>1</v>
      </c>
      <c r="D1" s="3" t="s">
        <v>2</v>
      </c>
      <c r="E1" s="2" t="s">
        <v>3</v>
      </c>
      <c r="F1" s="2" t="s">
        <v>4</v>
      </c>
      <c r="G1" s="2" t="s">
        <v>5</v>
      </c>
      <c r="H1" s="3" t="s">
        <v>6</v>
      </c>
      <c r="I1" s="3" t="s">
        <v>7</v>
      </c>
      <c r="J1" s="10" t="s">
        <v>11</v>
      </c>
      <c r="K1" s="10" t="s">
        <v>12</v>
      </c>
      <c r="L1" s="10" t="s">
        <v>13</v>
      </c>
      <c r="M1" s="10" t="s">
        <v>14</v>
      </c>
      <c r="N1" s="10" t="s">
        <v>15</v>
      </c>
      <c r="O1" s="10" t="s">
        <v>16</v>
      </c>
      <c r="P1" s="10" t="s">
        <v>17</v>
      </c>
      <c r="Q1" s="10" t="s">
        <v>18</v>
      </c>
      <c r="R1" s="10" t="s">
        <v>19</v>
      </c>
      <c r="S1" s="10" t="s">
        <v>11</v>
      </c>
      <c r="T1" s="10" t="s">
        <v>12</v>
      </c>
      <c r="U1" s="10" t="s">
        <v>13</v>
      </c>
      <c r="V1" s="10" t="s">
        <v>14</v>
      </c>
      <c r="W1" s="10" t="s">
        <v>15</v>
      </c>
      <c r="X1" s="10" t="s">
        <v>16</v>
      </c>
      <c r="Y1" s="10" t="s">
        <v>17</v>
      </c>
      <c r="Z1" s="10" t="s">
        <v>18</v>
      </c>
      <c r="AA1" s="10" t="s">
        <v>19</v>
      </c>
      <c r="AB1" s="10" t="s">
        <v>11</v>
      </c>
      <c r="AC1" s="10" t="s">
        <v>20</v>
      </c>
      <c r="AD1" s="10" t="s">
        <v>21</v>
      </c>
      <c r="AE1" s="10" t="s">
        <v>11</v>
      </c>
      <c r="AF1" s="10" t="s">
        <v>20</v>
      </c>
      <c r="AG1" s="10" t="s">
        <v>21</v>
      </c>
      <c r="AH1" s="10" t="s">
        <v>11</v>
      </c>
      <c r="AI1" s="10" t="s">
        <v>20</v>
      </c>
      <c r="AJ1" s="10" t="s">
        <v>21</v>
      </c>
      <c r="AK1" s="10" t="s">
        <v>11</v>
      </c>
      <c r="AL1" s="10" t="s">
        <v>20</v>
      </c>
      <c r="AM1" s="10" t="s">
        <v>21</v>
      </c>
      <c r="AN1" s="11" t="s">
        <v>22</v>
      </c>
      <c r="AO1" s="10" t="s">
        <v>11</v>
      </c>
      <c r="AP1" s="10" t="s">
        <v>20</v>
      </c>
      <c r="AQ1" s="10" t="s">
        <v>21</v>
      </c>
      <c r="AR1" s="10" t="s">
        <v>11</v>
      </c>
      <c r="AS1" s="10" t="s">
        <v>20</v>
      </c>
      <c r="AT1" s="10" t="s">
        <v>21</v>
      </c>
      <c r="AU1" s="11" t="s">
        <v>23</v>
      </c>
      <c r="AV1" s="10" t="s">
        <v>24</v>
      </c>
      <c r="AW1" s="11" t="s">
        <v>25</v>
      </c>
    </row>
    <row r="2" spans="1:49" ht="19.2" x14ac:dyDescent="0.4">
      <c r="A2" s="1" t="s">
        <v>80</v>
      </c>
      <c r="B2" s="4" t="s">
        <v>31</v>
      </c>
      <c r="C2" s="4">
        <v>387161</v>
      </c>
      <c r="D2" s="5"/>
      <c r="E2" s="4" t="s">
        <v>26</v>
      </c>
      <c r="F2" s="4" t="s">
        <v>32</v>
      </c>
      <c r="G2" s="4" t="s">
        <v>97</v>
      </c>
      <c r="H2" s="6" t="s">
        <v>29</v>
      </c>
      <c r="I2" s="6" t="s">
        <v>33</v>
      </c>
      <c r="J2" s="6">
        <v>0</v>
      </c>
      <c r="K2" s="6">
        <v>0</v>
      </c>
      <c r="L2" s="6">
        <v>0</v>
      </c>
      <c r="M2" s="6">
        <v>0</v>
      </c>
      <c r="N2" s="6">
        <v>0</v>
      </c>
      <c r="O2" s="6">
        <v>0</v>
      </c>
      <c r="P2" s="6">
        <v>0</v>
      </c>
      <c r="Q2" s="6">
        <v>0</v>
      </c>
      <c r="R2" s="6">
        <v>0</v>
      </c>
      <c r="S2" s="6">
        <v>0</v>
      </c>
      <c r="T2" s="6">
        <v>0</v>
      </c>
      <c r="U2" s="6">
        <v>0</v>
      </c>
      <c r="V2" s="6">
        <v>0</v>
      </c>
      <c r="W2" s="6">
        <v>0</v>
      </c>
      <c r="X2" s="6">
        <v>0</v>
      </c>
      <c r="Y2" s="6">
        <v>0</v>
      </c>
      <c r="Z2" s="6">
        <v>0</v>
      </c>
      <c r="AA2" s="6">
        <v>0</v>
      </c>
      <c r="AB2" s="6">
        <v>0</v>
      </c>
      <c r="AC2" s="6">
        <v>0</v>
      </c>
      <c r="AD2" s="6">
        <v>0</v>
      </c>
      <c r="AE2" s="6">
        <v>0</v>
      </c>
      <c r="AF2" s="6">
        <v>0</v>
      </c>
      <c r="AG2" s="6">
        <v>0</v>
      </c>
      <c r="AH2" s="6">
        <v>0</v>
      </c>
      <c r="AI2" s="6">
        <v>0</v>
      </c>
      <c r="AJ2" s="6">
        <v>0</v>
      </c>
      <c r="AK2" s="6">
        <v>0</v>
      </c>
      <c r="AL2" s="6">
        <v>0</v>
      </c>
      <c r="AM2" s="6">
        <v>0</v>
      </c>
      <c r="AN2" s="6">
        <v>0</v>
      </c>
      <c r="AO2" s="6">
        <v>0</v>
      </c>
      <c r="AP2" s="6">
        <v>0</v>
      </c>
      <c r="AQ2" s="6">
        <v>0</v>
      </c>
      <c r="AR2" s="6">
        <v>0</v>
      </c>
      <c r="AS2" s="6">
        <v>0</v>
      </c>
      <c r="AT2" s="6">
        <v>0</v>
      </c>
      <c r="AU2" s="8">
        <v>35200</v>
      </c>
      <c r="AV2" s="12">
        <v>35200</v>
      </c>
      <c r="AW2">
        <v>24640</v>
      </c>
    </row>
    <row r="3" spans="1:49" ht="19.2" x14ac:dyDescent="0.4">
      <c r="A3" s="1" t="s">
        <v>80</v>
      </c>
      <c r="B3" s="4" t="s">
        <v>102</v>
      </c>
      <c r="C3" s="4">
        <v>275218</v>
      </c>
      <c r="D3" s="5"/>
      <c r="E3" s="4" t="s">
        <v>26</v>
      </c>
      <c r="F3" s="4" t="s">
        <v>103</v>
      </c>
      <c r="G3" s="4" t="s">
        <v>97</v>
      </c>
      <c r="H3" s="6" t="s">
        <v>104</v>
      </c>
      <c r="I3" s="6" t="s">
        <v>105</v>
      </c>
      <c r="J3" s="6">
        <v>0</v>
      </c>
      <c r="K3" s="6">
        <v>0</v>
      </c>
      <c r="L3" s="6">
        <v>0</v>
      </c>
      <c r="M3" s="6">
        <v>0</v>
      </c>
      <c r="N3" s="6">
        <v>0</v>
      </c>
      <c r="O3" s="6">
        <v>0</v>
      </c>
      <c r="P3" s="6">
        <v>0</v>
      </c>
      <c r="Q3" s="6">
        <v>0</v>
      </c>
      <c r="R3" s="6">
        <v>0</v>
      </c>
      <c r="S3" s="6">
        <v>0</v>
      </c>
      <c r="T3" s="6">
        <v>0</v>
      </c>
      <c r="U3" s="6">
        <v>0</v>
      </c>
      <c r="V3" s="6">
        <v>0</v>
      </c>
      <c r="W3" s="6">
        <v>0</v>
      </c>
      <c r="X3" s="6">
        <v>0</v>
      </c>
      <c r="Y3" s="6">
        <v>0</v>
      </c>
      <c r="Z3" s="6">
        <v>0</v>
      </c>
      <c r="AA3" s="6">
        <v>0</v>
      </c>
      <c r="AB3" s="6">
        <v>0</v>
      </c>
      <c r="AC3" s="6">
        <v>0</v>
      </c>
      <c r="AD3" s="6">
        <v>0</v>
      </c>
      <c r="AE3" s="6">
        <v>0</v>
      </c>
      <c r="AF3" s="6">
        <v>0</v>
      </c>
      <c r="AG3" s="6">
        <v>0</v>
      </c>
      <c r="AH3" s="6">
        <v>0</v>
      </c>
      <c r="AI3" s="6">
        <v>0</v>
      </c>
      <c r="AJ3" s="6">
        <v>0</v>
      </c>
      <c r="AK3" s="6">
        <v>0</v>
      </c>
      <c r="AL3" s="6">
        <v>0</v>
      </c>
      <c r="AM3" s="6">
        <v>0</v>
      </c>
      <c r="AN3" s="6">
        <v>0</v>
      </c>
      <c r="AO3" s="6">
        <v>0</v>
      </c>
      <c r="AP3" s="6">
        <v>0</v>
      </c>
      <c r="AQ3" s="6">
        <v>0</v>
      </c>
      <c r="AR3" s="6">
        <v>0</v>
      </c>
      <c r="AS3" s="6">
        <v>0</v>
      </c>
      <c r="AT3" s="6">
        <v>0</v>
      </c>
      <c r="AU3" s="8">
        <v>7500</v>
      </c>
      <c r="AV3" s="12">
        <v>7500</v>
      </c>
      <c r="AW3">
        <v>5250</v>
      </c>
    </row>
    <row r="4" spans="1:49" ht="19.2" x14ac:dyDescent="0.4">
      <c r="A4" s="1" t="s">
        <v>80</v>
      </c>
      <c r="B4" s="4" t="s">
        <v>109</v>
      </c>
      <c r="C4" s="4">
        <v>329865</v>
      </c>
      <c r="D4" s="5"/>
      <c r="E4" s="4" t="s">
        <v>26</v>
      </c>
      <c r="F4" s="4" t="s">
        <v>110</v>
      </c>
      <c r="G4" s="4" t="s">
        <v>97</v>
      </c>
      <c r="H4" s="6" t="s">
        <v>29</v>
      </c>
      <c r="I4" s="6" t="s">
        <v>111</v>
      </c>
      <c r="J4" s="6">
        <v>0</v>
      </c>
      <c r="K4" s="6">
        <v>0</v>
      </c>
      <c r="L4" s="6">
        <v>0</v>
      </c>
      <c r="M4" s="6">
        <v>0</v>
      </c>
      <c r="N4" s="6">
        <v>0</v>
      </c>
      <c r="O4" s="6">
        <v>0</v>
      </c>
      <c r="P4" s="6">
        <v>0</v>
      </c>
      <c r="Q4" s="6">
        <v>0</v>
      </c>
      <c r="R4" s="6">
        <v>0</v>
      </c>
      <c r="S4" s="6">
        <v>0</v>
      </c>
      <c r="T4" s="6">
        <v>0</v>
      </c>
      <c r="U4" s="6">
        <v>0</v>
      </c>
      <c r="V4" s="6">
        <v>0</v>
      </c>
      <c r="W4" s="6">
        <v>0</v>
      </c>
      <c r="X4" s="6">
        <v>0</v>
      </c>
      <c r="Y4" s="6">
        <v>0</v>
      </c>
      <c r="Z4" s="6">
        <v>0</v>
      </c>
      <c r="AA4" s="6">
        <v>0</v>
      </c>
      <c r="AB4" s="6">
        <v>0</v>
      </c>
      <c r="AC4" s="6">
        <v>0</v>
      </c>
      <c r="AD4" s="6">
        <v>0</v>
      </c>
      <c r="AE4" s="6">
        <v>0</v>
      </c>
      <c r="AF4" s="6">
        <v>0</v>
      </c>
      <c r="AG4" s="6">
        <v>0</v>
      </c>
      <c r="AH4" s="6">
        <v>0</v>
      </c>
      <c r="AI4" s="6">
        <v>0</v>
      </c>
      <c r="AJ4" s="6">
        <v>0</v>
      </c>
      <c r="AK4" s="6">
        <v>0</v>
      </c>
      <c r="AL4" s="6">
        <v>0</v>
      </c>
      <c r="AM4" s="6">
        <v>0</v>
      </c>
      <c r="AN4" s="6">
        <v>0</v>
      </c>
      <c r="AO4" s="6">
        <v>0</v>
      </c>
      <c r="AP4" s="6">
        <v>0</v>
      </c>
      <c r="AQ4" s="6">
        <v>0</v>
      </c>
      <c r="AR4" s="6">
        <v>0</v>
      </c>
      <c r="AS4" s="6">
        <v>0</v>
      </c>
      <c r="AT4" s="6">
        <v>0</v>
      </c>
      <c r="AU4" s="8">
        <v>4200</v>
      </c>
      <c r="AV4" s="12">
        <v>4200</v>
      </c>
      <c r="AW4">
        <v>2940</v>
      </c>
    </row>
    <row r="5" spans="1:49" ht="28.8" x14ac:dyDescent="0.4">
      <c r="A5" s="1" t="s">
        <v>80</v>
      </c>
      <c r="B5" s="4" t="s">
        <v>82</v>
      </c>
      <c r="C5" s="4">
        <v>460820</v>
      </c>
      <c r="D5" s="5"/>
      <c r="E5" s="4" t="s">
        <v>26</v>
      </c>
      <c r="F5" s="4" t="s">
        <v>83</v>
      </c>
      <c r="G5" s="4" t="s">
        <v>97</v>
      </c>
      <c r="H5" s="6" t="s">
        <v>9</v>
      </c>
      <c r="I5" s="6" t="s">
        <v>84</v>
      </c>
      <c r="J5" s="6">
        <v>0</v>
      </c>
      <c r="K5" s="6">
        <v>0</v>
      </c>
      <c r="L5" s="6">
        <v>0</v>
      </c>
      <c r="M5" s="6">
        <v>0</v>
      </c>
      <c r="N5" s="6">
        <v>0</v>
      </c>
      <c r="O5" s="6">
        <v>0</v>
      </c>
      <c r="P5" s="6">
        <v>0</v>
      </c>
      <c r="Q5" s="6">
        <v>0</v>
      </c>
      <c r="R5" s="6">
        <v>0</v>
      </c>
      <c r="S5" s="6">
        <v>0</v>
      </c>
      <c r="T5" s="6">
        <v>0</v>
      </c>
      <c r="U5" s="6">
        <v>0</v>
      </c>
      <c r="V5" s="6">
        <v>0</v>
      </c>
      <c r="W5" s="6">
        <v>0</v>
      </c>
      <c r="X5" s="6">
        <v>0</v>
      </c>
      <c r="Y5" s="6">
        <v>0</v>
      </c>
      <c r="Z5" s="6">
        <v>0</v>
      </c>
      <c r="AA5" s="6">
        <v>0</v>
      </c>
      <c r="AB5" s="6">
        <v>0</v>
      </c>
      <c r="AC5" s="6">
        <v>0</v>
      </c>
      <c r="AD5" s="6">
        <v>0</v>
      </c>
      <c r="AE5" s="6">
        <v>0</v>
      </c>
      <c r="AF5" s="6">
        <v>0</v>
      </c>
      <c r="AG5" s="6">
        <v>0</v>
      </c>
      <c r="AH5" s="6">
        <v>0</v>
      </c>
      <c r="AI5" s="6">
        <v>0</v>
      </c>
      <c r="AJ5" s="6">
        <v>0</v>
      </c>
      <c r="AK5" s="6">
        <v>0</v>
      </c>
      <c r="AL5" s="6">
        <v>0</v>
      </c>
      <c r="AM5" s="6">
        <v>0</v>
      </c>
      <c r="AN5" s="6">
        <v>0</v>
      </c>
      <c r="AO5" s="6">
        <v>0</v>
      </c>
      <c r="AP5" s="6">
        <v>0</v>
      </c>
      <c r="AQ5" s="6">
        <v>0</v>
      </c>
      <c r="AR5" s="6">
        <v>0</v>
      </c>
      <c r="AS5" s="6">
        <v>0</v>
      </c>
      <c r="AT5" s="6">
        <v>0</v>
      </c>
      <c r="AU5" s="9">
        <v>800</v>
      </c>
      <c r="AV5" s="12">
        <v>800</v>
      </c>
      <c r="AW5">
        <v>560</v>
      </c>
    </row>
    <row r="6" spans="1:49" ht="19.2" x14ac:dyDescent="0.4">
      <c r="A6" s="1" t="s">
        <v>80</v>
      </c>
      <c r="B6" s="4" t="s">
        <v>43</v>
      </c>
      <c r="C6" s="4">
        <v>448030</v>
      </c>
      <c r="D6" s="5"/>
      <c r="E6" s="4" t="s">
        <v>26</v>
      </c>
      <c r="F6" s="4" t="s">
        <v>38</v>
      </c>
      <c r="G6" s="4" t="s">
        <v>97</v>
      </c>
      <c r="H6" s="6" t="s">
        <v>9</v>
      </c>
      <c r="I6" s="6" t="s">
        <v>44</v>
      </c>
      <c r="J6" s="6">
        <v>0</v>
      </c>
      <c r="K6" s="6">
        <v>22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22</v>
      </c>
      <c r="U6" s="6">
        <v>0</v>
      </c>
      <c r="V6" s="6">
        <v>0</v>
      </c>
      <c r="W6" s="6">
        <v>0</v>
      </c>
      <c r="X6" s="6">
        <v>0</v>
      </c>
      <c r="Y6" s="6">
        <v>0</v>
      </c>
      <c r="Z6" s="6">
        <v>0</v>
      </c>
      <c r="AA6" s="6">
        <v>0</v>
      </c>
      <c r="AB6" s="6">
        <v>0</v>
      </c>
      <c r="AC6" s="6">
        <v>0</v>
      </c>
      <c r="AD6" s="6">
        <v>0</v>
      </c>
      <c r="AE6" s="6">
        <v>0</v>
      </c>
      <c r="AF6" s="6">
        <v>0</v>
      </c>
      <c r="AG6" s="6">
        <v>0</v>
      </c>
      <c r="AH6" s="6">
        <v>0</v>
      </c>
      <c r="AI6" s="6">
        <v>0</v>
      </c>
      <c r="AJ6" s="6">
        <v>0</v>
      </c>
      <c r="AK6" s="6">
        <v>0</v>
      </c>
      <c r="AL6" s="6">
        <v>0</v>
      </c>
      <c r="AM6" s="6">
        <v>0</v>
      </c>
      <c r="AN6" s="6">
        <v>0</v>
      </c>
      <c r="AO6" s="6">
        <v>0</v>
      </c>
      <c r="AP6" s="6">
        <v>0</v>
      </c>
      <c r="AQ6" s="6">
        <v>0</v>
      </c>
      <c r="AR6" s="6">
        <v>0</v>
      </c>
      <c r="AS6" s="6">
        <v>0</v>
      </c>
      <c r="AT6" s="6">
        <v>0</v>
      </c>
      <c r="AU6" s="9">
        <v>500</v>
      </c>
      <c r="AV6" s="12">
        <v>500</v>
      </c>
      <c r="AW6">
        <v>350</v>
      </c>
    </row>
    <row r="7" spans="1:49" ht="28.8" x14ac:dyDescent="0.4">
      <c r="A7" s="1" t="s">
        <v>80</v>
      </c>
      <c r="B7" s="4" t="s">
        <v>72</v>
      </c>
      <c r="C7" s="4">
        <v>416209</v>
      </c>
      <c r="D7" s="5"/>
      <c r="E7" s="4" t="s">
        <v>26</v>
      </c>
      <c r="F7" s="4" t="s">
        <v>73</v>
      </c>
      <c r="G7" s="4" t="s">
        <v>97</v>
      </c>
      <c r="H7" s="6" t="s">
        <v>29</v>
      </c>
      <c r="I7" s="6" t="s">
        <v>74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  <c r="Z7" s="6">
        <v>0</v>
      </c>
      <c r="AA7" s="6">
        <v>0</v>
      </c>
      <c r="AB7" s="6">
        <v>0</v>
      </c>
      <c r="AC7" s="6">
        <v>0</v>
      </c>
      <c r="AD7" s="6">
        <v>0</v>
      </c>
      <c r="AE7" s="6">
        <v>0</v>
      </c>
      <c r="AF7" s="6">
        <v>0</v>
      </c>
      <c r="AG7" s="6">
        <v>0</v>
      </c>
      <c r="AH7" s="6">
        <v>0</v>
      </c>
      <c r="AI7" s="6">
        <v>0</v>
      </c>
      <c r="AJ7" s="6">
        <v>0</v>
      </c>
      <c r="AK7" s="6">
        <v>0</v>
      </c>
      <c r="AL7" s="6">
        <v>0</v>
      </c>
      <c r="AM7" s="6">
        <v>0</v>
      </c>
      <c r="AN7" s="6">
        <v>0</v>
      </c>
      <c r="AO7" s="6">
        <v>0</v>
      </c>
      <c r="AP7" s="6">
        <v>0</v>
      </c>
      <c r="AQ7" s="6">
        <v>0</v>
      </c>
      <c r="AR7" s="6">
        <v>0</v>
      </c>
      <c r="AS7" s="6">
        <v>0</v>
      </c>
      <c r="AT7" s="6">
        <v>0</v>
      </c>
      <c r="AU7" s="9">
        <v>400</v>
      </c>
      <c r="AV7" s="12">
        <v>400</v>
      </c>
      <c r="AW7">
        <v>280</v>
      </c>
    </row>
    <row r="8" spans="1:49" ht="28.8" x14ac:dyDescent="0.4">
      <c r="A8" s="1" t="s">
        <v>80</v>
      </c>
      <c r="B8" s="4" t="s">
        <v>121</v>
      </c>
      <c r="C8" s="4">
        <v>411957</v>
      </c>
      <c r="D8" s="5"/>
      <c r="E8" s="4" t="s">
        <v>26</v>
      </c>
      <c r="F8" s="4" t="s">
        <v>76</v>
      </c>
      <c r="G8" s="4" t="s">
        <v>97</v>
      </c>
      <c r="H8" s="6" t="s">
        <v>29</v>
      </c>
      <c r="I8" s="6" t="s">
        <v>122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  <c r="Z8" s="6">
        <v>0</v>
      </c>
      <c r="AA8" s="6">
        <v>0</v>
      </c>
      <c r="AB8" s="6">
        <v>0</v>
      </c>
      <c r="AC8" s="6">
        <v>0</v>
      </c>
      <c r="AD8" s="6">
        <v>0</v>
      </c>
      <c r="AE8" s="6">
        <v>0</v>
      </c>
      <c r="AF8" s="6">
        <v>0</v>
      </c>
      <c r="AG8" s="6">
        <v>0</v>
      </c>
      <c r="AH8" s="6">
        <v>0</v>
      </c>
      <c r="AI8" s="6">
        <v>0</v>
      </c>
      <c r="AJ8" s="6">
        <v>0</v>
      </c>
      <c r="AK8" s="6">
        <v>0</v>
      </c>
      <c r="AL8" s="6">
        <v>0</v>
      </c>
      <c r="AM8" s="6">
        <v>0</v>
      </c>
      <c r="AN8" s="6">
        <v>0</v>
      </c>
      <c r="AO8" s="6">
        <v>0</v>
      </c>
      <c r="AP8" s="6">
        <v>0</v>
      </c>
      <c r="AQ8" s="6">
        <v>0</v>
      </c>
      <c r="AR8" s="6">
        <v>0</v>
      </c>
      <c r="AS8" s="6">
        <v>0</v>
      </c>
      <c r="AT8" s="6">
        <v>0</v>
      </c>
      <c r="AU8" s="9">
        <v>400</v>
      </c>
      <c r="AV8" s="12">
        <v>400</v>
      </c>
      <c r="AW8">
        <v>280</v>
      </c>
    </row>
    <row r="9" spans="1:49" ht="19.2" x14ac:dyDescent="0.4">
      <c r="A9" s="1" t="s">
        <v>80</v>
      </c>
      <c r="B9" s="4" t="s">
        <v>125</v>
      </c>
      <c r="C9" s="4">
        <v>395341</v>
      </c>
      <c r="D9" s="5"/>
      <c r="E9" s="4" t="s">
        <v>26</v>
      </c>
      <c r="F9" s="4" t="s">
        <v>28</v>
      </c>
      <c r="G9" s="4" t="s">
        <v>97</v>
      </c>
      <c r="H9" s="6" t="s">
        <v>9</v>
      </c>
      <c r="I9" s="6" t="s">
        <v>126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  <c r="Z9" s="6">
        <v>0</v>
      </c>
      <c r="AA9" s="6">
        <v>0</v>
      </c>
      <c r="AB9" s="6">
        <v>0</v>
      </c>
      <c r="AC9" s="6">
        <v>0</v>
      </c>
      <c r="AD9" s="6">
        <v>0</v>
      </c>
      <c r="AE9" s="6">
        <v>0</v>
      </c>
      <c r="AF9" s="6">
        <v>0</v>
      </c>
      <c r="AG9" s="6">
        <v>0</v>
      </c>
      <c r="AH9" s="6">
        <v>0</v>
      </c>
      <c r="AI9" s="6">
        <v>0</v>
      </c>
      <c r="AJ9" s="6">
        <v>0</v>
      </c>
      <c r="AK9" s="6">
        <v>0</v>
      </c>
      <c r="AL9" s="6">
        <v>0</v>
      </c>
      <c r="AM9" s="6">
        <v>0</v>
      </c>
      <c r="AN9" s="6">
        <v>0</v>
      </c>
      <c r="AO9" s="6">
        <v>0</v>
      </c>
      <c r="AP9" s="6">
        <v>0</v>
      </c>
      <c r="AQ9" s="6">
        <v>0</v>
      </c>
      <c r="AR9" s="6">
        <v>0</v>
      </c>
      <c r="AS9" s="6">
        <v>0</v>
      </c>
      <c r="AT9" s="6">
        <v>0</v>
      </c>
      <c r="AU9" s="9">
        <v>100</v>
      </c>
      <c r="AV9" s="12">
        <v>100</v>
      </c>
      <c r="AW9">
        <v>70</v>
      </c>
    </row>
    <row r="10" spans="1:49" ht="19.2" x14ac:dyDescent="0.4">
      <c r="A10" s="1" t="s">
        <v>86</v>
      </c>
      <c r="B10" s="4" t="s">
        <v>31</v>
      </c>
      <c r="C10" s="4">
        <v>387161</v>
      </c>
      <c r="D10" s="5"/>
      <c r="E10" s="4" t="s">
        <v>26</v>
      </c>
      <c r="F10" s="4" t="s">
        <v>32</v>
      </c>
      <c r="G10" s="4" t="s">
        <v>97</v>
      </c>
      <c r="H10" s="6" t="s">
        <v>29</v>
      </c>
      <c r="I10" s="6" t="s">
        <v>33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  <c r="Z10" s="6">
        <v>0</v>
      </c>
      <c r="AA10" s="6">
        <v>0</v>
      </c>
      <c r="AB10" s="6">
        <v>0</v>
      </c>
      <c r="AC10" s="6">
        <v>0</v>
      </c>
      <c r="AD10" s="6">
        <v>0</v>
      </c>
      <c r="AE10" s="6">
        <v>0</v>
      </c>
      <c r="AF10" s="6">
        <v>0</v>
      </c>
      <c r="AG10" s="6">
        <v>0</v>
      </c>
      <c r="AH10" s="6">
        <v>0</v>
      </c>
      <c r="AI10" s="6">
        <v>0</v>
      </c>
      <c r="AJ10" s="6">
        <v>0</v>
      </c>
      <c r="AK10" s="6">
        <v>0</v>
      </c>
      <c r="AL10" s="6">
        <v>0</v>
      </c>
      <c r="AM10" s="6">
        <v>0</v>
      </c>
      <c r="AN10" s="6">
        <v>0</v>
      </c>
      <c r="AO10" s="6">
        <v>0</v>
      </c>
      <c r="AP10" s="6">
        <v>0</v>
      </c>
      <c r="AQ10" s="6">
        <v>0</v>
      </c>
      <c r="AR10" s="6">
        <v>0</v>
      </c>
      <c r="AS10" s="6">
        <v>0</v>
      </c>
      <c r="AT10" s="6">
        <v>0</v>
      </c>
      <c r="AU10" s="8">
        <v>9600</v>
      </c>
      <c r="AV10" s="12">
        <v>9600</v>
      </c>
      <c r="AW10">
        <v>6720</v>
      </c>
    </row>
    <row r="11" spans="1:49" ht="28.8" x14ac:dyDescent="0.4">
      <c r="A11" s="1" t="s">
        <v>86</v>
      </c>
      <c r="B11" s="4" t="s">
        <v>82</v>
      </c>
      <c r="C11" s="4">
        <v>460820</v>
      </c>
      <c r="D11" s="5"/>
      <c r="E11" s="4" t="s">
        <v>26</v>
      </c>
      <c r="F11" s="4" t="s">
        <v>83</v>
      </c>
      <c r="G11" s="4" t="s">
        <v>97</v>
      </c>
      <c r="H11" s="6" t="s">
        <v>9</v>
      </c>
      <c r="I11" s="6" t="s">
        <v>84</v>
      </c>
      <c r="J11" s="6">
        <v>0</v>
      </c>
      <c r="K11" s="6">
        <v>0</v>
      </c>
      <c r="L11" s="6">
        <v>0</v>
      </c>
      <c r="M11" s="6">
        <v>0</v>
      </c>
      <c r="N11" s="6">
        <v>0</v>
      </c>
      <c r="O11" s="6">
        <v>0</v>
      </c>
      <c r="P11" s="6">
        <v>0</v>
      </c>
      <c r="Q11" s="6">
        <v>0</v>
      </c>
      <c r="R11" s="6">
        <v>0</v>
      </c>
      <c r="S11" s="6">
        <v>0</v>
      </c>
      <c r="T11" s="6">
        <v>0</v>
      </c>
      <c r="U11" s="6">
        <v>0</v>
      </c>
      <c r="V11" s="6">
        <v>0</v>
      </c>
      <c r="W11" s="6">
        <v>0</v>
      </c>
      <c r="X11" s="6">
        <v>0</v>
      </c>
      <c r="Y11" s="6">
        <v>0</v>
      </c>
      <c r="Z11" s="6">
        <v>0</v>
      </c>
      <c r="AA11" s="6">
        <v>0</v>
      </c>
      <c r="AB11" s="6">
        <v>0</v>
      </c>
      <c r="AC11" s="6">
        <v>0</v>
      </c>
      <c r="AD11" s="6">
        <v>0</v>
      </c>
      <c r="AE11" s="6">
        <v>0</v>
      </c>
      <c r="AF11" s="6">
        <v>0</v>
      </c>
      <c r="AG11" s="6">
        <v>0</v>
      </c>
      <c r="AH11" s="6">
        <v>0</v>
      </c>
      <c r="AI11" s="6">
        <v>0</v>
      </c>
      <c r="AJ11" s="6">
        <v>0</v>
      </c>
      <c r="AK11" s="6">
        <v>0</v>
      </c>
      <c r="AL11" s="6">
        <v>0</v>
      </c>
      <c r="AM11" s="6">
        <v>0</v>
      </c>
      <c r="AN11" s="6">
        <v>0</v>
      </c>
      <c r="AO11" s="6">
        <v>0</v>
      </c>
      <c r="AP11" s="6">
        <v>0</v>
      </c>
      <c r="AQ11" s="6">
        <v>0</v>
      </c>
      <c r="AR11" s="6">
        <v>0</v>
      </c>
      <c r="AS11" s="6">
        <v>0</v>
      </c>
      <c r="AT11" s="6">
        <v>0</v>
      </c>
      <c r="AU11" s="9">
        <v>500</v>
      </c>
      <c r="AV11" s="12">
        <v>500</v>
      </c>
      <c r="AW11">
        <v>350</v>
      </c>
    </row>
    <row r="12" spans="1:49" ht="19.2" x14ac:dyDescent="0.4">
      <c r="A12" s="1" t="s">
        <v>86</v>
      </c>
      <c r="B12" s="4" t="s">
        <v>43</v>
      </c>
      <c r="C12" s="4">
        <v>448030</v>
      </c>
      <c r="D12" s="5"/>
      <c r="E12" s="4" t="s">
        <v>26</v>
      </c>
      <c r="F12" s="4" t="s">
        <v>38</v>
      </c>
      <c r="G12" s="4" t="s">
        <v>97</v>
      </c>
      <c r="H12" s="6" t="s">
        <v>9</v>
      </c>
      <c r="I12" s="6" t="s">
        <v>44</v>
      </c>
      <c r="J12" s="6">
        <v>0</v>
      </c>
      <c r="K12" s="6">
        <v>9</v>
      </c>
      <c r="L12" s="6">
        <v>0</v>
      </c>
      <c r="M12" s="6">
        <v>0</v>
      </c>
      <c r="N12" s="6">
        <v>0</v>
      </c>
      <c r="O12" s="6">
        <v>0</v>
      </c>
      <c r="P12" s="6">
        <v>0</v>
      </c>
      <c r="Q12" s="6">
        <v>0</v>
      </c>
      <c r="R12" s="6">
        <v>0</v>
      </c>
      <c r="S12" s="6">
        <v>0</v>
      </c>
      <c r="T12" s="6">
        <v>9</v>
      </c>
      <c r="U12" s="6">
        <v>0</v>
      </c>
      <c r="V12" s="6">
        <v>0</v>
      </c>
      <c r="W12" s="6">
        <v>0</v>
      </c>
      <c r="X12" s="6">
        <v>0</v>
      </c>
      <c r="Y12" s="6">
        <v>0</v>
      </c>
      <c r="Z12" s="6">
        <v>0</v>
      </c>
      <c r="AA12" s="6">
        <v>0</v>
      </c>
      <c r="AB12" s="6">
        <v>0</v>
      </c>
      <c r="AC12" s="6">
        <v>0</v>
      </c>
      <c r="AD12" s="6">
        <v>0</v>
      </c>
      <c r="AE12" s="6">
        <v>0</v>
      </c>
      <c r="AF12" s="6">
        <v>0</v>
      </c>
      <c r="AG12" s="6">
        <v>0</v>
      </c>
      <c r="AH12" s="6">
        <v>0</v>
      </c>
      <c r="AI12" s="6">
        <v>0</v>
      </c>
      <c r="AJ12" s="6">
        <v>0</v>
      </c>
      <c r="AK12" s="6">
        <v>0</v>
      </c>
      <c r="AL12" s="6">
        <v>0</v>
      </c>
      <c r="AM12" s="6">
        <v>0</v>
      </c>
      <c r="AN12" s="6">
        <v>0</v>
      </c>
      <c r="AO12" s="6">
        <v>0</v>
      </c>
      <c r="AP12" s="6">
        <v>0</v>
      </c>
      <c r="AQ12" s="6">
        <v>0</v>
      </c>
      <c r="AR12" s="6">
        <v>0</v>
      </c>
      <c r="AS12" s="6">
        <v>0</v>
      </c>
      <c r="AT12" s="6">
        <v>0</v>
      </c>
      <c r="AU12" s="9">
        <v>0</v>
      </c>
      <c r="AV12" s="12">
        <v>0</v>
      </c>
      <c r="AW12">
        <v>0</v>
      </c>
    </row>
    <row r="13" spans="1:49" ht="28.8" x14ac:dyDescent="0.4">
      <c r="A13" s="1" t="s">
        <v>95</v>
      </c>
      <c r="B13" s="4" t="s">
        <v>93</v>
      </c>
      <c r="C13" s="4">
        <v>442667</v>
      </c>
      <c r="D13" s="5"/>
      <c r="E13" s="4" t="s">
        <v>26</v>
      </c>
      <c r="F13" s="4" t="s">
        <v>94</v>
      </c>
      <c r="G13" s="4" t="s">
        <v>97</v>
      </c>
      <c r="H13" s="6" t="s">
        <v>29</v>
      </c>
      <c r="I13" s="6" t="s">
        <v>45</v>
      </c>
      <c r="J13" s="6">
        <v>0</v>
      </c>
      <c r="K13" s="6">
        <v>0</v>
      </c>
      <c r="L13" s="6">
        <v>0</v>
      </c>
      <c r="M13" s="6">
        <v>0</v>
      </c>
      <c r="N13" s="6">
        <v>0</v>
      </c>
      <c r="O13" s="6">
        <v>0</v>
      </c>
      <c r="P13" s="6">
        <v>0</v>
      </c>
      <c r="Q13" s="6">
        <v>0</v>
      </c>
      <c r="R13" s="6">
        <v>0</v>
      </c>
      <c r="S13" s="6">
        <v>0</v>
      </c>
      <c r="T13" s="6">
        <v>0</v>
      </c>
      <c r="U13" s="6">
        <v>0</v>
      </c>
      <c r="V13" s="6">
        <v>0</v>
      </c>
      <c r="W13" s="6">
        <v>0</v>
      </c>
      <c r="X13" s="6">
        <v>0</v>
      </c>
      <c r="Y13" s="6">
        <v>0</v>
      </c>
      <c r="Z13" s="6">
        <v>0</v>
      </c>
      <c r="AA13" s="6">
        <v>0</v>
      </c>
      <c r="AB13" s="6">
        <v>0</v>
      </c>
      <c r="AC13" s="6">
        <v>0</v>
      </c>
      <c r="AD13" s="6">
        <v>0</v>
      </c>
      <c r="AE13" s="6">
        <v>0</v>
      </c>
      <c r="AF13" s="6">
        <v>0</v>
      </c>
      <c r="AG13" s="6">
        <v>0</v>
      </c>
      <c r="AH13" s="6">
        <v>0</v>
      </c>
      <c r="AI13" s="6">
        <v>0</v>
      </c>
      <c r="AJ13" s="6">
        <v>0</v>
      </c>
      <c r="AK13" s="6">
        <v>0</v>
      </c>
      <c r="AL13" s="6">
        <v>0</v>
      </c>
      <c r="AM13" s="6">
        <v>0</v>
      </c>
      <c r="AN13" s="6">
        <v>0</v>
      </c>
      <c r="AO13" s="6">
        <v>0</v>
      </c>
      <c r="AP13" s="6">
        <v>0</v>
      </c>
      <c r="AQ13" s="6">
        <v>0</v>
      </c>
      <c r="AR13" s="6">
        <v>0</v>
      </c>
      <c r="AS13" s="6">
        <v>0</v>
      </c>
      <c r="AT13" s="6">
        <v>0</v>
      </c>
      <c r="AU13" s="8">
        <v>12000</v>
      </c>
      <c r="AV13" s="12">
        <v>12000</v>
      </c>
      <c r="AW13">
        <v>8400</v>
      </c>
    </row>
    <row r="14" spans="1:49" ht="19.2" x14ac:dyDescent="0.4">
      <c r="A14" s="1" t="s">
        <v>95</v>
      </c>
      <c r="B14" s="4" t="s">
        <v>31</v>
      </c>
      <c r="C14" s="4">
        <v>387161</v>
      </c>
      <c r="D14" s="5"/>
      <c r="E14" s="4" t="s">
        <v>26</v>
      </c>
      <c r="F14" s="4" t="s">
        <v>32</v>
      </c>
      <c r="G14" s="4" t="s">
        <v>97</v>
      </c>
      <c r="H14" s="6" t="s">
        <v>29</v>
      </c>
      <c r="I14" s="6" t="s">
        <v>33</v>
      </c>
      <c r="J14" s="6">
        <v>0</v>
      </c>
      <c r="K14" s="6">
        <v>0</v>
      </c>
      <c r="L14" s="6">
        <v>0</v>
      </c>
      <c r="M14" s="6">
        <v>0</v>
      </c>
      <c r="N14" s="6">
        <v>0</v>
      </c>
      <c r="O14" s="6">
        <v>0</v>
      </c>
      <c r="P14" s="6">
        <v>0</v>
      </c>
      <c r="Q14" s="6">
        <v>0</v>
      </c>
      <c r="R14" s="6">
        <v>0</v>
      </c>
      <c r="S14" s="6">
        <v>0</v>
      </c>
      <c r="T14" s="6">
        <v>0</v>
      </c>
      <c r="U14" s="6">
        <v>0</v>
      </c>
      <c r="V14" s="6">
        <v>0</v>
      </c>
      <c r="W14" s="6">
        <v>0</v>
      </c>
      <c r="X14" s="6">
        <v>0</v>
      </c>
      <c r="Y14" s="6">
        <v>0</v>
      </c>
      <c r="Z14" s="6">
        <v>0</v>
      </c>
      <c r="AA14" s="6">
        <v>0</v>
      </c>
      <c r="AB14" s="6">
        <v>0</v>
      </c>
      <c r="AC14" s="6">
        <v>0</v>
      </c>
      <c r="AD14" s="6">
        <v>0</v>
      </c>
      <c r="AE14" s="6">
        <v>0</v>
      </c>
      <c r="AF14" s="6">
        <v>0</v>
      </c>
      <c r="AG14" s="6">
        <v>0</v>
      </c>
      <c r="AH14" s="6">
        <v>0</v>
      </c>
      <c r="AI14" s="6">
        <v>0</v>
      </c>
      <c r="AJ14" s="6">
        <v>0</v>
      </c>
      <c r="AK14" s="6">
        <v>0</v>
      </c>
      <c r="AL14" s="6">
        <v>0</v>
      </c>
      <c r="AM14" s="6">
        <v>0</v>
      </c>
      <c r="AN14" s="13">
        <v>1152</v>
      </c>
      <c r="AO14" s="6">
        <v>0</v>
      </c>
      <c r="AP14" s="6">
        <v>0</v>
      </c>
      <c r="AQ14" s="6">
        <v>0</v>
      </c>
      <c r="AR14" s="6">
        <v>0</v>
      </c>
      <c r="AS14" s="6">
        <v>0</v>
      </c>
      <c r="AT14" s="6">
        <v>0</v>
      </c>
      <c r="AU14" s="8">
        <v>10240</v>
      </c>
      <c r="AV14" s="12">
        <v>9088</v>
      </c>
      <c r="AW14">
        <v>6361.5999999999995</v>
      </c>
    </row>
    <row r="15" spans="1:49" ht="19.2" x14ac:dyDescent="0.4">
      <c r="A15" s="1" t="s">
        <v>95</v>
      </c>
      <c r="B15" s="4" t="s">
        <v>90</v>
      </c>
      <c r="C15" s="4">
        <v>355068</v>
      </c>
      <c r="D15" s="5"/>
      <c r="E15" s="4" t="s">
        <v>26</v>
      </c>
      <c r="F15" s="4" t="s">
        <v>91</v>
      </c>
      <c r="G15" s="4" t="s">
        <v>97</v>
      </c>
      <c r="H15" s="6" t="s">
        <v>29</v>
      </c>
      <c r="I15" s="6" t="s">
        <v>92</v>
      </c>
      <c r="J15" s="6">
        <v>0</v>
      </c>
      <c r="K15" s="6">
        <v>0</v>
      </c>
      <c r="L15" s="6">
        <v>0</v>
      </c>
      <c r="M15" s="6">
        <v>0</v>
      </c>
      <c r="N15" s="6">
        <v>0</v>
      </c>
      <c r="O15" s="6">
        <v>0</v>
      </c>
      <c r="P15" s="6">
        <v>0</v>
      </c>
      <c r="Q15" s="6">
        <v>0</v>
      </c>
      <c r="R15" s="6">
        <v>0</v>
      </c>
      <c r="S15" s="6">
        <v>0</v>
      </c>
      <c r="T15" s="6">
        <v>0</v>
      </c>
      <c r="U15" s="6">
        <v>0</v>
      </c>
      <c r="V15" s="6">
        <v>0</v>
      </c>
      <c r="W15" s="6">
        <v>0</v>
      </c>
      <c r="X15" s="6">
        <v>0</v>
      </c>
      <c r="Y15" s="6">
        <v>0</v>
      </c>
      <c r="Z15" s="6">
        <v>0</v>
      </c>
      <c r="AA15" s="6">
        <v>0</v>
      </c>
      <c r="AB15" s="6">
        <v>0</v>
      </c>
      <c r="AC15" s="6">
        <v>0</v>
      </c>
      <c r="AD15" s="6">
        <v>0</v>
      </c>
      <c r="AE15" s="6">
        <v>0</v>
      </c>
      <c r="AF15" s="6">
        <v>0</v>
      </c>
      <c r="AG15" s="6">
        <v>0</v>
      </c>
      <c r="AH15" s="6">
        <v>0</v>
      </c>
      <c r="AI15" s="6">
        <v>0</v>
      </c>
      <c r="AJ15" s="6">
        <v>0</v>
      </c>
      <c r="AK15" s="6">
        <v>0</v>
      </c>
      <c r="AL15" s="6">
        <v>0</v>
      </c>
      <c r="AM15" s="6">
        <v>0</v>
      </c>
      <c r="AN15" s="6">
        <v>0</v>
      </c>
      <c r="AO15" s="6">
        <v>0</v>
      </c>
      <c r="AP15" s="6">
        <v>0</v>
      </c>
      <c r="AQ15" s="6">
        <v>0</v>
      </c>
      <c r="AR15" s="6">
        <v>0</v>
      </c>
      <c r="AS15" s="6">
        <v>0</v>
      </c>
      <c r="AT15" s="6">
        <v>0</v>
      </c>
      <c r="AU15" s="8">
        <v>7200</v>
      </c>
      <c r="AV15" s="12">
        <v>7200</v>
      </c>
      <c r="AW15">
        <v>5040</v>
      </c>
    </row>
    <row r="16" spans="1:49" ht="28.8" x14ac:dyDescent="0.4">
      <c r="A16" s="1" t="s">
        <v>95</v>
      </c>
      <c r="B16" s="4" t="s">
        <v>133</v>
      </c>
      <c r="C16" s="4">
        <v>423721</v>
      </c>
      <c r="D16" s="5"/>
      <c r="E16" s="4" t="s">
        <v>26</v>
      </c>
      <c r="F16" s="4" t="s">
        <v>134</v>
      </c>
      <c r="G16" s="4" t="s">
        <v>97</v>
      </c>
      <c r="H16" s="6" t="s">
        <v>29</v>
      </c>
      <c r="I16" s="6" t="s">
        <v>135</v>
      </c>
      <c r="J16" s="6">
        <v>0</v>
      </c>
      <c r="K16" s="6">
        <v>0</v>
      </c>
      <c r="L16" s="6">
        <v>0</v>
      </c>
      <c r="M16" s="6">
        <v>0</v>
      </c>
      <c r="N16" s="6">
        <v>0</v>
      </c>
      <c r="O16" s="6">
        <v>0</v>
      </c>
      <c r="P16" s="6">
        <v>0</v>
      </c>
      <c r="Q16" s="6">
        <v>0</v>
      </c>
      <c r="R16" s="6">
        <v>0</v>
      </c>
      <c r="S16" s="6">
        <v>0</v>
      </c>
      <c r="T16" s="6">
        <v>0</v>
      </c>
      <c r="U16" s="6">
        <v>0</v>
      </c>
      <c r="V16" s="6">
        <v>0</v>
      </c>
      <c r="W16" s="6">
        <v>0</v>
      </c>
      <c r="X16" s="6">
        <v>0</v>
      </c>
      <c r="Y16" s="6">
        <v>0</v>
      </c>
      <c r="Z16" s="6">
        <v>0</v>
      </c>
      <c r="AA16" s="6">
        <v>0</v>
      </c>
      <c r="AB16" s="6">
        <v>0</v>
      </c>
      <c r="AC16" s="6">
        <v>0</v>
      </c>
      <c r="AD16" s="6">
        <v>0</v>
      </c>
      <c r="AE16" s="6">
        <v>0</v>
      </c>
      <c r="AF16" s="6">
        <v>0</v>
      </c>
      <c r="AG16" s="6">
        <v>0</v>
      </c>
      <c r="AH16" s="6">
        <v>0</v>
      </c>
      <c r="AI16" s="6">
        <v>0</v>
      </c>
      <c r="AJ16" s="6">
        <v>0</v>
      </c>
      <c r="AK16" s="6">
        <v>0</v>
      </c>
      <c r="AL16" s="6">
        <v>0</v>
      </c>
      <c r="AM16" s="6">
        <v>0</v>
      </c>
      <c r="AN16" s="6">
        <v>0</v>
      </c>
      <c r="AO16" s="6">
        <v>0</v>
      </c>
      <c r="AP16" s="6">
        <v>0</v>
      </c>
      <c r="AQ16" s="6">
        <v>0</v>
      </c>
      <c r="AR16" s="6">
        <v>0</v>
      </c>
      <c r="AS16" s="6">
        <v>0</v>
      </c>
      <c r="AT16" s="6">
        <v>0</v>
      </c>
      <c r="AU16" s="8">
        <v>4200</v>
      </c>
      <c r="AV16" s="12">
        <v>4200</v>
      </c>
      <c r="AW16">
        <v>2940</v>
      </c>
    </row>
    <row r="17" spans="1:49" ht="19.2" x14ac:dyDescent="0.4">
      <c r="A17" s="1" t="s">
        <v>95</v>
      </c>
      <c r="B17" s="4" t="s">
        <v>136</v>
      </c>
      <c r="C17" s="4">
        <v>326776</v>
      </c>
      <c r="D17" s="5"/>
      <c r="E17" s="4" t="s">
        <v>26</v>
      </c>
      <c r="F17" s="4" t="s">
        <v>137</v>
      </c>
      <c r="G17" s="4" t="s">
        <v>97</v>
      </c>
      <c r="H17" s="6" t="s">
        <v>29</v>
      </c>
      <c r="I17" s="6" t="s">
        <v>138</v>
      </c>
      <c r="J17" s="6">
        <v>0</v>
      </c>
      <c r="K17" s="6">
        <v>0</v>
      </c>
      <c r="L17" s="6">
        <v>0</v>
      </c>
      <c r="M17" s="6">
        <v>0</v>
      </c>
      <c r="N17" s="6">
        <v>0</v>
      </c>
      <c r="O17" s="6">
        <v>0</v>
      </c>
      <c r="P17" s="6">
        <v>0</v>
      </c>
      <c r="Q17" s="6">
        <v>0</v>
      </c>
      <c r="R17" s="6">
        <v>0</v>
      </c>
      <c r="S17" s="6">
        <v>0</v>
      </c>
      <c r="T17" s="6">
        <v>0</v>
      </c>
      <c r="U17" s="6">
        <v>0</v>
      </c>
      <c r="V17" s="6">
        <v>0</v>
      </c>
      <c r="W17" s="6">
        <v>0</v>
      </c>
      <c r="X17" s="6">
        <v>0</v>
      </c>
      <c r="Y17" s="6">
        <v>0</v>
      </c>
      <c r="Z17" s="6">
        <v>0</v>
      </c>
      <c r="AA17" s="6">
        <v>0</v>
      </c>
      <c r="AB17" s="6">
        <v>0</v>
      </c>
      <c r="AC17" s="6">
        <v>0</v>
      </c>
      <c r="AD17" s="6">
        <v>0</v>
      </c>
      <c r="AE17" s="6">
        <v>0</v>
      </c>
      <c r="AF17" s="6">
        <v>0</v>
      </c>
      <c r="AG17" s="6">
        <v>0</v>
      </c>
      <c r="AH17" s="6">
        <v>0</v>
      </c>
      <c r="AI17" s="6">
        <v>0</v>
      </c>
      <c r="AJ17" s="6">
        <v>0</v>
      </c>
      <c r="AK17" s="6">
        <v>0</v>
      </c>
      <c r="AL17" s="6">
        <v>0</v>
      </c>
      <c r="AM17" s="6">
        <v>0</v>
      </c>
      <c r="AN17" s="6">
        <v>0</v>
      </c>
      <c r="AO17" s="6">
        <v>0</v>
      </c>
      <c r="AP17" s="6">
        <v>0</v>
      </c>
      <c r="AQ17" s="6">
        <v>0</v>
      </c>
      <c r="AR17" s="6">
        <v>0</v>
      </c>
      <c r="AS17" s="6">
        <v>0</v>
      </c>
      <c r="AT17" s="6">
        <v>0</v>
      </c>
      <c r="AU17" s="8">
        <v>3800</v>
      </c>
      <c r="AV17" s="12">
        <v>3800</v>
      </c>
      <c r="AW17">
        <v>2660</v>
      </c>
    </row>
    <row r="18" spans="1:49" ht="28.8" x14ac:dyDescent="0.4">
      <c r="A18" s="1" t="s">
        <v>95</v>
      </c>
      <c r="B18" s="4" t="s">
        <v>139</v>
      </c>
      <c r="C18" s="4">
        <v>442669</v>
      </c>
      <c r="D18" s="5"/>
      <c r="E18" s="4" t="s">
        <v>26</v>
      </c>
      <c r="F18" s="4" t="s">
        <v>140</v>
      </c>
      <c r="G18" s="4" t="s">
        <v>97</v>
      </c>
      <c r="H18" s="6" t="s">
        <v>29</v>
      </c>
      <c r="I18" s="6" t="s">
        <v>141</v>
      </c>
      <c r="J18" s="6">
        <v>0</v>
      </c>
      <c r="K18" s="6">
        <v>0</v>
      </c>
      <c r="L18" s="6">
        <v>0</v>
      </c>
      <c r="M18" s="6">
        <v>0</v>
      </c>
      <c r="N18" s="6">
        <v>0</v>
      </c>
      <c r="O18" s="6">
        <v>0</v>
      </c>
      <c r="P18" s="6">
        <v>0</v>
      </c>
      <c r="Q18" s="6">
        <v>0</v>
      </c>
      <c r="R18" s="6">
        <v>0</v>
      </c>
      <c r="S18" s="6">
        <v>0</v>
      </c>
      <c r="T18" s="6">
        <v>0</v>
      </c>
      <c r="U18" s="6">
        <v>0</v>
      </c>
      <c r="V18" s="6">
        <v>0</v>
      </c>
      <c r="W18" s="6">
        <v>0</v>
      </c>
      <c r="X18" s="6">
        <v>0</v>
      </c>
      <c r="Y18" s="6">
        <v>0</v>
      </c>
      <c r="Z18" s="6">
        <v>0</v>
      </c>
      <c r="AA18" s="6">
        <v>0</v>
      </c>
      <c r="AB18" s="6">
        <v>0</v>
      </c>
      <c r="AC18" s="6">
        <v>0</v>
      </c>
      <c r="AD18" s="6">
        <v>0</v>
      </c>
      <c r="AE18" s="6">
        <v>0</v>
      </c>
      <c r="AF18" s="6">
        <v>0</v>
      </c>
      <c r="AG18" s="6">
        <v>0</v>
      </c>
      <c r="AH18" s="6">
        <v>0</v>
      </c>
      <c r="AI18" s="6">
        <v>0</v>
      </c>
      <c r="AJ18" s="6">
        <v>0</v>
      </c>
      <c r="AK18" s="6">
        <v>0</v>
      </c>
      <c r="AL18" s="6">
        <v>0</v>
      </c>
      <c r="AM18" s="6">
        <v>0</v>
      </c>
      <c r="AN18" s="6">
        <v>0</v>
      </c>
      <c r="AO18" s="6">
        <v>0</v>
      </c>
      <c r="AP18" s="6">
        <v>0</v>
      </c>
      <c r="AQ18" s="6">
        <v>0</v>
      </c>
      <c r="AR18" s="6">
        <v>0</v>
      </c>
      <c r="AS18" s="6">
        <v>0</v>
      </c>
      <c r="AT18" s="6">
        <v>0</v>
      </c>
      <c r="AU18" s="8">
        <v>3500</v>
      </c>
      <c r="AV18" s="12">
        <v>3500</v>
      </c>
      <c r="AW18">
        <v>2450</v>
      </c>
    </row>
    <row r="19" spans="1:49" ht="19.2" x14ac:dyDescent="0.4">
      <c r="A19" s="1" t="s">
        <v>95</v>
      </c>
      <c r="B19" s="4" t="s">
        <v>142</v>
      </c>
      <c r="C19" s="4">
        <v>414543</v>
      </c>
      <c r="D19" s="5"/>
      <c r="E19" s="4" t="s">
        <v>26</v>
      </c>
      <c r="F19" s="4" t="s">
        <v>49</v>
      </c>
      <c r="G19" s="4" t="s">
        <v>97</v>
      </c>
      <c r="H19" s="6" t="s">
        <v>29</v>
      </c>
      <c r="I19" s="6" t="s">
        <v>143</v>
      </c>
      <c r="J19" s="6">
        <v>0</v>
      </c>
      <c r="K19" s="6">
        <v>0</v>
      </c>
      <c r="L19" s="6">
        <v>0</v>
      </c>
      <c r="M19" s="6">
        <v>0</v>
      </c>
      <c r="N19" s="6">
        <v>0</v>
      </c>
      <c r="O19" s="6">
        <v>0</v>
      </c>
      <c r="P19" s="6">
        <v>0</v>
      </c>
      <c r="Q19" s="6">
        <v>0</v>
      </c>
      <c r="R19" s="6">
        <v>0</v>
      </c>
      <c r="S19" s="6">
        <v>0</v>
      </c>
      <c r="T19" s="6">
        <v>0</v>
      </c>
      <c r="U19" s="6">
        <v>0</v>
      </c>
      <c r="V19" s="6">
        <v>0</v>
      </c>
      <c r="W19" s="6">
        <v>0</v>
      </c>
      <c r="X19" s="6">
        <v>0</v>
      </c>
      <c r="Y19" s="6">
        <v>0</v>
      </c>
      <c r="Z19" s="6">
        <v>0</v>
      </c>
      <c r="AA19" s="6">
        <v>0</v>
      </c>
      <c r="AB19" s="6">
        <v>0</v>
      </c>
      <c r="AC19" s="6">
        <v>0</v>
      </c>
      <c r="AD19" s="6">
        <v>0</v>
      </c>
      <c r="AE19" s="6">
        <v>0</v>
      </c>
      <c r="AF19" s="6">
        <v>0</v>
      </c>
      <c r="AG19" s="6">
        <v>0</v>
      </c>
      <c r="AH19" s="6">
        <v>0</v>
      </c>
      <c r="AI19" s="6">
        <v>0</v>
      </c>
      <c r="AJ19" s="6">
        <v>0</v>
      </c>
      <c r="AK19" s="6">
        <v>0</v>
      </c>
      <c r="AL19" s="6">
        <v>0</v>
      </c>
      <c r="AM19" s="6">
        <v>0</v>
      </c>
      <c r="AN19" s="6">
        <v>0</v>
      </c>
      <c r="AO19" s="6">
        <v>0</v>
      </c>
      <c r="AP19" s="6">
        <v>0</v>
      </c>
      <c r="AQ19" s="6">
        <v>0</v>
      </c>
      <c r="AR19" s="6">
        <v>0</v>
      </c>
      <c r="AS19" s="6">
        <v>0</v>
      </c>
      <c r="AT19" s="6">
        <v>0</v>
      </c>
      <c r="AU19" s="8">
        <v>3400</v>
      </c>
      <c r="AV19" s="12">
        <v>3400</v>
      </c>
      <c r="AW19">
        <v>2380</v>
      </c>
    </row>
    <row r="20" spans="1:49" ht="19.2" x14ac:dyDescent="0.4">
      <c r="A20" s="1" t="s">
        <v>95</v>
      </c>
      <c r="B20" s="4" t="s">
        <v>144</v>
      </c>
      <c r="C20" s="4">
        <v>355226</v>
      </c>
      <c r="D20" s="5"/>
      <c r="E20" s="4" t="s">
        <v>26</v>
      </c>
      <c r="F20" s="4" t="s">
        <v>145</v>
      </c>
      <c r="G20" s="4" t="s">
        <v>97</v>
      </c>
      <c r="H20" s="6" t="s">
        <v>29</v>
      </c>
      <c r="I20" s="6" t="s">
        <v>146</v>
      </c>
      <c r="J20" s="6">
        <v>0</v>
      </c>
      <c r="K20" s="6">
        <v>0</v>
      </c>
      <c r="L20" s="6">
        <v>0</v>
      </c>
      <c r="M20" s="6">
        <v>0</v>
      </c>
      <c r="N20" s="6">
        <v>0</v>
      </c>
      <c r="O20" s="6">
        <v>0</v>
      </c>
      <c r="P20" s="6">
        <v>0</v>
      </c>
      <c r="Q20" s="6">
        <v>0</v>
      </c>
      <c r="R20" s="6">
        <v>0</v>
      </c>
      <c r="S20" s="6">
        <v>0</v>
      </c>
      <c r="T20" s="6">
        <v>0</v>
      </c>
      <c r="U20" s="6">
        <v>0</v>
      </c>
      <c r="V20" s="6">
        <v>0</v>
      </c>
      <c r="W20" s="6">
        <v>0</v>
      </c>
      <c r="X20" s="6">
        <v>0</v>
      </c>
      <c r="Y20" s="6">
        <v>0</v>
      </c>
      <c r="Z20" s="6">
        <v>0</v>
      </c>
      <c r="AA20" s="6">
        <v>0</v>
      </c>
      <c r="AB20" s="6">
        <v>0</v>
      </c>
      <c r="AC20" s="6">
        <v>0</v>
      </c>
      <c r="AD20" s="6">
        <v>0</v>
      </c>
      <c r="AE20" s="6">
        <v>0</v>
      </c>
      <c r="AF20" s="6">
        <v>0</v>
      </c>
      <c r="AG20" s="6">
        <v>0</v>
      </c>
      <c r="AH20" s="6">
        <v>0</v>
      </c>
      <c r="AI20" s="6">
        <v>0</v>
      </c>
      <c r="AJ20" s="6">
        <v>0</v>
      </c>
      <c r="AK20" s="6">
        <v>0</v>
      </c>
      <c r="AL20" s="6">
        <v>0</v>
      </c>
      <c r="AM20" s="6">
        <v>0</v>
      </c>
      <c r="AN20" s="6">
        <v>0</v>
      </c>
      <c r="AO20" s="6">
        <v>0</v>
      </c>
      <c r="AP20" s="6">
        <v>0</v>
      </c>
      <c r="AQ20" s="6">
        <v>0</v>
      </c>
      <c r="AR20" s="6">
        <v>0</v>
      </c>
      <c r="AS20" s="6">
        <v>0</v>
      </c>
      <c r="AT20" s="6">
        <v>0</v>
      </c>
      <c r="AU20" s="8">
        <v>3400</v>
      </c>
      <c r="AV20" s="12">
        <v>3400</v>
      </c>
      <c r="AW20">
        <v>2380</v>
      </c>
    </row>
    <row r="21" spans="1:49" ht="28.8" x14ac:dyDescent="0.4">
      <c r="A21" s="1" t="s">
        <v>95</v>
      </c>
      <c r="B21" s="4" t="s">
        <v>147</v>
      </c>
      <c r="C21" s="4">
        <v>423996</v>
      </c>
      <c r="D21" s="5"/>
      <c r="E21" s="4" t="s">
        <v>26</v>
      </c>
      <c r="F21" s="4" t="s">
        <v>76</v>
      </c>
      <c r="G21" s="4" t="s">
        <v>97</v>
      </c>
      <c r="H21" s="6" t="s">
        <v>29</v>
      </c>
      <c r="I21" s="6" t="s">
        <v>77</v>
      </c>
      <c r="J21" s="6">
        <v>0</v>
      </c>
      <c r="K21" s="6">
        <v>0</v>
      </c>
      <c r="L21" s="6">
        <v>0</v>
      </c>
      <c r="M21" s="6">
        <v>0</v>
      </c>
      <c r="N21" s="6">
        <v>0</v>
      </c>
      <c r="O21" s="6">
        <v>0</v>
      </c>
      <c r="P21" s="6">
        <v>0</v>
      </c>
      <c r="Q21" s="6">
        <v>0</v>
      </c>
      <c r="R21" s="6">
        <v>0</v>
      </c>
      <c r="S21" s="6">
        <v>0</v>
      </c>
      <c r="T21" s="6">
        <v>0</v>
      </c>
      <c r="U21" s="6">
        <v>0</v>
      </c>
      <c r="V21" s="6">
        <v>0</v>
      </c>
      <c r="W21" s="6">
        <v>0</v>
      </c>
      <c r="X21" s="6">
        <v>0</v>
      </c>
      <c r="Y21" s="6">
        <v>0</v>
      </c>
      <c r="Z21" s="6">
        <v>0</v>
      </c>
      <c r="AA21" s="6">
        <v>0</v>
      </c>
      <c r="AB21" s="6">
        <v>0</v>
      </c>
      <c r="AC21" s="6">
        <v>0</v>
      </c>
      <c r="AD21" s="6">
        <v>0</v>
      </c>
      <c r="AE21" s="6">
        <v>0</v>
      </c>
      <c r="AF21" s="6">
        <v>0</v>
      </c>
      <c r="AG21" s="6">
        <v>0</v>
      </c>
      <c r="AH21" s="6">
        <v>0</v>
      </c>
      <c r="AI21" s="6">
        <v>0</v>
      </c>
      <c r="AJ21" s="6">
        <v>0</v>
      </c>
      <c r="AK21" s="6">
        <v>0</v>
      </c>
      <c r="AL21" s="6">
        <v>0</v>
      </c>
      <c r="AM21" s="6">
        <v>0</v>
      </c>
      <c r="AN21" s="6">
        <v>0</v>
      </c>
      <c r="AO21" s="6">
        <v>0</v>
      </c>
      <c r="AP21" s="6">
        <v>0</v>
      </c>
      <c r="AQ21" s="6">
        <v>0</v>
      </c>
      <c r="AR21" s="6">
        <v>0</v>
      </c>
      <c r="AS21" s="6">
        <v>0</v>
      </c>
      <c r="AT21" s="6">
        <v>0</v>
      </c>
      <c r="AU21" s="8">
        <v>3400</v>
      </c>
      <c r="AV21" s="12">
        <v>3400</v>
      </c>
      <c r="AW21">
        <v>2380</v>
      </c>
    </row>
    <row r="22" spans="1:49" ht="19.2" x14ac:dyDescent="0.4">
      <c r="A22" s="1" t="s">
        <v>95</v>
      </c>
      <c r="B22" s="4" t="s">
        <v>148</v>
      </c>
      <c r="C22" s="4">
        <v>361579</v>
      </c>
      <c r="D22" s="5"/>
      <c r="E22" s="4" t="s">
        <v>26</v>
      </c>
      <c r="F22" s="4" t="s">
        <v>65</v>
      </c>
      <c r="G22" s="4" t="s">
        <v>97</v>
      </c>
      <c r="H22" s="6" t="s">
        <v>29</v>
      </c>
      <c r="I22" s="6" t="s">
        <v>149</v>
      </c>
      <c r="J22" s="6">
        <v>0</v>
      </c>
      <c r="K22" s="6">
        <v>0</v>
      </c>
      <c r="L22" s="6">
        <v>0</v>
      </c>
      <c r="M22" s="6">
        <v>0</v>
      </c>
      <c r="N22" s="6">
        <v>0</v>
      </c>
      <c r="O22" s="6">
        <v>0</v>
      </c>
      <c r="P22" s="6">
        <v>0</v>
      </c>
      <c r="Q22" s="6">
        <v>0</v>
      </c>
      <c r="R22" s="6">
        <v>0</v>
      </c>
      <c r="S22" s="6">
        <v>0</v>
      </c>
      <c r="T22" s="6">
        <v>0</v>
      </c>
      <c r="U22" s="6">
        <v>0</v>
      </c>
      <c r="V22" s="6">
        <v>0</v>
      </c>
      <c r="W22" s="6">
        <v>0</v>
      </c>
      <c r="X22" s="6">
        <v>0</v>
      </c>
      <c r="Y22" s="6">
        <v>0</v>
      </c>
      <c r="Z22" s="6">
        <v>0</v>
      </c>
      <c r="AA22" s="6">
        <v>0</v>
      </c>
      <c r="AB22" s="6">
        <v>0</v>
      </c>
      <c r="AC22" s="6">
        <v>0</v>
      </c>
      <c r="AD22" s="6">
        <v>0</v>
      </c>
      <c r="AE22" s="6">
        <v>0</v>
      </c>
      <c r="AF22" s="6">
        <v>0</v>
      </c>
      <c r="AG22" s="6">
        <v>0</v>
      </c>
      <c r="AH22" s="6">
        <v>0</v>
      </c>
      <c r="AI22" s="6">
        <v>0</v>
      </c>
      <c r="AJ22" s="6">
        <v>0</v>
      </c>
      <c r="AK22" s="6">
        <v>0</v>
      </c>
      <c r="AL22" s="6">
        <v>0</v>
      </c>
      <c r="AM22" s="6">
        <v>0</v>
      </c>
      <c r="AN22" s="6">
        <v>0</v>
      </c>
      <c r="AO22" s="6">
        <v>0</v>
      </c>
      <c r="AP22" s="6">
        <v>0</v>
      </c>
      <c r="AQ22" s="6">
        <v>0</v>
      </c>
      <c r="AR22" s="6">
        <v>0</v>
      </c>
      <c r="AS22" s="6">
        <v>0</v>
      </c>
      <c r="AT22" s="6">
        <v>0</v>
      </c>
      <c r="AU22" s="8">
        <v>3200</v>
      </c>
      <c r="AV22" s="12">
        <v>3200</v>
      </c>
      <c r="AW22">
        <v>2240</v>
      </c>
    </row>
    <row r="23" spans="1:49" ht="19.2" x14ac:dyDescent="0.4">
      <c r="A23" s="1" t="s">
        <v>95</v>
      </c>
      <c r="B23" s="4" t="s">
        <v>150</v>
      </c>
      <c r="C23" s="4">
        <v>317423</v>
      </c>
      <c r="D23" s="5"/>
      <c r="E23" s="4" t="s">
        <v>26</v>
      </c>
      <c r="F23" s="4" t="s">
        <v>151</v>
      </c>
      <c r="G23" s="4" t="s">
        <v>97</v>
      </c>
      <c r="H23" s="6" t="s">
        <v>29</v>
      </c>
      <c r="I23" s="6" t="s">
        <v>152</v>
      </c>
      <c r="J23" s="6">
        <v>0</v>
      </c>
      <c r="K23" s="6">
        <v>0</v>
      </c>
      <c r="L23" s="6">
        <v>0</v>
      </c>
      <c r="M23" s="6">
        <v>0</v>
      </c>
      <c r="N23" s="6">
        <v>0</v>
      </c>
      <c r="O23" s="6">
        <v>0</v>
      </c>
      <c r="P23" s="6">
        <v>0</v>
      </c>
      <c r="Q23" s="6">
        <v>0</v>
      </c>
      <c r="R23" s="6">
        <v>0</v>
      </c>
      <c r="S23" s="6">
        <v>0</v>
      </c>
      <c r="T23" s="6">
        <v>0</v>
      </c>
      <c r="U23" s="6">
        <v>0</v>
      </c>
      <c r="V23" s="6">
        <v>0</v>
      </c>
      <c r="W23" s="6">
        <v>0</v>
      </c>
      <c r="X23" s="6">
        <v>0</v>
      </c>
      <c r="Y23" s="6">
        <v>0</v>
      </c>
      <c r="Z23" s="6">
        <v>0</v>
      </c>
      <c r="AA23" s="6">
        <v>0</v>
      </c>
      <c r="AB23" s="6">
        <v>0</v>
      </c>
      <c r="AC23" s="6">
        <v>0</v>
      </c>
      <c r="AD23" s="6">
        <v>0</v>
      </c>
      <c r="AE23" s="6">
        <v>0</v>
      </c>
      <c r="AF23" s="6">
        <v>0</v>
      </c>
      <c r="AG23" s="6">
        <v>0</v>
      </c>
      <c r="AH23" s="6">
        <v>0</v>
      </c>
      <c r="AI23" s="6">
        <v>0</v>
      </c>
      <c r="AJ23" s="6">
        <v>0</v>
      </c>
      <c r="AK23" s="6">
        <v>0</v>
      </c>
      <c r="AL23" s="6">
        <v>0</v>
      </c>
      <c r="AM23" s="6">
        <v>0</v>
      </c>
      <c r="AN23" s="6">
        <v>0</v>
      </c>
      <c r="AO23" s="6">
        <v>0</v>
      </c>
      <c r="AP23" s="6">
        <v>0</v>
      </c>
      <c r="AQ23" s="6">
        <v>0</v>
      </c>
      <c r="AR23" s="6">
        <v>0</v>
      </c>
      <c r="AS23" s="6">
        <v>0</v>
      </c>
      <c r="AT23" s="6">
        <v>0</v>
      </c>
      <c r="AU23" s="8">
        <v>2900</v>
      </c>
      <c r="AV23" s="12">
        <v>2900</v>
      </c>
      <c r="AW23">
        <v>2029.9999999999998</v>
      </c>
    </row>
    <row r="24" spans="1:49" ht="38.4" x14ac:dyDescent="0.4">
      <c r="A24" s="1" t="s">
        <v>95</v>
      </c>
      <c r="B24" s="4" t="s">
        <v>75</v>
      </c>
      <c r="C24" s="4">
        <v>423997</v>
      </c>
      <c r="D24" s="5"/>
      <c r="E24" s="4" t="s">
        <v>26</v>
      </c>
      <c r="F24" s="4" t="s">
        <v>76</v>
      </c>
      <c r="G24" s="4" t="s">
        <v>97</v>
      </c>
      <c r="H24" s="6" t="s">
        <v>29</v>
      </c>
      <c r="I24" s="6" t="s">
        <v>77</v>
      </c>
      <c r="J24" s="6">
        <v>0</v>
      </c>
      <c r="K24" s="6">
        <v>0</v>
      </c>
      <c r="L24" s="6">
        <v>0</v>
      </c>
      <c r="M24" s="6">
        <v>0</v>
      </c>
      <c r="N24" s="6">
        <v>0</v>
      </c>
      <c r="O24" s="6">
        <v>0</v>
      </c>
      <c r="P24" s="6">
        <v>0</v>
      </c>
      <c r="Q24" s="6">
        <v>0</v>
      </c>
      <c r="R24" s="6">
        <v>0</v>
      </c>
      <c r="S24" s="6">
        <v>0</v>
      </c>
      <c r="T24" s="6">
        <v>0</v>
      </c>
      <c r="U24" s="6">
        <v>0</v>
      </c>
      <c r="V24" s="6">
        <v>0</v>
      </c>
      <c r="W24" s="6">
        <v>0</v>
      </c>
      <c r="X24" s="6">
        <v>0</v>
      </c>
      <c r="Y24" s="6">
        <v>0</v>
      </c>
      <c r="Z24" s="6">
        <v>0</v>
      </c>
      <c r="AA24" s="6">
        <v>0</v>
      </c>
      <c r="AB24" s="6">
        <v>0</v>
      </c>
      <c r="AC24" s="6">
        <v>0</v>
      </c>
      <c r="AD24" s="6">
        <v>0</v>
      </c>
      <c r="AE24" s="6">
        <v>0</v>
      </c>
      <c r="AF24" s="6">
        <v>0</v>
      </c>
      <c r="AG24" s="6">
        <v>0</v>
      </c>
      <c r="AH24" s="6">
        <v>0</v>
      </c>
      <c r="AI24" s="6">
        <v>0</v>
      </c>
      <c r="AJ24" s="6">
        <v>0</v>
      </c>
      <c r="AK24" s="6">
        <v>0</v>
      </c>
      <c r="AL24" s="6">
        <v>0</v>
      </c>
      <c r="AM24" s="6">
        <v>0</v>
      </c>
      <c r="AN24" s="6">
        <v>0</v>
      </c>
      <c r="AO24" s="6">
        <v>0</v>
      </c>
      <c r="AP24" s="6">
        <v>0</v>
      </c>
      <c r="AQ24" s="6">
        <v>0</v>
      </c>
      <c r="AR24" s="6">
        <v>0</v>
      </c>
      <c r="AS24" s="6">
        <v>0</v>
      </c>
      <c r="AT24" s="6">
        <v>0</v>
      </c>
      <c r="AU24" s="9">
        <v>300</v>
      </c>
      <c r="AV24" s="12">
        <v>300</v>
      </c>
      <c r="AW24">
        <v>210</v>
      </c>
    </row>
    <row r="25" spans="1:49" ht="19.2" x14ac:dyDescent="0.4">
      <c r="A25" s="1" t="s">
        <v>95</v>
      </c>
      <c r="B25" s="4" t="s">
        <v>34</v>
      </c>
      <c r="C25" s="4">
        <v>395237</v>
      </c>
      <c r="D25" s="5"/>
      <c r="E25" s="4" t="s">
        <v>26</v>
      </c>
      <c r="F25" s="4" t="s">
        <v>28</v>
      </c>
      <c r="G25" s="4" t="s">
        <v>97</v>
      </c>
      <c r="H25" s="6" t="s">
        <v>29</v>
      </c>
      <c r="I25" s="6" t="s">
        <v>30</v>
      </c>
      <c r="J25" s="6">
        <v>0</v>
      </c>
      <c r="K25" s="6">
        <v>0</v>
      </c>
      <c r="L25" s="6">
        <v>0</v>
      </c>
      <c r="M25" s="6">
        <v>0</v>
      </c>
      <c r="N25" s="6">
        <v>0</v>
      </c>
      <c r="O25" s="6">
        <v>0</v>
      </c>
      <c r="P25" s="6">
        <v>0</v>
      </c>
      <c r="Q25" s="6">
        <v>0</v>
      </c>
      <c r="R25" s="6">
        <v>0</v>
      </c>
      <c r="S25" s="6">
        <v>0</v>
      </c>
      <c r="T25" s="6">
        <v>0</v>
      </c>
      <c r="U25" s="6">
        <v>0</v>
      </c>
      <c r="V25" s="6">
        <v>0</v>
      </c>
      <c r="W25" s="6">
        <v>0</v>
      </c>
      <c r="X25" s="6">
        <v>0</v>
      </c>
      <c r="Y25" s="6">
        <v>0</v>
      </c>
      <c r="Z25" s="6">
        <v>0</v>
      </c>
      <c r="AA25" s="6">
        <v>0</v>
      </c>
      <c r="AB25" s="6">
        <v>0</v>
      </c>
      <c r="AC25" s="6">
        <v>0</v>
      </c>
      <c r="AD25" s="6">
        <v>0</v>
      </c>
      <c r="AE25" s="6">
        <v>0</v>
      </c>
      <c r="AF25" s="6">
        <v>0</v>
      </c>
      <c r="AG25" s="6">
        <v>0</v>
      </c>
      <c r="AH25" s="6">
        <v>0</v>
      </c>
      <c r="AI25" s="6">
        <v>0</v>
      </c>
      <c r="AJ25" s="6">
        <v>0</v>
      </c>
      <c r="AK25" s="6">
        <v>0</v>
      </c>
      <c r="AL25" s="6">
        <v>0</v>
      </c>
      <c r="AM25" s="6">
        <v>0</v>
      </c>
      <c r="AN25" s="6">
        <v>0</v>
      </c>
      <c r="AO25" s="6">
        <v>0</v>
      </c>
      <c r="AP25" s="6">
        <v>0</v>
      </c>
      <c r="AQ25" s="6">
        <v>0</v>
      </c>
      <c r="AR25" s="6">
        <v>0</v>
      </c>
      <c r="AS25" s="6">
        <v>0</v>
      </c>
      <c r="AT25" s="6">
        <v>0</v>
      </c>
      <c r="AU25" s="9">
        <v>200</v>
      </c>
      <c r="AV25" s="12">
        <v>200</v>
      </c>
      <c r="AW25">
        <v>140</v>
      </c>
    </row>
  </sheetData>
  <phoneticPr fontId="20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AW13"/>
  <sheetViews>
    <sheetView workbookViewId="0"/>
  </sheetViews>
  <sheetFormatPr defaultRowHeight="17.399999999999999" x14ac:dyDescent="0.4"/>
  <cols>
    <col min="1" max="1" width="12.796875" bestFit="1" customWidth="1"/>
    <col min="2" max="2" width="9.19921875" bestFit="1" customWidth="1"/>
    <col min="3" max="3" width="6.5" bestFit="1" customWidth="1"/>
    <col min="4" max="4" width="7.19921875" bestFit="1" customWidth="1"/>
    <col min="5" max="5" width="8.3984375" bestFit="1" customWidth="1"/>
    <col min="6" max="6" width="4.796875" bestFit="1" customWidth="1"/>
    <col min="7" max="7" width="7.59765625" bestFit="1" customWidth="1"/>
    <col min="8" max="8" width="8.19921875" bestFit="1" customWidth="1"/>
    <col min="9" max="9" width="7.3984375" bestFit="1" customWidth="1"/>
    <col min="10" max="10" width="3.59765625" bestFit="1" customWidth="1"/>
    <col min="11" max="11" width="4.796875" bestFit="1" customWidth="1"/>
    <col min="12" max="12" width="7.19921875" bestFit="1" customWidth="1"/>
    <col min="13" max="14" width="6" bestFit="1" customWidth="1"/>
    <col min="15" max="16" width="6.296875" bestFit="1" customWidth="1"/>
    <col min="17" max="18" width="8.3984375" bestFit="1" customWidth="1"/>
    <col min="19" max="19" width="3.59765625" bestFit="1" customWidth="1"/>
    <col min="20" max="20" width="4.796875" bestFit="1" customWidth="1"/>
    <col min="21" max="21" width="7.19921875" bestFit="1" customWidth="1"/>
    <col min="22" max="23" width="6" bestFit="1" customWidth="1"/>
    <col min="24" max="25" width="6.296875" bestFit="1" customWidth="1"/>
    <col min="26" max="27" width="8.3984375" bestFit="1" customWidth="1"/>
    <col min="28" max="39" width="3.59765625" bestFit="1" customWidth="1"/>
    <col min="40" max="40" width="7.8984375" bestFit="1" customWidth="1"/>
    <col min="41" max="46" width="3.59765625" bestFit="1" customWidth="1"/>
    <col min="47" max="47" width="6.69921875" bestFit="1" customWidth="1"/>
    <col min="48" max="48" width="9.796875" bestFit="1" customWidth="1"/>
    <col min="49" max="49" width="7.3984375" bestFit="1" customWidth="1"/>
  </cols>
  <sheetData>
    <row r="1" spans="1:49" ht="19.2" x14ac:dyDescent="0.4">
      <c r="A1" s="2" t="s">
        <v>10</v>
      </c>
      <c r="B1" s="2" t="s">
        <v>0</v>
      </c>
      <c r="C1" s="2" t="s">
        <v>1</v>
      </c>
      <c r="D1" s="3" t="s">
        <v>2</v>
      </c>
      <c r="E1" s="2" t="s">
        <v>3</v>
      </c>
      <c r="F1" s="2" t="s">
        <v>4</v>
      </c>
      <c r="G1" s="2" t="s">
        <v>5</v>
      </c>
      <c r="H1" s="3" t="s">
        <v>6</v>
      </c>
      <c r="I1" s="3" t="s">
        <v>7</v>
      </c>
      <c r="J1" s="10" t="s">
        <v>11</v>
      </c>
      <c r="K1" s="10" t="s">
        <v>12</v>
      </c>
      <c r="L1" s="10" t="s">
        <v>13</v>
      </c>
      <c r="M1" s="10" t="s">
        <v>14</v>
      </c>
      <c r="N1" s="10" t="s">
        <v>15</v>
      </c>
      <c r="O1" s="10" t="s">
        <v>16</v>
      </c>
      <c r="P1" s="10" t="s">
        <v>17</v>
      </c>
      <c r="Q1" s="10" t="s">
        <v>18</v>
      </c>
      <c r="R1" s="10" t="s">
        <v>19</v>
      </c>
      <c r="S1" s="10" t="s">
        <v>11</v>
      </c>
      <c r="T1" s="10" t="s">
        <v>12</v>
      </c>
      <c r="U1" s="10" t="s">
        <v>13</v>
      </c>
      <c r="V1" s="10" t="s">
        <v>14</v>
      </c>
      <c r="W1" s="10" t="s">
        <v>15</v>
      </c>
      <c r="X1" s="10" t="s">
        <v>16</v>
      </c>
      <c r="Y1" s="10" t="s">
        <v>17</v>
      </c>
      <c r="Z1" s="10" t="s">
        <v>18</v>
      </c>
      <c r="AA1" s="10" t="s">
        <v>19</v>
      </c>
      <c r="AB1" s="10" t="s">
        <v>11</v>
      </c>
      <c r="AC1" s="10" t="s">
        <v>20</v>
      </c>
      <c r="AD1" s="10" t="s">
        <v>21</v>
      </c>
      <c r="AE1" s="10" t="s">
        <v>11</v>
      </c>
      <c r="AF1" s="10" t="s">
        <v>20</v>
      </c>
      <c r="AG1" s="10" t="s">
        <v>21</v>
      </c>
      <c r="AH1" s="10" t="s">
        <v>11</v>
      </c>
      <c r="AI1" s="10" t="s">
        <v>20</v>
      </c>
      <c r="AJ1" s="10" t="s">
        <v>21</v>
      </c>
      <c r="AK1" s="10" t="s">
        <v>11</v>
      </c>
      <c r="AL1" s="10" t="s">
        <v>20</v>
      </c>
      <c r="AM1" s="10" t="s">
        <v>21</v>
      </c>
      <c r="AN1" s="11" t="s">
        <v>22</v>
      </c>
      <c r="AO1" s="10" t="s">
        <v>11</v>
      </c>
      <c r="AP1" s="10" t="s">
        <v>20</v>
      </c>
      <c r="AQ1" s="10" t="s">
        <v>21</v>
      </c>
      <c r="AR1" s="10" t="s">
        <v>11</v>
      </c>
      <c r="AS1" s="10" t="s">
        <v>20</v>
      </c>
      <c r="AT1" s="10" t="s">
        <v>21</v>
      </c>
      <c r="AU1" s="11" t="s">
        <v>23</v>
      </c>
      <c r="AV1" s="10" t="s">
        <v>24</v>
      </c>
      <c r="AW1" s="11" t="s">
        <v>25</v>
      </c>
    </row>
    <row r="2" spans="1:49" ht="19.2" x14ac:dyDescent="0.4">
      <c r="A2" s="1" t="s">
        <v>80</v>
      </c>
      <c r="B2" s="4" t="s">
        <v>99</v>
      </c>
      <c r="C2" s="4">
        <v>461347</v>
      </c>
      <c r="D2" s="5"/>
      <c r="E2" s="4" t="s">
        <v>26</v>
      </c>
      <c r="F2" s="4" t="s">
        <v>100</v>
      </c>
      <c r="G2" s="4" t="s">
        <v>96</v>
      </c>
      <c r="H2" s="6" t="s">
        <v>29</v>
      </c>
      <c r="I2" s="6" t="s">
        <v>101</v>
      </c>
      <c r="J2" s="6">
        <v>0</v>
      </c>
      <c r="K2" s="6">
        <v>0</v>
      </c>
      <c r="L2" s="6">
        <v>0</v>
      </c>
      <c r="M2" s="6">
        <v>0</v>
      </c>
      <c r="N2" s="6">
        <v>0</v>
      </c>
      <c r="O2" s="6">
        <v>0</v>
      </c>
      <c r="P2" s="6">
        <v>0</v>
      </c>
      <c r="Q2" s="6">
        <v>0</v>
      </c>
      <c r="R2" s="6">
        <v>0</v>
      </c>
      <c r="S2" s="6">
        <v>0</v>
      </c>
      <c r="T2" s="6">
        <v>0</v>
      </c>
      <c r="U2" s="6">
        <v>0</v>
      </c>
      <c r="V2" s="6">
        <v>0</v>
      </c>
      <c r="W2" s="6">
        <v>0</v>
      </c>
      <c r="X2" s="6">
        <v>0</v>
      </c>
      <c r="Y2" s="6">
        <v>0</v>
      </c>
      <c r="Z2" s="6">
        <v>0</v>
      </c>
      <c r="AA2" s="6">
        <v>0</v>
      </c>
      <c r="AB2" s="6">
        <v>0</v>
      </c>
      <c r="AC2" s="6">
        <v>0</v>
      </c>
      <c r="AD2" s="6">
        <v>0</v>
      </c>
      <c r="AE2" s="6">
        <v>0</v>
      </c>
      <c r="AF2" s="6">
        <v>0</v>
      </c>
      <c r="AG2" s="6">
        <v>0</v>
      </c>
      <c r="AH2" s="6">
        <v>0</v>
      </c>
      <c r="AI2" s="6">
        <v>0</v>
      </c>
      <c r="AJ2" s="6">
        <v>0</v>
      </c>
      <c r="AK2" s="6">
        <v>0</v>
      </c>
      <c r="AL2" s="6">
        <v>0</v>
      </c>
      <c r="AM2" s="6">
        <v>0</v>
      </c>
      <c r="AN2" s="6">
        <v>0</v>
      </c>
      <c r="AO2" s="6">
        <v>0</v>
      </c>
      <c r="AP2" s="6">
        <v>0</v>
      </c>
      <c r="AQ2" s="6">
        <v>0</v>
      </c>
      <c r="AR2" s="6">
        <v>0</v>
      </c>
      <c r="AS2" s="6">
        <v>0</v>
      </c>
      <c r="AT2" s="6">
        <v>0</v>
      </c>
      <c r="AU2" s="8">
        <v>12000</v>
      </c>
      <c r="AV2" s="12">
        <v>12000</v>
      </c>
      <c r="AW2">
        <v>8400</v>
      </c>
    </row>
    <row r="3" spans="1:49" ht="19.2" x14ac:dyDescent="0.4">
      <c r="A3" s="1" t="s">
        <v>80</v>
      </c>
      <c r="B3" s="4" t="s">
        <v>69</v>
      </c>
      <c r="C3" s="4">
        <v>459229</v>
      </c>
      <c r="D3" s="5"/>
      <c r="E3" s="4" t="s">
        <v>26</v>
      </c>
      <c r="F3" s="4" t="s">
        <v>70</v>
      </c>
      <c r="G3" s="4" t="s">
        <v>96</v>
      </c>
      <c r="H3" s="6" t="s">
        <v>29</v>
      </c>
      <c r="I3" s="6" t="s">
        <v>71</v>
      </c>
      <c r="J3" s="6">
        <v>0</v>
      </c>
      <c r="K3" s="6">
        <v>0</v>
      </c>
      <c r="L3" s="6">
        <v>0</v>
      </c>
      <c r="M3" s="6">
        <v>0</v>
      </c>
      <c r="N3" s="6">
        <v>0</v>
      </c>
      <c r="O3" s="6">
        <v>0</v>
      </c>
      <c r="P3" s="6">
        <v>0</v>
      </c>
      <c r="Q3" s="6">
        <v>0</v>
      </c>
      <c r="R3" s="6">
        <v>0</v>
      </c>
      <c r="S3" s="6">
        <v>0</v>
      </c>
      <c r="T3" s="6">
        <v>0</v>
      </c>
      <c r="U3" s="6">
        <v>0</v>
      </c>
      <c r="V3" s="6">
        <v>0</v>
      </c>
      <c r="W3" s="6">
        <v>0</v>
      </c>
      <c r="X3" s="6">
        <v>0</v>
      </c>
      <c r="Y3" s="6">
        <v>0</v>
      </c>
      <c r="Z3" s="6">
        <v>0</v>
      </c>
      <c r="AA3" s="6">
        <v>0</v>
      </c>
      <c r="AB3" s="6">
        <v>0</v>
      </c>
      <c r="AC3" s="6">
        <v>0</v>
      </c>
      <c r="AD3" s="6">
        <v>0</v>
      </c>
      <c r="AE3" s="6">
        <v>0</v>
      </c>
      <c r="AF3" s="6">
        <v>0</v>
      </c>
      <c r="AG3" s="6">
        <v>0</v>
      </c>
      <c r="AH3" s="6">
        <v>0</v>
      </c>
      <c r="AI3" s="6">
        <v>0</v>
      </c>
      <c r="AJ3" s="6">
        <v>0</v>
      </c>
      <c r="AK3" s="6">
        <v>0</v>
      </c>
      <c r="AL3" s="6">
        <v>0</v>
      </c>
      <c r="AM3" s="6">
        <v>0</v>
      </c>
      <c r="AN3" s="6">
        <v>0</v>
      </c>
      <c r="AO3" s="6">
        <v>0</v>
      </c>
      <c r="AP3" s="6">
        <v>0</v>
      </c>
      <c r="AQ3" s="6">
        <v>0</v>
      </c>
      <c r="AR3" s="6">
        <v>0</v>
      </c>
      <c r="AS3" s="6">
        <v>0</v>
      </c>
      <c r="AT3" s="6">
        <v>0</v>
      </c>
      <c r="AU3" s="8">
        <v>9000</v>
      </c>
      <c r="AV3" s="12">
        <v>9000</v>
      </c>
      <c r="AW3">
        <v>6300</v>
      </c>
    </row>
    <row r="4" spans="1:49" ht="28.8" x14ac:dyDescent="0.4">
      <c r="A4" s="1" t="s">
        <v>80</v>
      </c>
      <c r="B4" s="4" t="s">
        <v>106</v>
      </c>
      <c r="C4" s="4">
        <v>461348</v>
      </c>
      <c r="D4" s="5"/>
      <c r="E4" s="4" t="s">
        <v>26</v>
      </c>
      <c r="F4" s="4" t="s">
        <v>107</v>
      </c>
      <c r="G4" s="4" t="s">
        <v>96</v>
      </c>
      <c r="H4" s="6" t="s">
        <v>104</v>
      </c>
      <c r="I4" s="6" t="s">
        <v>108</v>
      </c>
      <c r="J4" s="6">
        <v>0</v>
      </c>
      <c r="K4" s="6">
        <v>0</v>
      </c>
      <c r="L4" s="6">
        <v>0</v>
      </c>
      <c r="M4" s="6">
        <v>0</v>
      </c>
      <c r="N4" s="6">
        <v>0</v>
      </c>
      <c r="O4" s="6">
        <v>0</v>
      </c>
      <c r="P4" s="6">
        <v>0</v>
      </c>
      <c r="Q4" s="6">
        <v>0</v>
      </c>
      <c r="R4" s="6">
        <v>0</v>
      </c>
      <c r="S4" s="6">
        <v>0</v>
      </c>
      <c r="T4" s="6">
        <v>0</v>
      </c>
      <c r="U4" s="6">
        <v>0</v>
      </c>
      <c r="V4" s="6">
        <v>0</v>
      </c>
      <c r="W4" s="6">
        <v>0</v>
      </c>
      <c r="X4" s="6">
        <v>0</v>
      </c>
      <c r="Y4" s="6">
        <v>0</v>
      </c>
      <c r="Z4" s="6">
        <v>0</v>
      </c>
      <c r="AA4" s="6">
        <v>0</v>
      </c>
      <c r="AB4" s="6">
        <v>0</v>
      </c>
      <c r="AC4" s="6">
        <v>0</v>
      </c>
      <c r="AD4" s="6">
        <v>0</v>
      </c>
      <c r="AE4" s="6">
        <v>0</v>
      </c>
      <c r="AF4" s="6">
        <v>0</v>
      </c>
      <c r="AG4" s="6">
        <v>0</v>
      </c>
      <c r="AH4" s="6">
        <v>0</v>
      </c>
      <c r="AI4" s="6">
        <v>0</v>
      </c>
      <c r="AJ4" s="6">
        <v>0</v>
      </c>
      <c r="AK4" s="6">
        <v>0</v>
      </c>
      <c r="AL4" s="6">
        <v>0</v>
      </c>
      <c r="AM4" s="6">
        <v>0</v>
      </c>
      <c r="AN4" s="6">
        <v>0</v>
      </c>
      <c r="AO4" s="6">
        <v>0</v>
      </c>
      <c r="AP4" s="6">
        <v>0</v>
      </c>
      <c r="AQ4" s="6">
        <v>0</v>
      </c>
      <c r="AR4" s="6">
        <v>0</v>
      </c>
      <c r="AS4" s="6">
        <v>0</v>
      </c>
      <c r="AT4" s="6">
        <v>0</v>
      </c>
      <c r="AU4" s="8">
        <v>6000</v>
      </c>
      <c r="AV4" s="12">
        <v>6000</v>
      </c>
      <c r="AW4">
        <v>4200</v>
      </c>
    </row>
    <row r="5" spans="1:49" ht="19.2" x14ac:dyDescent="0.4">
      <c r="A5" s="1" t="s">
        <v>80</v>
      </c>
      <c r="B5" s="4" t="s">
        <v>57</v>
      </c>
      <c r="C5" s="4">
        <v>457534</v>
      </c>
      <c r="D5" s="5"/>
      <c r="E5" s="4" t="s">
        <v>26</v>
      </c>
      <c r="F5" s="4" t="s">
        <v>58</v>
      </c>
      <c r="G5" s="4" t="s">
        <v>96</v>
      </c>
      <c r="H5" s="6" t="s">
        <v>29</v>
      </c>
      <c r="I5" s="6" t="s">
        <v>59</v>
      </c>
      <c r="J5" s="6">
        <v>0</v>
      </c>
      <c r="K5" s="6">
        <v>0</v>
      </c>
      <c r="L5" s="6">
        <v>0</v>
      </c>
      <c r="M5" s="6">
        <v>0</v>
      </c>
      <c r="N5" s="6">
        <v>0</v>
      </c>
      <c r="O5" s="6">
        <v>0</v>
      </c>
      <c r="P5" s="6">
        <v>0</v>
      </c>
      <c r="Q5" s="6">
        <v>0</v>
      </c>
      <c r="R5" s="6">
        <v>0</v>
      </c>
      <c r="S5" s="6">
        <v>0</v>
      </c>
      <c r="T5" s="6">
        <v>0</v>
      </c>
      <c r="U5" s="6">
        <v>0</v>
      </c>
      <c r="V5" s="6">
        <v>0</v>
      </c>
      <c r="W5" s="6">
        <v>0</v>
      </c>
      <c r="X5" s="6">
        <v>0</v>
      </c>
      <c r="Y5" s="6">
        <v>0</v>
      </c>
      <c r="Z5" s="6">
        <v>0</v>
      </c>
      <c r="AA5" s="6">
        <v>0</v>
      </c>
      <c r="AB5" s="6">
        <v>0</v>
      </c>
      <c r="AC5" s="6">
        <v>0</v>
      </c>
      <c r="AD5" s="6">
        <v>0</v>
      </c>
      <c r="AE5" s="6">
        <v>0</v>
      </c>
      <c r="AF5" s="6">
        <v>0</v>
      </c>
      <c r="AG5" s="6">
        <v>0</v>
      </c>
      <c r="AH5" s="6">
        <v>0</v>
      </c>
      <c r="AI5" s="6">
        <v>0</v>
      </c>
      <c r="AJ5" s="6">
        <v>0</v>
      </c>
      <c r="AK5" s="6">
        <v>0</v>
      </c>
      <c r="AL5" s="6">
        <v>0</v>
      </c>
      <c r="AM5" s="6">
        <v>0</v>
      </c>
      <c r="AN5" s="6">
        <v>0</v>
      </c>
      <c r="AO5" s="6">
        <v>0</v>
      </c>
      <c r="AP5" s="6">
        <v>0</v>
      </c>
      <c r="AQ5" s="6">
        <v>0</v>
      </c>
      <c r="AR5" s="6">
        <v>0</v>
      </c>
      <c r="AS5" s="6">
        <v>0</v>
      </c>
      <c r="AT5" s="6">
        <v>0</v>
      </c>
      <c r="AU5" s="8">
        <v>4000</v>
      </c>
      <c r="AV5" s="12">
        <v>4000</v>
      </c>
      <c r="AW5">
        <v>2800</v>
      </c>
    </row>
    <row r="6" spans="1:49" ht="28.8" x14ac:dyDescent="0.4">
      <c r="A6" s="1" t="s">
        <v>80</v>
      </c>
      <c r="B6" s="4" t="s">
        <v>114</v>
      </c>
      <c r="C6" s="4">
        <v>461355</v>
      </c>
      <c r="D6" s="5"/>
      <c r="E6" s="4" t="s">
        <v>26</v>
      </c>
      <c r="F6" s="4" t="s">
        <v>115</v>
      </c>
      <c r="G6" s="4" t="s">
        <v>96</v>
      </c>
      <c r="H6" s="6" t="s">
        <v>8</v>
      </c>
      <c r="I6" s="6" t="s">
        <v>116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  <c r="Z6" s="6">
        <v>0</v>
      </c>
      <c r="AA6" s="6">
        <v>0</v>
      </c>
      <c r="AB6" s="6">
        <v>0</v>
      </c>
      <c r="AC6" s="6">
        <v>0</v>
      </c>
      <c r="AD6" s="6">
        <v>0</v>
      </c>
      <c r="AE6" s="6">
        <v>0</v>
      </c>
      <c r="AF6" s="6">
        <v>0</v>
      </c>
      <c r="AG6" s="6">
        <v>0</v>
      </c>
      <c r="AH6" s="6">
        <v>0</v>
      </c>
      <c r="AI6" s="6">
        <v>0</v>
      </c>
      <c r="AJ6" s="6">
        <v>0</v>
      </c>
      <c r="AK6" s="6">
        <v>0</v>
      </c>
      <c r="AL6" s="6">
        <v>0</v>
      </c>
      <c r="AM6" s="6">
        <v>0</v>
      </c>
      <c r="AN6" s="6">
        <v>0</v>
      </c>
      <c r="AO6" s="6">
        <v>0</v>
      </c>
      <c r="AP6" s="6">
        <v>0</v>
      </c>
      <c r="AQ6" s="6">
        <v>0</v>
      </c>
      <c r="AR6" s="6">
        <v>0</v>
      </c>
      <c r="AS6" s="6">
        <v>0</v>
      </c>
      <c r="AT6" s="6">
        <v>0</v>
      </c>
      <c r="AU6" s="8">
        <v>2000</v>
      </c>
      <c r="AV6" s="12">
        <v>2000</v>
      </c>
      <c r="AW6">
        <v>1400</v>
      </c>
    </row>
    <row r="7" spans="1:49" ht="19.2" x14ac:dyDescent="0.4">
      <c r="A7" s="1" t="s">
        <v>95</v>
      </c>
      <c r="B7" s="4" t="s">
        <v>69</v>
      </c>
      <c r="C7" s="4">
        <v>459229</v>
      </c>
      <c r="D7" s="5"/>
      <c r="E7" s="4" t="s">
        <v>26</v>
      </c>
      <c r="F7" s="4" t="s">
        <v>70</v>
      </c>
      <c r="G7" s="4" t="s">
        <v>96</v>
      </c>
      <c r="H7" s="6" t="s">
        <v>29</v>
      </c>
      <c r="I7" s="6" t="s">
        <v>71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  <c r="Z7" s="6">
        <v>0</v>
      </c>
      <c r="AA7" s="6">
        <v>0</v>
      </c>
      <c r="AB7" s="6">
        <v>0</v>
      </c>
      <c r="AC7" s="6">
        <v>0</v>
      </c>
      <c r="AD7" s="6">
        <v>0</v>
      </c>
      <c r="AE7" s="6">
        <v>0</v>
      </c>
      <c r="AF7" s="6">
        <v>0</v>
      </c>
      <c r="AG7" s="6">
        <v>0</v>
      </c>
      <c r="AH7" s="6">
        <v>0</v>
      </c>
      <c r="AI7" s="6">
        <v>0</v>
      </c>
      <c r="AJ7" s="6">
        <v>0</v>
      </c>
      <c r="AK7" s="6">
        <v>0</v>
      </c>
      <c r="AL7" s="6">
        <v>0</v>
      </c>
      <c r="AM7" s="6">
        <v>0</v>
      </c>
      <c r="AN7" s="6">
        <v>0</v>
      </c>
      <c r="AO7" s="6">
        <v>0</v>
      </c>
      <c r="AP7" s="6">
        <v>0</v>
      </c>
      <c r="AQ7" s="6">
        <v>0</v>
      </c>
      <c r="AR7" s="6">
        <v>0</v>
      </c>
      <c r="AS7" s="6">
        <v>0</v>
      </c>
      <c r="AT7" s="6">
        <v>0</v>
      </c>
      <c r="AU7" s="8">
        <v>63000</v>
      </c>
      <c r="AV7" s="12">
        <v>63000</v>
      </c>
      <c r="AW7">
        <v>44100</v>
      </c>
    </row>
    <row r="8" spans="1:49" ht="19.2" x14ac:dyDescent="0.4">
      <c r="A8" s="1" t="s">
        <v>95</v>
      </c>
      <c r="B8" s="4" t="s">
        <v>99</v>
      </c>
      <c r="C8" s="4">
        <v>461347</v>
      </c>
      <c r="D8" s="5"/>
      <c r="E8" s="4" t="s">
        <v>26</v>
      </c>
      <c r="F8" s="4" t="s">
        <v>100</v>
      </c>
      <c r="G8" s="4" t="s">
        <v>96</v>
      </c>
      <c r="H8" s="6" t="s">
        <v>29</v>
      </c>
      <c r="I8" s="6" t="s">
        <v>101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  <c r="Z8" s="6">
        <v>0</v>
      </c>
      <c r="AA8" s="6">
        <v>0</v>
      </c>
      <c r="AB8" s="6">
        <v>0</v>
      </c>
      <c r="AC8" s="6">
        <v>0</v>
      </c>
      <c r="AD8" s="6">
        <v>0</v>
      </c>
      <c r="AE8" s="6">
        <v>0</v>
      </c>
      <c r="AF8" s="6">
        <v>0</v>
      </c>
      <c r="AG8" s="6">
        <v>0</v>
      </c>
      <c r="AH8" s="6">
        <v>0</v>
      </c>
      <c r="AI8" s="6">
        <v>0</v>
      </c>
      <c r="AJ8" s="6">
        <v>0</v>
      </c>
      <c r="AK8" s="6">
        <v>0</v>
      </c>
      <c r="AL8" s="6">
        <v>0</v>
      </c>
      <c r="AM8" s="6">
        <v>0</v>
      </c>
      <c r="AN8" s="6">
        <v>690</v>
      </c>
      <c r="AO8" s="6">
        <v>0</v>
      </c>
      <c r="AP8" s="6">
        <v>0</v>
      </c>
      <c r="AQ8" s="6">
        <v>0</v>
      </c>
      <c r="AR8" s="6">
        <v>0</v>
      </c>
      <c r="AS8" s="6">
        <v>0</v>
      </c>
      <c r="AT8" s="6">
        <v>0</v>
      </c>
      <c r="AU8" s="8">
        <v>60300</v>
      </c>
      <c r="AV8" s="12">
        <v>59610</v>
      </c>
      <c r="AW8">
        <v>41727</v>
      </c>
    </row>
    <row r="9" spans="1:49" ht="19.2" x14ac:dyDescent="0.4">
      <c r="A9" s="1" t="s">
        <v>95</v>
      </c>
      <c r="B9" s="4" t="s">
        <v>130</v>
      </c>
      <c r="C9" s="4">
        <v>461351</v>
      </c>
      <c r="D9" s="5"/>
      <c r="E9" s="4" t="s">
        <v>26</v>
      </c>
      <c r="F9" s="4" t="s">
        <v>131</v>
      </c>
      <c r="G9" s="4" t="s">
        <v>96</v>
      </c>
      <c r="H9" s="6" t="s">
        <v>29</v>
      </c>
      <c r="I9" s="6" t="s">
        <v>132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  <c r="Z9" s="6">
        <v>0</v>
      </c>
      <c r="AA9" s="6">
        <v>0</v>
      </c>
      <c r="AB9" s="6">
        <v>0</v>
      </c>
      <c r="AC9" s="6">
        <v>0</v>
      </c>
      <c r="AD9" s="6">
        <v>0</v>
      </c>
      <c r="AE9" s="6">
        <v>0</v>
      </c>
      <c r="AF9" s="6">
        <v>0</v>
      </c>
      <c r="AG9" s="6">
        <v>0</v>
      </c>
      <c r="AH9" s="6">
        <v>0</v>
      </c>
      <c r="AI9" s="6">
        <v>0</v>
      </c>
      <c r="AJ9" s="6">
        <v>0</v>
      </c>
      <c r="AK9" s="6">
        <v>0</v>
      </c>
      <c r="AL9" s="6">
        <v>0</v>
      </c>
      <c r="AM9" s="6">
        <v>0</v>
      </c>
      <c r="AN9" s="6">
        <v>0</v>
      </c>
      <c r="AO9" s="6">
        <v>0</v>
      </c>
      <c r="AP9" s="6">
        <v>0</v>
      </c>
      <c r="AQ9" s="6">
        <v>0</v>
      </c>
      <c r="AR9" s="6">
        <v>0</v>
      </c>
      <c r="AS9" s="6">
        <v>0</v>
      </c>
      <c r="AT9" s="6">
        <v>0</v>
      </c>
      <c r="AU9" s="8">
        <v>18000</v>
      </c>
      <c r="AV9" s="12">
        <v>18000</v>
      </c>
      <c r="AW9">
        <v>12600</v>
      </c>
    </row>
    <row r="10" spans="1:49" ht="19.2" x14ac:dyDescent="0.4">
      <c r="A10" s="1" t="s">
        <v>95</v>
      </c>
      <c r="B10" s="4" t="s">
        <v>57</v>
      </c>
      <c r="C10" s="4">
        <v>457534</v>
      </c>
      <c r="D10" s="5"/>
      <c r="E10" s="4" t="s">
        <v>26</v>
      </c>
      <c r="F10" s="4" t="s">
        <v>58</v>
      </c>
      <c r="G10" s="4" t="s">
        <v>96</v>
      </c>
      <c r="H10" s="6" t="s">
        <v>29</v>
      </c>
      <c r="I10" s="6" t="s">
        <v>59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  <c r="Z10" s="6">
        <v>0</v>
      </c>
      <c r="AA10" s="6">
        <v>0</v>
      </c>
      <c r="AB10" s="6">
        <v>0</v>
      </c>
      <c r="AC10" s="6">
        <v>0</v>
      </c>
      <c r="AD10" s="6">
        <v>0</v>
      </c>
      <c r="AE10" s="6">
        <v>0</v>
      </c>
      <c r="AF10" s="6">
        <v>0</v>
      </c>
      <c r="AG10" s="6">
        <v>0</v>
      </c>
      <c r="AH10" s="6">
        <v>0</v>
      </c>
      <c r="AI10" s="6">
        <v>0</v>
      </c>
      <c r="AJ10" s="6">
        <v>0</v>
      </c>
      <c r="AK10" s="6">
        <v>0</v>
      </c>
      <c r="AL10" s="6">
        <v>0</v>
      </c>
      <c r="AM10" s="6">
        <v>0</v>
      </c>
      <c r="AN10" s="6">
        <v>0</v>
      </c>
      <c r="AO10" s="6">
        <v>0</v>
      </c>
      <c r="AP10" s="6">
        <v>0</v>
      </c>
      <c r="AQ10" s="6">
        <v>0</v>
      </c>
      <c r="AR10" s="6">
        <v>0</v>
      </c>
      <c r="AS10" s="6">
        <v>0</v>
      </c>
      <c r="AT10" s="6">
        <v>0</v>
      </c>
      <c r="AU10" s="8">
        <v>12000</v>
      </c>
      <c r="AV10" s="12">
        <v>12000</v>
      </c>
      <c r="AW10">
        <v>8400</v>
      </c>
    </row>
    <row r="11" spans="1:49" ht="19.2" x14ac:dyDescent="0.4">
      <c r="A11" s="1" t="s">
        <v>95</v>
      </c>
      <c r="B11" s="4" t="s">
        <v>54</v>
      </c>
      <c r="C11" s="4">
        <v>457533</v>
      </c>
      <c r="D11" s="5"/>
      <c r="E11" s="4" t="s">
        <v>26</v>
      </c>
      <c r="F11" s="4" t="s">
        <v>55</v>
      </c>
      <c r="G11" s="4" t="s">
        <v>96</v>
      </c>
      <c r="H11" s="6" t="s">
        <v>29</v>
      </c>
      <c r="I11" s="6" t="s">
        <v>56</v>
      </c>
      <c r="J11" s="6">
        <v>0</v>
      </c>
      <c r="K11" s="6">
        <v>0</v>
      </c>
      <c r="L11" s="6">
        <v>0</v>
      </c>
      <c r="M11" s="6">
        <v>0</v>
      </c>
      <c r="N11" s="6">
        <v>0</v>
      </c>
      <c r="O11" s="6">
        <v>0</v>
      </c>
      <c r="P11" s="6">
        <v>0</v>
      </c>
      <c r="Q11" s="6">
        <v>0</v>
      </c>
      <c r="R11" s="6">
        <v>0</v>
      </c>
      <c r="S11" s="6">
        <v>0</v>
      </c>
      <c r="T11" s="6">
        <v>0</v>
      </c>
      <c r="U11" s="6">
        <v>0</v>
      </c>
      <c r="V11" s="6">
        <v>0</v>
      </c>
      <c r="W11" s="6">
        <v>0</v>
      </c>
      <c r="X11" s="6">
        <v>0</v>
      </c>
      <c r="Y11" s="6">
        <v>0</v>
      </c>
      <c r="Z11" s="6">
        <v>0</v>
      </c>
      <c r="AA11" s="6">
        <v>0</v>
      </c>
      <c r="AB11" s="6">
        <v>0</v>
      </c>
      <c r="AC11" s="6">
        <v>0</v>
      </c>
      <c r="AD11" s="6">
        <v>0</v>
      </c>
      <c r="AE11" s="6">
        <v>0</v>
      </c>
      <c r="AF11" s="6">
        <v>0</v>
      </c>
      <c r="AG11" s="6">
        <v>0</v>
      </c>
      <c r="AH11" s="6">
        <v>0</v>
      </c>
      <c r="AI11" s="6">
        <v>0</v>
      </c>
      <c r="AJ11" s="6">
        <v>0</v>
      </c>
      <c r="AK11" s="6">
        <v>0</v>
      </c>
      <c r="AL11" s="6">
        <v>0</v>
      </c>
      <c r="AM11" s="6">
        <v>0</v>
      </c>
      <c r="AN11" s="6">
        <v>0</v>
      </c>
      <c r="AO11" s="6">
        <v>0</v>
      </c>
      <c r="AP11" s="6">
        <v>0</v>
      </c>
      <c r="AQ11" s="6">
        <v>0</v>
      </c>
      <c r="AR11" s="6">
        <v>0</v>
      </c>
      <c r="AS11" s="6">
        <v>0</v>
      </c>
      <c r="AT11" s="6">
        <v>0</v>
      </c>
      <c r="AU11" s="8">
        <v>10000</v>
      </c>
      <c r="AV11" s="12">
        <v>10000</v>
      </c>
      <c r="AW11">
        <v>7000</v>
      </c>
    </row>
    <row r="12" spans="1:49" ht="19.2" x14ac:dyDescent="0.4">
      <c r="A12" s="1" t="s">
        <v>95</v>
      </c>
      <c r="B12" s="4" t="s">
        <v>87</v>
      </c>
      <c r="C12" s="4">
        <v>459228</v>
      </c>
      <c r="D12" s="5"/>
      <c r="E12" s="4" t="s">
        <v>26</v>
      </c>
      <c r="F12" s="4" t="s">
        <v>88</v>
      </c>
      <c r="G12" s="4" t="s">
        <v>96</v>
      </c>
      <c r="H12" s="6" t="s">
        <v>29</v>
      </c>
      <c r="I12" s="6" t="s">
        <v>89</v>
      </c>
      <c r="J12" s="6">
        <v>0</v>
      </c>
      <c r="K12" s="6">
        <v>0</v>
      </c>
      <c r="L12" s="6">
        <v>0</v>
      </c>
      <c r="M12" s="6">
        <v>0</v>
      </c>
      <c r="N12" s="6">
        <v>0</v>
      </c>
      <c r="O12" s="6">
        <v>0</v>
      </c>
      <c r="P12" s="6">
        <v>0</v>
      </c>
      <c r="Q12" s="6">
        <v>0</v>
      </c>
      <c r="R12" s="6">
        <v>0</v>
      </c>
      <c r="S12" s="6">
        <v>0</v>
      </c>
      <c r="T12" s="6">
        <v>0</v>
      </c>
      <c r="U12" s="6">
        <v>0</v>
      </c>
      <c r="V12" s="6">
        <v>0</v>
      </c>
      <c r="W12" s="6">
        <v>0</v>
      </c>
      <c r="X12" s="6">
        <v>0</v>
      </c>
      <c r="Y12" s="6">
        <v>0</v>
      </c>
      <c r="Z12" s="6">
        <v>0</v>
      </c>
      <c r="AA12" s="6">
        <v>0</v>
      </c>
      <c r="AB12" s="6">
        <v>0</v>
      </c>
      <c r="AC12" s="6">
        <v>0</v>
      </c>
      <c r="AD12" s="6">
        <v>0</v>
      </c>
      <c r="AE12" s="6">
        <v>0</v>
      </c>
      <c r="AF12" s="6">
        <v>0</v>
      </c>
      <c r="AG12" s="6">
        <v>0</v>
      </c>
      <c r="AH12" s="6">
        <v>0</v>
      </c>
      <c r="AI12" s="6">
        <v>0</v>
      </c>
      <c r="AJ12" s="6">
        <v>0</v>
      </c>
      <c r="AK12" s="6">
        <v>0</v>
      </c>
      <c r="AL12" s="6">
        <v>0</v>
      </c>
      <c r="AM12" s="6">
        <v>0</v>
      </c>
      <c r="AN12" s="6">
        <v>0</v>
      </c>
      <c r="AO12" s="6">
        <v>0</v>
      </c>
      <c r="AP12" s="6">
        <v>0</v>
      </c>
      <c r="AQ12" s="6">
        <v>0</v>
      </c>
      <c r="AR12" s="6">
        <v>0</v>
      </c>
      <c r="AS12" s="6">
        <v>0</v>
      </c>
      <c r="AT12" s="6">
        <v>0</v>
      </c>
      <c r="AU12" s="8">
        <v>9000</v>
      </c>
      <c r="AV12" s="12">
        <v>9000</v>
      </c>
      <c r="AW12">
        <v>6300</v>
      </c>
    </row>
    <row r="13" spans="1:49" ht="19.2" x14ac:dyDescent="0.4">
      <c r="A13" s="1" t="s">
        <v>95</v>
      </c>
      <c r="B13" s="4" t="s">
        <v>60</v>
      </c>
      <c r="C13" s="4">
        <v>457239</v>
      </c>
      <c r="D13" s="5"/>
      <c r="E13" s="4" t="s">
        <v>26</v>
      </c>
      <c r="F13" s="4" t="s">
        <v>61</v>
      </c>
      <c r="G13" s="4" t="s">
        <v>96</v>
      </c>
      <c r="H13" s="6" t="s">
        <v>29</v>
      </c>
      <c r="I13" s="6" t="s">
        <v>62</v>
      </c>
      <c r="J13" s="6">
        <v>0</v>
      </c>
      <c r="K13" s="6">
        <v>0</v>
      </c>
      <c r="L13" s="6">
        <v>0</v>
      </c>
      <c r="M13" s="6">
        <v>0</v>
      </c>
      <c r="N13" s="6">
        <v>0</v>
      </c>
      <c r="O13" s="6">
        <v>0</v>
      </c>
      <c r="P13" s="6">
        <v>0</v>
      </c>
      <c r="Q13" s="6">
        <v>0</v>
      </c>
      <c r="R13" s="6">
        <v>0</v>
      </c>
      <c r="S13" s="6">
        <v>0</v>
      </c>
      <c r="T13" s="6">
        <v>0</v>
      </c>
      <c r="U13" s="6">
        <v>0</v>
      </c>
      <c r="V13" s="6">
        <v>0</v>
      </c>
      <c r="W13" s="6">
        <v>0</v>
      </c>
      <c r="X13" s="6">
        <v>0</v>
      </c>
      <c r="Y13" s="6">
        <v>0</v>
      </c>
      <c r="Z13" s="6">
        <v>0</v>
      </c>
      <c r="AA13" s="6">
        <v>0</v>
      </c>
      <c r="AB13" s="6">
        <v>0</v>
      </c>
      <c r="AC13" s="6">
        <v>0</v>
      </c>
      <c r="AD13" s="6">
        <v>0</v>
      </c>
      <c r="AE13" s="6">
        <v>0</v>
      </c>
      <c r="AF13" s="6">
        <v>0</v>
      </c>
      <c r="AG13" s="6">
        <v>0</v>
      </c>
      <c r="AH13" s="6">
        <v>0</v>
      </c>
      <c r="AI13" s="6">
        <v>0</v>
      </c>
      <c r="AJ13" s="6">
        <v>0</v>
      </c>
      <c r="AK13" s="6">
        <v>0</v>
      </c>
      <c r="AL13" s="6">
        <v>0</v>
      </c>
      <c r="AM13" s="6">
        <v>0</v>
      </c>
      <c r="AN13" s="6">
        <v>432</v>
      </c>
      <c r="AO13" s="6">
        <v>0</v>
      </c>
      <c r="AP13" s="6">
        <v>0</v>
      </c>
      <c r="AQ13" s="6">
        <v>0</v>
      </c>
      <c r="AR13" s="6">
        <v>0</v>
      </c>
      <c r="AS13" s="6">
        <v>0</v>
      </c>
      <c r="AT13" s="6">
        <v>0</v>
      </c>
      <c r="AU13" s="8">
        <v>2240</v>
      </c>
      <c r="AV13" s="12">
        <v>1808</v>
      </c>
      <c r="AW13">
        <v>1265.5999999999999</v>
      </c>
    </row>
  </sheetData>
  <phoneticPr fontId="20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AW30"/>
  <sheetViews>
    <sheetView workbookViewId="0"/>
  </sheetViews>
  <sheetFormatPr defaultRowHeight="17.399999999999999" x14ac:dyDescent="0.4"/>
  <cols>
    <col min="1" max="1" width="12.796875" bestFit="1" customWidth="1"/>
    <col min="3" max="3" width="6.5" bestFit="1" customWidth="1"/>
    <col min="4" max="4" width="7.19921875" bestFit="1" customWidth="1"/>
    <col min="5" max="5" width="8.3984375" bestFit="1" customWidth="1"/>
    <col min="6" max="6" width="6.796875" bestFit="1" customWidth="1"/>
    <col min="7" max="7" width="6" bestFit="1" customWidth="1"/>
    <col min="8" max="8" width="8.19921875" bestFit="1" customWidth="1"/>
    <col min="9" max="9" width="7.3984375" bestFit="1" customWidth="1"/>
    <col min="10" max="10" width="3.59765625" bestFit="1" customWidth="1"/>
    <col min="11" max="11" width="4.796875" bestFit="1" customWidth="1"/>
    <col min="12" max="12" width="7.19921875" bestFit="1" customWidth="1"/>
    <col min="13" max="14" width="6" bestFit="1" customWidth="1"/>
    <col min="15" max="16" width="6.296875" bestFit="1" customWidth="1"/>
    <col min="17" max="18" width="8.3984375" bestFit="1" customWidth="1"/>
    <col min="19" max="19" width="3.59765625" bestFit="1" customWidth="1"/>
    <col min="20" max="20" width="4.796875" bestFit="1" customWidth="1"/>
    <col min="21" max="21" width="7.19921875" bestFit="1" customWidth="1"/>
    <col min="22" max="23" width="6" bestFit="1" customWidth="1"/>
    <col min="24" max="25" width="6.296875" bestFit="1" customWidth="1"/>
    <col min="26" max="27" width="8.3984375" bestFit="1" customWidth="1"/>
    <col min="28" max="28" width="3.59765625" bestFit="1" customWidth="1"/>
    <col min="29" max="29" width="5" bestFit="1" customWidth="1"/>
    <col min="30" max="31" width="3.59765625" bestFit="1" customWidth="1"/>
    <col min="32" max="32" width="5" bestFit="1" customWidth="1"/>
    <col min="33" max="34" width="3.59765625" bestFit="1" customWidth="1"/>
    <col min="35" max="35" width="5" bestFit="1" customWidth="1"/>
    <col min="36" max="37" width="3.59765625" bestFit="1" customWidth="1"/>
    <col min="38" max="38" width="5" bestFit="1" customWidth="1"/>
    <col min="39" max="39" width="3.59765625" bestFit="1" customWidth="1"/>
    <col min="40" max="40" width="7.8984375" bestFit="1" customWidth="1"/>
    <col min="41" max="41" width="3.59765625" bestFit="1" customWidth="1"/>
    <col min="42" max="42" width="5" bestFit="1" customWidth="1"/>
    <col min="43" max="44" width="3.59765625" bestFit="1" customWidth="1"/>
    <col min="45" max="45" width="5" bestFit="1" customWidth="1"/>
    <col min="46" max="46" width="3.59765625" bestFit="1" customWidth="1"/>
    <col min="47" max="47" width="7.3984375" bestFit="1" customWidth="1"/>
    <col min="48" max="48" width="10.8984375" bestFit="1" customWidth="1"/>
    <col min="49" max="49" width="6.3984375" bestFit="1" customWidth="1"/>
  </cols>
  <sheetData>
    <row r="1" spans="1:49" ht="19.2" x14ac:dyDescent="0.4">
      <c r="A1" s="2" t="s">
        <v>10</v>
      </c>
      <c r="B1" s="2" t="s">
        <v>0</v>
      </c>
      <c r="C1" s="2" t="s">
        <v>1</v>
      </c>
      <c r="D1" s="3" t="s">
        <v>2</v>
      </c>
      <c r="E1" s="2" t="s">
        <v>3</v>
      </c>
      <c r="F1" s="2" t="s">
        <v>4</v>
      </c>
      <c r="G1" s="2" t="s">
        <v>5</v>
      </c>
      <c r="H1" s="3" t="s">
        <v>6</v>
      </c>
      <c r="I1" s="3" t="s">
        <v>7</v>
      </c>
      <c r="J1" s="10" t="s">
        <v>11</v>
      </c>
      <c r="K1" s="10" t="s">
        <v>12</v>
      </c>
      <c r="L1" s="10" t="s">
        <v>13</v>
      </c>
      <c r="M1" s="10" t="s">
        <v>14</v>
      </c>
      <c r="N1" s="10" t="s">
        <v>15</v>
      </c>
      <c r="O1" s="10" t="s">
        <v>16</v>
      </c>
      <c r="P1" s="10" t="s">
        <v>17</v>
      </c>
      <c r="Q1" s="10" t="s">
        <v>18</v>
      </c>
      <c r="R1" s="10" t="s">
        <v>19</v>
      </c>
      <c r="S1" s="10" t="s">
        <v>11</v>
      </c>
      <c r="T1" s="10" t="s">
        <v>12</v>
      </c>
      <c r="U1" s="10" t="s">
        <v>13</v>
      </c>
      <c r="V1" s="10" t="s">
        <v>14</v>
      </c>
      <c r="W1" s="10" t="s">
        <v>15</v>
      </c>
      <c r="X1" s="10" t="s">
        <v>16</v>
      </c>
      <c r="Y1" s="10" t="s">
        <v>17</v>
      </c>
      <c r="Z1" s="10" t="s">
        <v>18</v>
      </c>
      <c r="AA1" s="10" t="s">
        <v>19</v>
      </c>
      <c r="AB1" s="10" t="s">
        <v>11</v>
      </c>
      <c r="AC1" s="10" t="s">
        <v>20</v>
      </c>
      <c r="AD1" s="10" t="s">
        <v>21</v>
      </c>
      <c r="AE1" s="10" t="s">
        <v>11</v>
      </c>
      <c r="AF1" s="10" t="s">
        <v>20</v>
      </c>
      <c r="AG1" s="10" t="s">
        <v>21</v>
      </c>
      <c r="AH1" s="10" t="s">
        <v>11</v>
      </c>
      <c r="AI1" s="10" t="s">
        <v>20</v>
      </c>
      <c r="AJ1" s="10" t="s">
        <v>21</v>
      </c>
      <c r="AK1" s="10" t="s">
        <v>11</v>
      </c>
      <c r="AL1" s="10" t="s">
        <v>20</v>
      </c>
      <c r="AM1" s="10" t="s">
        <v>21</v>
      </c>
      <c r="AN1" s="11" t="s">
        <v>22</v>
      </c>
      <c r="AO1" s="10" t="s">
        <v>11</v>
      </c>
      <c r="AP1" s="10" t="s">
        <v>20</v>
      </c>
      <c r="AQ1" s="10" t="s">
        <v>21</v>
      </c>
      <c r="AR1" s="10" t="s">
        <v>11</v>
      </c>
      <c r="AS1" s="10" t="s">
        <v>20</v>
      </c>
      <c r="AT1" s="10" t="s">
        <v>21</v>
      </c>
      <c r="AU1" s="11" t="s">
        <v>23</v>
      </c>
      <c r="AV1" s="10" t="s">
        <v>24</v>
      </c>
      <c r="AW1" s="11" t="s">
        <v>25</v>
      </c>
    </row>
    <row r="2" spans="1:49" ht="19.2" x14ac:dyDescent="0.4">
      <c r="A2" s="1" t="s">
        <v>80</v>
      </c>
      <c r="B2" s="4" t="s">
        <v>47</v>
      </c>
      <c r="C2" s="4">
        <v>453445</v>
      </c>
      <c r="D2" s="5"/>
      <c r="E2" s="4" t="s">
        <v>26</v>
      </c>
      <c r="F2" s="4" t="s">
        <v>46</v>
      </c>
      <c r="G2" s="4" t="s">
        <v>39</v>
      </c>
      <c r="H2" s="6" t="s">
        <v>9</v>
      </c>
      <c r="I2" s="6" t="s">
        <v>48</v>
      </c>
      <c r="J2" s="6">
        <v>0</v>
      </c>
      <c r="K2" s="6">
        <v>0</v>
      </c>
      <c r="L2" s="6">
        <v>0</v>
      </c>
      <c r="M2" s="6">
        <v>0</v>
      </c>
      <c r="N2" s="6">
        <v>0</v>
      </c>
      <c r="O2" s="6">
        <v>0</v>
      </c>
      <c r="P2" s="6">
        <v>0</v>
      </c>
      <c r="Q2" s="6">
        <v>0</v>
      </c>
      <c r="R2" s="6">
        <v>0</v>
      </c>
      <c r="S2" s="6">
        <v>0</v>
      </c>
      <c r="T2" s="6">
        <v>0</v>
      </c>
      <c r="U2" s="6">
        <v>0</v>
      </c>
      <c r="V2" s="6">
        <v>0</v>
      </c>
      <c r="W2" s="6">
        <v>0</v>
      </c>
      <c r="X2" s="6">
        <v>0</v>
      </c>
      <c r="Y2" s="6">
        <v>0</v>
      </c>
      <c r="Z2" s="6">
        <v>0</v>
      </c>
      <c r="AA2" s="6">
        <v>0</v>
      </c>
      <c r="AB2" s="6">
        <v>0</v>
      </c>
      <c r="AC2" s="7">
        <v>6300</v>
      </c>
      <c r="AD2" s="6">
        <v>0</v>
      </c>
      <c r="AE2" s="6">
        <v>0</v>
      </c>
      <c r="AF2" s="7">
        <v>6300</v>
      </c>
      <c r="AG2" s="6">
        <v>0</v>
      </c>
      <c r="AH2" s="6">
        <v>0</v>
      </c>
      <c r="AI2" s="7">
        <v>6300</v>
      </c>
      <c r="AJ2" s="6">
        <v>0</v>
      </c>
      <c r="AK2" s="6">
        <v>0</v>
      </c>
      <c r="AL2" s="7">
        <v>6300</v>
      </c>
      <c r="AM2" s="6">
        <v>0</v>
      </c>
      <c r="AN2" s="6">
        <v>0</v>
      </c>
      <c r="AO2" s="6">
        <v>0</v>
      </c>
      <c r="AP2" s="7">
        <v>6300</v>
      </c>
      <c r="AQ2" s="6">
        <v>0</v>
      </c>
      <c r="AR2" s="6">
        <v>0</v>
      </c>
      <c r="AS2" s="7">
        <v>6300</v>
      </c>
      <c r="AT2" s="6">
        <v>0</v>
      </c>
      <c r="AU2" s="8">
        <v>6300</v>
      </c>
      <c r="AV2" s="12">
        <v>6300</v>
      </c>
      <c r="AW2">
        <v>4410</v>
      </c>
    </row>
    <row r="3" spans="1:49" ht="19.2" x14ac:dyDescent="0.4">
      <c r="A3" s="1" t="s">
        <v>80</v>
      </c>
      <c r="B3" s="4" t="s">
        <v>112</v>
      </c>
      <c r="C3" s="4">
        <v>451051</v>
      </c>
      <c r="D3" s="5"/>
      <c r="E3" s="4" t="s">
        <v>26</v>
      </c>
      <c r="F3" s="4" t="s">
        <v>46</v>
      </c>
      <c r="G3" s="4" t="s">
        <v>39</v>
      </c>
      <c r="H3" s="6" t="s">
        <v>104</v>
      </c>
      <c r="I3" s="6" t="s">
        <v>113</v>
      </c>
      <c r="J3" s="6">
        <v>0</v>
      </c>
      <c r="K3" s="6">
        <v>0</v>
      </c>
      <c r="L3" s="6">
        <v>0</v>
      </c>
      <c r="M3" s="6">
        <v>0</v>
      </c>
      <c r="N3" s="6">
        <v>0</v>
      </c>
      <c r="O3" s="6">
        <v>0</v>
      </c>
      <c r="P3" s="6">
        <v>0</v>
      </c>
      <c r="Q3" s="6">
        <v>0</v>
      </c>
      <c r="R3" s="6">
        <v>0</v>
      </c>
      <c r="S3" s="6">
        <v>0</v>
      </c>
      <c r="T3" s="6">
        <v>0</v>
      </c>
      <c r="U3" s="6">
        <v>0</v>
      </c>
      <c r="V3" s="6">
        <v>0</v>
      </c>
      <c r="W3" s="6">
        <v>0</v>
      </c>
      <c r="X3" s="6">
        <v>0</v>
      </c>
      <c r="Y3" s="6">
        <v>0</v>
      </c>
      <c r="Z3" s="6">
        <v>0</v>
      </c>
      <c r="AA3" s="6">
        <v>0</v>
      </c>
      <c r="AB3" s="6">
        <v>0</v>
      </c>
      <c r="AC3" s="6">
        <v>0</v>
      </c>
      <c r="AD3" s="6">
        <v>0</v>
      </c>
      <c r="AE3" s="6">
        <v>0</v>
      </c>
      <c r="AF3" s="6">
        <v>0</v>
      </c>
      <c r="AG3" s="6">
        <v>0</v>
      </c>
      <c r="AH3" s="6">
        <v>0</v>
      </c>
      <c r="AI3" s="6">
        <v>0</v>
      </c>
      <c r="AJ3" s="6">
        <v>0</v>
      </c>
      <c r="AK3" s="6">
        <v>0</v>
      </c>
      <c r="AL3" s="6">
        <v>0</v>
      </c>
      <c r="AM3" s="6">
        <v>0</v>
      </c>
      <c r="AN3" s="6">
        <v>0</v>
      </c>
      <c r="AO3" s="6">
        <v>0</v>
      </c>
      <c r="AP3" s="6">
        <v>0</v>
      </c>
      <c r="AQ3" s="6">
        <v>0</v>
      </c>
      <c r="AR3" s="6">
        <v>0</v>
      </c>
      <c r="AS3" s="6">
        <v>0</v>
      </c>
      <c r="AT3" s="6">
        <v>0</v>
      </c>
      <c r="AU3" s="8">
        <v>2600</v>
      </c>
      <c r="AV3" s="12">
        <v>2600</v>
      </c>
      <c r="AW3">
        <v>1819.9999999999998</v>
      </c>
    </row>
    <row r="4" spans="1:49" ht="28.8" x14ac:dyDescent="0.4">
      <c r="A4" s="1" t="s">
        <v>80</v>
      </c>
      <c r="B4" s="4" t="s">
        <v>117</v>
      </c>
      <c r="C4" s="4">
        <v>461450</v>
      </c>
      <c r="D4" s="5"/>
      <c r="E4" s="4" t="s">
        <v>26</v>
      </c>
      <c r="F4" s="4" t="s">
        <v>46</v>
      </c>
      <c r="G4" s="4" t="s">
        <v>39</v>
      </c>
      <c r="H4" s="6" t="s">
        <v>104</v>
      </c>
      <c r="I4" s="6" t="s">
        <v>118</v>
      </c>
      <c r="J4" s="6">
        <v>0</v>
      </c>
      <c r="K4" s="6">
        <v>0</v>
      </c>
      <c r="L4" s="6">
        <v>0</v>
      </c>
      <c r="M4" s="6">
        <v>0</v>
      </c>
      <c r="N4" s="6">
        <v>0</v>
      </c>
      <c r="O4" s="6">
        <v>0</v>
      </c>
      <c r="P4" s="6">
        <v>0</v>
      </c>
      <c r="Q4" s="6">
        <v>0</v>
      </c>
      <c r="R4" s="6">
        <v>0</v>
      </c>
      <c r="S4" s="6">
        <v>0</v>
      </c>
      <c r="T4" s="6">
        <v>0</v>
      </c>
      <c r="U4" s="6">
        <v>0</v>
      </c>
      <c r="V4" s="6">
        <v>0</v>
      </c>
      <c r="W4" s="6">
        <v>0</v>
      </c>
      <c r="X4" s="6">
        <v>0</v>
      </c>
      <c r="Y4" s="6">
        <v>0</v>
      </c>
      <c r="Z4" s="6">
        <v>0</v>
      </c>
      <c r="AA4" s="6">
        <v>0</v>
      </c>
      <c r="AB4" s="6">
        <v>0</v>
      </c>
      <c r="AC4" s="7">
        <v>1800</v>
      </c>
      <c r="AD4" s="6">
        <v>0</v>
      </c>
      <c r="AE4" s="6">
        <v>0</v>
      </c>
      <c r="AF4" s="7">
        <v>1800</v>
      </c>
      <c r="AG4" s="6">
        <v>0</v>
      </c>
      <c r="AH4" s="6">
        <v>0</v>
      </c>
      <c r="AI4" s="7">
        <v>1800</v>
      </c>
      <c r="AJ4" s="6">
        <v>0</v>
      </c>
      <c r="AK4" s="6">
        <v>0</v>
      </c>
      <c r="AL4" s="7">
        <v>1800</v>
      </c>
      <c r="AM4" s="6">
        <v>0</v>
      </c>
      <c r="AN4" s="6">
        <v>0</v>
      </c>
      <c r="AO4" s="6">
        <v>0</v>
      </c>
      <c r="AP4" s="7">
        <v>1800</v>
      </c>
      <c r="AQ4" s="6">
        <v>0</v>
      </c>
      <c r="AR4" s="6">
        <v>0</v>
      </c>
      <c r="AS4" s="7">
        <v>1800</v>
      </c>
      <c r="AT4" s="6">
        <v>0</v>
      </c>
      <c r="AU4" s="8">
        <v>1800</v>
      </c>
      <c r="AV4" s="12">
        <v>1800</v>
      </c>
      <c r="AW4">
        <v>1260</v>
      </c>
    </row>
    <row r="5" spans="1:49" ht="19.2" x14ac:dyDescent="0.4">
      <c r="A5" s="1" t="s">
        <v>80</v>
      </c>
      <c r="B5" s="4" t="s">
        <v>37</v>
      </c>
      <c r="C5" s="4">
        <v>380954</v>
      </c>
      <c r="D5" s="5"/>
      <c r="E5" s="4" t="s">
        <v>26</v>
      </c>
      <c r="F5" s="4" t="s">
        <v>35</v>
      </c>
      <c r="G5" s="4" t="s">
        <v>39</v>
      </c>
      <c r="H5" s="6" t="s">
        <v>8</v>
      </c>
      <c r="I5" s="6" t="s">
        <v>36</v>
      </c>
      <c r="J5" s="6">
        <v>0</v>
      </c>
      <c r="K5" s="6">
        <v>0</v>
      </c>
      <c r="L5" s="6">
        <v>0</v>
      </c>
      <c r="M5" s="6">
        <v>0</v>
      </c>
      <c r="N5" s="6">
        <v>0</v>
      </c>
      <c r="O5" s="6">
        <v>0</v>
      </c>
      <c r="P5" s="6">
        <v>0</v>
      </c>
      <c r="Q5" s="6">
        <v>0</v>
      </c>
      <c r="R5" s="6">
        <v>0</v>
      </c>
      <c r="S5" s="6">
        <v>0</v>
      </c>
      <c r="T5" s="6">
        <v>0</v>
      </c>
      <c r="U5" s="6">
        <v>0</v>
      </c>
      <c r="V5" s="6">
        <v>0</v>
      </c>
      <c r="W5" s="6">
        <v>0</v>
      </c>
      <c r="X5" s="6">
        <v>0</v>
      </c>
      <c r="Y5" s="6">
        <v>0</v>
      </c>
      <c r="Z5" s="6">
        <v>0</v>
      </c>
      <c r="AA5" s="6">
        <v>0</v>
      </c>
      <c r="AB5" s="6">
        <v>0</v>
      </c>
      <c r="AC5" s="7">
        <v>1800</v>
      </c>
      <c r="AD5" s="6">
        <v>0</v>
      </c>
      <c r="AE5" s="6">
        <v>0</v>
      </c>
      <c r="AF5" s="7">
        <v>1800</v>
      </c>
      <c r="AG5" s="6">
        <v>0</v>
      </c>
      <c r="AH5" s="6">
        <v>0</v>
      </c>
      <c r="AI5" s="7">
        <v>1800</v>
      </c>
      <c r="AJ5" s="6">
        <v>0</v>
      </c>
      <c r="AK5" s="6">
        <v>0</v>
      </c>
      <c r="AL5" s="7">
        <v>1800</v>
      </c>
      <c r="AM5" s="6">
        <v>0</v>
      </c>
      <c r="AN5" s="6">
        <v>0</v>
      </c>
      <c r="AO5" s="6">
        <v>0</v>
      </c>
      <c r="AP5" s="7">
        <v>1800</v>
      </c>
      <c r="AQ5" s="6">
        <v>0</v>
      </c>
      <c r="AR5" s="6">
        <v>0</v>
      </c>
      <c r="AS5" s="7">
        <v>1800</v>
      </c>
      <c r="AT5" s="6">
        <v>0</v>
      </c>
      <c r="AU5" s="8">
        <v>1800</v>
      </c>
      <c r="AV5" s="12">
        <v>1800</v>
      </c>
      <c r="AW5">
        <v>1260</v>
      </c>
    </row>
    <row r="6" spans="1:49" ht="19.2" x14ac:dyDescent="0.4">
      <c r="A6" s="1" t="s">
        <v>80</v>
      </c>
      <c r="B6" s="4" t="s">
        <v>63</v>
      </c>
      <c r="C6" s="4">
        <v>455900</v>
      </c>
      <c r="D6" s="5"/>
      <c r="E6" s="4" t="s">
        <v>26</v>
      </c>
      <c r="F6" s="4" t="s">
        <v>46</v>
      </c>
      <c r="G6" s="4" t="s">
        <v>39</v>
      </c>
      <c r="H6" s="6" t="s">
        <v>8</v>
      </c>
      <c r="I6" s="6" t="s">
        <v>64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  <c r="Z6" s="6">
        <v>0</v>
      </c>
      <c r="AA6" s="6">
        <v>0</v>
      </c>
      <c r="AB6" s="6">
        <v>0</v>
      </c>
      <c r="AC6" s="6">
        <v>900</v>
      </c>
      <c r="AD6" s="6">
        <v>0</v>
      </c>
      <c r="AE6" s="6">
        <v>0</v>
      </c>
      <c r="AF6" s="6">
        <v>900</v>
      </c>
      <c r="AG6" s="6">
        <v>0</v>
      </c>
      <c r="AH6" s="6">
        <v>0</v>
      </c>
      <c r="AI6" s="6">
        <v>900</v>
      </c>
      <c r="AJ6" s="6">
        <v>0</v>
      </c>
      <c r="AK6" s="6">
        <v>0</v>
      </c>
      <c r="AL6" s="6">
        <v>900</v>
      </c>
      <c r="AM6" s="6">
        <v>0</v>
      </c>
      <c r="AN6" s="6">
        <v>0</v>
      </c>
      <c r="AO6" s="6">
        <v>0</v>
      </c>
      <c r="AP6" s="6">
        <v>900</v>
      </c>
      <c r="AQ6" s="6">
        <v>0</v>
      </c>
      <c r="AR6" s="6">
        <v>0</v>
      </c>
      <c r="AS6" s="6">
        <v>900</v>
      </c>
      <c r="AT6" s="6">
        <v>0</v>
      </c>
      <c r="AU6" s="9">
        <v>900</v>
      </c>
      <c r="AV6" s="12">
        <v>900</v>
      </c>
      <c r="AW6">
        <v>630</v>
      </c>
    </row>
    <row r="7" spans="1:49" ht="19.2" x14ac:dyDescent="0.4">
      <c r="A7" s="1" t="s">
        <v>80</v>
      </c>
      <c r="B7" s="4" t="s">
        <v>119</v>
      </c>
      <c r="C7" s="4">
        <v>382098</v>
      </c>
      <c r="D7" s="5"/>
      <c r="E7" s="4" t="s">
        <v>26</v>
      </c>
      <c r="F7" s="4" t="s">
        <v>46</v>
      </c>
      <c r="G7" s="4" t="s">
        <v>39</v>
      </c>
      <c r="H7" s="6" t="s">
        <v>8</v>
      </c>
      <c r="I7" s="6" t="s">
        <v>120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  <c r="Z7" s="6">
        <v>0</v>
      </c>
      <c r="AA7" s="6">
        <v>0</v>
      </c>
      <c r="AB7" s="6">
        <v>0</v>
      </c>
      <c r="AC7" s="6">
        <v>0</v>
      </c>
      <c r="AD7" s="6">
        <v>0</v>
      </c>
      <c r="AE7" s="6">
        <v>0</v>
      </c>
      <c r="AF7" s="6">
        <v>0</v>
      </c>
      <c r="AG7" s="6">
        <v>0</v>
      </c>
      <c r="AH7" s="6">
        <v>0</v>
      </c>
      <c r="AI7" s="6">
        <v>0</v>
      </c>
      <c r="AJ7" s="6">
        <v>0</v>
      </c>
      <c r="AK7" s="6">
        <v>0</v>
      </c>
      <c r="AL7" s="6">
        <v>0</v>
      </c>
      <c r="AM7" s="6">
        <v>0</v>
      </c>
      <c r="AN7" s="6">
        <v>0</v>
      </c>
      <c r="AO7" s="6">
        <v>0</v>
      </c>
      <c r="AP7" s="6">
        <v>0</v>
      </c>
      <c r="AQ7" s="6">
        <v>0</v>
      </c>
      <c r="AR7" s="6">
        <v>0</v>
      </c>
      <c r="AS7" s="6">
        <v>0</v>
      </c>
      <c r="AT7" s="6">
        <v>0</v>
      </c>
      <c r="AU7" s="9">
        <v>900</v>
      </c>
      <c r="AV7" s="12">
        <v>900</v>
      </c>
      <c r="AW7">
        <v>630</v>
      </c>
    </row>
    <row r="8" spans="1:49" ht="19.2" x14ac:dyDescent="0.4">
      <c r="A8" s="1" t="s">
        <v>80</v>
      </c>
      <c r="B8" s="4" t="s">
        <v>50</v>
      </c>
      <c r="C8" s="4">
        <v>454228</v>
      </c>
      <c r="D8" s="5"/>
      <c r="E8" s="4" t="s">
        <v>26</v>
      </c>
      <c r="F8" s="4" t="s">
        <v>46</v>
      </c>
      <c r="G8" s="4" t="s">
        <v>39</v>
      </c>
      <c r="H8" s="6" t="s">
        <v>8</v>
      </c>
      <c r="I8" s="6" t="s">
        <v>51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  <c r="Z8" s="6">
        <v>0</v>
      </c>
      <c r="AA8" s="6">
        <v>0</v>
      </c>
      <c r="AB8" s="6">
        <v>0</v>
      </c>
      <c r="AC8" s="6">
        <v>900</v>
      </c>
      <c r="AD8" s="6">
        <v>0</v>
      </c>
      <c r="AE8" s="6">
        <v>0</v>
      </c>
      <c r="AF8" s="6">
        <v>900</v>
      </c>
      <c r="AG8" s="6">
        <v>0</v>
      </c>
      <c r="AH8" s="6">
        <v>0</v>
      </c>
      <c r="AI8" s="6">
        <v>900</v>
      </c>
      <c r="AJ8" s="6">
        <v>0</v>
      </c>
      <c r="AK8" s="6">
        <v>0</v>
      </c>
      <c r="AL8" s="6">
        <v>900</v>
      </c>
      <c r="AM8" s="6">
        <v>0</v>
      </c>
      <c r="AN8" s="6">
        <v>0</v>
      </c>
      <c r="AO8" s="6">
        <v>0</v>
      </c>
      <c r="AP8" s="6">
        <v>900</v>
      </c>
      <c r="AQ8" s="6">
        <v>0</v>
      </c>
      <c r="AR8" s="6">
        <v>0</v>
      </c>
      <c r="AS8" s="6">
        <v>900</v>
      </c>
      <c r="AT8" s="6">
        <v>0</v>
      </c>
      <c r="AU8" s="9">
        <v>900</v>
      </c>
      <c r="AV8" s="12">
        <v>900</v>
      </c>
      <c r="AW8">
        <v>630</v>
      </c>
    </row>
    <row r="9" spans="1:49" x14ac:dyDescent="0.4">
      <c r="A9" s="1" t="s">
        <v>80</v>
      </c>
      <c r="B9" s="4" t="s">
        <v>66</v>
      </c>
      <c r="C9" s="4">
        <v>455896</v>
      </c>
      <c r="D9" s="5"/>
      <c r="E9" s="4" t="s">
        <v>26</v>
      </c>
      <c r="F9" s="4" t="s">
        <v>46</v>
      </c>
      <c r="G9" s="4" t="s">
        <v>39</v>
      </c>
      <c r="H9" s="6" t="s">
        <v>8</v>
      </c>
      <c r="I9" s="6" t="s">
        <v>64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  <c r="Z9" s="6">
        <v>0</v>
      </c>
      <c r="AA9" s="6">
        <v>0</v>
      </c>
      <c r="AB9" s="6">
        <v>0</v>
      </c>
      <c r="AC9" s="6">
        <v>0</v>
      </c>
      <c r="AD9" s="6">
        <v>0</v>
      </c>
      <c r="AE9" s="6">
        <v>0</v>
      </c>
      <c r="AF9" s="6">
        <v>0</v>
      </c>
      <c r="AG9" s="6">
        <v>0</v>
      </c>
      <c r="AH9" s="6">
        <v>0</v>
      </c>
      <c r="AI9" s="6">
        <v>0</v>
      </c>
      <c r="AJ9" s="6">
        <v>0</v>
      </c>
      <c r="AK9" s="6">
        <v>0</v>
      </c>
      <c r="AL9" s="6">
        <v>0</v>
      </c>
      <c r="AM9" s="6">
        <v>0</v>
      </c>
      <c r="AN9" s="6">
        <v>0</v>
      </c>
      <c r="AO9" s="6">
        <v>0</v>
      </c>
      <c r="AP9" s="6">
        <v>0</v>
      </c>
      <c r="AQ9" s="6">
        <v>0</v>
      </c>
      <c r="AR9" s="6">
        <v>0</v>
      </c>
      <c r="AS9" s="6">
        <v>0</v>
      </c>
      <c r="AT9" s="6">
        <v>0</v>
      </c>
      <c r="AU9" s="9">
        <v>600</v>
      </c>
      <c r="AV9" s="12">
        <v>600</v>
      </c>
      <c r="AW9">
        <v>420</v>
      </c>
    </row>
    <row r="10" spans="1:49" x14ac:dyDescent="0.4">
      <c r="A10" s="1" t="s">
        <v>80</v>
      </c>
      <c r="B10" s="4" t="s">
        <v>52</v>
      </c>
      <c r="C10" s="4">
        <v>451947</v>
      </c>
      <c r="D10" s="5"/>
      <c r="E10" s="4" t="s">
        <v>26</v>
      </c>
      <c r="F10" s="4" t="s">
        <v>46</v>
      </c>
      <c r="G10" s="4" t="s">
        <v>39</v>
      </c>
      <c r="H10" s="6" t="s">
        <v>8</v>
      </c>
      <c r="I10" s="6" t="s">
        <v>48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  <c r="Z10" s="6">
        <v>0</v>
      </c>
      <c r="AA10" s="6">
        <v>0</v>
      </c>
      <c r="AB10" s="6">
        <v>0</v>
      </c>
      <c r="AC10" s="6">
        <v>0</v>
      </c>
      <c r="AD10" s="6">
        <v>0</v>
      </c>
      <c r="AE10" s="6">
        <v>0</v>
      </c>
      <c r="AF10" s="6">
        <v>0</v>
      </c>
      <c r="AG10" s="6">
        <v>0</v>
      </c>
      <c r="AH10" s="6">
        <v>0</v>
      </c>
      <c r="AI10" s="6">
        <v>0</v>
      </c>
      <c r="AJ10" s="6">
        <v>0</v>
      </c>
      <c r="AK10" s="6">
        <v>0</v>
      </c>
      <c r="AL10" s="6">
        <v>0</v>
      </c>
      <c r="AM10" s="6">
        <v>0</v>
      </c>
      <c r="AN10" s="6">
        <v>0</v>
      </c>
      <c r="AO10" s="6">
        <v>0</v>
      </c>
      <c r="AP10" s="6">
        <v>0</v>
      </c>
      <c r="AQ10" s="6">
        <v>0</v>
      </c>
      <c r="AR10" s="6">
        <v>0</v>
      </c>
      <c r="AS10" s="6">
        <v>0</v>
      </c>
      <c r="AT10" s="6">
        <v>0</v>
      </c>
      <c r="AU10" s="9">
        <v>400</v>
      </c>
      <c r="AV10" s="12">
        <v>400</v>
      </c>
      <c r="AW10">
        <v>280</v>
      </c>
    </row>
    <row r="11" spans="1:49" ht="28.8" x14ac:dyDescent="0.4">
      <c r="A11" s="1" t="s">
        <v>80</v>
      </c>
      <c r="B11" s="4" t="s">
        <v>85</v>
      </c>
      <c r="C11" s="4">
        <v>445598</v>
      </c>
      <c r="D11" s="5"/>
      <c r="E11" s="4" t="s">
        <v>26</v>
      </c>
      <c r="F11" s="4" t="s">
        <v>46</v>
      </c>
      <c r="G11" s="4" t="s">
        <v>39</v>
      </c>
      <c r="H11" s="6" t="s">
        <v>8</v>
      </c>
      <c r="I11" s="6" t="s">
        <v>42</v>
      </c>
      <c r="J11" s="6">
        <v>0</v>
      </c>
      <c r="K11" s="6">
        <v>0</v>
      </c>
      <c r="L11" s="6">
        <v>0</v>
      </c>
      <c r="M11" s="6">
        <v>0</v>
      </c>
      <c r="N11" s="6">
        <v>0</v>
      </c>
      <c r="O11" s="6">
        <v>0</v>
      </c>
      <c r="P11" s="6">
        <v>0</v>
      </c>
      <c r="Q11" s="6">
        <v>0</v>
      </c>
      <c r="R11" s="6">
        <v>0</v>
      </c>
      <c r="S11" s="6">
        <v>0</v>
      </c>
      <c r="T11" s="6">
        <v>0</v>
      </c>
      <c r="U11" s="6">
        <v>0</v>
      </c>
      <c r="V11" s="6">
        <v>0</v>
      </c>
      <c r="W11" s="6">
        <v>0</v>
      </c>
      <c r="X11" s="6">
        <v>0</v>
      </c>
      <c r="Y11" s="6">
        <v>0</v>
      </c>
      <c r="Z11" s="6">
        <v>0</v>
      </c>
      <c r="AA11" s="6">
        <v>0</v>
      </c>
      <c r="AB11" s="6">
        <v>0</v>
      </c>
      <c r="AC11" s="6">
        <v>0</v>
      </c>
      <c r="AD11" s="6">
        <v>0</v>
      </c>
      <c r="AE11" s="6">
        <v>0</v>
      </c>
      <c r="AF11" s="6">
        <v>0</v>
      </c>
      <c r="AG11" s="6">
        <v>0</v>
      </c>
      <c r="AH11" s="6">
        <v>0</v>
      </c>
      <c r="AI11" s="6">
        <v>0</v>
      </c>
      <c r="AJ11" s="6">
        <v>0</v>
      </c>
      <c r="AK11" s="6">
        <v>0</v>
      </c>
      <c r="AL11" s="6">
        <v>0</v>
      </c>
      <c r="AM11" s="6">
        <v>0</v>
      </c>
      <c r="AN11" s="6">
        <v>0</v>
      </c>
      <c r="AO11" s="6">
        <v>0</v>
      </c>
      <c r="AP11" s="6">
        <v>0</v>
      </c>
      <c r="AQ11" s="6">
        <v>0</v>
      </c>
      <c r="AR11" s="6">
        <v>0</v>
      </c>
      <c r="AS11" s="6">
        <v>0</v>
      </c>
      <c r="AT11" s="6">
        <v>0</v>
      </c>
      <c r="AU11" s="9">
        <v>200</v>
      </c>
      <c r="AV11" s="12">
        <v>200</v>
      </c>
      <c r="AW11">
        <v>140</v>
      </c>
    </row>
    <row r="12" spans="1:49" ht="19.2" x14ac:dyDescent="0.4">
      <c r="A12" s="1" t="s">
        <v>80</v>
      </c>
      <c r="B12" s="4" t="s">
        <v>78</v>
      </c>
      <c r="C12" s="4">
        <v>369060</v>
      </c>
      <c r="D12" s="5"/>
      <c r="E12" s="4" t="s">
        <v>26</v>
      </c>
      <c r="F12" s="4" t="s">
        <v>35</v>
      </c>
      <c r="G12" s="4" t="s">
        <v>39</v>
      </c>
      <c r="H12" s="6" t="s">
        <v>8</v>
      </c>
      <c r="I12" s="6" t="s">
        <v>79</v>
      </c>
      <c r="J12" s="6">
        <v>0</v>
      </c>
      <c r="K12" s="6">
        <v>0</v>
      </c>
      <c r="L12" s="6">
        <v>0</v>
      </c>
      <c r="M12" s="6">
        <v>0</v>
      </c>
      <c r="N12" s="6">
        <v>0</v>
      </c>
      <c r="O12" s="6">
        <v>0</v>
      </c>
      <c r="P12" s="6">
        <v>0</v>
      </c>
      <c r="Q12" s="6">
        <v>0</v>
      </c>
      <c r="R12" s="6">
        <v>0</v>
      </c>
      <c r="S12" s="6">
        <v>0</v>
      </c>
      <c r="T12" s="6">
        <v>0</v>
      </c>
      <c r="U12" s="6">
        <v>0</v>
      </c>
      <c r="V12" s="6">
        <v>0</v>
      </c>
      <c r="W12" s="6">
        <v>0</v>
      </c>
      <c r="X12" s="6">
        <v>0</v>
      </c>
      <c r="Y12" s="6">
        <v>0</v>
      </c>
      <c r="Z12" s="6">
        <v>0</v>
      </c>
      <c r="AA12" s="6">
        <v>0</v>
      </c>
      <c r="AB12" s="6">
        <v>0</v>
      </c>
      <c r="AC12" s="6">
        <v>0</v>
      </c>
      <c r="AD12" s="6">
        <v>0</v>
      </c>
      <c r="AE12" s="6">
        <v>0</v>
      </c>
      <c r="AF12" s="6">
        <v>0</v>
      </c>
      <c r="AG12" s="6">
        <v>0</v>
      </c>
      <c r="AH12" s="6">
        <v>0</v>
      </c>
      <c r="AI12" s="6">
        <v>0</v>
      </c>
      <c r="AJ12" s="6">
        <v>0</v>
      </c>
      <c r="AK12" s="6">
        <v>0</v>
      </c>
      <c r="AL12" s="6">
        <v>0</v>
      </c>
      <c r="AM12" s="6">
        <v>0</v>
      </c>
      <c r="AN12" s="6">
        <v>0</v>
      </c>
      <c r="AO12" s="6">
        <v>0</v>
      </c>
      <c r="AP12" s="6">
        <v>0</v>
      </c>
      <c r="AQ12" s="6">
        <v>0</v>
      </c>
      <c r="AR12" s="6">
        <v>0</v>
      </c>
      <c r="AS12" s="6">
        <v>0</v>
      </c>
      <c r="AT12" s="6">
        <v>0</v>
      </c>
      <c r="AU12" s="9">
        <v>100</v>
      </c>
      <c r="AV12" s="12">
        <v>100</v>
      </c>
      <c r="AW12">
        <v>70</v>
      </c>
    </row>
    <row r="13" spans="1:49" ht="19.2" x14ac:dyDescent="0.4">
      <c r="A13" s="1" t="s">
        <v>80</v>
      </c>
      <c r="B13" s="4" t="s">
        <v>123</v>
      </c>
      <c r="C13" s="4">
        <v>397687</v>
      </c>
      <c r="D13" s="5"/>
      <c r="E13" s="4" t="s">
        <v>26</v>
      </c>
      <c r="F13" s="4" t="s">
        <v>27</v>
      </c>
      <c r="G13" s="4" t="s">
        <v>39</v>
      </c>
      <c r="H13" s="6" t="s">
        <v>8</v>
      </c>
      <c r="I13" s="6" t="s">
        <v>124</v>
      </c>
      <c r="J13" s="6">
        <v>0</v>
      </c>
      <c r="K13" s="6">
        <v>0</v>
      </c>
      <c r="L13" s="6">
        <v>0</v>
      </c>
      <c r="M13" s="6">
        <v>0</v>
      </c>
      <c r="N13" s="6">
        <v>0</v>
      </c>
      <c r="O13" s="6">
        <v>0</v>
      </c>
      <c r="P13" s="6">
        <v>0</v>
      </c>
      <c r="Q13" s="6">
        <v>0</v>
      </c>
      <c r="R13" s="6">
        <v>0</v>
      </c>
      <c r="S13" s="6">
        <v>0</v>
      </c>
      <c r="T13" s="6">
        <v>0</v>
      </c>
      <c r="U13" s="6">
        <v>0</v>
      </c>
      <c r="V13" s="6">
        <v>0</v>
      </c>
      <c r="W13" s="6">
        <v>0</v>
      </c>
      <c r="X13" s="6">
        <v>0</v>
      </c>
      <c r="Y13" s="6">
        <v>0</v>
      </c>
      <c r="Z13" s="6">
        <v>0</v>
      </c>
      <c r="AA13" s="6">
        <v>0</v>
      </c>
      <c r="AB13" s="6">
        <v>0</v>
      </c>
      <c r="AC13" s="6">
        <v>0</v>
      </c>
      <c r="AD13" s="6">
        <v>0</v>
      </c>
      <c r="AE13" s="6">
        <v>0</v>
      </c>
      <c r="AF13" s="6">
        <v>0</v>
      </c>
      <c r="AG13" s="6">
        <v>0</v>
      </c>
      <c r="AH13" s="6">
        <v>0</v>
      </c>
      <c r="AI13" s="6">
        <v>0</v>
      </c>
      <c r="AJ13" s="6">
        <v>0</v>
      </c>
      <c r="AK13" s="6">
        <v>0</v>
      </c>
      <c r="AL13" s="6">
        <v>0</v>
      </c>
      <c r="AM13" s="6">
        <v>0</v>
      </c>
      <c r="AN13" s="6">
        <v>0</v>
      </c>
      <c r="AO13" s="6">
        <v>0</v>
      </c>
      <c r="AP13" s="6">
        <v>0</v>
      </c>
      <c r="AQ13" s="6">
        <v>0</v>
      </c>
      <c r="AR13" s="6">
        <v>0</v>
      </c>
      <c r="AS13" s="6">
        <v>0</v>
      </c>
      <c r="AT13" s="6">
        <v>0</v>
      </c>
      <c r="AU13" s="9">
        <v>100</v>
      </c>
      <c r="AV13" s="12">
        <v>100</v>
      </c>
      <c r="AW13">
        <v>70</v>
      </c>
    </row>
    <row r="14" spans="1:49" ht="19.2" x14ac:dyDescent="0.4">
      <c r="A14" s="1" t="s">
        <v>86</v>
      </c>
      <c r="B14" s="4" t="s">
        <v>112</v>
      </c>
      <c r="C14" s="4">
        <v>451051</v>
      </c>
      <c r="D14" s="5"/>
      <c r="E14" s="4" t="s">
        <v>26</v>
      </c>
      <c r="F14" s="4" t="s">
        <v>46</v>
      </c>
      <c r="G14" s="4" t="s">
        <v>39</v>
      </c>
      <c r="H14" s="6" t="s">
        <v>104</v>
      </c>
      <c r="I14" s="6" t="s">
        <v>113</v>
      </c>
      <c r="J14" s="6">
        <v>0</v>
      </c>
      <c r="K14" s="6">
        <v>0</v>
      </c>
      <c r="L14" s="6">
        <v>0</v>
      </c>
      <c r="M14" s="6">
        <v>0</v>
      </c>
      <c r="N14" s="6">
        <v>0</v>
      </c>
      <c r="O14" s="6">
        <v>0</v>
      </c>
      <c r="P14" s="6">
        <v>0</v>
      </c>
      <c r="Q14" s="6">
        <v>0</v>
      </c>
      <c r="R14" s="6">
        <v>0</v>
      </c>
      <c r="S14" s="6">
        <v>0</v>
      </c>
      <c r="T14" s="6">
        <v>0</v>
      </c>
      <c r="U14" s="6">
        <v>0</v>
      </c>
      <c r="V14" s="6">
        <v>0</v>
      </c>
      <c r="W14" s="6">
        <v>0</v>
      </c>
      <c r="X14" s="6">
        <v>0</v>
      </c>
      <c r="Y14" s="6">
        <v>0</v>
      </c>
      <c r="Z14" s="6">
        <v>0</v>
      </c>
      <c r="AA14" s="6">
        <v>0</v>
      </c>
      <c r="AB14" s="6">
        <v>0</v>
      </c>
      <c r="AC14" s="6">
        <v>0</v>
      </c>
      <c r="AD14" s="6">
        <v>0</v>
      </c>
      <c r="AE14" s="6">
        <v>0</v>
      </c>
      <c r="AF14" s="6">
        <v>0</v>
      </c>
      <c r="AG14" s="6">
        <v>0</v>
      </c>
      <c r="AH14" s="6">
        <v>0</v>
      </c>
      <c r="AI14" s="6">
        <v>0</v>
      </c>
      <c r="AJ14" s="6">
        <v>0</v>
      </c>
      <c r="AK14" s="6">
        <v>0</v>
      </c>
      <c r="AL14" s="6">
        <v>0</v>
      </c>
      <c r="AM14" s="6">
        <v>0</v>
      </c>
      <c r="AN14" s="6">
        <v>0</v>
      </c>
      <c r="AO14" s="6">
        <v>0</v>
      </c>
      <c r="AP14" s="6">
        <v>0</v>
      </c>
      <c r="AQ14" s="6">
        <v>0</v>
      </c>
      <c r="AR14" s="6">
        <v>0</v>
      </c>
      <c r="AS14" s="6">
        <v>0</v>
      </c>
      <c r="AT14" s="6">
        <v>0</v>
      </c>
      <c r="AU14" s="8">
        <v>101900</v>
      </c>
      <c r="AV14" s="12">
        <v>101900</v>
      </c>
      <c r="AW14">
        <v>71330</v>
      </c>
    </row>
    <row r="15" spans="1:49" ht="19.2" x14ac:dyDescent="0.4">
      <c r="A15" s="1" t="s">
        <v>86</v>
      </c>
      <c r="B15" s="4" t="s">
        <v>127</v>
      </c>
      <c r="C15" s="4">
        <v>461432</v>
      </c>
      <c r="D15" s="5"/>
      <c r="E15" s="4" t="s">
        <v>26</v>
      </c>
      <c r="F15" s="4" t="s">
        <v>46</v>
      </c>
      <c r="G15" s="4" t="s">
        <v>39</v>
      </c>
      <c r="H15" s="6" t="s">
        <v>104</v>
      </c>
      <c r="I15" s="6" t="s">
        <v>118</v>
      </c>
      <c r="J15" s="6">
        <v>0</v>
      </c>
      <c r="K15" s="6">
        <v>0</v>
      </c>
      <c r="L15" s="6">
        <v>0</v>
      </c>
      <c r="M15" s="6">
        <v>0</v>
      </c>
      <c r="N15" s="6">
        <v>0</v>
      </c>
      <c r="O15" s="6">
        <v>0</v>
      </c>
      <c r="P15" s="6">
        <v>0</v>
      </c>
      <c r="Q15" s="6">
        <v>0</v>
      </c>
      <c r="R15" s="6">
        <v>0</v>
      </c>
      <c r="S15" s="6">
        <v>0</v>
      </c>
      <c r="T15" s="6">
        <v>0</v>
      </c>
      <c r="U15" s="6">
        <v>0</v>
      </c>
      <c r="V15" s="6">
        <v>0</v>
      </c>
      <c r="W15" s="6">
        <v>0</v>
      </c>
      <c r="X15" s="6">
        <v>0</v>
      </c>
      <c r="Y15" s="6">
        <v>0</v>
      </c>
      <c r="Z15" s="6">
        <v>0</v>
      </c>
      <c r="AA15" s="6">
        <v>0</v>
      </c>
      <c r="AB15" s="6">
        <v>0</v>
      </c>
      <c r="AC15" s="6">
        <v>0</v>
      </c>
      <c r="AD15" s="6">
        <v>0</v>
      </c>
      <c r="AE15" s="6">
        <v>0</v>
      </c>
      <c r="AF15" s="6">
        <v>0</v>
      </c>
      <c r="AG15" s="6">
        <v>0</v>
      </c>
      <c r="AH15" s="6">
        <v>0</v>
      </c>
      <c r="AI15" s="6">
        <v>0</v>
      </c>
      <c r="AJ15" s="6">
        <v>0</v>
      </c>
      <c r="AK15" s="6">
        <v>0</v>
      </c>
      <c r="AL15" s="6">
        <v>0</v>
      </c>
      <c r="AM15" s="6">
        <v>0</v>
      </c>
      <c r="AN15" s="6">
        <v>0</v>
      </c>
      <c r="AO15" s="6">
        <v>0</v>
      </c>
      <c r="AP15" s="6">
        <v>0</v>
      </c>
      <c r="AQ15" s="6">
        <v>0</v>
      </c>
      <c r="AR15" s="6">
        <v>0</v>
      </c>
      <c r="AS15" s="6">
        <v>0</v>
      </c>
      <c r="AT15" s="6">
        <v>0</v>
      </c>
      <c r="AU15" s="8">
        <v>30700</v>
      </c>
      <c r="AV15" s="12">
        <v>30700</v>
      </c>
      <c r="AW15">
        <v>21490</v>
      </c>
    </row>
    <row r="16" spans="1:49" ht="28.8" x14ac:dyDescent="0.4">
      <c r="A16" s="1" t="s">
        <v>86</v>
      </c>
      <c r="B16" s="4" t="s">
        <v>117</v>
      </c>
      <c r="C16" s="4">
        <v>461450</v>
      </c>
      <c r="D16" s="5"/>
      <c r="E16" s="4" t="s">
        <v>26</v>
      </c>
      <c r="F16" s="4" t="s">
        <v>46</v>
      </c>
      <c r="G16" s="4" t="s">
        <v>39</v>
      </c>
      <c r="H16" s="6" t="s">
        <v>104</v>
      </c>
      <c r="I16" s="6" t="s">
        <v>118</v>
      </c>
      <c r="J16" s="6">
        <v>0</v>
      </c>
      <c r="K16" s="6">
        <v>0</v>
      </c>
      <c r="L16" s="6">
        <v>0</v>
      </c>
      <c r="M16" s="6">
        <v>0</v>
      </c>
      <c r="N16" s="6">
        <v>0</v>
      </c>
      <c r="O16" s="6">
        <v>0</v>
      </c>
      <c r="P16" s="6">
        <v>0</v>
      </c>
      <c r="Q16" s="6">
        <v>0</v>
      </c>
      <c r="R16" s="6">
        <v>0</v>
      </c>
      <c r="S16" s="6">
        <v>0</v>
      </c>
      <c r="T16" s="6">
        <v>0</v>
      </c>
      <c r="U16" s="6">
        <v>0</v>
      </c>
      <c r="V16" s="6">
        <v>0</v>
      </c>
      <c r="W16" s="6">
        <v>0</v>
      </c>
      <c r="X16" s="6">
        <v>0</v>
      </c>
      <c r="Y16" s="6">
        <v>0</v>
      </c>
      <c r="Z16" s="6">
        <v>0</v>
      </c>
      <c r="AA16" s="6">
        <v>0</v>
      </c>
      <c r="AB16" s="6">
        <v>0</v>
      </c>
      <c r="AC16" s="7">
        <v>22500</v>
      </c>
      <c r="AD16" s="6">
        <v>0</v>
      </c>
      <c r="AE16" s="6">
        <v>0</v>
      </c>
      <c r="AF16" s="7">
        <v>22500</v>
      </c>
      <c r="AG16" s="6">
        <v>0</v>
      </c>
      <c r="AH16" s="6">
        <v>0</v>
      </c>
      <c r="AI16" s="7">
        <v>22500</v>
      </c>
      <c r="AJ16" s="6">
        <v>0</v>
      </c>
      <c r="AK16" s="6">
        <v>0</v>
      </c>
      <c r="AL16" s="7">
        <v>22500</v>
      </c>
      <c r="AM16" s="6">
        <v>0</v>
      </c>
      <c r="AN16" s="6">
        <v>0</v>
      </c>
      <c r="AO16" s="6">
        <v>0</v>
      </c>
      <c r="AP16" s="7">
        <v>22500</v>
      </c>
      <c r="AQ16" s="6">
        <v>0</v>
      </c>
      <c r="AR16" s="6">
        <v>0</v>
      </c>
      <c r="AS16" s="7">
        <v>22500</v>
      </c>
      <c r="AT16" s="6">
        <v>0</v>
      </c>
      <c r="AU16" s="8">
        <v>22500</v>
      </c>
      <c r="AV16" s="12">
        <v>22500</v>
      </c>
      <c r="AW16">
        <v>15749.999999999998</v>
      </c>
    </row>
    <row r="17" spans="1:49" ht="19.2" x14ac:dyDescent="0.4">
      <c r="A17" s="1" t="s">
        <v>86</v>
      </c>
      <c r="B17" s="4" t="s">
        <v>37</v>
      </c>
      <c r="C17" s="4">
        <v>380954</v>
      </c>
      <c r="D17" s="5"/>
      <c r="E17" s="4" t="s">
        <v>26</v>
      </c>
      <c r="F17" s="4" t="s">
        <v>35</v>
      </c>
      <c r="G17" s="4" t="s">
        <v>39</v>
      </c>
      <c r="H17" s="6" t="s">
        <v>8</v>
      </c>
      <c r="I17" s="6" t="s">
        <v>36</v>
      </c>
      <c r="J17" s="6">
        <v>0</v>
      </c>
      <c r="K17" s="6">
        <v>0</v>
      </c>
      <c r="L17" s="6">
        <v>0</v>
      </c>
      <c r="M17" s="6">
        <v>0</v>
      </c>
      <c r="N17" s="6">
        <v>0</v>
      </c>
      <c r="O17" s="6">
        <v>0</v>
      </c>
      <c r="P17" s="6">
        <v>0</v>
      </c>
      <c r="Q17" s="6">
        <v>0</v>
      </c>
      <c r="R17" s="6">
        <v>0</v>
      </c>
      <c r="S17" s="6">
        <v>0</v>
      </c>
      <c r="T17" s="6">
        <v>0</v>
      </c>
      <c r="U17" s="6">
        <v>0</v>
      </c>
      <c r="V17" s="6">
        <v>0</v>
      </c>
      <c r="W17" s="6">
        <v>0</v>
      </c>
      <c r="X17" s="6">
        <v>0</v>
      </c>
      <c r="Y17" s="6">
        <v>0</v>
      </c>
      <c r="Z17" s="6">
        <v>0</v>
      </c>
      <c r="AA17" s="6">
        <v>0</v>
      </c>
      <c r="AB17" s="6">
        <v>0</v>
      </c>
      <c r="AC17" s="7">
        <v>17100</v>
      </c>
      <c r="AD17" s="6">
        <v>0</v>
      </c>
      <c r="AE17" s="6">
        <v>0</v>
      </c>
      <c r="AF17" s="7">
        <v>17100</v>
      </c>
      <c r="AG17" s="6">
        <v>0</v>
      </c>
      <c r="AH17" s="6">
        <v>0</v>
      </c>
      <c r="AI17" s="7">
        <v>17100</v>
      </c>
      <c r="AJ17" s="6">
        <v>0</v>
      </c>
      <c r="AK17" s="6">
        <v>0</v>
      </c>
      <c r="AL17" s="7">
        <v>17100</v>
      </c>
      <c r="AM17" s="6">
        <v>0</v>
      </c>
      <c r="AN17" s="6">
        <v>0</v>
      </c>
      <c r="AO17" s="6">
        <v>0</v>
      </c>
      <c r="AP17" s="7">
        <v>17100</v>
      </c>
      <c r="AQ17" s="6">
        <v>0</v>
      </c>
      <c r="AR17" s="6">
        <v>0</v>
      </c>
      <c r="AS17" s="7">
        <v>17100</v>
      </c>
      <c r="AT17" s="6">
        <v>0</v>
      </c>
      <c r="AU17" s="8">
        <v>17100</v>
      </c>
      <c r="AV17" s="12">
        <v>17100</v>
      </c>
      <c r="AW17">
        <v>11970</v>
      </c>
    </row>
    <row r="18" spans="1:49" x14ac:dyDescent="0.4">
      <c r="A18" s="1" t="s">
        <v>86</v>
      </c>
      <c r="B18" s="4" t="s">
        <v>66</v>
      </c>
      <c r="C18" s="4">
        <v>455896</v>
      </c>
      <c r="D18" s="5"/>
      <c r="E18" s="4" t="s">
        <v>26</v>
      </c>
      <c r="F18" s="4" t="s">
        <v>46</v>
      </c>
      <c r="G18" s="4" t="s">
        <v>39</v>
      </c>
      <c r="H18" s="6" t="s">
        <v>8</v>
      </c>
      <c r="I18" s="6" t="s">
        <v>64</v>
      </c>
      <c r="J18" s="6">
        <v>0</v>
      </c>
      <c r="K18" s="6">
        <v>0</v>
      </c>
      <c r="L18" s="6">
        <v>0</v>
      </c>
      <c r="M18" s="6">
        <v>0</v>
      </c>
      <c r="N18" s="6">
        <v>0</v>
      </c>
      <c r="O18" s="6">
        <v>0</v>
      </c>
      <c r="P18" s="6">
        <v>0</v>
      </c>
      <c r="Q18" s="6">
        <v>0</v>
      </c>
      <c r="R18" s="6">
        <v>0</v>
      </c>
      <c r="S18" s="6">
        <v>0</v>
      </c>
      <c r="T18" s="6">
        <v>0</v>
      </c>
      <c r="U18" s="6">
        <v>0</v>
      </c>
      <c r="V18" s="6">
        <v>0</v>
      </c>
      <c r="W18" s="6">
        <v>0</v>
      </c>
      <c r="X18" s="6">
        <v>0</v>
      </c>
      <c r="Y18" s="6">
        <v>0</v>
      </c>
      <c r="Z18" s="6">
        <v>0</v>
      </c>
      <c r="AA18" s="6">
        <v>0</v>
      </c>
      <c r="AB18" s="6">
        <v>0</v>
      </c>
      <c r="AC18" s="6">
        <v>0</v>
      </c>
      <c r="AD18" s="6">
        <v>0</v>
      </c>
      <c r="AE18" s="6">
        <v>0</v>
      </c>
      <c r="AF18" s="6">
        <v>0</v>
      </c>
      <c r="AG18" s="6">
        <v>0</v>
      </c>
      <c r="AH18" s="6">
        <v>0</v>
      </c>
      <c r="AI18" s="6">
        <v>0</v>
      </c>
      <c r="AJ18" s="6">
        <v>0</v>
      </c>
      <c r="AK18" s="6">
        <v>0</v>
      </c>
      <c r="AL18" s="6">
        <v>0</v>
      </c>
      <c r="AM18" s="6">
        <v>0</v>
      </c>
      <c r="AN18" s="6">
        <v>0</v>
      </c>
      <c r="AO18" s="6">
        <v>0</v>
      </c>
      <c r="AP18" s="6">
        <v>0</v>
      </c>
      <c r="AQ18" s="6">
        <v>0</v>
      </c>
      <c r="AR18" s="6">
        <v>0</v>
      </c>
      <c r="AS18" s="6">
        <v>0</v>
      </c>
      <c r="AT18" s="6">
        <v>0</v>
      </c>
      <c r="AU18" s="8">
        <v>16800</v>
      </c>
      <c r="AV18" s="12">
        <v>16800</v>
      </c>
      <c r="AW18">
        <v>11760</v>
      </c>
    </row>
    <row r="19" spans="1:49" ht="19.2" x14ac:dyDescent="0.4">
      <c r="A19" s="1" t="s">
        <v>86</v>
      </c>
      <c r="B19" s="4" t="s">
        <v>63</v>
      </c>
      <c r="C19" s="4">
        <v>455900</v>
      </c>
      <c r="D19" s="5"/>
      <c r="E19" s="4" t="s">
        <v>26</v>
      </c>
      <c r="F19" s="4" t="s">
        <v>46</v>
      </c>
      <c r="G19" s="4" t="s">
        <v>39</v>
      </c>
      <c r="H19" s="6" t="s">
        <v>8</v>
      </c>
      <c r="I19" s="6" t="s">
        <v>64</v>
      </c>
      <c r="J19" s="6">
        <v>0</v>
      </c>
      <c r="K19" s="6">
        <v>0</v>
      </c>
      <c r="L19" s="6">
        <v>0</v>
      </c>
      <c r="M19" s="6">
        <v>0</v>
      </c>
      <c r="N19" s="6">
        <v>0</v>
      </c>
      <c r="O19" s="6">
        <v>0</v>
      </c>
      <c r="P19" s="6">
        <v>0</v>
      </c>
      <c r="Q19" s="6">
        <v>0</v>
      </c>
      <c r="R19" s="6">
        <v>0</v>
      </c>
      <c r="S19" s="6">
        <v>0</v>
      </c>
      <c r="T19" s="6">
        <v>0</v>
      </c>
      <c r="U19" s="6">
        <v>0</v>
      </c>
      <c r="V19" s="6">
        <v>0</v>
      </c>
      <c r="W19" s="6">
        <v>0</v>
      </c>
      <c r="X19" s="6">
        <v>0</v>
      </c>
      <c r="Y19" s="6">
        <v>0</v>
      </c>
      <c r="Z19" s="6">
        <v>0</v>
      </c>
      <c r="AA19" s="6">
        <v>0</v>
      </c>
      <c r="AB19" s="6">
        <v>0</v>
      </c>
      <c r="AC19" s="7">
        <v>9900</v>
      </c>
      <c r="AD19" s="6">
        <v>0</v>
      </c>
      <c r="AE19" s="6">
        <v>0</v>
      </c>
      <c r="AF19" s="7">
        <v>9900</v>
      </c>
      <c r="AG19" s="6">
        <v>0</v>
      </c>
      <c r="AH19" s="6">
        <v>0</v>
      </c>
      <c r="AI19" s="7">
        <v>9900</v>
      </c>
      <c r="AJ19" s="6">
        <v>0</v>
      </c>
      <c r="AK19" s="6">
        <v>0</v>
      </c>
      <c r="AL19" s="7">
        <v>9900</v>
      </c>
      <c r="AM19" s="6">
        <v>0</v>
      </c>
      <c r="AN19" s="6">
        <v>0</v>
      </c>
      <c r="AO19" s="6">
        <v>0</v>
      </c>
      <c r="AP19" s="7">
        <v>9900</v>
      </c>
      <c r="AQ19" s="6">
        <v>0</v>
      </c>
      <c r="AR19" s="6">
        <v>0</v>
      </c>
      <c r="AS19" s="7">
        <v>9900</v>
      </c>
      <c r="AT19" s="6">
        <v>0</v>
      </c>
      <c r="AU19" s="8">
        <v>13500</v>
      </c>
      <c r="AV19" s="12">
        <v>13500</v>
      </c>
      <c r="AW19">
        <v>9450</v>
      </c>
    </row>
    <row r="20" spans="1:49" ht="28.8" x14ac:dyDescent="0.4">
      <c r="A20" s="1" t="s">
        <v>86</v>
      </c>
      <c r="B20" s="4" t="s">
        <v>85</v>
      </c>
      <c r="C20" s="4">
        <v>445598</v>
      </c>
      <c r="D20" s="5"/>
      <c r="E20" s="4" t="s">
        <v>26</v>
      </c>
      <c r="F20" s="4" t="s">
        <v>46</v>
      </c>
      <c r="G20" s="4" t="s">
        <v>39</v>
      </c>
      <c r="H20" s="6" t="s">
        <v>8</v>
      </c>
      <c r="I20" s="6" t="s">
        <v>42</v>
      </c>
      <c r="J20" s="6">
        <v>0</v>
      </c>
      <c r="K20" s="6">
        <v>0</v>
      </c>
      <c r="L20" s="6">
        <v>0</v>
      </c>
      <c r="M20" s="6">
        <v>0</v>
      </c>
      <c r="N20" s="6">
        <v>0</v>
      </c>
      <c r="O20" s="6">
        <v>0</v>
      </c>
      <c r="P20" s="6">
        <v>0</v>
      </c>
      <c r="Q20" s="6">
        <v>0</v>
      </c>
      <c r="R20" s="6">
        <v>0</v>
      </c>
      <c r="S20" s="6">
        <v>0</v>
      </c>
      <c r="T20" s="6">
        <v>0</v>
      </c>
      <c r="U20" s="6">
        <v>0</v>
      </c>
      <c r="V20" s="6">
        <v>0</v>
      </c>
      <c r="W20" s="6">
        <v>0</v>
      </c>
      <c r="X20" s="6">
        <v>0</v>
      </c>
      <c r="Y20" s="6">
        <v>0</v>
      </c>
      <c r="Z20" s="6">
        <v>0</v>
      </c>
      <c r="AA20" s="6">
        <v>0</v>
      </c>
      <c r="AB20" s="6">
        <v>0</v>
      </c>
      <c r="AC20" s="6">
        <v>0</v>
      </c>
      <c r="AD20" s="6">
        <v>0</v>
      </c>
      <c r="AE20" s="6">
        <v>0</v>
      </c>
      <c r="AF20" s="6">
        <v>0</v>
      </c>
      <c r="AG20" s="6">
        <v>0</v>
      </c>
      <c r="AH20" s="6">
        <v>0</v>
      </c>
      <c r="AI20" s="6">
        <v>0</v>
      </c>
      <c r="AJ20" s="6">
        <v>0</v>
      </c>
      <c r="AK20" s="6">
        <v>0</v>
      </c>
      <c r="AL20" s="6">
        <v>0</v>
      </c>
      <c r="AM20" s="6">
        <v>0</v>
      </c>
      <c r="AN20" s="6">
        <v>0</v>
      </c>
      <c r="AO20" s="6">
        <v>0</v>
      </c>
      <c r="AP20" s="6">
        <v>0</v>
      </c>
      <c r="AQ20" s="6">
        <v>0</v>
      </c>
      <c r="AR20" s="6">
        <v>0</v>
      </c>
      <c r="AS20" s="6">
        <v>0</v>
      </c>
      <c r="AT20" s="6">
        <v>0</v>
      </c>
      <c r="AU20" s="8">
        <v>12200</v>
      </c>
      <c r="AV20" s="12">
        <v>12200</v>
      </c>
      <c r="AW20">
        <v>8540</v>
      </c>
    </row>
    <row r="21" spans="1:49" x14ac:dyDescent="0.4">
      <c r="A21" s="1" t="s">
        <v>86</v>
      </c>
      <c r="B21" s="4" t="s">
        <v>52</v>
      </c>
      <c r="C21" s="4">
        <v>451947</v>
      </c>
      <c r="D21" s="5"/>
      <c r="E21" s="4" t="s">
        <v>26</v>
      </c>
      <c r="F21" s="4" t="s">
        <v>46</v>
      </c>
      <c r="G21" s="4" t="s">
        <v>39</v>
      </c>
      <c r="H21" s="6" t="s">
        <v>8</v>
      </c>
      <c r="I21" s="6" t="s">
        <v>48</v>
      </c>
      <c r="J21" s="6">
        <v>0</v>
      </c>
      <c r="K21" s="6">
        <v>0</v>
      </c>
      <c r="L21" s="6">
        <v>0</v>
      </c>
      <c r="M21" s="6">
        <v>0</v>
      </c>
      <c r="N21" s="6">
        <v>0</v>
      </c>
      <c r="O21" s="6">
        <v>0</v>
      </c>
      <c r="P21" s="6">
        <v>0</v>
      </c>
      <c r="Q21" s="6">
        <v>0</v>
      </c>
      <c r="R21" s="6">
        <v>0</v>
      </c>
      <c r="S21" s="6">
        <v>0</v>
      </c>
      <c r="T21" s="6">
        <v>0</v>
      </c>
      <c r="U21" s="6">
        <v>0</v>
      </c>
      <c r="V21" s="6">
        <v>0</v>
      </c>
      <c r="W21" s="6">
        <v>0</v>
      </c>
      <c r="X21" s="6">
        <v>0</v>
      </c>
      <c r="Y21" s="6">
        <v>0</v>
      </c>
      <c r="Z21" s="6">
        <v>0</v>
      </c>
      <c r="AA21" s="6">
        <v>0</v>
      </c>
      <c r="AB21" s="6">
        <v>0</v>
      </c>
      <c r="AC21" s="6">
        <v>0</v>
      </c>
      <c r="AD21" s="6">
        <v>0</v>
      </c>
      <c r="AE21" s="6">
        <v>0</v>
      </c>
      <c r="AF21" s="6">
        <v>0</v>
      </c>
      <c r="AG21" s="6">
        <v>0</v>
      </c>
      <c r="AH21" s="6">
        <v>0</v>
      </c>
      <c r="AI21" s="6">
        <v>0</v>
      </c>
      <c r="AJ21" s="6">
        <v>0</v>
      </c>
      <c r="AK21" s="6">
        <v>0</v>
      </c>
      <c r="AL21" s="6">
        <v>0</v>
      </c>
      <c r="AM21" s="6">
        <v>0</v>
      </c>
      <c r="AN21" s="6">
        <v>0</v>
      </c>
      <c r="AO21" s="6">
        <v>0</v>
      </c>
      <c r="AP21" s="6">
        <v>0</v>
      </c>
      <c r="AQ21" s="6">
        <v>0</v>
      </c>
      <c r="AR21" s="6">
        <v>0</v>
      </c>
      <c r="AS21" s="6">
        <v>0</v>
      </c>
      <c r="AT21" s="6">
        <v>0</v>
      </c>
      <c r="AU21" s="8">
        <v>7300</v>
      </c>
      <c r="AV21" s="12">
        <v>7300</v>
      </c>
      <c r="AW21">
        <v>5110</v>
      </c>
    </row>
    <row r="22" spans="1:49" ht="19.2" x14ac:dyDescent="0.4">
      <c r="A22" s="1" t="s">
        <v>86</v>
      </c>
      <c r="B22" s="4" t="s">
        <v>50</v>
      </c>
      <c r="C22" s="4">
        <v>454228</v>
      </c>
      <c r="D22" s="5"/>
      <c r="E22" s="4" t="s">
        <v>26</v>
      </c>
      <c r="F22" s="4" t="s">
        <v>46</v>
      </c>
      <c r="G22" s="4" t="s">
        <v>39</v>
      </c>
      <c r="H22" s="6" t="s">
        <v>8</v>
      </c>
      <c r="I22" s="6" t="s">
        <v>51</v>
      </c>
      <c r="J22" s="6">
        <v>0</v>
      </c>
      <c r="K22" s="6">
        <v>0</v>
      </c>
      <c r="L22" s="6">
        <v>0</v>
      </c>
      <c r="M22" s="6">
        <v>0</v>
      </c>
      <c r="N22" s="6">
        <v>0</v>
      </c>
      <c r="O22" s="6">
        <v>0</v>
      </c>
      <c r="P22" s="6">
        <v>0</v>
      </c>
      <c r="Q22" s="6">
        <v>0</v>
      </c>
      <c r="R22" s="6">
        <v>0</v>
      </c>
      <c r="S22" s="6">
        <v>0</v>
      </c>
      <c r="T22" s="6">
        <v>0</v>
      </c>
      <c r="U22" s="6">
        <v>0</v>
      </c>
      <c r="V22" s="6">
        <v>0</v>
      </c>
      <c r="W22" s="6">
        <v>0</v>
      </c>
      <c r="X22" s="6">
        <v>0</v>
      </c>
      <c r="Y22" s="6">
        <v>0</v>
      </c>
      <c r="Z22" s="6">
        <v>0</v>
      </c>
      <c r="AA22" s="6">
        <v>0</v>
      </c>
      <c r="AB22" s="6">
        <v>0</v>
      </c>
      <c r="AC22" s="7">
        <v>7200</v>
      </c>
      <c r="AD22" s="6">
        <v>0</v>
      </c>
      <c r="AE22" s="6">
        <v>0</v>
      </c>
      <c r="AF22" s="7">
        <v>7200</v>
      </c>
      <c r="AG22" s="6">
        <v>0</v>
      </c>
      <c r="AH22" s="6">
        <v>0</v>
      </c>
      <c r="AI22" s="7">
        <v>7200</v>
      </c>
      <c r="AJ22" s="6">
        <v>0</v>
      </c>
      <c r="AK22" s="6">
        <v>0</v>
      </c>
      <c r="AL22" s="7">
        <v>7200</v>
      </c>
      <c r="AM22" s="6">
        <v>0</v>
      </c>
      <c r="AN22" s="6">
        <v>0</v>
      </c>
      <c r="AO22" s="6">
        <v>0</v>
      </c>
      <c r="AP22" s="7">
        <v>7200</v>
      </c>
      <c r="AQ22" s="6">
        <v>0</v>
      </c>
      <c r="AR22" s="6">
        <v>0</v>
      </c>
      <c r="AS22" s="7">
        <v>7200</v>
      </c>
      <c r="AT22" s="6">
        <v>0</v>
      </c>
      <c r="AU22" s="8">
        <v>7200</v>
      </c>
      <c r="AV22" s="12">
        <v>7200</v>
      </c>
      <c r="AW22">
        <v>5040</v>
      </c>
    </row>
    <row r="23" spans="1:49" ht="19.2" x14ac:dyDescent="0.4">
      <c r="A23" s="1" t="s">
        <v>86</v>
      </c>
      <c r="B23" s="4" t="s">
        <v>67</v>
      </c>
      <c r="C23" s="4">
        <v>408836</v>
      </c>
      <c r="D23" s="5"/>
      <c r="E23" s="4" t="s">
        <v>26</v>
      </c>
      <c r="F23" s="4" t="s">
        <v>27</v>
      </c>
      <c r="G23" s="4" t="s">
        <v>39</v>
      </c>
      <c r="H23" s="6" t="s">
        <v>8</v>
      </c>
      <c r="I23" s="6" t="s">
        <v>68</v>
      </c>
      <c r="J23" s="6">
        <v>0</v>
      </c>
      <c r="K23" s="6">
        <v>0</v>
      </c>
      <c r="L23" s="6">
        <v>0</v>
      </c>
      <c r="M23" s="6">
        <v>0</v>
      </c>
      <c r="N23" s="6">
        <v>0</v>
      </c>
      <c r="O23" s="6">
        <v>0</v>
      </c>
      <c r="P23" s="6">
        <v>0</v>
      </c>
      <c r="Q23" s="6">
        <v>0</v>
      </c>
      <c r="R23" s="6">
        <v>0</v>
      </c>
      <c r="S23" s="6">
        <v>0</v>
      </c>
      <c r="T23" s="6">
        <v>0</v>
      </c>
      <c r="U23" s="6">
        <v>0</v>
      </c>
      <c r="V23" s="6">
        <v>0</v>
      </c>
      <c r="W23" s="6">
        <v>0</v>
      </c>
      <c r="X23" s="6">
        <v>0</v>
      </c>
      <c r="Y23" s="6">
        <v>0</v>
      </c>
      <c r="Z23" s="6">
        <v>0</v>
      </c>
      <c r="AA23" s="6">
        <v>0</v>
      </c>
      <c r="AB23" s="6">
        <v>0</v>
      </c>
      <c r="AC23" s="7">
        <v>6300</v>
      </c>
      <c r="AD23" s="6">
        <v>0</v>
      </c>
      <c r="AE23" s="6">
        <v>0</v>
      </c>
      <c r="AF23" s="7">
        <v>6300</v>
      </c>
      <c r="AG23" s="6">
        <v>0</v>
      </c>
      <c r="AH23" s="6">
        <v>0</v>
      </c>
      <c r="AI23" s="7">
        <v>6300</v>
      </c>
      <c r="AJ23" s="6">
        <v>0</v>
      </c>
      <c r="AK23" s="6">
        <v>0</v>
      </c>
      <c r="AL23" s="7">
        <v>6300</v>
      </c>
      <c r="AM23" s="6">
        <v>0</v>
      </c>
      <c r="AN23" s="6">
        <v>0</v>
      </c>
      <c r="AO23" s="6">
        <v>0</v>
      </c>
      <c r="AP23" s="7">
        <v>6300</v>
      </c>
      <c r="AQ23" s="6">
        <v>0</v>
      </c>
      <c r="AR23" s="6">
        <v>0</v>
      </c>
      <c r="AS23" s="7">
        <v>6300</v>
      </c>
      <c r="AT23" s="6">
        <v>0</v>
      </c>
      <c r="AU23" s="8">
        <v>6300</v>
      </c>
      <c r="AV23" s="12">
        <v>6300</v>
      </c>
      <c r="AW23">
        <v>4410</v>
      </c>
    </row>
    <row r="24" spans="1:49" ht="19.2" x14ac:dyDescent="0.4">
      <c r="A24" s="1" t="s">
        <v>86</v>
      </c>
      <c r="B24" s="4" t="s">
        <v>47</v>
      </c>
      <c r="C24" s="4">
        <v>453445</v>
      </c>
      <c r="D24" s="5"/>
      <c r="E24" s="4" t="s">
        <v>26</v>
      </c>
      <c r="F24" s="4" t="s">
        <v>46</v>
      </c>
      <c r="G24" s="4" t="s">
        <v>39</v>
      </c>
      <c r="H24" s="6" t="s">
        <v>9</v>
      </c>
      <c r="I24" s="6" t="s">
        <v>48</v>
      </c>
      <c r="J24" s="6">
        <v>0</v>
      </c>
      <c r="K24" s="6">
        <v>0</v>
      </c>
      <c r="L24" s="6">
        <v>0</v>
      </c>
      <c r="M24" s="6">
        <v>0</v>
      </c>
      <c r="N24" s="6">
        <v>0</v>
      </c>
      <c r="O24" s="6">
        <v>0</v>
      </c>
      <c r="P24" s="6">
        <v>0</v>
      </c>
      <c r="Q24" s="6">
        <v>0</v>
      </c>
      <c r="R24" s="6">
        <v>0</v>
      </c>
      <c r="S24" s="6">
        <v>0</v>
      </c>
      <c r="T24" s="6">
        <v>0</v>
      </c>
      <c r="U24" s="6">
        <v>0</v>
      </c>
      <c r="V24" s="6">
        <v>0</v>
      </c>
      <c r="W24" s="6">
        <v>0</v>
      </c>
      <c r="X24" s="6">
        <v>0</v>
      </c>
      <c r="Y24" s="6">
        <v>0</v>
      </c>
      <c r="Z24" s="6">
        <v>0</v>
      </c>
      <c r="AA24" s="6">
        <v>0</v>
      </c>
      <c r="AB24" s="6">
        <v>0</v>
      </c>
      <c r="AC24" s="7">
        <v>3600</v>
      </c>
      <c r="AD24" s="6">
        <v>0</v>
      </c>
      <c r="AE24" s="6">
        <v>0</v>
      </c>
      <c r="AF24" s="7">
        <v>3600</v>
      </c>
      <c r="AG24" s="6">
        <v>0</v>
      </c>
      <c r="AH24" s="6">
        <v>0</v>
      </c>
      <c r="AI24" s="7">
        <v>3600</v>
      </c>
      <c r="AJ24" s="6">
        <v>0</v>
      </c>
      <c r="AK24" s="6">
        <v>0</v>
      </c>
      <c r="AL24" s="7">
        <v>3600</v>
      </c>
      <c r="AM24" s="6">
        <v>0</v>
      </c>
      <c r="AN24" s="6">
        <v>0</v>
      </c>
      <c r="AO24" s="6">
        <v>0</v>
      </c>
      <c r="AP24" s="7">
        <v>3600</v>
      </c>
      <c r="AQ24" s="6">
        <v>0</v>
      </c>
      <c r="AR24" s="6">
        <v>0</v>
      </c>
      <c r="AS24" s="7">
        <v>3600</v>
      </c>
      <c r="AT24" s="6">
        <v>0</v>
      </c>
      <c r="AU24" s="8">
        <v>3600</v>
      </c>
      <c r="AV24" s="12">
        <v>3600</v>
      </c>
      <c r="AW24">
        <v>2520</v>
      </c>
    </row>
    <row r="25" spans="1:49" ht="19.2" x14ac:dyDescent="0.4">
      <c r="A25" s="1" t="s">
        <v>86</v>
      </c>
      <c r="B25" s="4" t="s">
        <v>128</v>
      </c>
      <c r="C25" s="4">
        <v>408846</v>
      </c>
      <c r="D25" s="5"/>
      <c r="E25" s="4" t="s">
        <v>26</v>
      </c>
      <c r="F25" s="4" t="s">
        <v>27</v>
      </c>
      <c r="G25" s="4" t="s">
        <v>39</v>
      </c>
      <c r="H25" s="6" t="s">
        <v>8</v>
      </c>
      <c r="I25" s="6" t="s">
        <v>129</v>
      </c>
      <c r="J25" s="6">
        <v>0</v>
      </c>
      <c r="K25" s="6">
        <v>0</v>
      </c>
      <c r="L25" s="6">
        <v>0</v>
      </c>
      <c r="M25" s="6">
        <v>0</v>
      </c>
      <c r="N25" s="6">
        <v>0</v>
      </c>
      <c r="O25" s="6">
        <v>0</v>
      </c>
      <c r="P25" s="6">
        <v>0</v>
      </c>
      <c r="Q25" s="6">
        <v>0</v>
      </c>
      <c r="R25" s="6">
        <v>0</v>
      </c>
      <c r="S25" s="6">
        <v>0</v>
      </c>
      <c r="T25" s="6">
        <v>0</v>
      </c>
      <c r="U25" s="6">
        <v>0</v>
      </c>
      <c r="V25" s="6">
        <v>0</v>
      </c>
      <c r="W25" s="6">
        <v>0</v>
      </c>
      <c r="X25" s="6">
        <v>0</v>
      </c>
      <c r="Y25" s="6">
        <v>0</v>
      </c>
      <c r="Z25" s="6">
        <v>0</v>
      </c>
      <c r="AA25" s="6">
        <v>0</v>
      </c>
      <c r="AB25" s="6">
        <v>0</v>
      </c>
      <c r="AC25" s="7">
        <v>3600</v>
      </c>
      <c r="AD25" s="6">
        <v>0</v>
      </c>
      <c r="AE25" s="6">
        <v>0</v>
      </c>
      <c r="AF25" s="7">
        <v>3600</v>
      </c>
      <c r="AG25" s="6">
        <v>0</v>
      </c>
      <c r="AH25" s="6">
        <v>0</v>
      </c>
      <c r="AI25" s="7">
        <v>3600</v>
      </c>
      <c r="AJ25" s="6">
        <v>0</v>
      </c>
      <c r="AK25" s="6">
        <v>0</v>
      </c>
      <c r="AL25" s="7">
        <v>3600</v>
      </c>
      <c r="AM25" s="6">
        <v>0</v>
      </c>
      <c r="AN25" s="6">
        <v>0</v>
      </c>
      <c r="AO25" s="6">
        <v>0</v>
      </c>
      <c r="AP25" s="7">
        <v>3600</v>
      </c>
      <c r="AQ25" s="6">
        <v>0</v>
      </c>
      <c r="AR25" s="6">
        <v>0</v>
      </c>
      <c r="AS25" s="7">
        <v>3600</v>
      </c>
      <c r="AT25" s="6">
        <v>0</v>
      </c>
      <c r="AU25" s="8">
        <v>3600</v>
      </c>
      <c r="AV25" s="12">
        <v>3600</v>
      </c>
      <c r="AW25">
        <v>2520</v>
      </c>
    </row>
    <row r="26" spans="1:49" ht="19.2" x14ac:dyDescent="0.4">
      <c r="A26" s="1" t="s">
        <v>86</v>
      </c>
      <c r="B26" s="4" t="s">
        <v>119</v>
      </c>
      <c r="C26" s="4">
        <v>382098</v>
      </c>
      <c r="D26" s="5"/>
      <c r="E26" s="4" t="s">
        <v>26</v>
      </c>
      <c r="F26" s="4" t="s">
        <v>46</v>
      </c>
      <c r="G26" s="4" t="s">
        <v>39</v>
      </c>
      <c r="H26" s="6" t="s">
        <v>8</v>
      </c>
      <c r="I26" s="6" t="s">
        <v>120</v>
      </c>
      <c r="J26" s="6">
        <v>0</v>
      </c>
      <c r="K26" s="6">
        <v>0</v>
      </c>
      <c r="L26" s="6">
        <v>0</v>
      </c>
      <c r="M26" s="6">
        <v>0</v>
      </c>
      <c r="N26" s="6">
        <v>0</v>
      </c>
      <c r="O26" s="6">
        <v>0</v>
      </c>
      <c r="P26" s="6">
        <v>0</v>
      </c>
      <c r="Q26" s="6">
        <v>0</v>
      </c>
      <c r="R26" s="6">
        <v>0</v>
      </c>
      <c r="S26" s="6">
        <v>0</v>
      </c>
      <c r="T26" s="6">
        <v>0</v>
      </c>
      <c r="U26" s="6">
        <v>0</v>
      </c>
      <c r="V26" s="6">
        <v>0</v>
      </c>
      <c r="W26" s="6">
        <v>0</v>
      </c>
      <c r="X26" s="6">
        <v>0</v>
      </c>
      <c r="Y26" s="6">
        <v>0</v>
      </c>
      <c r="Z26" s="6">
        <v>0</v>
      </c>
      <c r="AA26" s="6">
        <v>0</v>
      </c>
      <c r="AB26" s="6">
        <v>0</v>
      </c>
      <c r="AC26" s="7">
        <v>1800</v>
      </c>
      <c r="AD26" s="6">
        <v>0</v>
      </c>
      <c r="AE26" s="6">
        <v>0</v>
      </c>
      <c r="AF26" s="7">
        <v>1800</v>
      </c>
      <c r="AG26" s="6">
        <v>0</v>
      </c>
      <c r="AH26" s="6">
        <v>0</v>
      </c>
      <c r="AI26" s="7">
        <v>1800</v>
      </c>
      <c r="AJ26" s="6">
        <v>0</v>
      </c>
      <c r="AK26" s="6">
        <v>0</v>
      </c>
      <c r="AL26" s="7">
        <v>1800</v>
      </c>
      <c r="AM26" s="6">
        <v>0</v>
      </c>
      <c r="AN26" s="6">
        <v>0</v>
      </c>
      <c r="AO26" s="6">
        <v>0</v>
      </c>
      <c r="AP26" s="7">
        <v>1800</v>
      </c>
      <c r="AQ26" s="6">
        <v>0</v>
      </c>
      <c r="AR26" s="6">
        <v>0</v>
      </c>
      <c r="AS26" s="7">
        <v>1800</v>
      </c>
      <c r="AT26" s="6">
        <v>0</v>
      </c>
      <c r="AU26" s="8">
        <v>2700</v>
      </c>
      <c r="AV26" s="12">
        <v>2700</v>
      </c>
      <c r="AW26">
        <v>1889.9999999999998</v>
      </c>
    </row>
    <row r="27" spans="1:49" x14ac:dyDescent="0.4">
      <c r="A27" s="1" t="s">
        <v>86</v>
      </c>
      <c r="B27" s="4" t="s">
        <v>81</v>
      </c>
      <c r="C27" s="4">
        <v>454224</v>
      </c>
      <c r="D27" s="5"/>
      <c r="E27" s="4" t="s">
        <v>26</v>
      </c>
      <c r="F27" s="4" t="s">
        <v>46</v>
      </c>
      <c r="G27" s="4" t="s">
        <v>39</v>
      </c>
      <c r="H27" s="6" t="s">
        <v>8</v>
      </c>
      <c r="I27" s="6" t="s">
        <v>51</v>
      </c>
      <c r="J27" s="6">
        <v>0</v>
      </c>
      <c r="K27" s="6">
        <v>0</v>
      </c>
      <c r="L27" s="6">
        <v>0</v>
      </c>
      <c r="M27" s="6">
        <v>0</v>
      </c>
      <c r="N27" s="6">
        <v>0</v>
      </c>
      <c r="O27" s="6">
        <v>0</v>
      </c>
      <c r="P27" s="6">
        <v>0</v>
      </c>
      <c r="Q27" s="6">
        <v>0</v>
      </c>
      <c r="R27" s="6">
        <v>0</v>
      </c>
      <c r="S27" s="6">
        <v>0</v>
      </c>
      <c r="T27" s="6">
        <v>0</v>
      </c>
      <c r="U27" s="6">
        <v>0</v>
      </c>
      <c r="V27" s="6">
        <v>0</v>
      </c>
      <c r="W27" s="6">
        <v>0</v>
      </c>
      <c r="X27" s="6">
        <v>0</v>
      </c>
      <c r="Y27" s="6">
        <v>0</v>
      </c>
      <c r="Z27" s="6">
        <v>0</v>
      </c>
      <c r="AA27" s="6">
        <v>0</v>
      </c>
      <c r="AB27" s="6">
        <v>0</v>
      </c>
      <c r="AC27" s="6">
        <v>0</v>
      </c>
      <c r="AD27" s="6">
        <v>0</v>
      </c>
      <c r="AE27" s="6">
        <v>0</v>
      </c>
      <c r="AF27" s="6">
        <v>0</v>
      </c>
      <c r="AG27" s="6">
        <v>0</v>
      </c>
      <c r="AH27" s="6">
        <v>0</v>
      </c>
      <c r="AI27" s="6">
        <v>0</v>
      </c>
      <c r="AJ27" s="6">
        <v>0</v>
      </c>
      <c r="AK27" s="6">
        <v>0</v>
      </c>
      <c r="AL27" s="6">
        <v>0</v>
      </c>
      <c r="AM27" s="6">
        <v>0</v>
      </c>
      <c r="AN27" s="6">
        <v>0</v>
      </c>
      <c r="AO27" s="6">
        <v>0</v>
      </c>
      <c r="AP27" s="6">
        <v>0</v>
      </c>
      <c r="AQ27" s="6">
        <v>0</v>
      </c>
      <c r="AR27" s="6">
        <v>0</v>
      </c>
      <c r="AS27" s="6">
        <v>0</v>
      </c>
      <c r="AT27" s="6">
        <v>0</v>
      </c>
      <c r="AU27" s="8">
        <v>1100</v>
      </c>
      <c r="AV27" s="12">
        <v>1100</v>
      </c>
      <c r="AW27">
        <v>770</v>
      </c>
    </row>
    <row r="28" spans="1:49" ht="19.2" x14ac:dyDescent="0.4">
      <c r="A28" s="1" t="s">
        <v>95</v>
      </c>
      <c r="B28" s="4" t="s">
        <v>67</v>
      </c>
      <c r="C28" s="4">
        <v>408836</v>
      </c>
      <c r="D28" s="5"/>
      <c r="E28" s="4" t="s">
        <v>26</v>
      </c>
      <c r="F28" s="4" t="s">
        <v>27</v>
      </c>
      <c r="G28" s="4" t="s">
        <v>39</v>
      </c>
      <c r="H28" s="6" t="s">
        <v>8</v>
      </c>
      <c r="I28" s="6" t="s">
        <v>68</v>
      </c>
      <c r="J28" s="6">
        <v>0</v>
      </c>
      <c r="K28" s="6">
        <v>0</v>
      </c>
      <c r="L28" s="6">
        <v>0</v>
      </c>
      <c r="M28" s="6">
        <v>0</v>
      </c>
      <c r="N28" s="6">
        <v>0</v>
      </c>
      <c r="O28" s="6">
        <v>0</v>
      </c>
      <c r="P28" s="6">
        <v>0</v>
      </c>
      <c r="Q28" s="6">
        <v>0</v>
      </c>
      <c r="R28" s="6">
        <v>0</v>
      </c>
      <c r="S28" s="6">
        <v>0</v>
      </c>
      <c r="T28" s="6">
        <v>0</v>
      </c>
      <c r="U28" s="6">
        <v>0</v>
      </c>
      <c r="V28" s="6">
        <v>0</v>
      </c>
      <c r="W28" s="6">
        <v>0</v>
      </c>
      <c r="X28" s="6">
        <v>0</v>
      </c>
      <c r="Y28" s="6">
        <v>0</v>
      </c>
      <c r="Z28" s="6">
        <v>0</v>
      </c>
      <c r="AA28" s="6">
        <v>0</v>
      </c>
      <c r="AB28" s="6">
        <v>0</v>
      </c>
      <c r="AC28" s="7">
        <v>1400</v>
      </c>
      <c r="AD28" s="6">
        <v>0</v>
      </c>
      <c r="AE28" s="6">
        <v>0</v>
      </c>
      <c r="AF28" s="7">
        <v>1400</v>
      </c>
      <c r="AG28" s="6">
        <v>0</v>
      </c>
      <c r="AH28" s="6">
        <v>0</v>
      </c>
      <c r="AI28" s="7">
        <v>1400</v>
      </c>
      <c r="AJ28" s="6">
        <v>0</v>
      </c>
      <c r="AK28" s="6">
        <v>0</v>
      </c>
      <c r="AL28" s="7">
        <v>1400</v>
      </c>
      <c r="AM28" s="6">
        <v>0</v>
      </c>
      <c r="AN28" s="6">
        <v>0</v>
      </c>
      <c r="AO28" s="6">
        <v>0</v>
      </c>
      <c r="AP28" s="7">
        <v>1400</v>
      </c>
      <c r="AQ28" s="6">
        <v>0</v>
      </c>
      <c r="AR28" s="6">
        <v>0</v>
      </c>
      <c r="AS28" s="7">
        <v>1400</v>
      </c>
      <c r="AT28" s="6">
        <v>0</v>
      </c>
      <c r="AU28" s="8">
        <v>1400</v>
      </c>
      <c r="AV28" s="12">
        <v>1400</v>
      </c>
      <c r="AW28">
        <v>979.99999999999989</v>
      </c>
    </row>
    <row r="29" spans="1:49" ht="19.2" x14ac:dyDescent="0.4">
      <c r="A29" s="1" t="s">
        <v>95</v>
      </c>
      <c r="B29" s="4" t="s">
        <v>153</v>
      </c>
      <c r="C29" s="4">
        <v>361185</v>
      </c>
      <c r="D29" s="5"/>
      <c r="E29" s="4" t="s">
        <v>26</v>
      </c>
      <c r="F29" s="4" t="s">
        <v>27</v>
      </c>
      <c r="G29" s="4" t="s">
        <v>39</v>
      </c>
      <c r="H29" s="6" t="s">
        <v>8</v>
      </c>
      <c r="I29" s="6" t="s">
        <v>154</v>
      </c>
      <c r="J29" s="6">
        <v>0</v>
      </c>
      <c r="K29" s="6">
        <v>0</v>
      </c>
      <c r="L29" s="6">
        <v>0</v>
      </c>
      <c r="M29" s="6">
        <v>0</v>
      </c>
      <c r="N29" s="6">
        <v>0</v>
      </c>
      <c r="O29" s="6">
        <v>0</v>
      </c>
      <c r="P29" s="6">
        <v>0</v>
      </c>
      <c r="Q29" s="6">
        <v>0</v>
      </c>
      <c r="R29" s="6">
        <v>0</v>
      </c>
      <c r="S29" s="6">
        <v>0</v>
      </c>
      <c r="T29" s="6">
        <v>0</v>
      </c>
      <c r="U29" s="6">
        <v>0</v>
      </c>
      <c r="V29" s="6">
        <v>0</v>
      </c>
      <c r="W29" s="6">
        <v>0</v>
      </c>
      <c r="X29" s="6">
        <v>0</v>
      </c>
      <c r="Y29" s="6">
        <v>0</v>
      </c>
      <c r="Z29" s="6">
        <v>0</v>
      </c>
      <c r="AA29" s="6">
        <v>0</v>
      </c>
      <c r="AB29" s="6">
        <v>0</v>
      </c>
      <c r="AC29" s="6">
        <v>0</v>
      </c>
      <c r="AD29" s="6">
        <v>0</v>
      </c>
      <c r="AE29" s="6">
        <v>0</v>
      </c>
      <c r="AF29" s="6">
        <v>0</v>
      </c>
      <c r="AG29" s="6">
        <v>0</v>
      </c>
      <c r="AH29" s="6">
        <v>0</v>
      </c>
      <c r="AI29" s="6">
        <v>0</v>
      </c>
      <c r="AJ29" s="6">
        <v>0</v>
      </c>
      <c r="AK29" s="6">
        <v>0</v>
      </c>
      <c r="AL29" s="6">
        <v>0</v>
      </c>
      <c r="AM29" s="6">
        <v>0</v>
      </c>
      <c r="AN29" s="6">
        <v>0</v>
      </c>
      <c r="AO29" s="6">
        <v>0</v>
      </c>
      <c r="AP29" s="6">
        <v>0</v>
      </c>
      <c r="AQ29" s="6">
        <v>0</v>
      </c>
      <c r="AR29" s="6">
        <v>0</v>
      </c>
      <c r="AS29" s="6">
        <v>0</v>
      </c>
      <c r="AT29" s="6">
        <v>0</v>
      </c>
      <c r="AU29" s="9">
        <v>200</v>
      </c>
      <c r="AV29" s="12">
        <v>200</v>
      </c>
      <c r="AW29">
        <v>140</v>
      </c>
    </row>
    <row r="30" spans="1:49" ht="19.2" x14ac:dyDescent="0.4">
      <c r="A30" s="1" t="s">
        <v>95</v>
      </c>
      <c r="B30" s="4" t="s">
        <v>127</v>
      </c>
      <c r="C30" s="4">
        <v>461432</v>
      </c>
      <c r="D30" s="5"/>
      <c r="E30" s="4" t="s">
        <v>26</v>
      </c>
      <c r="F30" s="4" t="s">
        <v>46</v>
      </c>
      <c r="G30" s="4" t="s">
        <v>39</v>
      </c>
      <c r="H30" s="6" t="s">
        <v>104</v>
      </c>
      <c r="I30" s="6" t="s">
        <v>118</v>
      </c>
      <c r="J30" s="6">
        <v>0</v>
      </c>
      <c r="K30" s="6">
        <v>0</v>
      </c>
      <c r="L30" s="6">
        <v>0</v>
      </c>
      <c r="M30" s="6">
        <v>0</v>
      </c>
      <c r="N30" s="6">
        <v>0</v>
      </c>
      <c r="O30" s="6">
        <v>0</v>
      </c>
      <c r="P30" s="6">
        <v>0</v>
      </c>
      <c r="Q30" s="6">
        <v>0</v>
      </c>
      <c r="R30" s="6">
        <v>0</v>
      </c>
      <c r="S30" s="6">
        <v>0</v>
      </c>
      <c r="T30" s="6">
        <v>0</v>
      </c>
      <c r="U30" s="6">
        <v>0</v>
      </c>
      <c r="V30" s="6">
        <v>0</v>
      </c>
      <c r="W30" s="6">
        <v>0</v>
      </c>
      <c r="X30" s="6">
        <v>0</v>
      </c>
      <c r="Y30" s="6">
        <v>0</v>
      </c>
      <c r="Z30" s="6">
        <v>0</v>
      </c>
      <c r="AA30" s="6">
        <v>0</v>
      </c>
      <c r="AB30" s="6">
        <v>0</v>
      </c>
      <c r="AC30" s="6">
        <v>0</v>
      </c>
      <c r="AD30" s="6">
        <v>0</v>
      </c>
      <c r="AE30" s="6">
        <v>0</v>
      </c>
      <c r="AF30" s="6">
        <v>0</v>
      </c>
      <c r="AG30" s="6">
        <v>0</v>
      </c>
      <c r="AH30" s="6">
        <v>0</v>
      </c>
      <c r="AI30" s="6">
        <v>0</v>
      </c>
      <c r="AJ30" s="6">
        <v>0</v>
      </c>
      <c r="AK30" s="6">
        <v>0</v>
      </c>
      <c r="AL30" s="6">
        <v>0</v>
      </c>
      <c r="AM30" s="6">
        <v>0</v>
      </c>
      <c r="AN30" s="6">
        <v>0</v>
      </c>
      <c r="AO30" s="6">
        <v>0</v>
      </c>
      <c r="AP30" s="6">
        <v>0</v>
      </c>
      <c r="AQ30" s="6">
        <v>0</v>
      </c>
      <c r="AR30" s="6">
        <v>0</v>
      </c>
      <c r="AS30" s="6">
        <v>0</v>
      </c>
      <c r="AT30" s="6">
        <v>0</v>
      </c>
      <c r="AU30" s="9">
        <v>100</v>
      </c>
      <c r="AV30" s="12">
        <v>100</v>
      </c>
      <c r="AW30">
        <v>70</v>
      </c>
    </row>
  </sheetData>
  <phoneticPr fontId="20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AW3"/>
  <sheetViews>
    <sheetView workbookViewId="0"/>
  </sheetViews>
  <sheetFormatPr defaultRowHeight="17.399999999999999" x14ac:dyDescent="0.4"/>
  <cols>
    <col min="1" max="1" width="11.3984375" bestFit="1" customWidth="1"/>
    <col min="3" max="3" width="6.5" bestFit="1" customWidth="1"/>
    <col min="4" max="4" width="7.19921875" bestFit="1" customWidth="1"/>
    <col min="5" max="5" width="8.3984375" bestFit="1" customWidth="1"/>
    <col min="6" max="6" width="4.796875" bestFit="1" customWidth="1"/>
    <col min="7" max="7" width="8.3984375" bestFit="1" customWidth="1"/>
    <col min="8" max="8" width="7.19921875" bestFit="1" customWidth="1"/>
    <col min="9" max="9" width="7.3984375" bestFit="1" customWidth="1"/>
    <col min="10" max="10" width="3.59765625" bestFit="1" customWidth="1"/>
    <col min="11" max="11" width="4.796875" bestFit="1" customWidth="1"/>
    <col min="12" max="12" width="7.19921875" bestFit="1" customWidth="1"/>
    <col min="13" max="14" width="6" bestFit="1" customWidth="1"/>
    <col min="15" max="16" width="6.296875" bestFit="1" customWidth="1"/>
    <col min="17" max="18" width="8.3984375" bestFit="1" customWidth="1"/>
    <col min="19" max="19" width="3.59765625" bestFit="1" customWidth="1"/>
    <col min="20" max="20" width="4.796875" bestFit="1" customWidth="1"/>
    <col min="21" max="21" width="7.19921875" bestFit="1" customWidth="1"/>
    <col min="22" max="23" width="6" bestFit="1" customWidth="1"/>
    <col min="24" max="25" width="6.296875" bestFit="1" customWidth="1"/>
    <col min="26" max="27" width="8.3984375" bestFit="1" customWidth="1"/>
    <col min="28" max="39" width="3.59765625" bestFit="1" customWidth="1"/>
    <col min="40" max="40" width="7.8984375" bestFit="1" customWidth="1"/>
    <col min="41" max="47" width="3.59765625" bestFit="1" customWidth="1"/>
    <col min="48" max="48" width="8.09765625" bestFit="1" customWidth="1"/>
    <col min="49" max="49" width="5.8984375" bestFit="1" customWidth="1"/>
  </cols>
  <sheetData>
    <row r="1" spans="1:49" ht="19.2" x14ac:dyDescent="0.4">
      <c r="A1" s="2" t="s">
        <v>10</v>
      </c>
      <c r="B1" s="2" t="s">
        <v>0</v>
      </c>
      <c r="C1" s="2" t="s">
        <v>1</v>
      </c>
      <c r="D1" s="3" t="s">
        <v>2</v>
      </c>
      <c r="E1" s="2" t="s">
        <v>3</v>
      </c>
      <c r="F1" s="2" t="s">
        <v>4</v>
      </c>
      <c r="G1" s="2" t="s">
        <v>5</v>
      </c>
      <c r="H1" s="3" t="s">
        <v>6</v>
      </c>
      <c r="I1" s="3" t="s">
        <v>7</v>
      </c>
      <c r="J1" s="10" t="s">
        <v>11</v>
      </c>
      <c r="K1" s="10" t="s">
        <v>12</v>
      </c>
      <c r="L1" s="10" t="s">
        <v>13</v>
      </c>
      <c r="M1" s="10" t="s">
        <v>14</v>
      </c>
      <c r="N1" s="10" t="s">
        <v>15</v>
      </c>
      <c r="O1" s="10" t="s">
        <v>16</v>
      </c>
      <c r="P1" s="10" t="s">
        <v>17</v>
      </c>
      <c r="Q1" s="10" t="s">
        <v>18</v>
      </c>
      <c r="R1" s="10" t="s">
        <v>19</v>
      </c>
      <c r="S1" s="10" t="s">
        <v>11</v>
      </c>
      <c r="T1" s="10" t="s">
        <v>12</v>
      </c>
      <c r="U1" s="10" t="s">
        <v>13</v>
      </c>
      <c r="V1" s="10" t="s">
        <v>14</v>
      </c>
      <c r="W1" s="10" t="s">
        <v>15</v>
      </c>
      <c r="X1" s="10" t="s">
        <v>16</v>
      </c>
      <c r="Y1" s="10" t="s">
        <v>17</v>
      </c>
      <c r="Z1" s="10" t="s">
        <v>18</v>
      </c>
      <c r="AA1" s="10" t="s">
        <v>19</v>
      </c>
      <c r="AB1" s="10" t="s">
        <v>11</v>
      </c>
      <c r="AC1" s="10" t="s">
        <v>20</v>
      </c>
      <c r="AD1" s="10" t="s">
        <v>21</v>
      </c>
      <c r="AE1" s="10" t="s">
        <v>11</v>
      </c>
      <c r="AF1" s="10" t="s">
        <v>20</v>
      </c>
      <c r="AG1" s="10" t="s">
        <v>21</v>
      </c>
      <c r="AH1" s="10" t="s">
        <v>11</v>
      </c>
      <c r="AI1" s="10" t="s">
        <v>20</v>
      </c>
      <c r="AJ1" s="10" t="s">
        <v>21</v>
      </c>
      <c r="AK1" s="10" t="s">
        <v>11</v>
      </c>
      <c r="AL1" s="10" t="s">
        <v>20</v>
      </c>
      <c r="AM1" s="10" t="s">
        <v>21</v>
      </c>
      <c r="AN1" s="11" t="s">
        <v>22</v>
      </c>
      <c r="AO1" s="10" t="s">
        <v>11</v>
      </c>
      <c r="AP1" s="10" t="s">
        <v>20</v>
      </c>
      <c r="AQ1" s="10" t="s">
        <v>21</v>
      </c>
      <c r="AR1" s="10" t="s">
        <v>11</v>
      </c>
      <c r="AS1" s="10" t="s">
        <v>20</v>
      </c>
      <c r="AT1" s="10" t="s">
        <v>21</v>
      </c>
      <c r="AU1" s="11" t="s">
        <v>23</v>
      </c>
      <c r="AV1" s="10" t="s">
        <v>24</v>
      </c>
      <c r="AW1" s="11" t="s">
        <v>25</v>
      </c>
    </row>
    <row r="2" spans="1:49" ht="28.8" x14ac:dyDescent="0.4">
      <c r="A2" s="1" t="s">
        <v>80</v>
      </c>
      <c r="B2" s="4" t="s">
        <v>40</v>
      </c>
      <c r="C2" s="4">
        <v>440710</v>
      </c>
      <c r="D2" s="5"/>
      <c r="E2" s="4" t="s">
        <v>26</v>
      </c>
      <c r="F2" s="4" t="s">
        <v>41</v>
      </c>
      <c r="G2" s="4" t="s">
        <v>98</v>
      </c>
      <c r="H2" s="6" t="s">
        <v>8</v>
      </c>
      <c r="I2" s="6" t="s">
        <v>53</v>
      </c>
      <c r="J2" s="6">
        <v>0</v>
      </c>
      <c r="K2" s="6">
        <v>34</v>
      </c>
      <c r="L2" s="6">
        <v>0</v>
      </c>
      <c r="M2" s="6">
        <v>0</v>
      </c>
      <c r="N2" s="6">
        <v>0</v>
      </c>
      <c r="O2" s="6">
        <v>0</v>
      </c>
      <c r="P2" s="6">
        <v>0</v>
      </c>
      <c r="Q2" s="6">
        <v>0</v>
      </c>
      <c r="R2" s="6">
        <v>0</v>
      </c>
      <c r="S2" s="6">
        <v>0</v>
      </c>
      <c r="T2" s="6">
        <v>34</v>
      </c>
      <c r="U2" s="6">
        <v>0</v>
      </c>
      <c r="V2" s="6">
        <v>0</v>
      </c>
      <c r="W2" s="6">
        <v>0</v>
      </c>
      <c r="X2" s="6">
        <v>0</v>
      </c>
      <c r="Y2" s="6">
        <v>0</v>
      </c>
      <c r="Z2" s="6">
        <v>0</v>
      </c>
      <c r="AA2" s="6">
        <v>0</v>
      </c>
      <c r="AB2" s="6">
        <v>0</v>
      </c>
      <c r="AC2" s="6">
        <v>0</v>
      </c>
      <c r="AD2" s="6">
        <v>0</v>
      </c>
      <c r="AE2" s="6">
        <v>0</v>
      </c>
      <c r="AF2" s="6">
        <v>0</v>
      </c>
      <c r="AG2" s="6">
        <v>0</v>
      </c>
      <c r="AH2" s="6">
        <v>0</v>
      </c>
      <c r="AI2" s="6">
        <v>0</v>
      </c>
      <c r="AJ2" s="6">
        <v>0</v>
      </c>
      <c r="AK2" s="6">
        <v>0</v>
      </c>
      <c r="AL2" s="6">
        <v>0</v>
      </c>
      <c r="AM2" s="6">
        <v>0</v>
      </c>
      <c r="AN2" s="6">
        <v>0</v>
      </c>
      <c r="AO2" s="6">
        <v>0</v>
      </c>
      <c r="AP2" s="6">
        <v>0</v>
      </c>
      <c r="AQ2" s="6">
        <v>0</v>
      </c>
      <c r="AR2" s="6">
        <v>0</v>
      </c>
      <c r="AS2" s="6">
        <v>0</v>
      </c>
      <c r="AT2" s="6">
        <v>0</v>
      </c>
      <c r="AU2" s="9">
        <v>0</v>
      </c>
      <c r="AV2" s="12">
        <v>0</v>
      </c>
      <c r="AW2">
        <v>0</v>
      </c>
    </row>
    <row r="3" spans="1:49" ht="28.8" x14ac:dyDescent="0.4">
      <c r="A3" s="1" t="s">
        <v>86</v>
      </c>
      <c r="B3" s="4" t="s">
        <v>40</v>
      </c>
      <c r="C3" s="4">
        <v>440710</v>
      </c>
      <c r="D3" s="5"/>
      <c r="E3" s="4" t="s">
        <v>26</v>
      </c>
      <c r="F3" s="4" t="s">
        <v>41</v>
      </c>
      <c r="G3" s="4" t="s">
        <v>98</v>
      </c>
      <c r="H3" s="6" t="s">
        <v>8</v>
      </c>
      <c r="I3" s="6" t="s">
        <v>53</v>
      </c>
      <c r="J3" s="6">
        <v>0</v>
      </c>
      <c r="K3" s="6">
        <v>21</v>
      </c>
      <c r="L3" s="6">
        <v>0</v>
      </c>
      <c r="M3" s="6">
        <v>0</v>
      </c>
      <c r="N3" s="6">
        <v>0</v>
      </c>
      <c r="O3" s="6">
        <v>0</v>
      </c>
      <c r="P3" s="6">
        <v>0</v>
      </c>
      <c r="Q3" s="6">
        <v>0</v>
      </c>
      <c r="R3" s="6">
        <v>0</v>
      </c>
      <c r="S3" s="6">
        <v>0</v>
      </c>
      <c r="T3" s="6">
        <v>21</v>
      </c>
      <c r="U3" s="6">
        <v>0</v>
      </c>
      <c r="V3" s="6">
        <v>0</v>
      </c>
      <c r="W3" s="6">
        <v>0</v>
      </c>
      <c r="X3" s="6">
        <v>0</v>
      </c>
      <c r="Y3" s="6">
        <v>0</v>
      </c>
      <c r="Z3" s="6">
        <v>0</v>
      </c>
      <c r="AA3" s="6">
        <v>0</v>
      </c>
      <c r="AB3" s="6">
        <v>0</v>
      </c>
      <c r="AC3" s="6">
        <v>0</v>
      </c>
      <c r="AD3" s="6">
        <v>0</v>
      </c>
      <c r="AE3" s="6">
        <v>0</v>
      </c>
      <c r="AF3" s="6">
        <v>0</v>
      </c>
      <c r="AG3" s="6">
        <v>0</v>
      </c>
      <c r="AH3" s="6">
        <v>0</v>
      </c>
      <c r="AI3" s="6">
        <v>0</v>
      </c>
      <c r="AJ3" s="6">
        <v>0</v>
      </c>
      <c r="AK3" s="6">
        <v>0</v>
      </c>
      <c r="AL3" s="6">
        <v>0</v>
      </c>
      <c r="AM3" s="6">
        <v>0</v>
      </c>
      <c r="AN3" s="6">
        <v>0</v>
      </c>
      <c r="AO3" s="6">
        <v>0</v>
      </c>
      <c r="AP3" s="6">
        <v>0</v>
      </c>
      <c r="AQ3" s="6">
        <v>0</v>
      </c>
      <c r="AR3" s="6">
        <v>0</v>
      </c>
      <c r="AS3" s="6">
        <v>0</v>
      </c>
      <c r="AT3" s="6">
        <v>0</v>
      </c>
      <c r="AU3" s="9">
        <v>0</v>
      </c>
      <c r="AV3" s="12">
        <v>0</v>
      </c>
      <c r="AW3">
        <v>0</v>
      </c>
    </row>
  </sheetData>
  <phoneticPr fontId="20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5</vt:i4>
      </vt:variant>
      <vt:variant>
        <vt:lpstr>이름이 지정된 범위</vt:lpstr>
      </vt:variant>
      <vt:variant>
        <vt:i4>4</vt:i4>
      </vt:variant>
    </vt:vector>
  </HeadingPairs>
  <TitlesOfParts>
    <vt:vector size="9" baseType="lpstr">
      <vt:lpstr>합계 (3)</vt:lpstr>
      <vt:lpstr>더컴퍼니</vt:lpstr>
      <vt:lpstr>밀리의 서재</vt:lpstr>
      <vt:lpstr>에필로그</vt:lpstr>
      <vt:lpstr>아크스튜디오</vt:lpstr>
      <vt:lpstr>더컴퍼니!Extract</vt:lpstr>
      <vt:lpstr>'밀리의 서재'!Extract</vt:lpstr>
      <vt:lpstr>아크스튜디오!Extract</vt:lpstr>
      <vt:lpstr>에필로그!Extract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컨텐츠별 매출통계</dc:title>
  <dc:creator>Administrator</dc:creator>
  <cp:lastModifiedBy>storywiz</cp:lastModifiedBy>
  <dcterms:created xsi:type="dcterms:W3CDTF">2019-02-07T01:40:45Z</dcterms:created>
  <dcterms:modified xsi:type="dcterms:W3CDTF">2022-04-06T06:20:37Z</dcterms:modified>
</cp:coreProperties>
</file>