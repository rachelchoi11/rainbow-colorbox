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/>
  <mc:AlternateContent xmlns:mc="http://schemas.openxmlformats.org/markup-compatibility/2006">
    <mc:Choice Requires="x15">
      <x15ac:absPath xmlns:x15ac="http://schemas.microsoft.com/office/spreadsheetml/2010/11/ac" url="H:\.shortcut-targets-by-id\18eFz_Ssyejfmumegj_xXCj9Lo8kLL8Bq\정산\02_이북정산\2022년\업체 정산_국내\스토리위즈 O\"/>
    </mc:Choice>
  </mc:AlternateContent>
  <xr:revisionPtr revIDLastSave="0" documentId="13_ncr:1_{4E068656-D193-43F4-A938-A485C7E3289E}" xr6:coauthVersionLast="36" xr6:coauthVersionMax="36" xr10:uidLastSave="{00000000-0000-0000-0000-000000000000}"/>
  <bookViews>
    <workbookView xWindow="0" yWindow="0" windowWidth="28800" windowHeight="12285" tabRatio="665" firstSheet="9" activeTab="23" xr2:uid="{00000000-000D-0000-FFFF-FFFF00000000}"/>
  </bookViews>
  <sheets>
    <sheet name="서비스현황" sheetId="1" r:id="rId1"/>
    <sheet name="202012" sheetId="2" r:id="rId2"/>
    <sheet name="202101" sheetId="3" r:id="rId3"/>
    <sheet name="202102" sheetId="4" r:id="rId4"/>
    <sheet name="202103" sheetId="5" r:id="rId5"/>
    <sheet name="202104" sheetId="6" r:id="rId6"/>
    <sheet name="202105" sheetId="7" r:id="rId7"/>
    <sheet name="202106" sheetId="8" r:id="rId8"/>
    <sheet name="202107" sheetId="9" r:id="rId9"/>
    <sheet name="202108" sheetId="10" r:id="rId10"/>
    <sheet name="202109" sheetId="11" r:id="rId11"/>
    <sheet name="202110" sheetId="12" r:id="rId12"/>
    <sheet name="202111" sheetId="13" r:id="rId13"/>
    <sheet name="202112" sheetId="14" r:id="rId14"/>
    <sheet name="202201" sheetId="15" r:id="rId15"/>
    <sheet name="202202" sheetId="16" r:id="rId16"/>
    <sheet name="202203" sheetId="17" r:id="rId17"/>
    <sheet name="202204" sheetId="18" r:id="rId18"/>
    <sheet name="202205" sheetId="19" r:id="rId19"/>
    <sheet name="202206" sheetId="20" r:id="rId20"/>
    <sheet name="202207" sheetId="21" r:id="rId21"/>
    <sheet name="202208" sheetId="22" r:id="rId22"/>
    <sheet name="202209" sheetId="23" r:id="rId23"/>
    <sheet name="202210" sheetId="24" r:id="rId24"/>
  </sheets>
  <calcPr calcId="191029"/>
  <extLst>
    <ext uri="GoogleSheetsCustomDataVersion1">
      <go:sheetsCustomData xmlns:go="http://customooxmlschemas.google.com/" r:id="rId25" roundtripDataSignature="AMtx7mhhE3/e5qBWMmruoz6uU0TMOWfKUA=="/>
    </ext>
  </extLst>
</workbook>
</file>

<file path=xl/calcChain.xml><?xml version="1.0" encoding="utf-8"?>
<calcChain xmlns="http://schemas.openxmlformats.org/spreadsheetml/2006/main">
  <c r="F17" i="24" l="1"/>
  <c r="C17" i="24"/>
  <c r="E17" i="24"/>
  <c r="D17" i="24"/>
  <c r="H16" i="24"/>
  <c r="I16" i="24" s="1"/>
  <c r="H15" i="24"/>
  <c r="I15" i="24" s="1"/>
  <c r="H14" i="24"/>
  <c r="I14" i="24" s="1"/>
  <c r="H13" i="24"/>
  <c r="I13" i="24" s="1"/>
  <c r="H12" i="24"/>
  <c r="I12" i="24" s="1"/>
  <c r="G11" i="24"/>
  <c r="G17" i="24" s="1"/>
  <c r="H11" i="24" l="1"/>
  <c r="H17" i="24" s="1"/>
  <c r="I11" i="24" l="1"/>
  <c r="I17" i="24" s="1"/>
  <c r="B4" i="24" s="1"/>
  <c r="C4" i="24" s="1"/>
  <c r="F17" i="23" l="1"/>
  <c r="E17" i="23"/>
  <c r="D17" i="23"/>
  <c r="C17" i="23"/>
  <c r="H16" i="23"/>
  <c r="I16" i="23" s="1"/>
  <c r="H15" i="23"/>
  <c r="I15" i="23" s="1"/>
  <c r="H14" i="23"/>
  <c r="I14" i="23" s="1"/>
  <c r="H13" i="23"/>
  <c r="I13" i="23" s="1"/>
  <c r="H12" i="23"/>
  <c r="I12" i="23" s="1"/>
  <c r="G11" i="23"/>
  <c r="G17" i="23" s="1"/>
  <c r="H11" i="23" l="1"/>
  <c r="H17" i="23" s="1"/>
  <c r="I11" i="23"/>
  <c r="I17" i="23" s="1"/>
  <c r="B4" i="23" s="1"/>
  <c r="C4" i="23" s="1"/>
  <c r="F17" i="22"/>
  <c r="E17" i="22"/>
  <c r="D17" i="22"/>
  <c r="C17" i="22"/>
  <c r="H16" i="22"/>
  <c r="I16" i="22" s="1"/>
  <c r="I15" i="22"/>
  <c r="H15" i="22"/>
  <c r="H14" i="22"/>
  <c r="I14" i="22" s="1"/>
  <c r="H13" i="22"/>
  <c r="I13" i="22" s="1"/>
  <c r="H12" i="22"/>
  <c r="I12" i="22" s="1"/>
  <c r="G11" i="22"/>
  <c r="H11" i="22" s="1"/>
  <c r="H17" i="22" l="1"/>
  <c r="I11" i="22"/>
  <c r="I17" i="22" s="1"/>
  <c r="B4" i="22" s="1"/>
  <c r="C4" i="22" s="1"/>
  <c r="G17" i="22"/>
  <c r="F17" i="21"/>
  <c r="E17" i="21"/>
  <c r="D17" i="21"/>
  <c r="C17" i="21"/>
  <c r="H16" i="21"/>
  <c r="I16" i="21" s="1"/>
  <c r="H15" i="21"/>
  <c r="I15" i="21" s="1"/>
  <c r="H14" i="21"/>
  <c r="I14" i="21" s="1"/>
  <c r="H13" i="21"/>
  <c r="I13" i="21" s="1"/>
  <c r="H12" i="21"/>
  <c r="I12" i="21" s="1"/>
  <c r="G11" i="21"/>
  <c r="G17" i="21" s="1"/>
  <c r="H11" i="21" l="1"/>
  <c r="H17" i="21" s="1"/>
  <c r="F17" i="20"/>
  <c r="E17" i="20"/>
  <c r="D17" i="20"/>
  <c r="C17" i="20"/>
  <c r="H16" i="20"/>
  <c r="I16" i="20" s="1"/>
  <c r="H15" i="20"/>
  <c r="I15" i="20" s="1"/>
  <c r="H14" i="20"/>
  <c r="I14" i="20" s="1"/>
  <c r="H13" i="20"/>
  <c r="I13" i="20" s="1"/>
  <c r="H12" i="20"/>
  <c r="I12" i="20" s="1"/>
  <c r="G11" i="20"/>
  <c r="H11" i="20" s="1"/>
  <c r="I11" i="21" l="1"/>
  <c r="I17" i="21" s="1"/>
  <c r="B4" i="21" s="1"/>
  <c r="C4" i="21" s="1"/>
  <c r="H17" i="20"/>
  <c r="I11" i="20"/>
  <c r="I17" i="20" s="1"/>
  <c r="B4" i="20" s="1"/>
  <c r="C4" i="20" s="1"/>
  <c r="G17" i="20"/>
  <c r="G17" i="19"/>
  <c r="F17" i="19"/>
  <c r="E17" i="19"/>
  <c r="D17" i="19"/>
  <c r="C17" i="19"/>
  <c r="H16" i="19"/>
  <c r="I16" i="19" s="1"/>
  <c r="H15" i="19"/>
  <c r="I15" i="19" s="1"/>
  <c r="I14" i="19"/>
  <c r="H14" i="19"/>
  <c r="H13" i="19"/>
  <c r="I13" i="19" s="1"/>
  <c r="H12" i="19"/>
  <c r="I12" i="19" s="1"/>
  <c r="I11" i="19"/>
  <c r="H11" i="19"/>
  <c r="G11" i="19"/>
  <c r="F16" i="18"/>
  <c r="E16" i="18"/>
  <c r="D16" i="18"/>
  <c r="C16" i="18"/>
  <c r="I15" i="18"/>
  <c r="H15" i="18"/>
  <c r="H14" i="18"/>
  <c r="I14" i="18" s="1"/>
  <c r="H13" i="18"/>
  <c r="I13" i="18" s="1"/>
  <c r="I12" i="18"/>
  <c r="H12" i="18"/>
  <c r="G11" i="18"/>
  <c r="G16" i="18" s="1"/>
  <c r="F15" i="17"/>
  <c r="E15" i="17"/>
  <c r="D15" i="17"/>
  <c r="C15" i="17"/>
  <c r="H14" i="17"/>
  <c r="I14" i="17" s="1"/>
  <c r="H13" i="17"/>
  <c r="I13" i="17" s="1"/>
  <c r="H12" i="17"/>
  <c r="I12" i="17" s="1"/>
  <c r="G11" i="17"/>
  <c r="G15" i="17" s="1"/>
  <c r="F15" i="16"/>
  <c r="E15" i="16"/>
  <c r="D15" i="16"/>
  <c r="C15" i="16"/>
  <c r="H14" i="16"/>
  <c r="I14" i="16" s="1"/>
  <c r="I13" i="16"/>
  <c r="H13" i="16"/>
  <c r="H12" i="16"/>
  <c r="I12" i="16" s="1"/>
  <c r="G11" i="16"/>
  <c r="H11" i="16" s="1"/>
  <c r="F15" i="15"/>
  <c r="E15" i="15"/>
  <c r="D15" i="15"/>
  <c r="C15" i="15"/>
  <c r="H14" i="15"/>
  <c r="I14" i="15" s="1"/>
  <c r="H13" i="15"/>
  <c r="I13" i="15" s="1"/>
  <c r="H12" i="15"/>
  <c r="I12" i="15" s="1"/>
  <c r="G11" i="15"/>
  <c r="H11" i="15" s="1"/>
  <c r="F15" i="14"/>
  <c r="D15" i="14"/>
  <c r="C15" i="14"/>
  <c r="H14" i="14"/>
  <c r="I14" i="14" s="1"/>
  <c r="H13" i="14"/>
  <c r="I13" i="14" s="1"/>
  <c r="I12" i="14"/>
  <c r="H12" i="14"/>
  <c r="G11" i="14"/>
  <c r="G15" i="14" s="1"/>
  <c r="F15" i="13"/>
  <c r="D15" i="13"/>
  <c r="C15" i="13"/>
  <c r="H14" i="13"/>
  <c r="I14" i="13" s="1"/>
  <c r="H13" i="13"/>
  <c r="I13" i="13" s="1"/>
  <c r="H12" i="13"/>
  <c r="I12" i="13" s="1"/>
  <c r="G11" i="13"/>
  <c r="H11" i="13" s="1"/>
  <c r="F15" i="12"/>
  <c r="D15" i="12"/>
  <c r="C15" i="12"/>
  <c r="H14" i="12"/>
  <c r="I14" i="12" s="1"/>
  <c r="H13" i="12"/>
  <c r="I13" i="12" s="1"/>
  <c r="H12" i="12"/>
  <c r="I12" i="12" s="1"/>
  <c r="G11" i="12"/>
  <c r="G15" i="12" s="1"/>
  <c r="D16" i="11"/>
  <c r="C16" i="11"/>
  <c r="F15" i="11"/>
  <c r="G15" i="11" s="1"/>
  <c r="F14" i="11"/>
  <c r="G14" i="11" s="1"/>
  <c r="F13" i="11"/>
  <c r="G13" i="11" s="1"/>
  <c r="F12" i="11"/>
  <c r="G12" i="11" s="1"/>
  <c r="E11" i="11"/>
  <c r="E16" i="11" s="1"/>
  <c r="D14" i="10"/>
  <c r="C14" i="10"/>
  <c r="F13" i="10"/>
  <c r="G13" i="10" s="1"/>
  <c r="F12" i="10"/>
  <c r="G12" i="10" s="1"/>
  <c r="E11" i="10"/>
  <c r="F11" i="10" s="1"/>
  <c r="D13" i="9"/>
  <c r="C13" i="9"/>
  <c r="F12" i="9"/>
  <c r="G12" i="9" s="1"/>
  <c r="E11" i="9"/>
  <c r="E13" i="9" s="1"/>
  <c r="D12" i="8"/>
  <c r="C12" i="8"/>
  <c r="E11" i="8"/>
  <c r="E12" i="8" s="1"/>
  <c r="D12" i="7"/>
  <c r="C12" i="7"/>
  <c r="E11" i="7"/>
  <c r="E12" i="7" s="1"/>
  <c r="E12" i="6"/>
  <c r="D12" i="6"/>
  <c r="C12" i="6"/>
  <c r="E11" i="6"/>
  <c r="F11" i="6" s="1"/>
  <c r="D12" i="5"/>
  <c r="C12" i="5"/>
  <c r="E11" i="5"/>
  <c r="E12" i="5" s="1"/>
  <c r="D12" i="4"/>
  <c r="C12" i="4"/>
  <c r="E11" i="4"/>
  <c r="E12" i="4" s="1"/>
  <c r="D12" i="3"/>
  <c r="C12" i="3"/>
  <c r="E11" i="3"/>
  <c r="F11" i="3" s="1"/>
  <c r="E12" i="2"/>
  <c r="D12" i="2"/>
  <c r="C11" i="2"/>
  <c r="F11" i="2" s="1"/>
  <c r="H17" i="19" l="1"/>
  <c r="C12" i="2"/>
  <c r="E12" i="3"/>
  <c r="F11" i="7"/>
  <c r="G11" i="7" s="1"/>
  <c r="G12" i="7" s="1"/>
  <c r="B4" i="7" s="1"/>
  <c r="C4" i="7" s="1"/>
  <c r="F11" i="4"/>
  <c r="G11" i="4" s="1"/>
  <c r="G12" i="4" s="1"/>
  <c r="B4" i="4" s="1"/>
  <c r="C4" i="4" s="1"/>
  <c r="H15" i="13"/>
  <c r="I11" i="13"/>
  <c r="I15" i="13" s="1"/>
  <c r="B4" i="13" s="1"/>
  <c r="C4" i="13" s="1"/>
  <c r="H15" i="16"/>
  <c r="I11" i="16"/>
  <c r="I15" i="16" s="1"/>
  <c r="B4" i="16" s="1"/>
  <c r="C4" i="16" s="1"/>
  <c r="G11" i="3"/>
  <c r="G12" i="3" s="1"/>
  <c r="B4" i="3" s="1"/>
  <c r="C4" i="3" s="1"/>
  <c r="F12" i="3"/>
  <c r="H15" i="15"/>
  <c r="I11" i="15"/>
  <c r="I15" i="15" s="1"/>
  <c r="B4" i="15" s="1"/>
  <c r="C4" i="15" s="1"/>
  <c r="I17" i="19"/>
  <c r="B4" i="19" s="1"/>
  <c r="C4" i="19" s="1"/>
  <c r="G11" i="6"/>
  <c r="G12" i="6" s="1"/>
  <c r="B4" i="6" s="1"/>
  <c r="C4" i="6" s="1"/>
  <c r="F12" i="6"/>
  <c r="F12" i="2"/>
  <c r="G11" i="2"/>
  <c r="G12" i="2" s="1"/>
  <c r="B4" i="2" s="1"/>
  <c r="C4" i="2" s="1"/>
  <c r="G11" i="10"/>
  <c r="G14" i="10" s="1"/>
  <c r="B4" i="10" s="1"/>
  <c r="C4" i="10" s="1"/>
  <c r="F14" i="10"/>
  <c r="G15" i="16"/>
  <c r="H11" i="18"/>
  <c r="F11" i="5"/>
  <c r="F11" i="8"/>
  <c r="E14" i="10"/>
  <c r="F11" i="11"/>
  <c r="H11" i="12"/>
  <c r="G15" i="15"/>
  <c r="H11" i="17"/>
  <c r="F11" i="9"/>
  <c r="G15" i="13"/>
  <c r="H11" i="14"/>
  <c r="F12" i="4" l="1"/>
  <c r="F12" i="7"/>
  <c r="H15" i="17"/>
  <c r="I11" i="17"/>
  <c r="I15" i="17" s="1"/>
  <c r="B4" i="17" s="1"/>
  <c r="C4" i="17" s="1"/>
  <c r="F12" i="5"/>
  <c r="G11" i="5"/>
  <c r="G12" i="5" s="1"/>
  <c r="B4" i="5" s="1"/>
  <c r="C4" i="5" s="1"/>
  <c r="I11" i="12"/>
  <c r="I15" i="12" s="1"/>
  <c r="B4" i="12" s="1"/>
  <c r="C4" i="12" s="1"/>
  <c r="H15" i="12"/>
  <c r="I11" i="14"/>
  <c r="I15" i="14" s="1"/>
  <c r="B4" i="14" s="1"/>
  <c r="C4" i="14" s="1"/>
  <c r="H15" i="14"/>
  <c r="I11" i="18"/>
  <c r="I16" i="18" s="1"/>
  <c r="B4" i="18" s="1"/>
  <c r="C4" i="18" s="1"/>
  <c r="H16" i="18"/>
  <c r="F13" i="9"/>
  <c r="G11" i="9"/>
  <c r="G13" i="9" s="1"/>
  <c r="B4" i="9" s="1"/>
  <c r="C4" i="9" s="1"/>
  <c r="F16" i="11"/>
  <c r="G11" i="11"/>
  <c r="G16" i="11" s="1"/>
  <c r="B4" i="11" s="1"/>
  <c r="C4" i="11" s="1"/>
  <c r="F12" i="8"/>
  <c r="G11" i="8"/>
  <c r="G12" i="8" s="1"/>
  <c r="B4" i="8" s="1"/>
  <c r="C4" i="8" s="1"/>
</calcChain>
</file>

<file path=xl/sharedStrings.xml><?xml version="1.0" encoding="utf-8"?>
<sst xmlns="http://schemas.openxmlformats.org/spreadsheetml/2006/main" count="608" uniqueCount="48">
  <si>
    <t>로드 오브 머니</t>
  </si>
  <si>
    <t>플랫폼</t>
  </si>
  <si>
    <t>서비스 시작일</t>
  </si>
  <si>
    <t>서비스 사이트</t>
  </si>
  <si>
    <t>비고</t>
  </si>
  <si>
    <t>카카오페이지</t>
  </si>
  <si>
    <t>20.12.26</t>
  </si>
  <si>
    <t>https://page.kakao.com/home?seriesId=56237804&amp;page=2</t>
  </si>
  <si>
    <t>웹/앱 서비스</t>
  </si>
  <si>
    <t>[ (로드 오브 머니) 계산서 내역]</t>
  </si>
  <si>
    <t>해당월</t>
  </si>
  <si>
    <t>공급가액</t>
  </si>
  <si>
    <t>합계금액</t>
  </si>
  <si>
    <t>*(1) 공급가액 = 원작사 배분 수익 합계</t>
  </si>
  <si>
    <t>o (로드 오브 머니) '직전 월 잔여 선MG(국내) 합계' 세부 내역</t>
  </si>
  <si>
    <t>구분</t>
  </si>
  <si>
    <t>고료(또는 MG) 수익(2)</t>
  </si>
  <si>
    <t>유료 정산 (3)</t>
  </si>
  <si>
    <t>유료 정산 수익(4)</t>
  </si>
  <si>
    <t>총 수익(5)</t>
  </si>
  <si>
    <t>원작사 배분 수익 합계(6)</t>
  </si>
  <si>
    <t>합계</t>
  </si>
  <si>
    <t>*(2) 고료(또는 MG) 수익 = 화당 비용 * 해당월 업데이트 분량</t>
  </si>
  <si>
    <t>*(3) 유료 정산= 플랫폼 순매출 * 수익배분율(RS%)</t>
  </si>
  <si>
    <t>*(4) 유료정산수익 = 유료 정산 수익 - MG 수익( - 일 경우 0)</t>
  </si>
  <si>
    <t>*(5) 총수익 = 각 플랫폼 별 (고료(또는 MG) 수익 + 유료 정산 수익)</t>
  </si>
  <si>
    <t>*(6) 원작사 배분 수익 합계 = (고료(또는 MG) 수익 + 유료 정산 초과 수익)  * 15%</t>
  </si>
  <si>
    <t>네오바자르(인도네시아)MG(10)</t>
  </si>
  <si>
    <t>카카오웹툰_글로벌 MG</t>
  </si>
  <si>
    <t>MG상계중</t>
  </si>
  <si>
    <t>네오바자르(인도네시아)</t>
  </si>
  <si>
    <t>카카오웹툰</t>
  </si>
  <si>
    <t>카카오웹툰_글로벌(7)</t>
  </si>
  <si>
    <t>네오바자르(인도네시아)(7)</t>
  </si>
  <si>
    <t>픽코마(일본) MG (7)</t>
  </si>
  <si>
    <t>*(7) 해외 정산 = 플랫폼 순매출 * 수익배분율(RS%)</t>
  </si>
  <si>
    <t>카카오페이지 (3)</t>
  </si>
  <si>
    <t>카카오웹툰 (3)</t>
  </si>
  <si>
    <t>카카오페이지+카카오웹툰</t>
  </si>
  <si>
    <t>픽코마(일본) (8)</t>
  </si>
  <si>
    <t>카카오웹툰_글로벌(8)</t>
  </si>
  <si>
    <t>네오바자르(인도네시아)(8)</t>
  </si>
  <si>
    <t>픽코마(프랑스) MG (8)</t>
  </si>
  <si>
    <t>타파스(스페인) MG (8)</t>
  </si>
  <si>
    <t>픽코마(프랑스) (8)</t>
    <phoneticPr fontId="14" type="noConversion"/>
  </si>
  <si>
    <t>상계중</t>
  </si>
  <si>
    <t>픽코마(프랑스) (8)</t>
  </si>
  <si>
    <t>타파스(스페인)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</si>
</sst>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rgb="FF000000"/>
      <name val="Apple sd 산돌고딕 neo 일반체"/>
      <family val="3"/>
      <charset val="129"/>
    </font>
    <font>
      <sz val="8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7" fillId="0" borderId="2" xfId="0" applyFont="1" applyBorder="1" applyAlignment="1">
      <alignment vertical="center"/>
    </xf>
    <xf numFmtId="176" fontId="7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176" fontId="7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176" fontId="7" fillId="5" borderId="2" xfId="0" applyNumberFormat="1" applyFont="1" applyFill="1" applyBorder="1" applyAlignment="1">
      <alignment vertical="center"/>
    </xf>
    <xf numFmtId="0" fontId="0" fillId="0" borderId="0" xfId="0" applyFont="1" applyAlignment="1">
      <alignment vertical="center"/>
    </xf>
    <xf numFmtId="3" fontId="6" fillId="7" borderId="2" xfId="0" applyNumberFormat="1" applyFont="1" applyFill="1" applyBorder="1" applyAlignment="1">
      <alignment vertical="center"/>
    </xf>
    <xf numFmtId="176" fontId="7" fillId="0" borderId="2" xfId="0" applyNumberFormat="1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"/>
    </sheetView>
  </sheetViews>
  <sheetFormatPr defaultColWidth="14.42578125" defaultRowHeight="15" customHeight="1"/>
  <cols>
    <col min="1" max="2" width="13.5703125" customWidth="1"/>
    <col min="3" max="3" width="65.28515625" customWidth="1"/>
    <col min="4" max="4" width="13.5703125" customWidth="1"/>
    <col min="5" max="26" width="8.7109375" customWidth="1"/>
  </cols>
  <sheetData>
    <row r="1" spans="1:4" ht="21" customHeight="1">
      <c r="A1" s="34" t="s">
        <v>0</v>
      </c>
      <c r="B1" s="35"/>
      <c r="C1" s="35"/>
      <c r="D1" s="35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4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202012</v>
      </c>
      <c r="B4" s="9">
        <f>G12</f>
        <v>3150000</v>
      </c>
      <c r="C4" s="10">
        <f>B4</f>
        <v>3150000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202012</v>
      </c>
      <c r="B11" s="12" t="s">
        <v>5</v>
      </c>
      <c r="C11" s="10">
        <f>1000000*21</f>
        <v>21000000</v>
      </c>
      <c r="D11" s="10">
        <v>18219406</v>
      </c>
      <c r="E11" s="10">
        <v>0</v>
      </c>
      <c r="F11" s="10">
        <f>(C11+E11)</f>
        <v>21000000</v>
      </c>
      <c r="G11" s="10">
        <f>F11*0.15</f>
        <v>3150000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21000000</v>
      </c>
      <c r="D12" s="10">
        <f t="shared" si="0"/>
        <v>18219406</v>
      </c>
      <c r="E12" s="10">
        <f t="shared" si="0"/>
        <v>0</v>
      </c>
      <c r="F12" s="10">
        <f t="shared" si="0"/>
        <v>21000000</v>
      </c>
      <c r="G12" s="13">
        <f t="shared" si="0"/>
        <v>3150000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6" t="s">
        <v>22</v>
      </c>
      <c r="B14" s="37"/>
      <c r="C14" s="37"/>
      <c r="D14" s="37"/>
      <c r="E14" s="37"/>
      <c r="F14" s="37"/>
      <c r="G14" s="11"/>
      <c r="H14" s="11"/>
    </row>
    <row r="15" spans="1:26" ht="11.25" customHeight="1">
      <c r="A15" s="36" t="s">
        <v>23</v>
      </c>
      <c r="B15" s="37"/>
      <c r="C15" s="37"/>
      <c r="D15" s="37"/>
      <c r="E15" s="37"/>
      <c r="F15" s="37"/>
      <c r="G15" s="11"/>
      <c r="H15" s="11"/>
    </row>
    <row r="16" spans="1:26" ht="11.25" customHeight="1">
      <c r="A16" s="36" t="s">
        <v>24</v>
      </c>
      <c r="B16" s="37"/>
      <c r="C16" s="37"/>
      <c r="D16" s="37"/>
      <c r="E16" s="37"/>
      <c r="F16" s="37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8" t="s">
        <v>25</v>
      </c>
      <c r="B17" s="37"/>
      <c r="C17" s="37"/>
      <c r="D17" s="37"/>
      <c r="E17" s="37"/>
      <c r="F17" s="37"/>
      <c r="G17" s="37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6" t="s">
        <v>26</v>
      </c>
      <c r="B18" s="37"/>
      <c r="C18" s="37"/>
      <c r="D18" s="37"/>
      <c r="E18" s="37"/>
      <c r="F18" s="37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202101</v>
      </c>
      <c r="B4" s="9">
        <f>G12</f>
        <v>3519040.35</v>
      </c>
      <c r="C4" s="10">
        <f>B4</f>
        <v>3519040.35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202101</v>
      </c>
      <c r="B11" s="12" t="s">
        <v>5</v>
      </c>
      <c r="C11" s="10">
        <v>4000000</v>
      </c>
      <c r="D11" s="10">
        <v>23460269</v>
      </c>
      <c r="E11" s="10">
        <f>D11-C11</f>
        <v>19460269</v>
      </c>
      <c r="F11" s="10">
        <f>(C11+E11)</f>
        <v>23460269</v>
      </c>
      <c r="G11" s="10">
        <f>F11*0.15</f>
        <v>3519040.35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23460269</v>
      </c>
      <c r="E12" s="10">
        <f t="shared" si="0"/>
        <v>19460269</v>
      </c>
      <c r="F12" s="10">
        <f t="shared" si="0"/>
        <v>23460269</v>
      </c>
      <c r="G12" s="13">
        <f t="shared" si="0"/>
        <v>3519040.35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6" t="s">
        <v>22</v>
      </c>
      <c r="B14" s="37"/>
      <c r="C14" s="37"/>
      <c r="D14" s="37"/>
      <c r="E14" s="37"/>
      <c r="F14" s="37"/>
      <c r="G14" s="11"/>
      <c r="H14" s="11"/>
    </row>
    <row r="15" spans="1:26" ht="11.25" customHeight="1">
      <c r="A15" s="36" t="s">
        <v>23</v>
      </c>
      <c r="B15" s="37"/>
      <c r="C15" s="37"/>
      <c r="D15" s="37"/>
      <c r="E15" s="37"/>
      <c r="F15" s="37"/>
      <c r="G15" s="11"/>
      <c r="H15" s="11"/>
    </row>
    <row r="16" spans="1:26" ht="11.25" customHeight="1">
      <c r="A16" s="36" t="s">
        <v>24</v>
      </c>
      <c r="B16" s="37"/>
      <c r="C16" s="37"/>
      <c r="D16" s="37"/>
      <c r="E16" s="37"/>
      <c r="F16" s="37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8" t="s">
        <v>25</v>
      </c>
      <c r="B17" s="37"/>
      <c r="C17" s="37"/>
      <c r="D17" s="37"/>
      <c r="E17" s="37"/>
      <c r="F17" s="37"/>
      <c r="G17" s="37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6" t="s">
        <v>26</v>
      </c>
      <c r="B18" s="37"/>
      <c r="C18" s="37"/>
      <c r="D18" s="37"/>
      <c r="E18" s="37"/>
      <c r="F18" s="37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202102</v>
      </c>
      <c r="B4" s="9">
        <f>G12</f>
        <v>2805971.6999999997</v>
      </c>
      <c r="C4" s="10">
        <f>B4</f>
        <v>2805971.6999999997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202102</v>
      </c>
      <c r="B11" s="12" t="s">
        <v>5</v>
      </c>
      <c r="C11" s="10">
        <v>4000000</v>
      </c>
      <c r="D11" s="10">
        <v>18706478</v>
      </c>
      <c r="E11" s="10">
        <f>D11-C11</f>
        <v>14706478</v>
      </c>
      <c r="F11" s="10">
        <f>(C11+E11)</f>
        <v>18706478</v>
      </c>
      <c r="G11" s="10">
        <f>F11*0.15</f>
        <v>2805971.6999999997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18706478</v>
      </c>
      <c r="E12" s="10">
        <f t="shared" si="0"/>
        <v>14706478</v>
      </c>
      <c r="F12" s="10">
        <f t="shared" si="0"/>
        <v>18706478</v>
      </c>
      <c r="G12" s="13">
        <f t="shared" si="0"/>
        <v>2805971.6999999997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6" t="s">
        <v>22</v>
      </c>
      <c r="B14" s="37"/>
      <c r="C14" s="37"/>
      <c r="D14" s="37"/>
      <c r="E14" s="37"/>
      <c r="F14" s="37"/>
      <c r="G14" s="11"/>
      <c r="H14" s="11"/>
    </row>
    <row r="15" spans="1:26" ht="11.25" customHeight="1">
      <c r="A15" s="36" t="s">
        <v>23</v>
      </c>
      <c r="B15" s="37"/>
      <c r="C15" s="37"/>
      <c r="D15" s="37"/>
      <c r="E15" s="37"/>
      <c r="F15" s="37"/>
      <c r="G15" s="11"/>
      <c r="H15" s="11"/>
    </row>
    <row r="16" spans="1:26" ht="11.25" customHeight="1">
      <c r="A16" s="36" t="s">
        <v>24</v>
      </c>
      <c r="B16" s="37"/>
      <c r="C16" s="37"/>
      <c r="D16" s="37"/>
      <c r="E16" s="37"/>
      <c r="F16" s="37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8" t="s">
        <v>25</v>
      </c>
      <c r="B17" s="37"/>
      <c r="C17" s="37"/>
      <c r="D17" s="37"/>
      <c r="E17" s="37"/>
      <c r="F17" s="37"/>
      <c r="G17" s="37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6" t="s">
        <v>26</v>
      </c>
      <c r="B18" s="37"/>
      <c r="C18" s="37"/>
      <c r="D18" s="37"/>
      <c r="E18" s="37"/>
      <c r="F18" s="37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202103</v>
      </c>
      <c r="B4" s="9">
        <f>G12</f>
        <v>3055722.4499999997</v>
      </c>
      <c r="C4" s="10">
        <f>B4</f>
        <v>3055722.4499999997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202103</v>
      </c>
      <c r="B11" s="12" t="s">
        <v>5</v>
      </c>
      <c r="C11" s="10">
        <v>5000000</v>
      </c>
      <c r="D11" s="10">
        <v>20371483</v>
      </c>
      <c r="E11" s="10">
        <f>D11-C11</f>
        <v>15371483</v>
      </c>
      <c r="F11" s="10">
        <f>(C11+E11)</f>
        <v>20371483</v>
      </c>
      <c r="G11" s="10">
        <f>F11*0.15</f>
        <v>3055722.4499999997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20371483</v>
      </c>
      <c r="E12" s="10">
        <f t="shared" si="0"/>
        <v>15371483</v>
      </c>
      <c r="F12" s="10">
        <f t="shared" si="0"/>
        <v>20371483</v>
      </c>
      <c r="G12" s="13">
        <f t="shared" si="0"/>
        <v>3055722.4499999997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6" t="s">
        <v>22</v>
      </c>
      <c r="B14" s="37"/>
      <c r="C14" s="37"/>
      <c r="D14" s="37"/>
      <c r="E14" s="37"/>
      <c r="F14" s="37"/>
      <c r="G14" s="11"/>
      <c r="H14" s="11"/>
    </row>
    <row r="15" spans="1:26" ht="11.25" customHeight="1">
      <c r="A15" s="36" t="s">
        <v>23</v>
      </c>
      <c r="B15" s="37"/>
      <c r="C15" s="37"/>
      <c r="D15" s="37"/>
      <c r="E15" s="37"/>
      <c r="F15" s="37"/>
      <c r="G15" s="11"/>
      <c r="H15" s="11"/>
    </row>
    <row r="16" spans="1:26" ht="11.25" customHeight="1">
      <c r="A16" s="36" t="s">
        <v>24</v>
      </c>
      <c r="B16" s="37"/>
      <c r="C16" s="37"/>
      <c r="D16" s="37"/>
      <c r="E16" s="37"/>
      <c r="F16" s="37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8" t="s">
        <v>25</v>
      </c>
      <c r="B17" s="37"/>
      <c r="C17" s="37"/>
      <c r="D17" s="37"/>
      <c r="E17" s="37"/>
      <c r="F17" s="37"/>
      <c r="G17" s="37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6" t="s">
        <v>26</v>
      </c>
      <c r="B18" s="37"/>
      <c r="C18" s="37"/>
      <c r="D18" s="37"/>
      <c r="E18" s="37"/>
      <c r="F18" s="37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202104</v>
      </c>
      <c r="B4" s="9">
        <f>G12</f>
        <v>1723461.3</v>
      </c>
      <c r="C4" s="10">
        <f>B4</f>
        <v>1723461.3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202104</v>
      </c>
      <c r="B11" s="12" t="s">
        <v>5</v>
      </c>
      <c r="C11" s="10">
        <v>4000000</v>
      </c>
      <c r="D11" s="10">
        <v>11489742</v>
      </c>
      <c r="E11" s="10">
        <f>D11-C11</f>
        <v>7489742</v>
      </c>
      <c r="F11" s="10">
        <f>(C11+E11)</f>
        <v>11489742</v>
      </c>
      <c r="G11" s="10">
        <f>F11*0.15</f>
        <v>1723461.3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11489742</v>
      </c>
      <c r="E12" s="10">
        <f t="shared" si="0"/>
        <v>7489742</v>
      </c>
      <c r="F12" s="10">
        <f t="shared" si="0"/>
        <v>11489742</v>
      </c>
      <c r="G12" s="13">
        <f t="shared" si="0"/>
        <v>1723461.3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6" t="s">
        <v>22</v>
      </c>
      <c r="B14" s="37"/>
      <c r="C14" s="37"/>
      <c r="D14" s="37"/>
      <c r="E14" s="37"/>
      <c r="F14" s="37"/>
      <c r="G14" s="11"/>
      <c r="H14" s="11"/>
    </row>
    <row r="15" spans="1:26" ht="11.25" customHeight="1">
      <c r="A15" s="36" t="s">
        <v>23</v>
      </c>
      <c r="B15" s="37"/>
      <c r="C15" s="37"/>
      <c r="D15" s="37"/>
      <c r="E15" s="37"/>
      <c r="F15" s="37"/>
      <c r="G15" s="11"/>
      <c r="H15" s="11"/>
    </row>
    <row r="16" spans="1:26" ht="11.25" customHeight="1">
      <c r="A16" s="36" t="s">
        <v>24</v>
      </c>
      <c r="B16" s="37"/>
      <c r="C16" s="37"/>
      <c r="D16" s="37"/>
      <c r="E16" s="37"/>
      <c r="F16" s="37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8" t="s">
        <v>25</v>
      </c>
      <c r="B17" s="37"/>
      <c r="C17" s="37"/>
      <c r="D17" s="37"/>
      <c r="E17" s="37"/>
      <c r="F17" s="37"/>
      <c r="G17" s="37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6" t="s">
        <v>26</v>
      </c>
      <c r="B18" s="37"/>
      <c r="C18" s="37"/>
      <c r="D18" s="37"/>
      <c r="E18" s="37"/>
      <c r="F18" s="37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202105</v>
      </c>
      <c r="B4" s="9">
        <f>G12</f>
        <v>2538609.4499999997</v>
      </c>
      <c r="C4" s="10">
        <f>B4</f>
        <v>2538609.4499999997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202105</v>
      </c>
      <c r="B11" s="12" t="s">
        <v>5</v>
      </c>
      <c r="C11" s="10">
        <v>5000000</v>
      </c>
      <c r="D11" s="10">
        <v>16924063</v>
      </c>
      <c r="E11" s="10">
        <f>D11-C11</f>
        <v>11924063</v>
      </c>
      <c r="F11" s="10">
        <f>(C11+E11)</f>
        <v>16924063</v>
      </c>
      <c r="G11" s="10">
        <f>F11*0.15</f>
        <v>2538609.4499999997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16924063</v>
      </c>
      <c r="E12" s="10">
        <f t="shared" si="0"/>
        <v>11924063</v>
      </c>
      <c r="F12" s="10">
        <f t="shared" si="0"/>
        <v>16924063</v>
      </c>
      <c r="G12" s="13">
        <f t="shared" si="0"/>
        <v>2538609.4499999997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6" t="s">
        <v>22</v>
      </c>
      <c r="B14" s="37"/>
      <c r="C14" s="37"/>
      <c r="D14" s="37"/>
      <c r="E14" s="37"/>
      <c r="F14" s="37"/>
      <c r="G14" s="11"/>
      <c r="H14" s="11"/>
    </row>
    <row r="15" spans="1:26" ht="11.25" customHeight="1">
      <c r="A15" s="36" t="s">
        <v>23</v>
      </c>
      <c r="B15" s="37"/>
      <c r="C15" s="37"/>
      <c r="D15" s="37"/>
      <c r="E15" s="37"/>
      <c r="F15" s="37"/>
      <c r="G15" s="11"/>
      <c r="H15" s="11"/>
    </row>
    <row r="16" spans="1:26" ht="11.25" customHeight="1">
      <c r="A16" s="36" t="s">
        <v>24</v>
      </c>
      <c r="B16" s="37"/>
      <c r="C16" s="37"/>
      <c r="D16" s="37"/>
      <c r="E16" s="37"/>
      <c r="F16" s="37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8" t="s">
        <v>25</v>
      </c>
      <c r="B17" s="37"/>
      <c r="C17" s="37"/>
      <c r="D17" s="37"/>
      <c r="E17" s="37"/>
      <c r="F17" s="37"/>
      <c r="G17" s="37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6" t="s">
        <v>26</v>
      </c>
      <c r="B18" s="37"/>
      <c r="C18" s="37"/>
      <c r="D18" s="37"/>
      <c r="E18" s="37"/>
      <c r="F18" s="37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202106</v>
      </c>
      <c r="B4" s="9">
        <f>G12</f>
        <v>2180217.2999999998</v>
      </c>
      <c r="C4" s="10">
        <f>B4</f>
        <v>2180217.2999999998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202106</v>
      </c>
      <c r="B11" s="12" t="s">
        <v>5</v>
      </c>
      <c r="C11" s="10">
        <v>5000000</v>
      </c>
      <c r="D11" s="10">
        <v>14534782</v>
      </c>
      <c r="E11" s="10">
        <f>D11-C11</f>
        <v>9534782</v>
      </c>
      <c r="F11" s="10">
        <f>(C11+E11)</f>
        <v>14534782</v>
      </c>
      <c r="G11" s="10">
        <f>F11*0.15</f>
        <v>2180217.2999999998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14534782</v>
      </c>
      <c r="E12" s="10">
        <f t="shared" si="0"/>
        <v>9534782</v>
      </c>
      <c r="F12" s="10">
        <f t="shared" si="0"/>
        <v>14534782</v>
      </c>
      <c r="G12" s="13">
        <f t="shared" si="0"/>
        <v>2180217.2999999998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6" t="s">
        <v>22</v>
      </c>
      <c r="B14" s="37"/>
      <c r="C14" s="37"/>
      <c r="D14" s="37"/>
      <c r="E14" s="37"/>
      <c r="F14" s="37"/>
      <c r="G14" s="11"/>
      <c r="H14" s="11"/>
    </row>
    <row r="15" spans="1:26" ht="11.25" customHeight="1">
      <c r="A15" s="36" t="s">
        <v>23</v>
      </c>
      <c r="B15" s="37"/>
      <c r="C15" s="37"/>
      <c r="D15" s="37"/>
      <c r="E15" s="37"/>
      <c r="F15" s="37"/>
      <c r="G15" s="11"/>
      <c r="H15" s="11"/>
    </row>
    <row r="16" spans="1:26" ht="11.25" customHeight="1">
      <c r="A16" s="36" t="s">
        <v>24</v>
      </c>
      <c r="B16" s="37"/>
      <c r="C16" s="37"/>
      <c r="D16" s="37"/>
      <c r="E16" s="37"/>
      <c r="F16" s="37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38" t="s">
        <v>25</v>
      </c>
      <c r="B17" s="37"/>
      <c r="C17" s="37"/>
      <c r="D17" s="37"/>
      <c r="E17" s="37"/>
      <c r="F17" s="37"/>
      <c r="G17" s="37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6" t="s">
        <v>26</v>
      </c>
      <c r="B18" s="37"/>
      <c r="C18" s="37"/>
      <c r="D18" s="37"/>
      <c r="E18" s="37"/>
      <c r="F18" s="37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2" width="24.42578125" customWidth="1"/>
    <col min="3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G13</f>
        <v>2608688.25</v>
      </c>
      <c r="C4" s="10">
        <f>B4</f>
        <v>2608688.25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202107</v>
      </c>
      <c r="B11" s="4" t="s">
        <v>5</v>
      </c>
      <c r="C11" s="10">
        <v>4000000</v>
      </c>
      <c r="D11" s="10">
        <v>14391255</v>
      </c>
      <c r="E11" s="10">
        <f>D11-C11</f>
        <v>10391255</v>
      </c>
      <c r="F11" s="10">
        <f t="shared" ref="F11:F12" si="0">(C11+E11)</f>
        <v>14391255</v>
      </c>
      <c r="G11" s="10">
        <f t="shared" ref="G11:G12" si="1">F11*0.15</f>
        <v>2158688.25</v>
      </c>
      <c r="H11" s="8"/>
    </row>
    <row r="12" spans="1:26" ht="16.5" customHeight="1">
      <c r="A12" s="4">
        <v>202107</v>
      </c>
      <c r="B12" s="4" t="s">
        <v>27</v>
      </c>
      <c r="C12" s="10">
        <v>3000000</v>
      </c>
      <c r="D12" s="16"/>
      <c r="E12" s="16"/>
      <c r="F12" s="10">
        <f t="shared" si="0"/>
        <v>3000000</v>
      </c>
      <c r="G12" s="10">
        <f t="shared" si="1"/>
        <v>450000</v>
      </c>
      <c r="H12" s="8"/>
    </row>
    <row r="13" spans="1:26" ht="16.5" customHeight="1">
      <c r="A13" s="4" t="s">
        <v>21</v>
      </c>
      <c r="B13" s="12"/>
      <c r="C13" s="10">
        <f t="shared" ref="C13:G13" si="2">SUM(C11:C12)</f>
        <v>7000000</v>
      </c>
      <c r="D13" s="10">
        <f t="shared" si="2"/>
        <v>14391255</v>
      </c>
      <c r="E13" s="10">
        <f t="shared" si="2"/>
        <v>10391255</v>
      </c>
      <c r="F13" s="10">
        <f t="shared" si="2"/>
        <v>17391255</v>
      </c>
      <c r="G13" s="13">
        <f t="shared" si="2"/>
        <v>2608688.25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6" t="s">
        <v>22</v>
      </c>
      <c r="B15" s="37"/>
      <c r="C15" s="37"/>
      <c r="D15" s="37"/>
      <c r="E15" s="37"/>
      <c r="F15" s="37"/>
      <c r="G15" s="11"/>
      <c r="H15" s="11"/>
    </row>
    <row r="16" spans="1:26" ht="11.25" customHeight="1">
      <c r="A16" s="36" t="s">
        <v>23</v>
      </c>
      <c r="B16" s="37"/>
      <c r="C16" s="37"/>
      <c r="D16" s="37"/>
      <c r="E16" s="37"/>
      <c r="F16" s="37"/>
      <c r="G16" s="11"/>
      <c r="H16" s="11"/>
    </row>
    <row r="17" spans="1:26" ht="11.25" customHeight="1">
      <c r="A17" s="36" t="s">
        <v>24</v>
      </c>
      <c r="B17" s="37"/>
      <c r="C17" s="37"/>
      <c r="D17" s="37"/>
      <c r="E17" s="37"/>
      <c r="F17" s="37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8" t="s">
        <v>25</v>
      </c>
      <c r="B18" s="37"/>
      <c r="C18" s="37"/>
      <c r="D18" s="37"/>
      <c r="E18" s="37"/>
      <c r="F18" s="37"/>
      <c r="G18" s="37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6" t="s">
        <v>26</v>
      </c>
      <c r="B19" s="37"/>
      <c r="C19" s="37"/>
      <c r="D19" s="37"/>
      <c r="E19" s="37"/>
      <c r="F19" s="37"/>
      <c r="G19" s="11"/>
      <c r="H19" s="11"/>
    </row>
    <row r="20" spans="1:26" ht="16.5" customHeight="1">
      <c r="A20" s="14"/>
      <c r="B20" s="14"/>
      <c r="C20" s="14"/>
      <c r="D20" s="14"/>
      <c r="E20" s="15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4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4.42578125" customWidth="1"/>
    <col min="3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G14</f>
        <v>4883692.05</v>
      </c>
      <c r="C4" s="10">
        <f>B4</f>
        <v>4883692.05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202108</v>
      </c>
      <c r="B11" s="4" t="s">
        <v>5</v>
      </c>
      <c r="C11" s="10">
        <v>5000000</v>
      </c>
      <c r="D11" s="10">
        <v>22557947</v>
      </c>
      <c r="E11" s="10">
        <f>D11-C11</f>
        <v>17557947</v>
      </c>
      <c r="F11" s="10">
        <f t="shared" ref="F11:F13" si="0">(C11+E11)</f>
        <v>22557947</v>
      </c>
      <c r="G11" s="10">
        <f t="shared" ref="G11:G13" si="1">F11*0.15</f>
        <v>3383692.05</v>
      </c>
      <c r="H11" s="8"/>
    </row>
    <row r="12" spans="1:26" ht="16.5" customHeight="1">
      <c r="A12" s="4">
        <v>202108</v>
      </c>
      <c r="B12" s="4" t="s">
        <v>28</v>
      </c>
      <c r="C12" s="10">
        <v>10000000</v>
      </c>
      <c r="D12" s="16"/>
      <c r="E12" s="16"/>
      <c r="F12" s="10">
        <f t="shared" si="0"/>
        <v>10000000</v>
      </c>
      <c r="G12" s="10">
        <f t="shared" si="1"/>
        <v>1500000</v>
      </c>
      <c r="H12" s="8"/>
    </row>
    <row r="13" spans="1:26" ht="16.5" customHeight="1">
      <c r="A13" s="4" t="s">
        <v>29</v>
      </c>
      <c r="B13" s="4" t="s">
        <v>30</v>
      </c>
      <c r="C13" s="16"/>
      <c r="D13" s="16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21</v>
      </c>
      <c r="B14" s="12"/>
      <c r="C14" s="10">
        <f t="shared" ref="C14:G14" si="2">SUM(C11:C13)</f>
        <v>15000000</v>
      </c>
      <c r="D14" s="10">
        <f t="shared" si="2"/>
        <v>22557947</v>
      </c>
      <c r="E14" s="10">
        <f t="shared" si="2"/>
        <v>17557947</v>
      </c>
      <c r="F14" s="10">
        <f t="shared" si="2"/>
        <v>32557947</v>
      </c>
      <c r="G14" s="13">
        <f t="shared" si="2"/>
        <v>4883692.05</v>
      </c>
      <c r="H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</row>
    <row r="16" spans="1:26" ht="11.25" customHeight="1">
      <c r="A16" s="36" t="s">
        <v>22</v>
      </c>
      <c r="B16" s="37"/>
      <c r="C16" s="37"/>
      <c r="D16" s="37"/>
      <c r="E16" s="37"/>
      <c r="F16" s="37"/>
      <c r="G16" s="11"/>
      <c r="H16" s="11"/>
    </row>
    <row r="17" spans="1:26" ht="11.25" customHeight="1">
      <c r="A17" s="36" t="s">
        <v>23</v>
      </c>
      <c r="B17" s="37"/>
      <c r="C17" s="37"/>
      <c r="D17" s="37"/>
      <c r="E17" s="37"/>
      <c r="F17" s="37"/>
      <c r="G17" s="11"/>
      <c r="H17" s="11"/>
    </row>
    <row r="18" spans="1:26" ht="11.25" customHeight="1">
      <c r="A18" s="36" t="s">
        <v>24</v>
      </c>
      <c r="B18" s="37"/>
      <c r="C18" s="37"/>
      <c r="D18" s="37"/>
      <c r="E18" s="37"/>
      <c r="F18" s="37"/>
      <c r="G18" s="11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8" t="s">
        <v>25</v>
      </c>
      <c r="B19" s="37"/>
      <c r="C19" s="37"/>
      <c r="D19" s="37"/>
      <c r="E19" s="37"/>
      <c r="F19" s="37"/>
      <c r="G19" s="37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6" t="s">
        <v>26</v>
      </c>
      <c r="B20" s="37"/>
      <c r="C20" s="37"/>
      <c r="D20" s="37"/>
      <c r="E20" s="37"/>
      <c r="F20" s="37"/>
      <c r="G20" s="11"/>
      <c r="H20" s="11"/>
    </row>
    <row r="21" spans="1:26" ht="16.5" customHeight="1">
      <c r="A21" s="14"/>
      <c r="B21" s="14"/>
      <c r="C21" s="14"/>
      <c r="D21" s="14"/>
      <c r="E21" s="15"/>
      <c r="F21" s="8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8:F18"/>
    <mergeCell ref="A19:G19"/>
    <mergeCell ref="A20:F20"/>
    <mergeCell ref="A2:C2"/>
    <mergeCell ref="A6:F6"/>
    <mergeCell ref="A9:D9"/>
    <mergeCell ref="A16:F16"/>
    <mergeCell ref="A17:F17"/>
  </mergeCells>
  <phoneticPr fontId="14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4.42578125" customWidth="1"/>
    <col min="3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G16</f>
        <v>3437431.5</v>
      </c>
      <c r="C4" s="10">
        <f>B4</f>
        <v>3437431.5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202109</v>
      </c>
      <c r="B11" s="4" t="s">
        <v>5</v>
      </c>
      <c r="C11" s="10">
        <v>4000000</v>
      </c>
      <c r="D11" s="10">
        <v>15348979</v>
      </c>
      <c r="E11" s="10">
        <f>D11-C11</f>
        <v>11348979</v>
      </c>
      <c r="F11" s="10">
        <f>(C11+E11)</f>
        <v>15348979</v>
      </c>
      <c r="G11" s="10">
        <f t="shared" ref="G11:G15" si="0">F11*0.15</f>
        <v>2302346.85</v>
      </c>
      <c r="H11" s="8"/>
    </row>
    <row r="12" spans="1:26" ht="16.5" customHeight="1">
      <c r="A12" s="4">
        <v>202109</v>
      </c>
      <c r="B12" s="4" t="s">
        <v>31</v>
      </c>
      <c r="C12" s="16"/>
      <c r="D12" s="10">
        <v>6043452</v>
      </c>
      <c r="E12" s="16"/>
      <c r="F12" s="10">
        <f t="shared" ref="F12:F14" si="1">D12</f>
        <v>6043452</v>
      </c>
      <c r="G12" s="10">
        <f t="shared" si="0"/>
        <v>906517.79999999993</v>
      </c>
      <c r="H12" s="8"/>
    </row>
    <row r="13" spans="1:26" ht="16.5" customHeight="1">
      <c r="A13" s="4" t="s">
        <v>29</v>
      </c>
      <c r="B13" s="4" t="s">
        <v>32</v>
      </c>
      <c r="C13" s="16"/>
      <c r="D13" s="10">
        <v>0</v>
      </c>
      <c r="E13" s="16"/>
      <c r="F13" s="10">
        <f t="shared" si="1"/>
        <v>0</v>
      </c>
      <c r="G13" s="10">
        <f t="shared" si="0"/>
        <v>0</v>
      </c>
      <c r="H13" s="8"/>
    </row>
    <row r="14" spans="1:26" ht="16.5" customHeight="1">
      <c r="A14" s="4" t="s">
        <v>29</v>
      </c>
      <c r="B14" s="4" t="s">
        <v>33</v>
      </c>
      <c r="C14" s="16"/>
      <c r="D14" s="10">
        <v>0</v>
      </c>
      <c r="E14" s="16"/>
      <c r="F14" s="10">
        <f t="shared" si="1"/>
        <v>0</v>
      </c>
      <c r="G14" s="10">
        <f t="shared" si="0"/>
        <v>0</v>
      </c>
      <c r="H14" s="8"/>
    </row>
    <row r="15" spans="1:26" ht="16.5" customHeight="1">
      <c r="A15" s="4">
        <v>202109</v>
      </c>
      <c r="B15" s="4" t="s">
        <v>34</v>
      </c>
      <c r="C15" s="10">
        <v>1523779</v>
      </c>
      <c r="D15" s="16"/>
      <c r="E15" s="16"/>
      <c r="F15" s="10">
        <f>(C15+E15)</f>
        <v>1523779</v>
      </c>
      <c r="G15" s="10">
        <f t="shared" si="0"/>
        <v>228566.85</v>
      </c>
      <c r="H15" s="8"/>
    </row>
    <row r="16" spans="1:26" ht="16.5" customHeight="1">
      <c r="A16" s="4" t="s">
        <v>21</v>
      </c>
      <c r="B16" s="12"/>
      <c r="C16" s="10">
        <f t="shared" ref="C16:G16" si="2">SUM(C11:C15)</f>
        <v>5523779</v>
      </c>
      <c r="D16" s="10">
        <f t="shared" si="2"/>
        <v>21392431</v>
      </c>
      <c r="E16" s="10">
        <f t="shared" si="2"/>
        <v>11348979</v>
      </c>
      <c r="F16" s="10">
        <f t="shared" si="2"/>
        <v>22916210</v>
      </c>
      <c r="G16" s="13">
        <f t="shared" si="2"/>
        <v>3437431.5</v>
      </c>
      <c r="H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6" t="s">
        <v>22</v>
      </c>
      <c r="B18" s="37"/>
      <c r="C18" s="37"/>
      <c r="D18" s="37"/>
      <c r="E18" s="37"/>
      <c r="F18" s="37"/>
      <c r="G18" s="11"/>
      <c r="H18" s="11"/>
    </row>
    <row r="19" spans="1:26" ht="11.25" customHeight="1">
      <c r="A19" s="36" t="s">
        <v>23</v>
      </c>
      <c r="B19" s="37"/>
      <c r="C19" s="37"/>
      <c r="D19" s="37"/>
      <c r="E19" s="37"/>
      <c r="F19" s="37"/>
      <c r="G19" s="11"/>
      <c r="H19" s="11"/>
    </row>
    <row r="20" spans="1:26" ht="11.25" customHeight="1">
      <c r="A20" s="36" t="s">
        <v>24</v>
      </c>
      <c r="B20" s="37"/>
      <c r="C20" s="37"/>
      <c r="D20" s="37"/>
      <c r="E20" s="37"/>
      <c r="F20" s="37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8" t="s">
        <v>25</v>
      </c>
      <c r="B21" s="37"/>
      <c r="C21" s="37"/>
      <c r="D21" s="37"/>
      <c r="E21" s="37"/>
      <c r="F21" s="37"/>
      <c r="G21" s="37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6" t="s">
        <v>26</v>
      </c>
      <c r="B22" s="37"/>
      <c r="C22" s="37"/>
      <c r="D22" s="37"/>
      <c r="E22" s="37"/>
      <c r="F22" s="37"/>
      <c r="G22" s="11"/>
      <c r="H22" s="11"/>
    </row>
    <row r="23" spans="1:26" ht="11.25" customHeight="1">
      <c r="A23" s="36" t="s">
        <v>35</v>
      </c>
      <c r="B23" s="37"/>
      <c r="C23" s="37"/>
      <c r="D23" s="37"/>
      <c r="E23" s="37"/>
      <c r="F23" s="37"/>
      <c r="G23" s="11"/>
      <c r="H23" s="17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2:F22"/>
    <mergeCell ref="A23:F23"/>
    <mergeCell ref="A2:C2"/>
    <mergeCell ref="A6:F6"/>
    <mergeCell ref="A9:D9"/>
    <mergeCell ref="A18:F18"/>
    <mergeCell ref="A19:F19"/>
    <mergeCell ref="A20:F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I15</f>
        <v>3877540.65</v>
      </c>
      <c r="C4" s="10">
        <f>B4</f>
        <v>3877540.65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202110</v>
      </c>
      <c r="B11" s="4" t="s">
        <v>38</v>
      </c>
      <c r="C11" s="10">
        <v>4000000</v>
      </c>
      <c r="D11" s="10">
        <v>15856096</v>
      </c>
      <c r="E11" s="10">
        <v>8559674</v>
      </c>
      <c r="F11" s="16"/>
      <c r="G11" s="10">
        <f>(D11+E11)-C11</f>
        <v>20415770</v>
      </c>
      <c r="H11" s="10">
        <f>(C11+G11)</f>
        <v>24415770</v>
      </c>
      <c r="I11" s="10">
        <f t="shared" ref="I11:I12" si="0">H11*0.15</f>
        <v>3662365.5</v>
      </c>
    </row>
    <row r="12" spans="1:26" ht="16.5" customHeight="1">
      <c r="A12" s="4">
        <v>202109</v>
      </c>
      <c r="B12" s="4" t="s">
        <v>34</v>
      </c>
      <c r="C12" s="16"/>
      <c r="D12" s="16"/>
      <c r="E12" s="16"/>
      <c r="F12" s="18">
        <v>1434501</v>
      </c>
      <c r="G12" s="16"/>
      <c r="H12" s="10">
        <f>F12</f>
        <v>1434501</v>
      </c>
      <c r="I12" s="10">
        <f t="shared" si="0"/>
        <v>215175.15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/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/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4000000</v>
      </c>
      <c r="D15" s="10">
        <f t="shared" si="3"/>
        <v>15856096</v>
      </c>
      <c r="E15" s="10"/>
      <c r="F15" s="10">
        <f t="shared" ref="F15:I15" si="4">SUM(F10:F14)</f>
        <v>1434501</v>
      </c>
      <c r="G15" s="10">
        <f t="shared" si="4"/>
        <v>20415770</v>
      </c>
      <c r="H15" s="10">
        <f t="shared" si="4"/>
        <v>25850271</v>
      </c>
      <c r="I15" s="13">
        <f t="shared" si="4"/>
        <v>3877540.65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6" t="s">
        <v>22</v>
      </c>
      <c r="B17" s="37"/>
      <c r="C17" s="37"/>
      <c r="D17" s="37"/>
      <c r="E17" s="37"/>
      <c r="F17" s="37"/>
      <c r="G17" s="11"/>
      <c r="H17" s="11"/>
    </row>
    <row r="18" spans="1:26" ht="11.25" customHeight="1">
      <c r="A18" s="36" t="s">
        <v>23</v>
      </c>
      <c r="B18" s="37"/>
      <c r="C18" s="37"/>
      <c r="D18" s="37"/>
      <c r="E18" s="37"/>
      <c r="F18" s="37"/>
      <c r="G18" s="11"/>
      <c r="H18" s="11"/>
    </row>
    <row r="19" spans="1:26" ht="11.25" customHeight="1">
      <c r="A19" s="36" t="s">
        <v>24</v>
      </c>
      <c r="B19" s="37"/>
      <c r="C19" s="37"/>
      <c r="D19" s="37"/>
      <c r="E19" s="37"/>
      <c r="F19" s="37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8" t="s">
        <v>25</v>
      </c>
      <c r="B20" s="37"/>
      <c r="C20" s="37"/>
      <c r="D20" s="37"/>
      <c r="E20" s="37"/>
      <c r="F20" s="37"/>
      <c r="G20" s="37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6" t="s">
        <v>26</v>
      </c>
      <c r="B21" s="37"/>
      <c r="C21" s="37"/>
      <c r="D21" s="37"/>
      <c r="E21" s="37"/>
      <c r="F21" s="37"/>
      <c r="G21" s="11"/>
      <c r="H21" s="11"/>
    </row>
    <row r="22" spans="1:26" ht="11.25" customHeight="1">
      <c r="A22" s="36" t="s">
        <v>35</v>
      </c>
      <c r="B22" s="37"/>
      <c r="C22" s="37"/>
      <c r="D22" s="37"/>
      <c r="E22" s="37"/>
      <c r="F22" s="37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I15</f>
        <v>3154775.4</v>
      </c>
      <c r="C4" s="10">
        <f>B4</f>
        <v>3154775.4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202111</v>
      </c>
      <c r="B11" s="4" t="s">
        <v>38</v>
      </c>
      <c r="C11" s="10">
        <v>5000000</v>
      </c>
      <c r="D11" s="10">
        <v>13179720</v>
      </c>
      <c r="E11" s="10">
        <v>3776434</v>
      </c>
      <c r="F11" s="16"/>
      <c r="G11" s="10">
        <f>(D11+E11)-C11</f>
        <v>11956154</v>
      </c>
      <c r="H11" s="10">
        <f>(C11+G11)</f>
        <v>16956154</v>
      </c>
      <c r="I11" s="10">
        <f t="shared" ref="I11:I12" si="0">H11*0.15</f>
        <v>2543423.1</v>
      </c>
    </row>
    <row r="12" spans="1:26" ht="16.5" customHeight="1">
      <c r="A12" s="4">
        <v>202110</v>
      </c>
      <c r="B12" s="4" t="s">
        <v>34</v>
      </c>
      <c r="C12" s="16"/>
      <c r="D12" s="16"/>
      <c r="E12" s="16"/>
      <c r="F12" s="18">
        <v>4075682</v>
      </c>
      <c r="G12" s="16"/>
      <c r="H12" s="10">
        <f>F12</f>
        <v>4075682</v>
      </c>
      <c r="I12" s="10">
        <f t="shared" si="0"/>
        <v>611352.29999999993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5000000</v>
      </c>
      <c r="D15" s="10">
        <f t="shared" si="3"/>
        <v>13179720</v>
      </c>
      <c r="E15" s="10"/>
      <c r="F15" s="10">
        <f t="shared" ref="F15:I15" si="4">SUM(F10:F14)</f>
        <v>4075682</v>
      </c>
      <c r="G15" s="10">
        <f t="shared" si="4"/>
        <v>11956154</v>
      </c>
      <c r="H15" s="10">
        <f t="shared" si="4"/>
        <v>21031836</v>
      </c>
      <c r="I15" s="13">
        <f t="shared" si="4"/>
        <v>3154775.4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6" t="s">
        <v>22</v>
      </c>
      <c r="B17" s="37"/>
      <c r="C17" s="37"/>
      <c r="D17" s="37"/>
      <c r="E17" s="37"/>
      <c r="F17" s="37"/>
      <c r="G17" s="11"/>
      <c r="H17" s="11"/>
    </row>
    <row r="18" spans="1:26" ht="11.25" customHeight="1">
      <c r="A18" s="36" t="s">
        <v>23</v>
      </c>
      <c r="B18" s="37"/>
      <c r="C18" s="37"/>
      <c r="D18" s="37"/>
      <c r="E18" s="37"/>
      <c r="F18" s="37"/>
      <c r="G18" s="11"/>
      <c r="H18" s="11"/>
    </row>
    <row r="19" spans="1:26" ht="11.25" customHeight="1">
      <c r="A19" s="36" t="s">
        <v>24</v>
      </c>
      <c r="B19" s="37"/>
      <c r="C19" s="37"/>
      <c r="D19" s="37"/>
      <c r="E19" s="37"/>
      <c r="F19" s="37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8" t="s">
        <v>25</v>
      </c>
      <c r="B20" s="37"/>
      <c r="C20" s="37"/>
      <c r="D20" s="37"/>
      <c r="E20" s="37"/>
      <c r="F20" s="37"/>
      <c r="G20" s="37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6" t="s">
        <v>26</v>
      </c>
      <c r="B21" s="37"/>
      <c r="C21" s="37"/>
      <c r="D21" s="37"/>
      <c r="E21" s="37"/>
      <c r="F21" s="37"/>
      <c r="G21" s="11"/>
      <c r="H21" s="11"/>
    </row>
    <row r="22" spans="1:26" ht="11.25" customHeight="1">
      <c r="A22" s="36" t="s">
        <v>35</v>
      </c>
      <c r="B22" s="37"/>
      <c r="C22" s="37"/>
      <c r="D22" s="37"/>
      <c r="E22" s="37"/>
      <c r="F22" s="37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I15</f>
        <v>3893282.4</v>
      </c>
      <c r="C4" s="10">
        <f>B4</f>
        <v>3893282.4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202112</v>
      </c>
      <c r="B11" s="4" t="s">
        <v>38</v>
      </c>
      <c r="C11" s="10">
        <v>4000000</v>
      </c>
      <c r="D11" s="10">
        <v>19571773</v>
      </c>
      <c r="E11" s="10">
        <v>2833587</v>
      </c>
      <c r="F11" s="16"/>
      <c r="G11" s="10">
        <f>(D11+E11)-C11</f>
        <v>18405360</v>
      </c>
      <c r="H11" s="10">
        <f>(C11+G11)</f>
        <v>22405360</v>
      </c>
      <c r="I11" s="10">
        <f t="shared" ref="I11:I12" si="0">H11*0.15</f>
        <v>3360804</v>
      </c>
    </row>
    <row r="12" spans="1:26" ht="16.5" customHeight="1">
      <c r="A12" s="4">
        <v>202111</v>
      </c>
      <c r="B12" s="4" t="s">
        <v>34</v>
      </c>
      <c r="C12" s="16"/>
      <c r="D12" s="16"/>
      <c r="E12" s="16"/>
      <c r="F12" s="18">
        <v>3549856</v>
      </c>
      <c r="G12" s="16"/>
      <c r="H12" s="10">
        <f>F12</f>
        <v>3549856</v>
      </c>
      <c r="I12" s="10">
        <f t="shared" si="0"/>
        <v>532478.4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4000000</v>
      </c>
      <c r="D15" s="10">
        <f t="shared" si="3"/>
        <v>19571773</v>
      </c>
      <c r="E15" s="10"/>
      <c r="F15" s="10">
        <f t="shared" ref="F15:I15" si="4">SUM(F10:F14)</f>
        <v>3549856</v>
      </c>
      <c r="G15" s="10">
        <f t="shared" si="4"/>
        <v>18405360</v>
      </c>
      <c r="H15" s="10">
        <f t="shared" si="4"/>
        <v>25955216</v>
      </c>
      <c r="I15" s="13">
        <f t="shared" si="4"/>
        <v>3893282.4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6" t="s">
        <v>22</v>
      </c>
      <c r="B17" s="37"/>
      <c r="C17" s="37"/>
      <c r="D17" s="37"/>
      <c r="E17" s="37"/>
      <c r="F17" s="37"/>
      <c r="G17" s="11"/>
      <c r="H17" s="11"/>
    </row>
    <row r="18" spans="1:26" ht="11.25" customHeight="1">
      <c r="A18" s="36" t="s">
        <v>23</v>
      </c>
      <c r="B18" s="37"/>
      <c r="C18" s="37"/>
      <c r="D18" s="37"/>
      <c r="E18" s="37"/>
      <c r="F18" s="37"/>
      <c r="G18" s="11"/>
      <c r="H18" s="11"/>
    </row>
    <row r="19" spans="1:26" ht="11.25" customHeight="1">
      <c r="A19" s="36" t="s">
        <v>24</v>
      </c>
      <c r="B19" s="37"/>
      <c r="C19" s="37"/>
      <c r="D19" s="37"/>
      <c r="E19" s="37"/>
      <c r="F19" s="37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8" t="s">
        <v>25</v>
      </c>
      <c r="B20" s="37"/>
      <c r="C20" s="37"/>
      <c r="D20" s="37"/>
      <c r="E20" s="37"/>
      <c r="F20" s="37"/>
      <c r="G20" s="37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6" t="s">
        <v>26</v>
      </c>
      <c r="B21" s="37"/>
      <c r="C21" s="37"/>
      <c r="D21" s="37"/>
      <c r="E21" s="37"/>
      <c r="F21" s="37"/>
      <c r="G21" s="11"/>
      <c r="H21" s="11"/>
    </row>
    <row r="22" spans="1:26" ht="11.25" customHeight="1">
      <c r="A22" s="36" t="s">
        <v>35</v>
      </c>
      <c r="B22" s="37"/>
      <c r="C22" s="37"/>
      <c r="D22" s="37"/>
      <c r="E22" s="37"/>
      <c r="F22" s="37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I15</f>
        <v>3838172.25</v>
      </c>
      <c r="C4" s="10">
        <f>B4</f>
        <v>3838172.25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4" t="s">
        <v>38</v>
      </c>
      <c r="C11" s="10">
        <v>5000000</v>
      </c>
      <c r="D11" s="10">
        <v>17096020</v>
      </c>
      <c r="E11" s="10">
        <v>3521830</v>
      </c>
      <c r="F11" s="16"/>
      <c r="G11" s="10">
        <f>(D11+E11)-C11</f>
        <v>15617850</v>
      </c>
      <c r="H11" s="10">
        <f>(C11+G11)</f>
        <v>20617850</v>
      </c>
      <c r="I11" s="10">
        <f t="shared" ref="I11:I12" si="0">H11*0.15</f>
        <v>3092677.5</v>
      </c>
    </row>
    <row r="12" spans="1:26" ht="16.5" customHeight="1">
      <c r="A12" s="4">
        <v>202112</v>
      </c>
      <c r="B12" s="4" t="s">
        <v>34</v>
      </c>
      <c r="C12" s="16"/>
      <c r="D12" s="16"/>
      <c r="E12" s="16"/>
      <c r="F12" s="18">
        <v>4969965</v>
      </c>
      <c r="G12" s="16"/>
      <c r="H12" s="10">
        <f>F12</f>
        <v>4969965</v>
      </c>
      <c r="I12" s="10">
        <f t="shared" si="0"/>
        <v>745494.75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5000000</v>
      </c>
      <c r="D15" s="10">
        <f t="shared" si="3"/>
        <v>17096020</v>
      </c>
      <c r="E15" s="10">
        <f t="shared" si="3"/>
        <v>3521830</v>
      </c>
      <c r="F15" s="10">
        <f t="shared" si="3"/>
        <v>4969965</v>
      </c>
      <c r="G15" s="10">
        <f t="shared" si="3"/>
        <v>15617850</v>
      </c>
      <c r="H15" s="10">
        <f t="shared" si="3"/>
        <v>25587815</v>
      </c>
      <c r="I15" s="13">
        <f t="shared" si="3"/>
        <v>3838172.25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6" t="s">
        <v>22</v>
      </c>
      <c r="B17" s="37"/>
      <c r="C17" s="37"/>
      <c r="D17" s="37"/>
      <c r="E17" s="37"/>
      <c r="F17" s="37"/>
      <c r="G17" s="11"/>
      <c r="H17" s="11"/>
    </row>
    <row r="18" spans="1:26" ht="11.25" customHeight="1">
      <c r="A18" s="36" t="s">
        <v>23</v>
      </c>
      <c r="B18" s="37"/>
      <c r="C18" s="37"/>
      <c r="D18" s="37"/>
      <c r="E18" s="37"/>
      <c r="F18" s="37"/>
      <c r="G18" s="11"/>
      <c r="H18" s="11"/>
    </row>
    <row r="19" spans="1:26" ht="11.25" customHeight="1">
      <c r="A19" s="36" t="s">
        <v>24</v>
      </c>
      <c r="B19" s="37"/>
      <c r="C19" s="37"/>
      <c r="D19" s="37"/>
      <c r="E19" s="37"/>
      <c r="F19" s="37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8" t="s">
        <v>25</v>
      </c>
      <c r="B20" s="37"/>
      <c r="C20" s="37"/>
      <c r="D20" s="37"/>
      <c r="E20" s="37"/>
      <c r="F20" s="37"/>
      <c r="G20" s="37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6" t="s">
        <v>26</v>
      </c>
      <c r="B21" s="37"/>
      <c r="C21" s="37"/>
      <c r="D21" s="37"/>
      <c r="E21" s="37"/>
      <c r="F21" s="37"/>
      <c r="G21" s="11"/>
      <c r="H21" s="11"/>
    </row>
    <row r="22" spans="1:26" ht="11.25" customHeight="1">
      <c r="A22" s="36" t="s">
        <v>35</v>
      </c>
      <c r="B22" s="37"/>
      <c r="C22" s="37"/>
      <c r="D22" s="37"/>
      <c r="E22" s="37"/>
      <c r="F22" s="37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I15</f>
        <v>3951408.5999999996</v>
      </c>
      <c r="C4" s="10">
        <f>B4</f>
        <v>3951408.5999999996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202202</v>
      </c>
      <c r="B11" s="4" t="s">
        <v>38</v>
      </c>
      <c r="C11" s="10">
        <v>4000000</v>
      </c>
      <c r="D11" s="10">
        <v>16003714</v>
      </c>
      <c r="E11" s="10">
        <v>3419652</v>
      </c>
      <c r="F11" s="16"/>
      <c r="G11" s="10">
        <f>(D11+E11)-C11</f>
        <v>15423366</v>
      </c>
      <c r="H11" s="10">
        <f>(C11+G11)</f>
        <v>19423366</v>
      </c>
      <c r="I11" s="10">
        <f t="shared" ref="I11:I12" si="0">H11*0.15</f>
        <v>2913504.9</v>
      </c>
    </row>
    <row r="12" spans="1:26" ht="16.5" customHeight="1">
      <c r="A12" s="4">
        <v>202201</v>
      </c>
      <c r="B12" s="4" t="s">
        <v>39</v>
      </c>
      <c r="C12" s="16"/>
      <c r="D12" s="16"/>
      <c r="E12" s="16"/>
      <c r="F12" s="18">
        <v>6919358</v>
      </c>
      <c r="G12" s="16"/>
      <c r="H12" s="10">
        <f>F12</f>
        <v>6919358</v>
      </c>
      <c r="I12" s="10">
        <f t="shared" si="0"/>
        <v>1037903.7</v>
      </c>
    </row>
    <row r="13" spans="1:26" ht="16.5" customHeight="1">
      <c r="A13" s="4" t="s">
        <v>29</v>
      </c>
      <c r="B13" s="4" t="s">
        <v>40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41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4000000</v>
      </c>
      <c r="D15" s="10">
        <f t="shared" si="3"/>
        <v>16003714</v>
      </c>
      <c r="E15" s="10">
        <f t="shared" si="3"/>
        <v>3419652</v>
      </c>
      <c r="F15" s="10">
        <f t="shared" si="3"/>
        <v>6919358</v>
      </c>
      <c r="G15" s="10">
        <f t="shared" si="3"/>
        <v>15423366</v>
      </c>
      <c r="H15" s="10">
        <f t="shared" si="3"/>
        <v>26342724</v>
      </c>
      <c r="I15" s="13">
        <f t="shared" si="3"/>
        <v>3951408.5999999996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6" t="s">
        <v>22</v>
      </c>
      <c r="B17" s="37"/>
      <c r="C17" s="37"/>
      <c r="D17" s="37"/>
      <c r="E17" s="37"/>
      <c r="F17" s="37"/>
      <c r="G17" s="11"/>
      <c r="H17" s="11"/>
    </row>
    <row r="18" spans="1:26" ht="11.25" customHeight="1">
      <c r="A18" s="36" t="s">
        <v>23</v>
      </c>
      <c r="B18" s="37"/>
      <c r="C18" s="37"/>
      <c r="D18" s="37"/>
      <c r="E18" s="37"/>
      <c r="F18" s="37"/>
      <c r="G18" s="11"/>
      <c r="H18" s="11"/>
    </row>
    <row r="19" spans="1:26" ht="11.25" customHeight="1">
      <c r="A19" s="36" t="s">
        <v>24</v>
      </c>
      <c r="B19" s="37"/>
      <c r="C19" s="37"/>
      <c r="D19" s="37"/>
      <c r="E19" s="37"/>
      <c r="F19" s="37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8" t="s">
        <v>25</v>
      </c>
      <c r="B20" s="37"/>
      <c r="C20" s="37"/>
      <c r="D20" s="37"/>
      <c r="E20" s="37"/>
      <c r="F20" s="37"/>
      <c r="G20" s="37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6" t="s">
        <v>26</v>
      </c>
      <c r="B21" s="37"/>
      <c r="C21" s="37"/>
      <c r="D21" s="37"/>
      <c r="E21" s="37"/>
      <c r="F21" s="37"/>
      <c r="G21" s="11"/>
      <c r="H21" s="11"/>
    </row>
    <row r="22" spans="1:26" ht="11.25" customHeight="1">
      <c r="A22" s="36" t="s">
        <v>35</v>
      </c>
      <c r="B22" s="37"/>
      <c r="C22" s="37"/>
      <c r="D22" s="37"/>
      <c r="E22" s="37"/>
      <c r="F22" s="37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I15</f>
        <v>3950669.8499999996</v>
      </c>
      <c r="C4" s="10">
        <f>B4</f>
        <v>3950669.8499999996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202203</v>
      </c>
      <c r="B11" s="4" t="s">
        <v>38</v>
      </c>
      <c r="C11" s="10">
        <v>4000000</v>
      </c>
      <c r="D11" s="10">
        <v>15689674</v>
      </c>
      <c r="E11" s="10">
        <v>3922388</v>
      </c>
      <c r="F11" s="16"/>
      <c r="G11" s="10">
        <f>(D11+E11)-C11</f>
        <v>15612062</v>
      </c>
      <c r="H11" s="10">
        <f>(C11+G11)</f>
        <v>19612062</v>
      </c>
      <c r="I11" s="10">
        <f t="shared" ref="I11:I12" si="0">H11*0.15</f>
        <v>2941809.3</v>
      </c>
    </row>
    <row r="12" spans="1:26" ht="16.5" customHeight="1">
      <c r="A12" s="4">
        <v>202202</v>
      </c>
      <c r="B12" s="4" t="s">
        <v>39</v>
      </c>
      <c r="C12" s="16"/>
      <c r="D12" s="16"/>
      <c r="E12" s="16"/>
      <c r="F12" s="18">
        <v>6725737</v>
      </c>
      <c r="G12" s="16"/>
      <c r="H12" s="10">
        <f>F12</f>
        <v>6725737</v>
      </c>
      <c r="I12" s="10">
        <f t="shared" si="0"/>
        <v>1008860.5499999999</v>
      </c>
    </row>
    <row r="13" spans="1:26" ht="16.5" customHeight="1">
      <c r="A13" s="4" t="s">
        <v>29</v>
      </c>
      <c r="B13" s="4" t="s">
        <v>40</v>
      </c>
      <c r="C13" s="16"/>
      <c r="D13" s="16"/>
      <c r="E13" s="16"/>
      <c r="F13" s="20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41</v>
      </c>
      <c r="C14" s="16"/>
      <c r="D14" s="16"/>
      <c r="E14" s="16"/>
      <c r="F14" s="20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4000000</v>
      </c>
      <c r="D15" s="10">
        <f t="shared" si="3"/>
        <v>15689674</v>
      </c>
      <c r="E15" s="10">
        <f t="shared" si="3"/>
        <v>3922388</v>
      </c>
      <c r="F15" s="10">
        <f t="shared" si="3"/>
        <v>6725737</v>
      </c>
      <c r="G15" s="10">
        <f t="shared" si="3"/>
        <v>15612062</v>
      </c>
      <c r="H15" s="10">
        <f t="shared" si="3"/>
        <v>26337799</v>
      </c>
      <c r="I15" s="13">
        <f t="shared" si="3"/>
        <v>3950669.8499999996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6" t="s">
        <v>22</v>
      </c>
      <c r="B17" s="37"/>
      <c r="C17" s="37"/>
      <c r="D17" s="37"/>
      <c r="E17" s="37"/>
      <c r="F17" s="37"/>
      <c r="G17" s="11"/>
      <c r="H17" s="11"/>
    </row>
    <row r="18" spans="1:26" ht="11.25" customHeight="1">
      <c r="A18" s="36" t="s">
        <v>23</v>
      </c>
      <c r="B18" s="37"/>
      <c r="C18" s="37"/>
      <c r="D18" s="37"/>
      <c r="E18" s="37"/>
      <c r="F18" s="37"/>
      <c r="G18" s="11"/>
      <c r="H18" s="11"/>
    </row>
    <row r="19" spans="1:26" ht="11.25" customHeight="1">
      <c r="A19" s="36" t="s">
        <v>24</v>
      </c>
      <c r="B19" s="37"/>
      <c r="C19" s="37"/>
      <c r="D19" s="37"/>
      <c r="E19" s="37"/>
      <c r="F19" s="37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8" t="s">
        <v>25</v>
      </c>
      <c r="B20" s="37"/>
      <c r="C20" s="37"/>
      <c r="D20" s="37"/>
      <c r="E20" s="37"/>
      <c r="F20" s="37"/>
      <c r="G20" s="37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6" t="s">
        <v>26</v>
      </c>
      <c r="B21" s="37"/>
      <c r="C21" s="37"/>
      <c r="D21" s="37"/>
      <c r="E21" s="37"/>
      <c r="F21" s="37"/>
      <c r="G21" s="11"/>
      <c r="H21" s="11"/>
    </row>
    <row r="22" spans="1:26" ht="11.25" customHeight="1">
      <c r="A22" s="36" t="s">
        <v>35</v>
      </c>
      <c r="B22" s="37"/>
      <c r="C22" s="37"/>
      <c r="D22" s="37"/>
      <c r="E22" s="37"/>
      <c r="F22" s="37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1"/>
  <sheetViews>
    <sheetView workbookViewId="0"/>
  </sheetViews>
  <sheetFormatPr defaultColWidth="14.42578125" defaultRowHeight="15" customHeight="1"/>
  <cols>
    <col min="1" max="1" width="12" customWidth="1"/>
    <col min="2" max="2" width="20.710937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202204</v>
      </c>
      <c r="B4" s="9">
        <f>I16</f>
        <v>4994505</v>
      </c>
      <c r="C4" s="10">
        <f>B4</f>
        <v>4994505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202204</v>
      </c>
      <c r="B11" s="21" t="s">
        <v>38</v>
      </c>
      <c r="C11" s="22">
        <v>4000000</v>
      </c>
      <c r="D11" s="22">
        <v>17983314</v>
      </c>
      <c r="E11" s="22">
        <v>3548501</v>
      </c>
      <c r="F11" s="16"/>
      <c r="G11" s="10">
        <f>(D11+E11)-C11</f>
        <v>17531815</v>
      </c>
      <c r="H11" s="10">
        <f>(C11+G11)</f>
        <v>21531815</v>
      </c>
      <c r="I11" s="10">
        <f t="shared" ref="I11:I15" si="0">H11*0.15</f>
        <v>3229772.25</v>
      </c>
    </row>
    <row r="12" spans="1:26" ht="16.5" customHeight="1">
      <c r="A12" s="21">
        <v>202203</v>
      </c>
      <c r="B12" s="21" t="s">
        <v>39</v>
      </c>
      <c r="C12" s="16"/>
      <c r="D12" s="16"/>
      <c r="E12" s="16"/>
      <c r="F12" s="23">
        <v>7114544</v>
      </c>
      <c r="G12" s="16"/>
      <c r="H12" s="10">
        <f t="shared" ref="H12:H14" si="1">F12</f>
        <v>7114544</v>
      </c>
      <c r="I12" s="10">
        <f t="shared" si="0"/>
        <v>1067181.5999999999</v>
      </c>
    </row>
    <row r="13" spans="1:26" ht="16.5" customHeight="1">
      <c r="A13" s="21" t="s">
        <v>29</v>
      </c>
      <c r="B13" s="21" t="s">
        <v>40</v>
      </c>
      <c r="C13" s="16"/>
      <c r="D13" s="16"/>
      <c r="E13" s="16"/>
      <c r="F13" s="24">
        <v>0</v>
      </c>
      <c r="G13" s="16"/>
      <c r="H13" s="10">
        <f t="shared" si="1"/>
        <v>0</v>
      </c>
      <c r="I13" s="10">
        <f t="shared" si="0"/>
        <v>0</v>
      </c>
    </row>
    <row r="14" spans="1:26" ht="16.5" customHeight="1">
      <c r="A14" s="21" t="s">
        <v>29</v>
      </c>
      <c r="B14" s="21" t="s">
        <v>41</v>
      </c>
      <c r="C14" s="16"/>
      <c r="D14" s="16"/>
      <c r="E14" s="16"/>
      <c r="F14" s="24">
        <v>0</v>
      </c>
      <c r="G14" s="16"/>
      <c r="H14" s="10">
        <f t="shared" si="1"/>
        <v>0</v>
      </c>
      <c r="I14" s="10">
        <f t="shared" si="0"/>
        <v>0</v>
      </c>
    </row>
    <row r="15" spans="1:26" ht="16.5" customHeight="1">
      <c r="A15" s="21">
        <v>202203</v>
      </c>
      <c r="B15" s="21" t="s">
        <v>42</v>
      </c>
      <c r="C15" s="25">
        <v>4650341</v>
      </c>
      <c r="D15" s="16"/>
      <c r="E15" s="16"/>
      <c r="F15" s="26"/>
      <c r="G15" s="16"/>
      <c r="H15" s="10">
        <f>C15</f>
        <v>4650341</v>
      </c>
      <c r="I15" s="10">
        <f t="shared" si="0"/>
        <v>697551.15</v>
      </c>
    </row>
    <row r="16" spans="1:26" ht="16.5" customHeight="1">
      <c r="A16" s="4" t="s">
        <v>21</v>
      </c>
      <c r="B16" s="12"/>
      <c r="C16" s="10">
        <f t="shared" ref="C16:I16" si="2">SUM(C10:C15)</f>
        <v>8650341</v>
      </c>
      <c r="D16" s="10">
        <f t="shared" si="2"/>
        <v>17983314</v>
      </c>
      <c r="E16" s="10">
        <f t="shared" si="2"/>
        <v>3548501</v>
      </c>
      <c r="F16" s="10">
        <f t="shared" si="2"/>
        <v>7114544</v>
      </c>
      <c r="G16" s="10">
        <f t="shared" si="2"/>
        <v>17531815</v>
      </c>
      <c r="H16" s="10">
        <f t="shared" si="2"/>
        <v>33296700</v>
      </c>
      <c r="I16" s="13">
        <f t="shared" si="2"/>
        <v>4994505</v>
      </c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6" t="s">
        <v>22</v>
      </c>
      <c r="B18" s="37"/>
      <c r="C18" s="37"/>
      <c r="D18" s="37"/>
      <c r="E18" s="37"/>
      <c r="F18" s="37"/>
      <c r="G18" s="11"/>
      <c r="H18" s="11"/>
    </row>
    <row r="19" spans="1:26" ht="11.25" customHeight="1">
      <c r="A19" s="36" t="s">
        <v>23</v>
      </c>
      <c r="B19" s="37"/>
      <c r="C19" s="37"/>
      <c r="D19" s="37"/>
      <c r="E19" s="37"/>
      <c r="F19" s="37"/>
      <c r="G19" s="11"/>
      <c r="H19" s="11"/>
    </row>
    <row r="20" spans="1:26" ht="11.25" customHeight="1">
      <c r="A20" s="36" t="s">
        <v>24</v>
      </c>
      <c r="B20" s="37"/>
      <c r="C20" s="37"/>
      <c r="D20" s="37"/>
      <c r="E20" s="37"/>
      <c r="F20" s="37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8" t="s">
        <v>25</v>
      </c>
      <c r="B21" s="37"/>
      <c r="C21" s="37"/>
      <c r="D21" s="37"/>
      <c r="E21" s="37"/>
      <c r="F21" s="37"/>
      <c r="G21" s="37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6" t="s">
        <v>26</v>
      </c>
      <c r="B22" s="37"/>
      <c r="C22" s="37"/>
      <c r="D22" s="37"/>
      <c r="E22" s="37"/>
      <c r="F22" s="37"/>
      <c r="G22" s="11"/>
      <c r="H22" s="11"/>
    </row>
    <row r="23" spans="1:26" ht="11.25" customHeight="1">
      <c r="A23" s="36" t="s">
        <v>35</v>
      </c>
      <c r="B23" s="37"/>
      <c r="C23" s="37"/>
      <c r="D23" s="37"/>
      <c r="E23" s="37"/>
      <c r="F23" s="37"/>
      <c r="G23" s="11"/>
      <c r="H23" s="17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</sheetData>
  <mergeCells count="9">
    <mergeCell ref="A22:F22"/>
    <mergeCell ref="A23:F23"/>
    <mergeCell ref="A2:C2"/>
    <mergeCell ref="A6:F6"/>
    <mergeCell ref="A9:D9"/>
    <mergeCell ref="A18:F18"/>
    <mergeCell ref="A19:F19"/>
    <mergeCell ref="A20:F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2"/>
  <sheetViews>
    <sheetView workbookViewId="0">
      <selection activeCell="I26" sqref="I26"/>
    </sheetView>
  </sheetViews>
  <sheetFormatPr defaultColWidth="14.42578125" defaultRowHeight="15" customHeight="1"/>
  <cols>
    <col min="1" max="1" width="12" customWidth="1"/>
    <col min="2" max="2" width="24.42578125" customWidth="1"/>
    <col min="3" max="9" width="19.5703125" customWidth="1"/>
    <col min="10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202205</v>
      </c>
      <c r="B4" s="9">
        <f>I17</f>
        <v>5513496.4500000002</v>
      </c>
      <c r="C4" s="10">
        <f>B4</f>
        <v>5513496.4500000002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202205</v>
      </c>
      <c r="B11" s="21" t="s">
        <v>38</v>
      </c>
      <c r="C11" s="22">
        <v>5000000</v>
      </c>
      <c r="D11" s="22">
        <v>20066799</v>
      </c>
      <c r="E11" s="22">
        <v>7843367</v>
      </c>
      <c r="F11" s="16"/>
      <c r="G11" s="10">
        <f>(D11+E11)-C11</f>
        <v>22910166</v>
      </c>
      <c r="H11" s="10">
        <f>(C11+G11)</f>
        <v>27910166</v>
      </c>
      <c r="I11" s="10">
        <f t="shared" ref="I11:I16" si="0">H11*0.15</f>
        <v>4186524.9</v>
      </c>
    </row>
    <row r="12" spans="1:26" ht="16.5" customHeight="1">
      <c r="A12" s="21">
        <v>202204</v>
      </c>
      <c r="B12" s="21" t="s">
        <v>39</v>
      </c>
      <c r="C12" s="16"/>
      <c r="D12" s="16"/>
      <c r="E12" s="16"/>
      <c r="F12" s="23">
        <v>7846477</v>
      </c>
      <c r="G12" s="16"/>
      <c r="H12" s="10">
        <f t="shared" ref="H12:H14" si="1">F12</f>
        <v>7846477</v>
      </c>
      <c r="I12" s="10">
        <f t="shared" si="0"/>
        <v>1176971.55</v>
      </c>
    </row>
    <row r="13" spans="1:26" ht="16.5" customHeight="1">
      <c r="A13" s="21" t="s">
        <v>29</v>
      </c>
      <c r="B13" s="21" t="s">
        <v>40</v>
      </c>
      <c r="C13" s="16"/>
      <c r="D13" s="16"/>
      <c r="E13" s="16"/>
      <c r="F13" s="24">
        <v>0</v>
      </c>
      <c r="G13" s="16"/>
      <c r="H13" s="10">
        <f t="shared" si="1"/>
        <v>0</v>
      </c>
      <c r="I13" s="10">
        <f t="shared" si="0"/>
        <v>0</v>
      </c>
    </row>
    <row r="14" spans="1:26" ht="16.5" customHeight="1">
      <c r="A14" s="21" t="s">
        <v>29</v>
      </c>
      <c r="B14" s="21" t="s">
        <v>41</v>
      </c>
      <c r="C14" s="16"/>
      <c r="D14" s="16"/>
      <c r="E14" s="16"/>
      <c r="F14" s="24">
        <v>0</v>
      </c>
      <c r="G14" s="16"/>
      <c r="H14" s="10">
        <f t="shared" si="1"/>
        <v>0</v>
      </c>
      <c r="I14" s="10">
        <f t="shared" si="0"/>
        <v>0</v>
      </c>
    </row>
    <row r="15" spans="1:26" ht="16.5" customHeight="1">
      <c r="A15" s="21" t="s">
        <v>29</v>
      </c>
      <c r="B15" s="21" t="s">
        <v>44</v>
      </c>
      <c r="C15" s="28"/>
      <c r="D15" s="16"/>
      <c r="E15" s="16"/>
      <c r="F15" s="29">
        <v>0</v>
      </c>
      <c r="G15" s="16"/>
      <c r="H15" s="10">
        <f t="shared" ref="H15:H16" si="2">C15</f>
        <v>0</v>
      </c>
      <c r="I15" s="10">
        <f t="shared" si="0"/>
        <v>0</v>
      </c>
    </row>
    <row r="16" spans="1:26" ht="16.5" customHeight="1">
      <c r="A16" s="21">
        <v>202205</v>
      </c>
      <c r="B16" s="21" t="s">
        <v>43</v>
      </c>
      <c r="C16" s="22">
        <v>1000000</v>
      </c>
      <c r="D16" s="16"/>
      <c r="E16" s="16"/>
      <c r="F16" s="26"/>
      <c r="G16" s="16"/>
      <c r="H16" s="10">
        <f t="shared" si="2"/>
        <v>1000000</v>
      </c>
      <c r="I16" s="10">
        <f t="shared" si="0"/>
        <v>150000</v>
      </c>
    </row>
    <row r="17" spans="1:26" ht="16.5" customHeight="1">
      <c r="A17" s="4" t="s">
        <v>21</v>
      </c>
      <c r="B17" s="12"/>
      <c r="C17" s="10">
        <f t="shared" ref="C17:I17" si="3">SUM(C10:C16)</f>
        <v>6000000</v>
      </c>
      <c r="D17" s="10">
        <f t="shared" si="3"/>
        <v>20066799</v>
      </c>
      <c r="E17" s="10">
        <f t="shared" si="3"/>
        <v>7843367</v>
      </c>
      <c r="F17" s="10">
        <f t="shared" si="3"/>
        <v>7846477</v>
      </c>
      <c r="G17" s="10">
        <f t="shared" si="3"/>
        <v>22910166</v>
      </c>
      <c r="H17" s="10">
        <f t="shared" si="3"/>
        <v>36756643</v>
      </c>
      <c r="I17" s="13">
        <f t="shared" si="3"/>
        <v>5513496.4500000002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6" t="s">
        <v>22</v>
      </c>
      <c r="B19" s="37"/>
      <c r="C19" s="37"/>
      <c r="D19" s="37"/>
      <c r="E19" s="37"/>
      <c r="F19" s="37"/>
      <c r="G19" s="11"/>
      <c r="H19" s="11"/>
    </row>
    <row r="20" spans="1:26" ht="11.25" customHeight="1">
      <c r="A20" s="36" t="s">
        <v>23</v>
      </c>
      <c r="B20" s="37"/>
      <c r="C20" s="37"/>
      <c r="D20" s="37"/>
      <c r="E20" s="37"/>
      <c r="F20" s="37"/>
      <c r="G20" s="11"/>
      <c r="H20" s="11"/>
    </row>
    <row r="21" spans="1:26" ht="11.25" customHeight="1">
      <c r="A21" s="36" t="s">
        <v>24</v>
      </c>
      <c r="B21" s="37"/>
      <c r="C21" s="37"/>
      <c r="D21" s="37"/>
      <c r="E21" s="37"/>
      <c r="F21" s="37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8" t="s">
        <v>25</v>
      </c>
      <c r="B22" s="37"/>
      <c r="C22" s="37"/>
      <c r="D22" s="37"/>
      <c r="E22" s="37"/>
      <c r="F22" s="37"/>
      <c r="G22" s="37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6" t="s">
        <v>26</v>
      </c>
      <c r="B23" s="37"/>
      <c r="C23" s="37"/>
      <c r="D23" s="37"/>
      <c r="E23" s="37"/>
      <c r="F23" s="37"/>
      <c r="G23" s="11"/>
      <c r="H23" s="11"/>
    </row>
    <row r="24" spans="1:26" ht="11.25" customHeight="1">
      <c r="A24" s="36" t="s">
        <v>35</v>
      </c>
      <c r="B24" s="37"/>
      <c r="C24" s="37"/>
      <c r="D24" s="37"/>
      <c r="E24" s="37"/>
      <c r="F24" s="37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1:F21"/>
    <mergeCell ref="A22:G22"/>
    <mergeCell ref="A23:F23"/>
    <mergeCell ref="A24:F24"/>
    <mergeCell ref="A2:C2"/>
    <mergeCell ref="A6:F6"/>
    <mergeCell ref="A9:D9"/>
    <mergeCell ref="A19:F19"/>
    <mergeCell ref="A20:F20"/>
  </mergeCells>
  <phoneticPr fontId="14" type="noConversion"/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2"/>
  <sheetViews>
    <sheetView workbookViewId="0">
      <selection activeCell="C4" sqref="C4"/>
    </sheetView>
  </sheetViews>
  <sheetFormatPr defaultColWidth="14.42578125" defaultRowHeight="15" customHeight="1"/>
  <cols>
    <col min="1" max="1" width="12" style="27" customWidth="1"/>
    <col min="2" max="2" width="24.42578125" style="27" customWidth="1"/>
    <col min="3" max="9" width="19.5703125" style="27" customWidth="1"/>
    <col min="10" max="26" width="8.7109375" style="27" customWidth="1"/>
    <col min="27" max="16384" width="14.42578125" style="27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202206</v>
      </c>
      <c r="B4" s="9">
        <f>I17</f>
        <v>4490254.9499999993</v>
      </c>
      <c r="C4" s="22">
        <f>B4</f>
        <v>4490254.9499999993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202206</v>
      </c>
      <c r="B11" s="21" t="s">
        <v>38</v>
      </c>
      <c r="C11" s="22">
        <v>4000000</v>
      </c>
      <c r="D11" s="22">
        <v>16747046</v>
      </c>
      <c r="E11" s="22">
        <v>4360107</v>
      </c>
      <c r="F11" s="16"/>
      <c r="G11" s="22">
        <f>(D11+E11)-C11</f>
        <v>17107153</v>
      </c>
      <c r="H11" s="22">
        <f>(C11+G11)</f>
        <v>21107153</v>
      </c>
      <c r="I11" s="22">
        <f t="shared" ref="I11:I16" si="0">H11*0.15</f>
        <v>3166072.9499999997</v>
      </c>
    </row>
    <row r="12" spans="1:26" ht="16.5" customHeight="1">
      <c r="A12" s="21">
        <v>202205</v>
      </c>
      <c r="B12" s="21" t="s">
        <v>39</v>
      </c>
      <c r="C12" s="16"/>
      <c r="D12" s="16"/>
      <c r="E12" s="16"/>
      <c r="F12" s="23">
        <v>8827880</v>
      </c>
      <c r="G12" s="16"/>
      <c r="H12" s="22">
        <f t="shared" ref="H12:H14" si="1">F12</f>
        <v>8827880</v>
      </c>
      <c r="I12" s="22">
        <f t="shared" si="0"/>
        <v>1324182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4000000</v>
      </c>
      <c r="D17" s="22">
        <f t="shared" si="3"/>
        <v>16747046</v>
      </c>
      <c r="E17" s="22">
        <f t="shared" si="3"/>
        <v>4360107</v>
      </c>
      <c r="F17" s="22">
        <f t="shared" si="3"/>
        <v>8827880</v>
      </c>
      <c r="G17" s="22">
        <f t="shared" si="3"/>
        <v>17107153</v>
      </c>
      <c r="H17" s="22">
        <f t="shared" si="3"/>
        <v>29935033</v>
      </c>
      <c r="I17" s="13">
        <f t="shared" si="3"/>
        <v>4490254.9499999993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6" t="s">
        <v>22</v>
      </c>
      <c r="B19" s="37"/>
      <c r="C19" s="37"/>
      <c r="D19" s="37"/>
      <c r="E19" s="37"/>
      <c r="F19" s="37"/>
      <c r="G19" s="11"/>
      <c r="H19" s="11"/>
    </row>
    <row r="20" spans="1:26" ht="11.25" customHeight="1">
      <c r="A20" s="36" t="s">
        <v>23</v>
      </c>
      <c r="B20" s="37"/>
      <c r="C20" s="37"/>
      <c r="D20" s="37"/>
      <c r="E20" s="37"/>
      <c r="F20" s="37"/>
      <c r="G20" s="11"/>
      <c r="H20" s="11"/>
    </row>
    <row r="21" spans="1:26" ht="11.25" customHeight="1">
      <c r="A21" s="36" t="s">
        <v>24</v>
      </c>
      <c r="B21" s="37"/>
      <c r="C21" s="37"/>
      <c r="D21" s="37"/>
      <c r="E21" s="37"/>
      <c r="F21" s="37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8" t="s">
        <v>25</v>
      </c>
      <c r="B22" s="37"/>
      <c r="C22" s="37"/>
      <c r="D22" s="37"/>
      <c r="E22" s="37"/>
      <c r="F22" s="37"/>
      <c r="G22" s="37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6" t="s">
        <v>26</v>
      </c>
      <c r="B23" s="37"/>
      <c r="C23" s="37"/>
      <c r="D23" s="37"/>
      <c r="E23" s="37"/>
      <c r="F23" s="37"/>
      <c r="G23" s="11"/>
      <c r="H23" s="11"/>
    </row>
    <row r="24" spans="1:26" ht="11.25" customHeight="1">
      <c r="A24" s="36" t="s">
        <v>35</v>
      </c>
      <c r="B24" s="37"/>
      <c r="C24" s="37"/>
      <c r="D24" s="37"/>
      <c r="E24" s="37"/>
      <c r="F24" s="37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2"/>
  <sheetViews>
    <sheetView workbookViewId="0">
      <selection activeCell="A2" sqref="A2:C2"/>
    </sheetView>
  </sheetViews>
  <sheetFormatPr defaultColWidth="14.42578125" defaultRowHeight="15" customHeight="1"/>
  <cols>
    <col min="1" max="1" width="12" style="30" customWidth="1"/>
    <col min="2" max="2" width="24.42578125" style="30" customWidth="1"/>
    <col min="3" max="9" width="19.5703125" style="30" customWidth="1"/>
    <col min="10" max="26" width="8.7109375" style="30" customWidth="1"/>
    <col min="27" max="16384" width="14.42578125" style="30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202207</v>
      </c>
      <c r="B4" s="9">
        <f>I17</f>
        <v>4081098.75</v>
      </c>
      <c r="C4" s="22">
        <f>B4</f>
        <v>4081098.75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202207</v>
      </c>
      <c r="B11" s="21" t="s">
        <v>38</v>
      </c>
      <c r="C11" s="22">
        <v>4000000</v>
      </c>
      <c r="D11" s="22">
        <v>15289157</v>
      </c>
      <c r="E11" s="22">
        <v>3617684</v>
      </c>
      <c r="F11" s="16"/>
      <c r="G11" s="22">
        <f>(D11+E11)-C11</f>
        <v>14906841</v>
      </c>
      <c r="H11" s="22">
        <f>(C11+G11)</f>
        <v>18906841</v>
      </c>
      <c r="I11" s="22">
        <f t="shared" ref="I11:I16" si="0">H11*0.15</f>
        <v>2836026.15</v>
      </c>
    </row>
    <row r="12" spans="1:26" ht="16.5" customHeight="1">
      <c r="A12" s="21">
        <v>202206</v>
      </c>
      <c r="B12" s="21" t="s">
        <v>39</v>
      </c>
      <c r="C12" s="16"/>
      <c r="D12" s="16"/>
      <c r="E12" s="16"/>
      <c r="F12" s="23">
        <v>8300484</v>
      </c>
      <c r="G12" s="16"/>
      <c r="H12" s="22">
        <f t="shared" ref="H12:H14" si="1">F12</f>
        <v>8300484</v>
      </c>
      <c r="I12" s="22">
        <f t="shared" si="0"/>
        <v>1245072.5999999999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4000000</v>
      </c>
      <c r="D17" s="22">
        <f t="shared" si="3"/>
        <v>15289157</v>
      </c>
      <c r="E17" s="22">
        <f t="shared" si="3"/>
        <v>3617684</v>
      </c>
      <c r="F17" s="22">
        <f t="shared" si="3"/>
        <v>8300484</v>
      </c>
      <c r="G17" s="22">
        <f t="shared" si="3"/>
        <v>14906841</v>
      </c>
      <c r="H17" s="22">
        <f t="shared" si="3"/>
        <v>27207325</v>
      </c>
      <c r="I17" s="13">
        <f t="shared" si="3"/>
        <v>4081098.75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6" t="s">
        <v>22</v>
      </c>
      <c r="B19" s="37"/>
      <c r="C19" s="37"/>
      <c r="D19" s="37"/>
      <c r="E19" s="37"/>
      <c r="F19" s="37"/>
      <c r="G19" s="11"/>
      <c r="H19" s="11"/>
    </row>
    <row r="20" spans="1:26" ht="11.25" customHeight="1">
      <c r="A20" s="36" t="s">
        <v>23</v>
      </c>
      <c r="B20" s="37"/>
      <c r="C20" s="37"/>
      <c r="D20" s="37"/>
      <c r="E20" s="37"/>
      <c r="F20" s="37"/>
      <c r="G20" s="11"/>
      <c r="H20" s="11"/>
    </row>
    <row r="21" spans="1:26" ht="11.25" customHeight="1">
      <c r="A21" s="36" t="s">
        <v>24</v>
      </c>
      <c r="B21" s="37"/>
      <c r="C21" s="37"/>
      <c r="D21" s="37"/>
      <c r="E21" s="37"/>
      <c r="F21" s="37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8" t="s">
        <v>25</v>
      </c>
      <c r="B22" s="37"/>
      <c r="C22" s="37"/>
      <c r="D22" s="37"/>
      <c r="E22" s="37"/>
      <c r="F22" s="37"/>
      <c r="G22" s="37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6" t="s">
        <v>26</v>
      </c>
      <c r="B23" s="37"/>
      <c r="C23" s="37"/>
      <c r="D23" s="37"/>
      <c r="E23" s="37"/>
      <c r="F23" s="37"/>
      <c r="G23" s="11"/>
      <c r="H23" s="11"/>
    </row>
    <row r="24" spans="1:26" ht="11.25" customHeight="1">
      <c r="A24" s="36" t="s">
        <v>35</v>
      </c>
      <c r="B24" s="37"/>
      <c r="C24" s="37"/>
      <c r="D24" s="37"/>
      <c r="E24" s="37"/>
      <c r="F24" s="37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2"/>
  <sheetViews>
    <sheetView workbookViewId="0">
      <selection activeCell="A2" sqref="A2:C2"/>
    </sheetView>
  </sheetViews>
  <sheetFormatPr defaultColWidth="14.42578125" defaultRowHeight="15" customHeight="1"/>
  <cols>
    <col min="1" max="1" width="12" style="31" customWidth="1"/>
    <col min="2" max="2" width="24.42578125" style="31" customWidth="1"/>
    <col min="3" max="9" width="19.5703125" style="31" customWidth="1"/>
    <col min="10" max="26" width="8.7109375" style="31" customWidth="1"/>
    <col min="27" max="16384" width="14.42578125" style="3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202208</v>
      </c>
      <c r="B4" s="9">
        <f>I17</f>
        <v>3601986.9</v>
      </c>
      <c r="C4" s="22">
        <f>B4</f>
        <v>3601986.9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202208</v>
      </c>
      <c r="B11" s="21" t="s">
        <v>38</v>
      </c>
      <c r="C11" s="22">
        <v>5000000</v>
      </c>
      <c r="D11" s="22">
        <v>12345181</v>
      </c>
      <c r="E11" s="22">
        <v>3962800</v>
      </c>
      <c r="F11" s="16"/>
      <c r="G11" s="22">
        <f>(D11+E11)-C11</f>
        <v>11307981</v>
      </c>
      <c r="H11" s="22">
        <f>(C11+G11)</f>
        <v>16307981</v>
      </c>
      <c r="I11" s="22">
        <f t="shared" ref="I11:I16" si="0">H11*0.15</f>
        <v>2446197.15</v>
      </c>
    </row>
    <row r="12" spans="1:26" ht="16.5" customHeight="1">
      <c r="A12" s="21">
        <v>202207</v>
      </c>
      <c r="B12" s="21" t="s">
        <v>39</v>
      </c>
      <c r="C12" s="16"/>
      <c r="D12" s="16"/>
      <c r="E12" s="16"/>
      <c r="F12" s="23">
        <v>7705265</v>
      </c>
      <c r="G12" s="16"/>
      <c r="H12" s="22">
        <f t="shared" ref="H12:H14" si="1">F12</f>
        <v>7705265</v>
      </c>
      <c r="I12" s="22">
        <f t="shared" si="0"/>
        <v>1155789.75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5000000</v>
      </c>
      <c r="D17" s="22">
        <f t="shared" si="3"/>
        <v>12345181</v>
      </c>
      <c r="E17" s="22">
        <f t="shared" si="3"/>
        <v>3962800</v>
      </c>
      <c r="F17" s="22">
        <f t="shared" si="3"/>
        <v>7705265</v>
      </c>
      <c r="G17" s="22">
        <f t="shared" si="3"/>
        <v>11307981</v>
      </c>
      <c r="H17" s="22">
        <f t="shared" si="3"/>
        <v>24013246</v>
      </c>
      <c r="I17" s="13">
        <f t="shared" si="3"/>
        <v>3601986.9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6" t="s">
        <v>22</v>
      </c>
      <c r="B19" s="37"/>
      <c r="C19" s="37"/>
      <c r="D19" s="37"/>
      <c r="E19" s="37"/>
      <c r="F19" s="37"/>
      <c r="G19" s="11"/>
      <c r="H19" s="11"/>
    </row>
    <row r="20" spans="1:26" ht="11.25" customHeight="1">
      <c r="A20" s="36" t="s">
        <v>23</v>
      </c>
      <c r="B20" s="37"/>
      <c r="C20" s="37"/>
      <c r="D20" s="37"/>
      <c r="E20" s="37"/>
      <c r="F20" s="37"/>
      <c r="G20" s="11"/>
      <c r="H20" s="11"/>
    </row>
    <row r="21" spans="1:26" ht="11.25" customHeight="1">
      <c r="A21" s="36" t="s">
        <v>24</v>
      </c>
      <c r="B21" s="37"/>
      <c r="C21" s="37"/>
      <c r="D21" s="37"/>
      <c r="E21" s="37"/>
      <c r="F21" s="37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8" t="s">
        <v>25</v>
      </c>
      <c r="B22" s="37"/>
      <c r="C22" s="37"/>
      <c r="D22" s="37"/>
      <c r="E22" s="37"/>
      <c r="F22" s="37"/>
      <c r="G22" s="37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6" t="s">
        <v>26</v>
      </c>
      <c r="B23" s="37"/>
      <c r="C23" s="37"/>
      <c r="D23" s="37"/>
      <c r="E23" s="37"/>
      <c r="F23" s="37"/>
      <c r="G23" s="11"/>
      <c r="H23" s="11"/>
    </row>
    <row r="24" spans="1:26" ht="11.25" customHeight="1">
      <c r="A24" s="36" t="s">
        <v>35</v>
      </c>
      <c r="B24" s="37"/>
      <c r="C24" s="37"/>
      <c r="D24" s="37"/>
      <c r="E24" s="37"/>
      <c r="F24" s="37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2"/>
  <sheetViews>
    <sheetView workbookViewId="0">
      <selection activeCell="H28" sqref="H28"/>
    </sheetView>
  </sheetViews>
  <sheetFormatPr defaultColWidth="14.42578125" defaultRowHeight="15" customHeight="1"/>
  <cols>
    <col min="1" max="1" width="12" style="32" customWidth="1"/>
    <col min="2" max="2" width="24.42578125" style="32" customWidth="1"/>
    <col min="3" max="9" width="19.5703125" style="32" customWidth="1"/>
    <col min="10" max="26" width="8.7109375" style="32" customWidth="1"/>
    <col min="27" max="16384" width="14.42578125" style="32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202209</v>
      </c>
      <c r="B4" s="9">
        <f>I17</f>
        <v>3971466.3</v>
      </c>
      <c r="C4" s="22">
        <f>B4</f>
        <v>3971466.3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202209</v>
      </c>
      <c r="B11" s="21" t="s">
        <v>38</v>
      </c>
      <c r="C11" s="22">
        <v>4000000</v>
      </c>
      <c r="D11" s="22">
        <v>11669918</v>
      </c>
      <c r="E11" s="22">
        <v>5634510</v>
      </c>
      <c r="F11" s="16"/>
      <c r="G11" s="22">
        <f>(D11+E11)-C11</f>
        <v>13304428</v>
      </c>
      <c r="H11" s="22">
        <f>(C11+G11)</f>
        <v>17304428</v>
      </c>
      <c r="I11" s="22">
        <f t="shared" ref="I11:I16" si="0">H11*0.15</f>
        <v>2595664.1999999997</v>
      </c>
    </row>
    <row r="12" spans="1:26" ht="16.5" customHeight="1">
      <c r="A12" s="21">
        <v>202208</v>
      </c>
      <c r="B12" s="21" t="s">
        <v>39</v>
      </c>
      <c r="C12" s="16"/>
      <c r="D12" s="16"/>
      <c r="E12" s="16"/>
      <c r="F12" s="23">
        <v>9172014</v>
      </c>
      <c r="G12" s="16"/>
      <c r="H12" s="22">
        <f t="shared" ref="H12:H14" si="1">F12</f>
        <v>9172014</v>
      </c>
      <c r="I12" s="22">
        <f t="shared" si="0"/>
        <v>1375802.0999999999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4000000</v>
      </c>
      <c r="D17" s="22">
        <f t="shared" si="3"/>
        <v>11669918</v>
      </c>
      <c r="E17" s="22">
        <f t="shared" si="3"/>
        <v>5634510</v>
      </c>
      <c r="F17" s="22">
        <f t="shared" si="3"/>
        <v>9172014</v>
      </c>
      <c r="G17" s="22">
        <f t="shared" si="3"/>
        <v>13304428</v>
      </c>
      <c r="H17" s="22">
        <f t="shared" si="3"/>
        <v>26476442</v>
      </c>
      <c r="I17" s="13">
        <f t="shared" si="3"/>
        <v>3971466.3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6" t="s">
        <v>22</v>
      </c>
      <c r="B19" s="37"/>
      <c r="C19" s="37"/>
      <c r="D19" s="37"/>
      <c r="E19" s="37"/>
      <c r="F19" s="37"/>
      <c r="G19" s="11"/>
      <c r="H19" s="11"/>
    </row>
    <row r="20" spans="1:26" ht="11.25" customHeight="1">
      <c r="A20" s="36" t="s">
        <v>23</v>
      </c>
      <c r="B20" s="37"/>
      <c r="C20" s="37"/>
      <c r="D20" s="37"/>
      <c r="E20" s="37"/>
      <c r="F20" s="37"/>
      <c r="G20" s="11"/>
      <c r="H20" s="11"/>
    </row>
    <row r="21" spans="1:26" ht="11.25" customHeight="1">
      <c r="A21" s="36" t="s">
        <v>24</v>
      </c>
      <c r="B21" s="37"/>
      <c r="C21" s="37"/>
      <c r="D21" s="37"/>
      <c r="E21" s="37"/>
      <c r="F21" s="37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8" t="s">
        <v>25</v>
      </c>
      <c r="B22" s="37"/>
      <c r="C22" s="37"/>
      <c r="D22" s="37"/>
      <c r="E22" s="37"/>
      <c r="F22" s="37"/>
      <c r="G22" s="37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6" t="s">
        <v>26</v>
      </c>
      <c r="B23" s="37"/>
      <c r="C23" s="37"/>
      <c r="D23" s="37"/>
      <c r="E23" s="37"/>
      <c r="F23" s="37"/>
      <c r="G23" s="11"/>
      <c r="H23" s="11"/>
    </row>
    <row r="24" spans="1:26" ht="11.25" customHeight="1">
      <c r="A24" s="36" t="s">
        <v>35</v>
      </c>
      <c r="B24" s="37"/>
      <c r="C24" s="37"/>
      <c r="D24" s="37"/>
      <c r="E24" s="37"/>
      <c r="F24" s="37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C5E8-0C1A-4B0C-9D3C-0559F7AF0932}">
  <dimension ref="A1:Z1002"/>
  <sheetViews>
    <sheetView tabSelected="1" workbookViewId="0">
      <selection activeCell="H27" sqref="H27"/>
    </sheetView>
  </sheetViews>
  <sheetFormatPr defaultColWidth="14.42578125" defaultRowHeight="15" customHeight="1"/>
  <cols>
    <col min="1" max="1" width="12" style="33" customWidth="1"/>
    <col min="2" max="2" width="24.42578125" style="33" customWidth="1"/>
    <col min="3" max="9" width="19.5703125" style="33" customWidth="1"/>
    <col min="10" max="26" width="8.7109375" style="33" customWidth="1"/>
    <col min="27" max="16384" width="14.42578125" style="33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9" t="s">
        <v>9</v>
      </c>
      <c r="B2" s="35"/>
      <c r="C2" s="35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0">
        <v>202210</v>
      </c>
      <c r="B4" s="9">
        <f>I17</f>
        <v>4032002.55</v>
      </c>
      <c r="C4" s="22">
        <f>B4</f>
        <v>4032002.55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6" t="s">
        <v>13</v>
      </c>
      <c r="B6" s="37"/>
      <c r="C6" s="37"/>
      <c r="D6" s="37"/>
      <c r="E6" s="37"/>
      <c r="F6" s="3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9" t="s">
        <v>14</v>
      </c>
      <c r="B9" s="35"/>
      <c r="C9" s="35"/>
      <c r="D9" s="3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202210</v>
      </c>
      <c r="B11" s="21" t="s">
        <v>38</v>
      </c>
      <c r="C11" s="22">
        <v>5000000</v>
      </c>
      <c r="D11" s="22">
        <v>11945840</v>
      </c>
      <c r="E11" s="22">
        <v>4248194</v>
      </c>
      <c r="F11" s="16"/>
      <c r="G11" s="22">
        <f>(D11+E11)-C11</f>
        <v>11194034</v>
      </c>
      <c r="H11" s="22">
        <f>(C11+G11)</f>
        <v>16194034</v>
      </c>
      <c r="I11" s="22">
        <f t="shared" ref="I11:I16" si="0">H11*0.15</f>
        <v>2429105.1</v>
      </c>
    </row>
    <row r="12" spans="1:26" ht="16.5" customHeight="1">
      <c r="A12" s="21">
        <v>202209</v>
      </c>
      <c r="B12" s="21" t="s">
        <v>39</v>
      </c>
      <c r="C12" s="16"/>
      <c r="D12" s="16"/>
      <c r="E12" s="16"/>
      <c r="F12" s="23">
        <v>10685983</v>
      </c>
      <c r="G12" s="16"/>
      <c r="H12" s="22">
        <f t="shared" ref="H12:H14" si="1">F12</f>
        <v>10685983</v>
      </c>
      <c r="I12" s="22">
        <f t="shared" si="0"/>
        <v>1602897.45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5000000</v>
      </c>
      <c r="D17" s="22">
        <f t="shared" si="3"/>
        <v>11945840</v>
      </c>
      <c r="E17" s="22">
        <f t="shared" si="3"/>
        <v>4248194</v>
      </c>
      <c r="F17" s="22">
        <f t="shared" si="3"/>
        <v>10685983</v>
      </c>
      <c r="G17" s="22">
        <f t="shared" si="3"/>
        <v>11194034</v>
      </c>
      <c r="H17" s="22">
        <f t="shared" si="3"/>
        <v>26880017</v>
      </c>
      <c r="I17" s="13">
        <f t="shared" si="3"/>
        <v>4032002.55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6" t="s">
        <v>22</v>
      </c>
      <c r="B19" s="37"/>
      <c r="C19" s="37"/>
      <c r="D19" s="37"/>
      <c r="E19" s="37"/>
      <c r="F19" s="37"/>
      <c r="G19" s="11"/>
      <c r="H19" s="11"/>
    </row>
    <row r="20" spans="1:26" ht="11.25" customHeight="1">
      <c r="A20" s="36" t="s">
        <v>23</v>
      </c>
      <c r="B20" s="37"/>
      <c r="C20" s="37"/>
      <c r="D20" s="37"/>
      <c r="E20" s="37"/>
      <c r="F20" s="37"/>
      <c r="G20" s="11"/>
      <c r="H20" s="11"/>
    </row>
    <row r="21" spans="1:26" ht="11.25" customHeight="1">
      <c r="A21" s="36" t="s">
        <v>24</v>
      </c>
      <c r="B21" s="37"/>
      <c r="C21" s="37"/>
      <c r="D21" s="37"/>
      <c r="E21" s="37"/>
      <c r="F21" s="37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8" t="s">
        <v>25</v>
      </c>
      <c r="B22" s="37"/>
      <c r="C22" s="37"/>
      <c r="D22" s="37"/>
      <c r="E22" s="37"/>
      <c r="F22" s="37"/>
      <c r="G22" s="37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6" t="s">
        <v>26</v>
      </c>
      <c r="B23" s="37"/>
      <c r="C23" s="37"/>
      <c r="D23" s="37"/>
      <c r="E23" s="37"/>
      <c r="F23" s="37"/>
      <c r="G23" s="11"/>
      <c r="H23" s="11"/>
    </row>
    <row r="24" spans="1:26" ht="11.25" customHeight="1">
      <c r="A24" s="36" t="s">
        <v>35</v>
      </c>
      <c r="B24" s="37"/>
      <c r="C24" s="37"/>
      <c r="D24" s="37"/>
      <c r="E24" s="37"/>
      <c r="F24" s="37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서비스현황</vt:lpstr>
      <vt:lpstr>202012</vt:lpstr>
      <vt:lpstr>202101</vt:lpstr>
      <vt:lpstr>202102</vt:lpstr>
      <vt:lpstr>202103</vt:lpstr>
      <vt:lpstr>202104</vt:lpstr>
      <vt:lpstr>202105</vt:lpstr>
      <vt:lpstr>202106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202205</vt:lpstr>
      <vt:lpstr>202206</vt:lpstr>
      <vt:lpstr>202207</vt:lpstr>
      <vt:lpstr>202208</vt:lpstr>
      <vt:lpstr>202209</vt:lpstr>
      <vt:lpstr>202210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user</cp:lastModifiedBy>
  <dcterms:created xsi:type="dcterms:W3CDTF">2012-11-29T06:46:34Z</dcterms:created>
  <dcterms:modified xsi:type="dcterms:W3CDTF">2022-11-18T07:34:11Z</dcterms:modified>
</cp:coreProperties>
</file>