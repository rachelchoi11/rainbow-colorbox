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/>
  </bookViews>
  <sheets>
    <sheet name="합계(11)" sheetId="125" r:id="rId1"/>
  </sheets>
  <definedNames>
    <definedName name="_xlnm._FilterDatabase" localSheetId="0" hidden="1">'합계(11)'!$A$1:$AU$1</definedName>
    <definedName name="_xlnm.Extract" localSheetId="0">'합계(11)'!#REF!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J15" i="125" l="1"/>
</calcChain>
</file>

<file path=xl/sharedStrings.xml><?xml version="1.0" encoding="utf-8"?>
<sst xmlns="http://schemas.openxmlformats.org/spreadsheetml/2006/main" count="116" uniqueCount="112">
  <si>
    <t>작품명</t>
  </si>
  <si>
    <t>작가명</t>
  </si>
  <si>
    <t>정액_매출액</t>
    <phoneticPr fontId="26" type="noConversion"/>
  </si>
  <si>
    <t>A.앱머니_권별대여_건수</t>
  </si>
  <si>
    <t>A.앱머니_권별대여_매출액</t>
  </si>
  <si>
    <t>A.앱머니_권별소장_건수</t>
  </si>
  <si>
    <t>A.앱머니_권별소장_매출액</t>
  </si>
  <si>
    <t>A.앱머니_전권대여_건수</t>
  </si>
  <si>
    <t>A.앱머니_전권대여_매출액</t>
  </si>
  <si>
    <t>A.앱머니_전권소장_건수</t>
  </si>
  <si>
    <t>A.앱머니_전권소장_매출액</t>
  </si>
  <si>
    <t>블루머니_권별대여_건수</t>
    <phoneticPr fontId="95" type="noConversion"/>
  </si>
  <si>
    <t>블루머니_전권소장_건수</t>
    <phoneticPr fontId="95" type="noConversion"/>
  </si>
  <si>
    <t>계_건수</t>
    <phoneticPr fontId="95" type="noConversion"/>
  </si>
  <si>
    <t>계_매출액</t>
    <phoneticPr fontId="95" type="noConversion"/>
  </si>
  <si>
    <t>계_정산액</t>
    <phoneticPr fontId="95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</si>
  <si>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</si>
  <si>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I.앱머니_권별대여_매출액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</si>
  <si>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</si>
  <si>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</si>
  <si>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</si>
  <si>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</si>
  <si>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</si>
  <si>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</si>
  <si>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결혼전쟁 [스크롤]</t>
  </si>
  <si>
    <t>웹티,올코</t>
  </si>
  <si>
    <t>그남자의 사랑방식 [스크롤]</t>
  </si>
  <si>
    <t>달콤한 결혼 [스크롤]</t>
  </si>
  <si>
    <t>올코,웹티</t>
  </si>
  <si>
    <t>공주전쟁 [스크롤]</t>
  </si>
  <si>
    <t>Luojie/Hujing</t>
  </si>
  <si>
    <t>백스테이지 키스신 [스크롤]</t>
  </si>
  <si>
    <t>수정과/최도비</t>
  </si>
  <si>
    <t>별빛 아래 우리 [스크롤]</t>
  </si>
  <si>
    <t>건일</t>
  </si>
  <si>
    <t>보스 오빠, 살살 [스크롤]</t>
  </si>
  <si>
    <t>악역이지만, 남주는 꼬시지 않아요 [스크롤]</t>
  </si>
  <si>
    <t>kuri/마북명</t>
  </si>
  <si>
    <t>요괴님은 수련중 [스크롤]</t>
  </si>
  <si>
    <t>망북/화방</t>
  </si>
  <si>
    <t>최애에게 들켜버렸다 [스크롤]</t>
  </si>
  <si>
    <t>Lv</t>
  </si>
  <si>
    <t>Ice×FANFAN COMIC</t>
  </si>
  <si>
    <t>정액_건수</t>
    <phoneticPr fontId="26" type="noConversion"/>
  </si>
  <si>
    <t>정액_취소액</t>
    <phoneticPr fontId="26" type="noConversion"/>
  </si>
  <si>
    <t>정액_정산액</t>
    <phoneticPr fontId="26" type="noConversion"/>
  </si>
  <si>
    <t>블루머니_권별대여_판매볼륨수</t>
    <phoneticPr fontId="95" type="noConversion"/>
  </si>
  <si>
    <t>블루머니_권별대여_매출액</t>
    <phoneticPr fontId="95" type="noConversion"/>
  </si>
  <si>
    <t>블루머니_권별대여_취소건</t>
    <phoneticPr fontId="95" type="noConversion"/>
  </si>
  <si>
    <t>블루머니_권별대여_취소볼륨수</t>
    <phoneticPr fontId="95" type="noConversion"/>
  </si>
  <si>
    <t>블루머니_권별대여_취소액</t>
    <phoneticPr fontId="95" type="noConversion"/>
  </si>
  <si>
    <t>블루머니_권별소장_건수</t>
    <phoneticPr fontId="95" type="noConversion"/>
  </si>
  <si>
    <t>블루머니_권별소장_판매볼륨수</t>
    <phoneticPr fontId="95" type="noConversion"/>
  </si>
  <si>
    <t>블루머니_권별소장_매출액</t>
    <phoneticPr fontId="95" type="noConversion"/>
  </si>
  <si>
    <t>블루머니_권별소장_취소건</t>
    <phoneticPr fontId="95" type="noConversion"/>
  </si>
  <si>
    <t>블루머니_권별소장_취소볼륨수</t>
    <phoneticPr fontId="95" type="noConversion"/>
  </si>
  <si>
    <t>블루머니_권별소장_취소액</t>
    <phoneticPr fontId="95" type="noConversion"/>
  </si>
  <si>
    <t>블루머니_전권대여_건수</t>
    <phoneticPr fontId="95" type="noConversion"/>
  </si>
  <si>
    <t>블루머니_전권대여_판매볼륨수</t>
    <phoneticPr fontId="95" type="noConversion"/>
  </si>
  <si>
    <t>블루머니_전권대여_매출액</t>
    <phoneticPr fontId="95" type="noConversion"/>
  </si>
  <si>
    <t>블루머니_전권대여_취소건</t>
    <phoneticPr fontId="95" type="noConversion"/>
  </si>
  <si>
    <t>블루머니_전권대여_취소볼륨수</t>
    <phoneticPr fontId="95" type="noConversion"/>
  </si>
  <si>
    <t>블루머니_전권대여_취소액</t>
    <phoneticPr fontId="95" type="noConversion"/>
  </si>
  <si>
    <t>블루머니_전권소장_판매볼륨수</t>
    <phoneticPr fontId="95" type="noConversion"/>
  </si>
  <si>
    <t>블루머니_전권소장_매출액</t>
    <phoneticPr fontId="95" type="noConversion"/>
  </si>
  <si>
    <t>블루머니_전권소장_취소건</t>
    <phoneticPr fontId="95" type="noConversion"/>
  </si>
  <si>
    <t>블루머니_전권소장_취소볼륨수</t>
    <phoneticPr fontId="95" type="noConversion"/>
  </si>
  <si>
    <t>블루머니_전권소장_취소액</t>
    <phoneticPr fontId="95" type="noConversion"/>
  </si>
  <si>
    <t>A.앱머니_권별대여_판매볼륨수</t>
    <phoneticPr fontId="26" type="noConversion"/>
  </si>
  <si>
    <t>A.앱머니_권별대여_취소건</t>
    <phoneticPr fontId="26" type="noConversion"/>
  </si>
  <si>
    <t>A.앱머니_권별대여_취소볼륨수</t>
    <phoneticPr fontId="26" type="noConversion"/>
  </si>
  <si>
    <t>A.앱머니_권별대여_취소액</t>
    <phoneticPr fontId="26" type="noConversion"/>
  </si>
  <si>
    <t>A.앱머니_권별소장_판매볼륨수</t>
    <phoneticPr fontId="26" type="noConversion"/>
  </si>
  <si>
    <t>A.앱머니_권별소장_취소건</t>
    <phoneticPr fontId="26" type="noConversion"/>
  </si>
  <si>
    <t>A.앱머니_권별소장_취소볼륨수</t>
    <phoneticPr fontId="26" type="noConversion"/>
  </si>
  <si>
    <t>A.앱머니_권별소장_취소액</t>
    <phoneticPr fontId="26" type="noConversion"/>
  </si>
  <si>
    <t>A.앱머니_전권대여_판매볼륨수</t>
    <phoneticPr fontId="26" type="noConversion"/>
  </si>
  <si>
    <t>A.앱머니_전권대여_취소건</t>
    <phoneticPr fontId="26" type="noConversion"/>
  </si>
  <si>
    <t>A.앱머니_전권대여_취소볼륨수</t>
    <phoneticPr fontId="26" type="noConversion"/>
  </si>
  <si>
    <t>A.앱머니_전권대여_취소액</t>
    <phoneticPr fontId="26" type="noConversion"/>
  </si>
  <si>
    <t>A.앱머니_전권소장_판매볼륨수</t>
    <phoneticPr fontId="26" type="noConversion"/>
  </si>
  <si>
    <t>A.앱머니_전권소장_취소건</t>
    <phoneticPr fontId="26" type="noConversion"/>
  </si>
  <si>
    <t>A.앱머니_전권소장_취소볼륨수</t>
    <phoneticPr fontId="26" type="noConversion"/>
  </si>
  <si>
    <t>A.앱머니_전권소장_취소액</t>
    <phoneticPr fontId="26" type="noConversion"/>
  </si>
  <si>
    <t>I.앱머니_권별대여_건수</t>
    <phoneticPr fontId="26" type="noConversion"/>
  </si>
  <si>
    <t>I.앱머니_권별대여_판매볼륨수</t>
    <phoneticPr fontId="26" type="noConversion"/>
  </si>
  <si>
    <t>I.앱머니_권별대여_취소건</t>
    <phoneticPr fontId="26" type="noConversion"/>
  </si>
  <si>
    <t>I.앱머니_권별대여_취소볼륨수</t>
    <phoneticPr fontId="26" type="noConversion"/>
  </si>
  <si>
    <t>I.앱머니_권별대여_취소액</t>
    <phoneticPr fontId="26" type="noConversion"/>
  </si>
  <si>
    <t>I.앱머니_권별소장_건수</t>
    <phoneticPr fontId="26" type="noConversion"/>
  </si>
  <si>
    <t>I.앱머니_권별소장_취소건</t>
    <phoneticPr fontId="26" type="noConversion"/>
  </si>
  <si>
    <t>I.앱머니_권별소장_취소볼륨수</t>
    <phoneticPr fontId="26" type="noConversion"/>
  </si>
  <si>
    <t>I.앱머니_권별소장_취소액</t>
    <phoneticPr fontId="26" type="noConversion"/>
  </si>
  <si>
    <t>I.앱머니_전권대여_건수</t>
    <phoneticPr fontId="26" type="noConversion"/>
  </si>
  <si>
    <t>I.앱머니_전권대여_취소건</t>
    <phoneticPr fontId="26" type="noConversion"/>
  </si>
  <si>
    <t>I.앱머니_전권대여_취소볼륨수</t>
    <phoneticPr fontId="26" type="noConversion"/>
  </si>
  <si>
    <t>I.앱머니_전권대여_취소액</t>
    <phoneticPr fontId="26" type="noConversion"/>
  </si>
  <si>
    <t>I.앱머니_전권소장_건수</t>
    <phoneticPr fontId="26" type="noConversion"/>
  </si>
  <si>
    <t>I.앱머니_전권소장_취소건</t>
    <phoneticPr fontId="26" type="noConversion"/>
  </si>
  <si>
    <t>I.앱머니_전권소장_취소볼륨수</t>
    <phoneticPr fontId="26" type="noConversion"/>
  </si>
  <si>
    <t>I.앱머니_전권소장_취소액</t>
    <phoneticPr fontId="26" type="noConversion"/>
  </si>
  <si>
    <t>계_판매볼륨수</t>
    <phoneticPr fontId="95" type="noConversion"/>
  </si>
  <si>
    <t>계_취소건</t>
    <phoneticPr fontId="26" type="noConversion"/>
  </si>
  <si>
    <t>계_취소볼륨수</t>
    <phoneticPr fontId="26" type="noConversion"/>
  </si>
  <si>
    <t>계_취소액</t>
    <phoneticPr fontId="26" type="noConversion"/>
  </si>
  <si>
    <t>매출액</t>
    <phoneticPr fontId="26" type="noConversion"/>
  </si>
  <si>
    <t>취소액</t>
    <phoneticPr fontId="26" type="noConversion"/>
  </si>
  <si>
    <t>정산액</t>
    <phoneticPr fontId="26" type="noConversion"/>
  </si>
  <si>
    <t>출판사</t>
    <phoneticPr fontId="96" type="noConversion"/>
  </si>
  <si>
    <t>폭군의 눈물 [스크롤]</t>
  </si>
  <si>
    <t>대표님과 연애를 시작했습니다 [스크롤]</t>
  </si>
  <si>
    <t>천년의 사랑 [스크롤]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</si>
</sst>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  <numFmt numFmtId="185" formatCode="#,##0.##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0" fontId="0" fillId="0" borderId="0" xfId="0" applyNumberFormat="1" applyFill="1" applyAlignment="1" applyProtection="1"/>
    <xf numFmtId="3" fontId="0" fillId="0" borderId="0" xfId="0" applyNumberFormat="1" applyFill="1" applyAlignment="1" applyProtection="1"/>
    <xf numFmtId="185" fontId="0" fillId="0" borderId="0" xfId="0" applyNumberFormat="1" applyFill="1" applyAlignment="1" applyProtection="1"/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15"/>
  <sheetViews>
    <sheetView tabSelected="1" topLeftCell="BQ1" zoomScale="85" zoomScaleNormal="85" workbookViewId="0">
      <selection activeCell="CJ15" sqref="CJ15"/>
    </sheetView>
  </sheetViews>
  <sheetFormatPr defaultRowHeight="16.5"/>
  <cols>
    <col min="1" max="1" width="19" customWidth="1"/>
    <col min="4" max="4" width="10" customWidth="1"/>
    <col min="5" max="5" width="10.25" customWidth="1"/>
    <col min="44" max="45" width="9.875" bestFit="1" customWidth="1"/>
    <col min="46" max="46" width="13.25" customWidth="1"/>
    <col min="47" max="47" width="13.5" style="1" bestFit="1" customWidth="1"/>
    <col min="88" max="88" width="10.875" bestFit="1" customWidth="1"/>
  </cols>
  <sheetData>
    <row r="1" spans="1:90" s="11" customFormat="1" ht="36">
      <c r="A1" s="2" t="s">
        <v>0</v>
      </c>
      <c r="B1" s="2" t="s">
        <v>1</v>
      </c>
      <c r="C1" s="3" t="s">
        <v>43</v>
      </c>
      <c r="D1" s="3" t="s">
        <v>2</v>
      </c>
      <c r="E1" s="3" t="s">
        <v>44</v>
      </c>
      <c r="F1" s="3" t="s">
        <v>45</v>
      </c>
      <c r="G1" s="4" t="s">
        <v>11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  <c r="S1" s="4" t="s">
        <v>57</v>
      </c>
      <c r="T1" s="4" t="s">
        <v>58</v>
      </c>
      <c r="U1" s="4" t="s">
        <v>59</v>
      </c>
      <c r="V1" s="4" t="s">
        <v>60</v>
      </c>
      <c r="W1" s="4" t="s">
        <v>61</v>
      </c>
      <c r="X1" s="4" t="s">
        <v>62</v>
      </c>
      <c r="Y1" s="4" t="s">
        <v>12</v>
      </c>
      <c r="Z1" s="4" t="s">
        <v>63</v>
      </c>
      <c r="AA1" s="4" t="s">
        <v>64</v>
      </c>
      <c r="AB1" s="4" t="s">
        <v>65</v>
      </c>
      <c r="AC1" s="4" t="s">
        <v>66</v>
      </c>
      <c r="AD1" s="4" t="s">
        <v>67</v>
      </c>
      <c r="AE1" s="5" t="s">
        <v>3</v>
      </c>
      <c r="AF1" s="5" t="s">
        <v>68</v>
      </c>
      <c r="AG1" s="5" t="s">
        <v>4</v>
      </c>
      <c r="AH1" s="5" t="s">
        <v>69</v>
      </c>
      <c r="AI1" s="5" t="s">
        <v>70</v>
      </c>
      <c r="AJ1" s="5" t="s">
        <v>71</v>
      </c>
      <c r="AK1" s="5" t="s">
        <v>5</v>
      </c>
      <c r="AL1" s="5" t="s">
        <v>72</v>
      </c>
      <c r="AM1" s="5" t="s">
        <v>6</v>
      </c>
      <c r="AN1" s="5" t="s">
        <v>73</v>
      </c>
      <c r="AO1" s="5" t="s">
        <v>74</v>
      </c>
      <c r="AP1" s="5" t="s">
        <v>75</v>
      </c>
      <c r="AQ1" s="5" t="s">
        <v>7</v>
      </c>
      <c r="AR1" s="5" t="s">
        <v>76</v>
      </c>
      <c r="AS1" s="5" t="s">
        <v>8</v>
      </c>
      <c r="AT1" s="5" t="s">
        <v>77</v>
      </c>
      <c r="AU1" s="5" t="s">
        <v>78</v>
      </c>
      <c r="AV1" s="5" t="s">
        <v>79</v>
      </c>
      <c r="AW1" s="5" t="s">
        <v>9</v>
      </c>
      <c r="AX1" s="5" t="s">
        <v>80</v>
      </c>
      <c r="AY1" s="5" t="s">
        <v>10</v>
      </c>
      <c r="AZ1" s="5" t="s">
        <v>81</v>
      </c>
      <c r="BA1" s="5" t="s">
        <v>82</v>
      </c>
      <c r="BB1" s="5" t="s">
        <v>83</v>
      </c>
      <c r="BC1" s="12" t="s">
        <v>84</v>
      </c>
      <c r="BD1" s="12" t="s">
        <v>85</v>
      </c>
      <c r="BE1" s="12" t="s">
        <v>17</v>
      </c>
      <c r="BF1" s="12" t="s">
        <v>86</v>
      </c>
      <c r="BG1" s="12" t="s">
        <v>87</v>
      </c>
      <c r="BH1" s="12" t="s">
        <v>88</v>
      </c>
      <c r="BI1" s="12" t="s">
        <v>89</v>
      </c>
      <c r="BJ1" s="12" t="s">
        <v>18</v>
      </c>
      <c r="BK1" s="12" t="s">
        <v>19</v>
      </c>
      <c r="BL1" s="12" t="s">
        <v>90</v>
      </c>
      <c r="BM1" s="12" t="s">
        <v>91</v>
      </c>
      <c r="BN1" s="12" t="s">
        <v>92</v>
      </c>
      <c r="BO1" s="12" t="s">
        <v>93</v>
      </c>
      <c r="BP1" s="12" t="s">
        <v>20</v>
      </c>
      <c r="BQ1" s="12" t="s">
        <v>21</v>
      </c>
      <c r="BR1" s="12" t="s">
        <v>94</v>
      </c>
      <c r="BS1" s="12" t="s">
        <v>95</v>
      </c>
      <c r="BT1" s="12" t="s">
        <v>96</v>
      </c>
      <c r="BU1" s="12" t="s">
        <v>97</v>
      </c>
      <c r="BV1" s="12" t="s">
        <v>22</v>
      </c>
      <c r="BW1" s="12" t="s">
        <v>23</v>
      </c>
      <c r="BX1" s="12" t="s">
        <v>98</v>
      </c>
      <c r="BY1" s="12" t="s">
        <v>99</v>
      </c>
      <c r="BZ1" s="12" t="s">
        <v>100</v>
      </c>
      <c r="CA1" s="6" t="s">
        <v>13</v>
      </c>
      <c r="CB1" s="6" t="s">
        <v>101</v>
      </c>
      <c r="CC1" s="6" t="s">
        <v>14</v>
      </c>
      <c r="CD1" s="6" t="s">
        <v>102</v>
      </c>
      <c r="CE1" s="6" t="s">
        <v>103</v>
      </c>
      <c r="CF1" s="6" t="s">
        <v>104</v>
      </c>
      <c r="CG1" s="6" t="s">
        <v>15</v>
      </c>
      <c r="CH1" s="7" t="s">
        <v>105</v>
      </c>
      <c r="CI1" s="7" t="s">
        <v>106</v>
      </c>
      <c r="CJ1" s="8" t="s">
        <v>107</v>
      </c>
      <c r="CK1" s="9" t="s">
        <v>108</v>
      </c>
      <c r="CL1" s="10" t="s">
        <v>16</v>
      </c>
    </row>
    <row r="2" spans="1:90">
      <c r="A2" s="13" t="s">
        <v>24</v>
      </c>
      <c r="B2" s="13" t="s">
        <v>25</v>
      </c>
      <c r="C2" s="14">
        <v>0</v>
      </c>
      <c r="D2" s="14">
        <v>0</v>
      </c>
      <c r="E2" s="14">
        <v>0</v>
      </c>
      <c r="F2" s="14">
        <v>0</v>
      </c>
      <c r="G2" s="14">
        <v>15</v>
      </c>
      <c r="H2" s="14">
        <v>15</v>
      </c>
      <c r="I2" s="14">
        <v>3000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1</v>
      </c>
      <c r="AF2" s="14">
        <v>1</v>
      </c>
      <c r="AG2" s="14">
        <v>240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  <c r="AZ2" s="14">
        <v>0</v>
      </c>
      <c r="BA2" s="14">
        <v>0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0</v>
      </c>
      <c r="BW2" s="14">
        <v>0</v>
      </c>
      <c r="BX2" s="14">
        <v>0</v>
      </c>
      <c r="BY2" s="14">
        <v>0</v>
      </c>
      <c r="BZ2" s="14">
        <v>0</v>
      </c>
      <c r="CA2" s="14">
        <v>16</v>
      </c>
      <c r="CB2" s="14">
        <v>16</v>
      </c>
      <c r="CC2" s="14">
        <v>3240</v>
      </c>
      <c r="CD2" s="14">
        <v>0</v>
      </c>
      <c r="CE2" s="14">
        <v>0</v>
      </c>
      <c r="CF2" s="14">
        <v>0</v>
      </c>
      <c r="CG2" s="15">
        <v>1951.2</v>
      </c>
      <c r="CH2" s="14">
        <v>3240</v>
      </c>
      <c r="CI2" s="14">
        <v>0</v>
      </c>
      <c r="CJ2" s="15">
        <v>1951.2</v>
      </c>
    </row>
    <row r="3" spans="1:90">
      <c r="A3" s="13" t="s">
        <v>29</v>
      </c>
      <c r="B3" s="13" t="s">
        <v>30</v>
      </c>
      <c r="C3" s="14">
        <v>0</v>
      </c>
      <c r="D3" s="14">
        <v>0</v>
      </c>
      <c r="E3" s="14">
        <v>0</v>
      </c>
      <c r="F3" s="14">
        <v>0</v>
      </c>
      <c r="G3" s="14">
        <v>15</v>
      </c>
      <c r="H3" s="14">
        <v>15</v>
      </c>
      <c r="I3" s="14">
        <v>3000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1</v>
      </c>
      <c r="AR3" s="14">
        <v>108</v>
      </c>
      <c r="AS3" s="14">
        <v>23328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  <c r="BX3" s="14">
        <v>0</v>
      </c>
      <c r="BY3" s="14">
        <v>0</v>
      </c>
      <c r="BZ3" s="14">
        <v>0</v>
      </c>
      <c r="CA3" s="14">
        <v>16</v>
      </c>
      <c r="CB3" s="14">
        <v>123</v>
      </c>
      <c r="CC3" s="14">
        <v>26328</v>
      </c>
      <c r="CD3" s="14">
        <v>0</v>
      </c>
      <c r="CE3" s="14">
        <v>0</v>
      </c>
      <c r="CF3" s="14">
        <v>0</v>
      </c>
      <c r="CG3" s="15">
        <v>16496.64</v>
      </c>
      <c r="CH3" s="14">
        <v>26328</v>
      </c>
      <c r="CI3" s="14">
        <v>0</v>
      </c>
      <c r="CJ3" s="15">
        <v>16496.64</v>
      </c>
    </row>
    <row r="4" spans="1:90">
      <c r="A4" s="13" t="s">
        <v>26</v>
      </c>
      <c r="B4" s="13" t="s">
        <v>25</v>
      </c>
      <c r="C4" s="14">
        <v>0</v>
      </c>
      <c r="D4" s="14">
        <v>0</v>
      </c>
      <c r="E4" s="14">
        <v>0</v>
      </c>
      <c r="F4" s="14">
        <v>0</v>
      </c>
      <c r="G4" s="14">
        <v>4</v>
      </c>
      <c r="H4" s="14">
        <v>4</v>
      </c>
      <c r="I4" s="14">
        <v>800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4</v>
      </c>
      <c r="CB4" s="14">
        <v>4</v>
      </c>
      <c r="CC4" s="14">
        <v>800</v>
      </c>
      <c r="CD4" s="14">
        <v>0</v>
      </c>
      <c r="CE4" s="14">
        <v>0</v>
      </c>
      <c r="CF4" s="14">
        <v>0</v>
      </c>
      <c r="CG4" s="14">
        <v>480</v>
      </c>
      <c r="CH4" s="14">
        <v>800</v>
      </c>
      <c r="CI4" s="14">
        <v>0</v>
      </c>
      <c r="CJ4" s="14">
        <v>480</v>
      </c>
    </row>
    <row r="5" spans="1:90">
      <c r="A5" s="13" t="s">
        <v>27</v>
      </c>
      <c r="B5" s="13" t="s">
        <v>25</v>
      </c>
      <c r="C5" s="14">
        <v>0</v>
      </c>
      <c r="D5" s="14">
        <v>0</v>
      </c>
      <c r="E5" s="14">
        <v>0</v>
      </c>
      <c r="F5" s="14">
        <v>0</v>
      </c>
      <c r="G5" s="14">
        <v>196</v>
      </c>
      <c r="H5" s="14">
        <v>196</v>
      </c>
      <c r="I5" s="14">
        <v>39200</v>
      </c>
      <c r="J5" s="14">
        <v>0</v>
      </c>
      <c r="K5" s="14">
        <v>0</v>
      </c>
      <c r="L5" s="14">
        <v>0</v>
      </c>
      <c r="M5" s="14">
        <v>5</v>
      </c>
      <c r="N5" s="14">
        <v>5</v>
      </c>
      <c r="O5" s="14">
        <v>2500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72</v>
      </c>
      <c r="AF5" s="14">
        <v>72</v>
      </c>
      <c r="AG5" s="14">
        <v>17280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273</v>
      </c>
      <c r="CB5" s="14">
        <v>273</v>
      </c>
      <c r="CC5" s="14">
        <v>58980</v>
      </c>
      <c r="CD5" s="14">
        <v>0</v>
      </c>
      <c r="CE5" s="14">
        <v>0</v>
      </c>
      <c r="CF5" s="14">
        <v>0</v>
      </c>
      <c r="CG5" s="15">
        <v>35906.400000000001</v>
      </c>
      <c r="CH5" s="14">
        <v>58980</v>
      </c>
      <c r="CI5" s="14">
        <v>0</v>
      </c>
      <c r="CJ5" s="15">
        <v>35906.400000000001</v>
      </c>
    </row>
    <row r="6" spans="1:90">
      <c r="A6" s="13" t="s">
        <v>110</v>
      </c>
      <c r="B6" s="13" t="s">
        <v>25</v>
      </c>
      <c r="C6" s="14">
        <v>0</v>
      </c>
      <c r="D6" s="14">
        <v>0</v>
      </c>
      <c r="E6" s="14">
        <v>0</v>
      </c>
      <c r="F6" s="14">
        <v>0</v>
      </c>
      <c r="G6" s="14">
        <v>1</v>
      </c>
      <c r="H6" s="14">
        <v>1</v>
      </c>
      <c r="I6" s="14">
        <v>200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2</v>
      </c>
      <c r="AF6" s="14">
        <v>2</v>
      </c>
      <c r="AG6" s="14">
        <v>480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3</v>
      </c>
      <c r="CB6" s="14">
        <v>3</v>
      </c>
      <c r="CC6" s="14">
        <v>680</v>
      </c>
      <c r="CD6" s="14">
        <v>0</v>
      </c>
      <c r="CE6" s="14">
        <v>0</v>
      </c>
      <c r="CF6" s="14">
        <v>0</v>
      </c>
      <c r="CG6" s="15">
        <v>422.4</v>
      </c>
      <c r="CH6" s="14">
        <v>680</v>
      </c>
      <c r="CI6" s="14">
        <v>0</v>
      </c>
      <c r="CJ6" s="15">
        <v>422.4</v>
      </c>
    </row>
    <row r="7" spans="1:90">
      <c r="A7" s="13" t="s">
        <v>31</v>
      </c>
      <c r="B7" s="13" t="s">
        <v>32</v>
      </c>
      <c r="C7" s="14">
        <v>0</v>
      </c>
      <c r="D7" s="14">
        <v>0</v>
      </c>
      <c r="E7" s="14">
        <v>0</v>
      </c>
      <c r="F7" s="14">
        <v>0</v>
      </c>
      <c r="G7" s="14">
        <v>13</v>
      </c>
      <c r="H7" s="14">
        <v>13</v>
      </c>
      <c r="I7" s="14">
        <v>2600</v>
      </c>
      <c r="J7" s="14">
        <v>0</v>
      </c>
      <c r="K7" s="14">
        <v>0</v>
      </c>
      <c r="L7" s="14">
        <v>0</v>
      </c>
      <c r="M7" s="14">
        <v>1</v>
      </c>
      <c r="N7" s="14">
        <v>1</v>
      </c>
      <c r="O7" s="14">
        <v>400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3</v>
      </c>
      <c r="AF7" s="14">
        <v>3</v>
      </c>
      <c r="AG7" s="14">
        <v>720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1</v>
      </c>
      <c r="AR7" s="14">
        <v>43</v>
      </c>
      <c r="AS7" s="14">
        <v>9288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18</v>
      </c>
      <c r="CB7" s="14">
        <v>60</v>
      </c>
      <c r="CC7" s="14">
        <v>13008</v>
      </c>
      <c r="CD7" s="14">
        <v>0</v>
      </c>
      <c r="CE7" s="14">
        <v>0</v>
      </c>
      <c r="CF7" s="14">
        <v>0</v>
      </c>
      <c r="CG7" s="15">
        <v>8105.04</v>
      </c>
      <c r="CH7" s="14">
        <v>13008</v>
      </c>
      <c r="CI7" s="14">
        <v>0</v>
      </c>
      <c r="CJ7" s="15">
        <v>8105.04</v>
      </c>
    </row>
    <row r="8" spans="1:90">
      <c r="A8" s="13" t="s">
        <v>33</v>
      </c>
      <c r="B8" s="13" t="s">
        <v>34</v>
      </c>
      <c r="C8" s="14">
        <v>0</v>
      </c>
      <c r="D8" s="14">
        <v>0</v>
      </c>
      <c r="E8" s="14">
        <v>0</v>
      </c>
      <c r="F8" s="14">
        <v>0</v>
      </c>
      <c r="G8" s="14">
        <v>209</v>
      </c>
      <c r="H8" s="14">
        <v>209</v>
      </c>
      <c r="I8" s="14">
        <v>41800</v>
      </c>
      <c r="J8" s="14">
        <v>0</v>
      </c>
      <c r="K8" s="14">
        <v>0</v>
      </c>
      <c r="L8" s="14">
        <v>0</v>
      </c>
      <c r="M8" s="14">
        <v>2</v>
      </c>
      <c r="N8" s="14">
        <v>2</v>
      </c>
      <c r="O8" s="14">
        <v>800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1</v>
      </c>
      <c r="Z8" s="14">
        <v>101</v>
      </c>
      <c r="AA8" s="14">
        <v>36360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1</v>
      </c>
      <c r="BD8" s="14">
        <v>1</v>
      </c>
      <c r="BE8" s="14">
        <v>240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213</v>
      </c>
      <c r="CB8" s="14">
        <v>313</v>
      </c>
      <c r="CC8" s="14">
        <v>79200</v>
      </c>
      <c r="CD8" s="14">
        <v>0</v>
      </c>
      <c r="CE8" s="14">
        <v>0</v>
      </c>
      <c r="CF8" s="14">
        <v>0</v>
      </c>
      <c r="CG8" s="15">
        <v>47493.599999999999</v>
      </c>
      <c r="CH8" s="14">
        <v>79200</v>
      </c>
      <c r="CI8" s="14">
        <v>0</v>
      </c>
      <c r="CJ8" s="15">
        <v>47493.599999999999</v>
      </c>
    </row>
    <row r="9" spans="1:90">
      <c r="A9" s="13" t="s">
        <v>35</v>
      </c>
      <c r="B9" s="13" t="s">
        <v>28</v>
      </c>
      <c r="C9" s="14">
        <v>0</v>
      </c>
      <c r="D9" s="14">
        <v>0</v>
      </c>
      <c r="E9" s="14">
        <v>0</v>
      </c>
      <c r="F9" s="14">
        <v>0</v>
      </c>
      <c r="G9" s="14">
        <v>32</v>
      </c>
      <c r="H9" s="14">
        <v>32</v>
      </c>
      <c r="I9" s="14">
        <v>6400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8</v>
      </c>
      <c r="AF9" s="14">
        <v>8</v>
      </c>
      <c r="AG9" s="14">
        <v>1920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40</v>
      </c>
      <c r="CB9" s="14">
        <v>40</v>
      </c>
      <c r="CC9" s="14">
        <v>8320</v>
      </c>
      <c r="CD9" s="14">
        <v>0</v>
      </c>
      <c r="CE9" s="14">
        <v>0</v>
      </c>
      <c r="CF9" s="14">
        <v>0</v>
      </c>
      <c r="CG9" s="15">
        <v>5049.6000000000004</v>
      </c>
      <c r="CH9" s="14">
        <v>8320</v>
      </c>
      <c r="CI9" s="14">
        <v>0</v>
      </c>
      <c r="CJ9" s="15">
        <v>5049.6000000000004</v>
      </c>
    </row>
    <row r="10" spans="1:90">
      <c r="A10" s="13" t="s">
        <v>36</v>
      </c>
      <c r="B10" s="13" t="s">
        <v>37</v>
      </c>
      <c r="C10" s="14">
        <v>0</v>
      </c>
      <c r="D10" s="14">
        <v>0</v>
      </c>
      <c r="E10" s="14">
        <v>0</v>
      </c>
      <c r="F10" s="14">
        <v>0</v>
      </c>
      <c r="G10" s="14">
        <v>204</v>
      </c>
      <c r="H10" s="14">
        <v>204</v>
      </c>
      <c r="I10" s="14">
        <v>40800</v>
      </c>
      <c r="J10" s="14">
        <v>0</v>
      </c>
      <c r="K10" s="14">
        <v>0</v>
      </c>
      <c r="L10" s="14">
        <v>0</v>
      </c>
      <c r="M10" s="14">
        <v>2</v>
      </c>
      <c r="N10" s="14">
        <v>2</v>
      </c>
      <c r="O10" s="14">
        <v>800</v>
      </c>
      <c r="P10" s="14">
        <v>0</v>
      </c>
      <c r="Q10" s="14">
        <v>0</v>
      </c>
      <c r="R10" s="14">
        <v>0</v>
      </c>
      <c r="S10" s="14">
        <v>1</v>
      </c>
      <c r="T10" s="14">
        <v>48</v>
      </c>
      <c r="U10" s="14">
        <v>8640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5</v>
      </c>
      <c r="AF10" s="14">
        <v>5</v>
      </c>
      <c r="AG10" s="14">
        <v>1200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212</v>
      </c>
      <c r="CB10" s="14">
        <v>259</v>
      </c>
      <c r="CC10" s="14">
        <v>51440</v>
      </c>
      <c r="CD10" s="14">
        <v>0</v>
      </c>
      <c r="CE10" s="14">
        <v>0</v>
      </c>
      <c r="CF10" s="14">
        <v>0</v>
      </c>
      <c r="CG10" s="14">
        <v>30900</v>
      </c>
      <c r="CH10" s="14">
        <v>51440</v>
      </c>
      <c r="CI10" s="14">
        <v>0</v>
      </c>
      <c r="CJ10" s="14">
        <v>30900</v>
      </c>
    </row>
    <row r="11" spans="1:90">
      <c r="A11" s="13" t="s">
        <v>38</v>
      </c>
      <c r="B11" s="13" t="s">
        <v>39</v>
      </c>
      <c r="C11" s="14">
        <v>0</v>
      </c>
      <c r="D11" s="14">
        <v>0</v>
      </c>
      <c r="E11" s="14">
        <v>0</v>
      </c>
      <c r="F11" s="14">
        <v>0</v>
      </c>
      <c r="G11" s="14">
        <v>17</v>
      </c>
      <c r="H11" s="14">
        <v>17</v>
      </c>
      <c r="I11" s="14">
        <v>3400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17</v>
      </c>
      <c r="CB11" s="14">
        <v>17</v>
      </c>
      <c r="CC11" s="14">
        <v>3400</v>
      </c>
      <c r="CD11" s="14">
        <v>0</v>
      </c>
      <c r="CE11" s="14">
        <v>0</v>
      </c>
      <c r="CF11" s="14">
        <v>0</v>
      </c>
      <c r="CG11" s="14">
        <v>2040</v>
      </c>
      <c r="CH11" s="14">
        <v>3400</v>
      </c>
      <c r="CI11" s="14">
        <v>0</v>
      </c>
      <c r="CJ11" s="14">
        <v>2040</v>
      </c>
    </row>
    <row r="12" spans="1:90">
      <c r="A12" s="13" t="s">
        <v>111</v>
      </c>
      <c r="B12" s="13" t="s">
        <v>28</v>
      </c>
      <c r="C12" s="14">
        <v>0</v>
      </c>
      <c r="D12" s="14">
        <v>0</v>
      </c>
      <c r="E12" s="14">
        <v>0</v>
      </c>
      <c r="F12" s="14">
        <v>0</v>
      </c>
      <c r="G12" s="14">
        <v>1</v>
      </c>
      <c r="H12" s="14">
        <v>1</v>
      </c>
      <c r="I12" s="14">
        <v>200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26</v>
      </c>
      <c r="AF12" s="14">
        <v>26</v>
      </c>
      <c r="AG12" s="14">
        <v>6240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27</v>
      </c>
      <c r="CB12" s="14">
        <v>27</v>
      </c>
      <c r="CC12" s="14">
        <v>6440</v>
      </c>
      <c r="CD12" s="14">
        <v>0</v>
      </c>
      <c r="CE12" s="14">
        <v>0</v>
      </c>
      <c r="CF12" s="14">
        <v>0</v>
      </c>
      <c r="CG12" s="15">
        <v>4051.2</v>
      </c>
      <c r="CH12" s="14">
        <v>6440</v>
      </c>
      <c r="CI12" s="14">
        <v>0</v>
      </c>
      <c r="CJ12" s="15">
        <v>4051.2</v>
      </c>
    </row>
    <row r="13" spans="1:90">
      <c r="A13" s="13" t="s">
        <v>40</v>
      </c>
      <c r="B13" s="13" t="s">
        <v>41</v>
      </c>
      <c r="C13" s="14">
        <v>0</v>
      </c>
      <c r="D13" s="14">
        <v>0</v>
      </c>
      <c r="E13" s="14">
        <v>0</v>
      </c>
      <c r="F13" s="14">
        <v>0</v>
      </c>
      <c r="G13" s="14">
        <v>25</v>
      </c>
      <c r="H13" s="14">
        <v>25</v>
      </c>
      <c r="I13" s="14">
        <v>5000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25</v>
      </c>
      <c r="CB13" s="14">
        <v>25</v>
      </c>
      <c r="CC13" s="14">
        <v>5000</v>
      </c>
      <c r="CD13" s="14">
        <v>0</v>
      </c>
      <c r="CE13" s="14">
        <v>0</v>
      </c>
      <c r="CF13" s="14">
        <v>0</v>
      </c>
      <c r="CG13" s="14">
        <v>3000</v>
      </c>
      <c r="CH13" s="14">
        <v>5000</v>
      </c>
      <c r="CI13" s="14">
        <v>0</v>
      </c>
      <c r="CJ13" s="14">
        <v>3000</v>
      </c>
    </row>
    <row r="14" spans="1:90">
      <c r="A14" s="13" t="s">
        <v>109</v>
      </c>
      <c r="B14" s="13" t="s">
        <v>42</v>
      </c>
      <c r="C14" s="14">
        <v>0</v>
      </c>
      <c r="D14" s="14">
        <v>0</v>
      </c>
      <c r="E14" s="14">
        <v>0</v>
      </c>
      <c r="F14" s="14">
        <v>0</v>
      </c>
      <c r="G14" s="14">
        <v>52</v>
      </c>
      <c r="H14" s="14">
        <v>52</v>
      </c>
      <c r="I14" s="14">
        <v>10400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52</v>
      </c>
      <c r="CB14" s="14">
        <v>52</v>
      </c>
      <c r="CC14" s="14">
        <v>10400</v>
      </c>
      <c r="CD14" s="14">
        <v>0</v>
      </c>
      <c r="CE14" s="14">
        <v>0</v>
      </c>
      <c r="CF14" s="14">
        <v>0</v>
      </c>
      <c r="CG14" s="14">
        <v>6240</v>
      </c>
      <c r="CH14" s="14">
        <v>10400</v>
      </c>
      <c r="CI14" s="14">
        <v>0</v>
      </c>
      <c r="CJ14" s="14">
        <v>6240</v>
      </c>
    </row>
    <row r="15" spans="1:90">
      <c r="CJ15" s="16">
        <f>SUM(CJ2:CJ14)</f>
        <v>162136.08000000002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2022-12-05T00:59:00Z</dcterms:modified>
</cp:coreProperties>
</file>