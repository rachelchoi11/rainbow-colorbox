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0175" windowHeight="7155"/>
  </bookViews>
  <sheets>
    <sheet name="10" sheetId="1" r:id="rId1"/>
  </sheets>
  <calcPr calcId="152511"/>
</workbook>
</file>

<file path=xl/calcChain.xml><?xml version="1.0" encoding="utf-8"?>
<calcChain xmlns="http://schemas.openxmlformats.org/spreadsheetml/2006/main">
  <c r="C17" i="1" l="1"/>
  <c r="D16" i="1"/>
  <c r="C16" i="1"/>
  <c r="B17" i="1"/>
  <c r="AU11" i="1"/>
  <c r="D15" i="1" l="1"/>
</calcChain>
</file>

<file path=xl/sharedStrings.xml><?xml version="1.0" encoding="utf-8"?>
<sst xmlns="http://schemas.openxmlformats.org/spreadsheetml/2006/main" count="243" uniqueCount="80">
  <si>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</si>
  <si>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</si>
  <si>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</si>
  <si>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</si>
  <si>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</si>
  <si>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</si>
  <si>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</si>
  <si>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</si>
  <si>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</si>
  <si>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</si>
  <si>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</si>
  <si>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</si>
  <si>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</si>
  <si>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</si>
  <si>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</si>
  <si>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</si>
  <si>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</si>
  <si>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</si>
  <si>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</si>
  <si>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</si>
  <si>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</si>
  <si>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</si>
  <si>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</si>
  <si>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</si>
  <si>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</si>
  <si>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</si>
  <si>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</si>
  <si>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</si>
  <si>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</si>
  <si>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</si>
  <si>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</si>
  <si>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</si>
  <si>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</si>
  <si>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</si>
  <si>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</si>
  <si>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</si>
  <si>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</si>
  <si>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</si>
  <si>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</si>
  <si>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</si>
  <si>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</si>
  <si>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</si>
  <si>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</si>
  <si>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</si>
  <si>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</si>
  <si>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GIAP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</si>
  <si>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</si>
  <si>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</si>
  <si>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</si>
  <si>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</si>
  <si>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</si>
  <si>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</si>
  <si>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</si>
  <si>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</si>
  <si>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스토리위즈</t>
  </si>
  <si>
    <t>3828601768</t>
  </si>
  <si>
    <t>storywiz</t>
  </si>
  <si>
    <t>카카오페이지 웹툰 선투자 직계약</t>
  </si>
  <si>
    <t>N</t>
  </si>
  <si>
    <t>3650</t>
  </si>
  <si>
    <t>스토리위즈_너 하고만 하고 싶은_웹툰 연재 계약 + 2차적저작물 계약</t>
  </si>
  <si>
    <t>면세</t>
  </si>
  <si>
    <t>만화</t>
  </si>
  <si>
    <t>60194204</t>
  </si>
  <si>
    <t>너하고만 하고 싶은</t>
  </si>
  <si>
    <t>2022-10-02</t>
  </si>
  <si>
    <t/>
  </si>
  <si>
    <t>반아빈,밥,아슈크림</t>
  </si>
  <si>
    <t>유</t>
  </si>
  <si>
    <t>단일 이용권</t>
  </si>
  <si>
    <t>70.00%</t>
  </si>
  <si>
    <t>시리즈 이용권 패키지</t>
  </si>
  <si>
    <t>단일 대여 이용권</t>
  </si>
  <si>
    <t>시리즈 대여 이용권 패키지</t>
  </si>
  <si>
    <t>유통년월</t>
    <phoneticPr fontId="4" type="noConversion"/>
  </si>
  <si>
    <t xml:space="preserve">선MG </t>
    <phoneticPr fontId="5" type="noConversion"/>
  </si>
  <si>
    <t xml:space="preserve">스토리위즈 매출 </t>
    <phoneticPr fontId="5" type="noConversion"/>
  </si>
  <si>
    <t>MG 잔여</t>
    <phoneticPr fontId="5" type="noConversion"/>
  </si>
  <si>
    <t>합계</t>
    <phoneticPr fontId="4" type="noConversion"/>
  </si>
  <si>
    <t>ㅇ MG차감 내역(너 하고만 하고 싶은)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</si>
</sst>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>
      <alignment vertical="center"/>
    </xf>
    <xf numFmtId="0" fontId="1" fillId="2" borderId="0">
      <alignment vertical="center"/>
    </xf>
  </cellStyleXfs>
  <cellXfs count="1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3" fillId="2" borderId="0" xfId="2" applyFont="1" applyAlignment="1">
      <alignment vertical="center"/>
    </xf>
    <xf numFmtId="0" fontId="2" fillId="2" borderId="0" xfId="2" applyAlignment="1">
      <alignment vertical="center"/>
    </xf>
    <xf numFmtId="0" fontId="1" fillId="2" borderId="0" xfId="3">
      <alignment vertical="center"/>
    </xf>
    <xf numFmtId="0" fontId="3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3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41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0" fontId="0" fillId="3" borderId="1" xfId="0" applyFill="1" applyBorder="1" applyAlignment="1">
      <alignment horizont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7"/>
  <sheetViews>
    <sheetView tabSelected="1" workbookViewId="0">
      <selection activeCell="A2" sqref="A2"/>
    </sheetView>
  </sheetViews>
  <sheetFormatPr defaultRowHeight="16.5" x14ac:dyDescent="0.3"/>
  <cols>
    <col min="1" max="1" width="12" bestFit="1" customWidth="1"/>
    <col min="2" max="2" width="22.875" bestFit="1" customWidth="1"/>
    <col min="3" max="3" width="25.125" bestFit="1" customWidth="1"/>
    <col min="4" max="4" width="17.125" bestFit="1" customWidth="1"/>
    <col min="5" max="5" width="36.25" bestFit="1" customWidth="1"/>
    <col min="6" max="6" width="19.5" bestFit="1" customWidth="1"/>
    <col min="7" max="7" width="12.875" bestFit="1" customWidth="1"/>
    <col min="8" max="8" width="77.5" bestFit="1" customWidth="1"/>
    <col min="9" max="9" width="9.75" bestFit="1" customWidth="1"/>
    <col min="10" max="10" width="12.875" bestFit="1" customWidth="1"/>
    <col min="11" max="11" width="20.5" bestFit="1" customWidth="1"/>
    <col min="12" max="12" width="21.875" bestFit="1" customWidth="1"/>
    <col min="13" max="13" width="23.125" bestFit="1" customWidth="1"/>
    <col min="14" max="14" width="12.875" bestFit="1" customWidth="1"/>
    <col min="15" max="15" width="39.125" bestFit="1" customWidth="1"/>
    <col min="16" max="16" width="8.5" bestFit="1" customWidth="1"/>
    <col min="17" max="17" width="21.875" bestFit="1" customWidth="1"/>
    <col min="18" max="18" width="18.875" bestFit="1" customWidth="1"/>
    <col min="19" max="19" width="29.625" bestFit="1" customWidth="1"/>
    <col min="20" max="20" width="20.5" bestFit="1" customWidth="1"/>
    <col min="21" max="21" width="20.375" bestFit="1" customWidth="1"/>
    <col min="22" max="22" width="17" bestFit="1" customWidth="1"/>
    <col min="23" max="23" width="20.375" bestFit="1" customWidth="1"/>
    <col min="24" max="24" width="20.5" bestFit="1" customWidth="1"/>
    <col min="25" max="25" width="20.375" bestFit="1" customWidth="1"/>
    <col min="26" max="27" width="20.5" bestFit="1" customWidth="1"/>
    <col min="28" max="28" width="20.375" bestFit="1" customWidth="1"/>
    <col min="29" max="29" width="17.125" bestFit="1" customWidth="1"/>
    <col min="30" max="30" width="20.375" bestFit="1" customWidth="1"/>
    <col min="31" max="31" width="20.625" bestFit="1" customWidth="1"/>
    <col min="32" max="32" width="20.375" bestFit="1" customWidth="1"/>
    <col min="33" max="34" width="20.5" bestFit="1" customWidth="1"/>
    <col min="35" max="35" width="20.375" bestFit="1" customWidth="1"/>
    <col min="36" max="36" width="17" bestFit="1" customWidth="1"/>
    <col min="37" max="37" width="21.75" bestFit="1" customWidth="1"/>
    <col min="38" max="38" width="20.5" bestFit="1" customWidth="1"/>
    <col min="39" max="39" width="20.375" bestFit="1" customWidth="1"/>
    <col min="40" max="40" width="20.5" bestFit="1" customWidth="1"/>
    <col min="41" max="41" width="24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0.5" bestFit="1" customWidth="1"/>
    <col min="46" max="46" width="6.25" bestFit="1" customWidth="1"/>
    <col min="47" max="47" width="20.5" bestFit="1" customWidth="1"/>
  </cols>
  <sheetData>
    <row r="1" spans="1:47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 t="s">
        <v>20</v>
      </c>
      <c r="U1" s="17"/>
      <c r="V1" s="17"/>
      <c r="W1" s="17"/>
      <c r="X1" s="17"/>
      <c r="Y1" s="17"/>
      <c r="Z1" s="17"/>
      <c r="AA1" s="17" t="s">
        <v>28</v>
      </c>
      <c r="AB1" s="17"/>
      <c r="AC1" s="17"/>
      <c r="AD1" s="17"/>
      <c r="AE1" s="17"/>
      <c r="AF1" s="17"/>
      <c r="AG1" s="17"/>
      <c r="AH1" s="17" t="s">
        <v>36</v>
      </c>
      <c r="AI1" s="17"/>
      <c r="AJ1" s="17"/>
      <c r="AK1" s="17"/>
      <c r="AL1" s="17"/>
      <c r="AM1" s="17"/>
      <c r="AN1" s="17"/>
      <c r="AO1" s="17" t="s">
        <v>44</v>
      </c>
      <c r="AP1" s="17"/>
      <c r="AQ1" s="17"/>
      <c r="AR1" s="17"/>
      <c r="AS1" s="17" t="s">
        <v>49</v>
      </c>
      <c r="AT1" s="17"/>
      <c r="AU1" s="17"/>
    </row>
    <row r="2" spans="1:4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37</v>
      </c>
      <c r="AI2" s="1" t="s">
        <v>38</v>
      </c>
      <c r="AJ2" s="1" t="s">
        <v>39</v>
      </c>
      <c r="AK2" s="1" t="s">
        <v>40</v>
      </c>
      <c r="AL2" s="1" t="s">
        <v>41</v>
      </c>
      <c r="AM2" s="1" t="s">
        <v>42</v>
      </c>
      <c r="AN2" s="1" t="s">
        <v>43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50</v>
      </c>
      <c r="AT2" s="1" t="s">
        <v>51</v>
      </c>
      <c r="AU2" s="1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66</v>
      </c>
      <c r="P3" t="s">
        <v>66</v>
      </c>
      <c r="Q3" t="s">
        <v>67</v>
      </c>
      <c r="R3" t="s">
        <v>68</v>
      </c>
      <c r="S3" t="s">
        <v>69</v>
      </c>
      <c r="T3" s="2">
        <v>32110</v>
      </c>
      <c r="U3" s="2">
        <v>44920</v>
      </c>
      <c r="V3" s="2">
        <v>4800</v>
      </c>
      <c r="W3" s="2">
        <v>57070</v>
      </c>
      <c r="X3" s="2">
        <v>81830</v>
      </c>
      <c r="Y3" s="2">
        <v>57070</v>
      </c>
      <c r="Z3" s="2">
        <v>138900</v>
      </c>
      <c r="AA3" s="2">
        <v>38532</v>
      </c>
      <c r="AB3" s="2">
        <v>44920</v>
      </c>
      <c r="AC3" s="2">
        <v>5760</v>
      </c>
      <c r="AD3" s="2">
        <v>57070</v>
      </c>
      <c r="AE3" s="2">
        <v>89212</v>
      </c>
      <c r="AF3" s="2">
        <v>57070</v>
      </c>
      <c r="AG3" s="2">
        <v>146282</v>
      </c>
      <c r="AH3" s="2">
        <v>34678.800000000003</v>
      </c>
      <c r="AI3" s="2">
        <v>43572.4</v>
      </c>
      <c r="AJ3" s="2">
        <v>4032</v>
      </c>
      <c r="AK3" s="2">
        <v>51363</v>
      </c>
      <c r="AL3" s="2">
        <v>82283.199999999997</v>
      </c>
      <c r="AM3" s="2">
        <v>51363</v>
      </c>
      <c r="AN3" s="2">
        <v>133646.20000000001</v>
      </c>
      <c r="AO3" s="3" t="s">
        <v>70</v>
      </c>
      <c r="AP3" s="3" t="s">
        <v>70</v>
      </c>
      <c r="AQ3" s="3" t="s">
        <v>70</v>
      </c>
      <c r="AR3" s="3" t="s">
        <v>70</v>
      </c>
      <c r="AS3" s="2">
        <v>93552</v>
      </c>
      <c r="AT3" s="2">
        <v>0</v>
      </c>
      <c r="AU3" s="2">
        <v>93552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66</v>
      </c>
      <c r="Q4" t="s">
        <v>67</v>
      </c>
      <c r="R4" t="s">
        <v>68</v>
      </c>
      <c r="S4" t="s">
        <v>71</v>
      </c>
      <c r="T4" s="2">
        <v>20900</v>
      </c>
      <c r="U4" s="2">
        <v>40300</v>
      </c>
      <c r="V4" s="2">
        <v>1300</v>
      </c>
      <c r="W4" s="2">
        <v>29900</v>
      </c>
      <c r="X4" s="2">
        <v>62500</v>
      </c>
      <c r="Y4" s="2">
        <v>29900</v>
      </c>
      <c r="Z4" s="2">
        <v>92400</v>
      </c>
      <c r="AA4" s="2">
        <v>25080</v>
      </c>
      <c r="AB4" s="2">
        <v>40300</v>
      </c>
      <c r="AC4" s="2">
        <v>1560</v>
      </c>
      <c r="AD4" s="2">
        <v>29900</v>
      </c>
      <c r="AE4" s="2">
        <v>66940</v>
      </c>
      <c r="AF4" s="2">
        <v>29900</v>
      </c>
      <c r="AG4" s="2">
        <v>96840</v>
      </c>
      <c r="AH4" s="2">
        <v>22572</v>
      </c>
      <c r="AI4" s="2">
        <v>39091</v>
      </c>
      <c r="AJ4" s="2">
        <v>1092</v>
      </c>
      <c r="AK4" s="2">
        <v>26910</v>
      </c>
      <c r="AL4" s="2">
        <v>62755</v>
      </c>
      <c r="AM4" s="2">
        <v>26910</v>
      </c>
      <c r="AN4" s="2">
        <v>89665</v>
      </c>
      <c r="AO4" s="3" t="s">
        <v>70</v>
      </c>
      <c r="AP4" s="3" t="s">
        <v>70</v>
      </c>
      <c r="AQ4" s="3" t="s">
        <v>70</v>
      </c>
      <c r="AR4" s="3" t="s">
        <v>70</v>
      </c>
      <c r="AS4" s="2">
        <v>62765</v>
      </c>
      <c r="AT4" s="2">
        <v>0</v>
      </c>
      <c r="AU4" s="2">
        <v>62765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66</v>
      </c>
      <c r="Q5" t="s">
        <v>67</v>
      </c>
      <c r="R5" t="s">
        <v>68</v>
      </c>
      <c r="S5" t="s">
        <v>71</v>
      </c>
      <c r="T5" s="2">
        <v>10800</v>
      </c>
      <c r="U5" s="2">
        <v>10800</v>
      </c>
      <c r="V5" s="2">
        <v>0</v>
      </c>
      <c r="W5" s="2">
        <v>0</v>
      </c>
      <c r="X5" s="2">
        <v>21600</v>
      </c>
      <c r="Y5" s="2">
        <v>0</v>
      </c>
      <c r="Z5" s="2">
        <v>21600</v>
      </c>
      <c r="AA5" s="2">
        <v>12960</v>
      </c>
      <c r="AB5" s="2">
        <v>10800</v>
      </c>
      <c r="AC5" s="2">
        <v>0</v>
      </c>
      <c r="AD5" s="2">
        <v>0</v>
      </c>
      <c r="AE5" s="2">
        <v>23760</v>
      </c>
      <c r="AF5" s="2">
        <v>0</v>
      </c>
      <c r="AG5" s="2">
        <v>23760</v>
      </c>
      <c r="AH5" s="2">
        <v>11664</v>
      </c>
      <c r="AI5" s="2">
        <v>10476</v>
      </c>
      <c r="AJ5" s="2">
        <v>0</v>
      </c>
      <c r="AK5" s="2">
        <v>0</v>
      </c>
      <c r="AL5" s="2">
        <v>22140</v>
      </c>
      <c r="AM5" s="2">
        <v>0</v>
      </c>
      <c r="AN5" s="2">
        <v>22140</v>
      </c>
      <c r="AO5" s="3" t="s">
        <v>70</v>
      </c>
      <c r="AP5" s="3" t="s">
        <v>70</v>
      </c>
      <c r="AQ5" s="3" t="s">
        <v>70</v>
      </c>
      <c r="AR5" s="3" t="s">
        <v>70</v>
      </c>
      <c r="AS5" s="2">
        <v>15498</v>
      </c>
      <c r="AT5" s="2">
        <v>0</v>
      </c>
      <c r="AU5" s="2">
        <v>15498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66</v>
      </c>
      <c r="Q6" t="s">
        <v>67</v>
      </c>
      <c r="R6" t="s">
        <v>68</v>
      </c>
      <c r="S6" t="s">
        <v>71</v>
      </c>
      <c r="T6" s="2">
        <v>16000</v>
      </c>
      <c r="U6" s="2">
        <v>16200</v>
      </c>
      <c r="V6" s="2">
        <v>0</v>
      </c>
      <c r="W6" s="2">
        <v>200</v>
      </c>
      <c r="X6" s="2">
        <v>32200</v>
      </c>
      <c r="Y6" s="2">
        <v>200</v>
      </c>
      <c r="Z6" s="2">
        <v>32400</v>
      </c>
      <c r="AA6" s="2">
        <v>19200</v>
      </c>
      <c r="AB6" s="2">
        <v>16200</v>
      </c>
      <c r="AC6" s="2">
        <v>0</v>
      </c>
      <c r="AD6" s="2">
        <v>200</v>
      </c>
      <c r="AE6" s="2">
        <v>35400</v>
      </c>
      <c r="AF6" s="2">
        <v>200</v>
      </c>
      <c r="AG6" s="2">
        <v>35600</v>
      </c>
      <c r="AH6" s="2">
        <v>17280</v>
      </c>
      <c r="AI6" s="2">
        <v>15714</v>
      </c>
      <c r="AJ6" s="2">
        <v>0</v>
      </c>
      <c r="AK6" s="2">
        <v>180</v>
      </c>
      <c r="AL6" s="2">
        <v>32994</v>
      </c>
      <c r="AM6" s="2">
        <v>180</v>
      </c>
      <c r="AN6" s="2">
        <v>33174</v>
      </c>
      <c r="AO6" s="3" t="s">
        <v>70</v>
      </c>
      <c r="AP6" s="3" t="s">
        <v>70</v>
      </c>
      <c r="AQ6" s="3" t="s">
        <v>70</v>
      </c>
      <c r="AR6" s="3" t="s">
        <v>70</v>
      </c>
      <c r="AS6" s="2">
        <v>23222</v>
      </c>
      <c r="AT6" s="2">
        <v>0</v>
      </c>
      <c r="AU6" s="2">
        <v>23222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66</v>
      </c>
      <c r="Q7" t="s">
        <v>67</v>
      </c>
      <c r="R7" t="s">
        <v>68</v>
      </c>
      <c r="S7" t="s">
        <v>72</v>
      </c>
      <c r="T7" s="2">
        <v>878210</v>
      </c>
      <c r="U7" s="2">
        <v>408340</v>
      </c>
      <c r="V7" s="2">
        <v>106400</v>
      </c>
      <c r="W7" s="2">
        <v>1344850</v>
      </c>
      <c r="X7" s="2">
        <v>1392950</v>
      </c>
      <c r="Y7" s="2">
        <v>1344850</v>
      </c>
      <c r="Z7" s="2">
        <v>2737800</v>
      </c>
      <c r="AA7" s="2">
        <v>1053852</v>
      </c>
      <c r="AB7" s="2">
        <v>408340</v>
      </c>
      <c r="AC7" s="2">
        <v>127680</v>
      </c>
      <c r="AD7" s="2">
        <v>1344850</v>
      </c>
      <c r="AE7" s="2">
        <v>1589872</v>
      </c>
      <c r="AF7" s="2">
        <v>1344850</v>
      </c>
      <c r="AG7" s="2">
        <v>2934722</v>
      </c>
      <c r="AH7" s="2">
        <v>948466.8</v>
      </c>
      <c r="AI7" s="2">
        <v>396089.8</v>
      </c>
      <c r="AJ7" s="2">
        <v>89376</v>
      </c>
      <c r="AK7" s="2">
        <v>1210365</v>
      </c>
      <c r="AL7" s="2">
        <v>1433932.6</v>
      </c>
      <c r="AM7" s="2">
        <v>1210365</v>
      </c>
      <c r="AN7" s="2">
        <v>2644297.6</v>
      </c>
      <c r="AO7" s="3" t="s">
        <v>70</v>
      </c>
      <c r="AP7" s="3" t="s">
        <v>70</v>
      </c>
      <c r="AQ7" s="3" t="s">
        <v>70</v>
      </c>
      <c r="AR7" s="3" t="s">
        <v>70</v>
      </c>
      <c r="AS7" s="2">
        <v>1851009</v>
      </c>
      <c r="AT7" s="2">
        <v>0</v>
      </c>
      <c r="AU7" s="2">
        <v>1851009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66</v>
      </c>
      <c r="Q8" t="s">
        <v>67</v>
      </c>
      <c r="R8" t="s">
        <v>68</v>
      </c>
      <c r="S8" t="s">
        <v>73</v>
      </c>
      <c r="T8" s="2">
        <v>280120</v>
      </c>
      <c r="U8" s="2">
        <v>287510</v>
      </c>
      <c r="V8" s="2">
        <v>32200</v>
      </c>
      <c r="W8" s="2">
        <v>375770</v>
      </c>
      <c r="X8" s="2">
        <v>599830</v>
      </c>
      <c r="Y8" s="2">
        <v>375770</v>
      </c>
      <c r="Z8" s="2">
        <v>975600</v>
      </c>
      <c r="AA8" s="2">
        <v>336144</v>
      </c>
      <c r="AB8" s="2">
        <v>287510</v>
      </c>
      <c r="AC8" s="2">
        <v>38640</v>
      </c>
      <c r="AD8" s="2">
        <v>375770</v>
      </c>
      <c r="AE8" s="2">
        <v>662294</v>
      </c>
      <c r="AF8" s="2">
        <v>375770</v>
      </c>
      <c r="AG8" s="2">
        <v>1038064</v>
      </c>
      <c r="AH8" s="2">
        <v>302529.59999999998</v>
      </c>
      <c r="AI8" s="2">
        <v>278884.7</v>
      </c>
      <c r="AJ8" s="2">
        <v>27048</v>
      </c>
      <c r="AK8" s="2">
        <v>338193</v>
      </c>
      <c r="AL8" s="2">
        <v>608462.30000000005</v>
      </c>
      <c r="AM8" s="2">
        <v>338193</v>
      </c>
      <c r="AN8" s="2">
        <v>946655.3</v>
      </c>
      <c r="AO8" s="3" t="s">
        <v>70</v>
      </c>
      <c r="AP8" s="3" t="s">
        <v>70</v>
      </c>
      <c r="AQ8" s="3" t="s">
        <v>70</v>
      </c>
      <c r="AR8" s="3" t="s">
        <v>70</v>
      </c>
      <c r="AS8" s="2">
        <v>662659</v>
      </c>
      <c r="AT8" s="2">
        <v>0</v>
      </c>
      <c r="AU8" s="2">
        <v>662659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66</v>
      </c>
      <c r="P9" t="s">
        <v>66</v>
      </c>
      <c r="Q9" t="s">
        <v>67</v>
      </c>
      <c r="R9" t="s">
        <v>68</v>
      </c>
      <c r="S9" t="s">
        <v>73</v>
      </c>
      <c r="T9" s="2">
        <v>70500</v>
      </c>
      <c r="U9" s="2">
        <v>32600</v>
      </c>
      <c r="V9" s="2">
        <v>7200</v>
      </c>
      <c r="W9" s="2">
        <v>54500</v>
      </c>
      <c r="X9" s="2">
        <v>110300</v>
      </c>
      <c r="Y9" s="2">
        <v>54500</v>
      </c>
      <c r="Z9" s="2">
        <v>164800</v>
      </c>
      <c r="AA9" s="2">
        <v>84600</v>
      </c>
      <c r="AB9" s="2">
        <v>32600</v>
      </c>
      <c r="AC9" s="2">
        <v>8640</v>
      </c>
      <c r="AD9" s="2">
        <v>54500</v>
      </c>
      <c r="AE9" s="2">
        <v>125840</v>
      </c>
      <c r="AF9" s="2">
        <v>54500</v>
      </c>
      <c r="AG9" s="2">
        <v>180340</v>
      </c>
      <c r="AH9" s="2">
        <v>76140</v>
      </c>
      <c r="AI9" s="2">
        <v>31622</v>
      </c>
      <c r="AJ9" s="2">
        <v>6048</v>
      </c>
      <c r="AK9" s="2">
        <v>49050</v>
      </c>
      <c r="AL9" s="2">
        <v>113810</v>
      </c>
      <c r="AM9" s="2">
        <v>49050</v>
      </c>
      <c r="AN9" s="2">
        <v>162860</v>
      </c>
      <c r="AO9" s="3" t="s">
        <v>70</v>
      </c>
      <c r="AP9" s="3" t="s">
        <v>70</v>
      </c>
      <c r="AQ9" s="3" t="s">
        <v>70</v>
      </c>
      <c r="AR9" s="3" t="s">
        <v>70</v>
      </c>
      <c r="AS9" s="2">
        <v>114002</v>
      </c>
      <c r="AT9" s="2">
        <v>0</v>
      </c>
      <c r="AU9" s="2">
        <v>114002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66</v>
      </c>
      <c r="P10" t="s">
        <v>66</v>
      </c>
      <c r="Q10" t="s">
        <v>67</v>
      </c>
      <c r="R10" t="s">
        <v>68</v>
      </c>
      <c r="S10" t="s">
        <v>73</v>
      </c>
      <c r="T10" s="2">
        <v>26800</v>
      </c>
      <c r="U10" s="2">
        <v>7800</v>
      </c>
      <c r="V10" s="2">
        <v>-3400</v>
      </c>
      <c r="W10" s="2">
        <v>19400</v>
      </c>
      <c r="X10" s="2">
        <v>31200</v>
      </c>
      <c r="Y10" s="2">
        <v>19400</v>
      </c>
      <c r="Z10" s="2">
        <v>50600</v>
      </c>
      <c r="AA10" s="2">
        <v>32160</v>
      </c>
      <c r="AB10" s="2">
        <v>7800</v>
      </c>
      <c r="AC10" s="2">
        <v>-4080</v>
      </c>
      <c r="AD10" s="2">
        <v>19400</v>
      </c>
      <c r="AE10" s="2">
        <v>35880</v>
      </c>
      <c r="AF10" s="2">
        <v>19400</v>
      </c>
      <c r="AG10" s="2">
        <v>55280</v>
      </c>
      <c r="AH10" s="2">
        <v>28944</v>
      </c>
      <c r="AI10" s="2">
        <v>7566</v>
      </c>
      <c r="AJ10" s="2">
        <v>-2856</v>
      </c>
      <c r="AK10" s="2">
        <v>17460</v>
      </c>
      <c r="AL10" s="2">
        <v>33654</v>
      </c>
      <c r="AM10" s="2">
        <v>17460</v>
      </c>
      <c r="AN10" s="2">
        <v>51114</v>
      </c>
      <c r="AO10" s="3" t="s">
        <v>70</v>
      </c>
      <c r="AP10" s="3" t="s">
        <v>70</v>
      </c>
      <c r="AQ10" s="3" t="s">
        <v>70</v>
      </c>
      <c r="AR10" s="3" t="s">
        <v>70</v>
      </c>
      <c r="AS10" s="2">
        <v>35780</v>
      </c>
      <c r="AT10" s="2">
        <v>0</v>
      </c>
      <c r="AU10" s="2">
        <v>35780</v>
      </c>
    </row>
    <row r="11" spans="1:47" x14ac:dyDescent="0.3">
      <c r="AU11" s="16">
        <f>SUM(AU3:AU10)</f>
        <v>2858487</v>
      </c>
    </row>
    <row r="13" spans="1:47" x14ac:dyDescent="0.3">
      <c r="A13" s="4" t="s">
        <v>79</v>
      </c>
      <c r="B13" s="5"/>
      <c r="C13" s="5"/>
      <c r="D13" s="6"/>
    </row>
    <row r="14" spans="1:47" x14ac:dyDescent="0.3">
      <c r="A14" s="7" t="s">
        <v>74</v>
      </c>
      <c r="B14" s="7" t="s">
        <v>75</v>
      </c>
      <c r="C14" s="7" t="s">
        <v>76</v>
      </c>
      <c r="D14" s="7" t="s">
        <v>77</v>
      </c>
    </row>
    <row r="15" spans="1:47" x14ac:dyDescent="0.3">
      <c r="A15" s="8">
        <v>202210</v>
      </c>
      <c r="B15" s="9">
        <v>11200000</v>
      </c>
      <c r="C15" s="10">
        <v>5581354</v>
      </c>
      <c r="D15" s="11">
        <f>B15-C15</f>
        <v>5618646</v>
      </c>
    </row>
    <row r="16" spans="1:47" x14ac:dyDescent="0.3">
      <c r="A16" s="8">
        <v>202211</v>
      </c>
      <c r="B16" s="9">
        <v>3200000</v>
      </c>
      <c r="C16" s="10">
        <f>AU11</f>
        <v>2858487</v>
      </c>
      <c r="D16" s="11">
        <f>D15+B16-C16</f>
        <v>5960159</v>
      </c>
    </row>
    <row r="17" spans="1:4" x14ac:dyDescent="0.3">
      <c r="A17" s="12" t="s">
        <v>78</v>
      </c>
      <c r="B17" s="13">
        <f>SUM(B15:B16)</f>
        <v>14400000</v>
      </c>
      <c r="C17" s="14">
        <f>SUM(C15:C16)</f>
        <v>8439841</v>
      </c>
      <c r="D17" s="15"/>
    </row>
  </sheetData>
  <mergeCells count="6">
    <mergeCell ref="AS1:AU1"/>
    <mergeCell ref="A1:S1"/>
    <mergeCell ref="T1:Z1"/>
    <mergeCell ref="AA1:AG1"/>
    <mergeCell ref="AH1:AN1"/>
    <mergeCell ref="AO1:A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2022-11-03T08:29:37Z</dcterms:created>
  <dcterms:modified xsi:type="dcterms:W3CDTF">2022-12-05T07:44:56Z</dcterms:modified>
</cp:coreProperties>
</file>