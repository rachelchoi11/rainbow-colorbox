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카카오페이지\"/>
    </mc:Choice>
  </mc:AlternateContent>
  <bookViews>
    <workbookView xWindow="0" yWindow="0" windowWidth="17415" windowHeight="8400"/>
  </bookViews>
  <sheets>
    <sheet name="합계(11)" sheetId="1" r:id="rId1"/>
    <sheet name="청빙" sheetId="2" r:id="rId2"/>
    <sheet name="김광수" sheetId="3" r:id="rId3"/>
    <sheet name="김정연" sheetId="5" r:id="rId4"/>
    <sheet name="김운담" sheetId="6" r:id="rId5"/>
    <sheet name="무장" sheetId="11" r:id="rId6"/>
    <sheet name="틴타" sheetId="7" r:id="rId7"/>
    <sheet name="프레인" sheetId="8" r:id="rId8"/>
    <sheet name="아이리스" sheetId="9" r:id="rId9"/>
    <sheet name="몸서리" sheetId="4" r:id="rId10"/>
    <sheet name="룽다" sheetId="10" r:id="rId11"/>
  </sheets>
  <definedNames>
    <definedName name="_xlnm._FilterDatabase" localSheetId="0" hidden="1">'합계(11)'!$A$1:$AU$132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C16" i="10" l="1"/>
  <c r="D15" i="10"/>
  <c r="C15" i="10"/>
  <c r="AU6" i="10"/>
  <c r="C26" i="4"/>
  <c r="D25" i="4"/>
  <c r="C25" i="4"/>
  <c r="AU8" i="4"/>
  <c r="C21" i="9"/>
  <c r="D20" i="9"/>
  <c r="C20" i="9"/>
  <c r="AU9" i="9"/>
  <c r="C19" i="8"/>
  <c r="C55" i="2"/>
  <c r="C99" i="3"/>
  <c r="C19" i="5"/>
  <c r="C18" i="6"/>
  <c r="C62" i="11"/>
  <c r="C18" i="7"/>
  <c r="D18" i="8"/>
  <c r="C18" i="8"/>
  <c r="AU6" i="8"/>
  <c r="D17" i="7"/>
  <c r="C17" i="7"/>
  <c r="AU5" i="7"/>
  <c r="D61" i="11"/>
  <c r="C61" i="11"/>
  <c r="AU54" i="11"/>
  <c r="D17" i="6"/>
  <c r="C17" i="6"/>
  <c r="AU6" i="6"/>
  <c r="D18" i="5"/>
  <c r="C18" i="5"/>
  <c r="AU4" i="5"/>
  <c r="D98" i="3"/>
  <c r="C98" i="3"/>
  <c r="AU37" i="3"/>
  <c r="D54" i="2"/>
  <c r="AU15" i="2"/>
  <c r="C54" i="2" s="1"/>
  <c r="B62" i="11"/>
  <c r="D58" i="11"/>
  <c r="D59" i="11" s="1"/>
  <c r="D60" i="11" s="1"/>
  <c r="B16" i="10"/>
  <c r="D10" i="10"/>
  <c r="D11" i="10" s="1"/>
  <c r="D12" i="10" s="1"/>
  <c r="D13" i="10" s="1"/>
  <c r="D14" i="10" s="1"/>
  <c r="B21" i="9"/>
  <c r="D13" i="9"/>
  <c r="D14" i="9" s="1"/>
  <c r="D15" i="9" s="1"/>
  <c r="D16" i="9" s="1"/>
  <c r="D17" i="9" s="1"/>
  <c r="D18" i="9" s="1"/>
  <c r="D19" i="9" s="1"/>
  <c r="B19" i="8"/>
  <c r="D10" i="8"/>
  <c r="D11" i="8" s="1"/>
  <c r="D12" i="8" s="1"/>
  <c r="D13" i="8" s="1"/>
  <c r="D14" i="8" s="1"/>
  <c r="D15" i="8" s="1"/>
  <c r="D16" i="8" s="1"/>
  <c r="D17" i="8" s="1"/>
  <c r="B18" i="7"/>
  <c r="D9" i="7"/>
  <c r="D10" i="7" s="1"/>
  <c r="D11" i="7" s="1"/>
  <c r="D12" i="7" s="1"/>
  <c r="D13" i="7" s="1"/>
  <c r="D14" i="7" s="1"/>
  <c r="D15" i="7" s="1"/>
  <c r="D16" i="7" s="1"/>
  <c r="B18" i="6"/>
  <c r="D10" i="6"/>
  <c r="D11" i="6" s="1"/>
  <c r="D12" i="6" s="1"/>
  <c r="D13" i="6" s="1"/>
  <c r="D14" i="6" s="1"/>
  <c r="D15" i="6" s="1"/>
  <c r="D16" i="6" s="1"/>
  <c r="B19" i="5"/>
  <c r="D9" i="5"/>
  <c r="D10" i="5" s="1"/>
  <c r="D11" i="5" s="1"/>
  <c r="D12" i="5" s="1"/>
  <c r="D13" i="5" s="1"/>
  <c r="D14" i="5" s="1"/>
  <c r="D15" i="5" s="1"/>
  <c r="D16" i="5" s="1"/>
  <c r="D17" i="5" s="1"/>
  <c r="D8" i="5"/>
  <c r="B26" i="4"/>
  <c r="D12" i="4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B99" i="3"/>
  <c r="D69" i="3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B55" i="2" l="1"/>
  <c r="D38" i="2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AU132" i="1" l="1"/>
</calcChain>
</file>

<file path=xl/comments1.xml><?xml version="1.0" encoding="utf-8"?>
<comments xmlns="http://schemas.openxmlformats.org/spreadsheetml/2006/main">
  <authors>
    <author>jihui</author>
  </authors>
  <commentList>
    <comment ref="C44" authorId="0" shapeId="0">
      <text>
        <r>
          <rPr>
            <b/>
            <sz val="9"/>
            <color indexed="81"/>
            <rFont val="Tahoma"/>
            <family val="2"/>
          </rPr>
          <t>21.12 2000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분할인식</t>
        </r>
        <r>
          <rPr>
            <b/>
            <sz val="9"/>
            <color indexed="81"/>
            <rFont val="Tahoma"/>
            <family val="2"/>
          </rPr>
          <t>/ 186,332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분할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정승민(웹소설사업팀)</author>
    <author>jihui</author>
    <author>storywiz</author>
  </authors>
  <commentList>
    <comment ref="B66" authorId="0" shapeId="0">
      <text>
        <r>
          <rPr>
            <b/>
            <sz val="9"/>
            <color indexed="81"/>
            <rFont val="돋움"/>
            <family val="3"/>
            <charset val="129"/>
          </rPr>
          <t>계약체결일</t>
        </r>
        <r>
          <rPr>
            <b/>
            <sz val="9"/>
            <color indexed="81"/>
            <rFont val="Tahoma"/>
            <family val="2"/>
          </rPr>
          <t>: 200403</t>
        </r>
      </text>
    </comment>
    <comment ref="B69" authorId="1" shapeId="0">
      <text>
        <r>
          <rPr>
            <b/>
            <sz val="9"/>
            <color indexed="81"/>
            <rFont val="Tahoma"/>
            <family val="2"/>
          </rPr>
          <t>20.06.30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2" authorId="1" shapeId="0">
      <text>
        <r>
          <rPr>
            <b/>
            <sz val="9"/>
            <color indexed="81"/>
            <rFont val="Tahoma"/>
            <family val="2"/>
          </rPr>
          <t>2020.09.20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4" authorId="1" shapeId="0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(11.30)
</t>
        </r>
      </text>
    </comment>
    <comment ref="A77" authorId="1" shapeId="0">
      <text>
        <r>
          <rPr>
            <b/>
            <sz val="9"/>
            <color indexed="81"/>
            <rFont val="돋움"/>
            <family val="3"/>
            <charset val="129"/>
          </rPr>
          <t>일시인식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분할인식으로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당월매출</t>
        </r>
        <r>
          <rPr>
            <b/>
            <sz val="9"/>
            <color indexed="81"/>
            <rFont val="Tahoma"/>
            <family val="2"/>
          </rPr>
          <t xml:space="preserve"> 11,866,625-7,191,910(18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MG)=4,674,715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</text>
    </comment>
    <comment ref="B77" authorId="1" shapeId="0">
      <text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1" authorId="1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3" authorId="1" shapeId="0">
      <text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(08.25)</t>
        </r>
      </text>
    </comment>
    <comment ref="B85" authorId="1" shapeId="0">
      <text>
        <r>
          <rPr>
            <b/>
            <sz val="9"/>
            <color indexed="81"/>
            <rFont val="Tahoma"/>
            <family val="2"/>
          </rPr>
          <t>22,23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(10.12/10.25)</t>
        </r>
      </text>
    </comment>
    <comment ref="B86" authorId="1" shapeId="0">
      <text>
        <r>
          <rPr>
            <b/>
            <sz val="9"/>
            <color indexed="81"/>
            <rFont val="Tahoma"/>
            <family val="2"/>
          </rPr>
          <t>11.23_24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8" authorId="1" shapeId="0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9" authorId="1" shapeId="0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2.15</t>
        </r>
      </text>
    </comment>
    <comment ref="B91" authorId="2" shapeId="0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4.4</t>
        </r>
      </text>
    </comment>
    <comment ref="B92" authorId="2" shapeId="0">
      <text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5.20</t>
        </r>
      </text>
    </comment>
    <comment ref="B95" authorId="2" shapeId="0">
      <text>
        <r>
          <rPr>
            <b/>
            <sz val="9"/>
            <color indexed="81"/>
            <rFont val="Tahoma"/>
            <family val="2"/>
          </rPr>
          <t>29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7.28</t>
        </r>
      </text>
    </comment>
  </commentList>
</comments>
</file>

<file path=xl/comments3.xml><?xml version="1.0" encoding="utf-8"?>
<comments xmlns="http://schemas.openxmlformats.org/spreadsheetml/2006/main">
  <authors>
    <author>storywiz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누적액</t>
        </r>
      </text>
    </comment>
  </commentList>
</comments>
</file>

<file path=xl/comments4.xml><?xml version="1.0" encoding="utf-8"?>
<comments xmlns="http://schemas.openxmlformats.org/spreadsheetml/2006/main">
  <authors>
    <author>storywiz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누적금액</t>
        </r>
      </text>
    </comment>
  </commentList>
</comments>
</file>

<file path=xl/sharedStrings.xml><?xml version="1.0" encoding="utf-8"?>
<sst xmlns="http://schemas.openxmlformats.org/spreadsheetml/2006/main" count="6559" uniqueCount="278">
  <si>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</si>
  <si>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</si>
  <si>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</si>
  <si>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</si>
  <si>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</si>
  <si>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</si>
  <si>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</si>
  <si>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</si>
  <si>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</si>
  <si>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</si>
  <si>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</si>
  <si>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</si>
  <si>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</si>
  <si>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</si>
  <si>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</si>
  <si>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</si>
  <si>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</si>
  <si>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</si>
  <si>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</si>
  <si>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</si>
  <si>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</si>
  <si>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</si>
  <si>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</si>
  <si>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</si>
  <si>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</si>
  <si>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</si>
  <si>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</si>
  <si>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</si>
  <si>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</si>
  <si>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</si>
  <si>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</si>
  <si>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</si>
  <si>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</si>
  <si>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</si>
  <si>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</si>
  <si>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</si>
  <si>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</si>
  <si>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</si>
  <si>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</si>
  <si>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</si>
  <si>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</si>
  <si>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</si>
  <si>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</si>
  <si>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</si>
  <si>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</si>
  <si>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</si>
  <si>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</si>
  <si>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</si>
  <si>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</si>
  <si>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스토리위즈</t>
  </si>
  <si>
    <t>카카오페이지 선투자 계약</t>
  </si>
  <si>
    <t>N</t>
  </si>
  <si>
    <t>1941</t>
  </si>
  <si>
    <t>스토리위즈_청빙 작가</t>
  </si>
  <si>
    <t>면세</t>
  </si>
  <si>
    <t>소설</t>
  </si>
  <si>
    <t>51936303</t>
  </si>
  <si>
    <t>호접몽전</t>
  </si>
  <si>
    <t>2019-01-18</t>
  </si>
  <si>
    <t/>
  </si>
  <si>
    <t>청빙</t>
  </si>
  <si>
    <t>유</t>
  </si>
  <si>
    <t>단일 이용권</t>
  </si>
  <si>
    <t>시리즈 이용권 패키지</t>
  </si>
  <si>
    <t>54212515</t>
  </si>
  <si>
    <t>라스트 서바이버 : 진화로 살아남아라!</t>
  </si>
  <si>
    <t>2020-01-03</t>
  </si>
  <si>
    <t>56380069</t>
  </si>
  <si>
    <t>문답무용 - 삼국지 유비의 모사가 되었다</t>
  </si>
  <si>
    <t>2021-03-09</t>
  </si>
  <si>
    <t>2021-02-04</t>
  </si>
  <si>
    <t>단일 대여 이용권</t>
  </si>
  <si>
    <t>1943</t>
  </si>
  <si>
    <t>스토리위즈_김광수 작가</t>
  </si>
  <si>
    <t>46750620</t>
  </si>
  <si>
    <t>마계대공 연대기</t>
  </si>
  <si>
    <t>2014-07-03</t>
  </si>
  <si>
    <t>김광수</t>
  </si>
  <si>
    <t>46805146</t>
  </si>
  <si>
    <t>마스터K</t>
  </si>
  <si>
    <t>2014-07-30</t>
  </si>
  <si>
    <t>46911703</t>
  </si>
  <si>
    <t>21세기 대마법사</t>
  </si>
  <si>
    <t>2014-09-26</t>
  </si>
  <si>
    <t>47226086</t>
  </si>
  <si>
    <t>화산지애</t>
  </si>
  <si>
    <t>2015-03-10</t>
  </si>
  <si>
    <t>48362175</t>
  </si>
  <si>
    <t>영웅</t>
  </si>
  <si>
    <t>2016-03-13</t>
  </si>
  <si>
    <t>50827118</t>
  </si>
  <si>
    <t>회귀의 전설</t>
  </si>
  <si>
    <t>2018-02-09</t>
  </si>
  <si>
    <t>55879886</t>
  </si>
  <si>
    <t>회귀의 전설 [단행본]</t>
  </si>
  <si>
    <t>2020-10-26</t>
  </si>
  <si>
    <t>56499021</t>
  </si>
  <si>
    <t>21세기 대마법사 [단행본]</t>
  </si>
  <si>
    <t>2021-03-04</t>
  </si>
  <si>
    <t>56499157</t>
  </si>
  <si>
    <t>화산지애 [단행본]</t>
  </si>
  <si>
    <t>56529116</t>
  </si>
  <si>
    <t>마계대공 연대기 [단행본]</t>
  </si>
  <si>
    <t>56540396</t>
  </si>
  <si>
    <t>프리 나이트 [단행본]</t>
  </si>
  <si>
    <t>2995</t>
  </si>
  <si>
    <t>스토리위즈_몸서리 작가</t>
  </si>
  <si>
    <t>58140713</t>
  </si>
  <si>
    <t>혼자서는 못 해요</t>
  </si>
  <si>
    <t>2021-10-27</t>
  </si>
  <si>
    <t>몸서리</t>
  </si>
  <si>
    <t>3167</t>
  </si>
  <si>
    <t>스토리위즈_김정연 작가</t>
  </si>
  <si>
    <t>58620838</t>
  </si>
  <si>
    <t>세자마마의 은밀한 취향</t>
  </si>
  <si>
    <t>2022-01-15</t>
  </si>
  <si>
    <t>김정연</t>
  </si>
  <si>
    <t>3516</t>
  </si>
  <si>
    <t>스토리위즈_김운담 작가</t>
  </si>
  <si>
    <t>59239608</t>
  </si>
  <si>
    <t>그 팀플 게임의 엔딩을 보는 방법</t>
  </si>
  <si>
    <t>2022-04-27</t>
  </si>
  <si>
    <t>김운담</t>
  </si>
  <si>
    <t>3587</t>
  </si>
  <si>
    <t>스토리위즈_틴타 작가(천사의 아이 웹소설 포함)</t>
  </si>
  <si>
    <t>52589363</t>
  </si>
  <si>
    <t>천사의 아이</t>
  </si>
  <si>
    <t>2019-03-22</t>
  </si>
  <si>
    <t>틴타</t>
  </si>
  <si>
    <t>3588</t>
  </si>
  <si>
    <t>52749480</t>
  </si>
  <si>
    <t>멸망한 세계로부터</t>
  </si>
  <si>
    <t>2019-04-19</t>
  </si>
  <si>
    <t>프레인</t>
  </si>
  <si>
    <t>3590</t>
  </si>
  <si>
    <t>스토리위즈_아이리스 작가</t>
  </si>
  <si>
    <t>54367334</t>
  </si>
  <si>
    <t>내 남편의 열렬한 구애</t>
  </si>
  <si>
    <t>2020-02-07</t>
  </si>
  <si>
    <t>아이리스</t>
  </si>
  <si>
    <t>59204258</t>
  </si>
  <si>
    <t>지극히 신사적인</t>
  </si>
  <si>
    <t>2022-04-14</t>
  </si>
  <si>
    <t>3688</t>
  </si>
  <si>
    <t>스토리위즈_룽다 작가</t>
  </si>
  <si>
    <t>59547520</t>
  </si>
  <si>
    <t>[BL] 새파랗게 어린</t>
  </si>
  <si>
    <t>2022-06-10</t>
  </si>
  <si>
    <t>룽다</t>
  </si>
  <si>
    <t>스토리위즈_프레인 작가(웹소설 포함)</t>
  </si>
  <si>
    <t>119574</t>
  </si>
  <si>
    <t>스토리위즈_무장 작가</t>
  </si>
  <si>
    <t>47026662</t>
  </si>
  <si>
    <t>갓 오브 블랙필드</t>
  </si>
  <si>
    <t>2014-11-25</t>
  </si>
  <si>
    <t>무장</t>
  </si>
  <si>
    <t>47944978</t>
  </si>
  <si>
    <t>그라운드의 지배자</t>
  </si>
  <si>
    <t>2015-11-01</t>
  </si>
  <si>
    <t>48836576</t>
  </si>
  <si>
    <t>형사의 게임</t>
  </si>
  <si>
    <t>2016-08-03</t>
  </si>
  <si>
    <t>49231182</t>
  </si>
  <si>
    <t>도폐풍운록 [완결]</t>
  </si>
  <si>
    <t>2017-01-05</t>
  </si>
  <si>
    <t>49394422</t>
  </si>
  <si>
    <t>선유문주 [완결]</t>
  </si>
  <si>
    <t>2017-01-20</t>
  </si>
  <si>
    <t>49403666</t>
  </si>
  <si>
    <t>강호유정 [완결]</t>
  </si>
  <si>
    <t>2017-01-26</t>
  </si>
  <si>
    <t>50171772</t>
  </si>
  <si>
    <t>로드 오브 머니</t>
  </si>
  <si>
    <t>2017-08-17</t>
  </si>
  <si>
    <t>52327507</t>
  </si>
  <si>
    <t>은천검제(2부 화산검제)</t>
  </si>
  <si>
    <t>2019-02-01</t>
  </si>
  <si>
    <t>55635870</t>
  </si>
  <si>
    <t>최종 보스 : 빛을 향해 달리는 그림자</t>
  </si>
  <si>
    <t>2020-09-18</t>
  </si>
  <si>
    <t>56485755</t>
  </si>
  <si>
    <t>로드 오브 머니 [단행본]</t>
  </si>
  <si>
    <t>56765062</t>
  </si>
  <si>
    <t>형사의 게임 [단행본]</t>
  </si>
  <si>
    <t>2021-03-26</t>
  </si>
  <si>
    <t>56765133</t>
  </si>
  <si>
    <t>은천검제(2부 화산검제) [단행본]</t>
  </si>
  <si>
    <t>58523432</t>
  </si>
  <si>
    <t>오늘의 운세</t>
  </si>
  <si>
    <t>2021-12-29</t>
  </si>
  <si>
    <t>58700868</t>
  </si>
  <si>
    <t>선유문주 [단행본]</t>
  </si>
  <si>
    <t>2022-02-09</t>
  </si>
  <si>
    <t>58700970</t>
  </si>
  <si>
    <t>도폐풍운록 [단행본]</t>
  </si>
  <si>
    <t>2022-02-10</t>
  </si>
  <si>
    <t>58963948</t>
  </si>
  <si>
    <t>유성하소월</t>
  </si>
  <si>
    <t>2022-03-08</t>
  </si>
  <si>
    <t>58964509</t>
  </si>
  <si>
    <t>유성하소월 [단행본]</t>
  </si>
  <si>
    <t>58964541</t>
  </si>
  <si>
    <t>갓 오브 블랙필드 [단행본]</t>
  </si>
  <si>
    <t>58964618</t>
  </si>
  <si>
    <t>그라운드의 지배자 [단행본]</t>
  </si>
  <si>
    <t>58964677</t>
  </si>
  <si>
    <t>강호유정 [단행본]</t>
  </si>
  <si>
    <t>59803633</t>
  </si>
  <si>
    <t>최종 보스 : 빛을 향해 달리는 그림자 [단행본]</t>
  </si>
  <si>
    <t>2022-07-20</t>
  </si>
  <si>
    <t>60229777</t>
  </si>
  <si>
    <t>혼자서는 못 해요 [단행본]</t>
  </si>
  <si>
    <t>2022-09-19</t>
  </si>
  <si>
    <t>60229902</t>
  </si>
  <si>
    <t>혼자서는 못 해요 외전 [단행본]</t>
  </si>
  <si>
    <t>60.00%</t>
  </si>
  <si>
    <t>46855943</t>
  </si>
  <si>
    <t>2014-08-28</t>
  </si>
  <si>
    <t>55423371</t>
  </si>
  <si>
    <t>포르트무스</t>
  </si>
  <si>
    <t>2020-08-04</t>
  </si>
  <si>
    <t>60410391</t>
  </si>
  <si>
    <t>늑대가문의 신부 [단행본]</t>
  </si>
  <si>
    <t>2022-10-16</t>
  </si>
  <si>
    <t>56766662</t>
  </si>
  <si>
    <t>호접몽전 [단행본]</t>
  </si>
  <si>
    <t>2021-03-29</t>
  </si>
  <si>
    <t>바람의 기사, 아르테온</t>
  </si>
  <si>
    <t>56529166</t>
  </si>
  <si>
    <t>마스터K [단행본]</t>
  </si>
  <si>
    <t>56540480</t>
  </si>
  <si>
    <t>바람의 기사, 아르테온 [단행본]</t>
  </si>
  <si>
    <t>2021-03-08</t>
  </si>
  <si>
    <t>60457031</t>
  </si>
  <si>
    <t>천사의 아이 [단행본]</t>
  </si>
  <si>
    <t>2022-10-23</t>
  </si>
  <si>
    <t>60457216</t>
  </si>
  <si>
    <t>멸망한 세계로부터 [단행본]</t>
  </si>
  <si>
    <t>ㅇ MG차감 내역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</si>
  <si>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</si>
  <si>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</si>
  <si>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>태랑</t>
    <phoneticPr fontId="1" type="noConversion"/>
  </si>
  <si>
    <t>합계</t>
    <phoneticPr fontId="1" type="noConversion"/>
  </si>
  <si>
    <t>유통년월</t>
    <phoneticPr fontId="1" type="noConversion"/>
  </si>
  <si>
    <t>MG 잔여</t>
    <phoneticPr fontId="6" type="noConversion"/>
  </si>
  <si>
    <t>합계</t>
    <phoneticPr fontId="1" type="noConversion"/>
  </si>
  <si>
    <t>유통년월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</si>
  <si>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</si>
  <si>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</si>
  <si>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>MG 잔여</t>
    <phoneticPr fontId="6" type="noConversion"/>
  </si>
  <si>
    <t>ㅇ MG차감 내역</t>
    <phoneticPr fontId="1" type="noConversion"/>
  </si>
  <si>
    <t>유통년월</t>
    <phoneticPr fontId="1" type="noConversion"/>
  </si>
  <si>
    <t xml:space="preserve">선MG </t>
    <phoneticPr fontId="6" type="noConversion"/>
  </si>
  <si>
    <t xml:space="preserve">SW 매출 </t>
    <phoneticPr fontId="6" type="noConversion"/>
  </si>
  <si>
    <t>MG 잔여</t>
    <phoneticPr fontId="6" type="noConversion"/>
  </si>
  <si>
    <t>유통년월</t>
    <phoneticPr fontId="1" type="noConversion"/>
  </si>
  <si>
    <t>MG 잔여</t>
    <phoneticPr fontId="6" type="noConversion"/>
  </si>
  <si>
    <t>합계</t>
    <phoneticPr fontId="1" type="noConversion"/>
  </si>
  <si>
    <t>유통년월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</si>
  <si>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</si>
  <si>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</si>
  <si>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>합계</t>
    <phoneticPr fontId="1" type="noConversion"/>
  </si>
  <si>
    <t>ㅇ MG차감 내역</t>
    <phoneticPr fontId="1" type="noConversion"/>
  </si>
  <si>
    <t>유통년월</t>
    <phoneticPr fontId="1" type="noConversion"/>
  </si>
  <si>
    <t xml:space="preserve">선MG </t>
    <phoneticPr fontId="6" type="noConversion"/>
  </si>
  <si>
    <t>MG 잔여</t>
    <phoneticPr fontId="6" type="noConversion"/>
  </si>
  <si>
    <t>합계</t>
    <phoneticPr fontId="1" type="noConversion"/>
  </si>
  <si>
    <t>유통년월</t>
    <phoneticPr fontId="1" type="noConversion"/>
  </si>
  <si>
    <t xml:space="preserve">KT 매출 </t>
    <phoneticPr fontId="6" type="noConversion"/>
  </si>
  <si>
    <t>합계</t>
    <phoneticPr fontId="1" type="noConversion"/>
  </si>
  <si>
    <t>ㅇ MG차감 내역</t>
    <phoneticPr fontId="1" type="noConversion"/>
  </si>
  <si>
    <t>유통년월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</si>
  <si>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</si>
  <si>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</si>
  <si>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>합계</t>
    <phoneticPr fontId="1" type="noConversion"/>
  </si>
  <si>
    <t xml:space="preserve">SW 매출 </t>
    <phoneticPr fontId="6" type="noConversion"/>
  </si>
  <si>
    <t>MG 잔여</t>
    <phoneticPr fontId="6" type="noConversion"/>
  </si>
  <si>
    <t>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</si>
</sst>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1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</font>
    <font>
      <sz val="11"/>
      <color indexed="8"/>
      <name val="맑은 고딕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4" fillId="3" borderId="0" xfId="0" applyNumberFormat="1" applyFont="1" applyFill="1">
      <alignment vertical="center"/>
    </xf>
    <xf numFmtId="4" fontId="0" fillId="0" borderId="0" xfId="0" applyNumberFormat="1" applyAlignment="1">
      <alignment horizontal="center"/>
    </xf>
    <xf numFmtId="0" fontId="5" fillId="0" borderId="0" xfId="1" applyFont="1" applyAlignme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0" fillId="0" borderId="1" xfId="3" applyFont="1" applyBorder="1">
      <alignment vertical="center"/>
    </xf>
    <xf numFmtId="41" fontId="7" fillId="0" borderId="1" xfId="3" applyFont="1" applyFill="1" applyBorder="1">
      <alignment vertical="center"/>
    </xf>
    <xf numFmtId="0" fontId="0" fillId="0" borderId="1" xfId="0" applyBorder="1">
      <alignment vertical="center"/>
    </xf>
    <xf numFmtId="41" fontId="8" fillId="0" borderId="1" xfId="3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1" xfId="0" applyNumberFormat="1" applyFont="1" applyBorder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41" fontId="0" fillId="0" borderId="1" xfId="3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41" fontId="0" fillId="0" borderId="1" xfId="0" applyNumberFormat="1" applyBorder="1" applyAlignment="1">
      <alignment horizontal="center" vertical="center"/>
    </xf>
    <xf numFmtId="3" fontId="8" fillId="0" borderId="1" xfId="0" applyNumberFormat="1" applyFont="1" applyFill="1" applyBorder="1" applyAlignment="1">
      <alignment vertical="center"/>
    </xf>
    <xf numFmtId="3" fontId="7" fillId="0" borderId="1" xfId="0" applyNumberFormat="1" applyFont="1" applyFill="1" applyBorder="1" applyAlignment="1">
      <alignment vertical="center"/>
    </xf>
    <xf numFmtId="41" fontId="4" fillId="0" borderId="1" xfId="0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0" xfId="3" applyFont="1">
      <alignment vertical="center"/>
    </xf>
    <xf numFmtId="41" fontId="0" fillId="0" borderId="2" xfId="3" applyFont="1" applyBorder="1">
      <alignment vertical="center"/>
    </xf>
    <xf numFmtId="41" fontId="8" fillId="0" borderId="2" xfId="3" applyFont="1" applyFill="1" applyBorder="1">
      <alignment vertical="center"/>
    </xf>
    <xf numFmtId="41" fontId="7" fillId="0" borderId="2" xfId="3" applyFont="1" applyFill="1" applyBorder="1">
      <alignment vertical="center"/>
    </xf>
    <xf numFmtId="3" fontId="0" fillId="0" borderId="1" xfId="0" applyNumberFormat="1" applyBorder="1">
      <alignment vertical="center"/>
    </xf>
    <xf numFmtId="3" fontId="8" fillId="0" borderId="1" xfId="0" applyNumberFormat="1" applyFont="1" applyFill="1" applyBorder="1">
      <alignment vertical="center"/>
    </xf>
    <xf numFmtId="3" fontId="7" fillId="0" borderId="1" xfId="0" applyNumberFormat="1" applyFont="1" applyFill="1" applyBorder="1">
      <alignment vertical="center"/>
    </xf>
    <xf numFmtId="41" fontId="0" fillId="0" borderId="3" xfId="3" applyFont="1" applyBorder="1" applyAlignment="1">
      <alignment horizontal="center" vertical="center"/>
    </xf>
    <xf numFmtId="3" fontId="0" fillId="0" borderId="0" xfId="0" applyNumberFormat="1">
      <alignment vertical="center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32"/>
  <sheetViews>
    <sheetView tabSelected="1" zoomScale="70" zoomScaleNormal="70" workbookViewId="0"/>
  </sheetViews>
  <sheetFormatPr defaultRowHeight="16.5" x14ac:dyDescent="0.3"/>
  <cols>
    <col min="1" max="1" width="9.75" bestFit="1" customWidth="1"/>
    <col min="2" max="2" width="11.375" bestFit="1" customWidth="1"/>
    <col min="3" max="3" width="12.625" bestFit="1" customWidth="1"/>
    <col min="4" max="4" width="10.75" bestFit="1" customWidth="1"/>
    <col min="5" max="5" width="14.25" bestFit="1" customWidth="1"/>
    <col min="6" max="6" width="9.75" bestFit="1" customWidth="1"/>
    <col min="7" max="7" width="6.375" bestFit="1" customWidth="1"/>
    <col min="8" max="8" width="28.625" customWidth="1"/>
    <col min="9" max="9" width="4.875" bestFit="1" customWidth="1"/>
    <col min="10" max="10" width="6.5" bestFit="1" customWidth="1"/>
    <col min="11" max="11" width="10.25" bestFit="1" customWidth="1"/>
    <col min="12" max="12" width="49.875" bestFit="1" customWidth="1"/>
    <col min="13" max="14" width="11.625" bestFit="1" customWidth="1"/>
    <col min="15" max="15" width="19.5" bestFit="1" customWidth="1"/>
    <col min="16" max="16" width="4.25" bestFit="1" customWidth="1"/>
    <col min="17" max="17" width="13.75" bestFit="1" customWidth="1"/>
    <col min="18" max="18" width="9.375" bestFit="1" customWidth="1"/>
    <col min="19" max="19" width="14.75" bestFit="1" customWidth="1"/>
    <col min="20" max="20" width="10.25" bestFit="1" customWidth="1"/>
    <col min="21" max="21" width="11.25" bestFit="1" customWidth="1"/>
    <col min="22" max="23" width="10.25" bestFit="1" customWidth="1"/>
    <col min="24" max="24" width="11.375" bestFit="1" customWidth="1"/>
    <col min="25" max="25" width="10.25" bestFit="1" customWidth="1"/>
    <col min="26" max="26" width="11.375" bestFit="1" customWidth="1"/>
    <col min="27" max="28" width="11.25" bestFit="1" customWidth="1"/>
    <col min="29" max="30" width="10.25" bestFit="1" customWidth="1"/>
    <col min="31" max="31" width="11.375" bestFit="1" customWidth="1"/>
    <col min="32" max="32" width="10.25" bestFit="1" customWidth="1"/>
    <col min="33" max="33" width="11.375" bestFit="1" customWidth="1"/>
    <col min="34" max="34" width="10.25" bestFit="1" customWidth="1"/>
    <col min="35" max="35" width="11.25" bestFit="1" customWidth="1"/>
    <col min="36" max="36" width="10.25" bestFit="1" customWidth="1"/>
    <col min="37" max="37" width="10.875" bestFit="1" customWidth="1"/>
    <col min="38" max="38" width="11.375" bestFit="1" customWidth="1"/>
    <col min="39" max="39" width="10.25" bestFit="1" customWidth="1"/>
    <col min="40" max="40" width="11.375" bestFit="1" customWidth="1"/>
    <col min="41" max="41" width="13.5" bestFit="1" customWidth="1"/>
    <col min="42" max="42" width="12.25" bestFit="1" customWidth="1"/>
    <col min="43" max="43" width="11" bestFit="1" customWidth="1"/>
    <col min="44" max="44" width="13.5" bestFit="1" customWidth="1"/>
    <col min="45" max="45" width="11.25" bestFit="1" customWidth="1"/>
    <col min="46" max="46" width="5.375" bestFit="1" customWidth="1"/>
    <col min="47" max="47" width="14.375" bestFit="1" customWidth="1"/>
  </cols>
  <sheetData>
    <row r="1" spans="1:4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59</v>
      </c>
      <c r="P2" s="3" t="s">
        <v>59</v>
      </c>
      <c r="Q2" s="3" t="s">
        <v>60</v>
      </c>
      <c r="R2" s="3" t="s">
        <v>61</v>
      </c>
      <c r="S2" s="3" t="s">
        <v>62</v>
      </c>
      <c r="T2" s="1">
        <v>5000</v>
      </c>
      <c r="U2" s="1">
        <v>700</v>
      </c>
      <c r="V2" s="1">
        <v>0</v>
      </c>
      <c r="W2" s="1">
        <v>34400</v>
      </c>
      <c r="X2" s="1">
        <v>5700</v>
      </c>
      <c r="Y2" s="1">
        <v>34400</v>
      </c>
      <c r="Z2" s="1">
        <v>40100</v>
      </c>
      <c r="AA2" s="1">
        <v>6000</v>
      </c>
      <c r="AB2" s="1">
        <v>700</v>
      </c>
      <c r="AC2" s="1">
        <v>0</v>
      </c>
      <c r="AD2" s="1">
        <v>34400</v>
      </c>
      <c r="AE2" s="1">
        <v>6700</v>
      </c>
      <c r="AF2" s="1">
        <v>34400</v>
      </c>
      <c r="AG2" s="1">
        <v>41100</v>
      </c>
      <c r="AH2" s="1">
        <v>5400</v>
      </c>
      <c r="AI2" s="1">
        <v>679</v>
      </c>
      <c r="AJ2" s="1">
        <v>0</v>
      </c>
      <c r="AK2" s="1">
        <v>30960</v>
      </c>
      <c r="AL2" s="1">
        <v>6079</v>
      </c>
      <c r="AM2" s="1">
        <v>30960</v>
      </c>
      <c r="AN2" s="1">
        <v>37039</v>
      </c>
      <c r="AO2" s="6" t="s">
        <v>215</v>
      </c>
      <c r="AP2" s="6" t="s">
        <v>215</v>
      </c>
      <c r="AQ2" s="6" t="s">
        <v>215</v>
      </c>
      <c r="AR2" s="6" t="s">
        <v>215</v>
      </c>
      <c r="AS2" s="1">
        <v>22223</v>
      </c>
      <c r="AT2" s="1">
        <v>0</v>
      </c>
      <c r="AU2" s="1">
        <v>22223</v>
      </c>
    </row>
    <row r="3" spans="1:47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59</v>
      </c>
      <c r="P3" s="3" t="s">
        <v>59</v>
      </c>
      <c r="Q3" s="3" t="s">
        <v>60</v>
      </c>
      <c r="R3" s="3" t="s">
        <v>61</v>
      </c>
      <c r="S3" s="3" t="s">
        <v>63</v>
      </c>
      <c r="T3" s="1">
        <v>72000</v>
      </c>
      <c r="U3" s="1">
        <v>15500</v>
      </c>
      <c r="V3" s="1">
        <v>0</v>
      </c>
      <c r="W3" s="1">
        <v>34900</v>
      </c>
      <c r="X3" s="1">
        <v>87500</v>
      </c>
      <c r="Y3" s="1">
        <v>34900</v>
      </c>
      <c r="Z3" s="1">
        <v>122400</v>
      </c>
      <c r="AA3" s="1">
        <v>86400</v>
      </c>
      <c r="AB3" s="1">
        <v>15500</v>
      </c>
      <c r="AC3" s="1">
        <v>0</v>
      </c>
      <c r="AD3" s="1">
        <v>34900</v>
      </c>
      <c r="AE3" s="1">
        <v>101900</v>
      </c>
      <c r="AF3" s="1">
        <v>34900</v>
      </c>
      <c r="AG3" s="1">
        <v>136800</v>
      </c>
      <c r="AH3" s="1">
        <v>77760</v>
      </c>
      <c r="AI3" s="1">
        <v>15035</v>
      </c>
      <c r="AJ3" s="1">
        <v>0</v>
      </c>
      <c r="AK3" s="1">
        <v>31410</v>
      </c>
      <c r="AL3" s="1">
        <v>92795</v>
      </c>
      <c r="AM3" s="1">
        <v>31410</v>
      </c>
      <c r="AN3" s="1">
        <v>124205</v>
      </c>
      <c r="AO3" s="6" t="s">
        <v>215</v>
      </c>
      <c r="AP3" s="6" t="s">
        <v>215</v>
      </c>
      <c r="AQ3" s="6" t="s">
        <v>215</v>
      </c>
      <c r="AR3" s="6" t="s">
        <v>215</v>
      </c>
      <c r="AS3" s="1">
        <v>74523</v>
      </c>
      <c r="AT3" s="1">
        <v>0</v>
      </c>
      <c r="AU3" s="1">
        <v>74523</v>
      </c>
    </row>
    <row r="4" spans="1:47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59</v>
      </c>
      <c r="P4" s="3" t="s">
        <v>59</v>
      </c>
      <c r="Q4" s="3" t="s">
        <v>60</v>
      </c>
      <c r="R4" s="3" t="s">
        <v>61</v>
      </c>
      <c r="S4" s="3" t="s">
        <v>63</v>
      </c>
      <c r="T4" s="1">
        <v>0</v>
      </c>
      <c r="U4" s="1">
        <v>24100</v>
      </c>
      <c r="V4" s="1">
        <v>0</v>
      </c>
      <c r="W4" s="1">
        <v>3500</v>
      </c>
      <c r="X4" s="1">
        <v>24100</v>
      </c>
      <c r="Y4" s="1">
        <v>3500</v>
      </c>
      <c r="Z4" s="1">
        <v>27600</v>
      </c>
      <c r="AA4" s="1">
        <v>0</v>
      </c>
      <c r="AB4" s="1">
        <v>24100</v>
      </c>
      <c r="AC4" s="1">
        <v>0</v>
      </c>
      <c r="AD4" s="1">
        <v>3500</v>
      </c>
      <c r="AE4" s="1">
        <v>24100</v>
      </c>
      <c r="AF4" s="1">
        <v>3500</v>
      </c>
      <c r="AG4" s="1">
        <v>27600</v>
      </c>
      <c r="AH4" s="1">
        <v>0</v>
      </c>
      <c r="AI4" s="1">
        <v>23377</v>
      </c>
      <c r="AJ4" s="1">
        <v>0</v>
      </c>
      <c r="AK4" s="1">
        <v>3150</v>
      </c>
      <c r="AL4" s="1">
        <v>23377</v>
      </c>
      <c r="AM4" s="1">
        <v>3150</v>
      </c>
      <c r="AN4" s="1">
        <v>26527</v>
      </c>
      <c r="AO4" s="6" t="s">
        <v>215</v>
      </c>
      <c r="AP4" s="6" t="s">
        <v>215</v>
      </c>
      <c r="AQ4" s="6" t="s">
        <v>215</v>
      </c>
      <c r="AR4" s="6" t="s">
        <v>215</v>
      </c>
      <c r="AS4" s="1">
        <v>15916</v>
      </c>
      <c r="AT4" s="1">
        <v>0</v>
      </c>
      <c r="AU4" s="1">
        <v>15916</v>
      </c>
    </row>
    <row r="5" spans="1:47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  <c r="O5" s="3" t="s">
        <v>59</v>
      </c>
      <c r="P5" s="3" t="s">
        <v>59</v>
      </c>
      <c r="Q5" s="3" t="s">
        <v>60</v>
      </c>
      <c r="R5" s="3" t="s">
        <v>61</v>
      </c>
      <c r="S5" s="3" t="s">
        <v>63</v>
      </c>
      <c r="T5" s="1">
        <v>0</v>
      </c>
      <c r="U5" s="1">
        <v>12400</v>
      </c>
      <c r="V5" s="1">
        <v>0</v>
      </c>
      <c r="W5" s="1">
        <v>3000</v>
      </c>
      <c r="X5" s="1">
        <v>12400</v>
      </c>
      <c r="Y5" s="1">
        <v>3000</v>
      </c>
      <c r="Z5" s="1">
        <v>15400</v>
      </c>
      <c r="AA5" s="1">
        <v>0</v>
      </c>
      <c r="AB5" s="1">
        <v>12400</v>
      </c>
      <c r="AC5" s="1">
        <v>0</v>
      </c>
      <c r="AD5" s="1">
        <v>3000</v>
      </c>
      <c r="AE5" s="1">
        <v>12400</v>
      </c>
      <c r="AF5" s="1">
        <v>3000</v>
      </c>
      <c r="AG5" s="1">
        <v>15400</v>
      </c>
      <c r="AH5" s="1">
        <v>0</v>
      </c>
      <c r="AI5" s="1">
        <v>12028</v>
      </c>
      <c r="AJ5" s="1">
        <v>0</v>
      </c>
      <c r="AK5" s="1">
        <v>2700</v>
      </c>
      <c r="AL5" s="1">
        <v>12028</v>
      </c>
      <c r="AM5" s="1">
        <v>2700</v>
      </c>
      <c r="AN5" s="1">
        <v>14728</v>
      </c>
      <c r="AO5" s="6" t="s">
        <v>215</v>
      </c>
      <c r="AP5" s="6" t="s">
        <v>215</v>
      </c>
      <c r="AQ5" s="6" t="s">
        <v>215</v>
      </c>
      <c r="AR5" s="6" t="s">
        <v>215</v>
      </c>
      <c r="AS5" s="1">
        <v>8837</v>
      </c>
      <c r="AT5" s="1">
        <v>0</v>
      </c>
      <c r="AU5" s="1">
        <v>8837</v>
      </c>
    </row>
    <row r="6" spans="1:47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64</v>
      </c>
      <c r="L6" s="3" t="s">
        <v>65</v>
      </c>
      <c r="M6" s="3" t="s">
        <v>66</v>
      </c>
      <c r="N6" s="3" t="s">
        <v>59</v>
      </c>
      <c r="O6" s="3" t="s">
        <v>59</v>
      </c>
      <c r="P6" s="3" t="s">
        <v>59</v>
      </c>
      <c r="Q6" s="3" t="s">
        <v>60</v>
      </c>
      <c r="R6" s="3" t="s">
        <v>61</v>
      </c>
      <c r="S6" s="3" t="s">
        <v>62</v>
      </c>
      <c r="T6" s="1">
        <v>2600</v>
      </c>
      <c r="U6" s="1">
        <v>2800</v>
      </c>
      <c r="V6" s="1">
        <v>0</v>
      </c>
      <c r="W6" s="1">
        <v>69000</v>
      </c>
      <c r="X6" s="1">
        <v>5400</v>
      </c>
      <c r="Y6" s="1">
        <v>69000</v>
      </c>
      <c r="Z6" s="1">
        <v>74400</v>
      </c>
      <c r="AA6" s="1">
        <v>3120</v>
      </c>
      <c r="AB6" s="1">
        <v>2800</v>
      </c>
      <c r="AC6" s="1">
        <v>0</v>
      </c>
      <c r="AD6" s="1">
        <v>69000</v>
      </c>
      <c r="AE6" s="1">
        <v>5920</v>
      </c>
      <c r="AF6" s="1">
        <v>69000</v>
      </c>
      <c r="AG6" s="1">
        <v>74920</v>
      </c>
      <c r="AH6" s="1">
        <v>2808</v>
      </c>
      <c r="AI6" s="1">
        <v>2716</v>
      </c>
      <c r="AJ6" s="1">
        <v>0</v>
      </c>
      <c r="AK6" s="1">
        <v>62100</v>
      </c>
      <c r="AL6" s="1">
        <v>5524</v>
      </c>
      <c r="AM6" s="1">
        <v>62100</v>
      </c>
      <c r="AN6" s="1">
        <v>67624</v>
      </c>
      <c r="AO6" s="6" t="s">
        <v>215</v>
      </c>
      <c r="AP6" s="6" t="s">
        <v>215</v>
      </c>
      <c r="AQ6" s="6" t="s">
        <v>215</v>
      </c>
      <c r="AR6" s="6" t="s">
        <v>215</v>
      </c>
      <c r="AS6" s="1">
        <v>40575</v>
      </c>
      <c r="AT6" s="1">
        <v>0</v>
      </c>
      <c r="AU6" s="1">
        <v>40575</v>
      </c>
    </row>
    <row r="7" spans="1:47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64</v>
      </c>
      <c r="L7" s="3" t="s">
        <v>65</v>
      </c>
      <c r="M7" s="3" t="s">
        <v>66</v>
      </c>
      <c r="N7" s="3" t="s">
        <v>59</v>
      </c>
      <c r="O7" s="3" t="s">
        <v>59</v>
      </c>
      <c r="P7" s="3" t="s">
        <v>59</v>
      </c>
      <c r="Q7" s="3" t="s">
        <v>60</v>
      </c>
      <c r="R7" s="3" t="s">
        <v>61</v>
      </c>
      <c r="S7" s="3" t="s">
        <v>63</v>
      </c>
      <c r="T7" s="1">
        <v>7200</v>
      </c>
      <c r="U7" s="1">
        <v>10400</v>
      </c>
      <c r="V7" s="1">
        <v>0</v>
      </c>
      <c r="W7" s="1">
        <v>12000</v>
      </c>
      <c r="X7" s="1">
        <v>17600</v>
      </c>
      <c r="Y7" s="1">
        <v>12000</v>
      </c>
      <c r="Z7" s="1">
        <v>29600</v>
      </c>
      <c r="AA7" s="1">
        <v>8640</v>
      </c>
      <c r="AB7" s="1">
        <v>10400</v>
      </c>
      <c r="AC7" s="1">
        <v>0</v>
      </c>
      <c r="AD7" s="1">
        <v>12000</v>
      </c>
      <c r="AE7" s="1">
        <v>19040</v>
      </c>
      <c r="AF7" s="1">
        <v>12000</v>
      </c>
      <c r="AG7" s="1">
        <v>31040</v>
      </c>
      <c r="AH7" s="1">
        <v>7776</v>
      </c>
      <c r="AI7" s="1">
        <v>10088</v>
      </c>
      <c r="AJ7" s="1">
        <v>0</v>
      </c>
      <c r="AK7" s="1">
        <v>10800</v>
      </c>
      <c r="AL7" s="1">
        <v>17864</v>
      </c>
      <c r="AM7" s="1">
        <v>10800</v>
      </c>
      <c r="AN7" s="1">
        <v>28664</v>
      </c>
      <c r="AO7" s="6" t="s">
        <v>215</v>
      </c>
      <c r="AP7" s="6" t="s">
        <v>215</v>
      </c>
      <c r="AQ7" s="6" t="s">
        <v>215</v>
      </c>
      <c r="AR7" s="6" t="s">
        <v>215</v>
      </c>
      <c r="AS7" s="1">
        <v>17199</v>
      </c>
      <c r="AT7" s="1">
        <v>0</v>
      </c>
      <c r="AU7" s="1">
        <v>17199</v>
      </c>
    </row>
    <row r="8" spans="1:47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64</v>
      </c>
      <c r="L8" s="3" t="s">
        <v>65</v>
      </c>
      <c r="M8" s="3" t="s">
        <v>66</v>
      </c>
      <c r="N8" s="3" t="s">
        <v>59</v>
      </c>
      <c r="O8" s="3" t="s">
        <v>59</v>
      </c>
      <c r="P8" s="3" t="s">
        <v>59</v>
      </c>
      <c r="Q8" s="3" t="s">
        <v>60</v>
      </c>
      <c r="R8" s="3" t="s">
        <v>61</v>
      </c>
      <c r="S8" s="3" t="s">
        <v>63</v>
      </c>
      <c r="T8" s="1">
        <v>27100</v>
      </c>
      <c r="U8" s="1">
        <v>18500</v>
      </c>
      <c r="V8" s="1">
        <v>0</v>
      </c>
      <c r="W8" s="1">
        <v>400</v>
      </c>
      <c r="X8" s="1">
        <v>45600</v>
      </c>
      <c r="Y8" s="1">
        <v>400</v>
      </c>
      <c r="Z8" s="1">
        <v>46000</v>
      </c>
      <c r="AA8" s="1">
        <v>32520</v>
      </c>
      <c r="AB8" s="1">
        <v>18500</v>
      </c>
      <c r="AC8" s="1">
        <v>0</v>
      </c>
      <c r="AD8" s="1">
        <v>400</v>
      </c>
      <c r="AE8" s="1">
        <v>51020</v>
      </c>
      <c r="AF8" s="1">
        <v>400</v>
      </c>
      <c r="AG8" s="1">
        <v>51420</v>
      </c>
      <c r="AH8" s="1">
        <v>29268</v>
      </c>
      <c r="AI8" s="1">
        <v>17945</v>
      </c>
      <c r="AJ8" s="1">
        <v>0</v>
      </c>
      <c r="AK8" s="1">
        <v>360</v>
      </c>
      <c r="AL8" s="1">
        <v>47213</v>
      </c>
      <c r="AM8" s="1">
        <v>360</v>
      </c>
      <c r="AN8" s="1">
        <v>47573</v>
      </c>
      <c r="AO8" s="6" t="s">
        <v>215</v>
      </c>
      <c r="AP8" s="6" t="s">
        <v>215</v>
      </c>
      <c r="AQ8" s="6" t="s">
        <v>215</v>
      </c>
      <c r="AR8" s="6" t="s">
        <v>215</v>
      </c>
      <c r="AS8" s="1">
        <v>28544</v>
      </c>
      <c r="AT8" s="1">
        <v>0</v>
      </c>
      <c r="AU8" s="1">
        <v>28544</v>
      </c>
    </row>
    <row r="9" spans="1:47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54</v>
      </c>
      <c r="J9" s="3" t="s">
        <v>55</v>
      </c>
      <c r="K9" s="3" t="s">
        <v>64</v>
      </c>
      <c r="L9" s="3" t="s">
        <v>65</v>
      </c>
      <c r="M9" s="3" t="s">
        <v>66</v>
      </c>
      <c r="N9" s="3" t="s">
        <v>59</v>
      </c>
      <c r="O9" s="3" t="s">
        <v>59</v>
      </c>
      <c r="P9" s="3" t="s">
        <v>59</v>
      </c>
      <c r="Q9" s="3" t="s">
        <v>60</v>
      </c>
      <c r="R9" s="3" t="s">
        <v>61</v>
      </c>
      <c r="S9" s="3" t="s">
        <v>63</v>
      </c>
      <c r="T9" s="1">
        <v>17600</v>
      </c>
      <c r="U9" s="1">
        <v>25000</v>
      </c>
      <c r="V9" s="1">
        <v>-11300</v>
      </c>
      <c r="W9" s="1">
        <v>0</v>
      </c>
      <c r="X9" s="1">
        <v>31300</v>
      </c>
      <c r="Y9" s="1">
        <v>0</v>
      </c>
      <c r="Z9" s="1">
        <v>31300</v>
      </c>
      <c r="AA9" s="1">
        <v>21120</v>
      </c>
      <c r="AB9" s="1">
        <v>25000</v>
      </c>
      <c r="AC9" s="1">
        <v>-12450</v>
      </c>
      <c r="AD9" s="1">
        <v>0</v>
      </c>
      <c r="AE9" s="1">
        <v>33670</v>
      </c>
      <c r="AF9" s="1">
        <v>0</v>
      </c>
      <c r="AG9" s="1">
        <v>33670</v>
      </c>
      <c r="AH9" s="1">
        <v>19008</v>
      </c>
      <c r="AI9" s="1">
        <v>24250</v>
      </c>
      <c r="AJ9" s="1">
        <v>-8715</v>
      </c>
      <c r="AK9" s="1">
        <v>0</v>
      </c>
      <c r="AL9" s="1">
        <v>34543</v>
      </c>
      <c r="AM9" s="1">
        <v>0</v>
      </c>
      <c r="AN9" s="1">
        <v>34543</v>
      </c>
      <c r="AO9" s="6" t="s">
        <v>215</v>
      </c>
      <c r="AP9" s="6" t="s">
        <v>215</v>
      </c>
      <c r="AQ9" s="6" t="s">
        <v>215</v>
      </c>
      <c r="AR9" s="6" t="s">
        <v>215</v>
      </c>
      <c r="AS9" s="1">
        <v>20726</v>
      </c>
      <c r="AT9" s="1">
        <v>0</v>
      </c>
      <c r="AU9" s="1">
        <v>20726</v>
      </c>
    </row>
    <row r="10" spans="1:47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67</v>
      </c>
      <c r="L10" s="3" t="s">
        <v>68</v>
      </c>
      <c r="M10" s="3" t="s">
        <v>69</v>
      </c>
      <c r="N10" s="3" t="s">
        <v>59</v>
      </c>
      <c r="O10" s="3" t="s">
        <v>59</v>
      </c>
      <c r="P10" s="3" t="s">
        <v>59</v>
      </c>
      <c r="Q10" s="3" t="s">
        <v>60</v>
      </c>
      <c r="R10" s="3" t="s">
        <v>61</v>
      </c>
      <c r="S10" s="3" t="s">
        <v>62</v>
      </c>
      <c r="T10" s="1">
        <v>7000</v>
      </c>
      <c r="U10" s="1">
        <v>0</v>
      </c>
      <c r="V10" s="1">
        <v>0</v>
      </c>
      <c r="W10" s="1">
        <v>11300</v>
      </c>
      <c r="X10" s="1">
        <v>7000</v>
      </c>
      <c r="Y10" s="1">
        <v>11300</v>
      </c>
      <c r="Z10" s="1">
        <v>18300</v>
      </c>
      <c r="AA10" s="1">
        <v>8400</v>
      </c>
      <c r="AB10" s="1">
        <v>0</v>
      </c>
      <c r="AC10" s="1">
        <v>0</v>
      </c>
      <c r="AD10" s="1">
        <v>11300</v>
      </c>
      <c r="AE10" s="1">
        <v>8400</v>
      </c>
      <c r="AF10" s="1">
        <v>11300</v>
      </c>
      <c r="AG10" s="1">
        <v>19700</v>
      </c>
      <c r="AH10" s="1">
        <v>7560</v>
      </c>
      <c r="AI10" s="1">
        <v>0</v>
      </c>
      <c r="AJ10" s="1">
        <v>0</v>
      </c>
      <c r="AK10" s="1">
        <v>10170</v>
      </c>
      <c r="AL10" s="1">
        <v>7560</v>
      </c>
      <c r="AM10" s="1">
        <v>10170</v>
      </c>
      <c r="AN10" s="1">
        <v>17730</v>
      </c>
      <c r="AO10" s="6" t="s">
        <v>215</v>
      </c>
      <c r="AP10" s="6" t="s">
        <v>215</v>
      </c>
      <c r="AQ10" s="6" t="s">
        <v>215</v>
      </c>
      <c r="AR10" s="6" t="s">
        <v>215</v>
      </c>
      <c r="AS10" s="1">
        <v>10638</v>
      </c>
      <c r="AT10" s="1">
        <v>0</v>
      </c>
      <c r="AU10" s="1">
        <v>10638</v>
      </c>
    </row>
    <row r="11" spans="1:47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3" t="s">
        <v>53</v>
      </c>
      <c r="I11" s="3" t="s">
        <v>54</v>
      </c>
      <c r="J11" s="3" t="s">
        <v>55</v>
      </c>
      <c r="K11" s="3" t="s">
        <v>67</v>
      </c>
      <c r="L11" s="3" t="s">
        <v>68</v>
      </c>
      <c r="M11" s="3" t="s">
        <v>69</v>
      </c>
      <c r="N11" s="3" t="s">
        <v>59</v>
      </c>
      <c r="O11" s="3" t="s">
        <v>59</v>
      </c>
      <c r="P11" s="3" t="s">
        <v>59</v>
      </c>
      <c r="Q11" s="3" t="s">
        <v>60</v>
      </c>
      <c r="R11" s="3" t="s">
        <v>61</v>
      </c>
      <c r="S11" s="3" t="s">
        <v>63</v>
      </c>
      <c r="T11" s="1">
        <v>3000</v>
      </c>
      <c r="U11" s="1">
        <v>6400</v>
      </c>
      <c r="V11" s="1">
        <v>0</v>
      </c>
      <c r="W11" s="1">
        <v>2600</v>
      </c>
      <c r="X11" s="1">
        <v>9400</v>
      </c>
      <c r="Y11" s="1">
        <v>2600</v>
      </c>
      <c r="Z11" s="1">
        <v>12000</v>
      </c>
      <c r="AA11" s="1">
        <v>3600</v>
      </c>
      <c r="AB11" s="1">
        <v>6400</v>
      </c>
      <c r="AC11" s="1">
        <v>0</v>
      </c>
      <c r="AD11" s="1">
        <v>2600</v>
      </c>
      <c r="AE11" s="1">
        <v>10000</v>
      </c>
      <c r="AF11" s="1">
        <v>2600</v>
      </c>
      <c r="AG11" s="1">
        <v>12600</v>
      </c>
      <c r="AH11" s="1">
        <v>3240</v>
      </c>
      <c r="AI11" s="1">
        <v>6208</v>
      </c>
      <c r="AJ11" s="1">
        <v>0</v>
      </c>
      <c r="AK11" s="1">
        <v>2340</v>
      </c>
      <c r="AL11" s="1">
        <v>9448</v>
      </c>
      <c r="AM11" s="1">
        <v>2340</v>
      </c>
      <c r="AN11" s="1">
        <v>11788</v>
      </c>
      <c r="AO11" s="6" t="s">
        <v>215</v>
      </c>
      <c r="AP11" s="6" t="s">
        <v>215</v>
      </c>
      <c r="AQ11" s="6" t="s">
        <v>215</v>
      </c>
      <c r="AR11" s="6" t="s">
        <v>215</v>
      </c>
      <c r="AS11" s="1">
        <v>7073</v>
      </c>
      <c r="AT11" s="1">
        <v>0</v>
      </c>
      <c r="AU11" s="1">
        <v>7073</v>
      </c>
    </row>
    <row r="12" spans="1:47" x14ac:dyDescent="0.3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55</v>
      </c>
      <c r="K12" s="3" t="s">
        <v>67</v>
      </c>
      <c r="L12" s="3" t="s">
        <v>68</v>
      </c>
      <c r="M12" s="3" t="s">
        <v>69</v>
      </c>
      <c r="N12" s="3" t="s">
        <v>59</v>
      </c>
      <c r="O12" s="3" t="s">
        <v>59</v>
      </c>
      <c r="P12" s="3" t="s">
        <v>59</v>
      </c>
      <c r="Q12" s="3" t="s">
        <v>60</v>
      </c>
      <c r="R12" s="3" t="s">
        <v>61</v>
      </c>
      <c r="S12" s="3" t="s">
        <v>63</v>
      </c>
      <c r="T12" s="1">
        <v>7600</v>
      </c>
      <c r="U12" s="1">
        <v>0</v>
      </c>
      <c r="V12" s="1">
        <v>0</v>
      </c>
      <c r="W12" s="1">
        <v>0</v>
      </c>
      <c r="X12" s="1">
        <v>7600</v>
      </c>
      <c r="Y12" s="1">
        <v>0</v>
      </c>
      <c r="Z12" s="1">
        <v>7600</v>
      </c>
      <c r="AA12" s="1">
        <v>9120</v>
      </c>
      <c r="AB12" s="1">
        <v>0</v>
      </c>
      <c r="AC12" s="1">
        <v>0</v>
      </c>
      <c r="AD12" s="1">
        <v>0</v>
      </c>
      <c r="AE12" s="1">
        <v>9120</v>
      </c>
      <c r="AF12" s="1">
        <v>0</v>
      </c>
      <c r="AG12" s="1">
        <v>9120</v>
      </c>
      <c r="AH12" s="1">
        <v>8208</v>
      </c>
      <c r="AI12" s="1">
        <v>0</v>
      </c>
      <c r="AJ12" s="1">
        <v>0</v>
      </c>
      <c r="AK12" s="1">
        <v>0</v>
      </c>
      <c r="AL12" s="1">
        <v>8208</v>
      </c>
      <c r="AM12" s="1">
        <v>0</v>
      </c>
      <c r="AN12" s="1">
        <v>8208</v>
      </c>
      <c r="AO12" s="6" t="s">
        <v>215</v>
      </c>
      <c r="AP12" s="6" t="s">
        <v>215</v>
      </c>
      <c r="AQ12" s="6" t="s">
        <v>215</v>
      </c>
      <c r="AR12" s="6" t="s">
        <v>215</v>
      </c>
      <c r="AS12" s="1">
        <v>4925</v>
      </c>
      <c r="AT12" s="1">
        <v>0</v>
      </c>
      <c r="AU12" s="1">
        <v>4925</v>
      </c>
    </row>
    <row r="13" spans="1:47" x14ac:dyDescent="0.3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  <c r="H13" s="3" t="s">
        <v>53</v>
      </c>
      <c r="I13" s="3" t="s">
        <v>54</v>
      </c>
      <c r="J13" s="3" t="s">
        <v>55</v>
      </c>
      <c r="K13" s="3" t="s">
        <v>67</v>
      </c>
      <c r="L13" s="3" t="s">
        <v>68</v>
      </c>
      <c r="M13" s="3" t="s">
        <v>69</v>
      </c>
      <c r="N13" s="3" t="s">
        <v>59</v>
      </c>
      <c r="O13" s="3" t="s">
        <v>59</v>
      </c>
      <c r="P13" s="3" t="s">
        <v>59</v>
      </c>
      <c r="Q13" s="3" t="s">
        <v>60</v>
      </c>
      <c r="R13" s="3" t="s">
        <v>61</v>
      </c>
      <c r="S13" s="3" t="s">
        <v>63</v>
      </c>
      <c r="T13" s="1">
        <v>0</v>
      </c>
      <c r="U13" s="1">
        <v>-6200</v>
      </c>
      <c r="V13" s="1">
        <v>0</v>
      </c>
      <c r="W13" s="1">
        <v>0</v>
      </c>
      <c r="X13" s="1">
        <v>-6200</v>
      </c>
      <c r="Y13" s="1">
        <v>0</v>
      </c>
      <c r="Z13" s="1">
        <v>-6200</v>
      </c>
      <c r="AA13" s="1">
        <v>0</v>
      </c>
      <c r="AB13" s="1">
        <v>-6200</v>
      </c>
      <c r="AC13" s="1">
        <v>0</v>
      </c>
      <c r="AD13" s="1">
        <v>0</v>
      </c>
      <c r="AE13" s="1">
        <v>-6200</v>
      </c>
      <c r="AF13" s="1">
        <v>0</v>
      </c>
      <c r="AG13" s="1">
        <v>-6200</v>
      </c>
      <c r="AH13" s="1">
        <v>0</v>
      </c>
      <c r="AI13" s="1">
        <v>-6014</v>
      </c>
      <c r="AJ13" s="1">
        <v>0</v>
      </c>
      <c r="AK13" s="1">
        <v>0</v>
      </c>
      <c r="AL13" s="1">
        <v>-6014</v>
      </c>
      <c r="AM13" s="1">
        <v>0</v>
      </c>
      <c r="AN13" s="1">
        <v>-6014</v>
      </c>
      <c r="AO13" s="6" t="s">
        <v>215</v>
      </c>
      <c r="AP13" s="6" t="s">
        <v>215</v>
      </c>
      <c r="AQ13" s="6" t="s">
        <v>215</v>
      </c>
      <c r="AR13" s="6" t="s">
        <v>215</v>
      </c>
      <c r="AS13" s="1">
        <v>-3608</v>
      </c>
      <c r="AT13" s="1">
        <v>0</v>
      </c>
      <c r="AU13" s="1">
        <v>-3608</v>
      </c>
    </row>
    <row r="14" spans="1:47" x14ac:dyDescent="0.3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52</v>
      </c>
      <c r="H14" s="3" t="s">
        <v>53</v>
      </c>
      <c r="I14" s="3" t="s">
        <v>54</v>
      </c>
      <c r="J14" s="3" t="s">
        <v>55</v>
      </c>
      <c r="K14" s="3" t="s">
        <v>224</v>
      </c>
      <c r="L14" s="3" t="s">
        <v>225</v>
      </c>
      <c r="M14" s="3" t="s">
        <v>226</v>
      </c>
      <c r="N14" s="3" t="s">
        <v>59</v>
      </c>
      <c r="O14" s="3" t="s">
        <v>59</v>
      </c>
      <c r="P14" s="3" t="s">
        <v>59</v>
      </c>
      <c r="Q14" s="3" t="s">
        <v>60</v>
      </c>
      <c r="R14" s="3" t="s">
        <v>61</v>
      </c>
      <c r="S14" s="3" t="s">
        <v>62</v>
      </c>
      <c r="T14" s="1">
        <v>105600</v>
      </c>
      <c r="U14" s="1">
        <v>0</v>
      </c>
      <c r="V14" s="1">
        <v>0</v>
      </c>
      <c r="W14" s="1">
        <v>0</v>
      </c>
      <c r="X14" s="1">
        <v>105600</v>
      </c>
      <c r="Y14" s="1">
        <v>0</v>
      </c>
      <c r="Z14" s="1">
        <v>105600</v>
      </c>
      <c r="AA14" s="1">
        <v>126720</v>
      </c>
      <c r="AB14" s="1">
        <v>0</v>
      </c>
      <c r="AC14" s="1">
        <v>0</v>
      </c>
      <c r="AD14" s="1">
        <v>0</v>
      </c>
      <c r="AE14" s="1">
        <v>126720</v>
      </c>
      <c r="AF14" s="1">
        <v>0</v>
      </c>
      <c r="AG14" s="1">
        <v>126720</v>
      </c>
      <c r="AH14" s="1">
        <v>114048</v>
      </c>
      <c r="AI14" s="1">
        <v>0</v>
      </c>
      <c r="AJ14" s="1">
        <v>0</v>
      </c>
      <c r="AK14" s="1">
        <v>0</v>
      </c>
      <c r="AL14" s="1">
        <v>114048</v>
      </c>
      <c r="AM14" s="1">
        <v>0</v>
      </c>
      <c r="AN14" s="1">
        <v>114048</v>
      </c>
      <c r="AO14" s="6" t="s">
        <v>215</v>
      </c>
      <c r="AP14" s="6" t="s">
        <v>215</v>
      </c>
      <c r="AQ14" s="6" t="s">
        <v>215</v>
      </c>
      <c r="AR14" s="6" t="s">
        <v>215</v>
      </c>
      <c r="AS14" s="1">
        <v>68429</v>
      </c>
      <c r="AT14" s="1">
        <v>0</v>
      </c>
      <c r="AU14" s="1">
        <v>68429</v>
      </c>
    </row>
    <row r="15" spans="1:47" x14ac:dyDescent="0.3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72</v>
      </c>
      <c r="H15" s="3" t="s">
        <v>73</v>
      </c>
      <c r="I15" s="3" t="s">
        <v>54</v>
      </c>
      <c r="J15" s="3" t="s">
        <v>55</v>
      </c>
      <c r="K15" s="3" t="s">
        <v>74</v>
      </c>
      <c r="L15" s="3" t="s">
        <v>75</v>
      </c>
      <c r="M15" s="3" t="s">
        <v>76</v>
      </c>
      <c r="N15" s="3" t="s">
        <v>59</v>
      </c>
      <c r="O15" s="3" t="s">
        <v>59</v>
      </c>
      <c r="P15" s="3" t="s">
        <v>59</v>
      </c>
      <c r="Q15" s="3" t="s">
        <v>77</v>
      </c>
      <c r="R15" s="3" t="s">
        <v>61</v>
      </c>
      <c r="S15" s="3" t="s">
        <v>62</v>
      </c>
      <c r="T15" s="1">
        <v>550</v>
      </c>
      <c r="U15" s="1">
        <v>2690</v>
      </c>
      <c r="V15" s="1">
        <v>300</v>
      </c>
      <c r="W15" s="1">
        <v>53160</v>
      </c>
      <c r="X15" s="1">
        <v>3540</v>
      </c>
      <c r="Y15" s="1">
        <v>53160</v>
      </c>
      <c r="Z15" s="1">
        <v>56700</v>
      </c>
      <c r="AA15" s="1">
        <v>660</v>
      </c>
      <c r="AB15" s="1">
        <v>2690</v>
      </c>
      <c r="AC15" s="1">
        <v>330</v>
      </c>
      <c r="AD15" s="1">
        <v>53160</v>
      </c>
      <c r="AE15" s="1">
        <v>3680</v>
      </c>
      <c r="AF15" s="1">
        <v>53160</v>
      </c>
      <c r="AG15" s="1">
        <v>56840</v>
      </c>
      <c r="AH15" s="1">
        <v>594</v>
      </c>
      <c r="AI15" s="1">
        <v>2609.3000000000002</v>
      </c>
      <c r="AJ15" s="1">
        <v>231</v>
      </c>
      <c r="AK15" s="1">
        <v>47844</v>
      </c>
      <c r="AL15" s="1">
        <v>3434.3</v>
      </c>
      <c r="AM15" s="1">
        <v>47844</v>
      </c>
      <c r="AN15" s="1">
        <v>51278.3</v>
      </c>
      <c r="AO15" s="6" t="s">
        <v>215</v>
      </c>
      <c r="AP15" s="6" t="s">
        <v>215</v>
      </c>
      <c r="AQ15" s="6" t="s">
        <v>215</v>
      </c>
      <c r="AR15" s="6" t="s">
        <v>215</v>
      </c>
      <c r="AS15" s="1">
        <v>30767</v>
      </c>
      <c r="AT15" s="1">
        <v>0</v>
      </c>
      <c r="AU15" s="1">
        <v>30767</v>
      </c>
    </row>
    <row r="16" spans="1:47" x14ac:dyDescent="0.3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72</v>
      </c>
      <c r="H16" s="3" t="s">
        <v>73</v>
      </c>
      <c r="I16" s="3" t="s">
        <v>54</v>
      </c>
      <c r="J16" s="3" t="s">
        <v>55</v>
      </c>
      <c r="K16" s="3" t="s">
        <v>74</v>
      </c>
      <c r="L16" s="3" t="s">
        <v>75</v>
      </c>
      <c r="M16" s="3" t="s">
        <v>76</v>
      </c>
      <c r="N16" s="3" t="s">
        <v>59</v>
      </c>
      <c r="O16" s="3" t="s">
        <v>59</v>
      </c>
      <c r="P16" s="3" t="s">
        <v>59</v>
      </c>
      <c r="Q16" s="3" t="s">
        <v>77</v>
      </c>
      <c r="R16" s="3" t="s">
        <v>61</v>
      </c>
      <c r="S16" s="3" t="s">
        <v>63</v>
      </c>
      <c r="T16" s="1">
        <v>30000</v>
      </c>
      <c r="U16" s="1">
        <v>50700</v>
      </c>
      <c r="V16" s="1">
        <v>2400</v>
      </c>
      <c r="W16" s="1">
        <v>28500</v>
      </c>
      <c r="X16" s="1">
        <v>83100</v>
      </c>
      <c r="Y16" s="1">
        <v>28500</v>
      </c>
      <c r="Z16" s="1">
        <v>111600</v>
      </c>
      <c r="AA16" s="1">
        <v>36000</v>
      </c>
      <c r="AB16" s="1">
        <v>50700</v>
      </c>
      <c r="AC16" s="1">
        <v>2700</v>
      </c>
      <c r="AD16" s="1">
        <v>28500</v>
      </c>
      <c r="AE16" s="1">
        <v>89400</v>
      </c>
      <c r="AF16" s="1">
        <v>28500</v>
      </c>
      <c r="AG16" s="1">
        <v>117900</v>
      </c>
      <c r="AH16" s="1">
        <v>32400</v>
      </c>
      <c r="AI16" s="1">
        <v>49179</v>
      </c>
      <c r="AJ16" s="1">
        <v>1890</v>
      </c>
      <c r="AK16" s="1">
        <v>25650</v>
      </c>
      <c r="AL16" s="1">
        <v>83469</v>
      </c>
      <c r="AM16" s="1">
        <v>25650</v>
      </c>
      <c r="AN16" s="1">
        <v>109119</v>
      </c>
      <c r="AO16" s="6" t="s">
        <v>215</v>
      </c>
      <c r="AP16" s="6" t="s">
        <v>215</v>
      </c>
      <c r="AQ16" s="6" t="s">
        <v>215</v>
      </c>
      <c r="AR16" s="6" t="s">
        <v>215</v>
      </c>
      <c r="AS16" s="1">
        <v>65471</v>
      </c>
      <c r="AT16" s="1">
        <v>0</v>
      </c>
      <c r="AU16" s="1">
        <v>65471</v>
      </c>
    </row>
    <row r="17" spans="1:47" x14ac:dyDescent="0.3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72</v>
      </c>
      <c r="H17" s="3" t="s">
        <v>73</v>
      </c>
      <c r="I17" s="3" t="s">
        <v>54</v>
      </c>
      <c r="J17" s="3" t="s">
        <v>55</v>
      </c>
      <c r="K17" s="3" t="s">
        <v>74</v>
      </c>
      <c r="L17" s="3" t="s">
        <v>75</v>
      </c>
      <c r="M17" s="3" t="s">
        <v>76</v>
      </c>
      <c r="N17" s="3" t="s">
        <v>59</v>
      </c>
      <c r="O17" s="3" t="s">
        <v>59</v>
      </c>
      <c r="P17" s="3" t="s">
        <v>59</v>
      </c>
      <c r="Q17" s="3" t="s">
        <v>77</v>
      </c>
      <c r="R17" s="3" t="s">
        <v>61</v>
      </c>
      <c r="S17" s="3" t="s">
        <v>63</v>
      </c>
      <c r="T17" s="1">
        <v>0</v>
      </c>
      <c r="U17" s="1">
        <v>18000</v>
      </c>
      <c r="V17" s="1">
        <v>0</v>
      </c>
      <c r="W17" s="1">
        <v>0</v>
      </c>
      <c r="X17" s="1">
        <v>18000</v>
      </c>
      <c r="Y17" s="1">
        <v>0</v>
      </c>
      <c r="Z17" s="1">
        <v>18000</v>
      </c>
      <c r="AA17" s="1">
        <v>0</v>
      </c>
      <c r="AB17" s="1">
        <v>18000</v>
      </c>
      <c r="AC17" s="1">
        <v>0</v>
      </c>
      <c r="AD17" s="1">
        <v>0</v>
      </c>
      <c r="AE17" s="1">
        <v>18000</v>
      </c>
      <c r="AF17" s="1">
        <v>0</v>
      </c>
      <c r="AG17" s="1">
        <v>18000</v>
      </c>
      <c r="AH17" s="1">
        <v>0</v>
      </c>
      <c r="AI17" s="1">
        <v>17460</v>
      </c>
      <c r="AJ17" s="1">
        <v>0</v>
      </c>
      <c r="AK17" s="1">
        <v>0</v>
      </c>
      <c r="AL17" s="1">
        <v>17460</v>
      </c>
      <c r="AM17" s="1">
        <v>0</v>
      </c>
      <c r="AN17" s="1">
        <v>17460</v>
      </c>
      <c r="AO17" s="6" t="s">
        <v>215</v>
      </c>
      <c r="AP17" s="6" t="s">
        <v>215</v>
      </c>
      <c r="AQ17" s="6" t="s">
        <v>215</v>
      </c>
      <c r="AR17" s="6" t="s">
        <v>215</v>
      </c>
      <c r="AS17" s="1">
        <v>10476</v>
      </c>
      <c r="AT17" s="1">
        <v>0</v>
      </c>
      <c r="AU17" s="1">
        <v>10476</v>
      </c>
    </row>
    <row r="18" spans="1:47" x14ac:dyDescent="0.3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72</v>
      </c>
      <c r="H18" s="3" t="s">
        <v>73</v>
      </c>
      <c r="I18" s="3" t="s">
        <v>54</v>
      </c>
      <c r="J18" s="3" t="s">
        <v>55</v>
      </c>
      <c r="K18" s="3" t="s">
        <v>78</v>
      </c>
      <c r="L18" s="3" t="s">
        <v>79</v>
      </c>
      <c r="M18" s="3" t="s">
        <v>80</v>
      </c>
      <c r="N18" s="3" t="s">
        <v>59</v>
      </c>
      <c r="O18" s="3" t="s">
        <v>59</v>
      </c>
      <c r="P18" s="3" t="s">
        <v>59</v>
      </c>
      <c r="Q18" s="3" t="s">
        <v>77</v>
      </c>
      <c r="R18" s="3" t="s">
        <v>61</v>
      </c>
      <c r="S18" s="3" t="s">
        <v>62</v>
      </c>
      <c r="T18" s="1">
        <v>500</v>
      </c>
      <c r="U18" s="1">
        <v>1500</v>
      </c>
      <c r="V18" s="1">
        <v>0</v>
      </c>
      <c r="W18" s="1">
        <v>14800</v>
      </c>
      <c r="X18" s="1">
        <v>2000</v>
      </c>
      <c r="Y18" s="1">
        <v>14800</v>
      </c>
      <c r="Z18" s="1">
        <v>16800</v>
      </c>
      <c r="AA18" s="1">
        <v>600</v>
      </c>
      <c r="AB18" s="1">
        <v>1500</v>
      </c>
      <c r="AC18" s="1">
        <v>0</v>
      </c>
      <c r="AD18" s="1">
        <v>14800</v>
      </c>
      <c r="AE18" s="1">
        <v>2100</v>
      </c>
      <c r="AF18" s="1">
        <v>14800</v>
      </c>
      <c r="AG18" s="1">
        <v>16900</v>
      </c>
      <c r="AH18" s="1">
        <v>540</v>
      </c>
      <c r="AI18" s="1">
        <v>1455</v>
      </c>
      <c r="AJ18" s="1">
        <v>0</v>
      </c>
      <c r="AK18" s="1">
        <v>13320</v>
      </c>
      <c r="AL18" s="1">
        <v>1995</v>
      </c>
      <c r="AM18" s="1">
        <v>13320</v>
      </c>
      <c r="AN18" s="1">
        <v>15315</v>
      </c>
      <c r="AO18" s="6" t="s">
        <v>215</v>
      </c>
      <c r="AP18" s="6" t="s">
        <v>215</v>
      </c>
      <c r="AQ18" s="6" t="s">
        <v>215</v>
      </c>
      <c r="AR18" s="6" t="s">
        <v>215</v>
      </c>
      <c r="AS18" s="1">
        <v>9189</v>
      </c>
      <c r="AT18" s="1">
        <v>0</v>
      </c>
      <c r="AU18" s="1">
        <v>9189</v>
      </c>
    </row>
    <row r="19" spans="1:47" x14ac:dyDescent="0.3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72</v>
      </c>
      <c r="H19" s="3" t="s">
        <v>73</v>
      </c>
      <c r="I19" s="3" t="s">
        <v>54</v>
      </c>
      <c r="J19" s="3" t="s">
        <v>55</v>
      </c>
      <c r="K19" s="3" t="s">
        <v>78</v>
      </c>
      <c r="L19" s="3" t="s">
        <v>79</v>
      </c>
      <c r="M19" s="3" t="s">
        <v>80</v>
      </c>
      <c r="N19" s="3" t="s">
        <v>59</v>
      </c>
      <c r="O19" s="3" t="s">
        <v>59</v>
      </c>
      <c r="P19" s="3" t="s">
        <v>59</v>
      </c>
      <c r="Q19" s="3" t="s">
        <v>77</v>
      </c>
      <c r="R19" s="3" t="s">
        <v>61</v>
      </c>
      <c r="S19" s="3" t="s">
        <v>63</v>
      </c>
      <c r="T19" s="1">
        <v>1800</v>
      </c>
      <c r="U19" s="1">
        <v>7200</v>
      </c>
      <c r="V19" s="1">
        <v>0</v>
      </c>
      <c r="W19" s="1">
        <v>16200</v>
      </c>
      <c r="X19" s="1">
        <v>9000</v>
      </c>
      <c r="Y19" s="1">
        <v>16200</v>
      </c>
      <c r="Z19" s="1">
        <v>25200</v>
      </c>
      <c r="AA19" s="1">
        <v>2160</v>
      </c>
      <c r="AB19" s="1">
        <v>7200</v>
      </c>
      <c r="AC19" s="1">
        <v>0</v>
      </c>
      <c r="AD19" s="1">
        <v>16200</v>
      </c>
      <c r="AE19" s="1">
        <v>9360</v>
      </c>
      <c r="AF19" s="1">
        <v>16200</v>
      </c>
      <c r="AG19" s="1">
        <v>25560</v>
      </c>
      <c r="AH19" s="1">
        <v>1944</v>
      </c>
      <c r="AI19" s="1">
        <v>6984</v>
      </c>
      <c r="AJ19" s="1">
        <v>0</v>
      </c>
      <c r="AK19" s="1">
        <v>14580</v>
      </c>
      <c r="AL19" s="1">
        <v>8928</v>
      </c>
      <c r="AM19" s="1">
        <v>14580</v>
      </c>
      <c r="AN19" s="1">
        <v>23508</v>
      </c>
      <c r="AO19" s="6" t="s">
        <v>215</v>
      </c>
      <c r="AP19" s="6" t="s">
        <v>215</v>
      </c>
      <c r="AQ19" s="6" t="s">
        <v>215</v>
      </c>
      <c r="AR19" s="6" t="s">
        <v>215</v>
      </c>
      <c r="AS19" s="1">
        <v>14104</v>
      </c>
      <c r="AT19" s="1">
        <v>0</v>
      </c>
      <c r="AU19" s="1">
        <v>14104</v>
      </c>
    </row>
    <row r="20" spans="1:47" x14ac:dyDescent="0.3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72</v>
      </c>
      <c r="H20" s="3" t="s">
        <v>73</v>
      </c>
      <c r="I20" s="3" t="s">
        <v>54</v>
      </c>
      <c r="J20" s="3" t="s">
        <v>55</v>
      </c>
      <c r="K20" s="3" t="s">
        <v>78</v>
      </c>
      <c r="L20" s="3" t="s">
        <v>79</v>
      </c>
      <c r="M20" s="3" t="s">
        <v>80</v>
      </c>
      <c r="N20" s="3" t="s">
        <v>59</v>
      </c>
      <c r="O20" s="3" t="s">
        <v>59</v>
      </c>
      <c r="P20" s="3" t="s">
        <v>59</v>
      </c>
      <c r="Q20" s="3" t="s">
        <v>77</v>
      </c>
      <c r="R20" s="3" t="s">
        <v>61</v>
      </c>
      <c r="S20" s="3" t="s">
        <v>63</v>
      </c>
      <c r="T20" s="1">
        <v>35500</v>
      </c>
      <c r="U20" s="1">
        <v>26000</v>
      </c>
      <c r="V20" s="1">
        <v>0</v>
      </c>
      <c r="W20" s="1">
        <v>1500</v>
      </c>
      <c r="X20" s="1">
        <v>61500</v>
      </c>
      <c r="Y20" s="1">
        <v>1500</v>
      </c>
      <c r="Z20" s="1">
        <v>63000</v>
      </c>
      <c r="AA20" s="1">
        <v>42600</v>
      </c>
      <c r="AB20" s="1">
        <v>26000</v>
      </c>
      <c r="AC20" s="1">
        <v>0</v>
      </c>
      <c r="AD20" s="1">
        <v>1500</v>
      </c>
      <c r="AE20" s="1">
        <v>68600</v>
      </c>
      <c r="AF20" s="1">
        <v>1500</v>
      </c>
      <c r="AG20" s="1">
        <v>70100</v>
      </c>
      <c r="AH20" s="1">
        <v>38340</v>
      </c>
      <c r="AI20" s="1">
        <v>25220</v>
      </c>
      <c r="AJ20" s="1">
        <v>0</v>
      </c>
      <c r="AK20" s="1">
        <v>1350</v>
      </c>
      <c r="AL20" s="1">
        <v>63560</v>
      </c>
      <c r="AM20" s="1">
        <v>1350</v>
      </c>
      <c r="AN20" s="1">
        <v>64910</v>
      </c>
      <c r="AO20" s="6" t="s">
        <v>215</v>
      </c>
      <c r="AP20" s="6" t="s">
        <v>215</v>
      </c>
      <c r="AQ20" s="6" t="s">
        <v>215</v>
      </c>
      <c r="AR20" s="6" t="s">
        <v>215</v>
      </c>
      <c r="AS20" s="1">
        <v>38946</v>
      </c>
      <c r="AT20" s="1">
        <v>0</v>
      </c>
      <c r="AU20" s="1">
        <v>38946</v>
      </c>
    </row>
    <row r="21" spans="1:47" x14ac:dyDescent="0.3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72</v>
      </c>
      <c r="H21" s="3" t="s">
        <v>73</v>
      </c>
      <c r="I21" s="3" t="s">
        <v>54</v>
      </c>
      <c r="J21" s="3" t="s">
        <v>55</v>
      </c>
      <c r="K21" s="3" t="s">
        <v>216</v>
      </c>
      <c r="L21" s="3" t="s">
        <v>227</v>
      </c>
      <c r="M21" s="3" t="s">
        <v>217</v>
      </c>
      <c r="N21" s="3" t="s">
        <v>59</v>
      </c>
      <c r="O21" s="3" t="s">
        <v>59</v>
      </c>
      <c r="P21" s="3" t="s">
        <v>59</v>
      </c>
      <c r="Q21" s="3" t="s">
        <v>77</v>
      </c>
      <c r="R21" s="3" t="s">
        <v>61</v>
      </c>
      <c r="S21" s="3" t="s">
        <v>62</v>
      </c>
      <c r="T21" s="1">
        <v>400</v>
      </c>
      <c r="U21" s="1">
        <v>100</v>
      </c>
      <c r="V21" s="1">
        <v>0</v>
      </c>
      <c r="W21" s="1">
        <v>0</v>
      </c>
      <c r="X21" s="1">
        <v>500</v>
      </c>
      <c r="Y21" s="1">
        <v>0</v>
      </c>
      <c r="Z21" s="1">
        <v>500</v>
      </c>
      <c r="AA21" s="1">
        <v>480</v>
      </c>
      <c r="AB21" s="1">
        <v>100</v>
      </c>
      <c r="AC21" s="1">
        <v>0</v>
      </c>
      <c r="AD21" s="1">
        <v>0</v>
      </c>
      <c r="AE21" s="1">
        <v>580</v>
      </c>
      <c r="AF21" s="1">
        <v>0</v>
      </c>
      <c r="AG21" s="1">
        <v>580</v>
      </c>
      <c r="AH21" s="1">
        <v>432</v>
      </c>
      <c r="AI21" s="1">
        <v>97</v>
      </c>
      <c r="AJ21" s="1">
        <v>0</v>
      </c>
      <c r="AK21" s="1">
        <v>0</v>
      </c>
      <c r="AL21" s="1">
        <v>529</v>
      </c>
      <c r="AM21" s="1">
        <v>0</v>
      </c>
      <c r="AN21" s="1">
        <v>529</v>
      </c>
      <c r="AO21" s="6" t="s">
        <v>215</v>
      </c>
      <c r="AP21" s="6" t="s">
        <v>215</v>
      </c>
      <c r="AQ21" s="6" t="s">
        <v>215</v>
      </c>
      <c r="AR21" s="6" t="s">
        <v>215</v>
      </c>
      <c r="AS21" s="1">
        <v>317</v>
      </c>
      <c r="AT21" s="1">
        <v>0</v>
      </c>
      <c r="AU21" s="1">
        <v>317</v>
      </c>
    </row>
    <row r="22" spans="1:47" x14ac:dyDescent="0.3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72</v>
      </c>
      <c r="H22" s="3" t="s">
        <v>73</v>
      </c>
      <c r="I22" s="3" t="s">
        <v>54</v>
      </c>
      <c r="J22" s="3" t="s">
        <v>55</v>
      </c>
      <c r="K22" s="3" t="s">
        <v>216</v>
      </c>
      <c r="L22" s="3" t="s">
        <v>227</v>
      </c>
      <c r="M22" s="3" t="s">
        <v>217</v>
      </c>
      <c r="N22" s="3" t="s">
        <v>59</v>
      </c>
      <c r="O22" s="3" t="s">
        <v>59</v>
      </c>
      <c r="P22" s="3" t="s">
        <v>59</v>
      </c>
      <c r="Q22" s="3" t="s">
        <v>77</v>
      </c>
      <c r="R22" s="3" t="s">
        <v>61</v>
      </c>
      <c r="S22" s="3" t="s">
        <v>63</v>
      </c>
      <c r="T22" s="1">
        <v>0</v>
      </c>
      <c r="U22" s="1">
        <v>11000</v>
      </c>
      <c r="V22" s="1">
        <v>0</v>
      </c>
      <c r="W22" s="1">
        <v>500</v>
      </c>
      <c r="X22" s="1">
        <v>11000</v>
      </c>
      <c r="Y22" s="1">
        <v>500</v>
      </c>
      <c r="Z22" s="1">
        <v>11500</v>
      </c>
      <c r="AA22" s="1">
        <v>0</v>
      </c>
      <c r="AB22" s="1">
        <v>11000</v>
      </c>
      <c r="AC22" s="1">
        <v>0</v>
      </c>
      <c r="AD22" s="1">
        <v>500</v>
      </c>
      <c r="AE22" s="1">
        <v>11000</v>
      </c>
      <c r="AF22" s="1">
        <v>500</v>
      </c>
      <c r="AG22" s="1">
        <v>11500</v>
      </c>
      <c r="AH22" s="1">
        <v>0</v>
      </c>
      <c r="AI22" s="1">
        <v>10670</v>
      </c>
      <c r="AJ22" s="1">
        <v>0</v>
      </c>
      <c r="AK22" s="1">
        <v>450</v>
      </c>
      <c r="AL22" s="1">
        <v>10670</v>
      </c>
      <c r="AM22" s="1">
        <v>450</v>
      </c>
      <c r="AN22" s="1">
        <v>11120</v>
      </c>
      <c r="AO22" s="6" t="s">
        <v>215</v>
      </c>
      <c r="AP22" s="6" t="s">
        <v>215</v>
      </c>
      <c r="AQ22" s="6" t="s">
        <v>215</v>
      </c>
      <c r="AR22" s="6" t="s">
        <v>215</v>
      </c>
      <c r="AS22" s="1">
        <v>6672</v>
      </c>
      <c r="AT22" s="1">
        <v>0</v>
      </c>
      <c r="AU22" s="1">
        <v>6672</v>
      </c>
    </row>
    <row r="23" spans="1:47" x14ac:dyDescent="0.3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72</v>
      </c>
      <c r="H23" s="3" t="s">
        <v>73</v>
      </c>
      <c r="I23" s="3" t="s">
        <v>54</v>
      </c>
      <c r="J23" s="3" t="s">
        <v>55</v>
      </c>
      <c r="K23" s="3" t="s">
        <v>81</v>
      </c>
      <c r="L23" s="3" t="s">
        <v>82</v>
      </c>
      <c r="M23" s="3" t="s">
        <v>83</v>
      </c>
      <c r="N23" s="3" t="s">
        <v>59</v>
      </c>
      <c r="O23" s="3" t="s">
        <v>59</v>
      </c>
      <c r="P23" s="3" t="s">
        <v>59</v>
      </c>
      <c r="Q23" s="3" t="s">
        <v>77</v>
      </c>
      <c r="R23" s="3" t="s">
        <v>61</v>
      </c>
      <c r="S23" s="3" t="s">
        <v>62</v>
      </c>
      <c r="T23" s="1">
        <v>7780</v>
      </c>
      <c r="U23" s="1">
        <v>6000</v>
      </c>
      <c r="V23" s="1">
        <v>1500</v>
      </c>
      <c r="W23" s="1">
        <v>74520</v>
      </c>
      <c r="X23" s="1">
        <v>15280</v>
      </c>
      <c r="Y23" s="1">
        <v>74520</v>
      </c>
      <c r="Z23" s="1">
        <v>89800</v>
      </c>
      <c r="AA23" s="1">
        <v>9336</v>
      </c>
      <c r="AB23" s="1">
        <v>6000</v>
      </c>
      <c r="AC23" s="1">
        <v>1800</v>
      </c>
      <c r="AD23" s="1">
        <v>74520</v>
      </c>
      <c r="AE23" s="1">
        <v>17136</v>
      </c>
      <c r="AF23" s="1">
        <v>74520</v>
      </c>
      <c r="AG23" s="1">
        <v>91656</v>
      </c>
      <c r="AH23" s="1">
        <v>8402.4</v>
      </c>
      <c r="AI23" s="1">
        <v>5820</v>
      </c>
      <c r="AJ23" s="1">
        <v>1260</v>
      </c>
      <c r="AK23" s="1">
        <v>67068</v>
      </c>
      <c r="AL23" s="1">
        <v>15482.4</v>
      </c>
      <c r="AM23" s="1">
        <v>67068</v>
      </c>
      <c r="AN23" s="1">
        <v>82550.399999999994</v>
      </c>
      <c r="AO23" s="6" t="s">
        <v>215</v>
      </c>
      <c r="AP23" s="6" t="s">
        <v>215</v>
      </c>
      <c r="AQ23" s="6" t="s">
        <v>215</v>
      </c>
      <c r="AR23" s="6" t="s">
        <v>215</v>
      </c>
      <c r="AS23" s="1">
        <v>49530</v>
      </c>
      <c r="AT23" s="1">
        <v>0</v>
      </c>
      <c r="AU23" s="1">
        <v>49530</v>
      </c>
    </row>
    <row r="24" spans="1:47" x14ac:dyDescent="0.3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72</v>
      </c>
      <c r="H24" s="3" t="s">
        <v>73</v>
      </c>
      <c r="I24" s="3" t="s">
        <v>54</v>
      </c>
      <c r="J24" s="3" t="s">
        <v>55</v>
      </c>
      <c r="K24" s="3" t="s">
        <v>81</v>
      </c>
      <c r="L24" s="3" t="s">
        <v>82</v>
      </c>
      <c r="M24" s="3" t="s">
        <v>83</v>
      </c>
      <c r="N24" s="3" t="s">
        <v>59</v>
      </c>
      <c r="O24" s="3" t="s">
        <v>59</v>
      </c>
      <c r="P24" s="3" t="s">
        <v>59</v>
      </c>
      <c r="Q24" s="3" t="s">
        <v>77</v>
      </c>
      <c r="R24" s="3" t="s">
        <v>61</v>
      </c>
      <c r="S24" s="3" t="s">
        <v>63</v>
      </c>
      <c r="T24" s="1">
        <v>24900</v>
      </c>
      <c r="U24" s="1">
        <v>38900</v>
      </c>
      <c r="V24" s="1">
        <v>1800</v>
      </c>
      <c r="W24" s="1">
        <v>77300</v>
      </c>
      <c r="X24" s="1">
        <v>65600</v>
      </c>
      <c r="Y24" s="1">
        <v>77300</v>
      </c>
      <c r="Z24" s="1">
        <v>142900</v>
      </c>
      <c r="AA24" s="1">
        <v>29880</v>
      </c>
      <c r="AB24" s="1">
        <v>38900</v>
      </c>
      <c r="AC24" s="1">
        <v>2160</v>
      </c>
      <c r="AD24" s="1">
        <v>77300</v>
      </c>
      <c r="AE24" s="1">
        <v>70940</v>
      </c>
      <c r="AF24" s="1">
        <v>77300</v>
      </c>
      <c r="AG24" s="1">
        <v>148240</v>
      </c>
      <c r="AH24" s="1">
        <v>26892</v>
      </c>
      <c r="AI24" s="1">
        <v>37733</v>
      </c>
      <c r="AJ24" s="1">
        <v>1512</v>
      </c>
      <c r="AK24" s="1">
        <v>69570</v>
      </c>
      <c r="AL24" s="1">
        <v>66137</v>
      </c>
      <c r="AM24" s="1">
        <v>69570</v>
      </c>
      <c r="AN24" s="1">
        <v>135707</v>
      </c>
      <c r="AO24" s="6" t="s">
        <v>215</v>
      </c>
      <c r="AP24" s="6" t="s">
        <v>215</v>
      </c>
      <c r="AQ24" s="6" t="s">
        <v>215</v>
      </c>
      <c r="AR24" s="6" t="s">
        <v>215</v>
      </c>
      <c r="AS24" s="1">
        <v>81424</v>
      </c>
      <c r="AT24" s="1">
        <v>0</v>
      </c>
      <c r="AU24" s="1">
        <v>81424</v>
      </c>
    </row>
    <row r="25" spans="1:47" x14ac:dyDescent="0.3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72</v>
      </c>
      <c r="H25" s="3" t="s">
        <v>73</v>
      </c>
      <c r="I25" s="3" t="s">
        <v>54</v>
      </c>
      <c r="J25" s="3" t="s">
        <v>55</v>
      </c>
      <c r="K25" s="3" t="s">
        <v>81</v>
      </c>
      <c r="L25" s="3" t="s">
        <v>82</v>
      </c>
      <c r="M25" s="3" t="s">
        <v>83</v>
      </c>
      <c r="N25" s="3" t="s">
        <v>59</v>
      </c>
      <c r="O25" s="3" t="s">
        <v>59</v>
      </c>
      <c r="P25" s="3" t="s">
        <v>59</v>
      </c>
      <c r="Q25" s="3" t="s">
        <v>77</v>
      </c>
      <c r="R25" s="3" t="s">
        <v>61</v>
      </c>
      <c r="S25" s="3" t="s">
        <v>63</v>
      </c>
      <c r="T25" s="1">
        <v>98950</v>
      </c>
      <c r="U25" s="1">
        <v>61600</v>
      </c>
      <c r="V25" s="1">
        <v>0</v>
      </c>
      <c r="W25" s="1">
        <v>1450</v>
      </c>
      <c r="X25" s="1">
        <v>160550</v>
      </c>
      <c r="Y25" s="1">
        <v>1450</v>
      </c>
      <c r="Z25" s="1">
        <v>162000</v>
      </c>
      <c r="AA25" s="1">
        <v>118740</v>
      </c>
      <c r="AB25" s="1">
        <v>61600</v>
      </c>
      <c r="AC25" s="1">
        <v>0</v>
      </c>
      <c r="AD25" s="1">
        <v>1450</v>
      </c>
      <c r="AE25" s="1">
        <v>180340</v>
      </c>
      <c r="AF25" s="1">
        <v>1450</v>
      </c>
      <c r="AG25" s="1">
        <v>181790</v>
      </c>
      <c r="AH25" s="1">
        <v>106866</v>
      </c>
      <c r="AI25" s="1">
        <v>59752</v>
      </c>
      <c r="AJ25" s="1">
        <v>0</v>
      </c>
      <c r="AK25" s="1">
        <v>1305</v>
      </c>
      <c r="AL25" s="1">
        <v>166618</v>
      </c>
      <c r="AM25" s="1">
        <v>1305</v>
      </c>
      <c r="AN25" s="1">
        <v>167923</v>
      </c>
      <c r="AO25" s="6" t="s">
        <v>215</v>
      </c>
      <c r="AP25" s="6" t="s">
        <v>215</v>
      </c>
      <c r="AQ25" s="6" t="s">
        <v>215</v>
      </c>
      <c r="AR25" s="6" t="s">
        <v>215</v>
      </c>
      <c r="AS25" s="1">
        <v>100754</v>
      </c>
      <c r="AT25" s="1">
        <v>0</v>
      </c>
      <c r="AU25" s="1">
        <v>100754</v>
      </c>
    </row>
    <row r="26" spans="1:47" x14ac:dyDescent="0.3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72</v>
      </c>
      <c r="H26" s="3" t="s">
        <v>73</v>
      </c>
      <c r="I26" s="3" t="s">
        <v>54</v>
      </c>
      <c r="J26" s="3" t="s">
        <v>55</v>
      </c>
      <c r="K26" s="3" t="s">
        <v>81</v>
      </c>
      <c r="L26" s="3" t="s">
        <v>82</v>
      </c>
      <c r="M26" s="3" t="s">
        <v>83</v>
      </c>
      <c r="N26" s="3" t="s">
        <v>59</v>
      </c>
      <c r="O26" s="3" t="s">
        <v>59</v>
      </c>
      <c r="P26" s="3" t="s">
        <v>59</v>
      </c>
      <c r="Q26" s="3" t="s">
        <v>77</v>
      </c>
      <c r="R26" s="3" t="s">
        <v>61</v>
      </c>
      <c r="S26" s="3" t="s">
        <v>63</v>
      </c>
      <c r="T26" s="1">
        <v>27000</v>
      </c>
      <c r="U26" s="1">
        <v>0</v>
      </c>
      <c r="V26" s="1">
        <v>0</v>
      </c>
      <c r="W26" s="1">
        <v>0</v>
      </c>
      <c r="X26" s="1">
        <v>27000</v>
      </c>
      <c r="Y26" s="1">
        <v>0</v>
      </c>
      <c r="Z26" s="1">
        <v>27000</v>
      </c>
      <c r="AA26" s="1">
        <v>32400</v>
      </c>
      <c r="AB26" s="1">
        <v>0</v>
      </c>
      <c r="AC26" s="1">
        <v>0</v>
      </c>
      <c r="AD26" s="1">
        <v>0</v>
      </c>
      <c r="AE26" s="1">
        <v>32400</v>
      </c>
      <c r="AF26" s="1">
        <v>0</v>
      </c>
      <c r="AG26" s="1">
        <v>32400</v>
      </c>
      <c r="AH26" s="1">
        <v>29160</v>
      </c>
      <c r="AI26" s="1">
        <v>0</v>
      </c>
      <c r="AJ26" s="1">
        <v>0</v>
      </c>
      <c r="AK26" s="1">
        <v>0</v>
      </c>
      <c r="AL26" s="1">
        <v>29160</v>
      </c>
      <c r="AM26" s="1">
        <v>0</v>
      </c>
      <c r="AN26" s="1">
        <v>29160</v>
      </c>
      <c r="AO26" s="6" t="s">
        <v>215</v>
      </c>
      <c r="AP26" s="6" t="s">
        <v>215</v>
      </c>
      <c r="AQ26" s="6" t="s">
        <v>215</v>
      </c>
      <c r="AR26" s="6" t="s">
        <v>215</v>
      </c>
      <c r="AS26" s="1">
        <v>17496</v>
      </c>
      <c r="AT26" s="1">
        <v>0</v>
      </c>
      <c r="AU26" s="1">
        <v>17496</v>
      </c>
    </row>
    <row r="27" spans="1:47" x14ac:dyDescent="0.3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72</v>
      </c>
      <c r="H27" s="3" t="s">
        <v>73</v>
      </c>
      <c r="I27" s="3" t="s">
        <v>54</v>
      </c>
      <c r="J27" s="3" t="s">
        <v>55</v>
      </c>
      <c r="K27" s="3" t="s">
        <v>84</v>
      </c>
      <c r="L27" s="3" t="s">
        <v>85</v>
      </c>
      <c r="M27" s="3" t="s">
        <v>86</v>
      </c>
      <c r="N27" s="3" t="s">
        <v>59</v>
      </c>
      <c r="O27" s="3" t="s">
        <v>59</v>
      </c>
      <c r="P27" s="3" t="s">
        <v>59</v>
      </c>
      <c r="Q27" s="3" t="s">
        <v>77</v>
      </c>
      <c r="R27" s="3" t="s">
        <v>61</v>
      </c>
      <c r="S27" s="3" t="s">
        <v>62</v>
      </c>
      <c r="T27" s="1">
        <v>1800</v>
      </c>
      <c r="U27" s="1">
        <v>0</v>
      </c>
      <c r="V27" s="1">
        <v>0</v>
      </c>
      <c r="W27" s="1">
        <v>4500</v>
      </c>
      <c r="X27" s="1">
        <v>1800</v>
      </c>
      <c r="Y27" s="1">
        <v>4500</v>
      </c>
      <c r="Z27" s="1">
        <v>6300</v>
      </c>
      <c r="AA27" s="1">
        <v>2160</v>
      </c>
      <c r="AB27" s="1">
        <v>0</v>
      </c>
      <c r="AC27" s="1">
        <v>0</v>
      </c>
      <c r="AD27" s="1">
        <v>4500</v>
      </c>
      <c r="AE27" s="1">
        <v>2160</v>
      </c>
      <c r="AF27" s="1">
        <v>4500</v>
      </c>
      <c r="AG27" s="1">
        <v>6660</v>
      </c>
      <c r="AH27" s="1">
        <v>1944</v>
      </c>
      <c r="AI27" s="1">
        <v>0</v>
      </c>
      <c r="AJ27" s="1">
        <v>0</v>
      </c>
      <c r="AK27" s="1">
        <v>4050</v>
      </c>
      <c r="AL27" s="1">
        <v>1944</v>
      </c>
      <c r="AM27" s="1">
        <v>4050</v>
      </c>
      <c r="AN27" s="1">
        <v>5994</v>
      </c>
      <c r="AO27" s="6" t="s">
        <v>215</v>
      </c>
      <c r="AP27" s="6" t="s">
        <v>215</v>
      </c>
      <c r="AQ27" s="6" t="s">
        <v>215</v>
      </c>
      <c r="AR27" s="6" t="s">
        <v>215</v>
      </c>
      <c r="AS27" s="1">
        <v>3596</v>
      </c>
      <c r="AT27" s="1">
        <v>0</v>
      </c>
      <c r="AU27" s="1">
        <v>3596</v>
      </c>
    </row>
    <row r="28" spans="1:47" x14ac:dyDescent="0.3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72</v>
      </c>
      <c r="H28" s="3" t="s">
        <v>73</v>
      </c>
      <c r="I28" s="3" t="s">
        <v>54</v>
      </c>
      <c r="J28" s="3" t="s">
        <v>55</v>
      </c>
      <c r="K28" s="3" t="s">
        <v>84</v>
      </c>
      <c r="L28" s="3" t="s">
        <v>85</v>
      </c>
      <c r="M28" s="3" t="s">
        <v>86</v>
      </c>
      <c r="N28" s="3" t="s">
        <v>59</v>
      </c>
      <c r="O28" s="3" t="s">
        <v>59</v>
      </c>
      <c r="P28" s="3" t="s">
        <v>59</v>
      </c>
      <c r="Q28" s="3" t="s">
        <v>77</v>
      </c>
      <c r="R28" s="3" t="s">
        <v>61</v>
      </c>
      <c r="S28" s="3" t="s">
        <v>63</v>
      </c>
      <c r="T28" s="1">
        <v>0</v>
      </c>
      <c r="U28" s="1">
        <v>1300</v>
      </c>
      <c r="V28" s="1">
        <v>0</v>
      </c>
      <c r="W28" s="1">
        <v>500</v>
      </c>
      <c r="X28" s="1">
        <v>1300</v>
      </c>
      <c r="Y28" s="1">
        <v>500</v>
      </c>
      <c r="Z28" s="1">
        <v>1800</v>
      </c>
      <c r="AA28" s="1">
        <v>0</v>
      </c>
      <c r="AB28" s="1">
        <v>1300</v>
      </c>
      <c r="AC28" s="1">
        <v>0</v>
      </c>
      <c r="AD28" s="1">
        <v>500</v>
      </c>
      <c r="AE28" s="1">
        <v>1300</v>
      </c>
      <c r="AF28" s="1">
        <v>500</v>
      </c>
      <c r="AG28" s="1">
        <v>1800</v>
      </c>
      <c r="AH28" s="1">
        <v>0</v>
      </c>
      <c r="AI28" s="1">
        <v>1261</v>
      </c>
      <c r="AJ28" s="1">
        <v>0</v>
      </c>
      <c r="AK28" s="1">
        <v>450</v>
      </c>
      <c r="AL28" s="1">
        <v>1261</v>
      </c>
      <c r="AM28" s="1">
        <v>450</v>
      </c>
      <c r="AN28" s="1">
        <v>1711</v>
      </c>
      <c r="AO28" s="6" t="s">
        <v>215</v>
      </c>
      <c r="AP28" s="6" t="s">
        <v>215</v>
      </c>
      <c r="AQ28" s="6" t="s">
        <v>215</v>
      </c>
      <c r="AR28" s="6" t="s">
        <v>215</v>
      </c>
      <c r="AS28" s="1">
        <v>1027</v>
      </c>
      <c r="AT28" s="1">
        <v>0</v>
      </c>
      <c r="AU28" s="1">
        <v>1027</v>
      </c>
    </row>
    <row r="29" spans="1:47" x14ac:dyDescent="0.3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72</v>
      </c>
      <c r="H29" s="3" t="s">
        <v>73</v>
      </c>
      <c r="I29" s="3" t="s">
        <v>54</v>
      </c>
      <c r="J29" s="3" t="s">
        <v>55</v>
      </c>
      <c r="K29" s="3" t="s">
        <v>84</v>
      </c>
      <c r="L29" s="3" t="s">
        <v>85</v>
      </c>
      <c r="M29" s="3" t="s">
        <v>86</v>
      </c>
      <c r="N29" s="3" t="s">
        <v>59</v>
      </c>
      <c r="O29" s="3" t="s">
        <v>59</v>
      </c>
      <c r="P29" s="3" t="s">
        <v>59</v>
      </c>
      <c r="Q29" s="3" t="s">
        <v>77</v>
      </c>
      <c r="R29" s="3" t="s">
        <v>61</v>
      </c>
      <c r="S29" s="3" t="s">
        <v>63</v>
      </c>
      <c r="T29" s="1">
        <v>5400</v>
      </c>
      <c r="U29" s="1">
        <v>5400</v>
      </c>
      <c r="V29" s="1">
        <v>0</v>
      </c>
      <c r="W29" s="1">
        <v>0</v>
      </c>
      <c r="X29" s="1">
        <v>10800</v>
      </c>
      <c r="Y29" s="1">
        <v>0</v>
      </c>
      <c r="Z29" s="1">
        <v>10800</v>
      </c>
      <c r="AA29" s="1">
        <v>6480</v>
      </c>
      <c r="AB29" s="1">
        <v>5400</v>
      </c>
      <c r="AC29" s="1">
        <v>0</v>
      </c>
      <c r="AD29" s="1">
        <v>0</v>
      </c>
      <c r="AE29" s="1">
        <v>11880</v>
      </c>
      <c r="AF29" s="1">
        <v>0</v>
      </c>
      <c r="AG29" s="1">
        <v>11880</v>
      </c>
      <c r="AH29" s="1">
        <v>5832</v>
      </c>
      <c r="AI29" s="1">
        <v>5238</v>
      </c>
      <c r="AJ29" s="1">
        <v>0</v>
      </c>
      <c r="AK29" s="1">
        <v>0</v>
      </c>
      <c r="AL29" s="1">
        <v>11070</v>
      </c>
      <c r="AM29" s="1">
        <v>0</v>
      </c>
      <c r="AN29" s="1">
        <v>11070</v>
      </c>
      <c r="AO29" s="6" t="s">
        <v>215</v>
      </c>
      <c r="AP29" s="6" t="s">
        <v>215</v>
      </c>
      <c r="AQ29" s="6" t="s">
        <v>215</v>
      </c>
      <c r="AR29" s="6" t="s">
        <v>215</v>
      </c>
      <c r="AS29" s="1">
        <v>6642</v>
      </c>
      <c r="AT29" s="1">
        <v>0</v>
      </c>
      <c r="AU29" s="1">
        <v>6642</v>
      </c>
    </row>
    <row r="30" spans="1:47" x14ac:dyDescent="0.3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72</v>
      </c>
      <c r="H30" s="3" t="s">
        <v>73</v>
      </c>
      <c r="I30" s="3" t="s">
        <v>54</v>
      </c>
      <c r="J30" s="3" t="s">
        <v>55</v>
      </c>
      <c r="K30" s="3" t="s">
        <v>84</v>
      </c>
      <c r="L30" s="3" t="s">
        <v>85</v>
      </c>
      <c r="M30" s="3" t="s">
        <v>86</v>
      </c>
      <c r="N30" s="3" t="s">
        <v>59</v>
      </c>
      <c r="O30" s="3" t="s">
        <v>59</v>
      </c>
      <c r="P30" s="3" t="s">
        <v>59</v>
      </c>
      <c r="Q30" s="3" t="s">
        <v>77</v>
      </c>
      <c r="R30" s="3" t="s">
        <v>61</v>
      </c>
      <c r="S30" s="3" t="s">
        <v>63</v>
      </c>
      <c r="T30" s="1">
        <v>14300</v>
      </c>
      <c r="U30" s="1">
        <v>3700</v>
      </c>
      <c r="V30" s="1">
        <v>0</v>
      </c>
      <c r="W30" s="1">
        <v>0</v>
      </c>
      <c r="X30" s="1">
        <v>18000</v>
      </c>
      <c r="Y30" s="1">
        <v>0</v>
      </c>
      <c r="Z30" s="1">
        <v>18000</v>
      </c>
      <c r="AA30" s="1">
        <v>17160</v>
      </c>
      <c r="AB30" s="1">
        <v>3700</v>
      </c>
      <c r="AC30" s="1">
        <v>0</v>
      </c>
      <c r="AD30" s="1">
        <v>0</v>
      </c>
      <c r="AE30" s="1">
        <v>20860</v>
      </c>
      <c r="AF30" s="1">
        <v>0</v>
      </c>
      <c r="AG30" s="1">
        <v>20860</v>
      </c>
      <c r="AH30" s="1">
        <v>15444</v>
      </c>
      <c r="AI30" s="1">
        <v>3589</v>
      </c>
      <c r="AJ30" s="1">
        <v>0</v>
      </c>
      <c r="AK30" s="1">
        <v>0</v>
      </c>
      <c r="AL30" s="1">
        <v>19033</v>
      </c>
      <c r="AM30" s="1">
        <v>0</v>
      </c>
      <c r="AN30" s="1">
        <v>19033</v>
      </c>
      <c r="AO30" s="6" t="s">
        <v>215</v>
      </c>
      <c r="AP30" s="6" t="s">
        <v>215</v>
      </c>
      <c r="AQ30" s="6" t="s">
        <v>215</v>
      </c>
      <c r="AR30" s="6" t="s">
        <v>215</v>
      </c>
      <c r="AS30" s="1">
        <v>11419</v>
      </c>
      <c r="AT30" s="1">
        <v>0</v>
      </c>
      <c r="AU30" s="1">
        <v>11419</v>
      </c>
    </row>
    <row r="31" spans="1:47" x14ac:dyDescent="0.3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72</v>
      </c>
      <c r="H31" s="3" t="s">
        <v>73</v>
      </c>
      <c r="I31" s="3" t="s">
        <v>54</v>
      </c>
      <c r="J31" s="3" t="s">
        <v>55</v>
      </c>
      <c r="K31" s="3" t="s">
        <v>87</v>
      </c>
      <c r="L31" s="3" t="s">
        <v>88</v>
      </c>
      <c r="M31" s="3" t="s">
        <v>89</v>
      </c>
      <c r="N31" s="3" t="s">
        <v>59</v>
      </c>
      <c r="O31" s="3" t="s">
        <v>59</v>
      </c>
      <c r="P31" s="3" t="s">
        <v>59</v>
      </c>
      <c r="Q31" s="3" t="s">
        <v>77</v>
      </c>
      <c r="R31" s="3" t="s">
        <v>61</v>
      </c>
      <c r="S31" s="3" t="s">
        <v>62</v>
      </c>
      <c r="T31" s="1">
        <v>0</v>
      </c>
      <c r="U31" s="1">
        <v>0</v>
      </c>
      <c r="V31" s="1">
        <v>0</v>
      </c>
      <c r="W31" s="1">
        <v>3900</v>
      </c>
      <c r="X31" s="1">
        <v>0</v>
      </c>
      <c r="Y31" s="1">
        <v>3900</v>
      </c>
      <c r="Z31" s="1">
        <v>3900</v>
      </c>
      <c r="AA31" s="1">
        <v>0</v>
      </c>
      <c r="AB31" s="1">
        <v>0</v>
      </c>
      <c r="AC31" s="1">
        <v>0</v>
      </c>
      <c r="AD31" s="1">
        <v>3900</v>
      </c>
      <c r="AE31" s="1">
        <v>0</v>
      </c>
      <c r="AF31" s="1">
        <v>3900</v>
      </c>
      <c r="AG31" s="1">
        <v>3900</v>
      </c>
      <c r="AH31" s="1">
        <v>0</v>
      </c>
      <c r="AI31" s="1">
        <v>0</v>
      </c>
      <c r="AJ31" s="1">
        <v>0</v>
      </c>
      <c r="AK31" s="1">
        <v>3510</v>
      </c>
      <c r="AL31" s="1">
        <v>0</v>
      </c>
      <c r="AM31" s="1">
        <v>3510</v>
      </c>
      <c r="AN31" s="1">
        <v>3510</v>
      </c>
      <c r="AO31" s="6" t="s">
        <v>215</v>
      </c>
      <c r="AP31" s="6" t="s">
        <v>215</v>
      </c>
      <c r="AQ31" s="6" t="s">
        <v>215</v>
      </c>
      <c r="AR31" s="6" t="s">
        <v>215</v>
      </c>
      <c r="AS31" s="1">
        <v>2106</v>
      </c>
      <c r="AT31" s="1">
        <v>0</v>
      </c>
      <c r="AU31" s="1">
        <v>2106</v>
      </c>
    </row>
    <row r="32" spans="1:47" x14ac:dyDescent="0.3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72</v>
      </c>
      <c r="H32" s="3" t="s">
        <v>73</v>
      </c>
      <c r="I32" s="3" t="s">
        <v>54</v>
      </c>
      <c r="J32" s="3" t="s">
        <v>55</v>
      </c>
      <c r="K32" s="3" t="s">
        <v>87</v>
      </c>
      <c r="L32" s="3" t="s">
        <v>88</v>
      </c>
      <c r="M32" s="3" t="s">
        <v>89</v>
      </c>
      <c r="N32" s="3" t="s">
        <v>59</v>
      </c>
      <c r="O32" s="3" t="s">
        <v>59</v>
      </c>
      <c r="P32" s="3" t="s">
        <v>59</v>
      </c>
      <c r="Q32" s="3" t="s">
        <v>77</v>
      </c>
      <c r="R32" s="3" t="s">
        <v>61</v>
      </c>
      <c r="S32" s="3" t="s">
        <v>63</v>
      </c>
      <c r="T32" s="1">
        <v>0</v>
      </c>
      <c r="U32" s="1">
        <v>0</v>
      </c>
      <c r="V32" s="1">
        <v>0</v>
      </c>
      <c r="W32" s="1">
        <v>2300</v>
      </c>
      <c r="X32" s="1">
        <v>0</v>
      </c>
      <c r="Y32" s="1">
        <v>2300</v>
      </c>
      <c r="Z32" s="1">
        <v>2300</v>
      </c>
      <c r="AA32" s="1">
        <v>0</v>
      </c>
      <c r="AB32" s="1">
        <v>0</v>
      </c>
      <c r="AC32" s="1">
        <v>0</v>
      </c>
      <c r="AD32" s="1">
        <v>2300</v>
      </c>
      <c r="AE32" s="1">
        <v>0</v>
      </c>
      <c r="AF32" s="1">
        <v>2300</v>
      </c>
      <c r="AG32" s="1">
        <v>2300</v>
      </c>
      <c r="AH32" s="1">
        <v>0</v>
      </c>
      <c r="AI32" s="1">
        <v>0</v>
      </c>
      <c r="AJ32" s="1">
        <v>0</v>
      </c>
      <c r="AK32" s="1">
        <v>2070</v>
      </c>
      <c r="AL32" s="1">
        <v>0</v>
      </c>
      <c r="AM32" s="1">
        <v>2070</v>
      </c>
      <c r="AN32" s="1">
        <v>2070</v>
      </c>
      <c r="AO32" s="6" t="s">
        <v>215</v>
      </c>
      <c r="AP32" s="6" t="s">
        <v>215</v>
      </c>
      <c r="AQ32" s="6" t="s">
        <v>215</v>
      </c>
      <c r="AR32" s="6" t="s">
        <v>215</v>
      </c>
      <c r="AS32" s="1">
        <v>1242</v>
      </c>
      <c r="AT32" s="1">
        <v>0</v>
      </c>
      <c r="AU32" s="1">
        <v>1242</v>
      </c>
    </row>
    <row r="33" spans="1:47" x14ac:dyDescent="0.3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72</v>
      </c>
      <c r="H33" s="3" t="s">
        <v>73</v>
      </c>
      <c r="I33" s="3" t="s">
        <v>54</v>
      </c>
      <c r="J33" s="3" t="s">
        <v>55</v>
      </c>
      <c r="K33" s="3" t="s">
        <v>90</v>
      </c>
      <c r="L33" s="3" t="s">
        <v>91</v>
      </c>
      <c r="M33" s="3" t="s">
        <v>92</v>
      </c>
      <c r="N33" s="3" t="s">
        <v>59</v>
      </c>
      <c r="O33" s="3" t="s">
        <v>59</v>
      </c>
      <c r="P33" s="3" t="s">
        <v>59</v>
      </c>
      <c r="Q33" s="3" t="s">
        <v>77</v>
      </c>
      <c r="R33" s="3" t="s">
        <v>61</v>
      </c>
      <c r="S33" s="3" t="s">
        <v>62</v>
      </c>
      <c r="T33" s="1">
        <v>1492020</v>
      </c>
      <c r="U33" s="1">
        <v>1120550</v>
      </c>
      <c r="V33" s="1">
        <v>103970</v>
      </c>
      <c r="W33" s="1">
        <v>5029160</v>
      </c>
      <c r="X33" s="1">
        <v>2716540</v>
      </c>
      <c r="Y33" s="1">
        <v>5029160</v>
      </c>
      <c r="Z33" s="1">
        <v>7745700</v>
      </c>
      <c r="AA33" s="1">
        <v>1790424</v>
      </c>
      <c r="AB33" s="1">
        <v>1120550</v>
      </c>
      <c r="AC33" s="1">
        <v>124854</v>
      </c>
      <c r="AD33" s="1">
        <v>5029160</v>
      </c>
      <c r="AE33" s="1">
        <v>3035828</v>
      </c>
      <c r="AF33" s="1">
        <v>5029160</v>
      </c>
      <c r="AG33" s="1">
        <v>8064988</v>
      </c>
      <c r="AH33" s="1">
        <v>1611381.6</v>
      </c>
      <c r="AI33" s="1">
        <v>1086933.5</v>
      </c>
      <c r="AJ33" s="1">
        <v>87397.8</v>
      </c>
      <c r="AK33" s="1">
        <v>4526244</v>
      </c>
      <c r="AL33" s="1">
        <v>2785712.9</v>
      </c>
      <c r="AM33" s="1">
        <v>4526244</v>
      </c>
      <c r="AN33" s="1">
        <v>7311956.9000000004</v>
      </c>
      <c r="AO33" s="6" t="s">
        <v>215</v>
      </c>
      <c r="AP33" s="6" t="s">
        <v>215</v>
      </c>
      <c r="AQ33" s="6" t="s">
        <v>215</v>
      </c>
      <c r="AR33" s="6" t="s">
        <v>215</v>
      </c>
      <c r="AS33" s="1">
        <v>4387174</v>
      </c>
      <c r="AT33" s="1">
        <v>0</v>
      </c>
      <c r="AU33" s="1">
        <v>4387174</v>
      </c>
    </row>
    <row r="34" spans="1:47" x14ac:dyDescent="0.3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72</v>
      </c>
      <c r="H34" s="3" t="s">
        <v>73</v>
      </c>
      <c r="I34" s="3" t="s">
        <v>54</v>
      </c>
      <c r="J34" s="3" t="s">
        <v>55</v>
      </c>
      <c r="K34" s="3" t="s">
        <v>90</v>
      </c>
      <c r="L34" s="3" t="s">
        <v>91</v>
      </c>
      <c r="M34" s="3" t="s">
        <v>92</v>
      </c>
      <c r="N34" s="3" t="s">
        <v>59</v>
      </c>
      <c r="O34" s="3" t="s">
        <v>59</v>
      </c>
      <c r="P34" s="3" t="s">
        <v>59</v>
      </c>
      <c r="Q34" s="3" t="s">
        <v>77</v>
      </c>
      <c r="R34" s="3" t="s">
        <v>61</v>
      </c>
      <c r="S34" s="3" t="s">
        <v>63</v>
      </c>
      <c r="T34" s="1">
        <v>2345410</v>
      </c>
      <c r="U34" s="1">
        <v>2345050</v>
      </c>
      <c r="V34" s="1">
        <v>212300</v>
      </c>
      <c r="W34" s="1">
        <v>2748940</v>
      </c>
      <c r="X34" s="1">
        <v>4902760</v>
      </c>
      <c r="Y34" s="1">
        <v>2748940</v>
      </c>
      <c r="Z34" s="1">
        <v>7651700</v>
      </c>
      <c r="AA34" s="1">
        <v>2814492</v>
      </c>
      <c r="AB34" s="1">
        <v>2345050</v>
      </c>
      <c r="AC34" s="1">
        <v>254440</v>
      </c>
      <c r="AD34" s="1">
        <v>2748940</v>
      </c>
      <c r="AE34" s="1">
        <v>5413982</v>
      </c>
      <c r="AF34" s="1">
        <v>2748940</v>
      </c>
      <c r="AG34" s="1">
        <v>8162922</v>
      </c>
      <c r="AH34" s="1">
        <v>2533042.7999999998</v>
      </c>
      <c r="AI34" s="1">
        <v>2274698.5</v>
      </c>
      <c r="AJ34" s="1">
        <v>178108</v>
      </c>
      <c r="AK34" s="1">
        <v>2474046</v>
      </c>
      <c r="AL34" s="1">
        <v>4985849.3</v>
      </c>
      <c r="AM34" s="1">
        <v>2474046</v>
      </c>
      <c r="AN34" s="1">
        <v>7459895.2999999998</v>
      </c>
      <c r="AO34" s="6" t="s">
        <v>215</v>
      </c>
      <c r="AP34" s="6" t="s">
        <v>215</v>
      </c>
      <c r="AQ34" s="6" t="s">
        <v>215</v>
      </c>
      <c r="AR34" s="6" t="s">
        <v>215</v>
      </c>
      <c r="AS34" s="1">
        <v>4475938</v>
      </c>
      <c r="AT34" s="1">
        <v>0</v>
      </c>
      <c r="AU34" s="1">
        <v>4475938</v>
      </c>
    </row>
    <row r="35" spans="1:47" x14ac:dyDescent="0.3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72</v>
      </c>
      <c r="H35" s="3" t="s">
        <v>73</v>
      </c>
      <c r="I35" s="3" t="s">
        <v>54</v>
      </c>
      <c r="J35" s="3" t="s">
        <v>55</v>
      </c>
      <c r="K35" s="3" t="s">
        <v>90</v>
      </c>
      <c r="L35" s="3" t="s">
        <v>91</v>
      </c>
      <c r="M35" s="3" t="s">
        <v>92</v>
      </c>
      <c r="N35" s="3" t="s">
        <v>59</v>
      </c>
      <c r="O35" s="3" t="s">
        <v>59</v>
      </c>
      <c r="P35" s="3" t="s">
        <v>59</v>
      </c>
      <c r="Q35" s="3" t="s">
        <v>77</v>
      </c>
      <c r="R35" s="3" t="s">
        <v>61</v>
      </c>
      <c r="S35" s="3" t="s">
        <v>63</v>
      </c>
      <c r="T35" s="1">
        <v>2345590</v>
      </c>
      <c r="U35" s="1">
        <v>2628940</v>
      </c>
      <c r="V35" s="1">
        <v>176430</v>
      </c>
      <c r="W35" s="1">
        <v>792340</v>
      </c>
      <c r="X35" s="1">
        <v>5150960</v>
      </c>
      <c r="Y35" s="1">
        <v>792340</v>
      </c>
      <c r="Z35" s="1">
        <v>5943300</v>
      </c>
      <c r="AA35" s="1">
        <v>2814708</v>
      </c>
      <c r="AB35" s="1">
        <v>2628940</v>
      </c>
      <c r="AC35" s="1">
        <v>211976</v>
      </c>
      <c r="AD35" s="1">
        <v>792340</v>
      </c>
      <c r="AE35" s="1">
        <v>5655624</v>
      </c>
      <c r="AF35" s="1">
        <v>792340</v>
      </c>
      <c r="AG35" s="1">
        <v>6447964</v>
      </c>
      <c r="AH35" s="1">
        <v>2533237.2000000002</v>
      </c>
      <c r="AI35" s="1">
        <v>2550071.7999999998</v>
      </c>
      <c r="AJ35" s="1">
        <v>148383.20000000001</v>
      </c>
      <c r="AK35" s="1">
        <v>713106</v>
      </c>
      <c r="AL35" s="1">
        <v>5231692.2</v>
      </c>
      <c r="AM35" s="1">
        <v>713106</v>
      </c>
      <c r="AN35" s="1">
        <v>5944798.2000000002</v>
      </c>
      <c r="AO35" s="6" t="s">
        <v>215</v>
      </c>
      <c r="AP35" s="6" t="s">
        <v>215</v>
      </c>
      <c r="AQ35" s="6" t="s">
        <v>215</v>
      </c>
      <c r="AR35" s="6" t="s">
        <v>215</v>
      </c>
      <c r="AS35" s="1">
        <v>3566879</v>
      </c>
      <c r="AT35" s="1">
        <v>0</v>
      </c>
      <c r="AU35" s="1">
        <v>3566879</v>
      </c>
    </row>
    <row r="36" spans="1:47" x14ac:dyDescent="0.3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72</v>
      </c>
      <c r="H36" s="3" t="s">
        <v>73</v>
      </c>
      <c r="I36" s="3" t="s">
        <v>54</v>
      </c>
      <c r="J36" s="3" t="s">
        <v>55</v>
      </c>
      <c r="K36" s="3" t="s">
        <v>90</v>
      </c>
      <c r="L36" s="3" t="s">
        <v>91</v>
      </c>
      <c r="M36" s="3" t="s">
        <v>92</v>
      </c>
      <c r="N36" s="3" t="s">
        <v>59</v>
      </c>
      <c r="O36" s="3" t="s">
        <v>59</v>
      </c>
      <c r="P36" s="3" t="s">
        <v>59</v>
      </c>
      <c r="Q36" s="3" t="s">
        <v>77</v>
      </c>
      <c r="R36" s="3" t="s">
        <v>61</v>
      </c>
      <c r="S36" s="3" t="s">
        <v>63</v>
      </c>
      <c r="T36" s="1">
        <v>6585010</v>
      </c>
      <c r="U36" s="1">
        <v>6103960</v>
      </c>
      <c r="V36" s="1">
        <v>485000</v>
      </c>
      <c r="W36" s="1">
        <v>891030</v>
      </c>
      <c r="X36" s="1">
        <v>13173970</v>
      </c>
      <c r="Y36" s="1">
        <v>891030</v>
      </c>
      <c r="Z36" s="1">
        <v>14065000</v>
      </c>
      <c r="AA36" s="1">
        <v>7902012</v>
      </c>
      <c r="AB36" s="1">
        <v>6103960</v>
      </c>
      <c r="AC36" s="1">
        <v>578890</v>
      </c>
      <c r="AD36" s="1">
        <v>891030</v>
      </c>
      <c r="AE36" s="1">
        <v>14584862</v>
      </c>
      <c r="AF36" s="1">
        <v>891030</v>
      </c>
      <c r="AG36" s="1">
        <v>15475892</v>
      </c>
      <c r="AH36" s="1">
        <v>7111810.7999999998</v>
      </c>
      <c r="AI36" s="1">
        <v>5920841.2000000002</v>
      </c>
      <c r="AJ36" s="1">
        <v>405223</v>
      </c>
      <c r="AK36" s="1">
        <v>801927</v>
      </c>
      <c r="AL36" s="1">
        <v>13437875</v>
      </c>
      <c r="AM36" s="1">
        <v>801927</v>
      </c>
      <c r="AN36" s="1">
        <v>14239802</v>
      </c>
      <c r="AO36" s="6" t="s">
        <v>215</v>
      </c>
      <c r="AP36" s="6" t="s">
        <v>215</v>
      </c>
      <c r="AQ36" s="6" t="s">
        <v>215</v>
      </c>
      <c r="AR36" s="6" t="s">
        <v>215</v>
      </c>
      <c r="AS36" s="1">
        <v>8543881</v>
      </c>
      <c r="AT36" s="1">
        <v>0</v>
      </c>
      <c r="AU36" s="1">
        <v>8543881</v>
      </c>
    </row>
    <row r="37" spans="1:47" x14ac:dyDescent="0.3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72</v>
      </c>
      <c r="H37" s="3" t="s">
        <v>73</v>
      </c>
      <c r="I37" s="3" t="s">
        <v>54</v>
      </c>
      <c r="J37" s="3" t="s">
        <v>55</v>
      </c>
      <c r="K37" s="3" t="s">
        <v>218</v>
      </c>
      <c r="L37" s="3" t="s">
        <v>219</v>
      </c>
      <c r="M37" s="3" t="s">
        <v>220</v>
      </c>
      <c r="N37" s="3" t="s">
        <v>59</v>
      </c>
      <c r="O37" s="3" t="s">
        <v>59</v>
      </c>
      <c r="P37" s="3" t="s">
        <v>59</v>
      </c>
      <c r="Q37" s="3" t="s">
        <v>77</v>
      </c>
      <c r="R37" s="3" t="s">
        <v>61</v>
      </c>
      <c r="S37" s="3" t="s">
        <v>62</v>
      </c>
      <c r="T37" s="1">
        <v>0</v>
      </c>
      <c r="U37" s="1">
        <v>600</v>
      </c>
      <c r="V37" s="1">
        <v>0</v>
      </c>
      <c r="W37" s="1">
        <v>5300</v>
      </c>
      <c r="X37" s="1">
        <v>600</v>
      </c>
      <c r="Y37" s="1">
        <v>5300</v>
      </c>
      <c r="Z37" s="1">
        <v>5900</v>
      </c>
      <c r="AA37" s="1">
        <v>0</v>
      </c>
      <c r="AB37" s="1">
        <v>600</v>
      </c>
      <c r="AC37" s="1">
        <v>0</v>
      </c>
      <c r="AD37" s="1">
        <v>5300</v>
      </c>
      <c r="AE37" s="1">
        <v>600</v>
      </c>
      <c r="AF37" s="1">
        <v>5300</v>
      </c>
      <c r="AG37" s="1">
        <v>5900</v>
      </c>
      <c r="AH37" s="1">
        <v>0</v>
      </c>
      <c r="AI37" s="1">
        <v>582</v>
      </c>
      <c r="AJ37" s="1">
        <v>0</v>
      </c>
      <c r="AK37" s="1">
        <v>4770</v>
      </c>
      <c r="AL37" s="1">
        <v>582</v>
      </c>
      <c r="AM37" s="1">
        <v>4770</v>
      </c>
      <c r="AN37" s="1">
        <v>5352</v>
      </c>
      <c r="AO37" s="6" t="s">
        <v>215</v>
      </c>
      <c r="AP37" s="6" t="s">
        <v>215</v>
      </c>
      <c r="AQ37" s="6" t="s">
        <v>215</v>
      </c>
      <c r="AR37" s="6" t="s">
        <v>215</v>
      </c>
      <c r="AS37" s="1">
        <v>3211</v>
      </c>
      <c r="AT37" s="1">
        <v>0</v>
      </c>
      <c r="AU37" s="1">
        <v>3211</v>
      </c>
    </row>
    <row r="38" spans="1:47" x14ac:dyDescent="0.3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72</v>
      </c>
      <c r="H38" s="3" t="s">
        <v>73</v>
      </c>
      <c r="I38" s="3" t="s">
        <v>54</v>
      </c>
      <c r="J38" s="3" t="s">
        <v>55</v>
      </c>
      <c r="K38" s="3" t="s">
        <v>218</v>
      </c>
      <c r="L38" s="3" t="s">
        <v>219</v>
      </c>
      <c r="M38" s="3" t="s">
        <v>220</v>
      </c>
      <c r="N38" s="3" t="s">
        <v>59</v>
      </c>
      <c r="O38" s="3" t="s">
        <v>59</v>
      </c>
      <c r="P38" s="3" t="s">
        <v>59</v>
      </c>
      <c r="Q38" s="3" t="s">
        <v>77</v>
      </c>
      <c r="R38" s="3" t="s">
        <v>61</v>
      </c>
      <c r="S38" s="3" t="s">
        <v>63</v>
      </c>
      <c r="T38" s="1">
        <v>0</v>
      </c>
      <c r="U38" s="1">
        <v>2400</v>
      </c>
      <c r="V38" s="1">
        <v>0</v>
      </c>
      <c r="W38" s="1">
        <v>0</v>
      </c>
      <c r="X38" s="1">
        <v>2400</v>
      </c>
      <c r="Y38" s="1">
        <v>0</v>
      </c>
      <c r="Z38" s="1">
        <v>2400</v>
      </c>
      <c r="AA38" s="1">
        <v>0</v>
      </c>
      <c r="AB38" s="1">
        <v>2400</v>
      </c>
      <c r="AC38" s="1">
        <v>0</v>
      </c>
      <c r="AD38" s="1">
        <v>0</v>
      </c>
      <c r="AE38" s="1">
        <v>2400</v>
      </c>
      <c r="AF38" s="1">
        <v>0</v>
      </c>
      <c r="AG38" s="1">
        <v>2400</v>
      </c>
      <c r="AH38" s="1">
        <v>0</v>
      </c>
      <c r="AI38" s="1">
        <v>2328</v>
      </c>
      <c r="AJ38" s="1">
        <v>0</v>
      </c>
      <c r="AK38" s="1">
        <v>0</v>
      </c>
      <c r="AL38" s="1">
        <v>2328</v>
      </c>
      <c r="AM38" s="1">
        <v>0</v>
      </c>
      <c r="AN38" s="1">
        <v>2328</v>
      </c>
      <c r="AO38" s="6" t="s">
        <v>215</v>
      </c>
      <c r="AP38" s="6" t="s">
        <v>215</v>
      </c>
      <c r="AQ38" s="6" t="s">
        <v>215</v>
      </c>
      <c r="AR38" s="6" t="s">
        <v>215</v>
      </c>
      <c r="AS38" s="1">
        <v>1397</v>
      </c>
      <c r="AT38" s="1">
        <v>0</v>
      </c>
      <c r="AU38" s="1">
        <v>1397</v>
      </c>
    </row>
    <row r="39" spans="1:47" x14ac:dyDescent="0.3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72</v>
      </c>
      <c r="H39" s="3" t="s">
        <v>73</v>
      </c>
      <c r="I39" s="3" t="s">
        <v>54</v>
      </c>
      <c r="J39" s="3" t="s">
        <v>55</v>
      </c>
      <c r="K39" s="3" t="s">
        <v>218</v>
      </c>
      <c r="L39" s="3" t="s">
        <v>219</v>
      </c>
      <c r="M39" s="3" t="s">
        <v>220</v>
      </c>
      <c r="N39" s="3" t="s">
        <v>59</v>
      </c>
      <c r="O39" s="3" t="s">
        <v>59</v>
      </c>
      <c r="P39" s="3" t="s">
        <v>59</v>
      </c>
      <c r="Q39" s="3" t="s">
        <v>77</v>
      </c>
      <c r="R39" s="3" t="s">
        <v>61</v>
      </c>
      <c r="S39" s="3" t="s">
        <v>63</v>
      </c>
      <c r="T39" s="1">
        <v>0</v>
      </c>
      <c r="U39" s="1">
        <v>4600</v>
      </c>
      <c r="V39" s="1">
        <v>0</v>
      </c>
      <c r="W39" s="1">
        <v>0</v>
      </c>
      <c r="X39" s="1">
        <v>4600</v>
      </c>
      <c r="Y39" s="1">
        <v>0</v>
      </c>
      <c r="Z39" s="1">
        <v>4600</v>
      </c>
      <c r="AA39" s="1">
        <v>0</v>
      </c>
      <c r="AB39" s="1">
        <v>4600</v>
      </c>
      <c r="AC39" s="1">
        <v>0</v>
      </c>
      <c r="AD39" s="1">
        <v>0</v>
      </c>
      <c r="AE39" s="1">
        <v>4600</v>
      </c>
      <c r="AF39" s="1">
        <v>0</v>
      </c>
      <c r="AG39" s="1">
        <v>4600</v>
      </c>
      <c r="AH39" s="1">
        <v>0</v>
      </c>
      <c r="AI39" s="1">
        <v>4462</v>
      </c>
      <c r="AJ39" s="1">
        <v>0</v>
      </c>
      <c r="AK39" s="1">
        <v>0</v>
      </c>
      <c r="AL39" s="1">
        <v>4462</v>
      </c>
      <c r="AM39" s="1">
        <v>0</v>
      </c>
      <c r="AN39" s="1">
        <v>4462</v>
      </c>
      <c r="AO39" s="6" t="s">
        <v>215</v>
      </c>
      <c r="AP39" s="6" t="s">
        <v>215</v>
      </c>
      <c r="AQ39" s="6" t="s">
        <v>215</v>
      </c>
      <c r="AR39" s="6" t="s">
        <v>215</v>
      </c>
      <c r="AS39" s="1">
        <v>2677</v>
      </c>
      <c r="AT39" s="1">
        <v>0</v>
      </c>
      <c r="AU39" s="1">
        <v>2677</v>
      </c>
    </row>
    <row r="40" spans="1:47" x14ac:dyDescent="0.3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72</v>
      </c>
      <c r="H40" s="3" t="s">
        <v>73</v>
      </c>
      <c r="I40" s="3" t="s">
        <v>54</v>
      </c>
      <c r="J40" s="3" t="s">
        <v>55</v>
      </c>
      <c r="K40" s="3" t="s">
        <v>218</v>
      </c>
      <c r="L40" s="3" t="s">
        <v>219</v>
      </c>
      <c r="M40" s="3" t="s">
        <v>220</v>
      </c>
      <c r="N40" s="3" t="s">
        <v>59</v>
      </c>
      <c r="O40" s="3" t="s">
        <v>59</v>
      </c>
      <c r="P40" s="3" t="s">
        <v>59</v>
      </c>
      <c r="Q40" s="3" t="s">
        <v>77</v>
      </c>
      <c r="R40" s="3" t="s">
        <v>61</v>
      </c>
      <c r="S40" s="3" t="s">
        <v>63</v>
      </c>
      <c r="T40" s="1">
        <v>0</v>
      </c>
      <c r="U40" s="1">
        <v>9000</v>
      </c>
      <c r="V40" s="1">
        <v>0</v>
      </c>
      <c r="W40" s="1">
        <v>0</v>
      </c>
      <c r="X40" s="1">
        <v>9000</v>
      </c>
      <c r="Y40" s="1">
        <v>0</v>
      </c>
      <c r="Z40" s="1">
        <v>9000</v>
      </c>
      <c r="AA40" s="1">
        <v>0</v>
      </c>
      <c r="AB40" s="1">
        <v>9000</v>
      </c>
      <c r="AC40" s="1">
        <v>0</v>
      </c>
      <c r="AD40" s="1">
        <v>0</v>
      </c>
      <c r="AE40" s="1">
        <v>9000</v>
      </c>
      <c r="AF40" s="1">
        <v>0</v>
      </c>
      <c r="AG40" s="1">
        <v>9000</v>
      </c>
      <c r="AH40" s="1">
        <v>0</v>
      </c>
      <c r="AI40" s="1">
        <v>8730</v>
      </c>
      <c r="AJ40" s="1">
        <v>0</v>
      </c>
      <c r="AK40" s="1">
        <v>0</v>
      </c>
      <c r="AL40" s="1">
        <v>8730</v>
      </c>
      <c r="AM40" s="1">
        <v>0</v>
      </c>
      <c r="AN40" s="1">
        <v>8730</v>
      </c>
      <c r="AO40" s="6" t="s">
        <v>215</v>
      </c>
      <c r="AP40" s="6" t="s">
        <v>215</v>
      </c>
      <c r="AQ40" s="6" t="s">
        <v>215</v>
      </c>
      <c r="AR40" s="6" t="s">
        <v>215</v>
      </c>
      <c r="AS40" s="1">
        <v>5238</v>
      </c>
      <c r="AT40" s="1">
        <v>0</v>
      </c>
      <c r="AU40" s="1">
        <v>5238</v>
      </c>
    </row>
    <row r="41" spans="1:47" x14ac:dyDescent="0.3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72</v>
      </c>
      <c r="H41" s="3" t="s">
        <v>73</v>
      </c>
      <c r="I41" s="3" t="s">
        <v>54</v>
      </c>
      <c r="J41" s="3" t="s">
        <v>55</v>
      </c>
      <c r="K41" s="3" t="s">
        <v>93</v>
      </c>
      <c r="L41" s="3" t="s">
        <v>94</v>
      </c>
      <c r="M41" s="3" t="s">
        <v>95</v>
      </c>
      <c r="N41" s="3" t="s">
        <v>59</v>
      </c>
      <c r="O41" s="3" t="s">
        <v>59</v>
      </c>
      <c r="P41" s="3" t="s">
        <v>59</v>
      </c>
      <c r="Q41" s="3" t="s">
        <v>77</v>
      </c>
      <c r="R41" s="3" t="s">
        <v>61</v>
      </c>
      <c r="S41" s="3" t="s">
        <v>62</v>
      </c>
      <c r="T41" s="1">
        <v>998600</v>
      </c>
      <c r="U41" s="1">
        <v>413900</v>
      </c>
      <c r="V41" s="1">
        <v>38400</v>
      </c>
      <c r="W41" s="1">
        <v>120300</v>
      </c>
      <c r="X41" s="1">
        <v>1450900</v>
      </c>
      <c r="Y41" s="1">
        <v>120300</v>
      </c>
      <c r="Z41" s="1">
        <v>1571200</v>
      </c>
      <c r="AA41" s="1">
        <v>1198320</v>
      </c>
      <c r="AB41" s="1">
        <v>413900</v>
      </c>
      <c r="AC41" s="1">
        <v>46080</v>
      </c>
      <c r="AD41" s="1">
        <v>120300</v>
      </c>
      <c r="AE41" s="1">
        <v>1658300</v>
      </c>
      <c r="AF41" s="1">
        <v>120300</v>
      </c>
      <c r="AG41" s="1">
        <v>1778600</v>
      </c>
      <c r="AH41" s="1">
        <v>1078488</v>
      </c>
      <c r="AI41" s="1">
        <v>401483</v>
      </c>
      <c r="AJ41" s="1">
        <v>32256</v>
      </c>
      <c r="AK41" s="1">
        <v>108270</v>
      </c>
      <c r="AL41" s="1">
        <v>1512227</v>
      </c>
      <c r="AM41" s="1">
        <v>108270</v>
      </c>
      <c r="AN41" s="1">
        <v>1620497</v>
      </c>
      <c r="AO41" s="6" t="s">
        <v>215</v>
      </c>
      <c r="AP41" s="6" t="s">
        <v>215</v>
      </c>
      <c r="AQ41" s="6" t="s">
        <v>215</v>
      </c>
      <c r="AR41" s="6" t="s">
        <v>215</v>
      </c>
      <c r="AS41" s="1">
        <v>972299</v>
      </c>
      <c r="AT41" s="1">
        <v>0</v>
      </c>
      <c r="AU41" s="1">
        <v>972299</v>
      </c>
    </row>
    <row r="42" spans="1:47" x14ac:dyDescent="0.3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72</v>
      </c>
      <c r="H42" s="3" t="s">
        <v>73</v>
      </c>
      <c r="I42" s="3" t="s">
        <v>54</v>
      </c>
      <c r="J42" s="3" t="s">
        <v>55</v>
      </c>
      <c r="K42" s="3" t="s">
        <v>93</v>
      </c>
      <c r="L42" s="3" t="s">
        <v>94</v>
      </c>
      <c r="M42" s="3" t="s">
        <v>95</v>
      </c>
      <c r="N42" s="3" t="s">
        <v>59</v>
      </c>
      <c r="O42" s="3" t="s">
        <v>59</v>
      </c>
      <c r="P42" s="3" t="s">
        <v>59</v>
      </c>
      <c r="Q42" s="3" t="s">
        <v>77</v>
      </c>
      <c r="R42" s="3" t="s">
        <v>61</v>
      </c>
      <c r="S42" s="3" t="s">
        <v>63</v>
      </c>
      <c r="T42" s="1">
        <v>190700</v>
      </c>
      <c r="U42" s="1">
        <v>10400</v>
      </c>
      <c r="V42" s="1">
        <v>0</v>
      </c>
      <c r="W42" s="1">
        <v>500</v>
      </c>
      <c r="X42" s="1">
        <v>201100</v>
      </c>
      <c r="Y42" s="1">
        <v>500</v>
      </c>
      <c r="Z42" s="1">
        <v>201600</v>
      </c>
      <c r="AA42" s="1">
        <v>228840</v>
      </c>
      <c r="AB42" s="1">
        <v>10400</v>
      </c>
      <c r="AC42" s="1">
        <v>0</v>
      </c>
      <c r="AD42" s="1">
        <v>500</v>
      </c>
      <c r="AE42" s="1">
        <v>239240</v>
      </c>
      <c r="AF42" s="1">
        <v>500</v>
      </c>
      <c r="AG42" s="1">
        <v>239740</v>
      </c>
      <c r="AH42" s="1">
        <v>205956</v>
      </c>
      <c r="AI42" s="1">
        <v>10088</v>
      </c>
      <c r="AJ42" s="1">
        <v>0</v>
      </c>
      <c r="AK42" s="1">
        <v>450</v>
      </c>
      <c r="AL42" s="1">
        <v>216044</v>
      </c>
      <c r="AM42" s="1">
        <v>450</v>
      </c>
      <c r="AN42" s="1">
        <v>216494</v>
      </c>
      <c r="AO42" s="6" t="s">
        <v>215</v>
      </c>
      <c r="AP42" s="6" t="s">
        <v>215</v>
      </c>
      <c r="AQ42" s="6" t="s">
        <v>215</v>
      </c>
      <c r="AR42" s="6" t="s">
        <v>215</v>
      </c>
      <c r="AS42" s="1">
        <v>129897</v>
      </c>
      <c r="AT42" s="1">
        <v>0</v>
      </c>
      <c r="AU42" s="1">
        <v>129897</v>
      </c>
    </row>
    <row r="43" spans="1:47" x14ac:dyDescent="0.3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72</v>
      </c>
      <c r="H43" s="3" t="s">
        <v>73</v>
      </c>
      <c r="I43" s="3" t="s">
        <v>54</v>
      </c>
      <c r="J43" s="3" t="s">
        <v>55</v>
      </c>
      <c r="K43" s="3" t="s">
        <v>96</v>
      </c>
      <c r="L43" s="3" t="s">
        <v>97</v>
      </c>
      <c r="M43" s="3" t="s">
        <v>98</v>
      </c>
      <c r="N43" s="3" t="s">
        <v>59</v>
      </c>
      <c r="O43" s="3" t="s">
        <v>59</v>
      </c>
      <c r="P43" s="3" t="s">
        <v>59</v>
      </c>
      <c r="Q43" s="3" t="s">
        <v>77</v>
      </c>
      <c r="R43" s="3" t="s">
        <v>61</v>
      </c>
      <c r="S43" s="3" t="s">
        <v>71</v>
      </c>
      <c r="T43" s="1">
        <v>0</v>
      </c>
      <c r="U43" s="1">
        <v>74600</v>
      </c>
      <c r="V43" s="1">
        <v>0</v>
      </c>
      <c r="W43" s="1">
        <v>25300</v>
      </c>
      <c r="X43" s="1">
        <v>74600</v>
      </c>
      <c r="Y43" s="1">
        <v>25300</v>
      </c>
      <c r="Z43" s="1">
        <v>99900</v>
      </c>
      <c r="AA43" s="1">
        <v>0</v>
      </c>
      <c r="AB43" s="1">
        <v>74600</v>
      </c>
      <c r="AC43" s="1">
        <v>0</v>
      </c>
      <c r="AD43" s="1">
        <v>25300</v>
      </c>
      <c r="AE43" s="1">
        <v>74600</v>
      </c>
      <c r="AF43" s="1">
        <v>25300</v>
      </c>
      <c r="AG43" s="1">
        <v>99900</v>
      </c>
      <c r="AH43" s="1">
        <v>0</v>
      </c>
      <c r="AI43" s="1">
        <v>72362</v>
      </c>
      <c r="AJ43" s="1">
        <v>0</v>
      </c>
      <c r="AK43" s="1">
        <v>22770</v>
      </c>
      <c r="AL43" s="1">
        <v>72362</v>
      </c>
      <c r="AM43" s="1">
        <v>22770</v>
      </c>
      <c r="AN43" s="1">
        <v>95132</v>
      </c>
      <c r="AO43" s="6" t="s">
        <v>215</v>
      </c>
      <c r="AP43" s="6" t="s">
        <v>215</v>
      </c>
      <c r="AQ43" s="6" t="s">
        <v>215</v>
      </c>
      <c r="AR43" s="6" t="s">
        <v>215</v>
      </c>
      <c r="AS43" s="1">
        <v>57079</v>
      </c>
      <c r="AT43" s="1">
        <v>0</v>
      </c>
      <c r="AU43" s="1">
        <v>57079</v>
      </c>
    </row>
    <row r="44" spans="1:47" x14ac:dyDescent="0.3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72</v>
      </c>
      <c r="H44" s="3" t="s">
        <v>73</v>
      </c>
      <c r="I44" s="3" t="s">
        <v>54</v>
      </c>
      <c r="J44" s="3" t="s">
        <v>55</v>
      </c>
      <c r="K44" s="3" t="s">
        <v>99</v>
      </c>
      <c r="L44" s="3" t="s">
        <v>100</v>
      </c>
      <c r="M44" s="3" t="s">
        <v>70</v>
      </c>
      <c r="N44" s="3" t="s">
        <v>59</v>
      </c>
      <c r="O44" s="3" t="s">
        <v>59</v>
      </c>
      <c r="P44" s="3" t="s">
        <v>59</v>
      </c>
      <c r="Q44" s="3" t="s">
        <v>77</v>
      </c>
      <c r="R44" s="3" t="s">
        <v>61</v>
      </c>
      <c r="S44" s="3" t="s">
        <v>71</v>
      </c>
      <c r="T44" s="1">
        <v>2700</v>
      </c>
      <c r="U44" s="1">
        <v>0</v>
      </c>
      <c r="V44" s="1">
        <v>0</v>
      </c>
      <c r="W44" s="1">
        <v>1800</v>
      </c>
      <c r="X44" s="1">
        <v>2700</v>
      </c>
      <c r="Y44" s="1">
        <v>1800</v>
      </c>
      <c r="Z44" s="1">
        <v>4500</v>
      </c>
      <c r="AA44" s="1">
        <v>3240</v>
      </c>
      <c r="AB44" s="1">
        <v>0</v>
      </c>
      <c r="AC44" s="1">
        <v>0</v>
      </c>
      <c r="AD44" s="1">
        <v>1800</v>
      </c>
      <c r="AE44" s="1">
        <v>3240</v>
      </c>
      <c r="AF44" s="1">
        <v>1800</v>
      </c>
      <c r="AG44" s="1">
        <v>5040</v>
      </c>
      <c r="AH44" s="1">
        <v>2916</v>
      </c>
      <c r="AI44" s="1">
        <v>0</v>
      </c>
      <c r="AJ44" s="1">
        <v>0</v>
      </c>
      <c r="AK44" s="1">
        <v>1620</v>
      </c>
      <c r="AL44" s="1">
        <v>2916</v>
      </c>
      <c r="AM44" s="1">
        <v>1620</v>
      </c>
      <c r="AN44" s="1">
        <v>4536</v>
      </c>
      <c r="AO44" s="6" t="s">
        <v>215</v>
      </c>
      <c r="AP44" s="6" t="s">
        <v>215</v>
      </c>
      <c r="AQ44" s="6" t="s">
        <v>215</v>
      </c>
      <c r="AR44" s="6" t="s">
        <v>215</v>
      </c>
      <c r="AS44" s="1">
        <v>2722</v>
      </c>
      <c r="AT44" s="1">
        <v>0</v>
      </c>
      <c r="AU44" s="1">
        <v>2722</v>
      </c>
    </row>
    <row r="45" spans="1:47" x14ac:dyDescent="0.3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72</v>
      </c>
      <c r="H45" s="3" t="s">
        <v>73</v>
      </c>
      <c r="I45" s="3" t="s">
        <v>54</v>
      </c>
      <c r="J45" s="3" t="s">
        <v>55</v>
      </c>
      <c r="K45" s="3" t="s">
        <v>101</v>
      </c>
      <c r="L45" s="3" t="s">
        <v>102</v>
      </c>
      <c r="M45" s="3" t="s">
        <v>98</v>
      </c>
      <c r="N45" s="3" t="s">
        <v>59</v>
      </c>
      <c r="O45" s="3" t="s">
        <v>59</v>
      </c>
      <c r="P45" s="3" t="s">
        <v>59</v>
      </c>
      <c r="Q45" s="3" t="s">
        <v>77</v>
      </c>
      <c r="R45" s="3" t="s">
        <v>61</v>
      </c>
      <c r="S45" s="3" t="s">
        <v>62</v>
      </c>
      <c r="T45" s="1">
        <v>2700</v>
      </c>
      <c r="U45" s="1">
        <v>0</v>
      </c>
      <c r="V45" s="1">
        <v>0</v>
      </c>
      <c r="W45" s="1">
        <v>13300</v>
      </c>
      <c r="X45" s="1">
        <v>2700</v>
      </c>
      <c r="Y45" s="1">
        <v>13300</v>
      </c>
      <c r="Z45" s="1">
        <v>16000</v>
      </c>
      <c r="AA45" s="1">
        <v>3240</v>
      </c>
      <c r="AB45" s="1">
        <v>0</v>
      </c>
      <c r="AC45" s="1">
        <v>0</v>
      </c>
      <c r="AD45" s="1">
        <v>13300</v>
      </c>
      <c r="AE45" s="1">
        <v>3240</v>
      </c>
      <c r="AF45" s="1">
        <v>13300</v>
      </c>
      <c r="AG45" s="1">
        <v>16540</v>
      </c>
      <c r="AH45" s="1">
        <v>2916</v>
      </c>
      <c r="AI45" s="1">
        <v>0</v>
      </c>
      <c r="AJ45" s="1">
        <v>0</v>
      </c>
      <c r="AK45" s="1">
        <v>11970</v>
      </c>
      <c r="AL45" s="1">
        <v>2916</v>
      </c>
      <c r="AM45" s="1">
        <v>11970</v>
      </c>
      <c r="AN45" s="1">
        <v>14886</v>
      </c>
      <c r="AO45" s="6" t="s">
        <v>215</v>
      </c>
      <c r="AP45" s="6" t="s">
        <v>215</v>
      </c>
      <c r="AQ45" s="6" t="s">
        <v>215</v>
      </c>
      <c r="AR45" s="6" t="s">
        <v>215</v>
      </c>
      <c r="AS45" s="1">
        <v>8932</v>
      </c>
      <c r="AT45" s="1">
        <v>0</v>
      </c>
      <c r="AU45" s="1">
        <v>8932</v>
      </c>
    </row>
    <row r="46" spans="1:47" x14ac:dyDescent="0.3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72</v>
      </c>
      <c r="H46" s="3" t="s">
        <v>73</v>
      </c>
      <c r="I46" s="3" t="s">
        <v>54</v>
      </c>
      <c r="J46" s="3" t="s">
        <v>55</v>
      </c>
      <c r="K46" s="3" t="s">
        <v>101</v>
      </c>
      <c r="L46" s="3" t="s">
        <v>102</v>
      </c>
      <c r="M46" s="3" t="s">
        <v>98</v>
      </c>
      <c r="N46" s="3" t="s">
        <v>59</v>
      </c>
      <c r="O46" s="3" t="s">
        <v>59</v>
      </c>
      <c r="P46" s="3" t="s">
        <v>59</v>
      </c>
      <c r="Q46" s="3" t="s">
        <v>77</v>
      </c>
      <c r="R46" s="3" t="s">
        <v>61</v>
      </c>
      <c r="S46" s="3" t="s">
        <v>71</v>
      </c>
      <c r="T46" s="1">
        <v>0</v>
      </c>
      <c r="U46" s="1">
        <v>48170</v>
      </c>
      <c r="V46" s="1">
        <v>0</v>
      </c>
      <c r="W46" s="1">
        <v>54430</v>
      </c>
      <c r="X46" s="1">
        <v>48170</v>
      </c>
      <c r="Y46" s="1">
        <v>54430</v>
      </c>
      <c r="Z46" s="1">
        <v>102600</v>
      </c>
      <c r="AA46" s="1">
        <v>0</v>
      </c>
      <c r="AB46" s="1">
        <v>48170</v>
      </c>
      <c r="AC46" s="1">
        <v>0</v>
      </c>
      <c r="AD46" s="1">
        <v>54430</v>
      </c>
      <c r="AE46" s="1">
        <v>48170</v>
      </c>
      <c r="AF46" s="1">
        <v>54430</v>
      </c>
      <c r="AG46" s="1">
        <v>102600</v>
      </c>
      <c r="AH46" s="1">
        <v>0</v>
      </c>
      <c r="AI46" s="1">
        <v>46724.9</v>
      </c>
      <c r="AJ46" s="1">
        <v>0</v>
      </c>
      <c r="AK46" s="1">
        <v>48987</v>
      </c>
      <c r="AL46" s="1">
        <v>46724.9</v>
      </c>
      <c r="AM46" s="1">
        <v>48987</v>
      </c>
      <c r="AN46" s="1">
        <v>95711.9</v>
      </c>
      <c r="AO46" s="6" t="s">
        <v>215</v>
      </c>
      <c r="AP46" s="6" t="s">
        <v>215</v>
      </c>
      <c r="AQ46" s="6" t="s">
        <v>215</v>
      </c>
      <c r="AR46" s="6" t="s">
        <v>215</v>
      </c>
      <c r="AS46" s="1">
        <v>57427</v>
      </c>
      <c r="AT46" s="1">
        <v>0</v>
      </c>
      <c r="AU46" s="1">
        <v>57427</v>
      </c>
    </row>
    <row r="47" spans="1:47" x14ac:dyDescent="0.3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72</v>
      </c>
      <c r="H47" s="3" t="s">
        <v>73</v>
      </c>
      <c r="I47" s="3" t="s">
        <v>54</v>
      </c>
      <c r="J47" s="3" t="s">
        <v>55</v>
      </c>
      <c r="K47" s="3" t="s">
        <v>228</v>
      </c>
      <c r="L47" s="3" t="s">
        <v>229</v>
      </c>
      <c r="M47" s="3" t="s">
        <v>98</v>
      </c>
      <c r="N47" s="3" t="s">
        <v>59</v>
      </c>
      <c r="O47" s="3" t="s">
        <v>59</v>
      </c>
      <c r="P47" s="3" t="s">
        <v>59</v>
      </c>
      <c r="Q47" s="3" t="s">
        <v>77</v>
      </c>
      <c r="R47" s="3" t="s">
        <v>61</v>
      </c>
      <c r="S47" s="3" t="s">
        <v>71</v>
      </c>
      <c r="T47" s="1">
        <v>26700</v>
      </c>
      <c r="U47" s="1">
        <v>700</v>
      </c>
      <c r="V47" s="1">
        <v>0</v>
      </c>
      <c r="W47" s="1">
        <v>21200</v>
      </c>
      <c r="X47" s="1">
        <v>27400</v>
      </c>
      <c r="Y47" s="1">
        <v>21200</v>
      </c>
      <c r="Z47" s="1">
        <v>48600</v>
      </c>
      <c r="AA47" s="1">
        <v>32040</v>
      </c>
      <c r="AB47" s="1">
        <v>700</v>
      </c>
      <c r="AC47" s="1">
        <v>0</v>
      </c>
      <c r="AD47" s="1">
        <v>21200</v>
      </c>
      <c r="AE47" s="1">
        <v>32740</v>
      </c>
      <c r="AF47" s="1">
        <v>21200</v>
      </c>
      <c r="AG47" s="1">
        <v>53940</v>
      </c>
      <c r="AH47" s="1">
        <v>28836</v>
      </c>
      <c r="AI47" s="1">
        <v>679</v>
      </c>
      <c r="AJ47" s="1">
        <v>0</v>
      </c>
      <c r="AK47" s="1">
        <v>19080</v>
      </c>
      <c r="AL47" s="1">
        <v>29515</v>
      </c>
      <c r="AM47" s="1">
        <v>19080</v>
      </c>
      <c r="AN47" s="1">
        <v>48595</v>
      </c>
      <c r="AO47" s="6" t="s">
        <v>215</v>
      </c>
      <c r="AP47" s="6" t="s">
        <v>215</v>
      </c>
      <c r="AQ47" s="6" t="s">
        <v>215</v>
      </c>
      <c r="AR47" s="6" t="s">
        <v>215</v>
      </c>
      <c r="AS47" s="1">
        <v>29157</v>
      </c>
      <c r="AT47" s="1">
        <v>0</v>
      </c>
      <c r="AU47" s="1">
        <v>29157</v>
      </c>
    </row>
    <row r="48" spans="1:47" x14ac:dyDescent="0.3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72</v>
      </c>
      <c r="H48" s="3" t="s">
        <v>73</v>
      </c>
      <c r="I48" s="3" t="s">
        <v>54</v>
      </c>
      <c r="J48" s="3" t="s">
        <v>55</v>
      </c>
      <c r="K48" s="3" t="s">
        <v>103</v>
      </c>
      <c r="L48" s="3" t="s">
        <v>104</v>
      </c>
      <c r="M48" s="3" t="s">
        <v>98</v>
      </c>
      <c r="N48" s="3" t="s">
        <v>59</v>
      </c>
      <c r="O48" s="3" t="s">
        <v>59</v>
      </c>
      <c r="P48" s="3" t="s">
        <v>59</v>
      </c>
      <c r="Q48" s="3" t="s">
        <v>77</v>
      </c>
      <c r="R48" s="3" t="s">
        <v>61</v>
      </c>
      <c r="S48" s="3" t="s">
        <v>71</v>
      </c>
      <c r="T48" s="1">
        <v>0</v>
      </c>
      <c r="U48" s="1">
        <v>1800</v>
      </c>
      <c r="V48" s="1">
        <v>0</v>
      </c>
      <c r="W48" s="1">
        <v>9900</v>
      </c>
      <c r="X48" s="1">
        <v>1800</v>
      </c>
      <c r="Y48" s="1">
        <v>9900</v>
      </c>
      <c r="Z48" s="1">
        <v>11700</v>
      </c>
      <c r="AA48" s="1">
        <v>0</v>
      </c>
      <c r="AB48" s="1">
        <v>1800</v>
      </c>
      <c r="AC48" s="1">
        <v>0</v>
      </c>
      <c r="AD48" s="1">
        <v>9900</v>
      </c>
      <c r="AE48" s="1">
        <v>1800</v>
      </c>
      <c r="AF48" s="1">
        <v>9900</v>
      </c>
      <c r="AG48" s="1">
        <v>11700</v>
      </c>
      <c r="AH48" s="1">
        <v>0</v>
      </c>
      <c r="AI48" s="1">
        <v>1746</v>
      </c>
      <c r="AJ48" s="1">
        <v>0</v>
      </c>
      <c r="AK48" s="1">
        <v>8910</v>
      </c>
      <c r="AL48" s="1">
        <v>1746</v>
      </c>
      <c r="AM48" s="1">
        <v>8910</v>
      </c>
      <c r="AN48" s="1">
        <v>10656</v>
      </c>
      <c r="AO48" s="6" t="s">
        <v>215</v>
      </c>
      <c r="AP48" s="6" t="s">
        <v>215</v>
      </c>
      <c r="AQ48" s="6" t="s">
        <v>215</v>
      </c>
      <c r="AR48" s="6" t="s">
        <v>215</v>
      </c>
      <c r="AS48" s="1">
        <v>6394</v>
      </c>
      <c r="AT48" s="1">
        <v>0</v>
      </c>
      <c r="AU48" s="1">
        <v>6394</v>
      </c>
    </row>
    <row r="49" spans="1:47" x14ac:dyDescent="0.3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72</v>
      </c>
      <c r="H49" s="3" t="s">
        <v>73</v>
      </c>
      <c r="I49" s="3" t="s">
        <v>54</v>
      </c>
      <c r="J49" s="3" t="s">
        <v>55</v>
      </c>
      <c r="K49" s="3" t="s">
        <v>230</v>
      </c>
      <c r="L49" s="3" t="s">
        <v>231</v>
      </c>
      <c r="M49" s="3" t="s">
        <v>232</v>
      </c>
      <c r="N49" s="3" t="s">
        <v>59</v>
      </c>
      <c r="O49" s="3" t="s">
        <v>59</v>
      </c>
      <c r="P49" s="3" t="s">
        <v>59</v>
      </c>
      <c r="Q49" s="3" t="s">
        <v>77</v>
      </c>
      <c r="R49" s="3" t="s">
        <v>61</v>
      </c>
      <c r="S49" s="3" t="s">
        <v>71</v>
      </c>
      <c r="T49" s="1">
        <v>5400</v>
      </c>
      <c r="U49" s="1">
        <v>0</v>
      </c>
      <c r="V49" s="1">
        <v>0</v>
      </c>
      <c r="W49" s="1">
        <v>900</v>
      </c>
      <c r="X49" s="1">
        <v>5400</v>
      </c>
      <c r="Y49" s="1">
        <v>900</v>
      </c>
      <c r="Z49" s="1">
        <v>6300</v>
      </c>
      <c r="AA49" s="1">
        <v>6480</v>
      </c>
      <c r="AB49" s="1">
        <v>0</v>
      </c>
      <c r="AC49" s="1">
        <v>0</v>
      </c>
      <c r="AD49" s="1">
        <v>900</v>
      </c>
      <c r="AE49" s="1">
        <v>6480</v>
      </c>
      <c r="AF49" s="1">
        <v>900</v>
      </c>
      <c r="AG49" s="1">
        <v>7380</v>
      </c>
      <c r="AH49" s="1">
        <v>5832</v>
      </c>
      <c r="AI49" s="1">
        <v>0</v>
      </c>
      <c r="AJ49" s="1">
        <v>0</v>
      </c>
      <c r="AK49" s="1">
        <v>810</v>
      </c>
      <c r="AL49" s="1">
        <v>5832</v>
      </c>
      <c r="AM49" s="1">
        <v>810</v>
      </c>
      <c r="AN49" s="1">
        <v>6642</v>
      </c>
      <c r="AO49" s="6" t="s">
        <v>215</v>
      </c>
      <c r="AP49" s="6" t="s">
        <v>215</v>
      </c>
      <c r="AQ49" s="6" t="s">
        <v>215</v>
      </c>
      <c r="AR49" s="6" t="s">
        <v>215</v>
      </c>
      <c r="AS49" s="1">
        <v>3985</v>
      </c>
      <c r="AT49" s="1">
        <v>0</v>
      </c>
      <c r="AU49" s="1">
        <v>3985</v>
      </c>
    </row>
    <row r="50" spans="1:47" x14ac:dyDescent="0.3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105</v>
      </c>
      <c r="H50" s="3" t="s">
        <v>106</v>
      </c>
      <c r="I50" s="3" t="s">
        <v>54</v>
      </c>
      <c r="J50" s="3" t="s">
        <v>55</v>
      </c>
      <c r="K50" s="3" t="s">
        <v>107</v>
      </c>
      <c r="L50" s="3" t="s">
        <v>108</v>
      </c>
      <c r="M50" s="3" t="s">
        <v>109</v>
      </c>
      <c r="N50" s="3" t="s">
        <v>59</v>
      </c>
      <c r="O50" s="3" t="s">
        <v>59</v>
      </c>
      <c r="P50" s="3" t="s">
        <v>59</v>
      </c>
      <c r="Q50" s="3" t="s">
        <v>110</v>
      </c>
      <c r="R50" s="3" t="s">
        <v>61</v>
      </c>
      <c r="S50" s="3" t="s">
        <v>62</v>
      </c>
      <c r="T50" s="1">
        <v>9780</v>
      </c>
      <c r="U50" s="1">
        <v>5100</v>
      </c>
      <c r="V50" s="1">
        <v>0</v>
      </c>
      <c r="W50" s="1">
        <v>26620</v>
      </c>
      <c r="X50" s="1">
        <v>14880</v>
      </c>
      <c r="Y50" s="1">
        <v>26620</v>
      </c>
      <c r="Z50" s="1">
        <v>41500</v>
      </c>
      <c r="AA50" s="1">
        <v>11736</v>
      </c>
      <c r="AB50" s="1">
        <v>5100</v>
      </c>
      <c r="AC50" s="1">
        <v>0</v>
      </c>
      <c r="AD50" s="1">
        <v>26620</v>
      </c>
      <c r="AE50" s="1">
        <v>16836</v>
      </c>
      <c r="AF50" s="1">
        <v>26620</v>
      </c>
      <c r="AG50" s="1">
        <v>43456</v>
      </c>
      <c r="AH50" s="1">
        <v>10562.4</v>
      </c>
      <c r="AI50" s="1">
        <v>4947</v>
      </c>
      <c r="AJ50" s="1">
        <v>0</v>
      </c>
      <c r="AK50" s="1">
        <v>23958</v>
      </c>
      <c r="AL50" s="1">
        <v>15509.4</v>
      </c>
      <c r="AM50" s="1">
        <v>23958</v>
      </c>
      <c r="AN50" s="1">
        <v>39467.4</v>
      </c>
      <c r="AO50" s="6" t="s">
        <v>215</v>
      </c>
      <c r="AP50" s="6" t="s">
        <v>215</v>
      </c>
      <c r="AQ50" s="6" t="s">
        <v>215</v>
      </c>
      <c r="AR50" s="6" t="s">
        <v>215</v>
      </c>
      <c r="AS50" s="1">
        <v>23680</v>
      </c>
      <c r="AT50" s="1">
        <v>0</v>
      </c>
      <c r="AU50" s="1">
        <v>23680</v>
      </c>
    </row>
    <row r="51" spans="1:47" x14ac:dyDescent="0.3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105</v>
      </c>
      <c r="H51" s="3" t="s">
        <v>106</v>
      </c>
      <c r="I51" s="3" t="s">
        <v>54</v>
      </c>
      <c r="J51" s="3" t="s">
        <v>55</v>
      </c>
      <c r="K51" s="3" t="s">
        <v>107</v>
      </c>
      <c r="L51" s="3" t="s">
        <v>108</v>
      </c>
      <c r="M51" s="3" t="s">
        <v>109</v>
      </c>
      <c r="N51" s="3" t="s">
        <v>59</v>
      </c>
      <c r="O51" s="3" t="s">
        <v>59</v>
      </c>
      <c r="P51" s="3" t="s">
        <v>59</v>
      </c>
      <c r="Q51" s="3" t="s">
        <v>110</v>
      </c>
      <c r="R51" s="3" t="s">
        <v>61</v>
      </c>
      <c r="S51" s="3" t="s">
        <v>63</v>
      </c>
      <c r="T51" s="1">
        <v>14200</v>
      </c>
      <c r="U51" s="1">
        <v>8800</v>
      </c>
      <c r="V51" s="1">
        <v>0</v>
      </c>
      <c r="W51" s="1">
        <v>6700</v>
      </c>
      <c r="X51" s="1">
        <v>23000</v>
      </c>
      <c r="Y51" s="1">
        <v>6700</v>
      </c>
      <c r="Z51" s="1">
        <v>29700</v>
      </c>
      <c r="AA51" s="1">
        <v>17040</v>
      </c>
      <c r="AB51" s="1">
        <v>8800</v>
      </c>
      <c r="AC51" s="1">
        <v>0</v>
      </c>
      <c r="AD51" s="1">
        <v>6700</v>
      </c>
      <c r="AE51" s="1">
        <v>25840</v>
      </c>
      <c r="AF51" s="1">
        <v>6700</v>
      </c>
      <c r="AG51" s="1">
        <v>32540</v>
      </c>
      <c r="AH51" s="1">
        <v>15336</v>
      </c>
      <c r="AI51" s="1">
        <v>8536</v>
      </c>
      <c r="AJ51" s="1">
        <v>0</v>
      </c>
      <c r="AK51" s="1">
        <v>6030</v>
      </c>
      <c r="AL51" s="1">
        <v>23872</v>
      </c>
      <c r="AM51" s="1">
        <v>6030</v>
      </c>
      <c r="AN51" s="1">
        <v>29902</v>
      </c>
      <c r="AO51" s="6" t="s">
        <v>215</v>
      </c>
      <c r="AP51" s="6" t="s">
        <v>215</v>
      </c>
      <c r="AQ51" s="6" t="s">
        <v>215</v>
      </c>
      <c r="AR51" s="6" t="s">
        <v>215</v>
      </c>
      <c r="AS51" s="1">
        <v>17942</v>
      </c>
      <c r="AT51" s="1">
        <v>0</v>
      </c>
      <c r="AU51" s="1">
        <v>17942</v>
      </c>
    </row>
    <row r="52" spans="1:47" x14ac:dyDescent="0.3">
      <c r="A52" s="3" t="s">
        <v>46</v>
      </c>
      <c r="B52" s="3" t="s">
        <v>47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105</v>
      </c>
      <c r="H52" s="3" t="s">
        <v>106</v>
      </c>
      <c r="I52" s="3" t="s">
        <v>54</v>
      </c>
      <c r="J52" s="3" t="s">
        <v>55</v>
      </c>
      <c r="K52" s="3" t="s">
        <v>107</v>
      </c>
      <c r="L52" s="3" t="s">
        <v>108</v>
      </c>
      <c r="M52" s="3" t="s">
        <v>109</v>
      </c>
      <c r="N52" s="3" t="s">
        <v>59</v>
      </c>
      <c r="O52" s="3" t="s">
        <v>59</v>
      </c>
      <c r="P52" s="3" t="s">
        <v>59</v>
      </c>
      <c r="Q52" s="3" t="s">
        <v>110</v>
      </c>
      <c r="R52" s="3" t="s">
        <v>61</v>
      </c>
      <c r="S52" s="3" t="s">
        <v>63</v>
      </c>
      <c r="T52" s="1">
        <v>9200</v>
      </c>
      <c r="U52" s="1">
        <v>-4500</v>
      </c>
      <c r="V52" s="1">
        <v>0</v>
      </c>
      <c r="W52" s="1">
        <v>0</v>
      </c>
      <c r="X52" s="1">
        <v>4700</v>
      </c>
      <c r="Y52" s="1">
        <v>0</v>
      </c>
      <c r="Z52" s="1">
        <v>4700</v>
      </c>
      <c r="AA52" s="1">
        <v>11040</v>
      </c>
      <c r="AB52" s="1">
        <v>-4500</v>
      </c>
      <c r="AC52" s="1">
        <v>0</v>
      </c>
      <c r="AD52" s="1">
        <v>0</v>
      </c>
      <c r="AE52" s="1">
        <v>6540</v>
      </c>
      <c r="AF52" s="1">
        <v>0</v>
      </c>
      <c r="AG52" s="1">
        <v>6540</v>
      </c>
      <c r="AH52" s="1">
        <v>9936</v>
      </c>
      <c r="AI52" s="1">
        <v>-4365</v>
      </c>
      <c r="AJ52" s="1">
        <v>0</v>
      </c>
      <c r="AK52" s="1">
        <v>0</v>
      </c>
      <c r="AL52" s="1">
        <v>5571</v>
      </c>
      <c r="AM52" s="1">
        <v>0</v>
      </c>
      <c r="AN52" s="1">
        <v>5571</v>
      </c>
      <c r="AO52" s="6" t="s">
        <v>215</v>
      </c>
      <c r="AP52" s="6" t="s">
        <v>215</v>
      </c>
      <c r="AQ52" s="6" t="s">
        <v>215</v>
      </c>
      <c r="AR52" s="6" t="s">
        <v>215</v>
      </c>
      <c r="AS52" s="1">
        <v>3343</v>
      </c>
      <c r="AT52" s="1">
        <v>0</v>
      </c>
      <c r="AU52" s="1">
        <v>3343</v>
      </c>
    </row>
    <row r="53" spans="1:47" x14ac:dyDescent="0.3">
      <c r="A53" s="3" t="s">
        <v>46</v>
      </c>
      <c r="B53" s="3" t="s">
        <v>47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105</v>
      </c>
      <c r="H53" s="3" t="s">
        <v>106</v>
      </c>
      <c r="I53" s="3" t="s">
        <v>54</v>
      </c>
      <c r="J53" s="3" t="s">
        <v>55</v>
      </c>
      <c r="K53" s="3" t="s">
        <v>107</v>
      </c>
      <c r="L53" s="3" t="s">
        <v>108</v>
      </c>
      <c r="M53" s="3" t="s">
        <v>109</v>
      </c>
      <c r="N53" s="3" t="s">
        <v>59</v>
      </c>
      <c r="O53" s="3" t="s">
        <v>59</v>
      </c>
      <c r="P53" s="3" t="s">
        <v>59</v>
      </c>
      <c r="Q53" s="3" t="s">
        <v>110</v>
      </c>
      <c r="R53" s="3" t="s">
        <v>61</v>
      </c>
      <c r="S53" s="3" t="s">
        <v>63</v>
      </c>
      <c r="T53" s="1">
        <v>7200</v>
      </c>
      <c r="U53" s="1">
        <v>0</v>
      </c>
      <c r="V53" s="1">
        <v>0</v>
      </c>
      <c r="W53" s="1">
        <v>0</v>
      </c>
      <c r="X53" s="1">
        <v>7200</v>
      </c>
      <c r="Y53" s="1">
        <v>0</v>
      </c>
      <c r="Z53" s="1">
        <v>7200</v>
      </c>
      <c r="AA53" s="1">
        <v>8640</v>
      </c>
      <c r="AB53" s="1">
        <v>0</v>
      </c>
      <c r="AC53" s="1">
        <v>0</v>
      </c>
      <c r="AD53" s="1">
        <v>0</v>
      </c>
      <c r="AE53" s="1">
        <v>8640</v>
      </c>
      <c r="AF53" s="1">
        <v>0</v>
      </c>
      <c r="AG53" s="1">
        <v>8640</v>
      </c>
      <c r="AH53" s="1">
        <v>7776</v>
      </c>
      <c r="AI53" s="1">
        <v>0</v>
      </c>
      <c r="AJ53" s="1">
        <v>0</v>
      </c>
      <c r="AK53" s="1">
        <v>0</v>
      </c>
      <c r="AL53" s="1">
        <v>7776</v>
      </c>
      <c r="AM53" s="1">
        <v>0</v>
      </c>
      <c r="AN53" s="1">
        <v>7776</v>
      </c>
      <c r="AO53" s="6" t="s">
        <v>215</v>
      </c>
      <c r="AP53" s="6" t="s">
        <v>215</v>
      </c>
      <c r="AQ53" s="6" t="s">
        <v>215</v>
      </c>
      <c r="AR53" s="6" t="s">
        <v>215</v>
      </c>
      <c r="AS53" s="1">
        <v>4666</v>
      </c>
      <c r="AT53" s="1">
        <v>0</v>
      </c>
      <c r="AU53" s="1">
        <v>4666</v>
      </c>
    </row>
    <row r="54" spans="1:47" x14ac:dyDescent="0.3">
      <c r="A54" s="3" t="s">
        <v>46</v>
      </c>
      <c r="B54" s="3" t="s">
        <v>47</v>
      </c>
      <c r="C54" s="3" t="s">
        <v>48</v>
      </c>
      <c r="D54" s="3" t="s">
        <v>49</v>
      </c>
      <c r="E54" s="3" t="s">
        <v>50</v>
      </c>
      <c r="F54" s="3" t="s">
        <v>51</v>
      </c>
      <c r="G54" s="3" t="s">
        <v>105</v>
      </c>
      <c r="H54" s="3" t="s">
        <v>106</v>
      </c>
      <c r="I54" s="3" t="s">
        <v>54</v>
      </c>
      <c r="J54" s="3" t="s">
        <v>55</v>
      </c>
      <c r="K54" s="3" t="s">
        <v>210</v>
      </c>
      <c r="L54" s="3" t="s">
        <v>211</v>
      </c>
      <c r="M54" s="3" t="s">
        <v>212</v>
      </c>
      <c r="N54" s="3" t="s">
        <v>59</v>
      </c>
      <c r="O54" s="3" t="s">
        <v>59</v>
      </c>
      <c r="P54" s="3" t="s">
        <v>59</v>
      </c>
      <c r="Q54" s="3" t="s">
        <v>110</v>
      </c>
      <c r="R54" s="3" t="s">
        <v>61</v>
      </c>
      <c r="S54" s="3" t="s">
        <v>62</v>
      </c>
      <c r="T54" s="1">
        <v>0</v>
      </c>
      <c r="U54" s="1">
        <v>0</v>
      </c>
      <c r="V54" s="1">
        <v>0</v>
      </c>
      <c r="W54" s="1">
        <v>9000</v>
      </c>
      <c r="X54" s="1">
        <v>0</v>
      </c>
      <c r="Y54" s="1">
        <v>9000</v>
      </c>
      <c r="Z54" s="1">
        <v>9000</v>
      </c>
      <c r="AA54" s="1">
        <v>0</v>
      </c>
      <c r="AB54" s="1">
        <v>0</v>
      </c>
      <c r="AC54" s="1">
        <v>0</v>
      </c>
      <c r="AD54" s="1">
        <v>9000</v>
      </c>
      <c r="AE54" s="1">
        <v>0</v>
      </c>
      <c r="AF54" s="1">
        <v>9000</v>
      </c>
      <c r="AG54" s="1">
        <v>9000</v>
      </c>
      <c r="AH54" s="1">
        <v>0</v>
      </c>
      <c r="AI54" s="1">
        <v>0</v>
      </c>
      <c r="AJ54" s="1">
        <v>0</v>
      </c>
      <c r="AK54" s="1">
        <v>8100</v>
      </c>
      <c r="AL54" s="1">
        <v>0</v>
      </c>
      <c r="AM54" s="1">
        <v>8100</v>
      </c>
      <c r="AN54" s="1">
        <v>8100</v>
      </c>
      <c r="AO54" s="6" t="s">
        <v>215</v>
      </c>
      <c r="AP54" s="6" t="s">
        <v>215</v>
      </c>
      <c r="AQ54" s="6" t="s">
        <v>215</v>
      </c>
      <c r="AR54" s="6" t="s">
        <v>215</v>
      </c>
      <c r="AS54" s="1">
        <v>4860</v>
      </c>
      <c r="AT54" s="1">
        <v>0</v>
      </c>
      <c r="AU54" s="1">
        <v>4860</v>
      </c>
    </row>
    <row r="55" spans="1:47" x14ac:dyDescent="0.3">
      <c r="A55" s="3" t="s">
        <v>46</v>
      </c>
      <c r="B55" s="3" t="s">
        <v>47</v>
      </c>
      <c r="C55" s="3" t="s">
        <v>48</v>
      </c>
      <c r="D55" s="3" t="s">
        <v>49</v>
      </c>
      <c r="E55" s="3" t="s">
        <v>50</v>
      </c>
      <c r="F55" s="3" t="s">
        <v>51</v>
      </c>
      <c r="G55" s="3" t="s">
        <v>105</v>
      </c>
      <c r="H55" s="3" t="s">
        <v>106</v>
      </c>
      <c r="I55" s="3" t="s">
        <v>54</v>
      </c>
      <c r="J55" s="3" t="s">
        <v>55</v>
      </c>
      <c r="K55" s="3" t="s">
        <v>213</v>
      </c>
      <c r="L55" s="3" t="s">
        <v>214</v>
      </c>
      <c r="M55" s="3" t="s">
        <v>212</v>
      </c>
      <c r="N55" s="3" t="s">
        <v>59</v>
      </c>
      <c r="O55" s="3" t="s">
        <v>59</v>
      </c>
      <c r="P55" s="3" t="s">
        <v>59</v>
      </c>
      <c r="Q55" s="3" t="s">
        <v>110</v>
      </c>
      <c r="R55" s="3" t="s">
        <v>61</v>
      </c>
      <c r="S55" s="3" t="s">
        <v>62</v>
      </c>
      <c r="T55" s="1">
        <v>0</v>
      </c>
      <c r="U55" s="1">
        <v>1000</v>
      </c>
      <c r="V55" s="1">
        <v>0</v>
      </c>
      <c r="W55" s="1">
        <v>1000</v>
      </c>
      <c r="X55" s="1">
        <v>1000</v>
      </c>
      <c r="Y55" s="1">
        <v>1000</v>
      </c>
      <c r="Z55" s="1">
        <v>2000</v>
      </c>
      <c r="AA55" s="1">
        <v>0</v>
      </c>
      <c r="AB55" s="1">
        <v>1000</v>
      </c>
      <c r="AC55" s="1">
        <v>0</v>
      </c>
      <c r="AD55" s="1">
        <v>1000</v>
      </c>
      <c r="AE55" s="1">
        <v>1000</v>
      </c>
      <c r="AF55" s="1">
        <v>1000</v>
      </c>
      <c r="AG55" s="1">
        <v>2000</v>
      </c>
      <c r="AH55" s="1">
        <v>0</v>
      </c>
      <c r="AI55" s="1">
        <v>970</v>
      </c>
      <c r="AJ55" s="1">
        <v>0</v>
      </c>
      <c r="AK55" s="1">
        <v>900</v>
      </c>
      <c r="AL55" s="1">
        <v>970</v>
      </c>
      <c r="AM55" s="1">
        <v>900</v>
      </c>
      <c r="AN55" s="1">
        <v>1870</v>
      </c>
      <c r="AO55" s="6" t="s">
        <v>215</v>
      </c>
      <c r="AP55" s="6" t="s">
        <v>215</v>
      </c>
      <c r="AQ55" s="6" t="s">
        <v>215</v>
      </c>
      <c r="AR55" s="6" t="s">
        <v>215</v>
      </c>
      <c r="AS55" s="1">
        <v>1122</v>
      </c>
      <c r="AT55" s="1">
        <v>0</v>
      </c>
      <c r="AU55" s="1">
        <v>1122</v>
      </c>
    </row>
    <row r="56" spans="1:47" x14ac:dyDescent="0.3">
      <c r="A56" s="3" t="s">
        <v>46</v>
      </c>
      <c r="B56" s="3" t="s">
        <v>47</v>
      </c>
      <c r="C56" s="3" t="s">
        <v>48</v>
      </c>
      <c r="D56" s="3" t="s">
        <v>49</v>
      </c>
      <c r="E56" s="3" t="s">
        <v>50</v>
      </c>
      <c r="F56" s="3" t="s">
        <v>51</v>
      </c>
      <c r="G56" s="3" t="s">
        <v>111</v>
      </c>
      <c r="H56" s="3" t="s">
        <v>112</v>
      </c>
      <c r="I56" s="3" t="s">
        <v>54</v>
      </c>
      <c r="J56" s="3" t="s">
        <v>55</v>
      </c>
      <c r="K56" s="3" t="s">
        <v>113</v>
      </c>
      <c r="L56" s="3" t="s">
        <v>114</v>
      </c>
      <c r="M56" s="3" t="s">
        <v>115</v>
      </c>
      <c r="N56" s="3" t="s">
        <v>59</v>
      </c>
      <c r="O56" s="3" t="s">
        <v>59</v>
      </c>
      <c r="P56" s="3" t="s">
        <v>59</v>
      </c>
      <c r="Q56" s="3" t="s">
        <v>116</v>
      </c>
      <c r="R56" s="3" t="s">
        <v>61</v>
      </c>
      <c r="S56" s="3" t="s">
        <v>62</v>
      </c>
      <c r="T56" s="1">
        <v>40700</v>
      </c>
      <c r="U56" s="1">
        <v>18640</v>
      </c>
      <c r="V56" s="1">
        <v>2300</v>
      </c>
      <c r="W56" s="1">
        <v>166860</v>
      </c>
      <c r="X56" s="1">
        <v>61640</v>
      </c>
      <c r="Y56" s="1">
        <v>166860</v>
      </c>
      <c r="Z56" s="1">
        <v>228500</v>
      </c>
      <c r="AA56" s="1">
        <v>48840</v>
      </c>
      <c r="AB56" s="1">
        <v>18640</v>
      </c>
      <c r="AC56" s="1">
        <v>2989</v>
      </c>
      <c r="AD56" s="1">
        <v>166860</v>
      </c>
      <c r="AE56" s="1">
        <v>70469</v>
      </c>
      <c r="AF56" s="1">
        <v>166860</v>
      </c>
      <c r="AG56" s="1">
        <v>237329</v>
      </c>
      <c r="AH56" s="1">
        <v>43956</v>
      </c>
      <c r="AI56" s="1">
        <v>18080.8</v>
      </c>
      <c r="AJ56" s="1">
        <v>2092.3000000000002</v>
      </c>
      <c r="AK56" s="1">
        <v>150174</v>
      </c>
      <c r="AL56" s="1">
        <v>64129.1</v>
      </c>
      <c r="AM56" s="1">
        <v>150174</v>
      </c>
      <c r="AN56" s="1">
        <v>214303.1</v>
      </c>
      <c r="AO56" s="6" t="s">
        <v>215</v>
      </c>
      <c r="AP56" s="6" t="s">
        <v>215</v>
      </c>
      <c r="AQ56" s="6" t="s">
        <v>215</v>
      </c>
      <c r="AR56" s="6" t="s">
        <v>215</v>
      </c>
      <c r="AS56" s="1">
        <v>128581</v>
      </c>
      <c r="AT56" s="1">
        <v>0</v>
      </c>
      <c r="AU56" s="1">
        <v>128581</v>
      </c>
    </row>
    <row r="57" spans="1:47" x14ac:dyDescent="0.3">
      <c r="A57" s="3" t="s">
        <v>46</v>
      </c>
      <c r="B57" s="3" t="s">
        <v>47</v>
      </c>
      <c r="C57" s="3" t="s">
        <v>48</v>
      </c>
      <c r="D57" s="3" t="s">
        <v>49</v>
      </c>
      <c r="E57" s="3" t="s">
        <v>50</v>
      </c>
      <c r="F57" s="3" t="s">
        <v>51</v>
      </c>
      <c r="G57" s="3" t="s">
        <v>111</v>
      </c>
      <c r="H57" s="3" t="s">
        <v>112</v>
      </c>
      <c r="I57" s="3" t="s">
        <v>54</v>
      </c>
      <c r="J57" s="3" t="s">
        <v>55</v>
      </c>
      <c r="K57" s="3" t="s">
        <v>221</v>
      </c>
      <c r="L57" s="3" t="s">
        <v>222</v>
      </c>
      <c r="M57" s="3" t="s">
        <v>223</v>
      </c>
      <c r="N57" s="3" t="s">
        <v>59</v>
      </c>
      <c r="O57" s="3" t="s">
        <v>59</v>
      </c>
      <c r="P57" s="3" t="s">
        <v>59</v>
      </c>
      <c r="Q57" s="3" t="s">
        <v>116</v>
      </c>
      <c r="R57" s="3" t="s">
        <v>61</v>
      </c>
      <c r="S57" s="3" t="s">
        <v>62</v>
      </c>
      <c r="T57" s="1">
        <v>0</v>
      </c>
      <c r="U57" s="1">
        <v>8100</v>
      </c>
      <c r="V57" s="1">
        <v>0</v>
      </c>
      <c r="W57" s="1">
        <v>5400</v>
      </c>
      <c r="X57" s="1">
        <v>8100</v>
      </c>
      <c r="Y57" s="1">
        <v>5400</v>
      </c>
      <c r="Z57" s="1">
        <v>13500</v>
      </c>
      <c r="AA57" s="1">
        <v>0</v>
      </c>
      <c r="AB57" s="1">
        <v>8100</v>
      </c>
      <c r="AC57" s="1">
        <v>0</v>
      </c>
      <c r="AD57" s="1">
        <v>5400</v>
      </c>
      <c r="AE57" s="1">
        <v>8100</v>
      </c>
      <c r="AF57" s="1">
        <v>5400</v>
      </c>
      <c r="AG57" s="1">
        <v>13500</v>
      </c>
      <c r="AH57" s="1">
        <v>0</v>
      </c>
      <c r="AI57" s="1">
        <v>7857</v>
      </c>
      <c r="AJ57" s="1">
        <v>0</v>
      </c>
      <c r="AK57" s="1">
        <v>4860</v>
      </c>
      <c r="AL57" s="1">
        <v>7857</v>
      </c>
      <c r="AM57" s="1">
        <v>4860</v>
      </c>
      <c r="AN57" s="1">
        <v>12717</v>
      </c>
      <c r="AO57" s="6" t="s">
        <v>215</v>
      </c>
      <c r="AP57" s="6" t="s">
        <v>215</v>
      </c>
      <c r="AQ57" s="6" t="s">
        <v>215</v>
      </c>
      <c r="AR57" s="6" t="s">
        <v>215</v>
      </c>
      <c r="AS57" s="1">
        <v>7630</v>
      </c>
      <c r="AT57" s="1">
        <v>0</v>
      </c>
      <c r="AU57" s="1">
        <v>7630</v>
      </c>
    </row>
    <row r="58" spans="1:47" x14ac:dyDescent="0.3">
      <c r="A58" s="3" t="s">
        <v>46</v>
      </c>
      <c r="B58" s="3" t="s">
        <v>47</v>
      </c>
      <c r="C58" s="3" t="s">
        <v>48</v>
      </c>
      <c r="D58" s="3" t="s">
        <v>49</v>
      </c>
      <c r="E58" s="3" t="s">
        <v>50</v>
      </c>
      <c r="F58" s="3" t="s">
        <v>51</v>
      </c>
      <c r="G58" s="3" t="s">
        <v>117</v>
      </c>
      <c r="H58" s="3" t="s">
        <v>118</v>
      </c>
      <c r="I58" s="3" t="s">
        <v>54</v>
      </c>
      <c r="J58" s="3" t="s">
        <v>55</v>
      </c>
      <c r="K58" s="3" t="s">
        <v>119</v>
      </c>
      <c r="L58" s="3" t="s">
        <v>120</v>
      </c>
      <c r="M58" s="3" t="s">
        <v>121</v>
      </c>
      <c r="N58" s="3" t="s">
        <v>59</v>
      </c>
      <c r="O58" s="3" t="s">
        <v>59</v>
      </c>
      <c r="P58" s="3" t="s">
        <v>59</v>
      </c>
      <c r="Q58" s="3" t="s">
        <v>122</v>
      </c>
      <c r="R58" s="3" t="s">
        <v>61</v>
      </c>
      <c r="S58" s="3" t="s">
        <v>62</v>
      </c>
      <c r="T58" s="1">
        <v>-500</v>
      </c>
      <c r="U58" s="1">
        <v>13200</v>
      </c>
      <c r="V58" s="1">
        <v>4000</v>
      </c>
      <c r="W58" s="1">
        <v>27000</v>
      </c>
      <c r="X58" s="1">
        <v>16700</v>
      </c>
      <c r="Y58" s="1">
        <v>27000</v>
      </c>
      <c r="Z58" s="1">
        <v>43700</v>
      </c>
      <c r="AA58" s="1">
        <v>-600</v>
      </c>
      <c r="AB58" s="1">
        <v>13200</v>
      </c>
      <c r="AC58" s="1">
        <v>4800</v>
      </c>
      <c r="AD58" s="1">
        <v>27000</v>
      </c>
      <c r="AE58" s="1">
        <v>17400</v>
      </c>
      <c r="AF58" s="1">
        <v>27000</v>
      </c>
      <c r="AG58" s="1">
        <v>44400</v>
      </c>
      <c r="AH58" s="1">
        <v>-540</v>
      </c>
      <c r="AI58" s="1">
        <v>12804</v>
      </c>
      <c r="AJ58" s="1">
        <v>3360</v>
      </c>
      <c r="AK58" s="1">
        <v>24300</v>
      </c>
      <c r="AL58" s="1">
        <v>15624</v>
      </c>
      <c r="AM58" s="1">
        <v>24300</v>
      </c>
      <c r="AN58" s="1">
        <v>39924</v>
      </c>
      <c r="AO58" s="6" t="s">
        <v>215</v>
      </c>
      <c r="AP58" s="6" t="s">
        <v>215</v>
      </c>
      <c r="AQ58" s="6" t="s">
        <v>215</v>
      </c>
      <c r="AR58" s="6" t="s">
        <v>215</v>
      </c>
      <c r="AS58" s="1">
        <v>23954</v>
      </c>
      <c r="AT58" s="1">
        <v>0</v>
      </c>
      <c r="AU58" s="1">
        <v>23954</v>
      </c>
    </row>
    <row r="59" spans="1:47" x14ac:dyDescent="0.3">
      <c r="A59" s="3" t="s">
        <v>46</v>
      </c>
      <c r="B59" s="3" t="s">
        <v>47</v>
      </c>
      <c r="C59" s="3" t="s">
        <v>48</v>
      </c>
      <c r="D59" s="3" t="s">
        <v>49</v>
      </c>
      <c r="E59" s="3" t="s">
        <v>50</v>
      </c>
      <c r="F59" s="3" t="s">
        <v>51</v>
      </c>
      <c r="G59" s="3" t="s">
        <v>117</v>
      </c>
      <c r="H59" s="3" t="s">
        <v>118</v>
      </c>
      <c r="I59" s="3" t="s">
        <v>54</v>
      </c>
      <c r="J59" s="3" t="s">
        <v>55</v>
      </c>
      <c r="K59" s="3" t="s">
        <v>119</v>
      </c>
      <c r="L59" s="3" t="s">
        <v>120</v>
      </c>
      <c r="M59" s="3" t="s">
        <v>121</v>
      </c>
      <c r="N59" s="3" t="s">
        <v>59</v>
      </c>
      <c r="O59" s="3" t="s">
        <v>59</v>
      </c>
      <c r="P59" s="3" t="s">
        <v>59</v>
      </c>
      <c r="Q59" s="3" t="s">
        <v>122</v>
      </c>
      <c r="R59" s="3" t="s">
        <v>61</v>
      </c>
      <c r="S59" s="3" t="s">
        <v>63</v>
      </c>
      <c r="T59" s="1">
        <v>0</v>
      </c>
      <c r="U59" s="1">
        <v>18520</v>
      </c>
      <c r="V59" s="1">
        <v>200</v>
      </c>
      <c r="W59" s="1">
        <v>19480</v>
      </c>
      <c r="X59" s="1">
        <v>18720</v>
      </c>
      <c r="Y59" s="1">
        <v>19480</v>
      </c>
      <c r="Z59" s="1">
        <v>38200</v>
      </c>
      <c r="AA59" s="1">
        <v>0</v>
      </c>
      <c r="AB59" s="1">
        <v>18520</v>
      </c>
      <c r="AC59" s="1">
        <v>240</v>
      </c>
      <c r="AD59" s="1">
        <v>19480</v>
      </c>
      <c r="AE59" s="1">
        <v>18760</v>
      </c>
      <c r="AF59" s="1">
        <v>19480</v>
      </c>
      <c r="AG59" s="1">
        <v>38240</v>
      </c>
      <c r="AH59" s="1">
        <v>0</v>
      </c>
      <c r="AI59" s="1">
        <v>17964.400000000001</v>
      </c>
      <c r="AJ59" s="1">
        <v>168</v>
      </c>
      <c r="AK59" s="1">
        <v>17532</v>
      </c>
      <c r="AL59" s="1">
        <v>18132.400000000001</v>
      </c>
      <c r="AM59" s="1">
        <v>17532</v>
      </c>
      <c r="AN59" s="1">
        <v>35664.400000000001</v>
      </c>
      <c r="AO59" s="6" t="s">
        <v>215</v>
      </c>
      <c r="AP59" s="6" t="s">
        <v>215</v>
      </c>
      <c r="AQ59" s="6" t="s">
        <v>215</v>
      </c>
      <c r="AR59" s="6" t="s">
        <v>215</v>
      </c>
      <c r="AS59" s="1">
        <v>21399</v>
      </c>
      <c r="AT59" s="1">
        <v>0</v>
      </c>
      <c r="AU59" s="1">
        <v>21399</v>
      </c>
    </row>
    <row r="60" spans="1:47" x14ac:dyDescent="0.3">
      <c r="A60" s="3" t="s">
        <v>46</v>
      </c>
      <c r="B60" s="3" t="s">
        <v>47</v>
      </c>
      <c r="C60" s="3" t="s">
        <v>48</v>
      </c>
      <c r="D60" s="3" t="s">
        <v>49</v>
      </c>
      <c r="E60" s="3" t="s">
        <v>50</v>
      </c>
      <c r="F60" s="3" t="s">
        <v>51</v>
      </c>
      <c r="G60" s="3" t="s">
        <v>117</v>
      </c>
      <c r="H60" s="3" t="s">
        <v>118</v>
      </c>
      <c r="I60" s="3" t="s">
        <v>54</v>
      </c>
      <c r="J60" s="3" t="s">
        <v>55</v>
      </c>
      <c r="K60" s="3" t="s">
        <v>119</v>
      </c>
      <c r="L60" s="3" t="s">
        <v>120</v>
      </c>
      <c r="M60" s="3" t="s">
        <v>121</v>
      </c>
      <c r="N60" s="3" t="s">
        <v>59</v>
      </c>
      <c r="O60" s="3" t="s">
        <v>59</v>
      </c>
      <c r="P60" s="3" t="s">
        <v>59</v>
      </c>
      <c r="Q60" s="3" t="s">
        <v>122</v>
      </c>
      <c r="R60" s="3" t="s">
        <v>61</v>
      </c>
      <c r="S60" s="3" t="s">
        <v>63</v>
      </c>
      <c r="T60" s="1">
        <v>6300</v>
      </c>
      <c r="U60" s="1">
        <v>10500</v>
      </c>
      <c r="V60" s="1">
        <v>3700</v>
      </c>
      <c r="W60" s="1">
        <v>4600</v>
      </c>
      <c r="X60" s="1">
        <v>20500</v>
      </c>
      <c r="Y60" s="1">
        <v>4600</v>
      </c>
      <c r="Z60" s="1">
        <v>25100</v>
      </c>
      <c r="AA60" s="1">
        <v>7560</v>
      </c>
      <c r="AB60" s="1">
        <v>10500</v>
      </c>
      <c r="AC60" s="1">
        <v>4440</v>
      </c>
      <c r="AD60" s="1">
        <v>4600</v>
      </c>
      <c r="AE60" s="1">
        <v>22500</v>
      </c>
      <c r="AF60" s="1">
        <v>4600</v>
      </c>
      <c r="AG60" s="1">
        <v>27100</v>
      </c>
      <c r="AH60" s="1">
        <v>6804</v>
      </c>
      <c r="AI60" s="1">
        <v>10185</v>
      </c>
      <c r="AJ60" s="1">
        <v>3108</v>
      </c>
      <c r="AK60" s="1">
        <v>4140</v>
      </c>
      <c r="AL60" s="1">
        <v>20097</v>
      </c>
      <c r="AM60" s="1">
        <v>4140</v>
      </c>
      <c r="AN60" s="1">
        <v>24237</v>
      </c>
      <c r="AO60" s="6" t="s">
        <v>215</v>
      </c>
      <c r="AP60" s="6" t="s">
        <v>215</v>
      </c>
      <c r="AQ60" s="6" t="s">
        <v>215</v>
      </c>
      <c r="AR60" s="6" t="s">
        <v>215</v>
      </c>
      <c r="AS60" s="1">
        <v>14542</v>
      </c>
      <c r="AT60" s="1">
        <v>0</v>
      </c>
      <c r="AU60" s="1">
        <v>14542</v>
      </c>
    </row>
    <row r="61" spans="1:47" x14ac:dyDescent="0.3">
      <c r="A61" s="3" t="s">
        <v>46</v>
      </c>
      <c r="B61" s="3" t="s">
        <v>47</v>
      </c>
      <c r="C61" s="3" t="s">
        <v>48</v>
      </c>
      <c r="D61" s="3" t="s">
        <v>49</v>
      </c>
      <c r="E61" s="3" t="s">
        <v>50</v>
      </c>
      <c r="F61" s="3" t="s">
        <v>51</v>
      </c>
      <c r="G61" s="3" t="s">
        <v>117</v>
      </c>
      <c r="H61" s="3" t="s">
        <v>118</v>
      </c>
      <c r="I61" s="3" t="s">
        <v>54</v>
      </c>
      <c r="J61" s="3" t="s">
        <v>55</v>
      </c>
      <c r="K61" s="3" t="s">
        <v>119</v>
      </c>
      <c r="L61" s="3" t="s">
        <v>120</v>
      </c>
      <c r="M61" s="3" t="s">
        <v>121</v>
      </c>
      <c r="N61" s="3" t="s">
        <v>59</v>
      </c>
      <c r="O61" s="3" t="s">
        <v>59</v>
      </c>
      <c r="P61" s="3" t="s">
        <v>59</v>
      </c>
      <c r="Q61" s="3" t="s">
        <v>122</v>
      </c>
      <c r="R61" s="3" t="s">
        <v>61</v>
      </c>
      <c r="S61" s="3" t="s">
        <v>63</v>
      </c>
      <c r="T61" s="1">
        <v>0</v>
      </c>
      <c r="U61" s="1">
        <v>20500</v>
      </c>
      <c r="V61" s="1">
        <v>0</v>
      </c>
      <c r="W61" s="1">
        <v>7200</v>
      </c>
      <c r="X61" s="1">
        <v>20500</v>
      </c>
      <c r="Y61" s="1">
        <v>7200</v>
      </c>
      <c r="Z61" s="1">
        <v>27700</v>
      </c>
      <c r="AA61" s="1">
        <v>0</v>
      </c>
      <c r="AB61" s="1">
        <v>20500</v>
      </c>
      <c r="AC61" s="1">
        <v>0</v>
      </c>
      <c r="AD61" s="1">
        <v>7200</v>
      </c>
      <c r="AE61" s="1">
        <v>20500</v>
      </c>
      <c r="AF61" s="1">
        <v>7200</v>
      </c>
      <c r="AG61" s="1">
        <v>27700</v>
      </c>
      <c r="AH61" s="1">
        <v>0</v>
      </c>
      <c r="AI61" s="1">
        <v>19885</v>
      </c>
      <c r="AJ61" s="1">
        <v>0</v>
      </c>
      <c r="AK61" s="1">
        <v>6480</v>
      </c>
      <c r="AL61" s="1">
        <v>19885</v>
      </c>
      <c r="AM61" s="1">
        <v>6480</v>
      </c>
      <c r="AN61" s="1">
        <v>26365</v>
      </c>
      <c r="AO61" s="6" t="s">
        <v>215</v>
      </c>
      <c r="AP61" s="6" t="s">
        <v>215</v>
      </c>
      <c r="AQ61" s="6" t="s">
        <v>215</v>
      </c>
      <c r="AR61" s="6" t="s">
        <v>215</v>
      </c>
      <c r="AS61" s="1">
        <v>15819</v>
      </c>
      <c r="AT61" s="1">
        <v>0</v>
      </c>
      <c r="AU61" s="1">
        <v>15819</v>
      </c>
    </row>
    <row r="62" spans="1:47" x14ac:dyDescent="0.3">
      <c r="A62" s="3" t="s">
        <v>46</v>
      </c>
      <c r="B62" s="3" t="s">
        <v>47</v>
      </c>
      <c r="C62" s="3" t="s">
        <v>48</v>
      </c>
      <c r="D62" s="3" t="s">
        <v>49</v>
      </c>
      <c r="E62" s="3" t="s">
        <v>50</v>
      </c>
      <c r="F62" s="3" t="s">
        <v>51</v>
      </c>
      <c r="G62" s="3" t="s">
        <v>123</v>
      </c>
      <c r="H62" s="3" t="s">
        <v>124</v>
      </c>
      <c r="I62" s="3" t="s">
        <v>54</v>
      </c>
      <c r="J62" s="3" t="s">
        <v>55</v>
      </c>
      <c r="K62" s="3" t="s">
        <v>125</v>
      </c>
      <c r="L62" s="3" t="s">
        <v>126</v>
      </c>
      <c r="M62" s="3" t="s">
        <v>127</v>
      </c>
      <c r="N62" s="3" t="s">
        <v>59</v>
      </c>
      <c r="O62" s="3" t="s">
        <v>59</v>
      </c>
      <c r="P62" s="3" t="s">
        <v>59</v>
      </c>
      <c r="Q62" s="3" t="s">
        <v>128</v>
      </c>
      <c r="R62" s="3" t="s">
        <v>61</v>
      </c>
      <c r="S62" s="3" t="s">
        <v>62</v>
      </c>
      <c r="T62" s="1">
        <v>0</v>
      </c>
      <c r="U62" s="1">
        <v>500</v>
      </c>
      <c r="V62" s="1">
        <v>0</v>
      </c>
      <c r="W62" s="1">
        <v>3800</v>
      </c>
      <c r="X62" s="1">
        <v>500</v>
      </c>
      <c r="Y62" s="1">
        <v>3800</v>
      </c>
      <c r="Z62" s="1">
        <v>4300</v>
      </c>
      <c r="AA62" s="1">
        <v>0</v>
      </c>
      <c r="AB62" s="1">
        <v>500</v>
      </c>
      <c r="AC62" s="1">
        <v>0</v>
      </c>
      <c r="AD62" s="1">
        <v>3800</v>
      </c>
      <c r="AE62" s="1">
        <v>500</v>
      </c>
      <c r="AF62" s="1">
        <v>3800</v>
      </c>
      <c r="AG62" s="1">
        <v>4300</v>
      </c>
      <c r="AH62" s="1">
        <v>0</v>
      </c>
      <c r="AI62" s="1">
        <v>485</v>
      </c>
      <c r="AJ62" s="1">
        <v>0</v>
      </c>
      <c r="AK62" s="1">
        <v>3420</v>
      </c>
      <c r="AL62" s="1">
        <v>485</v>
      </c>
      <c r="AM62" s="1">
        <v>3420</v>
      </c>
      <c r="AN62" s="1">
        <v>3905</v>
      </c>
      <c r="AO62" s="6" t="s">
        <v>215</v>
      </c>
      <c r="AP62" s="6" t="s">
        <v>215</v>
      </c>
      <c r="AQ62" s="6" t="s">
        <v>215</v>
      </c>
      <c r="AR62" s="6" t="s">
        <v>215</v>
      </c>
      <c r="AS62" s="1">
        <v>2343</v>
      </c>
      <c r="AT62" s="1">
        <v>0</v>
      </c>
      <c r="AU62" s="1">
        <v>2343</v>
      </c>
    </row>
    <row r="63" spans="1:47" x14ac:dyDescent="0.3">
      <c r="A63" s="3" t="s">
        <v>46</v>
      </c>
      <c r="B63" s="3" t="s">
        <v>47</v>
      </c>
      <c r="C63" s="3" t="s">
        <v>48</v>
      </c>
      <c r="D63" s="3" t="s">
        <v>49</v>
      </c>
      <c r="E63" s="3" t="s">
        <v>50</v>
      </c>
      <c r="F63" s="3" t="s">
        <v>51</v>
      </c>
      <c r="G63" s="3" t="s">
        <v>123</v>
      </c>
      <c r="H63" s="3" t="s">
        <v>124</v>
      </c>
      <c r="I63" s="3" t="s">
        <v>54</v>
      </c>
      <c r="J63" s="3" t="s">
        <v>55</v>
      </c>
      <c r="K63" s="3" t="s">
        <v>125</v>
      </c>
      <c r="L63" s="3" t="s">
        <v>126</v>
      </c>
      <c r="M63" s="3" t="s">
        <v>127</v>
      </c>
      <c r="N63" s="3" t="s">
        <v>59</v>
      </c>
      <c r="O63" s="3" t="s">
        <v>59</v>
      </c>
      <c r="P63" s="3" t="s">
        <v>59</v>
      </c>
      <c r="Q63" s="3" t="s">
        <v>128</v>
      </c>
      <c r="R63" s="3" t="s">
        <v>61</v>
      </c>
      <c r="S63" s="3" t="s">
        <v>63</v>
      </c>
      <c r="T63" s="1">
        <v>0</v>
      </c>
      <c r="U63" s="1">
        <v>0</v>
      </c>
      <c r="V63" s="1">
        <v>0</v>
      </c>
      <c r="W63" s="1">
        <v>2400</v>
      </c>
      <c r="X63" s="1">
        <v>0</v>
      </c>
      <c r="Y63" s="1">
        <v>2400</v>
      </c>
      <c r="Z63" s="1">
        <v>2400</v>
      </c>
      <c r="AA63" s="1">
        <v>0</v>
      </c>
      <c r="AB63" s="1">
        <v>0</v>
      </c>
      <c r="AC63" s="1">
        <v>0</v>
      </c>
      <c r="AD63" s="1">
        <v>2400</v>
      </c>
      <c r="AE63" s="1">
        <v>0</v>
      </c>
      <c r="AF63" s="1">
        <v>2400</v>
      </c>
      <c r="AG63" s="1">
        <v>2400</v>
      </c>
      <c r="AH63" s="1">
        <v>0</v>
      </c>
      <c r="AI63" s="1">
        <v>0</v>
      </c>
      <c r="AJ63" s="1">
        <v>0</v>
      </c>
      <c r="AK63" s="1">
        <v>2160</v>
      </c>
      <c r="AL63" s="1">
        <v>0</v>
      </c>
      <c r="AM63" s="1">
        <v>2160</v>
      </c>
      <c r="AN63" s="1">
        <v>2160</v>
      </c>
      <c r="AO63" s="6" t="s">
        <v>215</v>
      </c>
      <c r="AP63" s="6" t="s">
        <v>215</v>
      </c>
      <c r="AQ63" s="6" t="s">
        <v>215</v>
      </c>
      <c r="AR63" s="6" t="s">
        <v>215</v>
      </c>
      <c r="AS63" s="1">
        <v>1296</v>
      </c>
      <c r="AT63" s="1">
        <v>0</v>
      </c>
      <c r="AU63" s="1">
        <v>1296</v>
      </c>
    </row>
    <row r="64" spans="1:47" x14ac:dyDescent="0.3">
      <c r="A64" s="3" t="s">
        <v>46</v>
      </c>
      <c r="B64" s="3" t="s">
        <v>47</v>
      </c>
      <c r="C64" s="3" t="s">
        <v>48</v>
      </c>
      <c r="D64" s="3" t="s">
        <v>49</v>
      </c>
      <c r="E64" s="3" t="s">
        <v>50</v>
      </c>
      <c r="F64" s="3" t="s">
        <v>51</v>
      </c>
      <c r="G64" s="3" t="s">
        <v>123</v>
      </c>
      <c r="H64" s="3" t="s">
        <v>124</v>
      </c>
      <c r="I64" s="3" t="s">
        <v>54</v>
      </c>
      <c r="J64" s="3" t="s">
        <v>55</v>
      </c>
      <c r="K64" s="3" t="s">
        <v>233</v>
      </c>
      <c r="L64" s="3" t="s">
        <v>234</v>
      </c>
      <c r="M64" s="3" t="s">
        <v>235</v>
      </c>
      <c r="N64" s="3" t="s">
        <v>59</v>
      </c>
      <c r="O64" s="3" t="s">
        <v>59</v>
      </c>
      <c r="P64" s="3" t="s">
        <v>59</v>
      </c>
      <c r="Q64" s="3" t="s">
        <v>128</v>
      </c>
      <c r="R64" s="3" t="s">
        <v>61</v>
      </c>
      <c r="S64" s="3" t="s">
        <v>62</v>
      </c>
      <c r="T64" s="1">
        <v>12800</v>
      </c>
      <c r="U64" s="1">
        <v>0</v>
      </c>
      <c r="V64" s="1">
        <v>0</v>
      </c>
      <c r="W64" s="1">
        <v>0</v>
      </c>
      <c r="X64" s="1">
        <v>12800</v>
      </c>
      <c r="Y64" s="1">
        <v>0</v>
      </c>
      <c r="Z64" s="1">
        <v>12800</v>
      </c>
      <c r="AA64" s="1">
        <v>15360</v>
      </c>
      <c r="AB64" s="1">
        <v>0</v>
      </c>
      <c r="AC64" s="1">
        <v>0</v>
      </c>
      <c r="AD64" s="1">
        <v>0</v>
      </c>
      <c r="AE64" s="1">
        <v>15360</v>
      </c>
      <c r="AF64" s="1">
        <v>0</v>
      </c>
      <c r="AG64" s="1">
        <v>15360</v>
      </c>
      <c r="AH64" s="1">
        <v>13824</v>
      </c>
      <c r="AI64" s="1">
        <v>0</v>
      </c>
      <c r="AJ64" s="1">
        <v>0</v>
      </c>
      <c r="AK64" s="1">
        <v>0</v>
      </c>
      <c r="AL64" s="1">
        <v>13824</v>
      </c>
      <c r="AM64" s="1">
        <v>0</v>
      </c>
      <c r="AN64" s="1">
        <v>13824</v>
      </c>
      <c r="AO64" s="6" t="s">
        <v>215</v>
      </c>
      <c r="AP64" s="6" t="s">
        <v>215</v>
      </c>
      <c r="AQ64" s="6" t="s">
        <v>215</v>
      </c>
      <c r="AR64" s="6" t="s">
        <v>215</v>
      </c>
      <c r="AS64" s="1">
        <v>8294</v>
      </c>
      <c r="AT64" s="1">
        <v>0</v>
      </c>
      <c r="AU64" s="1">
        <v>8294</v>
      </c>
    </row>
    <row r="65" spans="1:47" x14ac:dyDescent="0.3">
      <c r="A65" s="3" t="s">
        <v>46</v>
      </c>
      <c r="B65" s="3" t="s">
        <v>47</v>
      </c>
      <c r="C65" s="3" t="s">
        <v>48</v>
      </c>
      <c r="D65" s="3" t="s">
        <v>49</v>
      </c>
      <c r="E65" s="3" t="s">
        <v>50</v>
      </c>
      <c r="F65" s="3" t="s">
        <v>51</v>
      </c>
      <c r="G65" s="3" t="s">
        <v>129</v>
      </c>
      <c r="H65" s="3" t="s">
        <v>149</v>
      </c>
      <c r="I65" s="3" t="s">
        <v>54</v>
      </c>
      <c r="J65" s="3" t="s">
        <v>55</v>
      </c>
      <c r="K65" s="3" t="s">
        <v>130</v>
      </c>
      <c r="L65" s="3" t="s">
        <v>131</v>
      </c>
      <c r="M65" s="3" t="s">
        <v>132</v>
      </c>
      <c r="N65" s="3" t="s">
        <v>59</v>
      </c>
      <c r="O65" s="3" t="s">
        <v>59</v>
      </c>
      <c r="P65" s="3" t="s">
        <v>59</v>
      </c>
      <c r="Q65" s="3" t="s">
        <v>133</v>
      </c>
      <c r="R65" s="3" t="s">
        <v>61</v>
      </c>
      <c r="S65" s="3" t="s">
        <v>62</v>
      </c>
      <c r="T65" s="1">
        <v>0</v>
      </c>
      <c r="U65" s="1">
        <v>0</v>
      </c>
      <c r="V65" s="1">
        <v>0</v>
      </c>
      <c r="W65" s="1">
        <v>2400</v>
      </c>
      <c r="X65" s="1">
        <v>0</v>
      </c>
      <c r="Y65" s="1">
        <v>2400</v>
      </c>
      <c r="Z65" s="1">
        <v>2400</v>
      </c>
      <c r="AA65" s="1">
        <v>0</v>
      </c>
      <c r="AB65" s="1">
        <v>0</v>
      </c>
      <c r="AC65" s="1">
        <v>0</v>
      </c>
      <c r="AD65" s="1">
        <v>2400</v>
      </c>
      <c r="AE65" s="1">
        <v>0</v>
      </c>
      <c r="AF65" s="1">
        <v>2400</v>
      </c>
      <c r="AG65" s="1">
        <v>2400</v>
      </c>
      <c r="AH65" s="1">
        <v>0</v>
      </c>
      <c r="AI65" s="1">
        <v>0</v>
      </c>
      <c r="AJ65" s="1">
        <v>0</v>
      </c>
      <c r="AK65" s="1">
        <v>2160</v>
      </c>
      <c r="AL65" s="1">
        <v>0</v>
      </c>
      <c r="AM65" s="1">
        <v>2160</v>
      </c>
      <c r="AN65" s="1">
        <v>2160</v>
      </c>
      <c r="AO65" s="6" t="s">
        <v>215</v>
      </c>
      <c r="AP65" s="6" t="s">
        <v>215</v>
      </c>
      <c r="AQ65" s="6" t="s">
        <v>215</v>
      </c>
      <c r="AR65" s="6" t="s">
        <v>215</v>
      </c>
      <c r="AS65" s="1">
        <v>1296</v>
      </c>
      <c r="AT65" s="1">
        <v>0</v>
      </c>
      <c r="AU65" s="1">
        <v>1296</v>
      </c>
    </row>
    <row r="66" spans="1:47" x14ac:dyDescent="0.3">
      <c r="A66" s="3" t="s">
        <v>46</v>
      </c>
      <c r="B66" s="3" t="s">
        <v>47</v>
      </c>
      <c r="C66" s="3" t="s">
        <v>48</v>
      </c>
      <c r="D66" s="3" t="s">
        <v>49</v>
      </c>
      <c r="E66" s="3" t="s">
        <v>50</v>
      </c>
      <c r="F66" s="3" t="s">
        <v>51</v>
      </c>
      <c r="G66" s="3" t="s">
        <v>129</v>
      </c>
      <c r="H66" s="3" t="s">
        <v>149</v>
      </c>
      <c r="I66" s="3" t="s">
        <v>54</v>
      </c>
      <c r="J66" s="3" t="s">
        <v>55</v>
      </c>
      <c r="K66" s="3" t="s">
        <v>130</v>
      </c>
      <c r="L66" s="3" t="s">
        <v>131</v>
      </c>
      <c r="M66" s="3" t="s">
        <v>132</v>
      </c>
      <c r="N66" s="3" t="s">
        <v>59</v>
      </c>
      <c r="O66" s="3" t="s">
        <v>59</v>
      </c>
      <c r="P66" s="3" t="s">
        <v>59</v>
      </c>
      <c r="Q66" s="3" t="s">
        <v>133</v>
      </c>
      <c r="R66" s="3" t="s">
        <v>61</v>
      </c>
      <c r="S66" s="3" t="s">
        <v>63</v>
      </c>
      <c r="T66" s="1">
        <v>0</v>
      </c>
      <c r="U66" s="1">
        <v>2000</v>
      </c>
      <c r="V66" s="1">
        <v>0</v>
      </c>
      <c r="W66" s="1">
        <v>3000</v>
      </c>
      <c r="X66" s="1">
        <v>2000</v>
      </c>
      <c r="Y66" s="1">
        <v>3000</v>
      </c>
      <c r="Z66" s="1">
        <v>5000</v>
      </c>
      <c r="AA66" s="1">
        <v>0</v>
      </c>
      <c r="AB66" s="1">
        <v>2000</v>
      </c>
      <c r="AC66" s="1">
        <v>0</v>
      </c>
      <c r="AD66" s="1">
        <v>3000</v>
      </c>
      <c r="AE66" s="1">
        <v>2000</v>
      </c>
      <c r="AF66" s="1">
        <v>3000</v>
      </c>
      <c r="AG66" s="1">
        <v>5000</v>
      </c>
      <c r="AH66" s="1">
        <v>0</v>
      </c>
      <c r="AI66" s="1">
        <v>1940</v>
      </c>
      <c r="AJ66" s="1">
        <v>0</v>
      </c>
      <c r="AK66" s="1">
        <v>2700</v>
      </c>
      <c r="AL66" s="1">
        <v>1940</v>
      </c>
      <c r="AM66" s="1">
        <v>2700</v>
      </c>
      <c r="AN66" s="1">
        <v>4640</v>
      </c>
      <c r="AO66" s="6" t="s">
        <v>215</v>
      </c>
      <c r="AP66" s="6" t="s">
        <v>215</v>
      </c>
      <c r="AQ66" s="6" t="s">
        <v>215</v>
      </c>
      <c r="AR66" s="6" t="s">
        <v>215</v>
      </c>
      <c r="AS66" s="1">
        <v>2784</v>
      </c>
      <c r="AT66" s="1">
        <v>0</v>
      </c>
      <c r="AU66" s="1">
        <v>2784</v>
      </c>
    </row>
    <row r="67" spans="1:47" x14ac:dyDescent="0.3">
      <c r="A67" s="3" t="s">
        <v>46</v>
      </c>
      <c r="B67" s="3" t="s">
        <v>47</v>
      </c>
      <c r="C67" s="3" t="s">
        <v>48</v>
      </c>
      <c r="D67" s="3" t="s">
        <v>49</v>
      </c>
      <c r="E67" s="3" t="s">
        <v>50</v>
      </c>
      <c r="F67" s="3" t="s">
        <v>51</v>
      </c>
      <c r="G67" s="3" t="s">
        <v>129</v>
      </c>
      <c r="H67" s="3" t="s">
        <v>149</v>
      </c>
      <c r="I67" s="3" t="s">
        <v>54</v>
      </c>
      <c r="J67" s="3" t="s">
        <v>55</v>
      </c>
      <c r="K67" s="3" t="s">
        <v>130</v>
      </c>
      <c r="L67" s="3" t="s">
        <v>131</v>
      </c>
      <c r="M67" s="3" t="s">
        <v>132</v>
      </c>
      <c r="N67" s="3" t="s">
        <v>59</v>
      </c>
      <c r="O67" s="3" t="s">
        <v>59</v>
      </c>
      <c r="P67" s="3" t="s">
        <v>59</v>
      </c>
      <c r="Q67" s="3" t="s">
        <v>133</v>
      </c>
      <c r="R67" s="3" t="s">
        <v>61</v>
      </c>
      <c r="S67" s="3" t="s">
        <v>63</v>
      </c>
      <c r="T67" s="1">
        <v>0</v>
      </c>
      <c r="U67" s="1">
        <v>2200</v>
      </c>
      <c r="V67" s="1">
        <v>0</v>
      </c>
      <c r="W67" s="1">
        <v>0</v>
      </c>
      <c r="X67" s="1">
        <v>2200</v>
      </c>
      <c r="Y67" s="1">
        <v>0</v>
      </c>
      <c r="Z67" s="1">
        <v>2200</v>
      </c>
      <c r="AA67" s="1">
        <v>0</v>
      </c>
      <c r="AB67" s="1">
        <v>2200</v>
      </c>
      <c r="AC67" s="1">
        <v>0</v>
      </c>
      <c r="AD67" s="1">
        <v>0</v>
      </c>
      <c r="AE67" s="1">
        <v>2200</v>
      </c>
      <c r="AF67" s="1">
        <v>0</v>
      </c>
      <c r="AG67" s="1">
        <v>2200</v>
      </c>
      <c r="AH67" s="1">
        <v>0</v>
      </c>
      <c r="AI67" s="1">
        <v>2134</v>
      </c>
      <c r="AJ67" s="1">
        <v>0</v>
      </c>
      <c r="AK67" s="1">
        <v>0</v>
      </c>
      <c r="AL67" s="1">
        <v>2134</v>
      </c>
      <c r="AM67" s="1">
        <v>0</v>
      </c>
      <c r="AN67" s="1">
        <v>2134</v>
      </c>
      <c r="AO67" s="6" t="s">
        <v>215</v>
      </c>
      <c r="AP67" s="6" t="s">
        <v>215</v>
      </c>
      <c r="AQ67" s="6" t="s">
        <v>215</v>
      </c>
      <c r="AR67" s="6" t="s">
        <v>215</v>
      </c>
      <c r="AS67" s="1">
        <v>1280</v>
      </c>
      <c r="AT67" s="1">
        <v>0</v>
      </c>
      <c r="AU67" s="1">
        <v>1280</v>
      </c>
    </row>
    <row r="68" spans="1:47" x14ac:dyDescent="0.3">
      <c r="A68" s="3" t="s">
        <v>46</v>
      </c>
      <c r="B68" s="3" t="s">
        <v>47</v>
      </c>
      <c r="C68" s="3" t="s">
        <v>48</v>
      </c>
      <c r="D68" s="3" t="s">
        <v>49</v>
      </c>
      <c r="E68" s="3" t="s">
        <v>50</v>
      </c>
      <c r="F68" s="3" t="s">
        <v>51</v>
      </c>
      <c r="G68" s="3" t="s">
        <v>129</v>
      </c>
      <c r="H68" s="3" t="s">
        <v>149</v>
      </c>
      <c r="I68" s="3" t="s">
        <v>54</v>
      </c>
      <c r="J68" s="3" t="s">
        <v>55</v>
      </c>
      <c r="K68" s="3" t="s">
        <v>236</v>
      </c>
      <c r="L68" s="3" t="s">
        <v>237</v>
      </c>
      <c r="M68" s="3" t="s">
        <v>235</v>
      </c>
      <c r="N68" s="3" t="s">
        <v>59</v>
      </c>
      <c r="O68" s="3" t="s">
        <v>59</v>
      </c>
      <c r="P68" s="3" t="s">
        <v>59</v>
      </c>
      <c r="Q68" s="3" t="s">
        <v>133</v>
      </c>
      <c r="R68" s="3" t="s">
        <v>61</v>
      </c>
      <c r="S68" s="3" t="s">
        <v>62</v>
      </c>
      <c r="T68" s="1">
        <v>0</v>
      </c>
      <c r="U68" s="1">
        <v>0</v>
      </c>
      <c r="V68" s="1">
        <v>0</v>
      </c>
      <c r="W68" s="1">
        <v>3200</v>
      </c>
      <c r="X68" s="1">
        <v>0</v>
      </c>
      <c r="Y68" s="1">
        <v>3200</v>
      </c>
      <c r="Z68" s="1">
        <v>3200</v>
      </c>
      <c r="AA68" s="1">
        <v>0</v>
      </c>
      <c r="AB68" s="1">
        <v>0</v>
      </c>
      <c r="AC68" s="1">
        <v>0</v>
      </c>
      <c r="AD68" s="1">
        <v>3200</v>
      </c>
      <c r="AE68" s="1">
        <v>0</v>
      </c>
      <c r="AF68" s="1">
        <v>3200</v>
      </c>
      <c r="AG68" s="1">
        <v>3200</v>
      </c>
      <c r="AH68" s="1">
        <v>0</v>
      </c>
      <c r="AI68" s="1">
        <v>0</v>
      </c>
      <c r="AJ68" s="1">
        <v>0</v>
      </c>
      <c r="AK68" s="1">
        <v>2880</v>
      </c>
      <c r="AL68" s="1">
        <v>0</v>
      </c>
      <c r="AM68" s="1">
        <v>2880</v>
      </c>
      <c r="AN68" s="1">
        <v>2880</v>
      </c>
      <c r="AO68" s="6" t="s">
        <v>215</v>
      </c>
      <c r="AP68" s="6" t="s">
        <v>215</v>
      </c>
      <c r="AQ68" s="6" t="s">
        <v>215</v>
      </c>
      <c r="AR68" s="6" t="s">
        <v>215</v>
      </c>
      <c r="AS68" s="1">
        <v>1728</v>
      </c>
      <c r="AT68" s="1">
        <v>0</v>
      </c>
      <c r="AU68" s="1">
        <v>1728</v>
      </c>
    </row>
    <row r="69" spans="1:47" x14ac:dyDescent="0.3">
      <c r="A69" s="3" t="s">
        <v>46</v>
      </c>
      <c r="B69" s="3" t="s">
        <v>47</v>
      </c>
      <c r="C69" s="3" t="s">
        <v>48</v>
      </c>
      <c r="D69" s="3" t="s">
        <v>49</v>
      </c>
      <c r="E69" s="3" t="s">
        <v>50</v>
      </c>
      <c r="F69" s="3" t="s">
        <v>51</v>
      </c>
      <c r="G69" s="3" t="s">
        <v>134</v>
      </c>
      <c r="H69" s="3" t="s">
        <v>135</v>
      </c>
      <c r="I69" s="3" t="s">
        <v>54</v>
      </c>
      <c r="J69" s="3" t="s">
        <v>55</v>
      </c>
      <c r="K69" s="3" t="s">
        <v>136</v>
      </c>
      <c r="L69" s="3" t="s">
        <v>137</v>
      </c>
      <c r="M69" s="3" t="s">
        <v>138</v>
      </c>
      <c r="N69" s="3" t="s">
        <v>59</v>
      </c>
      <c r="O69" s="3" t="s">
        <v>59</v>
      </c>
      <c r="P69" s="3" t="s">
        <v>59</v>
      </c>
      <c r="Q69" s="3" t="s">
        <v>139</v>
      </c>
      <c r="R69" s="3" t="s">
        <v>61</v>
      </c>
      <c r="S69" s="3" t="s">
        <v>62</v>
      </c>
      <c r="T69" s="1">
        <v>0</v>
      </c>
      <c r="U69" s="1">
        <v>700</v>
      </c>
      <c r="V69" s="1">
        <v>0</v>
      </c>
      <c r="W69" s="1">
        <v>0</v>
      </c>
      <c r="X69" s="1">
        <v>700</v>
      </c>
      <c r="Y69" s="1">
        <v>0</v>
      </c>
      <c r="Z69" s="1">
        <v>700</v>
      </c>
      <c r="AA69" s="1">
        <v>0</v>
      </c>
      <c r="AB69" s="1">
        <v>700</v>
      </c>
      <c r="AC69" s="1">
        <v>0</v>
      </c>
      <c r="AD69" s="1">
        <v>0</v>
      </c>
      <c r="AE69" s="1">
        <v>700</v>
      </c>
      <c r="AF69" s="1">
        <v>0</v>
      </c>
      <c r="AG69" s="1">
        <v>700</v>
      </c>
      <c r="AH69" s="1">
        <v>0</v>
      </c>
      <c r="AI69" s="1">
        <v>679</v>
      </c>
      <c r="AJ69" s="1">
        <v>0</v>
      </c>
      <c r="AK69" s="1">
        <v>0</v>
      </c>
      <c r="AL69" s="1">
        <v>679</v>
      </c>
      <c r="AM69" s="1">
        <v>0</v>
      </c>
      <c r="AN69" s="1">
        <v>679</v>
      </c>
      <c r="AO69" s="6" t="s">
        <v>215</v>
      </c>
      <c r="AP69" s="6" t="s">
        <v>215</v>
      </c>
      <c r="AQ69" s="6" t="s">
        <v>215</v>
      </c>
      <c r="AR69" s="6" t="s">
        <v>215</v>
      </c>
      <c r="AS69" s="1">
        <v>407</v>
      </c>
      <c r="AT69" s="1">
        <v>0</v>
      </c>
      <c r="AU69" s="1">
        <v>407</v>
      </c>
    </row>
    <row r="70" spans="1:47" x14ac:dyDescent="0.3">
      <c r="A70" s="3" t="s">
        <v>46</v>
      </c>
      <c r="B70" s="3" t="s">
        <v>47</v>
      </c>
      <c r="C70" s="3" t="s">
        <v>48</v>
      </c>
      <c r="D70" s="3" t="s">
        <v>49</v>
      </c>
      <c r="E70" s="3" t="s">
        <v>50</v>
      </c>
      <c r="F70" s="3" t="s">
        <v>51</v>
      </c>
      <c r="G70" s="3" t="s">
        <v>134</v>
      </c>
      <c r="H70" s="3" t="s">
        <v>135</v>
      </c>
      <c r="I70" s="3" t="s">
        <v>54</v>
      </c>
      <c r="J70" s="3" t="s">
        <v>55</v>
      </c>
      <c r="K70" s="3" t="s">
        <v>136</v>
      </c>
      <c r="L70" s="3" t="s">
        <v>137</v>
      </c>
      <c r="M70" s="3" t="s">
        <v>138</v>
      </c>
      <c r="N70" s="3" t="s">
        <v>59</v>
      </c>
      <c r="O70" s="3" t="s">
        <v>59</v>
      </c>
      <c r="P70" s="3" t="s">
        <v>59</v>
      </c>
      <c r="Q70" s="3" t="s">
        <v>139</v>
      </c>
      <c r="R70" s="3" t="s">
        <v>61</v>
      </c>
      <c r="S70" s="3" t="s">
        <v>63</v>
      </c>
      <c r="T70" s="1">
        <v>900</v>
      </c>
      <c r="U70" s="1">
        <v>4500</v>
      </c>
      <c r="V70" s="1">
        <v>0</v>
      </c>
      <c r="W70" s="1">
        <v>900</v>
      </c>
      <c r="X70" s="1">
        <v>5400</v>
      </c>
      <c r="Y70" s="1">
        <v>900</v>
      </c>
      <c r="Z70" s="1">
        <v>6300</v>
      </c>
      <c r="AA70" s="1">
        <v>1080</v>
      </c>
      <c r="AB70" s="1">
        <v>4500</v>
      </c>
      <c r="AC70" s="1">
        <v>0</v>
      </c>
      <c r="AD70" s="1">
        <v>900</v>
      </c>
      <c r="AE70" s="1">
        <v>5580</v>
      </c>
      <c r="AF70" s="1">
        <v>900</v>
      </c>
      <c r="AG70" s="1">
        <v>6480</v>
      </c>
      <c r="AH70" s="1">
        <v>972</v>
      </c>
      <c r="AI70" s="1">
        <v>4365</v>
      </c>
      <c r="AJ70" s="1">
        <v>0</v>
      </c>
      <c r="AK70" s="1">
        <v>810</v>
      </c>
      <c r="AL70" s="1">
        <v>5337</v>
      </c>
      <c r="AM70" s="1">
        <v>810</v>
      </c>
      <c r="AN70" s="1">
        <v>6147</v>
      </c>
      <c r="AO70" s="6" t="s">
        <v>215</v>
      </c>
      <c r="AP70" s="6" t="s">
        <v>215</v>
      </c>
      <c r="AQ70" s="6" t="s">
        <v>215</v>
      </c>
      <c r="AR70" s="6" t="s">
        <v>215</v>
      </c>
      <c r="AS70" s="1">
        <v>3688</v>
      </c>
      <c r="AT70" s="1">
        <v>0</v>
      </c>
      <c r="AU70" s="1">
        <v>3688</v>
      </c>
    </row>
    <row r="71" spans="1:47" x14ac:dyDescent="0.3">
      <c r="A71" s="3" t="s">
        <v>46</v>
      </c>
      <c r="B71" s="3" t="s">
        <v>47</v>
      </c>
      <c r="C71" s="3" t="s">
        <v>48</v>
      </c>
      <c r="D71" s="3" t="s">
        <v>49</v>
      </c>
      <c r="E71" s="3" t="s">
        <v>50</v>
      </c>
      <c r="F71" s="3" t="s">
        <v>51</v>
      </c>
      <c r="G71" s="3" t="s">
        <v>134</v>
      </c>
      <c r="H71" s="3" t="s">
        <v>135</v>
      </c>
      <c r="I71" s="3" t="s">
        <v>54</v>
      </c>
      <c r="J71" s="3" t="s">
        <v>55</v>
      </c>
      <c r="K71" s="3" t="s">
        <v>136</v>
      </c>
      <c r="L71" s="3" t="s">
        <v>137</v>
      </c>
      <c r="M71" s="3" t="s">
        <v>138</v>
      </c>
      <c r="N71" s="3" t="s">
        <v>59</v>
      </c>
      <c r="O71" s="3" t="s">
        <v>59</v>
      </c>
      <c r="P71" s="3" t="s">
        <v>59</v>
      </c>
      <c r="Q71" s="3" t="s">
        <v>139</v>
      </c>
      <c r="R71" s="3" t="s">
        <v>61</v>
      </c>
      <c r="S71" s="3" t="s">
        <v>63</v>
      </c>
      <c r="T71" s="1">
        <v>0</v>
      </c>
      <c r="U71" s="1">
        <v>2700</v>
      </c>
      <c r="V71" s="1">
        <v>0</v>
      </c>
      <c r="W71" s="1">
        <v>0</v>
      </c>
      <c r="X71" s="1">
        <v>2700</v>
      </c>
      <c r="Y71" s="1">
        <v>0</v>
      </c>
      <c r="Z71" s="1">
        <v>2700</v>
      </c>
      <c r="AA71" s="1">
        <v>0</v>
      </c>
      <c r="AB71" s="1">
        <v>2700</v>
      </c>
      <c r="AC71" s="1">
        <v>0</v>
      </c>
      <c r="AD71" s="1">
        <v>0</v>
      </c>
      <c r="AE71" s="1">
        <v>2700</v>
      </c>
      <c r="AF71" s="1">
        <v>0</v>
      </c>
      <c r="AG71" s="1">
        <v>2700</v>
      </c>
      <c r="AH71" s="1">
        <v>0</v>
      </c>
      <c r="AI71" s="1">
        <v>2619</v>
      </c>
      <c r="AJ71" s="1">
        <v>0</v>
      </c>
      <c r="AK71" s="1">
        <v>0</v>
      </c>
      <c r="AL71" s="1">
        <v>2619</v>
      </c>
      <c r="AM71" s="1">
        <v>0</v>
      </c>
      <c r="AN71" s="1">
        <v>2619</v>
      </c>
      <c r="AO71" s="6" t="s">
        <v>215</v>
      </c>
      <c r="AP71" s="6" t="s">
        <v>215</v>
      </c>
      <c r="AQ71" s="6" t="s">
        <v>215</v>
      </c>
      <c r="AR71" s="6" t="s">
        <v>215</v>
      </c>
      <c r="AS71" s="1">
        <v>1571</v>
      </c>
      <c r="AT71" s="1">
        <v>0</v>
      </c>
      <c r="AU71" s="1">
        <v>1571</v>
      </c>
    </row>
    <row r="72" spans="1:47" x14ac:dyDescent="0.3">
      <c r="A72" s="3" t="s">
        <v>46</v>
      </c>
      <c r="B72" s="3" t="s">
        <v>47</v>
      </c>
      <c r="C72" s="3" t="s">
        <v>48</v>
      </c>
      <c r="D72" s="3" t="s">
        <v>49</v>
      </c>
      <c r="E72" s="3" t="s">
        <v>50</v>
      </c>
      <c r="F72" s="3" t="s">
        <v>51</v>
      </c>
      <c r="G72" s="3" t="s">
        <v>134</v>
      </c>
      <c r="H72" s="3" t="s">
        <v>135</v>
      </c>
      <c r="I72" s="3" t="s">
        <v>54</v>
      </c>
      <c r="J72" s="3" t="s">
        <v>55</v>
      </c>
      <c r="K72" s="3" t="s">
        <v>140</v>
      </c>
      <c r="L72" s="3" t="s">
        <v>141</v>
      </c>
      <c r="M72" s="3" t="s">
        <v>142</v>
      </c>
      <c r="N72" s="3" t="s">
        <v>59</v>
      </c>
      <c r="O72" s="3" t="s">
        <v>59</v>
      </c>
      <c r="P72" s="3" t="s">
        <v>59</v>
      </c>
      <c r="Q72" s="3" t="s">
        <v>139</v>
      </c>
      <c r="R72" s="3" t="s">
        <v>61</v>
      </c>
      <c r="S72" s="3" t="s">
        <v>62</v>
      </c>
      <c r="T72" s="1">
        <v>29400</v>
      </c>
      <c r="U72" s="1">
        <v>6500</v>
      </c>
      <c r="V72" s="1">
        <v>1200</v>
      </c>
      <c r="W72" s="1">
        <v>51100</v>
      </c>
      <c r="X72" s="1">
        <v>37100</v>
      </c>
      <c r="Y72" s="1">
        <v>51100</v>
      </c>
      <c r="Z72" s="1">
        <v>88200</v>
      </c>
      <c r="AA72" s="1">
        <v>35280</v>
      </c>
      <c r="AB72" s="1">
        <v>6500</v>
      </c>
      <c r="AC72" s="1">
        <v>1440</v>
      </c>
      <c r="AD72" s="1">
        <v>51100</v>
      </c>
      <c r="AE72" s="1">
        <v>43220</v>
      </c>
      <c r="AF72" s="1">
        <v>51100</v>
      </c>
      <c r="AG72" s="1">
        <v>94320</v>
      </c>
      <c r="AH72" s="1">
        <v>31752</v>
      </c>
      <c r="AI72" s="1">
        <v>6305</v>
      </c>
      <c r="AJ72" s="1">
        <v>1008</v>
      </c>
      <c r="AK72" s="1">
        <v>45990</v>
      </c>
      <c r="AL72" s="1">
        <v>39065</v>
      </c>
      <c r="AM72" s="1">
        <v>45990</v>
      </c>
      <c r="AN72" s="1">
        <v>85055</v>
      </c>
      <c r="AO72" s="6" t="s">
        <v>215</v>
      </c>
      <c r="AP72" s="6" t="s">
        <v>215</v>
      </c>
      <c r="AQ72" s="6" t="s">
        <v>215</v>
      </c>
      <c r="AR72" s="6" t="s">
        <v>215</v>
      </c>
      <c r="AS72" s="1">
        <v>51033</v>
      </c>
      <c r="AT72" s="1">
        <v>0</v>
      </c>
      <c r="AU72" s="1">
        <v>51033</v>
      </c>
    </row>
    <row r="73" spans="1:47" x14ac:dyDescent="0.3">
      <c r="A73" s="3" t="s">
        <v>46</v>
      </c>
      <c r="B73" s="3" t="s">
        <v>47</v>
      </c>
      <c r="C73" s="3" t="s">
        <v>48</v>
      </c>
      <c r="D73" s="3" t="s">
        <v>49</v>
      </c>
      <c r="E73" s="3" t="s">
        <v>50</v>
      </c>
      <c r="F73" s="3" t="s">
        <v>51</v>
      </c>
      <c r="G73" s="3" t="s">
        <v>134</v>
      </c>
      <c r="H73" s="3" t="s">
        <v>135</v>
      </c>
      <c r="I73" s="3" t="s">
        <v>54</v>
      </c>
      <c r="J73" s="3" t="s">
        <v>55</v>
      </c>
      <c r="K73" s="3" t="s">
        <v>140</v>
      </c>
      <c r="L73" s="3" t="s">
        <v>141</v>
      </c>
      <c r="M73" s="3" t="s">
        <v>142</v>
      </c>
      <c r="N73" s="3" t="s">
        <v>59</v>
      </c>
      <c r="O73" s="3" t="s">
        <v>59</v>
      </c>
      <c r="P73" s="3" t="s">
        <v>59</v>
      </c>
      <c r="Q73" s="3" t="s">
        <v>139</v>
      </c>
      <c r="R73" s="3" t="s">
        <v>61</v>
      </c>
      <c r="S73" s="3" t="s">
        <v>63</v>
      </c>
      <c r="T73" s="1">
        <v>13200</v>
      </c>
      <c r="U73" s="1">
        <v>-2500</v>
      </c>
      <c r="V73" s="1">
        <v>5500</v>
      </c>
      <c r="W73" s="1">
        <v>2200</v>
      </c>
      <c r="X73" s="1">
        <v>16200</v>
      </c>
      <c r="Y73" s="1">
        <v>2200</v>
      </c>
      <c r="Z73" s="1">
        <v>18400</v>
      </c>
      <c r="AA73" s="1">
        <v>15840</v>
      </c>
      <c r="AB73" s="1">
        <v>-2500</v>
      </c>
      <c r="AC73" s="1">
        <v>6600</v>
      </c>
      <c r="AD73" s="1">
        <v>2200</v>
      </c>
      <c r="AE73" s="1">
        <v>19940</v>
      </c>
      <c r="AF73" s="1">
        <v>2200</v>
      </c>
      <c r="AG73" s="1">
        <v>22140</v>
      </c>
      <c r="AH73" s="1">
        <v>14256</v>
      </c>
      <c r="AI73" s="1">
        <v>-2425</v>
      </c>
      <c r="AJ73" s="1">
        <v>4620</v>
      </c>
      <c r="AK73" s="1">
        <v>1980</v>
      </c>
      <c r="AL73" s="1">
        <v>16451</v>
      </c>
      <c r="AM73" s="1">
        <v>1980</v>
      </c>
      <c r="AN73" s="1">
        <v>18431</v>
      </c>
      <c r="AO73" s="6" t="s">
        <v>215</v>
      </c>
      <c r="AP73" s="6" t="s">
        <v>215</v>
      </c>
      <c r="AQ73" s="6" t="s">
        <v>215</v>
      </c>
      <c r="AR73" s="6" t="s">
        <v>215</v>
      </c>
      <c r="AS73" s="1">
        <v>11059</v>
      </c>
      <c r="AT73" s="1">
        <v>0</v>
      </c>
      <c r="AU73" s="1">
        <v>11059</v>
      </c>
    </row>
    <row r="74" spans="1:47" x14ac:dyDescent="0.3">
      <c r="A74" s="3" t="s">
        <v>46</v>
      </c>
      <c r="B74" s="3" t="s">
        <v>47</v>
      </c>
      <c r="C74" s="3" t="s">
        <v>48</v>
      </c>
      <c r="D74" s="3" t="s">
        <v>49</v>
      </c>
      <c r="E74" s="3" t="s">
        <v>50</v>
      </c>
      <c r="F74" s="3" t="s">
        <v>51</v>
      </c>
      <c r="G74" s="3" t="s">
        <v>134</v>
      </c>
      <c r="H74" s="3" t="s">
        <v>135</v>
      </c>
      <c r="I74" s="3" t="s">
        <v>54</v>
      </c>
      <c r="J74" s="3" t="s">
        <v>55</v>
      </c>
      <c r="K74" s="3" t="s">
        <v>140</v>
      </c>
      <c r="L74" s="3" t="s">
        <v>141</v>
      </c>
      <c r="M74" s="3" t="s">
        <v>142</v>
      </c>
      <c r="N74" s="3" t="s">
        <v>59</v>
      </c>
      <c r="O74" s="3" t="s">
        <v>59</v>
      </c>
      <c r="P74" s="3" t="s">
        <v>59</v>
      </c>
      <c r="Q74" s="3" t="s">
        <v>139</v>
      </c>
      <c r="R74" s="3" t="s">
        <v>61</v>
      </c>
      <c r="S74" s="3" t="s">
        <v>63</v>
      </c>
      <c r="T74" s="1">
        <v>7700</v>
      </c>
      <c r="U74" s="1">
        <v>3200</v>
      </c>
      <c r="V74" s="1">
        <v>0</v>
      </c>
      <c r="W74" s="1">
        <v>3700</v>
      </c>
      <c r="X74" s="1">
        <v>10900</v>
      </c>
      <c r="Y74" s="1">
        <v>3700</v>
      </c>
      <c r="Z74" s="1">
        <v>14600</v>
      </c>
      <c r="AA74" s="1">
        <v>9240</v>
      </c>
      <c r="AB74" s="1">
        <v>3200</v>
      </c>
      <c r="AC74" s="1">
        <v>0</v>
      </c>
      <c r="AD74" s="1">
        <v>3700</v>
      </c>
      <c r="AE74" s="1">
        <v>12440</v>
      </c>
      <c r="AF74" s="1">
        <v>3700</v>
      </c>
      <c r="AG74" s="1">
        <v>16140</v>
      </c>
      <c r="AH74" s="1">
        <v>8316</v>
      </c>
      <c r="AI74" s="1">
        <v>3104</v>
      </c>
      <c r="AJ74" s="1">
        <v>0</v>
      </c>
      <c r="AK74" s="1">
        <v>3330</v>
      </c>
      <c r="AL74" s="1">
        <v>11420</v>
      </c>
      <c r="AM74" s="1">
        <v>3330</v>
      </c>
      <c r="AN74" s="1">
        <v>14750</v>
      </c>
      <c r="AO74" s="6" t="s">
        <v>215</v>
      </c>
      <c r="AP74" s="6" t="s">
        <v>215</v>
      </c>
      <c r="AQ74" s="6" t="s">
        <v>215</v>
      </c>
      <c r="AR74" s="6" t="s">
        <v>215</v>
      </c>
      <c r="AS74" s="1">
        <v>8850</v>
      </c>
      <c r="AT74" s="1">
        <v>0</v>
      </c>
      <c r="AU74" s="1">
        <v>8850</v>
      </c>
    </row>
    <row r="75" spans="1:47" x14ac:dyDescent="0.3">
      <c r="A75" s="3" t="s">
        <v>46</v>
      </c>
      <c r="B75" s="3" t="s">
        <v>47</v>
      </c>
      <c r="C75" s="3" t="s">
        <v>48</v>
      </c>
      <c r="D75" s="3" t="s">
        <v>49</v>
      </c>
      <c r="E75" s="3" t="s">
        <v>50</v>
      </c>
      <c r="F75" s="3" t="s">
        <v>51</v>
      </c>
      <c r="G75" s="3" t="s">
        <v>134</v>
      </c>
      <c r="H75" s="3" t="s">
        <v>135</v>
      </c>
      <c r="I75" s="3" t="s">
        <v>54</v>
      </c>
      <c r="J75" s="3" t="s">
        <v>55</v>
      </c>
      <c r="K75" s="3" t="s">
        <v>140</v>
      </c>
      <c r="L75" s="3" t="s">
        <v>141</v>
      </c>
      <c r="M75" s="3" t="s">
        <v>142</v>
      </c>
      <c r="N75" s="3" t="s">
        <v>59</v>
      </c>
      <c r="O75" s="3" t="s">
        <v>59</v>
      </c>
      <c r="P75" s="3" t="s">
        <v>59</v>
      </c>
      <c r="Q75" s="3" t="s">
        <v>139</v>
      </c>
      <c r="R75" s="3" t="s">
        <v>61</v>
      </c>
      <c r="S75" s="3" t="s">
        <v>63</v>
      </c>
      <c r="T75" s="1">
        <v>3800</v>
      </c>
      <c r="U75" s="1">
        <v>11900</v>
      </c>
      <c r="V75" s="1">
        <v>0</v>
      </c>
      <c r="W75" s="1">
        <v>9700</v>
      </c>
      <c r="X75" s="1">
        <v>15700</v>
      </c>
      <c r="Y75" s="1">
        <v>9700</v>
      </c>
      <c r="Z75" s="1">
        <v>25400</v>
      </c>
      <c r="AA75" s="1">
        <v>4560</v>
      </c>
      <c r="AB75" s="1">
        <v>11900</v>
      </c>
      <c r="AC75" s="1">
        <v>0</v>
      </c>
      <c r="AD75" s="1">
        <v>9700</v>
      </c>
      <c r="AE75" s="1">
        <v>16460</v>
      </c>
      <c r="AF75" s="1">
        <v>9700</v>
      </c>
      <c r="AG75" s="1">
        <v>26160</v>
      </c>
      <c r="AH75" s="1">
        <v>4104</v>
      </c>
      <c r="AI75" s="1">
        <v>11543</v>
      </c>
      <c r="AJ75" s="1">
        <v>0</v>
      </c>
      <c r="AK75" s="1">
        <v>8730</v>
      </c>
      <c r="AL75" s="1">
        <v>15647</v>
      </c>
      <c r="AM75" s="1">
        <v>8730</v>
      </c>
      <c r="AN75" s="1">
        <v>24377</v>
      </c>
      <c r="AO75" s="6" t="s">
        <v>215</v>
      </c>
      <c r="AP75" s="6" t="s">
        <v>215</v>
      </c>
      <c r="AQ75" s="6" t="s">
        <v>215</v>
      </c>
      <c r="AR75" s="6" t="s">
        <v>215</v>
      </c>
      <c r="AS75" s="1">
        <v>14626</v>
      </c>
      <c r="AT75" s="1">
        <v>0</v>
      </c>
      <c r="AU75" s="1">
        <v>14626</v>
      </c>
    </row>
    <row r="76" spans="1:47" x14ac:dyDescent="0.3">
      <c r="A76" s="3" t="s">
        <v>46</v>
      </c>
      <c r="B76" s="3" t="s">
        <v>47</v>
      </c>
      <c r="C76" s="3" t="s">
        <v>48</v>
      </c>
      <c r="D76" s="3" t="s">
        <v>49</v>
      </c>
      <c r="E76" s="3" t="s">
        <v>50</v>
      </c>
      <c r="F76" s="3" t="s">
        <v>51</v>
      </c>
      <c r="G76" s="3" t="s">
        <v>143</v>
      </c>
      <c r="H76" s="3" t="s">
        <v>144</v>
      </c>
      <c r="I76" s="3" t="s">
        <v>54</v>
      </c>
      <c r="J76" s="3" t="s">
        <v>55</v>
      </c>
      <c r="K76" s="3" t="s">
        <v>145</v>
      </c>
      <c r="L76" s="3" t="s">
        <v>146</v>
      </c>
      <c r="M76" s="3" t="s">
        <v>147</v>
      </c>
      <c r="N76" s="3" t="s">
        <v>59</v>
      </c>
      <c r="O76" s="3" t="s">
        <v>59</v>
      </c>
      <c r="P76" s="3" t="s">
        <v>59</v>
      </c>
      <c r="Q76" s="3" t="s">
        <v>148</v>
      </c>
      <c r="R76" s="3" t="s">
        <v>61</v>
      </c>
      <c r="S76" s="3" t="s">
        <v>62</v>
      </c>
      <c r="T76" s="1">
        <v>2000</v>
      </c>
      <c r="U76" s="1">
        <v>10500</v>
      </c>
      <c r="V76" s="1">
        <v>200</v>
      </c>
      <c r="W76" s="1">
        <v>32200</v>
      </c>
      <c r="X76" s="1">
        <v>12700</v>
      </c>
      <c r="Y76" s="1">
        <v>32200</v>
      </c>
      <c r="Z76" s="1">
        <v>44900</v>
      </c>
      <c r="AA76" s="1">
        <v>2400</v>
      </c>
      <c r="AB76" s="1">
        <v>10500</v>
      </c>
      <c r="AC76" s="1">
        <v>240</v>
      </c>
      <c r="AD76" s="1">
        <v>32200</v>
      </c>
      <c r="AE76" s="1">
        <v>13140</v>
      </c>
      <c r="AF76" s="1">
        <v>32200</v>
      </c>
      <c r="AG76" s="1">
        <v>45340</v>
      </c>
      <c r="AH76" s="1">
        <v>2160</v>
      </c>
      <c r="AI76" s="1">
        <v>10185</v>
      </c>
      <c r="AJ76" s="1">
        <v>168</v>
      </c>
      <c r="AK76" s="1">
        <v>28980</v>
      </c>
      <c r="AL76" s="1">
        <v>12513</v>
      </c>
      <c r="AM76" s="1">
        <v>28980</v>
      </c>
      <c r="AN76" s="1">
        <v>41493</v>
      </c>
      <c r="AO76" s="6" t="s">
        <v>215</v>
      </c>
      <c r="AP76" s="6" t="s">
        <v>215</v>
      </c>
      <c r="AQ76" s="6" t="s">
        <v>215</v>
      </c>
      <c r="AR76" s="6" t="s">
        <v>215</v>
      </c>
      <c r="AS76" s="1">
        <v>24896</v>
      </c>
      <c r="AT76" s="1">
        <v>0</v>
      </c>
      <c r="AU76" s="1">
        <v>24896</v>
      </c>
    </row>
    <row r="77" spans="1:47" x14ac:dyDescent="0.3">
      <c r="A77" s="3" t="s">
        <v>46</v>
      </c>
      <c r="B77" s="3" t="s">
        <v>47</v>
      </c>
      <c r="C77" s="3" t="s">
        <v>48</v>
      </c>
      <c r="D77" s="3" t="s">
        <v>49</v>
      </c>
      <c r="E77" s="3" t="s">
        <v>50</v>
      </c>
      <c r="F77" s="3" t="s">
        <v>51</v>
      </c>
      <c r="G77" s="3" t="s">
        <v>143</v>
      </c>
      <c r="H77" s="3" t="s">
        <v>144</v>
      </c>
      <c r="I77" s="3" t="s">
        <v>54</v>
      </c>
      <c r="J77" s="3" t="s">
        <v>55</v>
      </c>
      <c r="K77" s="3" t="s">
        <v>145</v>
      </c>
      <c r="L77" s="3" t="s">
        <v>146</v>
      </c>
      <c r="M77" s="3" t="s">
        <v>147</v>
      </c>
      <c r="N77" s="3" t="s">
        <v>59</v>
      </c>
      <c r="O77" s="3" t="s">
        <v>59</v>
      </c>
      <c r="P77" s="3" t="s">
        <v>59</v>
      </c>
      <c r="Q77" s="3" t="s">
        <v>148</v>
      </c>
      <c r="R77" s="3" t="s">
        <v>61</v>
      </c>
      <c r="S77" s="3" t="s">
        <v>63</v>
      </c>
      <c r="T77" s="1">
        <v>2800</v>
      </c>
      <c r="U77" s="1">
        <v>8400</v>
      </c>
      <c r="V77" s="1">
        <v>0</v>
      </c>
      <c r="W77" s="1">
        <v>5900</v>
      </c>
      <c r="X77" s="1">
        <v>11200</v>
      </c>
      <c r="Y77" s="1">
        <v>5900</v>
      </c>
      <c r="Z77" s="1">
        <v>17100</v>
      </c>
      <c r="AA77" s="1">
        <v>3360</v>
      </c>
      <c r="AB77" s="1">
        <v>8400</v>
      </c>
      <c r="AC77" s="1">
        <v>0</v>
      </c>
      <c r="AD77" s="1">
        <v>5900</v>
      </c>
      <c r="AE77" s="1">
        <v>11760</v>
      </c>
      <c r="AF77" s="1">
        <v>5900</v>
      </c>
      <c r="AG77" s="1">
        <v>17660</v>
      </c>
      <c r="AH77" s="1">
        <v>3024</v>
      </c>
      <c r="AI77" s="1">
        <v>8148</v>
      </c>
      <c r="AJ77" s="1">
        <v>0</v>
      </c>
      <c r="AK77" s="1">
        <v>5310</v>
      </c>
      <c r="AL77" s="1">
        <v>11172</v>
      </c>
      <c r="AM77" s="1">
        <v>5310</v>
      </c>
      <c r="AN77" s="1">
        <v>16482</v>
      </c>
      <c r="AO77" s="6" t="s">
        <v>215</v>
      </c>
      <c r="AP77" s="6" t="s">
        <v>215</v>
      </c>
      <c r="AQ77" s="6" t="s">
        <v>215</v>
      </c>
      <c r="AR77" s="6" t="s">
        <v>215</v>
      </c>
      <c r="AS77" s="1">
        <v>9889</v>
      </c>
      <c r="AT77" s="1">
        <v>0</v>
      </c>
      <c r="AU77" s="1">
        <v>9889</v>
      </c>
    </row>
    <row r="78" spans="1:47" x14ac:dyDescent="0.3">
      <c r="A78" s="3" t="s">
        <v>46</v>
      </c>
      <c r="B78" s="3" t="s">
        <v>47</v>
      </c>
      <c r="C78" s="3" t="s">
        <v>48</v>
      </c>
      <c r="D78" s="3" t="s">
        <v>49</v>
      </c>
      <c r="E78" s="3" t="s">
        <v>50</v>
      </c>
      <c r="F78" s="3" t="s">
        <v>51</v>
      </c>
      <c r="G78" s="3" t="s">
        <v>143</v>
      </c>
      <c r="H78" s="3" t="s">
        <v>144</v>
      </c>
      <c r="I78" s="3" t="s">
        <v>54</v>
      </c>
      <c r="J78" s="3" t="s">
        <v>55</v>
      </c>
      <c r="K78" s="3" t="s">
        <v>145</v>
      </c>
      <c r="L78" s="3" t="s">
        <v>146</v>
      </c>
      <c r="M78" s="3" t="s">
        <v>147</v>
      </c>
      <c r="N78" s="3" t="s">
        <v>59</v>
      </c>
      <c r="O78" s="3" t="s">
        <v>59</v>
      </c>
      <c r="P78" s="3" t="s">
        <v>59</v>
      </c>
      <c r="Q78" s="3" t="s">
        <v>148</v>
      </c>
      <c r="R78" s="3" t="s">
        <v>61</v>
      </c>
      <c r="S78" s="3" t="s">
        <v>63</v>
      </c>
      <c r="T78" s="1">
        <v>7400</v>
      </c>
      <c r="U78" s="1">
        <v>3700</v>
      </c>
      <c r="V78" s="1">
        <v>0</v>
      </c>
      <c r="W78" s="1">
        <v>7400</v>
      </c>
      <c r="X78" s="1">
        <v>11100</v>
      </c>
      <c r="Y78" s="1">
        <v>7400</v>
      </c>
      <c r="Z78" s="1">
        <v>18500</v>
      </c>
      <c r="AA78" s="1">
        <v>8880</v>
      </c>
      <c r="AB78" s="1">
        <v>3700</v>
      </c>
      <c r="AC78" s="1">
        <v>0</v>
      </c>
      <c r="AD78" s="1">
        <v>7400</v>
      </c>
      <c r="AE78" s="1">
        <v>12580</v>
      </c>
      <c r="AF78" s="1">
        <v>7400</v>
      </c>
      <c r="AG78" s="1">
        <v>19980</v>
      </c>
      <c r="AH78" s="1">
        <v>7992</v>
      </c>
      <c r="AI78" s="1">
        <v>3589</v>
      </c>
      <c r="AJ78" s="1">
        <v>0</v>
      </c>
      <c r="AK78" s="1">
        <v>6660</v>
      </c>
      <c r="AL78" s="1">
        <v>11581</v>
      </c>
      <c r="AM78" s="1">
        <v>6660</v>
      </c>
      <c r="AN78" s="1">
        <v>18241</v>
      </c>
      <c r="AO78" s="6" t="s">
        <v>215</v>
      </c>
      <c r="AP78" s="6" t="s">
        <v>215</v>
      </c>
      <c r="AQ78" s="6" t="s">
        <v>215</v>
      </c>
      <c r="AR78" s="6" t="s">
        <v>215</v>
      </c>
      <c r="AS78" s="1">
        <v>10944</v>
      </c>
      <c r="AT78" s="1">
        <v>0</v>
      </c>
      <c r="AU78" s="1">
        <v>10944</v>
      </c>
    </row>
    <row r="79" spans="1:47" x14ac:dyDescent="0.3">
      <c r="A79" s="3" t="s">
        <v>46</v>
      </c>
      <c r="B79" s="3" t="s">
        <v>47</v>
      </c>
      <c r="C79" s="3" t="s">
        <v>48</v>
      </c>
      <c r="D79" s="3" t="s">
        <v>49</v>
      </c>
      <c r="E79" s="3" t="s">
        <v>50</v>
      </c>
      <c r="F79" s="3" t="s">
        <v>51</v>
      </c>
      <c r="G79" s="3" t="s">
        <v>143</v>
      </c>
      <c r="H79" s="3" t="s">
        <v>144</v>
      </c>
      <c r="I79" s="3" t="s">
        <v>54</v>
      </c>
      <c r="J79" s="3" t="s">
        <v>55</v>
      </c>
      <c r="K79" s="3" t="s">
        <v>145</v>
      </c>
      <c r="L79" s="3" t="s">
        <v>146</v>
      </c>
      <c r="M79" s="3" t="s">
        <v>147</v>
      </c>
      <c r="N79" s="3" t="s">
        <v>59</v>
      </c>
      <c r="O79" s="3" t="s">
        <v>59</v>
      </c>
      <c r="P79" s="3" t="s">
        <v>59</v>
      </c>
      <c r="Q79" s="3" t="s">
        <v>148</v>
      </c>
      <c r="R79" s="3" t="s">
        <v>61</v>
      </c>
      <c r="S79" s="3" t="s">
        <v>63</v>
      </c>
      <c r="T79" s="1">
        <v>7200</v>
      </c>
      <c r="U79" s="1">
        <v>7200</v>
      </c>
      <c r="V79" s="1">
        <v>0</v>
      </c>
      <c r="W79" s="1">
        <v>0</v>
      </c>
      <c r="X79" s="1">
        <v>14400</v>
      </c>
      <c r="Y79" s="1">
        <v>0</v>
      </c>
      <c r="Z79" s="1">
        <v>14400</v>
      </c>
      <c r="AA79" s="1">
        <v>8640</v>
      </c>
      <c r="AB79" s="1">
        <v>7200</v>
      </c>
      <c r="AC79" s="1">
        <v>0</v>
      </c>
      <c r="AD79" s="1">
        <v>0</v>
      </c>
      <c r="AE79" s="1">
        <v>15840</v>
      </c>
      <c r="AF79" s="1">
        <v>0</v>
      </c>
      <c r="AG79" s="1">
        <v>15840</v>
      </c>
      <c r="AH79" s="1">
        <v>7776</v>
      </c>
      <c r="AI79" s="1">
        <v>6984</v>
      </c>
      <c r="AJ79" s="1">
        <v>0</v>
      </c>
      <c r="AK79" s="1">
        <v>0</v>
      </c>
      <c r="AL79" s="1">
        <v>14760</v>
      </c>
      <c r="AM79" s="1">
        <v>0</v>
      </c>
      <c r="AN79" s="1">
        <v>14760</v>
      </c>
      <c r="AO79" s="6" t="s">
        <v>215</v>
      </c>
      <c r="AP79" s="6" t="s">
        <v>215</v>
      </c>
      <c r="AQ79" s="6" t="s">
        <v>215</v>
      </c>
      <c r="AR79" s="6" t="s">
        <v>215</v>
      </c>
      <c r="AS79" s="1">
        <v>8856</v>
      </c>
      <c r="AT79" s="1">
        <v>0</v>
      </c>
      <c r="AU79" s="1">
        <v>8856</v>
      </c>
    </row>
    <row r="80" spans="1:47" x14ac:dyDescent="0.3">
      <c r="A80" s="3" t="s">
        <v>46</v>
      </c>
      <c r="B80" s="3" t="s">
        <v>47</v>
      </c>
      <c r="C80" s="3" t="s">
        <v>48</v>
      </c>
      <c r="D80" s="3" t="s">
        <v>49</v>
      </c>
      <c r="E80" s="3" t="s">
        <v>50</v>
      </c>
      <c r="F80" s="3" t="s">
        <v>51</v>
      </c>
      <c r="G80" s="3" t="s">
        <v>150</v>
      </c>
      <c r="H80" s="3" t="s">
        <v>151</v>
      </c>
      <c r="I80" s="3" t="s">
        <v>54</v>
      </c>
      <c r="J80" s="3" t="s">
        <v>55</v>
      </c>
      <c r="K80" s="3" t="s">
        <v>152</v>
      </c>
      <c r="L80" s="3" t="s">
        <v>153</v>
      </c>
      <c r="M80" s="3" t="s">
        <v>154</v>
      </c>
      <c r="N80" s="3" t="s">
        <v>59</v>
      </c>
      <c r="O80" s="3" t="s">
        <v>59</v>
      </c>
      <c r="P80" s="3" t="s">
        <v>59</v>
      </c>
      <c r="Q80" s="3" t="s">
        <v>155</v>
      </c>
      <c r="R80" s="3" t="s">
        <v>61</v>
      </c>
      <c r="S80" s="3" t="s">
        <v>62</v>
      </c>
      <c r="T80" s="1">
        <v>313610</v>
      </c>
      <c r="U80" s="1">
        <v>266700</v>
      </c>
      <c r="V80" s="1">
        <v>46700</v>
      </c>
      <c r="W80" s="1">
        <v>3196090</v>
      </c>
      <c r="X80" s="1">
        <v>627010</v>
      </c>
      <c r="Y80" s="1">
        <v>3196090</v>
      </c>
      <c r="Z80" s="1">
        <v>3823100</v>
      </c>
      <c r="AA80" s="1">
        <v>376332</v>
      </c>
      <c r="AB80" s="1">
        <v>266700</v>
      </c>
      <c r="AC80" s="1">
        <v>55950</v>
      </c>
      <c r="AD80" s="1">
        <v>3196090</v>
      </c>
      <c r="AE80" s="1">
        <v>698982</v>
      </c>
      <c r="AF80" s="1">
        <v>3196090</v>
      </c>
      <c r="AG80" s="1">
        <v>3895072</v>
      </c>
      <c r="AH80" s="1">
        <v>338698.8</v>
      </c>
      <c r="AI80" s="1">
        <v>258699</v>
      </c>
      <c r="AJ80" s="1">
        <v>39165</v>
      </c>
      <c r="AK80" s="1">
        <v>2876481</v>
      </c>
      <c r="AL80" s="1">
        <v>636562.80000000005</v>
      </c>
      <c r="AM80" s="1">
        <v>2876481</v>
      </c>
      <c r="AN80" s="1">
        <v>3513043.8</v>
      </c>
      <c r="AO80" s="6" t="s">
        <v>215</v>
      </c>
      <c r="AP80" s="6" t="s">
        <v>215</v>
      </c>
      <c r="AQ80" s="6" t="s">
        <v>215</v>
      </c>
      <c r="AR80" s="6" t="s">
        <v>215</v>
      </c>
      <c r="AS80" s="1">
        <v>2107826</v>
      </c>
      <c r="AT80" s="1">
        <v>0</v>
      </c>
      <c r="AU80" s="1">
        <v>2107826</v>
      </c>
    </row>
    <row r="81" spans="1:47" x14ac:dyDescent="0.3">
      <c r="A81" s="3" t="s">
        <v>46</v>
      </c>
      <c r="B81" s="3" t="s">
        <v>47</v>
      </c>
      <c r="C81" s="3" t="s">
        <v>48</v>
      </c>
      <c r="D81" s="3" t="s">
        <v>49</v>
      </c>
      <c r="E81" s="3" t="s">
        <v>50</v>
      </c>
      <c r="F81" s="3" t="s">
        <v>51</v>
      </c>
      <c r="G81" s="3" t="s">
        <v>150</v>
      </c>
      <c r="H81" s="3" t="s">
        <v>151</v>
      </c>
      <c r="I81" s="3" t="s">
        <v>54</v>
      </c>
      <c r="J81" s="3" t="s">
        <v>55</v>
      </c>
      <c r="K81" s="3" t="s">
        <v>152</v>
      </c>
      <c r="L81" s="3" t="s">
        <v>153</v>
      </c>
      <c r="M81" s="3" t="s">
        <v>154</v>
      </c>
      <c r="N81" s="3" t="s">
        <v>59</v>
      </c>
      <c r="O81" s="3" t="s">
        <v>59</v>
      </c>
      <c r="P81" s="3" t="s">
        <v>59</v>
      </c>
      <c r="Q81" s="3" t="s">
        <v>155</v>
      </c>
      <c r="R81" s="3" t="s">
        <v>61</v>
      </c>
      <c r="S81" s="3" t="s">
        <v>63</v>
      </c>
      <c r="T81" s="1">
        <v>733970</v>
      </c>
      <c r="U81" s="1">
        <v>772970</v>
      </c>
      <c r="V81" s="1">
        <v>34840</v>
      </c>
      <c r="W81" s="1">
        <v>1718520</v>
      </c>
      <c r="X81" s="1">
        <v>1541780</v>
      </c>
      <c r="Y81" s="1">
        <v>1718520</v>
      </c>
      <c r="Z81" s="1">
        <v>3260300</v>
      </c>
      <c r="AA81" s="1">
        <v>880764</v>
      </c>
      <c r="AB81" s="1">
        <v>772970</v>
      </c>
      <c r="AC81" s="1">
        <v>41628</v>
      </c>
      <c r="AD81" s="1">
        <v>1718520</v>
      </c>
      <c r="AE81" s="1">
        <v>1695362</v>
      </c>
      <c r="AF81" s="1">
        <v>1718520</v>
      </c>
      <c r="AG81" s="1">
        <v>3413882</v>
      </c>
      <c r="AH81" s="1">
        <v>792687.6</v>
      </c>
      <c r="AI81" s="1">
        <v>749780.9</v>
      </c>
      <c r="AJ81" s="1">
        <v>29139.599999999999</v>
      </c>
      <c r="AK81" s="1">
        <v>1546668</v>
      </c>
      <c r="AL81" s="1">
        <v>1571608.1</v>
      </c>
      <c r="AM81" s="1">
        <v>1546668</v>
      </c>
      <c r="AN81" s="1">
        <v>3118276.1</v>
      </c>
      <c r="AO81" s="6" t="s">
        <v>215</v>
      </c>
      <c r="AP81" s="6" t="s">
        <v>215</v>
      </c>
      <c r="AQ81" s="6" t="s">
        <v>215</v>
      </c>
      <c r="AR81" s="6" t="s">
        <v>215</v>
      </c>
      <c r="AS81" s="1">
        <v>1870967</v>
      </c>
      <c r="AT81" s="1">
        <v>0</v>
      </c>
      <c r="AU81" s="1">
        <v>1870967</v>
      </c>
    </row>
    <row r="82" spans="1:47" x14ac:dyDescent="0.3">
      <c r="A82" s="3" t="s">
        <v>46</v>
      </c>
      <c r="B82" s="3" t="s">
        <v>47</v>
      </c>
      <c r="C82" s="3" t="s">
        <v>48</v>
      </c>
      <c r="D82" s="3" t="s">
        <v>49</v>
      </c>
      <c r="E82" s="3" t="s">
        <v>50</v>
      </c>
      <c r="F82" s="3" t="s">
        <v>51</v>
      </c>
      <c r="G82" s="3" t="s">
        <v>150</v>
      </c>
      <c r="H82" s="3" t="s">
        <v>151</v>
      </c>
      <c r="I82" s="3" t="s">
        <v>54</v>
      </c>
      <c r="J82" s="3" t="s">
        <v>55</v>
      </c>
      <c r="K82" s="3" t="s">
        <v>152</v>
      </c>
      <c r="L82" s="3" t="s">
        <v>153</v>
      </c>
      <c r="M82" s="3" t="s">
        <v>154</v>
      </c>
      <c r="N82" s="3" t="s">
        <v>59</v>
      </c>
      <c r="O82" s="3" t="s">
        <v>59</v>
      </c>
      <c r="P82" s="3" t="s">
        <v>59</v>
      </c>
      <c r="Q82" s="3" t="s">
        <v>155</v>
      </c>
      <c r="R82" s="3" t="s">
        <v>61</v>
      </c>
      <c r="S82" s="3" t="s">
        <v>63</v>
      </c>
      <c r="T82" s="1">
        <v>854960</v>
      </c>
      <c r="U82" s="1">
        <v>852250</v>
      </c>
      <c r="V82" s="1">
        <v>100840</v>
      </c>
      <c r="W82" s="1">
        <v>471850</v>
      </c>
      <c r="X82" s="1">
        <v>1808050</v>
      </c>
      <c r="Y82" s="1">
        <v>471850</v>
      </c>
      <c r="Z82" s="1">
        <v>2279900</v>
      </c>
      <c r="AA82" s="1">
        <v>1025952</v>
      </c>
      <c r="AB82" s="1">
        <v>852250</v>
      </c>
      <c r="AC82" s="1">
        <v>120869</v>
      </c>
      <c r="AD82" s="1">
        <v>471850</v>
      </c>
      <c r="AE82" s="1">
        <v>1999071</v>
      </c>
      <c r="AF82" s="1">
        <v>471850</v>
      </c>
      <c r="AG82" s="1">
        <v>2470921</v>
      </c>
      <c r="AH82" s="1">
        <v>923356.8</v>
      </c>
      <c r="AI82" s="1">
        <v>826682.5</v>
      </c>
      <c r="AJ82" s="1">
        <v>84608.3</v>
      </c>
      <c r="AK82" s="1">
        <v>424665</v>
      </c>
      <c r="AL82" s="1">
        <v>1834647.6</v>
      </c>
      <c r="AM82" s="1">
        <v>424665</v>
      </c>
      <c r="AN82" s="1">
        <v>2259312.6</v>
      </c>
      <c r="AO82" s="6" t="s">
        <v>215</v>
      </c>
      <c r="AP82" s="6" t="s">
        <v>215</v>
      </c>
      <c r="AQ82" s="6" t="s">
        <v>215</v>
      </c>
      <c r="AR82" s="6" t="s">
        <v>215</v>
      </c>
      <c r="AS82" s="1">
        <v>1355588</v>
      </c>
      <c r="AT82" s="1">
        <v>0</v>
      </c>
      <c r="AU82" s="1">
        <v>1355588</v>
      </c>
    </row>
    <row r="83" spans="1:47" x14ac:dyDescent="0.3">
      <c r="A83" s="3" t="s">
        <v>46</v>
      </c>
      <c r="B83" s="3" t="s">
        <v>47</v>
      </c>
      <c r="C83" s="3" t="s">
        <v>48</v>
      </c>
      <c r="D83" s="3" t="s">
        <v>49</v>
      </c>
      <c r="E83" s="3" t="s">
        <v>50</v>
      </c>
      <c r="F83" s="3" t="s">
        <v>51</v>
      </c>
      <c r="G83" s="3" t="s">
        <v>150</v>
      </c>
      <c r="H83" s="3" t="s">
        <v>151</v>
      </c>
      <c r="I83" s="3" t="s">
        <v>54</v>
      </c>
      <c r="J83" s="3" t="s">
        <v>55</v>
      </c>
      <c r="K83" s="3" t="s">
        <v>152</v>
      </c>
      <c r="L83" s="3" t="s">
        <v>153</v>
      </c>
      <c r="M83" s="3" t="s">
        <v>154</v>
      </c>
      <c r="N83" s="3" t="s">
        <v>59</v>
      </c>
      <c r="O83" s="3" t="s">
        <v>59</v>
      </c>
      <c r="P83" s="3" t="s">
        <v>59</v>
      </c>
      <c r="Q83" s="3" t="s">
        <v>155</v>
      </c>
      <c r="R83" s="3" t="s">
        <v>61</v>
      </c>
      <c r="S83" s="3" t="s">
        <v>63</v>
      </c>
      <c r="T83" s="1">
        <v>1287480</v>
      </c>
      <c r="U83" s="1">
        <v>1393890</v>
      </c>
      <c r="V83" s="1">
        <v>215990</v>
      </c>
      <c r="W83" s="1">
        <v>423540</v>
      </c>
      <c r="X83" s="1">
        <v>2897360</v>
      </c>
      <c r="Y83" s="1">
        <v>423540</v>
      </c>
      <c r="Z83" s="1">
        <v>3320900</v>
      </c>
      <c r="AA83" s="1">
        <v>1544976</v>
      </c>
      <c r="AB83" s="1">
        <v>1393890</v>
      </c>
      <c r="AC83" s="1">
        <v>260389</v>
      </c>
      <c r="AD83" s="1">
        <v>423540</v>
      </c>
      <c r="AE83" s="1">
        <v>3199255</v>
      </c>
      <c r="AF83" s="1">
        <v>423540</v>
      </c>
      <c r="AG83" s="1">
        <v>3622795</v>
      </c>
      <c r="AH83" s="1">
        <v>1390478.4</v>
      </c>
      <c r="AI83" s="1">
        <v>1352073.3</v>
      </c>
      <c r="AJ83" s="1">
        <v>182272.3</v>
      </c>
      <c r="AK83" s="1">
        <v>381186</v>
      </c>
      <c r="AL83" s="1">
        <v>2924824</v>
      </c>
      <c r="AM83" s="1">
        <v>381186</v>
      </c>
      <c r="AN83" s="1">
        <v>3306010</v>
      </c>
      <c r="AO83" s="6" t="s">
        <v>215</v>
      </c>
      <c r="AP83" s="6" t="s">
        <v>215</v>
      </c>
      <c r="AQ83" s="6" t="s">
        <v>215</v>
      </c>
      <c r="AR83" s="6" t="s">
        <v>215</v>
      </c>
      <c r="AS83" s="1">
        <v>1983606</v>
      </c>
      <c r="AT83" s="1">
        <v>0</v>
      </c>
      <c r="AU83" s="1">
        <v>1983606</v>
      </c>
    </row>
    <row r="84" spans="1:47" x14ac:dyDescent="0.3">
      <c r="A84" s="3" t="s">
        <v>46</v>
      </c>
      <c r="B84" s="3" t="s">
        <v>47</v>
      </c>
      <c r="C84" s="3" t="s">
        <v>48</v>
      </c>
      <c r="D84" s="3" t="s">
        <v>49</v>
      </c>
      <c r="E84" s="3" t="s">
        <v>50</v>
      </c>
      <c r="F84" s="3" t="s">
        <v>51</v>
      </c>
      <c r="G84" s="3" t="s">
        <v>150</v>
      </c>
      <c r="H84" s="3" t="s">
        <v>151</v>
      </c>
      <c r="I84" s="3" t="s">
        <v>54</v>
      </c>
      <c r="J84" s="3" t="s">
        <v>55</v>
      </c>
      <c r="K84" s="3" t="s">
        <v>156</v>
      </c>
      <c r="L84" s="3" t="s">
        <v>157</v>
      </c>
      <c r="M84" s="3" t="s">
        <v>158</v>
      </c>
      <c r="N84" s="3" t="s">
        <v>59</v>
      </c>
      <c r="O84" s="3" t="s">
        <v>59</v>
      </c>
      <c r="P84" s="3" t="s">
        <v>59</v>
      </c>
      <c r="Q84" s="3" t="s">
        <v>155</v>
      </c>
      <c r="R84" s="3" t="s">
        <v>61</v>
      </c>
      <c r="S84" s="3" t="s">
        <v>62</v>
      </c>
      <c r="T84" s="1">
        <v>46620</v>
      </c>
      <c r="U84" s="1">
        <v>55720</v>
      </c>
      <c r="V84" s="1">
        <v>300</v>
      </c>
      <c r="W84" s="1">
        <v>481660</v>
      </c>
      <c r="X84" s="1">
        <v>102640</v>
      </c>
      <c r="Y84" s="1">
        <v>481660</v>
      </c>
      <c r="Z84" s="1">
        <v>584300</v>
      </c>
      <c r="AA84" s="1">
        <v>55944</v>
      </c>
      <c r="AB84" s="1">
        <v>55720</v>
      </c>
      <c r="AC84" s="1">
        <v>417</v>
      </c>
      <c r="AD84" s="1">
        <v>481660</v>
      </c>
      <c r="AE84" s="1">
        <v>112081</v>
      </c>
      <c r="AF84" s="1">
        <v>481660</v>
      </c>
      <c r="AG84" s="1">
        <v>593741</v>
      </c>
      <c r="AH84" s="1">
        <v>50349.599999999999</v>
      </c>
      <c r="AI84" s="1">
        <v>54048.4</v>
      </c>
      <c r="AJ84" s="1">
        <v>291.89999999999998</v>
      </c>
      <c r="AK84" s="1">
        <v>433494</v>
      </c>
      <c r="AL84" s="1">
        <v>104689.9</v>
      </c>
      <c r="AM84" s="1">
        <v>433494</v>
      </c>
      <c r="AN84" s="1">
        <v>538183.9</v>
      </c>
      <c r="AO84" s="6" t="s">
        <v>215</v>
      </c>
      <c r="AP84" s="6" t="s">
        <v>215</v>
      </c>
      <c r="AQ84" s="6" t="s">
        <v>215</v>
      </c>
      <c r="AR84" s="6" t="s">
        <v>215</v>
      </c>
      <c r="AS84" s="1">
        <v>322910</v>
      </c>
      <c r="AT84" s="1">
        <v>0</v>
      </c>
      <c r="AU84" s="1">
        <v>322910</v>
      </c>
    </row>
    <row r="85" spans="1:47" x14ac:dyDescent="0.3">
      <c r="A85" s="3" t="s">
        <v>46</v>
      </c>
      <c r="B85" s="3" t="s">
        <v>47</v>
      </c>
      <c r="C85" s="3" t="s">
        <v>48</v>
      </c>
      <c r="D85" s="3" t="s">
        <v>49</v>
      </c>
      <c r="E85" s="3" t="s">
        <v>50</v>
      </c>
      <c r="F85" s="3" t="s">
        <v>51</v>
      </c>
      <c r="G85" s="3" t="s">
        <v>150</v>
      </c>
      <c r="H85" s="3" t="s">
        <v>151</v>
      </c>
      <c r="I85" s="3" t="s">
        <v>54</v>
      </c>
      <c r="J85" s="3" t="s">
        <v>55</v>
      </c>
      <c r="K85" s="3" t="s">
        <v>156</v>
      </c>
      <c r="L85" s="3" t="s">
        <v>157</v>
      </c>
      <c r="M85" s="3" t="s">
        <v>158</v>
      </c>
      <c r="N85" s="3" t="s">
        <v>59</v>
      </c>
      <c r="O85" s="3" t="s">
        <v>59</v>
      </c>
      <c r="P85" s="3" t="s">
        <v>59</v>
      </c>
      <c r="Q85" s="3" t="s">
        <v>155</v>
      </c>
      <c r="R85" s="3" t="s">
        <v>61</v>
      </c>
      <c r="S85" s="3" t="s">
        <v>63</v>
      </c>
      <c r="T85" s="1">
        <v>105260</v>
      </c>
      <c r="U85" s="1">
        <v>51640</v>
      </c>
      <c r="V85" s="1">
        <v>0</v>
      </c>
      <c r="W85" s="1">
        <v>86400</v>
      </c>
      <c r="X85" s="1">
        <v>156900</v>
      </c>
      <c r="Y85" s="1">
        <v>86400</v>
      </c>
      <c r="Z85" s="1">
        <v>243300</v>
      </c>
      <c r="AA85" s="1">
        <v>126312</v>
      </c>
      <c r="AB85" s="1">
        <v>51640</v>
      </c>
      <c r="AC85" s="1">
        <v>0</v>
      </c>
      <c r="AD85" s="1">
        <v>86400</v>
      </c>
      <c r="AE85" s="1">
        <v>177952</v>
      </c>
      <c r="AF85" s="1">
        <v>86400</v>
      </c>
      <c r="AG85" s="1">
        <v>264352</v>
      </c>
      <c r="AH85" s="1">
        <v>113680.8</v>
      </c>
      <c r="AI85" s="1">
        <v>50090.8</v>
      </c>
      <c r="AJ85" s="1">
        <v>0</v>
      </c>
      <c r="AK85" s="1">
        <v>77760</v>
      </c>
      <c r="AL85" s="1">
        <v>163771.6</v>
      </c>
      <c r="AM85" s="1">
        <v>77760</v>
      </c>
      <c r="AN85" s="1">
        <v>241531.6</v>
      </c>
      <c r="AO85" s="6" t="s">
        <v>215</v>
      </c>
      <c r="AP85" s="6" t="s">
        <v>215</v>
      </c>
      <c r="AQ85" s="6" t="s">
        <v>215</v>
      </c>
      <c r="AR85" s="6" t="s">
        <v>215</v>
      </c>
      <c r="AS85" s="1">
        <v>144918</v>
      </c>
      <c r="AT85" s="1">
        <v>0</v>
      </c>
      <c r="AU85" s="1">
        <v>144918</v>
      </c>
    </row>
    <row r="86" spans="1:47" x14ac:dyDescent="0.3">
      <c r="A86" s="3" t="s">
        <v>46</v>
      </c>
      <c r="B86" s="3" t="s">
        <v>47</v>
      </c>
      <c r="C86" s="3" t="s">
        <v>48</v>
      </c>
      <c r="D86" s="3" t="s">
        <v>49</v>
      </c>
      <c r="E86" s="3" t="s">
        <v>50</v>
      </c>
      <c r="F86" s="3" t="s">
        <v>51</v>
      </c>
      <c r="G86" s="3" t="s">
        <v>150</v>
      </c>
      <c r="H86" s="3" t="s">
        <v>151</v>
      </c>
      <c r="I86" s="3" t="s">
        <v>54</v>
      </c>
      <c r="J86" s="3" t="s">
        <v>55</v>
      </c>
      <c r="K86" s="3" t="s">
        <v>156</v>
      </c>
      <c r="L86" s="3" t="s">
        <v>157</v>
      </c>
      <c r="M86" s="3" t="s">
        <v>158</v>
      </c>
      <c r="N86" s="3" t="s">
        <v>59</v>
      </c>
      <c r="O86" s="3" t="s">
        <v>59</v>
      </c>
      <c r="P86" s="3" t="s">
        <v>59</v>
      </c>
      <c r="Q86" s="3" t="s">
        <v>155</v>
      </c>
      <c r="R86" s="3" t="s">
        <v>61</v>
      </c>
      <c r="S86" s="3" t="s">
        <v>63</v>
      </c>
      <c r="T86" s="1">
        <v>53600</v>
      </c>
      <c r="U86" s="1">
        <v>58700</v>
      </c>
      <c r="V86" s="1">
        <v>0</v>
      </c>
      <c r="W86" s="1">
        <v>29900</v>
      </c>
      <c r="X86" s="1">
        <v>112300</v>
      </c>
      <c r="Y86" s="1">
        <v>29900</v>
      </c>
      <c r="Z86" s="1">
        <v>142200</v>
      </c>
      <c r="AA86" s="1">
        <v>64320</v>
      </c>
      <c r="AB86" s="1">
        <v>58700</v>
      </c>
      <c r="AC86" s="1">
        <v>0</v>
      </c>
      <c r="AD86" s="1">
        <v>29900</v>
      </c>
      <c r="AE86" s="1">
        <v>123020</v>
      </c>
      <c r="AF86" s="1">
        <v>29900</v>
      </c>
      <c r="AG86" s="1">
        <v>152920</v>
      </c>
      <c r="AH86" s="1">
        <v>57888</v>
      </c>
      <c r="AI86" s="1">
        <v>56939</v>
      </c>
      <c r="AJ86" s="1">
        <v>0</v>
      </c>
      <c r="AK86" s="1">
        <v>26910</v>
      </c>
      <c r="AL86" s="1">
        <v>114827</v>
      </c>
      <c r="AM86" s="1">
        <v>26910</v>
      </c>
      <c r="AN86" s="1">
        <v>141737</v>
      </c>
      <c r="AO86" s="6" t="s">
        <v>215</v>
      </c>
      <c r="AP86" s="6" t="s">
        <v>215</v>
      </c>
      <c r="AQ86" s="6" t="s">
        <v>215</v>
      </c>
      <c r="AR86" s="6" t="s">
        <v>215</v>
      </c>
      <c r="AS86" s="1">
        <v>85042</v>
      </c>
      <c r="AT86" s="1">
        <v>0</v>
      </c>
      <c r="AU86" s="1">
        <v>85042</v>
      </c>
    </row>
    <row r="87" spans="1:47" x14ac:dyDescent="0.3">
      <c r="A87" s="3" t="s">
        <v>46</v>
      </c>
      <c r="B87" s="3" t="s">
        <v>47</v>
      </c>
      <c r="C87" s="3" t="s">
        <v>48</v>
      </c>
      <c r="D87" s="3" t="s">
        <v>49</v>
      </c>
      <c r="E87" s="3" t="s">
        <v>50</v>
      </c>
      <c r="F87" s="3" t="s">
        <v>51</v>
      </c>
      <c r="G87" s="3" t="s">
        <v>150</v>
      </c>
      <c r="H87" s="3" t="s">
        <v>151</v>
      </c>
      <c r="I87" s="3" t="s">
        <v>54</v>
      </c>
      <c r="J87" s="3" t="s">
        <v>55</v>
      </c>
      <c r="K87" s="3" t="s">
        <v>156</v>
      </c>
      <c r="L87" s="3" t="s">
        <v>157</v>
      </c>
      <c r="M87" s="3" t="s">
        <v>158</v>
      </c>
      <c r="N87" s="3" t="s">
        <v>59</v>
      </c>
      <c r="O87" s="3" t="s">
        <v>59</v>
      </c>
      <c r="P87" s="3" t="s">
        <v>59</v>
      </c>
      <c r="Q87" s="3" t="s">
        <v>155</v>
      </c>
      <c r="R87" s="3" t="s">
        <v>61</v>
      </c>
      <c r="S87" s="3" t="s">
        <v>63</v>
      </c>
      <c r="T87" s="1">
        <v>40100</v>
      </c>
      <c r="U87" s="1">
        <v>45900</v>
      </c>
      <c r="V87" s="1">
        <v>0</v>
      </c>
      <c r="W87" s="1">
        <v>1800</v>
      </c>
      <c r="X87" s="1">
        <v>86000</v>
      </c>
      <c r="Y87" s="1">
        <v>1800</v>
      </c>
      <c r="Z87" s="1">
        <v>87800</v>
      </c>
      <c r="AA87" s="1">
        <v>48120</v>
      </c>
      <c r="AB87" s="1">
        <v>45900</v>
      </c>
      <c r="AC87" s="1">
        <v>0</v>
      </c>
      <c r="AD87" s="1">
        <v>1800</v>
      </c>
      <c r="AE87" s="1">
        <v>94020</v>
      </c>
      <c r="AF87" s="1">
        <v>1800</v>
      </c>
      <c r="AG87" s="1">
        <v>95820</v>
      </c>
      <c r="AH87" s="1">
        <v>43308</v>
      </c>
      <c r="AI87" s="1">
        <v>44523</v>
      </c>
      <c r="AJ87" s="1">
        <v>0</v>
      </c>
      <c r="AK87" s="1">
        <v>1620</v>
      </c>
      <c r="AL87" s="1">
        <v>87831</v>
      </c>
      <c r="AM87" s="1">
        <v>1620</v>
      </c>
      <c r="AN87" s="1">
        <v>89451</v>
      </c>
      <c r="AO87" s="6" t="s">
        <v>215</v>
      </c>
      <c r="AP87" s="6" t="s">
        <v>215</v>
      </c>
      <c r="AQ87" s="6" t="s">
        <v>215</v>
      </c>
      <c r="AR87" s="6" t="s">
        <v>215</v>
      </c>
      <c r="AS87" s="1">
        <v>53671</v>
      </c>
      <c r="AT87" s="1">
        <v>0</v>
      </c>
      <c r="AU87" s="1">
        <v>53671</v>
      </c>
    </row>
    <row r="88" spans="1:47" x14ac:dyDescent="0.3">
      <c r="A88" s="3" t="s">
        <v>46</v>
      </c>
      <c r="B88" s="3" t="s">
        <v>47</v>
      </c>
      <c r="C88" s="3" t="s">
        <v>48</v>
      </c>
      <c r="D88" s="3" t="s">
        <v>49</v>
      </c>
      <c r="E88" s="3" t="s">
        <v>50</v>
      </c>
      <c r="F88" s="3" t="s">
        <v>51</v>
      </c>
      <c r="G88" s="3" t="s">
        <v>150</v>
      </c>
      <c r="H88" s="3" t="s">
        <v>151</v>
      </c>
      <c r="I88" s="3" t="s">
        <v>54</v>
      </c>
      <c r="J88" s="3" t="s">
        <v>55</v>
      </c>
      <c r="K88" s="3" t="s">
        <v>159</v>
      </c>
      <c r="L88" s="3" t="s">
        <v>160</v>
      </c>
      <c r="M88" s="3" t="s">
        <v>161</v>
      </c>
      <c r="N88" s="3" t="s">
        <v>59</v>
      </c>
      <c r="O88" s="3" t="s">
        <v>59</v>
      </c>
      <c r="P88" s="3" t="s">
        <v>59</v>
      </c>
      <c r="Q88" s="3" t="s">
        <v>155</v>
      </c>
      <c r="R88" s="3" t="s">
        <v>61</v>
      </c>
      <c r="S88" s="3" t="s">
        <v>62</v>
      </c>
      <c r="T88" s="1">
        <v>30890</v>
      </c>
      <c r="U88" s="1">
        <v>26400</v>
      </c>
      <c r="V88" s="1">
        <v>500</v>
      </c>
      <c r="W88" s="1">
        <v>348110</v>
      </c>
      <c r="X88" s="1">
        <v>57790</v>
      </c>
      <c r="Y88" s="1">
        <v>348110</v>
      </c>
      <c r="Z88" s="1">
        <v>405900</v>
      </c>
      <c r="AA88" s="1">
        <v>37068</v>
      </c>
      <c r="AB88" s="1">
        <v>26400</v>
      </c>
      <c r="AC88" s="1">
        <v>600</v>
      </c>
      <c r="AD88" s="1">
        <v>348110</v>
      </c>
      <c r="AE88" s="1">
        <v>64068</v>
      </c>
      <c r="AF88" s="1">
        <v>348110</v>
      </c>
      <c r="AG88" s="1">
        <v>412178</v>
      </c>
      <c r="AH88" s="1">
        <v>33361.199999999997</v>
      </c>
      <c r="AI88" s="1">
        <v>25608</v>
      </c>
      <c r="AJ88" s="1">
        <v>420</v>
      </c>
      <c r="AK88" s="1">
        <v>313299</v>
      </c>
      <c r="AL88" s="1">
        <v>59389.2</v>
      </c>
      <c r="AM88" s="1">
        <v>313299</v>
      </c>
      <c r="AN88" s="1">
        <v>372688.2</v>
      </c>
      <c r="AO88" s="6" t="s">
        <v>215</v>
      </c>
      <c r="AP88" s="6" t="s">
        <v>215</v>
      </c>
      <c r="AQ88" s="6" t="s">
        <v>215</v>
      </c>
      <c r="AR88" s="6" t="s">
        <v>215</v>
      </c>
      <c r="AS88" s="1">
        <v>223613</v>
      </c>
      <c r="AT88" s="1">
        <v>0</v>
      </c>
      <c r="AU88" s="1">
        <v>223613</v>
      </c>
    </row>
    <row r="89" spans="1:47" x14ac:dyDescent="0.3">
      <c r="A89" s="3" t="s">
        <v>46</v>
      </c>
      <c r="B89" s="3" t="s">
        <v>47</v>
      </c>
      <c r="C89" s="3" t="s">
        <v>48</v>
      </c>
      <c r="D89" s="3" t="s">
        <v>49</v>
      </c>
      <c r="E89" s="3" t="s">
        <v>50</v>
      </c>
      <c r="F89" s="3" t="s">
        <v>51</v>
      </c>
      <c r="G89" s="3" t="s">
        <v>150</v>
      </c>
      <c r="H89" s="3" t="s">
        <v>151</v>
      </c>
      <c r="I89" s="3" t="s">
        <v>54</v>
      </c>
      <c r="J89" s="3" t="s">
        <v>55</v>
      </c>
      <c r="K89" s="3" t="s">
        <v>159</v>
      </c>
      <c r="L89" s="3" t="s">
        <v>160</v>
      </c>
      <c r="M89" s="3" t="s">
        <v>161</v>
      </c>
      <c r="N89" s="3" t="s">
        <v>59</v>
      </c>
      <c r="O89" s="3" t="s">
        <v>59</v>
      </c>
      <c r="P89" s="3" t="s">
        <v>59</v>
      </c>
      <c r="Q89" s="3" t="s">
        <v>155</v>
      </c>
      <c r="R89" s="3" t="s">
        <v>61</v>
      </c>
      <c r="S89" s="3" t="s">
        <v>63</v>
      </c>
      <c r="T89" s="1">
        <v>48300</v>
      </c>
      <c r="U89" s="1">
        <v>52400</v>
      </c>
      <c r="V89" s="1">
        <v>21000</v>
      </c>
      <c r="W89" s="1">
        <v>156800</v>
      </c>
      <c r="X89" s="1">
        <v>121700</v>
      </c>
      <c r="Y89" s="1">
        <v>156800</v>
      </c>
      <c r="Z89" s="1">
        <v>278500</v>
      </c>
      <c r="AA89" s="1">
        <v>57960</v>
      </c>
      <c r="AB89" s="1">
        <v>52400</v>
      </c>
      <c r="AC89" s="1">
        <v>25200</v>
      </c>
      <c r="AD89" s="1">
        <v>156800</v>
      </c>
      <c r="AE89" s="1">
        <v>135560</v>
      </c>
      <c r="AF89" s="1">
        <v>156800</v>
      </c>
      <c r="AG89" s="1">
        <v>292360</v>
      </c>
      <c r="AH89" s="1">
        <v>52164</v>
      </c>
      <c r="AI89" s="1">
        <v>50828</v>
      </c>
      <c r="AJ89" s="1">
        <v>17640</v>
      </c>
      <c r="AK89" s="1">
        <v>141120</v>
      </c>
      <c r="AL89" s="1">
        <v>120632</v>
      </c>
      <c r="AM89" s="1">
        <v>141120</v>
      </c>
      <c r="AN89" s="1">
        <v>261752</v>
      </c>
      <c r="AO89" s="6" t="s">
        <v>215</v>
      </c>
      <c r="AP89" s="6" t="s">
        <v>215</v>
      </c>
      <c r="AQ89" s="6" t="s">
        <v>215</v>
      </c>
      <c r="AR89" s="6" t="s">
        <v>215</v>
      </c>
      <c r="AS89" s="1">
        <v>157051</v>
      </c>
      <c r="AT89" s="1">
        <v>0</v>
      </c>
      <c r="AU89" s="1">
        <v>157051</v>
      </c>
    </row>
    <row r="90" spans="1:47" x14ac:dyDescent="0.3">
      <c r="A90" s="3" t="s">
        <v>46</v>
      </c>
      <c r="B90" s="3" t="s">
        <v>47</v>
      </c>
      <c r="C90" s="3" t="s">
        <v>48</v>
      </c>
      <c r="D90" s="3" t="s">
        <v>49</v>
      </c>
      <c r="E90" s="3" t="s">
        <v>50</v>
      </c>
      <c r="F90" s="3" t="s">
        <v>51</v>
      </c>
      <c r="G90" s="3" t="s">
        <v>150</v>
      </c>
      <c r="H90" s="3" t="s">
        <v>151</v>
      </c>
      <c r="I90" s="3" t="s">
        <v>54</v>
      </c>
      <c r="J90" s="3" t="s">
        <v>55</v>
      </c>
      <c r="K90" s="3" t="s">
        <v>159</v>
      </c>
      <c r="L90" s="3" t="s">
        <v>160</v>
      </c>
      <c r="M90" s="3" t="s">
        <v>161</v>
      </c>
      <c r="N90" s="3" t="s">
        <v>59</v>
      </c>
      <c r="O90" s="3" t="s">
        <v>59</v>
      </c>
      <c r="P90" s="3" t="s">
        <v>59</v>
      </c>
      <c r="Q90" s="3" t="s">
        <v>155</v>
      </c>
      <c r="R90" s="3" t="s">
        <v>61</v>
      </c>
      <c r="S90" s="3" t="s">
        <v>63</v>
      </c>
      <c r="T90" s="1">
        <v>73700</v>
      </c>
      <c r="U90" s="1">
        <v>41500</v>
      </c>
      <c r="V90" s="1">
        <v>18400</v>
      </c>
      <c r="W90" s="1">
        <v>12900</v>
      </c>
      <c r="X90" s="1">
        <v>133600</v>
      </c>
      <c r="Y90" s="1">
        <v>12900</v>
      </c>
      <c r="Z90" s="1">
        <v>146500</v>
      </c>
      <c r="AA90" s="1">
        <v>88440</v>
      </c>
      <c r="AB90" s="1">
        <v>41500</v>
      </c>
      <c r="AC90" s="1">
        <v>22080</v>
      </c>
      <c r="AD90" s="1">
        <v>12900</v>
      </c>
      <c r="AE90" s="1">
        <v>152020</v>
      </c>
      <c r="AF90" s="1">
        <v>12900</v>
      </c>
      <c r="AG90" s="1">
        <v>164920</v>
      </c>
      <c r="AH90" s="1">
        <v>79596</v>
      </c>
      <c r="AI90" s="1">
        <v>40255</v>
      </c>
      <c r="AJ90" s="1">
        <v>15456</v>
      </c>
      <c r="AK90" s="1">
        <v>11610</v>
      </c>
      <c r="AL90" s="1">
        <v>135307</v>
      </c>
      <c r="AM90" s="1">
        <v>11610</v>
      </c>
      <c r="AN90" s="1">
        <v>146917</v>
      </c>
      <c r="AO90" s="6" t="s">
        <v>215</v>
      </c>
      <c r="AP90" s="6" t="s">
        <v>215</v>
      </c>
      <c r="AQ90" s="6" t="s">
        <v>215</v>
      </c>
      <c r="AR90" s="6" t="s">
        <v>215</v>
      </c>
      <c r="AS90" s="1">
        <v>88151</v>
      </c>
      <c r="AT90" s="1">
        <v>0</v>
      </c>
      <c r="AU90" s="1">
        <v>88151</v>
      </c>
    </row>
    <row r="91" spans="1:47" x14ac:dyDescent="0.3">
      <c r="A91" s="3" t="s">
        <v>46</v>
      </c>
      <c r="B91" s="3" t="s">
        <v>47</v>
      </c>
      <c r="C91" s="3" t="s">
        <v>48</v>
      </c>
      <c r="D91" s="3" t="s">
        <v>49</v>
      </c>
      <c r="E91" s="3" t="s">
        <v>50</v>
      </c>
      <c r="F91" s="3" t="s">
        <v>51</v>
      </c>
      <c r="G91" s="3" t="s">
        <v>150</v>
      </c>
      <c r="H91" s="3" t="s">
        <v>151</v>
      </c>
      <c r="I91" s="3" t="s">
        <v>54</v>
      </c>
      <c r="J91" s="3" t="s">
        <v>55</v>
      </c>
      <c r="K91" s="3" t="s">
        <v>159</v>
      </c>
      <c r="L91" s="3" t="s">
        <v>160</v>
      </c>
      <c r="M91" s="3" t="s">
        <v>161</v>
      </c>
      <c r="N91" s="3" t="s">
        <v>59</v>
      </c>
      <c r="O91" s="3" t="s">
        <v>59</v>
      </c>
      <c r="P91" s="3" t="s">
        <v>59</v>
      </c>
      <c r="Q91" s="3" t="s">
        <v>155</v>
      </c>
      <c r="R91" s="3" t="s">
        <v>61</v>
      </c>
      <c r="S91" s="3" t="s">
        <v>63</v>
      </c>
      <c r="T91" s="1">
        <v>72000</v>
      </c>
      <c r="U91" s="1">
        <v>10340</v>
      </c>
      <c r="V91" s="1">
        <v>0</v>
      </c>
      <c r="W91" s="1">
        <v>4660</v>
      </c>
      <c r="X91" s="1">
        <v>82340</v>
      </c>
      <c r="Y91" s="1">
        <v>4660</v>
      </c>
      <c r="Z91" s="1">
        <v>87000</v>
      </c>
      <c r="AA91" s="1">
        <v>86400</v>
      </c>
      <c r="AB91" s="1">
        <v>10340</v>
      </c>
      <c r="AC91" s="1">
        <v>0</v>
      </c>
      <c r="AD91" s="1">
        <v>4660</v>
      </c>
      <c r="AE91" s="1">
        <v>96740</v>
      </c>
      <c r="AF91" s="1">
        <v>4660</v>
      </c>
      <c r="AG91" s="1">
        <v>101400</v>
      </c>
      <c r="AH91" s="1">
        <v>77760</v>
      </c>
      <c r="AI91" s="1">
        <v>10029.799999999999</v>
      </c>
      <c r="AJ91" s="1">
        <v>0</v>
      </c>
      <c r="AK91" s="1">
        <v>4194</v>
      </c>
      <c r="AL91" s="1">
        <v>87789.8</v>
      </c>
      <c r="AM91" s="1">
        <v>4194</v>
      </c>
      <c r="AN91" s="1">
        <v>91983.8</v>
      </c>
      <c r="AO91" s="6" t="s">
        <v>215</v>
      </c>
      <c r="AP91" s="6" t="s">
        <v>215</v>
      </c>
      <c r="AQ91" s="6" t="s">
        <v>215</v>
      </c>
      <c r="AR91" s="6" t="s">
        <v>215</v>
      </c>
      <c r="AS91" s="1">
        <v>55190</v>
      </c>
      <c r="AT91" s="1">
        <v>0</v>
      </c>
      <c r="AU91" s="1">
        <v>55190</v>
      </c>
    </row>
    <row r="92" spans="1:47" x14ac:dyDescent="0.3">
      <c r="A92" s="3" t="s">
        <v>46</v>
      </c>
      <c r="B92" s="3" t="s">
        <v>47</v>
      </c>
      <c r="C92" s="3" t="s">
        <v>48</v>
      </c>
      <c r="D92" s="3" t="s">
        <v>49</v>
      </c>
      <c r="E92" s="3" t="s">
        <v>50</v>
      </c>
      <c r="F92" s="3" t="s">
        <v>51</v>
      </c>
      <c r="G92" s="3" t="s">
        <v>150</v>
      </c>
      <c r="H92" s="3" t="s">
        <v>151</v>
      </c>
      <c r="I92" s="3" t="s">
        <v>54</v>
      </c>
      <c r="J92" s="3" t="s">
        <v>55</v>
      </c>
      <c r="K92" s="3" t="s">
        <v>162</v>
      </c>
      <c r="L92" s="3" t="s">
        <v>163</v>
      </c>
      <c r="M92" s="3" t="s">
        <v>164</v>
      </c>
      <c r="N92" s="3" t="s">
        <v>59</v>
      </c>
      <c r="O92" s="3" t="s">
        <v>59</v>
      </c>
      <c r="P92" s="3" t="s">
        <v>59</v>
      </c>
      <c r="Q92" s="3" t="s">
        <v>155</v>
      </c>
      <c r="R92" s="3" t="s">
        <v>61</v>
      </c>
      <c r="S92" s="3" t="s">
        <v>62</v>
      </c>
      <c r="T92" s="1">
        <v>800</v>
      </c>
      <c r="U92" s="1">
        <v>400</v>
      </c>
      <c r="V92" s="1">
        <v>0</v>
      </c>
      <c r="W92" s="1">
        <v>9600</v>
      </c>
      <c r="X92" s="1">
        <v>1200</v>
      </c>
      <c r="Y92" s="1">
        <v>9600</v>
      </c>
      <c r="Z92" s="1">
        <v>10800</v>
      </c>
      <c r="AA92" s="1">
        <v>960</v>
      </c>
      <c r="AB92" s="1">
        <v>400</v>
      </c>
      <c r="AC92" s="1">
        <v>0</v>
      </c>
      <c r="AD92" s="1">
        <v>9600</v>
      </c>
      <c r="AE92" s="1">
        <v>1360</v>
      </c>
      <c r="AF92" s="1">
        <v>9600</v>
      </c>
      <c r="AG92" s="1">
        <v>10960</v>
      </c>
      <c r="AH92" s="1">
        <v>864</v>
      </c>
      <c r="AI92" s="1">
        <v>388</v>
      </c>
      <c r="AJ92" s="1">
        <v>0</v>
      </c>
      <c r="AK92" s="1">
        <v>8640</v>
      </c>
      <c r="AL92" s="1">
        <v>1252</v>
      </c>
      <c r="AM92" s="1">
        <v>8640</v>
      </c>
      <c r="AN92" s="1">
        <v>9892</v>
      </c>
      <c r="AO92" s="6" t="s">
        <v>215</v>
      </c>
      <c r="AP92" s="6" t="s">
        <v>215</v>
      </c>
      <c r="AQ92" s="6" t="s">
        <v>215</v>
      </c>
      <c r="AR92" s="6" t="s">
        <v>215</v>
      </c>
      <c r="AS92" s="1">
        <v>5935</v>
      </c>
      <c r="AT92" s="1">
        <v>0</v>
      </c>
      <c r="AU92" s="1">
        <v>5935</v>
      </c>
    </row>
    <row r="93" spans="1:47" x14ac:dyDescent="0.3">
      <c r="A93" s="3" t="s">
        <v>46</v>
      </c>
      <c r="B93" s="3" t="s">
        <v>47</v>
      </c>
      <c r="C93" s="3" t="s">
        <v>48</v>
      </c>
      <c r="D93" s="3" t="s">
        <v>49</v>
      </c>
      <c r="E93" s="3" t="s">
        <v>50</v>
      </c>
      <c r="F93" s="3" t="s">
        <v>51</v>
      </c>
      <c r="G93" s="3" t="s">
        <v>150</v>
      </c>
      <c r="H93" s="3" t="s">
        <v>151</v>
      </c>
      <c r="I93" s="3" t="s">
        <v>54</v>
      </c>
      <c r="J93" s="3" t="s">
        <v>55</v>
      </c>
      <c r="K93" s="3" t="s">
        <v>162</v>
      </c>
      <c r="L93" s="3" t="s">
        <v>163</v>
      </c>
      <c r="M93" s="3" t="s">
        <v>164</v>
      </c>
      <c r="N93" s="3" t="s">
        <v>59</v>
      </c>
      <c r="O93" s="3" t="s">
        <v>59</v>
      </c>
      <c r="P93" s="3" t="s">
        <v>59</v>
      </c>
      <c r="Q93" s="3" t="s">
        <v>155</v>
      </c>
      <c r="R93" s="3" t="s">
        <v>61</v>
      </c>
      <c r="S93" s="3" t="s">
        <v>63</v>
      </c>
      <c r="T93" s="1">
        <v>0</v>
      </c>
      <c r="U93" s="1">
        <v>6000</v>
      </c>
      <c r="V93" s="1">
        <v>0</v>
      </c>
      <c r="W93" s="1">
        <v>6700</v>
      </c>
      <c r="X93" s="1">
        <v>6000</v>
      </c>
      <c r="Y93" s="1">
        <v>6700</v>
      </c>
      <c r="Z93" s="1">
        <v>12700</v>
      </c>
      <c r="AA93" s="1">
        <v>0</v>
      </c>
      <c r="AB93" s="1">
        <v>6000</v>
      </c>
      <c r="AC93" s="1">
        <v>0</v>
      </c>
      <c r="AD93" s="1">
        <v>6700</v>
      </c>
      <c r="AE93" s="1">
        <v>6000</v>
      </c>
      <c r="AF93" s="1">
        <v>6700</v>
      </c>
      <c r="AG93" s="1">
        <v>12700</v>
      </c>
      <c r="AH93" s="1">
        <v>0</v>
      </c>
      <c r="AI93" s="1">
        <v>5820</v>
      </c>
      <c r="AJ93" s="1">
        <v>0</v>
      </c>
      <c r="AK93" s="1">
        <v>6030</v>
      </c>
      <c r="AL93" s="1">
        <v>5820</v>
      </c>
      <c r="AM93" s="1">
        <v>6030</v>
      </c>
      <c r="AN93" s="1">
        <v>11850</v>
      </c>
      <c r="AO93" s="6" t="s">
        <v>215</v>
      </c>
      <c r="AP93" s="6" t="s">
        <v>215</v>
      </c>
      <c r="AQ93" s="6" t="s">
        <v>215</v>
      </c>
      <c r="AR93" s="6" t="s">
        <v>215</v>
      </c>
      <c r="AS93" s="1">
        <v>7110</v>
      </c>
      <c r="AT93" s="1">
        <v>0</v>
      </c>
      <c r="AU93" s="1">
        <v>7110</v>
      </c>
    </row>
    <row r="94" spans="1:47" x14ac:dyDescent="0.3">
      <c r="A94" s="3" t="s">
        <v>46</v>
      </c>
      <c r="B94" s="3" t="s">
        <v>47</v>
      </c>
      <c r="C94" s="3" t="s">
        <v>48</v>
      </c>
      <c r="D94" s="3" t="s">
        <v>49</v>
      </c>
      <c r="E94" s="3" t="s">
        <v>50</v>
      </c>
      <c r="F94" s="3" t="s">
        <v>51</v>
      </c>
      <c r="G94" s="3" t="s">
        <v>150</v>
      </c>
      <c r="H94" s="3" t="s">
        <v>151</v>
      </c>
      <c r="I94" s="3" t="s">
        <v>54</v>
      </c>
      <c r="J94" s="3" t="s">
        <v>55</v>
      </c>
      <c r="K94" s="3" t="s">
        <v>162</v>
      </c>
      <c r="L94" s="3" t="s">
        <v>163</v>
      </c>
      <c r="M94" s="3" t="s">
        <v>164</v>
      </c>
      <c r="N94" s="3" t="s">
        <v>59</v>
      </c>
      <c r="O94" s="3" t="s">
        <v>59</v>
      </c>
      <c r="P94" s="3" t="s">
        <v>59</v>
      </c>
      <c r="Q94" s="3" t="s">
        <v>155</v>
      </c>
      <c r="R94" s="3" t="s">
        <v>61</v>
      </c>
      <c r="S94" s="3" t="s">
        <v>63</v>
      </c>
      <c r="T94" s="1">
        <v>8700</v>
      </c>
      <c r="U94" s="1">
        <v>0</v>
      </c>
      <c r="V94" s="1">
        <v>4200</v>
      </c>
      <c r="W94" s="1">
        <v>5100</v>
      </c>
      <c r="X94" s="1">
        <v>12900</v>
      </c>
      <c r="Y94" s="1">
        <v>5100</v>
      </c>
      <c r="Z94" s="1">
        <v>18000</v>
      </c>
      <c r="AA94" s="1">
        <v>10440</v>
      </c>
      <c r="AB94" s="1">
        <v>0</v>
      </c>
      <c r="AC94" s="1">
        <v>5040</v>
      </c>
      <c r="AD94" s="1">
        <v>5100</v>
      </c>
      <c r="AE94" s="1">
        <v>15480</v>
      </c>
      <c r="AF94" s="1">
        <v>5100</v>
      </c>
      <c r="AG94" s="1">
        <v>20580</v>
      </c>
      <c r="AH94" s="1">
        <v>9396</v>
      </c>
      <c r="AI94" s="1">
        <v>0</v>
      </c>
      <c r="AJ94" s="1">
        <v>3528</v>
      </c>
      <c r="AK94" s="1">
        <v>4590</v>
      </c>
      <c r="AL94" s="1">
        <v>12924</v>
      </c>
      <c r="AM94" s="1">
        <v>4590</v>
      </c>
      <c r="AN94" s="1">
        <v>17514</v>
      </c>
      <c r="AO94" s="6" t="s">
        <v>215</v>
      </c>
      <c r="AP94" s="6" t="s">
        <v>215</v>
      </c>
      <c r="AQ94" s="6" t="s">
        <v>215</v>
      </c>
      <c r="AR94" s="6" t="s">
        <v>215</v>
      </c>
      <c r="AS94" s="1">
        <v>10509</v>
      </c>
      <c r="AT94" s="1">
        <v>0</v>
      </c>
      <c r="AU94" s="1">
        <v>10509</v>
      </c>
    </row>
    <row r="95" spans="1:47" x14ac:dyDescent="0.3">
      <c r="A95" s="3" t="s">
        <v>46</v>
      </c>
      <c r="B95" s="3" t="s">
        <v>47</v>
      </c>
      <c r="C95" s="3" t="s">
        <v>48</v>
      </c>
      <c r="D95" s="3" t="s">
        <v>49</v>
      </c>
      <c r="E95" s="3" t="s">
        <v>50</v>
      </c>
      <c r="F95" s="3" t="s">
        <v>51</v>
      </c>
      <c r="G95" s="3" t="s">
        <v>150</v>
      </c>
      <c r="H95" s="3" t="s">
        <v>151</v>
      </c>
      <c r="I95" s="3" t="s">
        <v>54</v>
      </c>
      <c r="J95" s="3" t="s">
        <v>55</v>
      </c>
      <c r="K95" s="3" t="s">
        <v>165</v>
      </c>
      <c r="L95" s="3" t="s">
        <v>166</v>
      </c>
      <c r="M95" s="3" t="s">
        <v>167</v>
      </c>
      <c r="N95" s="3" t="s">
        <v>59</v>
      </c>
      <c r="O95" s="3" t="s">
        <v>59</v>
      </c>
      <c r="P95" s="3" t="s">
        <v>59</v>
      </c>
      <c r="Q95" s="3" t="s">
        <v>155</v>
      </c>
      <c r="R95" s="3" t="s">
        <v>61</v>
      </c>
      <c r="S95" s="3" t="s">
        <v>62</v>
      </c>
      <c r="T95" s="1">
        <v>5300</v>
      </c>
      <c r="U95" s="1">
        <v>1900</v>
      </c>
      <c r="V95" s="1">
        <v>0</v>
      </c>
      <c r="W95" s="1">
        <v>35700</v>
      </c>
      <c r="X95" s="1">
        <v>7200</v>
      </c>
      <c r="Y95" s="1">
        <v>35700</v>
      </c>
      <c r="Z95" s="1">
        <v>42900</v>
      </c>
      <c r="AA95" s="1">
        <v>6360</v>
      </c>
      <c r="AB95" s="1">
        <v>1900</v>
      </c>
      <c r="AC95" s="1">
        <v>0</v>
      </c>
      <c r="AD95" s="1">
        <v>35700</v>
      </c>
      <c r="AE95" s="1">
        <v>8260</v>
      </c>
      <c r="AF95" s="1">
        <v>35700</v>
      </c>
      <c r="AG95" s="1">
        <v>43960</v>
      </c>
      <c r="AH95" s="1">
        <v>5724</v>
      </c>
      <c r="AI95" s="1">
        <v>1843</v>
      </c>
      <c r="AJ95" s="1">
        <v>0</v>
      </c>
      <c r="AK95" s="1">
        <v>32130</v>
      </c>
      <c r="AL95" s="1">
        <v>7567</v>
      </c>
      <c r="AM95" s="1">
        <v>32130</v>
      </c>
      <c r="AN95" s="1">
        <v>39697</v>
      </c>
      <c r="AO95" s="6" t="s">
        <v>215</v>
      </c>
      <c r="AP95" s="6" t="s">
        <v>215</v>
      </c>
      <c r="AQ95" s="6" t="s">
        <v>215</v>
      </c>
      <c r="AR95" s="6" t="s">
        <v>215</v>
      </c>
      <c r="AS95" s="1">
        <v>23818</v>
      </c>
      <c r="AT95" s="1">
        <v>0</v>
      </c>
      <c r="AU95" s="1">
        <v>23818</v>
      </c>
    </row>
    <row r="96" spans="1:47" x14ac:dyDescent="0.3">
      <c r="A96" s="3" t="s">
        <v>46</v>
      </c>
      <c r="B96" s="3" t="s">
        <v>47</v>
      </c>
      <c r="C96" s="3" t="s">
        <v>48</v>
      </c>
      <c r="D96" s="3" t="s">
        <v>49</v>
      </c>
      <c r="E96" s="3" t="s">
        <v>50</v>
      </c>
      <c r="F96" s="3" t="s">
        <v>51</v>
      </c>
      <c r="G96" s="3" t="s">
        <v>150</v>
      </c>
      <c r="H96" s="3" t="s">
        <v>151</v>
      </c>
      <c r="I96" s="3" t="s">
        <v>54</v>
      </c>
      <c r="J96" s="3" t="s">
        <v>55</v>
      </c>
      <c r="K96" s="3" t="s">
        <v>165</v>
      </c>
      <c r="L96" s="3" t="s">
        <v>166</v>
      </c>
      <c r="M96" s="3" t="s">
        <v>167</v>
      </c>
      <c r="N96" s="3" t="s">
        <v>59</v>
      </c>
      <c r="O96" s="3" t="s">
        <v>59</v>
      </c>
      <c r="P96" s="3" t="s">
        <v>59</v>
      </c>
      <c r="Q96" s="3" t="s">
        <v>155</v>
      </c>
      <c r="R96" s="3" t="s">
        <v>61</v>
      </c>
      <c r="S96" s="3" t="s">
        <v>63</v>
      </c>
      <c r="T96" s="1">
        <v>5400</v>
      </c>
      <c r="U96" s="1">
        <v>1100</v>
      </c>
      <c r="V96" s="1">
        <v>0</v>
      </c>
      <c r="W96" s="1">
        <v>12600</v>
      </c>
      <c r="X96" s="1">
        <v>6500</v>
      </c>
      <c r="Y96" s="1">
        <v>12600</v>
      </c>
      <c r="Z96" s="1">
        <v>19100</v>
      </c>
      <c r="AA96" s="1">
        <v>6480</v>
      </c>
      <c r="AB96" s="1">
        <v>1100</v>
      </c>
      <c r="AC96" s="1">
        <v>0</v>
      </c>
      <c r="AD96" s="1">
        <v>12600</v>
      </c>
      <c r="AE96" s="1">
        <v>7580</v>
      </c>
      <c r="AF96" s="1">
        <v>12600</v>
      </c>
      <c r="AG96" s="1">
        <v>20180</v>
      </c>
      <c r="AH96" s="1">
        <v>5832</v>
      </c>
      <c r="AI96" s="1">
        <v>1067</v>
      </c>
      <c r="AJ96" s="1">
        <v>0</v>
      </c>
      <c r="AK96" s="1">
        <v>11340</v>
      </c>
      <c r="AL96" s="1">
        <v>6899</v>
      </c>
      <c r="AM96" s="1">
        <v>11340</v>
      </c>
      <c r="AN96" s="1">
        <v>18239</v>
      </c>
      <c r="AO96" s="6" t="s">
        <v>215</v>
      </c>
      <c r="AP96" s="6" t="s">
        <v>215</v>
      </c>
      <c r="AQ96" s="6" t="s">
        <v>215</v>
      </c>
      <c r="AR96" s="6" t="s">
        <v>215</v>
      </c>
      <c r="AS96" s="1">
        <v>10943</v>
      </c>
      <c r="AT96" s="1">
        <v>0</v>
      </c>
      <c r="AU96" s="1">
        <v>10943</v>
      </c>
    </row>
    <row r="97" spans="1:47" x14ac:dyDescent="0.3">
      <c r="A97" s="3" t="s">
        <v>46</v>
      </c>
      <c r="B97" s="3" t="s">
        <v>47</v>
      </c>
      <c r="C97" s="3" t="s">
        <v>48</v>
      </c>
      <c r="D97" s="3" t="s">
        <v>49</v>
      </c>
      <c r="E97" s="3" t="s">
        <v>50</v>
      </c>
      <c r="F97" s="3" t="s">
        <v>51</v>
      </c>
      <c r="G97" s="3" t="s">
        <v>150</v>
      </c>
      <c r="H97" s="3" t="s">
        <v>151</v>
      </c>
      <c r="I97" s="3" t="s">
        <v>54</v>
      </c>
      <c r="J97" s="3" t="s">
        <v>55</v>
      </c>
      <c r="K97" s="3" t="s">
        <v>165</v>
      </c>
      <c r="L97" s="3" t="s">
        <v>166</v>
      </c>
      <c r="M97" s="3" t="s">
        <v>167</v>
      </c>
      <c r="N97" s="3" t="s">
        <v>59</v>
      </c>
      <c r="O97" s="3" t="s">
        <v>59</v>
      </c>
      <c r="P97" s="3" t="s">
        <v>59</v>
      </c>
      <c r="Q97" s="3" t="s">
        <v>155</v>
      </c>
      <c r="R97" s="3" t="s">
        <v>61</v>
      </c>
      <c r="S97" s="3" t="s">
        <v>63</v>
      </c>
      <c r="T97" s="1">
        <v>0</v>
      </c>
      <c r="U97" s="1">
        <v>-1400</v>
      </c>
      <c r="V97" s="1">
        <v>0</v>
      </c>
      <c r="W97" s="1">
        <v>2000</v>
      </c>
      <c r="X97" s="1">
        <v>-1400</v>
      </c>
      <c r="Y97" s="1">
        <v>2000</v>
      </c>
      <c r="Z97" s="1">
        <v>600</v>
      </c>
      <c r="AA97" s="1">
        <v>0</v>
      </c>
      <c r="AB97" s="1">
        <v>-1400</v>
      </c>
      <c r="AC97" s="1">
        <v>0</v>
      </c>
      <c r="AD97" s="1">
        <v>2000</v>
      </c>
      <c r="AE97" s="1">
        <v>-1400</v>
      </c>
      <c r="AF97" s="1">
        <v>2000</v>
      </c>
      <c r="AG97" s="1">
        <v>600</v>
      </c>
      <c r="AH97" s="1">
        <v>0</v>
      </c>
      <c r="AI97" s="1">
        <v>-1358</v>
      </c>
      <c r="AJ97" s="1">
        <v>0</v>
      </c>
      <c r="AK97" s="1">
        <v>1800</v>
      </c>
      <c r="AL97" s="1">
        <v>-1358</v>
      </c>
      <c r="AM97" s="1">
        <v>1800</v>
      </c>
      <c r="AN97" s="1">
        <v>442</v>
      </c>
      <c r="AO97" s="6" t="s">
        <v>215</v>
      </c>
      <c r="AP97" s="6" t="s">
        <v>215</v>
      </c>
      <c r="AQ97" s="6" t="s">
        <v>215</v>
      </c>
      <c r="AR97" s="6" t="s">
        <v>215</v>
      </c>
      <c r="AS97" s="1">
        <v>265</v>
      </c>
      <c r="AT97" s="1">
        <v>0</v>
      </c>
      <c r="AU97" s="1">
        <v>265</v>
      </c>
    </row>
    <row r="98" spans="1:47" x14ac:dyDescent="0.3">
      <c r="A98" s="3" t="s">
        <v>46</v>
      </c>
      <c r="B98" s="3" t="s">
        <v>47</v>
      </c>
      <c r="C98" s="3" t="s">
        <v>48</v>
      </c>
      <c r="D98" s="3" t="s">
        <v>49</v>
      </c>
      <c r="E98" s="3" t="s">
        <v>50</v>
      </c>
      <c r="F98" s="3" t="s">
        <v>51</v>
      </c>
      <c r="G98" s="3" t="s">
        <v>150</v>
      </c>
      <c r="H98" s="3" t="s">
        <v>151</v>
      </c>
      <c r="I98" s="3" t="s">
        <v>54</v>
      </c>
      <c r="J98" s="3" t="s">
        <v>55</v>
      </c>
      <c r="K98" s="3" t="s">
        <v>165</v>
      </c>
      <c r="L98" s="3" t="s">
        <v>166</v>
      </c>
      <c r="M98" s="3" t="s">
        <v>167</v>
      </c>
      <c r="N98" s="3" t="s">
        <v>59</v>
      </c>
      <c r="O98" s="3" t="s">
        <v>59</v>
      </c>
      <c r="P98" s="3" t="s">
        <v>59</v>
      </c>
      <c r="Q98" s="3" t="s">
        <v>155</v>
      </c>
      <c r="R98" s="3" t="s">
        <v>61</v>
      </c>
      <c r="S98" s="3" t="s">
        <v>63</v>
      </c>
      <c r="T98" s="1">
        <v>6700</v>
      </c>
      <c r="U98" s="1">
        <v>0</v>
      </c>
      <c r="V98" s="1">
        <v>0</v>
      </c>
      <c r="W98" s="1">
        <v>2300</v>
      </c>
      <c r="X98" s="1">
        <v>6700</v>
      </c>
      <c r="Y98" s="1">
        <v>2300</v>
      </c>
      <c r="Z98" s="1">
        <v>9000</v>
      </c>
      <c r="AA98" s="1">
        <v>8040</v>
      </c>
      <c r="AB98" s="1">
        <v>0</v>
      </c>
      <c r="AC98" s="1">
        <v>0</v>
      </c>
      <c r="AD98" s="1">
        <v>2300</v>
      </c>
      <c r="AE98" s="1">
        <v>8040</v>
      </c>
      <c r="AF98" s="1">
        <v>2300</v>
      </c>
      <c r="AG98" s="1">
        <v>10340</v>
      </c>
      <c r="AH98" s="1">
        <v>7236</v>
      </c>
      <c r="AI98" s="1">
        <v>0</v>
      </c>
      <c r="AJ98" s="1">
        <v>0</v>
      </c>
      <c r="AK98" s="1">
        <v>2070</v>
      </c>
      <c r="AL98" s="1">
        <v>7236</v>
      </c>
      <c r="AM98" s="1">
        <v>2070</v>
      </c>
      <c r="AN98" s="1">
        <v>9306</v>
      </c>
      <c r="AO98" s="6" t="s">
        <v>215</v>
      </c>
      <c r="AP98" s="6" t="s">
        <v>215</v>
      </c>
      <c r="AQ98" s="6" t="s">
        <v>215</v>
      </c>
      <c r="AR98" s="6" t="s">
        <v>215</v>
      </c>
      <c r="AS98" s="1">
        <v>5584</v>
      </c>
      <c r="AT98" s="1">
        <v>0</v>
      </c>
      <c r="AU98" s="1">
        <v>5584</v>
      </c>
    </row>
    <row r="99" spans="1:47" x14ac:dyDescent="0.3">
      <c r="A99" s="3" t="s">
        <v>46</v>
      </c>
      <c r="B99" s="3" t="s">
        <v>47</v>
      </c>
      <c r="C99" s="3" t="s">
        <v>48</v>
      </c>
      <c r="D99" s="3" t="s">
        <v>49</v>
      </c>
      <c r="E99" s="3" t="s">
        <v>50</v>
      </c>
      <c r="F99" s="3" t="s">
        <v>51</v>
      </c>
      <c r="G99" s="3" t="s">
        <v>150</v>
      </c>
      <c r="H99" s="3" t="s">
        <v>151</v>
      </c>
      <c r="I99" s="3" t="s">
        <v>54</v>
      </c>
      <c r="J99" s="3" t="s">
        <v>55</v>
      </c>
      <c r="K99" s="3" t="s">
        <v>168</v>
      </c>
      <c r="L99" s="3" t="s">
        <v>169</v>
      </c>
      <c r="M99" s="3" t="s">
        <v>170</v>
      </c>
      <c r="N99" s="3" t="s">
        <v>59</v>
      </c>
      <c r="O99" s="3" t="s">
        <v>59</v>
      </c>
      <c r="P99" s="3" t="s">
        <v>59</v>
      </c>
      <c r="Q99" s="3" t="s">
        <v>155</v>
      </c>
      <c r="R99" s="3" t="s">
        <v>61</v>
      </c>
      <c r="S99" s="3" t="s">
        <v>62</v>
      </c>
      <c r="T99" s="1">
        <v>13700</v>
      </c>
      <c r="U99" s="1">
        <v>1400</v>
      </c>
      <c r="V99" s="1">
        <v>0</v>
      </c>
      <c r="W99" s="1">
        <v>20900</v>
      </c>
      <c r="X99" s="1">
        <v>15100</v>
      </c>
      <c r="Y99" s="1">
        <v>20900</v>
      </c>
      <c r="Z99" s="1">
        <v>36000</v>
      </c>
      <c r="AA99" s="1">
        <v>16440</v>
      </c>
      <c r="AB99" s="1">
        <v>1400</v>
      </c>
      <c r="AC99" s="1">
        <v>0</v>
      </c>
      <c r="AD99" s="1">
        <v>20900</v>
      </c>
      <c r="AE99" s="1">
        <v>17840</v>
      </c>
      <c r="AF99" s="1">
        <v>20900</v>
      </c>
      <c r="AG99" s="1">
        <v>38740</v>
      </c>
      <c r="AH99" s="1">
        <v>14796</v>
      </c>
      <c r="AI99" s="1">
        <v>1358</v>
      </c>
      <c r="AJ99" s="1">
        <v>0</v>
      </c>
      <c r="AK99" s="1">
        <v>18810</v>
      </c>
      <c r="AL99" s="1">
        <v>16154</v>
      </c>
      <c r="AM99" s="1">
        <v>18810</v>
      </c>
      <c r="AN99" s="1">
        <v>34964</v>
      </c>
      <c r="AO99" s="6" t="s">
        <v>215</v>
      </c>
      <c r="AP99" s="6" t="s">
        <v>215</v>
      </c>
      <c r="AQ99" s="6" t="s">
        <v>215</v>
      </c>
      <c r="AR99" s="6" t="s">
        <v>215</v>
      </c>
      <c r="AS99" s="1">
        <v>20979</v>
      </c>
      <c r="AT99" s="1">
        <v>0</v>
      </c>
      <c r="AU99" s="1">
        <v>20979</v>
      </c>
    </row>
    <row r="100" spans="1:47" x14ac:dyDescent="0.3">
      <c r="A100" s="3" t="s">
        <v>46</v>
      </c>
      <c r="B100" s="3" t="s">
        <v>47</v>
      </c>
      <c r="C100" s="3" t="s">
        <v>48</v>
      </c>
      <c r="D100" s="3" t="s">
        <v>49</v>
      </c>
      <c r="E100" s="3" t="s">
        <v>50</v>
      </c>
      <c r="F100" s="3" t="s">
        <v>51</v>
      </c>
      <c r="G100" s="3" t="s">
        <v>150</v>
      </c>
      <c r="H100" s="3" t="s">
        <v>151</v>
      </c>
      <c r="I100" s="3" t="s">
        <v>54</v>
      </c>
      <c r="J100" s="3" t="s">
        <v>55</v>
      </c>
      <c r="K100" s="3" t="s">
        <v>168</v>
      </c>
      <c r="L100" s="3" t="s">
        <v>169</v>
      </c>
      <c r="M100" s="3" t="s">
        <v>170</v>
      </c>
      <c r="N100" s="3" t="s">
        <v>59</v>
      </c>
      <c r="O100" s="3" t="s">
        <v>59</v>
      </c>
      <c r="P100" s="3" t="s">
        <v>59</v>
      </c>
      <c r="Q100" s="3" t="s">
        <v>155</v>
      </c>
      <c r="R100" s="3" t="s">
        <v>61</v>
      </c>
      <c r="S100" s="3" t="s">
        <v>63</v>
      </c>
      <c r="T100" s="1">
        <v>6280</v>
      </c>
      <c r="U100" s="1">
        <v>-740</v>
      </c>
      <c r="V100" s="1">
        <v>0</v>
      </c>
      <c r="W100" s="1">
        <v>23260</v>
      </c>
      <c r="X100" s="1">
        <v>5540</v>
      </c>
      <c r="Y100" s="1">
        <v>23260</v>
      </c>
      <c r="Z100" s="1">
        <v>28800</v>
      </c>
      <c r="AA100" s="1">
        <v>7536</v>
      </c>
      <c r="AB100" s="1">
        <v>-740</v>
      </c>
      <c r="AC100" s="1">
        <v>0</v>
      </c>
      <c r="AD100" s="1">
        <v>23260</v>
      </c>
      <c r="AE100" s="1">
        <v>6796</v>
      </c>
      <c r="AF100" s="1">
        <v>23260</v>
      </c>
      <c r="AG100" s="1">
        <v>30056</v>
      </c>
      <c r="AH100" s="1">
        <v>6782.4</v>
      </c>
      <c r="AI100" s="1">
        <v>-717.8</v>
      </c>
      <c r="AJ100" s="1">
        <v>0</v>
      </c>
      <c r="AK100" s="1">
        <v>20934</v>
      </c>
      <c r="AL100" s="1">
        <v>6064.6</v>
      </c>
      <c r="AM100" s="1">
        <v>20934</v>
      </c>
      <c r="AN100" s="1">
        <v>26998.6</v>
      </c>
      <c r="AO100" s="6" t="s">
        <v>215</v>
      </c>
      <c r="AP100" s="6" t="s">
        <v>215</v>
      </c>
      <c r="AQ100" s="6" t="s">
        <v>215</v>
      </c>
      <c r="AR100" s="6" t="s">
        <v>215</v>
      </c>
      <c r="AS100" s="1">
        <v>16198</v>
      </c>
      <c r="AT100" s="1">
        <v>0</v>
      </c>
      <c r="AU100" s="1">
        <v>16198</v>
      </c>
    </row>
    <row r="101" spans="1:47" x14ac:dyDescent="0.3">
      <c r="A101" s="3" t="s">
        <v>46</v>
      </c>
      <c r="B101" s="3" t="s">
        <v>47</v>
      </c>
      <c r="C101" s="3" t="s">
        <v>48</v>
      </c>
      <c r="D101" s="3" t="s">
        <v>49</v>
      </c>
      <c r="E101" s="3" t="s">
        <v>50</v>
      </c>
      <c r="F101" s="3" t="s">
        <v>51</v>
      </c>
      <c r="G101" s="3" t="s">
        <v>150</v>
      </c>
      <c r="H101" s="3" t="s">
        <v>151</v>
      </c>
      <c r="I101" s="3" t="s">
        <v>54</v>
      </c>
      <c r="J101" s="3" t="s">
        <v>55</v>
      </c>
      <c r="K101" s="3" t="s">
        <v>168</v>
      </c>
      <c r="L101" s="3" t="s">
        <v>169</v>
      </c>
      <c r="M101" s="3" t="s">
        <v>170</v>
      </c>
      <c r="N101" s="3" t="s">
        <v>59</v>
      </c>
      <c r="O101" s="3" t="s">
        <v>59</v>
      </c>
      <c r="P101" s="3" t="s">
        <v>59</v>
      </c>
      <c r="Q101" s="3" t="s">
        <v>155</v>
      </c>
      <c r="R101" s="3" t="s">
        <v>61</v>
      </c>
      <c r="S101" s="3" t="s">
        <v>63</v>
      </c>
      <c r="T101" s="1">
        <v>0</v>
      </c>
      <c r="U101" s="1">
        <v>4500</v>
      </c>
      <c r="V101" s="1">
        <v>0</v>
      </c>
      <c r="W101" s="1">
        <v>0</v>
      </c>
      <c r="X101" s="1">
        <v>4500</v>
      </c>
      <c r="Y101" s="1">
        <v>0</v>
      </c>
      <c r="Z101" s="1">
        <v>4500</v>
      </c>
      <c r="AA101" s="1">
        <v>0</v>
      </c>
      <c r="AB101" s="1">
        <v>4500</v>
      </c>
      <c r="AC101" s="1">
        <v>0</v>
      </c>
      <c r="AD101" s="1">
        <v>0</v>
      </c>
      <c r="AE101" s="1">
        <v>4500</v>
      </c>
      <c r="AF101" s="1">
        <v>0</v>
      </c>
      <c r="AG101" s="1">
        <v>4500</v>
      </c>
      <c r="AH101" s="1">
        <v>0</v>
      </c>
      <c r="AI101" s="1">
        <v>4365</v>
      </c>
      <c r="AJ101" s="1">
        <v>0</v>
      </c>
      <c r="AK101" s="1">
        <v>0</v>
      </c>
      <c r="AL101" s="1">
        <v>4365</v>
      </c>
      <c r="AM101" s="1">
        <v>0</v>
      </c>
      <c r="AN101" s="1">
        <v>4365</v>
      </c>
      <c r="AO101" s="6" t="s">
        <v>215</v>
      </c>
      <c r="AP101" s="6" t="s">
        <v>215</v>
      </c>
      <c r="AQ101" s="6" t="s">
        <v>215</v>
      </c>
      <c r="AR101" s="6" t="s">
        <v>215</v>
      </c>
      <c r="AS101" s="1">
        <v>2619</v>
      </c>
      <c r="AT101" s="1">
        <v>0</v>
      </c>
      <c r="AU101" s="1">
        <v>2619</v>
      </c>
    </row>
    <row r="102" spans="1:47" x14ac:dyDescent="0.3">
      <c r="A102" s="3" t="s">
        <v>46</v>
      </c>
      <c r="B102" s="3" t="s">
        <v>47</v>
      </c>
      <c r="C102" s="3" t="s">
        <v>48</v>
      </c>
      <c r="D102" s="3" t="s">
        <v>49</v>
      </c>
      <c r="E102" s="3" t="s">
        <v>50</v>
      </c>
      <c r="F102" s="3" t="s">
        <v>51</v>
      </c>
      <c r="G102" s="3" t="s">
        <v>150</v>
      </c>
      <c r="H102" s="3" t="s">
        <v>151</v>
      </c>
      <c r="I102" s="3" t="s">
        <v>54</v>
      </c>
      <c r="J102" s="3" t="s">
        <v>55</v>
      </c>
      <c r="K102" s="3" t="s">
        <v>168</v>
      </c>
      <c r="L102" s="3" t="s">
        <v>169</v>
      </c>
      <c r="M102" s="3" t="s">
        <v>170</v>
      </c>
      <c r="N102" s="3" t="s">
        <v>59</v>
      </c>
      <c r="O102" s="3" t="s">
        <v>59</v>
      </c>
      <c r="P102" s="3" t="s">
        <v>59</v>
      </c>
      <c r="Q102" s="3" t="s">
        <v>155</v>
      </c>
      <c r="R102" s="3" t="s">
        <v>61</v>
      </c>
      <c r="S102" s="3" t="s">
        <v>63</v>
      </c>
      <c r="T102" s="1">
        <v>0</v>
      </c>
      <c r="U102" s="1">
        <v>-6700</v>
      </c>
      <c r="V102" s="1">
        <v>0</v>
      </c>
      <c r="W102" s="1">
        <v>0</v>
      </c>
      <c r="X102" s="1">
        <v>-6700</v>
      </c>
      <c r="Y102" s="1">
        <v>0</v>
      </c>
      <c r="Z102" s="1">
        <v>-6700</v>
      </c>
      <c r="AA102" s="1">
        <v>0</v>
      </c>
      <c r="AB102" s="1">
        <v>-6700</v>
      </c>
      <c r="AC102" s="1">
        <v>0</v>
      </c>
      <c r="AD102" s="1">
        <v>0</v>
      </c>
      <c r="AE102" s="1">
        <v>-6700</v>
      </c>
      <c r="AF102" s="1">
        <v>0</v>
      </c>
      <c r="AG102" s="1">
        <v>-6700</v>
      </c>
      <c r="AH102" s="1">
        <v>0</v>
      </c>
      <c r="AI102" s="1">
        <v>-6499</v>
      </c>
      <c r="AJ102" s="1">
        <v>0</v>
      </c>
      <c r="AK102" s="1">
        <v>0</v>
      </c>
      <c r="AL102" s="1">
        <v>-6499</v>
      </c>
      <c r="AM102" s="1">
        <v>0</v>
      </c>
      <c r="AN102" s="1">
        <v>-6499</v>
      </c>
      <c r="AO102" s="6" t="s">
        <v>215</v>
      </c>
      <c r="AP102" s="6" t="s">
        <v>215</v>
      </c>
      <c r="AQ102" s="6" t="s">
        <v>215</v>
      </c>
      <c r="AR102" s="6" t="s">
        <v>215</v>
      </c>
      <c r="AS102" s="1">
        <v>-3899</v>
      </c>
      <c r="AT102" s="1">
        <v>0</v>
      </c>
      <c r="AU102" s="1">
        <v>-3899</v>
      </c>
    </row>
    <row r="103" spans="1:47" x14ac:dyDescent="0.3">
      <c r="A103" s="3" t="s">
        <v>46</v>
      </c>
      <c r="B103" s="3" t="s">
        <v>47</v>
      </c>
      <c r="C103" s="3" t="s">
        <v>48</v>
      </c>
      <c r="D103" s="3" t="s">
        <v>49</v>
      </c>
      <c r="E103" s="3" t="s">
        <v>50</v>
      </c>
      <c r="F103" s="3" t="s">
        <v>51</v>
      </c>
      <c r="G103" s="3" t="s">
        <v>150</v>
      </c>
      <c r="H103" s="3" t="s">
        <v>151</v>
      </c>
      <c r="I103" s="3" t="s">
        <v>54</v>
      </c>
      <c r="J103" s="3" t="s">
        <v>55</v>
      </c>
      <c r="K103" s="3" t="s">
        <v>171</v>
      </c>
      <c r="L103" s="3" t="s">
        <v>172</v>
      </c>
      <c r="M103" s="3" t="s">
        <v>173</v>
      </c>
      <c r="N103" s="3" t="s">
        <v>59</v>
      </c>
      <c r="O103" s="3" t="s">
        <v>59</v>
      </c>
      <c r="P103" s="3" t="s">
        <v>59</v>
      </c>
      <c r="Q103" s="3" t="s">
        <v>155</v>
      </c>
      <c r="R103" s="3" t="s">
        <v>61</v>
      </c>
      <c r="S103" s="3" t="s">
        <v>62</v>
      </c>
      <c r="T103" s="1">
        <v>441290</v>
      </c>
      <c r="U103" s="1">
        <v>351120</v>
      </c>
      <c r="V103" s="1">
        <v>59250</v>
      </c>
      <c r="W103" s="1">
        <v>1629240</v>
      </c>
      <c r="X103" s="1">
        <v>851660</v>
      </c>
      <c r="Y103" s="1">
        <v>1629240</v>
      </c>
      <c r="Z103" s="1">
        <v>2480900</v>
      </c>
      <c r="AA103" s="1">
        <v>529548</v>
      </c>
      <c r="AB103" s="1">
        <v>351120</v>
      </c>
      <c r="AC103" s="1">
        <v>70980</v>
      </c>
      <c r="AD103" s="1">
        <v>1629240</v>
      </c>
      <c r="AE103" s="1">
        <v>951648</v>
      </c>
      <c r="AF103" s="1">
        <v>1629240</v>
      </c>
      <c r="AG103" s="1">
        <v>2580888</v>
      </c>
      <c r="AH103" s="1">
        <v>476593.2</v>
      </c>
      <c r="AI103" s="1">
        <v>340586.4</v>
      </c>
      <c r="AJ103" s="1">
        <v>49686</v>
      </c>
      <c r="AK103" s="1">
        <v>1466316</v>
      </c>
      <c r="AL103" s="1">
        <v>866865.6</v>
      </c>
      <c r="AM103" s="1">
        <v>1466316</v>
      </c>
      <c r="AN103" s="1">
        <v>2333181.6</v>
      </c>
      <c r="AO103" s="6" t="s">
        <v>215</v>
      </c>
      <c r="AP103" s="6" t="s">
        <v>215</v>
      </c>
      <c r="AQ103" s="6" t="s">
        <v>215</v>
      </c>
      <c r="AR103" s="6" t="s">
        <v>215</v>
      </c>
      <c r="AS103" s="1">
        <v>1399910</v>
      </c>
      <c r="AT103" s="1">
        <v>0</v>
      </c>
      <c r="AU103" s="1">
        <v>1399910</v>
      </c>
    </row>
    <row r="104" spans="1:47" x14ac:dyDescent="0.3">
      <c r="A104" s="3" t="s">
        <v>46</v>
      </c>
      <c r="B104" s="3" t="s">
        <v>47</v>
      </c>
      <c r="C104" s="3" t="s">
        <v>48</v>
      </c>
      <c r="D104" s="3" t="s">
        <v>49</v>
      </c>
      <c r="E104" s="3" t="s">
        <v>50</v>
      </c>
      <c r="F104" s="3" t="s">
        <v>51</v>
      </c>
      <c r="G104" s="3" t="s">
        <v>150</v>
      </c>
      <c r="H104" s="3" t="s">
        <v>151</v>
      </c>
      <c r="I104" s="3" t="s">
        <v>54</v>
      </c>
      <c r="J104" s="3" t="s">
        <v>55</v>
      </c>
      <c r="K104" s="3" t="s">
        <v>171</v>
      </c>
      <c r="L104" s="3" t="s">
        <v>172</v>
      </c>
      <c r="M104" s="3" t="s">
        <v>173</v>
      </c>
      <c r="N104" s="3" t="s">
        <v>59</v>
      </c>
      <c r="O104" s="3" t="s">
        <v>59</v>
      </c>
      <c r="P104" s="3" t="s">
        <v>59</v>
      </c>
      <c r="Q104" s="3" t="s">
        <v>155</v>
      </c>
      <c r="R104" s="3" t="s">
        <v>61</v>
      </c>
      <c r="S104" s="3" t="s">
        <v>63</v>
      </c>
      <c r="T104" s="1">
        <v>1190970</v>
      </c>
      <c r="U104" s="1">
        <v>1187390</v>
      </c>
      <c r="V104" s="1">
        <v>154380</v>
      </c>
      <c r="W104" s="1">
        <v>1008960</v>
      </c>
      <c r="X104" s="1">
        <v>2532740</v>
      </c>
      <c r="Y104" s="1">
        <v>1008960</v>
      </c>
      <c r="Z104" s="1">
        <v>3541700</v>
      </c>
      <c r="AA104" s="1">
        <v>1429164</v>
      </c>
      <c r="AB104" s="1">
        <v>1187390</v>
      </c>
      <c r="AC104" s="1">
        <v>185256</v>
      </c>
      <c r="AD104" s="1">
        <v>1008960</v>
      </c>
      <c r="AE104" s="1">
        <v>2801810</v>
      </c>
      <c r="AF104" s="1">
        <v>1008960</v>
      </c>
      <c r="AG104" s="1">
        <v>3810770</v>
      </c>
      <c r="AH104" s="1">
        <v>1286247.6000000001</v>
      </c>
      <c r="AI104" s="1">
        <v>1151768.3</v>
      </c>
      <c r="AJ104" s="1">
        <v>129679.2</v>
      </c>
      <c r="AK104" s="1">
        <v>908064</v>
      </c>
      <c r="AL104" s="1">
        <v>2567695.1</v>
      </c>
      <c r="AM104" s="1">
        <v>908064</v>
      </c>
      <c r="AN104" s="1">
        <v>3475759.1</v>
      </c>
      <c r="AO104" s="6" t="s">
        <v>215</v>
      </c>
      <c r="AP104" s="6" t="s">
        <v>215</v>
      </c>
      <c r="AQ104" s="6" t="s">
        <v>215</v>
      </c>
      <c r="AR104" s="6" t="s">
        <v>215</v>
      </c>
      <c r="AS104" s="1">
        <v>2085456</v>
      </c>
      <c r="AT104" s="1">
        <v>0</v>
      </c>
      <c r="AU104" s="1">
        <v>2085456</v>
      </c>
    </row>
    <row r="105" spans="1:47" x14ac:dyDescent="0.3">
      <c r="A105" s="3" t="s">
        <v>46</v>
      </c>
      <c r="B105" s="3" t="s">
        <v>47</v>
      </c>
      <c r="C105" s="3" t="s">
        <v>48</v>
      </c>
      <c r="D105" s="3" t="s">
        <v>49</v>
      </c>
      <c r="E105" s="3" t="s">
        <v>50</v>
      </c>
      <c r="F105" s="3" t="s">
        <v>51</v>
      </c>
      <c r="G105" s="3" t="s">
        <v>150</v>
      </c>
      <c r="H105" s="3" t="s">
        <v>151</v>
      </c>
      <c r="I105" s="3" t="s">
        <v>54</v>
      </c>
      <c r="J105" s="3" t="s">
        <v>55</v>
      </c>
      <c r="K105" s="3" t="s">
        <v>171</v>
      </c>
      <c r="L105" s="3" t="s">
        <v>172</v>
      </c>
      <c r="M105" s="3" t="s">
        <v>173</v>
      </c>
      <c r="N105" s="3" t="s">
        <v>59</v>
      </c>
      <c r="O105" s="3" t="s">
        <v>59</v>
      </c>
      <c r="P105" s="3" t="s">
        <v>59</v>
      </c>
      <c r="Q105" s="3" t="s">
        <v>155</v>
      </c>
      <c r="R105" s="3" t="s">
        <v>61</v>
      </c>
      <c r="S105" s="3" t="s">
        <v>63</v>
      </c>
      <c r="T105" s="1">
        <v>1006005</v>
      </c>
      <c r="U105" s="1">
        <v>1021545</v>
      </c>
      <c r="V105" s="1">
        <v>216850</v>
      </c>
      <c r="W105" s="1">
        <v>299100</v>
      </c>
      <c r="X105" s="1">
        <v>2244400</v>
      </c>
      <c r="Y105" s="1">
        <v>299100</v>
      </c>
      <c r="Z105" s="1">
        <v>2543500</v>
      </c>
      <c r="AA105" s="1">
        <v>1207206</v>
      </c>
      <c r="AB105" s="1">
        <v>1021545</v>
      </c>
      <c r="AC105" s="1">
        <v>259889</v>
      </c>
      <c r="AD105" s="1">
        <v>299100</v>
      </c>
      <c r="AE105" s="1">
        <v>2488640</v>
      </c>
      <c r="AF105" s="1">
        <v>299100</v>
      </c>
      <c r="AG105" s="1">
        <v>2787740</v>
      </c>
      <c r="AH105" s="1">
        <v>1086485.3999999999</v>
      </c>
      <c r="AI105" s="1">
        <v>990898.65</v>
      </c>
      <c r="AJ105" s="1">
        <v>181922.3</v>
      </c>
      <c r="AK105" s="1">
        <v>269190</v>
      </c>
      <c r="AL105" s="1">
        <v>2259306.35</v>
      </c>
      <c r="AM105" s="1">
        <v>269190</v>
      </c>
      <c r="AN105" s="1">
        <v>2528496.35</v>
      </c>
      <c r="AO105" s="6" t="s">
        <v>215</v>
      </c>
      <c r="AP105" s="6" t="s">
        <v>215</v>
      </c>
      <c r="AQ105" s="6" t="s">
        <v>215</v>
      </c>
      <c r="AR105" s="6" t="s">
        <v>215</v>
      </c>
      <c r="AS105" s="1">
        <v>1517097</v>
      </c>
      <c r="AT105" s="1">
        <v>0</v>
      </c>
      <c r="AU105" s="1">
        <v>1517097</v>
      </c>
    </row>
    <row r="106" spans="1:47" x14ac:dyDescent="0.3">
      <c r="A106" s="3" t="s">
        <v>46</v>
      </c>
      <c r="B106" s="3" t="s">
        <v>47</v>
      </c>
      <c r="C106" s="3" t="s">
        <v>48</v>
      </c>
      <c r="D106" s="3" t="s">
        <v>49</v>
      </c>
      <c r="E106" s="3" t="s">
        <v>50</v>
      </c>
      <c r="F106" s="3" t="s">
        <v>51</v>
      </c>
      <c r="G106" s="3" t="s">
        <v>150</v>
      </c>
      <c r="H106" s="3" t="s">
        <v>151</v>
      </c>
      <c r="I106" s="3" t="s">
        <v>54</v>
      </c>
      <c r="J106" s="3" t="s">
        <v>55</v>
      </c>
      <c r="K106" s="3" t="s">
        <v>171</v>
      </c>
      <c r="L106" s="3" t="s">
        <v>172</v>
      </c>
      <c r="M106" s="3" t="s">
        <v>173</v>
      </c>
      <c r="N106" s="3" t="s">
        <v>59</v>
      </c>
      <c r="O106" s="3" t="s">
        <v>59</v>
      </c>
      <c r="P106" s="3" t="s">
        <v>59</v>
      </c>
      <c r="Q106" s="3" t="s">
        <v>155</v>
      </c>
      <c r="R106" s="3" t="s">
        <v>61</v>
      </c>
      <c r="S106" s="3" t="s">
        <v>63</v>
      </c>
      <c r="T106" s="1">
        <v>406350</v>
      </c>
      <c r="U106" s="1">
        <v>238200</v>
      </c>
      <c r="V106" s="1">
        <v>48400</v>
      </c>
      <c r="W106" s="1">
        <v>64450</v>
      </c>
      <c r="X106" s="1">
        <v>692950</v>
      </c>
      <c r="Y106" s="1">
        <v>64450</v>
      </c>
      <c r="Z106" s="1">
        <v>757400</v>
      </c>
      <c r="AA106" s="1">
        <v>487620</v>
      </c>
      <c r="AB106" s="1">
        <v>238200</v>
      </c>
      <c r="AC106" s="1">
        <v>58340</v>
      </c>
      <c r="AD106" s="1">
        <v>64450</v>
      </c>
      <c r="AE106" s="1">
        <v>784160</v>
      </c>
      <c r="AF106" s="1">
        <v>64450</v>
      </c>
      <c r="AG106" s="1">
        <v>848610</v>
      </c>
      <c r="AH106" s="1">
        <v>438858</v>
      </c>
      <c r="AI106" s="1">
        <v>231054</v>
      </c>
      <c r="AJ106" s="1">
        <v>40838</v>
      </c>
      <c r="AK106" s="1">
        <v>58005</v>
      </c>
      <c r="AL106" s="1">
        <v>710750</v>
      </c>
      <c r="AM106" s="1">
        <v>58005</v>
      </c>
      <c r="AN106" s="1">
        <v>768755</v>
      </c>
      <c r="AO106" s="6" t="s">
        <v>215</v>
      </c>
      <c r="AP106" s="6" t="s">
        <v>215</v>
      </c>
      <c r="AQ106" s="6" t="s">
        <v>215</v>
      </c>
      <c r="AR106" s="6" t="s">
        <v>215</v>
      </c>
      <c r="AS106" s="1">
        <v>461253</v>
      </c>
      <c r="AT106" s="1">
        <v>0</v>
      </c>
      <c r="AU106" s="1">
        <v>461253</v>
      </c>
    </row>
    <row r="107" spans="1:47" x14ac:dyDescent="0.3">
      <c r="A107" s="3" t="s">
        <v>46</v>
      </c>
      <c r="B107" s="3" t="s">
        <v>47</v>
      </c>
      <c r="C107" s="3" t="s">
        <v>48</v>
      </c>
      <c r="D107" s="3" t="s">
        <v>49</v>
      </c>
      <c r="E107" s="3" t="s">
        <v>50</v>
      </c>
      <c r="F107" s="3" t="s">
        <v>51</v>
      </c>
      <c r="G107" s="3" t="s">
        <v>150</v>
      </c>
      <c r="H107" s="3" t="s">
        <v>151</v>
      </c>
      <c r="I107" s="3" t="s">
        <v>54</v>
      </c>
      <c r="J107" s="3" t="s">
        <v>55</v>
      </c>
      <c r="K107" s="3" t="s">
        <v>174</v>
      </c>
      <c r="L107" s="3" t="s">
        <v>175</v>
      </c>
      <c r="M107" s="3" t="s">
        <v>176</v>
      </c>
      <c r="N107" s="3" t="s">
        <v>59</v>
      </c>
      <c r="O107" s="3" t="s">
        <v>59</v>
      </c>
      <c r="P107" s="3" t="s">
        <v>59</v>
      </c>
      <c r="Q107" s="3" t="s">
        <v>155</v>
      </c>
      <c r="R107" s="3" t="s">
        <v>61</v>
      </c>
      <c r="S107" s="3" t="s">
        <v>62</v>
      </c>
      <c r="T107" s="1">
        <v>23300</v>
      </c>
      <c r="U107" s="1">
        <v>17900</v>
      </c>
      <c r="V107" s="1">
        <v>0</v>
      </c>
      <c r="W107" s="1">
        <v>96500</v>
      </c>
      <c r="X107" s="1">
        <v>41200</v>
      </c>
      <c r="Y107" s="1">
        <v>96500</v>
      </c>
      <c r="Z107" s="1">
        <v>137700</v>
      </c>
      <c r="AA107" s="1">
        <v>27960</v>
      </c>
      <c r="AB107" s="1">
        <v>17900</v>
      </c>
      <c r="AC107" s="1">
        <v>0</v>
      </c>
      <c r="AD107" s="1">
        <v>96500</v>
      </c>
      <c r="AE107" s="1">
        <v>45860</v>
      </c>
      <c r="AF107" s="1">
        <v>96500</v>
      </c>
      <c r="AG107" s="1">
        <v>142360</v>
      </c>
      <c r="AH107" s="1">
        <v>25164</v>
      </c>
      <c r="AI107" s="1">
        <v>17363</v>
      </c>
      <c r="AJ107" s="1">
        <v>0</v>
      </c>
      <c r="AK107" s="1">
        <v>86850</v>
      </c>
      <c r="AL107" s="1">
        <v>42527</v>
      </c>
      <c r="AM107" s="1">
        <v>86850</v>
      </c>
      <c r="AN107" s="1">
        <v>129377</v>
      </c>
      <c r="AO107" s="6" t="s">
        <v>215</v>
      </c>
      <c r="AP107" s="6" t="s">
        <v>215</v>
      </c>
      <c r="AQ107" s="6" t="s">
        <v>215</v>
      </c>
      <c r="AR107" s="6" t="s">
        <v>215</v>
      </c>
      <c r="AS107" s="1">
        <v>77626</v>
      </c>
      <c r="AT107" s="1">
        <v>0</v>
      </c>
      <c r="AU107" s="1">
        <v>77626</v>
      </c>
    </row>
    <row r="108" spans="1:47" x14ac:dyDescent="0.3">
      <c r="A108" s="3" t="s">
        <v>46</v>
      </c>
      <c r="B108" s="3" t="s">
        <v>47</v>
      </c>
      <c r="C108" s="3" t="s">
        <v>48</v>
      </c>
      <c r="D108" s="3" t="s">
        <v>49</v>
      </c>
      <c r="E108" s="3" t="s">
        <v>50</v>
      </c>
      <c r="F108" s="3" t="s">
        <v>51</v>
      </c>
      <c r="G108" s="3" t="s">
        <v>150</v>
      </c>
      <c r="H108" s="3" t="s">
        <v>151</v>
      </c>
      <c r="I108" s="3" t="s">
        <v>54</v>
      </c>
      <c r="J108" s="3" t="s">
        <v>55</v>
      </c>
      <c r="K108" s="3" t="s">
        <v>174</v>
      </c>
      <c r="L108" s="3" t="s">
        <v>175</v>
      </c>
      <c r="M108" s="3" t="s">
        <v>176</v>
      </c>
      <c r="N108" s="3" t="s">
        <v>59</v>
      </c>
      <c r="O108" s="3" t="s">
        <v>59</v>
      </c>
      <c r="P108" s="3" t="s">
        <v>59</v>
      </c>
      <c r="Q108" s="3" t="s">
        <v>155</v>
      </c>
      <c r="R108" s="3" t="s">
        <v>61</v>
      </c>
      <c r="S108" s="3" t="s">
        <v>63</v>
      </c>
      <c r="T108" s="1">
        <v>15100</v>
      </c>
      <c r="U108" s="1">
        <v>36000</v>
      </c>
      <c r="V108" s="1">
        <v>0</v>
      </c>
      <c r="W108" s="1">
        <v>51100</v>
      </c>
      <c r="X108" s="1">
        <v>51100</v>
      </c>
      <c r="Y108" s="1">
        <v>51100</v>
      </c>
      <c r="Z108" s="1">
        <v>102200</v>
      </c>
      <c r="AA108" s="1">
        <v>18120</v>
      </c>
      <c r="AB108" s="1">
        <v>36000</v>
      </c>
      <c r="AC108" s="1">
        <v>0</v>
      </c>
      <c r="AD108" s="1">
        <v>51100</v>
      </c>
      <c r="AE108" s="1">
        <v>54120</v>
      </c>
      <c r="AF108" s="1">
        <v>51100</v>
      </c>
      <c r="AG108" s="1">
        <v>105220</v>
      </c>
      <c r="AH108" s="1">
        <v>16308</v>
      </c>
      <c r="AI108" s="1">
        <v>34920</v>
      </c>
      <c r="AJ108" s="1">
        <v>0</v>
      </c>
      <c r="AK108" s="1">
        <v>45990</v>
      </c>
      <c r="AL108" s="1">
        <v>51228</v>
      </c>
      <c r="AM108" s="1">
        <v>45990</v>
      </c>
      <c r="AN108" s="1">
        <v>97218</v>
      </c>
      <c r="AO108" s="6" t="s">
        <v>215</v>
      </c>
      <c r="AP108" s="6" t="s">
        <v>215</v>
      </c>
      <c r="AQ108" s="6" t="s">
        <v>215</v>
      </c>
      <c r="AR108" s="6" t="s">
        <v>215</v>
      </c>
      <c r="AS108" s="1">
        <v>58331</v>
      </c>
      <c r="AT108" s="1">
        <v>0</v>
      </c>
      <c r="AU108" s="1">
        <v>58331</v>
      </c>
    </row>
    <row r="109" spans="1:47" x14ac:dyDescent="0.3">
      <c r="A109" s="3" t="s">
        <v>46</v>
      </c>
      <c r="B109" s="3" t="s">
        <v>47</v>
      </c>
      <c r="C109" s="3" t="s">
        <v>48</v>
      </c>
      <c r="D109" s="3" t="s">
        <v>49</v>
      </c>
      <c r="E109" s="3" t="s">
        <v>50</v>
      </c>
      <c r="F109" s="3" t="s">
        <v>51</v>
      </c>
      <c r="G109" s="3" t="s">
        <v>150</v>
      </c>
      <c r="H109" s="3" t="s">
        <v>151</v>
      </c>
      <c r="I109" s="3" t="s">
        <v>54</v>
      </c>
      <c r="J109" s="3" t="s">
        <v>55</v>
      </c>
      <c r="K109" s="3" t="s">
        <v>174</v>
      </c>
      <c r="L109" s="3" t="s">
        <v>175</v>
      </c>
      <c r="M109" s="3" t="s">
        <v>176</v>
      </c>
      <c r="N109" s="3" t="s">
        <v>59</v>
      </c>
      <c r="O109" s="3" t="s">
        <v>59</v>
      </c>
      <c r="P109" s="3" t="s">
        <v>59</v>
      </c>
      <c r="Q109" s="3" t="s">
        <v>155</v>
      </c>
      <c r="R109" s="3" t="s">
        <v>61</v>
      </c>
      <c r="S109" s="3" t="s">
        <v>63</v>
      </c>
      <c r="T109" s="1">
        <v>63900</v>
      </c>
      <c r="U109" s="1">
        <v>46400</v>
      </c>
      <c r="V109" s="1">
        <v>0</v>
      </c>
      <c r="W109" s="1">
        <v>17600</v>
      </c>
      <c r="X109" s="1">
        <v>110300</v>
      </c>
      <c r="Y109" s="1">
        <v>17600</v>
      </c>
      <c r="Z109" s="1">
        <v>127900</v>
      </c>
      <c r="AA109" s="1">
        <v>76680</v>
      </c>
      <c r="AB109" s="1">
        <v>46400</v>
      </c>
      <c r="AC109" s="1">
        <v>0</v>
      </c>
      <c r="AD109" s="1">
        <v>17600</v>
      </c>
      <c r="AE109" s="1">
        <v>123080</v>
      </c>
      <c r="AF109" s="1">
        <v>17600</v>
      </c>
      <c r="AG109" s="1">
        <v>140680</v>
      </c>
      <c r="AH109" s="1">
        <v>69012</v>
      </c>
      <c r="AI109" s="1">
        <v>45008</v>
      </c>
      <c r="AJ109" s="1">
        <v>0</v>
      </c>
      <c r="AK109" s="1">
        <v>15840</v>
      </c>
      <c r="AL109" s="1">
        <v>114020</v>
      </c>
      <c r="AM109" s="1">
        <v>15840</v>
      </c>
      <c r="AN109" s="1">
        <v>129860</v>
      </c>
      <c r="AO109" s="6" t="s">
        <v>215</v>
      </c>
      <c r="AP109" s="6" t="s">
        <v>215</v>
      </c>
      <c r="AQ109" s="6" t="s">
        <v>215</v>
      </c>
      <c r="AR109" s="6" t="s">
        <v>215</v>
      </c>
      <c r="AS109" s="1">
        <v>77916</v>
      </c>
      <c r="AT109" s="1">
        <v>0</v>
      </c>
      <c r="AU109" s="1">
        <v>77916</v>
      </c>
    </row>
    <row r="110" spans="1:47" x14ac:dyDescent="0.3">
      <c r="A110" s="3" t="s">
        <v>46</v>
      </c>
      <c r="B110" s="3" t="s">
        <v>47</v>
      </c>
      <c r="C110" s="3" t="s">
        <v>48</v>
      </c>
      <c r="D110" s="3" t="s">
        <v>49</v>
      </c>
      <c r="E110" s="3" t="s">
        <v>50</v>
      </c>
      <c r="F110" s="3" t="s">
        <v>51</v>
      </c>
      <c r="G110" s="3" t="s">
        <v>150</v>
      </c>
      <c r="H110" s="3" t="s">
        <v>151</v>
      </c>
      <c r="I110" s="3" t="s">
        <v>54</v>
      </c>
      <c r="J110" s="3" t="s">
        <v>55</v>
      </c>
      <c r="K110" s="3" t="s">
        <v>174</v>
      </c>
      <c r="L110" s="3" t="s">
        <v>175</v>
      </c>
      <c r="M110" s="3" t="s">
        <v>176</v>
      </c>
      <c r="N110" s="3" t="s">
        <v>59</v>
      </c>
      <c r="O110" s="3" t="s">
        <v>59</v>
      </c>
      <c r="P110" s="3" t="s">
        <v>59</v>
      </c>
      <c r="Q110" s="3" t="s">
        <v>155</v>
      </c>
      <c r="R110" s="3" t="s">
        <v>61</v>
      </c>
      <c r="S110" s="3" t="s">
        <v>63</v>
      </c>
      <c r="T110" s="1">
        <v>36000</v>
      </c>
      <c r="U110" s="1">
        <v>0</v>
      </c>
      <c r="V110" s="1">
        <v>0</v>
      </c>
      <c r="W110" s="1">
        <v>0</v>
      </c>
      <c r="X110" s="1">
        <v>36000</v>
      </c>
      <c r="Y110" s="1">
        <v>0</v>
      </c>
      <c r="Z110" s="1">
        <v>36000</v>
      </c>
      <c r="AA110" s="1">
        <v>43200</v>
      </c>
      <c r="AB110" s="1">
        <v>0</v>
      </c>
      <c r="AC110" s="1">
        <v>0</v>
      </c>
      <c r="AD110" s="1">
        <v>0</v>
      </c>
      <c r="AE110" s="1">
        <v>43200</v>
      </c>
      <c r="AF110" s="1">
        <v>0</v>
      </c>
      <c r="AG110" s="1">
        <v>43200</v>
      </c>
      <c r="AH110" s="1">
        <v>38880</v>
      </c>
      <c r="AI110" s="1">
        <v>0</v>
      </c>
      <c r="AJ110" s="1">
        <v>0</v>
      </c>
      <c r="AK110" s="1">
        <v>0</v>
      </c>
      <c r="AL110" s="1">
        <v>38880</v>
      </c>
      <c r="AM110" s="1">
        <v>0</v>
      </c>
      <c r="AN110" s="1">
        <v>38880</v>
      </c>
      <c r="AO110" s="6" t="s">
        <v>215</v>
      </c>
      <c r="AP110" s="6" t="s">
        <v>215</v>
      </c>
      <c r="AQ110" s="6" t="s">
        <v>215</v>
      </c>
      <c r="AR110" s="6" t="s">
        <v>215</v>
      </c>
      <c r="AS110" s="1">
        <v>23328</v>
      </c>
      <c r="AT110" s="1">
        <v>0</v>
      </c>
      <c r="AU110" s="1">
        <v>23328</v>
      </c>
    </row>
    <row r="111" spans="1:47" x14ac:dyDescent="0.3">
      <c r="A111" s="3" t="s">
        <v>46</v>
      </c>
      <c r="B111" s="3" t="s">
        <v>47</v>
      </c>
      <c r="C111" s="3" t="s">
        <v>48</v>
      </c>
      <c r="D111" s="3" t="s">
        <v>49</v>
      </c>
      <c r="E111" s="3" t="s">
        <v>50</v>
      </c>
      <c r="F111" s="3" t="s">
        <v>51</v>
      </c>
      <c r="G111" s="3" t="s">
        <v>150</v>
      </c>
      <c r="H111" s="3" t="s">
        <v>151</v>
      </c>
      <c r="I111" s="3" t="s">
        <v>54</v>
      </c>
      <c r="J111" s="3" t="s">
        <v>55</v>
      </c>
      <c r="K111" s="3" t="s">
        <v>177</v>
      </c>
      <c r="L111" s="3" t="s">
        <v>178</v>
      </c>
      <c r="M111" s="3" t="s">
        <v>179</v>
      </c>
      <c r="N111" s="3" t="s">
        <v>59</v>
      </c>
      <c r="O111" s="3" t="s">
        <v>59</v>
      </c>
      <c r="P111" s="3" t="s">
        <v>59</v>
      </c>
      <c r="Q111" s="3" t="s">
        <v>155</v>
      </c>
      <c r="R111" s="3" t="s">
        <v>61</v>
      </c>
      <c r="S111" s="3" t="s">
        <v>62</v>
      </c>
      <c r="T111" s="1">
        <v>73840</v>
      </c>
      <c r="U111" s="1">
        <v>94760</v>
      </c>
      <c r="V111" s="1">
        <v>5100</v>
      </c>
      <c r="W111" s="1">
        <v>1335000</v>
      </c>
      <c r="X111" s="1">
        <v>173700</v>
      </c>
      <c r="Y111" s="1">
        <v>1335000</v>
      </c>
      <c r="Z111" s="1">
        <v>1508700</v>
      </c>
      <c r="AA111" s="1">
        <v>88608</v>
      </c>
      <c r="AB111" s="1">
        <v>94760</v>
      </c>
      <c r="AC111" s="1">
        <v>6120</v>
      </c>
      <c r="AD111" s="1">
        <v>1335000</v>
      </c>
      <c r="AE111" s="1">
        <v>189488</v>
      </c>
      <c r="AF111" s="1">
        <v>1335000</v>
      </c>
      <c r="AG111" s="1">
        <v>1524488</v>
      </c>
      <c r="AH111" s="1">
        <v>79747.199999999997</v>
      </c>
      <c r="AI111" s="1">
        <v>91917.2</v>
      </c>
      <c r="AJ111" s="1">
        <v>4284</v>
      </c>
      <c r="AK111" s="1">
        <v>1201500</v>
      </c>
      <c r="AL111" s="1">
        <v>175948.4</v>
      </c>
      <c r="AM111" s="1">
        <v>1201500</v>
      </c>
      <c r="AN111" s="1">
        <v>1377448.4</v>
      </c>
      <c r="AO111" s="6" t="s">
        <v>215</v>
      </c>
      <c r="AP111" s="6" t="s">
        <v>215</v>
      </c>
      <c r="AQ111" s="6" t="s">
        <v>215</v>
      </c>
      <c r="AR111" s="6" t="s">
        <v>215</v>
      </c>
      <c r="AS111" s="1">
        <v>826468</v>
      </c>
      <c r="AT111" s="1">
        <v>0</v>
      </c>
      <c r="AU111" s="1">
        <v>826468</v>
      </c>
    </row>
    <row r="112" spans="1:47" x14ac:dyDescent="0.3">
      <c r="A112" s="3" t="s">
        <v>46</v>
      </c>
      <c r="B112" s="3" t="s">
        <v>47</v>
      </c>
      <c r="C112" s="3" t="s">
        <v>48</v>
      </c>
      <c r="D112" s="3" t="s">
        <v>49</v>
      </c>
      <c r="E112" s="3" t="s">
        <v>50</v>
      </c>
      <c r="F112" s="3" t="s">
        <v>51</v>
      </c>
      <c r="G112" s="3" t="s">
        <v>150</v>
      </c>
      <c r="H112" s="3" t="s">
        <v>151</v>
      </c>
      <c r="I112" s="3" t="s">
        <v>54</v>
      </c>
      <c r="J112" s="3" t="s">
        <v>55</v>
      </c>
      <c r="K112" s="3" t="s">
        <v>177</v>
      </c>
      <c r="L112" s="3" t="s">
        <v>178</v>
      </c>
      <c r="M112" s="3" t="s">
        <v>179</v>
      </c>
      <c r="N112" s="3" t="s">
        <v>59</v>
      </c>
      <c r="O112" s="3" t="s">
        <v>59</v>
      </c>
      <c r="P112" s="3" t="s">
        <v>59</v>
      </c>
      <c r="Q112" s="3" t="s">
        <v>155</v>
      </c>
      <c r="R112" s="3" t="s">
        <v>61</v>
      </c>
      <c r="S112" s="3" t="s">
        <v>63</v>
      </c>
      <c r="T112" s="1">
        <v>268170</v>
      </c>
      <c r="U112" s="1">
        <v>112770</v>
      </c>
      <c r="V112" s="1">
        <v>15300</v>
      </c>
      <c r="W112" s="1">
        <v>817260</v>
      </c>
      <c r="X112" s="1">
        <v>396240</v>
      </c>
      <c r="Y112" s="1">
        <v>817260</v>
      </c>
      <c r="Z112" s="1">
        <v>1213500</v>
      </c>
      <c r="AA112" s="1">
        <v>321804</v>
      </c>
      <c r="AB112" s="1">
        <v>112770</v>
      </c>
      <c r="AC112" s="1">
        <v>18360</v>
      </c>
      <c r="AD112" s="1">
        <v>817260</v>
      </c>
      <c r="AE112" s="1">
        <v>452934</v>
      </c>
      <c r="AF112" s="1">
        <v>817260</v>
      </c>
      <c r="AG112" s="1">
        <v>1270194</v>
      </c>
      <c r="AH112" s="1">
        <v>289623.59999999998</v>
      </c>
      <c r="AI112" s="1">
        <v>109386.9</v>
      </c>
      <c r="AJ112" s="1">
        <v>12852</v>
      </c>
      <c r="AK112" s="1">
        <v>735534</v>
      </c>
      <c r="AL112" s="1">
        <v>411862.5</v>
      </c>
      <c r="AM112" s="1">
        <v>735534</v>
      </c>
      <c r="AN112" s="1">
        <v>1147396.5</v>
      </c>
      <c r="AO112" s="6" t="s">
        <v>215</v>
      </c>
      <c r="AP112" s="6" t="s">
        <v>215</v>
      </c>
      <c r="AQ112" s="6" t="s">
        <v>215</v>
      </c>
      <c r="AR112" s="6" t="s">
        <v>215</v>
      </c>
      <c r="AS112" s="1">
        <v>688437</v>
      </c>
      <c r="AT112" s="1">
        <v>0</v>
      </c>
      <c r="AU112" s="1">
        <v>688437</v>
      </c>
    </row>
    <row r="113" spans="1:47" x14ac:dyDescent="0.3">
      <c r="A113" s="3" t="s">
        <v>46</v>
      </c>
      <c r="B113" s="3" t="s">
        <v>47</v>
      </c>
      <c r="C113" s="3" t="s">
        <v>48</v>
      </c>
      <c r="D113" s="3" t="s">
        <v>49</v>
      </c>
      <c r="E113" s="3" t="s">
        <v>50</v>
      </c>
      <c r="F113" s="3" t="s">
        <v>51</v>
      </c>
      <c r="G113" s="3" t="s">
        <v>150</v>
      </c>
      <c r="H113" s="3" t="s">
        <v>151</v>
      </c>
      <c r="I113" s="3" t="s">
        <v>54</v>
      </c>
      <c r="J113" s="3" t="s">
        <v>55</v>
      </c>
      <c r="K113" s="3" t="s">
        <v>177</v>
      </c>
      <c r="L113" s="3" t="s">
        <v>178</v>
      </c>
      <c r="M113" s="3" t="s">
        <v>179</v>
      </c>
      <c r="N113" s="3" t="s">
        <v>59</v>
      </c>
      <c r="O113" s="3" t="s">
        <v>59</v>
      </c>
      <c r="P113" s="3" t="s">
        <v>59</v>
      </c>
      <c r="Q113" s="3" t="s">
        <v>155</v>
      </c>
      <c r="R113" s="3" t="s">
        <v>61</v>
      </c>
      <c r="S113" s="3" t="s">
        <v>63</v>
      </c>
      <c r="T113" s="1">
        <v>319510</v>
      </c>
      <c r="U113" s="1">
        <v>281930</v>
      </c>
      <c r="V113" s="1">
        <v>88500</v>
      </c>
      <c r="W113" s="1">
        <v>103460</v>
      </c>
      <c r="X113" s="1">
        <v>689940</v>
      </c>
      <c r="Y113" s="1">
        <v>103460</v>
      </c>
      <c r="Z113" s="1">
        <v>793400</v>
      </c>
      <c r="AA113" s="1">
        <v>383412</v>
      </c>
      <c r="AB113" s="1">
        <v>281930</v>
      </c>
      <c r="AC113" s="1">
        <v>106260</v>
      </c>
      <c r="AD113" s="1">
        <v>103460</v>
      </c>
      <c r="AE113" s="1">
        <v>771602</v>
      </c>
      <c r="AF113" s="1">
        <v>103460</v>
      </c>
      <c r="AG113" s="1">
        <v>875062</v>
      </c>
      <c r="AH113" s="1">
        <v>345070.8</v>
      </c>
      <c r="AI113" s="1">
        <v>273472.09999999998</v>
      </c>
      <c r="AJ113" s="1">
        <v>74382</v>
      </c>
      <c r="AK113" s="1">
        <v>93114</v>
      </c>
      <c r="AL113" s="1">
        <v>692924.9</v>
      </c>
      <c r="AM113" s="1">
        <v>93114</v>
      </c>
      <c r="AN113" s="1">
        <v>786038.9</v>
      </c>
      <c r="AO113" s="6" t="s">
        <v>215</v>
      </c>
      <c r="AP113" s="6" t="s">
        <v>215</v>
      </c>
      <c r="AQ113" s="6" t="s">
        <v>215</v>
      </c>
      <c r="AR113" s="6" t="s">
        <v>215</v>
      </c>
      <c r="AS113" s="1">
        <v>471622</v>
      </c>
      <c r="AT113" s="1">
        <v>0</v>
      </c>
      <c r="AU113" s="1">
        <v>471622</v>
      </c>
    </row>
    <row r="114" spans="1:47" x14ac:dyDescent="0.3">
      <c r="A114" s="3" t="s">
        <v>46</v>
      </c>
      <c r="B114" s="3" t="s">
        <v>47</v>
      </c>
      <c r="C114" s="3" t="s">
        <v>48</v>
      </c>
      <c r="D114" s="3" t="s">
        <v>49</v>
      </c>
      <c r="E114" s="3" t="s">
        <v>50</v>
      </c>
      <c r="F114" s="3" t="s">
        <v>51</v>
      </c>
      <c r="G114" s="3" t="s">
        <v>150</v>
      </c>
      <c r="H114" s="3" t="s">
        <v>151</v>
      </c>
      <c r="I114" s="3" t="s">
        <v>54</v>
      </c>
      <c r="J114" s="3" t="s">
        <v>55</v>
      </c>
      <c r="K114" s="3" t="s">
        <v>177</v>
      </c>
      <c r="L114" s="3" t="s">
        <v>178</v>
      </c>
      <c r="M114" s="3" t="s">
        <v>179</v>
      </c>
      <c r="N114" s="3" t="s">
        <v>59</v>
      </c>
      <c r="O114" s="3" t="s">
        <v>59</v>
      </c>
      <c r="P114" s="3" t="s">
        <v>59</v>
      </c>
      <c r="Q114" s="3" t="s">
        <v>155</v>
      </c>
      <c r="R114" s="3" t="s">
        <v>61</v>
      </c>
      <c r="S114" s="3" t="s">
        <v>63</v>
      </c>
      <c r="T114" s="1">
        <v>223000</v>
      </c>
      <c r="U114" s="1">
        <v>207800</v>
      </c>
      <c r="V114" s="1">
        <v>18000</v>
      </c>
      <c r="W114" s="1">
        <v>21600</v>
      </c>
      <c r="X114" s="1">
        <v>448800</v>
      </c>
      <c r="Y114" s="1">
        <v>21600</v>
      </c>
      <c r="Z114" s="1">
        <v>470400</v>
      </c>
      <c r="AA114" s="1">
        <v>267600</v>
      </c>
      <c r="AB114" s="1">
        <v>207800</v>
      </c>
      <c r="AC114" s="1">
        <v>21600</v>
      </c>
      <c r="AD114" s="1">
        <v>21600</v>
      </c>
      <c r="AE114" s="1">
        <v>497000</v>
      </c>
      <c r="AF114" s="1">
        <v>21600</v>
      </c>
      <c r="AG114" s="1">
        <v>518600</v>
      </c>
      <c r="AH114" s="1">
        <v>240840</v>
      </c>
      <c r="AI114" s="1">
        <v>201566</v>
      </c>
      <c r="AJ114" s="1">
        <v>15120</v>
      </c>
      <c r="AK114" s="1">
        <v>19440</v>
      </c>
      <c r="AL114" s="1">
        <v>457526</v>
      </c>
      <c r="AM114" s="1">
        <v>19440</v>
      </c>
      <c r="AN114" s="1">
        <v>476966</v>
      </c>
      <c r="AO114" s="6" t="s">
        <v>215</v>
      </c>
      <c r="AP114" s="6" t="s">
        <v>215</v>
      </c>
      <c r="AQ114" s="6" t="s">
        <v>215</v>
      </c>
      <c r="AR114" s="6" t="s">
        <v>215</v>
      </c>
      <c r="AS114" s="1">
        <v>286180</v>
      </c>
      <c r="AT114" s="1">
        <v>0</v>
      </c>
      <c r="AU114" s="1">
        <v>286180</v>
      </c>
    </row>
    <row r="115" spans="1:47" x14ac:dyDescent="0.3">
      <c r="A115" s="3" t="s">
        <v>46</v>
      </c>
      <c r="B115" s="3" t="s">
        <v>47</v>
      </c>
      <c r="C115" s="3" t="s">
        <v>48</v>
      </c>
      <c r="D115" s="3" t="s">
        <v>49</v>
      </c>
      <c r="E115" s="3" t="s">
        <v>50</v>
      </c>
      <c r="F115" s="3" t="s">
        <v>51</v>
      </c>
      <c r="G115" s="3" t="s">
        <v>150</v>
      </c>
      <c r="H115" s="3" t="s">
        <v>151</v>
      </c>
      <c r="I115" s="3" t="s">
        <v>54</v>
      </c>
      <c r="J115" s="3" t="s">
        <v>55</v>
      </c>
      <c r="K115" s="3" t="s">
        <v>180</v>
      </c>
      <c r="L115" s="3" t="s">
        <v>181</v>
      </c>
      <c r="M115" s="3" t="s">
        <v>70</v>
      </c>
      <c r="N115" s="3" t="s">
        <v>59</v>
      </c>
      <c r="O115" s="3" t="s">
        <v>59</v>
      </c>
      <c r="P115" s="3" t="s">
        <v>59</v>
      </c>
      <c r="Q115" s="3" t="s">
        <v>155</v>
      </c>
      <c r="R115" s="3" t="s">
        <v>61</v>
      </c>
      <c r="S115" s="3" t="s">
        <v>62</v>
      </c>
      <c r="T115" s="1">
        <v>525080</v>
      </c>
      <c r="U115" s="1">
        <v>356530</v>
      </c>
      <c r="V115" s="1">
        <v>45000</v>
      </c>
      <c r="W115" s="1">
        <v>119790</v>
      </c>
      <c r="X115" s="1">
        <v>926610</v>
      </c>
      <c r="Y115" s="1">
        <v>119790</v>
      </c>
      <c r="Z115" s="1">
        <v>1046400</v>
      </c>
      <c r="AA115" s="1">
        <v>630096</v>
      </c>
      <c r="AB115" s="1">
        <v>356530</v>
      </c>
      <c r="AC115" s="1">
        <v>54000</v>
      </c>
      <c r="AD115" s="1">
        <v>119790</v>
      </c>
      <c r="AE115" s="1">
        <v>1040626</v>
      </c>
      <c r="AF115" s="1">
        <v>119790</v>
      </c>
      <c r="AG115" s="1">
        <v>1160416</v>
      </c>
      <c r="AH115" s="1">
        <v>567086.4</v>
      </c>
      <c r="AI115" s="1">
        <v>345834.1</v>
      </c>
      <c r="AJ115" s="1">
        <v>37800</v>
      </c>
      <c r="AK115" s="1">
        <v>107811</v>
      </c>
      <c r="AL115" s="1">
        <v>950720.5</v>
      </c>
      <c r="AM115" s="1">
        <v>107811</v>
      </c>
      <c r="AN115" s="1">
        <v>1058531.5</v>
      </c>
      <c r="AO115" s="6" t="s">
        <v>215</v>
      </c>
      <c r="AP115" s="6" t="s">
        <v>215</v>
      </c>
      <c r="AQ115" s="6" t="s">
        <v>215</v>
      </c>
      <c r="AR115" s="6" t="s">
        <v>215</v>
      </c>
      <c r="AS115" s="1">
        <v>635119</v>
      </c>
      <c r="AT115" s="1">
        <v>0</v>
      </c>
      <c r="AU115" s="1">
        <v>635119</v>
      </c>
    </row>
    <row r="116" spans="1:47" x14ac:dyDescent="0.3">
      <c r="A116" s="3" t="s">
        <v>46</v>
      </c>
      <c r="B116" s="3" t="s">
        <v>47</v>
      </c>
      <c r="C116" s="3" t="s">
        <v>48</v>
      </c>
      <c r="D116" s="3" t="s">
        <v>49</v>
      </c>
      <c r="E116" s="3" t="s">
        <v>50</v>
      </c>
      <c r="F116" s="3" t="s">
        <v>51</v>
      </c>
      <c r="G116" s="3" t="s">
        <v>150</v>
      </c>
      <c r="H116" s="3" t="s">
        <v>151</v>
      </c>
      <c r="I116" s="3" t="s">
        <v>54</v>
      </c>
      <c r="J116" s="3" t="s">
        <v>55</v>
      </c>
      <c r="K116" s="3" t="s">
        <v>180</v>
      </c>
      <c r="L116" s="3" t="s">
        <v>181</v>
      </c>
      <c r="M116" s="3" t="s">
        <v>70</v>
      </c>
      <c r="N116" s="3" t="s">
        <v>59</v>
      </c>
      <c r="O116" s="3" t="s">
        <v>59</v>
      </c>
      <c r="P116" s="3" t="s">
        <v>59</v>
      </c>
      <c r="Q116" s="3" t="s">
        <v>155</v>
      </c>
      <c r="R116" s="3" t="s">
        <v>61</v>
      </c>
      <c r="S116" s="3" t="s">
        <v>63</v>
      </c>
      <c r="T116" s="1">
        <v>44800</v>
      </c>
      <c r="U116" s="1">
        <v>0</v>
      </c>
      <c r="V116" s="1">
        <v>0</v>
      </c>
      <c r="W116" s="1">
        <v>0</v>
      </c>
      <c r="X116" s="1">
        <v>44800</v>
      </c>
      <c r="Y116" s="1">
        <v>0</v>
      </c>
      <c r="Z116" s="1">
        <v>44800</v>
      </c>
      <c r="AA116" s="1">
        <v>53760</v>
      </c>
      <c r="AB116" s="1">
        <v>0</v>
      </c>
      <c r="AC116" s="1">
        <v>0</v>
      </c>
      <c r="AD116" s="1">
        <v>0</v>
      </c>
      <c r="AE116" s="1">
        <v>53760</v>
      </c>
      <c r="AF116" s="1">
        <v>0</v>
      </c>
      <c r="AG116" s="1">
        <v>53760</v>
      </c>
      <c r="AH116" s="1">
        <v>48384</v>
      </c>
      <c r="AI116" s="1">
        <v>0</v>
      </c>
      <c r="AJ116" s="1">
        <v>0</v>
      </c>
      <c r="AK116" s="1">
        <v>0</v>
      </c>
      <c r="AL116" s="1">
        <v>48384</v>
      </c>
      <c r="AM116" s="1">
        <v>0</v>
      </c>
      <c r="AN116" s="1">
        <v>48384</v>
      </c>
      <c r="AO116" s="6" t="s">
        <v>215</v>
      </c>
      <c r="AP116" s="6" t="s">
        <v>215</v>
      </c>
      <c r="AQ116" s="6" t="s">
        <v>215</v>
      </c>
      <c r="AR116" s="6" t="s">
        <v>215</v>
      </c>
      <c r="AS116" s="1">
        <v>29030</v>
      </c>
      <c r="AT116" s="1">
        <v>0</v>
      </c>
      <c r="AU116" s="1">
        <v>29030</v>
      </c>
    </row>
    <row r="117" spans="1:47" x14ac:dyDescent="0.3">
      <c r="A117" s="3" t="s">
        <v>46</v>
      </c>
      <c r="B117" s="3" t="s">
        <v>47</v>
      </c>
      <c r="C117" s="3" t="s">
        <v>48</v>
      </c>
      <c r="D117" s="3" t="s">
        <v>49</v>
      </c>
      <c r="E117" s="3" t="s">
        <v>50</v>
      </c>
      <c r="F117" s="3" t="s">
        <v>51</v>
      </c>
      <c r="G117" s="3" t="s">
        <v>150</v>
      </c>
      <c r="H117" s="3" t="s">
        <v>151</v>
      </c>
      <c r="I117" s="3" t="s">
        <v>54</v>
      </c>
      <c r="J117" s="3" t="s">
        <v>55</v>
      </c>
      <c r="K117" s="3" t="s">
        <v>182</v>
      </c>
      <c r="L117" s="3" t="s">
        <v>183</v>
      </c>
      <c r="M117" s="3" t="s">
        <v>184</v>
      </c>
      <c r="N117" s="3" t="s">
        <v>59</v>
      </c>
      <c r="O117" s="3" t="s">
        <v>59</v>
      </c>
      <c r="P117" s="3" t="s">
        <v>59</v>
      </c>
      <c r="Q117" s="3" t="s">
        <v>155</v>
      </c>
      <c r="R117" s="3" t="s">
        <v>61</v>
      </c>
      <c r="S117" s="3" t="s">
        <v>62</v>
      </c>
      <c r="T117" s="1">
        <v>32200</v>
      </c>
      <c r="U117" s="1">
        <v>30900</v>
      </c>
      <c r="V117" s="1">
        <v>0</v>
      </c>
      <c r="W117" s="1">
        <v>4100</v>
      </c>
      <c r="X117" s="1">
        <v>63100</v>
      </c>
      <c r="Y117" s="1">
        <v>4100</v>
      </c>
      <c r="Z117" s="1">
        <v>67200</v>
      </c>
      <c r="AA117" s="1">
        <v>38640</v>
      </c>
      <c r="AB117" s="1">
        <v>30900</v>
      </c>
      <c r="AC117" s="1">
        <v>0</v>
      </c>
      <c r="AD117" s="1">
        <v>4100</v>
      </c>
      <c r="AE117" s="1">
        <v>69540</v>
      </c>
      <c r="AF117" s="1">
        <v>4100</v>
      </c>
      <c r="AG117" s="1">
        <v>73640</v>
      </c>
      <c r="AH117" s="1">
        <v>34776</v>
      </c>
      <c r="AI117" s="1">
        <v>29973</v>
      </c>
      <c r="AJ117" s="1">
        <v>0</v>
      </c>
      <c r="AK117" s="1">
        <v>3690</v>
      </c>
      <c r="AL117" s="1">
        <v>64749</v>
      </c>
      <c r="AM117" s="1">
        <v>3690</v>
      </c>
      <c r="AN117" s="1">
        <v>68439</v>
      </c>
      <c r="AO117" s="6" t="s">
        <v>215</v>
      </c>
      <c r="AP117" s="6" t="s">
        <v>215</v>
      </c>
      <c r="AQ117" s="6" t="s">
        <v>215</v>
      </c>
      <c r="AR117" s="6" t="s">
        <v>215</v>
      </c>
      <c r="AS117" s="1">
        <v>41064</v>
      </c>
      <c r="AT117" s="1">
        <v>0</v>
      </c>
      <c r="AU117" s="1">
        <v>41064</v>
      </c>
    </row>
    <row r="118" spans="1:47" x14ac:dyDescent="0.3">
      <c r="A118" s="3" t="s">
        <v>46</v>
      </c>
      <c r="B118" s="3" t="s">
        <v>47</v>
      </c>
      <c r="C118" s="3" t="s">
        <v>48</v>
      </c>
      <c r="D118" s="3" t="s">
        <v>49</v>
      </c>
      <c r="E118" s="3" t="s">
        <v>50</v>
      </c>
      <c r="F118" s="3" t="s">
        <v>51</v>
      </c>
      <c r="G118" s="3" t="s">
        <v>150</v>
      </c>
      <c r="H118" s="3" t="s">
        <v>151</v>
      </c>
      <c r="I118" s="3" t="s">
        <v>54</v>
      </c>
      <c r="J118" s="3" t="s">
        <v>55</v>
      </c>
      <c r="K118" s="3" t="s">
        <v>182</v>
      </c>
      <c r="L118" s="3" t="s">
        <v>183</v>
      </c>
      <c r="M118" s="3" t="s">
        <v>184</v>
      </c>
      <c r="N118" s="3" t="s">
        <v>59</v>
      </c>
      <c r="O118" s="3" t="s">
        <v>59</v>
      </c>
      <c r="P118" s="3" t="s">
        <v>59</v>
      </c>
      <c r="Q118" s="3" t="s">
        <v>155</v>
      </c>
      <c r="R118" s="3" t="s">
        <v>61</v>
      </c>
      <c r="S118" s="3" t="s">
        <v>71</v>
      </c>
      <c r="T118" s="1">
        <v>9900</v>
      </c>
      <c r="U118" s="1">
        <v>18400</v>
      </c>
      <c r="V118" s="1">
        <v>0</v>
      </c>
      <c r="W118" s="1">
        <v>13100</v>
      </c>
      <c r="X118" s="1">
        <v>28300</v>
      </c>
      <c r="Y118" s="1">
        <v>13100</v>
      </c>
      <c r="Z118" s="1">
        <v>41400</v>
      </c>
      <c r="AA118" s="1">
        <v>11880</v>
      </c>
      <c r="AB118" s="1">
        <v>18400</v>
      </c>
      <c r="AC118" s="1">
        <v>0</v>
      </c>
      <c r="AD118" s="1">
        <v>13100</v>
      </c>
      <c r="AE118" s="1">
        <v>30280</v>
      </c>
      <c r="AF118" s="1">
        <v>13100</v>
      </c>
      <c r="AG118" s="1">
        <v>43380</v>
      </c>
      <c r="AH118" s="1">
        <v>10692</v>
      </c>
      <c r="AI118" s="1">
        <v>17848</v>
      </c>
      <c r="AJ118" s="1">
        <v>0</v>
      </c>
      <c r="AK118" s="1">
        <v>11790</v>
      </c>
      <c r="AL118" s="1">
        <v>28540</v>
      </c>
      <c r="AM118" s="1">
        <v>11790</v>
      </c>
      <c r="AN118" s="1">
        <v>40330</v>
      </c>
      <c r="AO118" s="6" t="s">
        <v>215</v>
      </c>
      <c r="AP118" s="6" t="s">
        <v>215</v>
      </c>
      <c r="AQ118" s="6" t="s">
        <v>215</v>
      </c>
      <c r="AR118" s="6" t="s">
        <v>215</v>
      </c>
      <c r="AS118" s="1">
        <v>24198</v>
      </c>
      <c r="AT118" s="1">
        <v>0</v>
      </c>
      <c r="AU118" s="1">
        <v>24198</v>
      </c>
    </row>
    <row r="119" spans="1:47" x14ac:dyDescent="0.3">
      <c r="A119" s="3" t="s">
        <v>46</v>
      </c>
      <c r="B119" s="3" t="s">
        <v>47</v>
      </c>
      <c r="C119" s="3" t="s">
        <v>48</v>
      </c>
      <c r="D119" s="3" t="s">
        <v>49</v>
      </c>
      <c r="E119" s="3" t="s">
        <v>50</v>
      </c>
      <c r="F119" s="3" t="s">
        <v>51</v>
      </c>
      <c r="G119" s="3" t="s">
        <v>150</v>
      </c>
      <c r="H119" s="3" t="s">
        <v>151</v>
      </c>
      <c r="I119" s="3" t="s">
        <v>54</v>
      </c>
      <c r="J119" s="3" t="s">
        <v>55</v>
      </c>
      <c r="K119" s="3" t="s">
        <v>185</v>
      </c>
      <c r="L119" s="3" t="s">
        <v>186</v>
      </c>
      <c r="M119" s="3" t="s">
        <v>184</v>
      </c>
      <c r="N119" s="3" t="s">
        <v>59</v>
      </c>
      <c r="O119" s="3" t="s">
        <v>59</v>
      </c>
      <c r="P119" s="3" t="s">
        <v>59</v>
      </c>
      <c r="Q119" s="3" t="s">
        <v>155</v>
      </c>
      <c r="R119" s="3" t="s">
        <v>61</v>
      </c>
      <c r="S119" s="3" t="s">
        <v>62</v>
      </c>
      <c r="T119" s="1">
        <v>0</v>
      </c>
      <c r="U119" s="1">
        <v>0</v>
      </c>
      <c r="V119" s="1">
        <v>0</v>
      </c>
      <c r="W119" s="1">
        <v>6400</v>
      </c>
      <c r="X119" s="1">
        <v>0</v>
      </c>
      <c r="Y119" s="1">
        <v>6400</v>
      </c>
      <c r="Z119" s="1">
        <v>6400</v>
      </c>
      <c r="AA119" s="1">
        <v>0</v>
      </c>
      <c r="AB119" s="1">
        <v>0</v>
      </c>
      <c r="AC119" s="1">
        <v>0</v>
      </c>
      <c r="AD119" s="1">
        <v>6400</v>
      </c>
      <c r="AE119" s="1">
        <v>0</v>
      </c>
      <c r="AF119" s="1">
        <v>6400</v>
      </c>
      <c r="AG119" s="1">
        <v>6400</v>
      </c>
      <c r="AH119" s="1">
        <v>0</v>
      </c>
      <c r="AI119" s="1">
        <v>0</v>
      </c>
      <c r="AJ119" s="1">
        <v>0</v>
      </c>
      <c r="AK119" s="1">
        <v>5760</v>
      </c>
      <c r="AL119" s="1">
        <v>0</v>
      </c>
      <c r="AM119" s="1">
        <v>5760</v>
      </c>
      <c r="AN119" s="1">
        <v>5760</v>
      </c>
      <c r="AO119" s="6" t="s">
        <v>215</v>
      </c>
      <c r="AP119" s="6" t="s">
        <v>215</v>
      </c>
      <c r="AQ119" s="6" t="s">
        <v>215</v>
      </c>
      <c r="AR119" s="6" t="s">
        <v>215</v>
      </c>
      <c r="AS119" s="1">
        <v>3456</v>
      </c>
      <c r="AT119" s="1">
        <v>0</v>
      </c>
      <c r="AU119" s="1">
        <v>3456</v>
      </c>
    </row>
    <row r="120" spans="1:47" x14ac:dyDescent="0.3">
      <c r="A120" s="3" t="s">
        <v>46</v>
      </c>
      <c r="B120" s="3" t="s">
        <v>47</v>
      </c>
      <c r="C120" s="3" t="s">
        <v>48</v>
      </c>
      <c r="D120" s="3" t="s">
        <v>49</v>
      </c>
      <c r="E120" s="3" t="s">
        <v>50</v>
      </c>
      <c r="F120" s="3" t="s">
        <v>51</v>
      </c>
      <c r="G120" s="3" t="s">
        <v>150</v>
      </c>
      <c r="H120" s="3" t="s">
        <v>151</v>
      </c>
      <c r="I120" s="3" t="s">
        <v>54</v>
      </c>
      <c r="J120" s="3" t="s">
        <v>55</v>
      </c>
      <c r="K120" s="3" t="s">
        <v>187</v>
      </c>
      <c r="L120" s="3" t="s">
        <v>188</v>
      </c>
      <c r="M120" s="3" t="s">
        <v>189</v>
      </c>
      <c r="N120" s="3" t="s">
        <v>59</v>
      </c>
      <c r="O120" s="3" t="s">
        <v>59</v>
      </c>
      <c r="P120" s="3" t="s">
        <v>59</v>
      </c>
      <c r="Q120" s="3" t="s">
        <v>155</v>
      </c>
      <c r="R120" s="3" t="s">
        <v>61</v>
      </c>
      <c r="S120" s="3" t="s">
        <v>62</v>
      </c>
      <c r="T120" s="1">
        <v>69240</v>
      </c>
      <c r="U120" s="1">
        <v>32500</v>
      </c>
      <c r="V120" s="1">
        <v>0</v>
      </c>
      <c r="W120" s="1">
        <v>697960</v>
      </c>
      <c r="X120" s="1">
        <v>101740</v>
      </c>
      <c r="Y120" s="1">
        <v>697960</v>
      </c>
      <c r="Z120" s="1">
        <v>799700</v>
      </c>
      <c r="AA120" s="1">
        <v>83088</v>
      </c>
      <c r="AB120" s="1">
        <v>32500</v>
      </c>
      <c r="AC120" s="1">
        <v>0</v>
      </c>
      <c r="AD120" s="1">
        <v>697960</v>
      </c>
      <c r="AE120" s="1">
        <v>115588</v>
      </c>
      <c r="AF120" s="1">
        <v>697960</v>
      </c>
      <c r="AG120" s="1">
        <v>813548</v>
      </c>
      <c r="AH120" s="1">
        <v>74779.199999999997</v>
      </c>
      <c r="AI120" s="1">
        <v>31525</v>
      </c>
      <c r="AJ120" s="1">
        <v>0</v>
      </c>
      <c r="AK120" s="1">
        <v>628164</v>
      </c>
      <c r="AL120" s="1">
        <v>106304.2</v>
      </c>
      <c r="AM120" s="1">
        <v>628164</v>
      </c>
      <c r="AN120" s="1">
        <v>734468.2</v>
      </c>
      <c r="AO120" s="6" t="s">
        <v>215</v>
      </c>
      <c r="AP120" s="6" t="s">
        <v>215</v>
      </c>
      <c r="AQ120" s="6" t="s">
        <v>215</v>
      </c>
      <c r="AR120" s="6" t="s">
        <v>215</v>
      </c>
      <c r="AS120" s="1">
        <v>440681</v>
      </c>
      <c r="AT120" s="1">
        <v>0</v>
      </c>
      <c r="AU120" s="1">
        <v>440681</v>
      </c>
    </row>
    <row r="121" spans="1:47" x14ac:dyDescent="0.3">
      <c r="A121" s="3" t="s">
        <v>46</v>
      </c>
      <c r="B121" s="3" t="s">
        <v>47</v>
      </c>
      <c r="C121" s="3" t="s">
        <v>48</v>
      </c>
      <c r="D121" s="3" t="s">
        <v>49</v>
      </c>
      <c r="E121" s="3" t="s">
        <v>50</v>
      </c>
      <c r="F121" s="3" t="s">
        <v>51</v>
      </c>
      <c r="G121" s="3" t="s">
        <v>150</v>
      </c>
      <c r="H121" s="3" t="s">
        <v>151</v>
      </c>
      <c r="I121" s="3" t="s">
        <v>54</v>
      </c>
      <c r="J121" s="3" t="s">
        <v>55</v>
      </c>
      <c r="K121" s="3" t="s">
        <v>187</v>
      </c>
      <c r="L121" s="3" t="s">
        <v>188</v>
      </c>
      <c r="M121" s="3" t="s">
        <v>189</v>
      </c>
      <c r="N121" s="3" t="s">
        <v>59</v>
      </c>
      <c r="O121" s="3" t="s">
        <v>59</v>
      </c>
      <c r="P121" s="3" t="s">
        <v>59</v>
      </c>
      <c r="Q121" s="3" t="s">
        <v>155</v>
      </c>
      <c r="R121" s="3" t="s">
        <v>61</v>
      </c>
      <c r="S121" s="3" t="s">
        <v>63</v>
      </c>
      <c r="T121" s="1">
        <v>41199</v>
      </c>
      <c r="U121" s="1">
        <v>60201</v>
      </c>
      <c r="V121" s="1">
        <v>19000</v>
      </c>
      <c r="W121" s="1">
        <v>271700</v>
      </c>
      <c r="X121" s="1">
        <v>120400</v>
      </c>
      <c r="Y121" s="1">
        <v>271700</v>
      </c>
      <c r="Z121" s="1">
        <v>392100</v>
      </c>
      <c r="AA121" s="1">
        <v>49439</v>
      </c>
      <c r="AB121" s="1">
        <v>60201</v>
      </c>
      <c r="AC121" s="1">
        <v>22800</v>
      </c>
      <c r="AD121" s="1">
        <v>271700</v>
      </c>
      <c r="AE121" s="1">
        <v>132440</v>
      </c>
      <c r="AF121" s="1">
        <v>271700</v>
      </c>
      <c r="AG121" s="1">
        <v>404140</v>
      </c>
      <c r="AH121" s="1">
        <v>44495.1</v>
      </c>
      <c r="AI121" s="1">
        <v>58394.97</v>
      </c>
      <c r="AJ121" s="1">
        <v>15960</v>
      </c>
      <c r="AK121" s="1">
        <v>244530</v>
      </c>
      <c r="AL121" s="1">
        <v>118850.07</v>
      </c>
      <c r="AM121" s="1">
        <v>244530</v>
      </c>
      <c r="AN121" s="1">
        <v>363380.07</v>
      </c>
      <c r="AO121" s="6" t="s">
        <v>215</v>
      </c>
      <c r="AP121" s="6" t="s">
        <v>215</v>
      </c>
      <c r="AQ121" s="6" t="s">
        <v>215</v>
      </c>
      <c r="AR121" s="6" t="s">
        <v>215</v>
      </c>
      <c r="AS121" s="1">
        <v>218028</v>
      </c>
      <c r="AT121" s="1">
        <v>0</v>
      </c>
      <c r="AU121" s="1">
        <v>218028</v>
      </c>
    </row>
    <row r="122" spans="1:47" x14ac:dyDescent="0.3">
      <c r="A122" s="3" t="s">
        <v>46</v>
      </c>
      <c r="B122" s="3" t="s">
        <v>47</v>
      </c>
      <c r="C122" s="3" t="s">
        <v>48</v>
      </c>
      <c r="D122" s="3" t="s">
        <v>49</v>
      </c>
      <c r="E122" s="3" t="s">
        <v>50</v>
      </c>
      <c r="F122" s="3" t="s">
        <v>51</v>
      </c>
      <c r="G122" s="3" t="s">
        <v>150</v>
      </c>
      <c r="H122" s="3" t="s">
        <v>151</v>
      </c>
      <c r="I122" s="3" t="s">
        <v>54</v>
      </c>
      <c r="J122" s="3" t="s">
        <v>55</v>
      </c>
      <c r="K122" s="3" t="s">
        <v>187</v>
      </c>
      <c r="L122" s="3" t="s">
        <v>188</v>
      </c>
      <c r="M122" s="3" t="s">
        <v>189</v>
      </c>
      <c r="N122" s="3" t="s">
        <v>59</v>
      </c>
      <c r="O122" s="3" t="s">
        <v>59</v>
      </c>
      <c r="P122" s="3" t="s">
        <v>59</v>
      </c>
      <c r="Q122" s="3" t="s">
        <v>155</v>
      </c>
      <c r="R122" s="3" t="s">
        <v>61</v>
      </c>
      <c r="S122" s="3" t="s">
        <v>63</v>
      </c>
      <c r="T122" s="1">
        <v>54050</v>
      </c>
      <c r="U122" s="1">
        <v>108650</v>
      </c>
      <c r="V122" s="1">
        <v>0</v>
      </c>
      <c r="W122" s="1">
        <v>92300</v>
      </c>
      <c r="X122" s="1">
        <v>162700</v>
      </c>
      <c r="Y122" s="1">
        <v>92300</v>
      </c>
      <c r="Z122" s="1">
        <v>255000</v>
      </c>
      <c r="AA122" s="1">
        <v>64860</v>
      </c>
      <c r="AB122" s="1">
        <v>108650</v>
      </c>
      <c r="AC122" s="1">
        <v>0</v>
      </c>
      <c r="AD122" s="1">
        <v>92300</v>
      </c>
      <c r="AE122" s="1">
        <v>173510</v>
      </c>
      <c r="AF122" s="1">
        <v>92300</v>
      </c>
      <c r="AG122" s="1">
        <v>265810</v>
      </c>
      <c r="AH122" s="1">
        <v>58374</v>
      </c>
      <c r="AI122" s="1">
        <v>105390.5</v>
      </c>
      <c r="AJ122" s="1">
        <v>0</v>
      </c>
      <c r="AK122" s="1">
        <v>83070</v>
      </c>
      <c r="AL122" s="1">
        <v>163764.5</v>
      </c>
      <c r="AM122" s="1">
        <v>83070</v>
      </c>
      <c r="AN122" s="1">
        <v>246834.5</v>
      </c>
      <c r="AO122" s="6" t="s">
        <v>215</v>
      </c>
      <c r="AP122" s="6" t="s">
        <v>215</v>
      </c>
      <c r="AQ122" s="6" t="s">
        <v>215</v>
      </c>
      <c r="AR122" s="6" t="s">
        <v>215</v>
      </c>
      <c r="AS122" s="1">
        <v>148100</v>
      </c>
      <c r="AT122" s="1">
        <v>0</v>
      </c>
      <c r="AU122" s="1">
        <v>148100</v>
      </c>
    </row>
    <row r="123" spans="1:47" x14ac:dyDescent="0.3">
      <c r="A123" s="3" t="s">
        <v>46</v>
      </c>
      <c r="B123" s="3" t="s">
        <v>47</v>
      </c>
      <c r="C123" s="3" t="s">
        <v>48</v>
      </c>
      <c r="D123" s="3" t="s">
        <v>49</v>
      </c>
      <c r="E123" s="3" t="s">
        <v>50</v>
      </c>
      <c r="F123" s="3" t="s">
        <v>51</v>
      </c>
      <c r="G123" s="3" t="s">
        <v>150</v>
      </c>
      <c r="H123" s="3" t="s">
        <v>151</v>
      </c>
      <c r="I123" s="3" t="s">
        <v>54</v>
      </c>
      <c r="J123" s="3" t="s">
        <v>55</v>
      </c>
      <c r="K123" s="3" t="s">
        <v>187</v>
      </c>
      <c r="L123" s="3" t="s">
        <v>188</v>
      </c>
      <c r="M123" s="3" t="s">
        <v>189</v>
      </c>
      <c r="N123" s="3" t="s">
        <v>59</v>
      </c>
      <c r="O123" s="3" t="s">
        <v>59</v>
      </c>
      <c r="P123" s="3" t="s">
        <v>59</v>
      </c>
      <c r="Q123" s="3" t="s">
        <v>155</v>
      </c>
      <c r="R123" s="3" t="s">
        <v>61</v>
      </c>
      <c r="S123" s="3" t="s">
        <v>63</v>
      </c>
      <c r="T123" s="1">
        <v>81900</v>
      </c>
      <c r="U123" s="1">
        <v>48800</v>
      </c>
      <c r="V123" s="1">
        <v>-9100</v>
      </c>
      <c r="W123" s="1">
        <v>39200</v>
      </c>
      <c r="X123" s="1">
        <v>121600</v>
      </c>
      <c r="Y123" s="1">
        <v>39200</v>
      </c>
      <c r="Z123" s="1">
        <v>160800</v>
      </c>
      <c r="AA123" s="1">
        <v>98280</v>
      </c>
      <c r="AB123" s="1">
        <v>48800</v>
      </c>
      <c r="AC123" s="1">
        <v>-10920</v>
      </c>
      <c r="AD123" s="1">
        <v>39200</v>
      </c>
      <c r="AE123" s="1">
        <v>136160</v>
      </c>
      <c r="AF123" s="1">
        <v>39200</v>
      </c>
      <c r="AG123" s="1">
        <v>175360</v>
      </c>
      <c r="AH123" s="1">
        <v>88452</v>
      </c>
      <c r="AI123" s="1">
        <v>47336</v>
      </c>
      <c r="AJ123" s="1">
        <v>-7644</v>
      </c>
      <c r="AK123" s="1">
        <v>35280</v>
      </c>
      <c r="AL123" s="1">
        <v>128144</v>
      </c>
      <c r="AM123" s="1">
        <v>35280</v>
      </c>
      <c r="AN123" s="1">
        <v>163424</v>
      </c>
      <c r="AO123" s="6" t="s">
        <v>215</v>
      </c>
      <c r="AP123" s="6" t="s">
        <v>215</v>
      </c>
      <c r="AQ123" s="6" t="s">
        <v>215</v>
      </c>
      <c r="AR123" s="6" t="s">
        <v>215</v>
      </c>
      <c r="AS123" s="1">
        <v>98055</v>
      </c>
      <c r="AT123" s="1">
        <v>0</v>
      </c>
      <c r="AU123" s="1">
        <v>98055</v>
      </c>
    </row>
    <row r="124" spans="1:47" x14ac:dyDescent="0.3">
      <c r="A124" s="3" t="s">
        <v>46</v>
      </c>
      <c r="B124" s="3" t="s">
        <v>47</v>
      </c>
      <c r="C124" s="3" t="s">
        <v>48</v>
      </c>
      <c r="D124" s="3" t="s">
        <v>49</v>
      </c>
      <c r="E124" s="3" t="s">
        <v>50</v>
      </c>
      <c r="F124" s="3" t="s">
        <v>51</v>
      </c>
      <c r="G124" s="3" t="s">
        <v>150</v>
      </c>
      <c r="H124" s="3" t="s">
        <v>151</v>
      </c>
      <c r="I124" s="3" t="s">
        <v>54</v>
      </c>
      <c r="J124" s="3" t="s">
        <v>55</v>
      </c>
      <c r="K124" s="3" t="s">
        <v>190</v>
      </c>
      <c r="L124" s="3" t="s">
        <v>191</v>
      </c>
      <c r="M124" s="3" t="s">
        <v>192</v>
      </c>
      <c r="N124" s="3" t="s">
        <v>59</v>
      </c>
      <c r="O124" s="3" t="s">
        <v>59</v>
      </c>
      <c r="P124" s="3" t="s">
        <v>59</v>
      </c>
      <c r="Q124" s="3" t="s">
        <v>155</v>
      </c>
      <c r="R124" s="3" t="s">
        <v>61</v>
      </c>
      <c r="S124" s="3" t="s">
        <v>62</v>
      </c>
      <c r="T124" s="1">
        <v>12800</v>
      </c>
      <c r="U124" s="1">
        <v>0</v>
      </c>
      <c r="V124" s="1">
        <v>0</v>
      </c>
      <c r="W124" s="1">
        <v>0</v>
      </c>
      <c r="X124" s="1">
        <v>12800</v>
      </c>
      <c r="Y124" s="1">
        <v>0</v>
      </c>
      <c r="Z124" s="1">
        <v>12800</v>
      </c>
      <c r="AA124" s="1">
        <v>15360</v>
      </c>
      <c r="AB124" s="1">
        <v>0</v>
      </c>
      <c r="AC124" s="1">
        <v>0</v>
      </c>
      <c r="AD124" s="1">
        <v>0</v>
      </c>
      <c r="AE124" s="1">
        <v>15360</v>
      </c>
      <c r="AF124" s="1">
        <v>0</v>
      </c>
      <c r="AG124" s="1">
        <v>15360</v>
      </c>
      <c r="AH124" s="1">
        <v>13824</v>
      </c>
      <c r="AI124" s="1">
        <v>0</v>
      </c>
      <c r="AJ124" s="1">
        <v>0</v>
      </c>
      <c r="AK124" s="1">
        <v>0</v>
      </c>
      <c r="AL124" s="1">
        <v>13824</v>
      </c>
      <c r="AM124" s="1">
        <v>0</v>
      </c>
      <c r="AN124" s="1">
        <v>13824</v>
      </c>
      <c r="AO124" s="6" t="s">
        <v>215</v>
      </c>
      <c r="AP124" s="6" t="s">
        <v>215</v>
      </c>
      <c r="AQ124" s="6" t="s">
        <v>215</v>
      </c>
      <c r="AR124" s="6" t="s">
        <v>215</v>
      </c>
      <c r="AS124" s="1">
        <v>8294</v>
      </c>
      <c r="AT124" s="1">
        <v>0</v>
      </c>
      <c r="AU124" s="1">
        <v>8294</v>
      </c>
    </row>
    <row r="125" spans="1:47" x14ac:dyDescent="0.3">
      <c r="A125" s="3" t="s">
        <v>46</v>
      </c>
      <c r="B125" s="3" t="s">
        <v>47</v>
      </c>
      <c r="C125" s="3" t="s">
        <v>48</v>
      </c>
      <c r="D125" s="3" t="s">
        <v>49</v>
      </c>
      <c r="E125" s="3" t="s">
        <v>50</v>
      </c>
      <c r="F125" s="3" t="s">
        <v>51</v>
      </c>
      <c r="G125" s="3" t="s">
        <v>150</v>
      </c>
      <c r="H125" s="3" t="s">
        <v>151</v>
      </c>
      <c r="I125" s="3" t="s">
        <v>54</v>
      </c>
      <c r="J125" s="3" t="s">
        <v>55</v>
      </c>
      <c r="K125" s="3" t="s">
        <v>193</v>
      </c>
      <c r="L125" s="3" t="s">
        <v>194</v>
      </c>
      <c r="M125" s="3" t="s">
        <v>195</v>
      </c>
      <c r="N125" s="3" t="s">
        <v>59</v>
      </c>
      <c r="O125" s="3" t="s">
        <v>59</v>
      </c>
      <c r="P125" s="3" t="s">
        <v>59</v>
      </c>
      <c r="Q125" s="3" t="s">
        <v>155</v>
      </c>
      <c r="R125" s="3" t="s">
        <v>61</v>
      </c>
      <c r="S125" s="3" t="s">
        <v>62</v>
      </c>
      <c r="T125" s="1">
        <v>6400</v>
      </c>
      <c r="U125" s="1">
        <v>24900</v>
      </c>
      <c r="V125" s="1">
        <v>0</v>
      </c>
      <c r="W125" s="1">
        <v>7100</v>
      </c>
      <c r="X125" s="1">
        <v>31300</v>
      </c>
      <c r="Y125" s="1">
        <v>7100</v>
      </c>
      <c r="Z125" s="1">
        <v>38400</v>
      </c>
      <c r="AA125" s="1">
        <v>7680</v>
      </c>
      <c r="AB125" s="1">
        <v>24900</v>
      </c>
      <c r="AC125" s="1">
        <v>0</v>
      </c>
      <c r="AD125" s="1">
        <v>7100</v>
      </c>
      <c r="AE125" s="1">
        <v>32580</v>
      </c>
      <c r="AF125" s="1">
        <v>7100</v>
      </c>
      <c r="AG125" s="1">
        <v>39680</v>
      </c>
      <c r="AH125" s="1">
        <v>6912</v>
      </c>
      <c r="AI125" s="1">
        <v>24153</v>
      </c>
      <c r="AJ125" s="1">
        <v>0</v>
      </c>
      <c r="AK125" s="1">
        <v>6390</v>
      </c>
      <c r="AL125" s="1">
        <v>31065</v>
      </c>
      <c r="AM125" s="1">
        <v>6390</v>
      </c>
      <c r="AN125" s="1">
        <v>37455</v>
      </c>
      <c r="AO125" s="6" t="s">
        <v>215</v>
      </c>
      <c r="AP125" s="6" t="s">
        <v>215</v>
      </c>
      <c r="AQ125" s="6" t="s">
        <v>215</v>
      </c>
      <c r="AR125" s="6" t="s">
        <v>215</v>
      </c>
      <c r="AS125" s="1">
        <v>22473</v>
      </c>
      <c r="AT125" s="1">
        <v>0</v>
      </c>
      <c r="AU125" s="1">
        <v>22473</v>
      </c>
    </row>
    <row r="126" spans="1:47" x14ac:dyDescent="0.3">
      <c r="A126" s="3" t="s">
        <v>46</v>
      </c>
      <c r="B126" s="3" t="s">
        <v>47</v>
      </c>
      <c r="C126" s="3" t="s">
        <v>48</v>
      </c>
      <c r="D126" s="3" t="s">
        <v>49</v>
      </c>
      <c r="E126" s="3" t="s">
        <v>50</v>
      </c>
      <c r="F126" s="3" t="s">
        <v>51</v>
      </c>
      <c r="G126" s="3" t="s">
        <v>150</v>
      </c>
      <c r="H126" s="3" t="s">
        <v>151</v>
      </c>
      <c r="I126" s="3" t="s">
        <v>54</v>
      </c>
      <c r="J126" s="3" t="s">
        <v>55</v>
      </c>
      <c r="K126" s="3" t="s">
        <v>196</v>
      </c>
      <c r="L126" s="3" t="s">
        <v>197</v>
      </c>
      <c r="M126" s="3" t="s">
        <v>198</v>
      </c>
      <c r="N126" s="3" t="s">
        <v>59</v>
      </c>
      <c r="O126" s="3" t="s">
        <v>59</v>
      </c>
      <c r="P126" s="3" t="s">
        <v>59</v>
      </c>
      <c r="Q126" s="3" t="s">
        <v>155</v>
      </c>
      <c r="R126" s="3" t="s">
        <v>61</v>
      </c>
      <c r="S126" s="3" t="s">
        <v>62</v>
      </c>
      <c r="T126" s="1">
        <v>106300</v>
      </c>
      <c r="U126" s="1">
        <v>50500</v>
      </c>
      <c r="V126" s="1">
        <v>12200</v>
      </c>
      <c r="W126" s="1">
        <v>171000</v>
      </c>
      <c r="X126" s="1">
        <v>169000</v>
      </c>
      <c r="Y126" s="1">
        <v>171000</v>
      </c>
      <c r="Z126" s="1">
        <v>340000</v>
      </c>
      <c r="AA126" s="1">
        <v>127560</v>
      </c>
      <c r="AB126" s="1">
        <v>50500</v>
      </c>
      <c r="AC126" s="1">
        <v>14640</v>
      </c>
      <c r="AD126" s="1">
        <v>171000</v>
      </c>
      <c r="AE126" s="1">
        <v>192700</v>
      </c>
      <c r="AF126" s="1">
        <v>171000</v>
      </c>
      <c r="AG126" s="1">
        <v>363700</v>
      </c>
      <c r="AH126" s="1">
        <v>114804</v>
      </c>
      <c r="AI126" s="1">
        <v>48985</v>
      </c>
      <c r="AJ126" s="1">
        <v>10248</v>
      </c>
      <c r="AK126" s="1">
        <v>153900</v>
      </c>
      <c r="AL126" s="1">
        <v>174037</v>
      </c>
      <c r="AM126" s="1">
        <v>153900</v>
      </c>
      <c r="AN126" s="1">
        <v>327937</v>
      </c>
      <c r="AO126" s="6" t="s">
        <v>215</v>
      </c>
      <c r="AP126" s="6" t="s">
        <v>215</v>
      </c>
      <c r="AQ126" s="6" t="s">
        <v>215</v>
      </c>
      <c r="AR126" s="6" t="s">
        <v>215</v>
      </c>
      <c r="AS126" s="1">
        <v>196762</v>
      </c>
      <c r="AT126" s="1">
        <v>0</v>
      </c>
      <c r="AU126" s="1">
        <v>196762</v>
      </c>
    </row>
    <row r="127" spans="1:47" x14ac:dyDescent="0.3">
      <c r="A127" s="3" t="s">
        <v>46</v>
      </c>
      <c r="B127" s="3" t="s">
        <v>47</v>
      </c>
      <c r="C127" s="3" t="s">
        <v>48</v>
      </c>
      <c r="D127" s="3" t="s">
        <v>49</v>
      </c>
      <c r="E127" s="3" t="s">
        <v>50</v>
      </c>
      <c r="F127" s="3" t="s">
        <v>51</v>
      </c>
      <c r="G127" s="3" t="s">
        <v>150</v>
      </c>
      <c r="H127" s="3" t="s">
        <v>151</v>
      </c>
      <c r="I127" s="3" t="s">
        <v>54</v>
      </c>
      <c r="J127" s="3" t="s">
        <v>55</v>
      </c>
      <c r="K127" s="3" t="s">
        <v>199</v>
      </c>
      <c r="L127" s="3" t="s">
        <v>200</v>
      </c>
      <c r="M127" s="3" t="s">
        <v>198</v>
      </c>
      <c r="N127" s="3" t="s">
        <v>59</v>
      </c>
      <c r="O127" s="3" t="s">
        <v>59</v>
      </c>
      <c r="P127" s="3" t="s">
        <v>59</v>
      </c>
      <c r="Q127" s="3" t="s">
        <v>155</v>
      </c>
      <c r="R127" s="3" t="s">
        <v>61</v>
      </c>
      <c r="S127" s="3" t="s">
        <v>62</v>
      </c>
      <c r="T127" s="1">
        <v>27000</v>
      </c>
      <c r="U127" s="1">
        <v>59700</v>
      </c>
      <c r="V127" s="1">
        <v>0</v>
      </c>
      <c r="W127" s="1">
        <v>12500</v>
      </c>
      <c r="X127" s="1">
        <v>86700</v>
      </c>
      <c r="Y127" s="1">
        <v>12500</v>
      </c>
      <c r="Z127" s="1">
        <v>99200</v>
      </c>
      <c r="AA127" s="1">
        <v>32400</v>
      </c>
      <c r="AB127" s="1">
        <v>59700</v>
      </c>
      <c r="AC127" s="1">
        <v>0</v>
      </c>
      <c r="AD127" s="1">
        <v>12500</v>
      </c>
      <c r="AE127" s="1">
        <v>92100</v>
      </c>
      <c r="AF127" s="1">
        <v>12500</v>
      </c>
      <c r="AG127" s="1">
        <v>104600</v>
      </c>
      <c r="AH127" s="1">
        <v>29160</v>
      </c>
      <c r="AI127" s="1">
        <v>57909</v>
      </c>
      <c r="AJ127" s="1">
        <v>0</v>
      </c>
      <c r="AK127" s="1">
        <v>11250</v>
      </c>
      <c r="AL127" s="1">
        <v>87069</v>
      </c>
      <c r="AM127" s="1">
        <v>11250</v>
      </c>
      <c r="AN127" s="1">
        <v>98319</v>
      </c>
      <c r="AO127" s="6" t="s">
        <v>215</v>
      </c>
      <c r="AP127" s="6" t="s">
        <v>215</v>
      </c>
      <c r="AQ127" s="6" t="s">
        <v>215</v>
      </c>
      <c r="AR127" s="6" t="s">
        <v>215</v>
      </c>
      <c r="AS127" s="1">
        <v>58991</v>
      </c>
      <c r="AT127" s="1">
        <v>0</v>
      </c>
      <c r="AU127" s="1">
        <v>58991</v>
      </c>
    </row>
    <row r="128" spans="1:47" x14ac:dyDescent="0.3">
      <c r="A128" s="3" t="s">
        <v>46</v>
      </c>
      <c r="B128" s="3" t="s">
        <v>47</v>
      </c>
      <c r="C128" s="3" t="s">
        <v>48</v>
      </c>
      <c r="D128" s="3" t="s">
        <v>49</v>
      </c>
      <c r="E128" s="3" t="s">
        <v>50</v>
      </c>
      <c r="F128" s="3" t="s">
        <v>51</v>
      </c>
      <c r="G128" s="3" t="s">
        <v>150</v>
      </c>
      <c r="H128" s="3" t="s">
        <v>151</v>
      </c>
      <c r="I128" s="3" t="s">
        <v>54</v>
      </c>
      <c r="J128" s="3" t="s">
        <v>55</v>
      </c>
      <c r="K128" s="3" t="s">
        <v>201</v>
      </c>
      <c r="L128" s="3" t="s">
        <v>202</v>
      </c>
      <c r="M128" s="3" t="s">
        <v>198</v>
      </c>
      <c r="N128" s="3" t="s">
        <v>59</v>
      </c>
      <c r="O128" s="3" t="s">
        <v>59</v>
      </c>
      <c r="P128" s="3" t="s">
        <v>59</v>
      </c>
      <c r="Q128" s="3" t="s">
        <v>155</v>
      </c>
      <c r="R128" s="3" t="s">
        <v>61</v>
      </c>
      <c r="S128" s="3" t="s">
        <v>62</v>
      </c>
      <c r="T128" s="1">
        <v>1004700</v>
      </c>
      <c r="U128" s="1">
        <v>689900</v>
      </c>
      <c r="V128" s="1">
        <v>0</v>
      </c>
      <c r="W128" s="1">
        <v>167800</v>
      </c>
      <c r="X128" s="1">
        <v>1694600</v>
      </c>
      <c r="Y128" s="1">
        <v>167800</v>
      </c>
      <c r="Z128" s="1">
        <v>1862400</v>
      </c>
      <c r="AA128" s="1">
        <v>1205640</v>
      </c>
      <c r="AB128" s="1">
        <v>689900</v>
      </c>
      <c r="AC128" s="1">
        <v>0</v>
      </c>
      <c r="AD128" s="1">
        <v>167800</v>
      </c>
      <c r="AE128" s="1">
        <v>1895540</v>
      </c>
      <c r="AF128" s="1">
        <v>167800</v>
      </c>
      <c r="AG128" s="1">
        <v>2063340</v>
      </c>
      <c r="AH128" s="1">
        <v>1085076</v>
      </c>
      <c r="AI128" s="1">
        <v>669203</v>
      </c>
      <c r="AJ128" s="1">
        <v>0</v>
      </c>
      <c r="AK128" s="1">
        <v>151020</v>
      </c>
      <c r="AL128" s="1">
        <v>1754279</v>
      </c>
      <c r="AM128" s="1">
        <v>151020</v>
      </c>
      <c r="AN128" s="1">
        <v>1905299</v>
      </c>
      <c r="AO128" s="6" t="s">
        <v>215</v>
      </c>
      <c r="AP128" s="6" t="s">
        <v>215</v>
      </c>
      <c r="AQ128" s="6" t="s">
        <v>215</v>
      </c>
      <c r="AR128" s="6" t="s">
        <v>215</v>
      </c>
      <c r="AS128" s="1">
        <v>1143180</v>
      </c>
      <c r="AT128" s="1">
        <v>0</v>
      </c>
      <c r="AU128" s="1">
        <v>1143180</v>
      </c>
    </row>
    <row r="129" spans="1:47" x14ac:dyDescent="0.3">
      <c r="A129" s="3" t="s">
        <v>46</v>
      </c>
      <c r="B129" s="3" t="s">
        <v>47</v>
      </c>
      <c r="C129" s="3" t="s">
        <v>48</v>
      </c>
      <c r="D129" s="3" t="s">
        <v>49</v>
      </c>
      <c r="E129" s="3" t="s">
        <v>50</v>
      </c>
      <c r="F129" s="3" t="s">
        <v>51</v>
      </c>
      <c r="G129" s="3" t="s">
        <v>150</v>
      </c>
      <c r="H129" s="3" t="s">
        <v>151</v>
      </c>
      <c r="I129" s="3" t="s">
        <v>54</v>
      </c>
      <c r="J129" s="3" t="s">
        <v>55</v>
      </c>
      <c r="K129" s="3" t="s">
        <v>203</v>
      </c>
      <c r="L129" s="3" t="s">
        <v>204</v>
      </c>
      <c r="M129" s="3" t="s">
        <v>198</v>
      </c>
      <c r="N129" s="3" t="s">
        <v>59</v>
      </c>
      <c r="O129" s="3" t="s">
        <v>59</v>
      </c>
      <c r="P129" s="3" t="s">
        <v>59</v>
      </c>
      <c r="Q129" s="3" t="s">
        <v>155</v>
      </c>
      <c r="R129" s="3" t="s">
        <v>61</v>
      </c>
      <c r="S129" s="3" t="s">
        <v>62</v>
      </c>
      <c r="T129" s="1">
        <v>171400</v>
      </c>
      <c r="U129" s="1">
        <v>67800</v>
      </c>
      <c r="V129" s="1">
        <v>0</v>
      </c>
      <c r="W129" s="1">
        <v>10400</v>
      </c>
      <c r="X129" s="1">
        <v>239200</v>
      </c>
      <c r="Y129" s="1">
        <v>10400</v>
      </c>
      <c r="Z129" s="1">
        <v>249600</v>
      </c>
      <c r="AA129" s="1">
        <v>205680</v>
      </c>
      <c r="AB129" s="1">
        <v>67800</v>
      </c>
      <c r="AC129" s="1">
        <v>0</v>
      </c>
      <c r="AD129" s="1">
        <v>10400</v>
      </c>
      <c r="AE129" s="1">
        <v>273480</v>
      </c>
      <c r="AF129" s="1">
        <v>10400</v>
      </c>
      <c r="AG129" s="1">
        <v>283880</v>
      </c>
      <c r="AH129" s="1">
        <v>185112</v>
      </c>
      <c r="AI129" s="1">
        <v>65766</v>
      </c>
      <c r="AJ129" s="1">
        <v>0</v>
      </c>
      <c r="AK129" s="1">
        <v>9360</v>
      </c>
      <c r="AL129" s="1">
        <v>250878</v>
      </c>
      <c r="AM129" s="1">
        <v>9360</v>
      </c>
      <c r="AN129" s="1">
        <v>260238</v>
      </c>
      <c r="AO129" s="6" t="s">
        <v>215</v>
      </c>
      <c r="AP129" s="6" t="s">
        <v>215</v>
      </c>
      <c r="AQ129" s="6" t="s">
        <v>215</v>
      </c>
      <c r="AR129" s="6" t="s">
        <v>215</v>
      </c>
      <c r="AS129" s="1">
        <v>156143</v>
      </c>
      <c r="AT129" s="1">
        <v>0</v>
      </c>
      <c r="AU129" s="1">
        <v>156143</v>
      </c>
    </row>
    <row r="130" spans="1:47" x14ac:dyDescent="0.3">
      <c r="A130" s="3" t="s">
        <v>46</v>
      </c>
      <c r="B130" s="3" t="s">
        <v>47</v>
      </c>
      <c r="C130" s="3" t="s">
        <v>48</v>
      </c>
      <c r="D130" s="3" t="s">
        <v>49</v>
      </c>
      <c r="E130" s="3" t="s">
        <v>50</v>
      </c>
      <c r="F130" s="3" t="s">
        <v>51</v>
      </c>
      <c r="G130" s="3" t="s">
        <v>150</v>
      </c>
      <c r="H130" s="3" t="s">
        <v>151</v>
      </c>
      <c r="I130" s="3" t="s">
        <v>54</v>
      </c>
      <c r="J130" s="3" t="s">
        <v>55</v>
      </c>
      <c r="K130" s="3" t="s">
        <v>205</v>
      </c>
      <c r="L130" s="3" t="s">
        <v>206</v>
      </c>
      <c r="M130" s="3" t="s">
        <v>198</v>
      </c>
      <c r="N130" s="3" t="s">
        <v>59</v>
      </c>
      <c r="O130" s="3" t="s">
        <v>59</v>
      </c>
      <c r="P130" s="3" t="s">
        <v>59</v>
      </c>
      <c r="Q130" s="3" t="s">
        <v>155</v>
      </c>
      <c r="R130" s="3" t="s">
        <v>61</v>
      </c>
      <c r="S130" s="3" t="s">
        <v>62</v>
      </c>
      <c r="T130" s="1">
        <v>16200</v>
      </c>
      <c r="U130" s="1">
        <v>29700</v>
      </c>
      <c r="V130" s="1">
        <v>0</v>
      </c>
      <c r="W130" s="1">
        <v>21300</v>
      </c>
      <c r="X130" s="1">
        <v>45900</v>
      </c>
      <c r="Y130" s="1">
        <v>21300</v>
      </c>
      <c r="Z130" s="1">
        <v>67200</v>
      </c>
      <c r="AA130" s="1">
        <v>19440</v>
      </c>
      <c r="AB130" s="1">
        <v>29700</v>
      </c>
      <c r="AC130" s="1">
        <v>0</v>
      </c>
      <c r="AD130" s="1">
        <v>21300</v>
      </c>
      <c r="AE130" s="1">
        <v>49140</v>
      </c>
      <c r="AF130" s="1">
        <v>21300</v>
      </c>
      <c r="AG130" s="1">
        <v>70440</v>
      </c>
      <c r="AH130" s="1">
        <v>17496</v>
      </c>
      <c r="AI130" s="1">
        <v>28809</v>
      </c>
      <c r="AJ130" s="1">
        <v>0</v>
      </c>
      <c r="AK130" s="1">
        <v>19170</v>
      </c>
      <c r="AL130" s="1">
        <v>46305</v>
      </c>
      <c r="AM130" s="1">
        <v>19170</v>
      </c>
      <c r="AN130" s="1">
        <v>65475</v>
      </c>
      <c r="AO130" s="6" t="s">
        <v>215</v>
      </c>
      <c r="AP130" s="6" t="s">
        <v>215</v>
      </c>
      <c r="AQ130" s="6" t="s">
        <v>215</v>
      </c>
      <c r="AR130" s="6" t="s">
        <v>215</v>
      </c>
      <c r="AS130" s="1">
        <v>39285</v>
      </c>
      <c r="AT130" s="1">
        <v>0</v>
      </c>
      <c r="AU130" s="1">
        <v>39285</v>
      </c>
    </row>
    <row r="131" spans="1:47" x14ac:dyDescent="0.3">
      <c r="A131" s="3" t="s">
        <v>46</v>
      </c>
      <c r="B131" s="3" t="s">
        <v>47</v>
      </c>
      <c r="C131" s="3" t="s">
        <v>48</v>
      </c>
      <c r="D131" s="3" t="s">
        <v>49</v>
      </c>
      <c r="E131" s="3" t="s">
        <v>50</v>
      </c>
      <c r="F131" s="3" t="s">
        <v>51</v>
      </c>
      <c r="G131" s="3" t="s">
        <v>150</v>
      </c>
      <c r="H131" s="3" t="s">
        <v>151</v>
      </c>
      <c r="I131" s="3" t="s">
        <v>54</v>
      </c>
      <c r="J131" s="3" t="s">
        <v>55</v>
      </c>
      <c r="K131" s="3" t="s">
        <v>207</v>
      </c>
      <c r="L131" s="3" t="s">
        <v>208</v>
      </c>
      <c r="M131" s="3" t="s">
        <v>209</v>
      </c>
      <c r="N131" s="3" t="s">
        <v>59</v>
      </c>
      <c r="O131" s="3" t="s">
        <v>59</v>
      </c>
      <c r="P131" s="3" t="s">
        <v>59</v>
      </c>
      <c r="Q131" s="3" t="s">
        <v>155</v>
      </c>
      <c r="R131" s="3" t="s">
        <v>61</v>
      </c>
      <c r="S131" s="3" t="s">
        <v>62</v>
      </c>
      <c r="T131" s="1">
        <v>407800</v>
      </c>
      <c r="U131" s="1">
        <v>234190</v>
      </c>
      <c r="V131" s="1">
        <v>16000</v>
      </c>
      <c r="W131" s="1">
        <v>68410</v>
      </c>
      <c r="X131" s="1">
        <v>657990</v>
      </c>
      <c r="Y131" s="1">
        <v>68410</v>
      </c>
      <c r="Z131" s="1">
        <v>726400</v>
      </c>
      <c r="AA131" s="1">
        <v>489360</v>
      </c>
      <c r="AB131" s="1">
        <v>234190</v>
      </c>
      <c r="AC131" s="1">
        <v>19200</v>
      </c>
      <c r="AD131" s="1">
        <v>68410</v>
      </c>
      <c r="AE131" s="1">
        <v>742750</v>
      </c>
      <c r="AF131" s="1">
        <v>68410</v>
      </c>
      <c r="AG131" s="1">
        <v>811160</v>
      </c>
      <c r="AH131" s="1">
        <v>440424</v>
      </c>
      <c r="AI131" s="1">
        <v>227164.3</v>
      </c>
      <c r="AJ131" s="1">
        <v>13440</v>
      </c>
      <c r="AK131" s="1">
        <v>61569</v>
      </c>
      <c r="AL131" s="1">
        <v>681028.3</v>
      </c>
      <c r="AM131" s="1">
        <v>61569</v>
      </c>
      <c r="AN131" s="1">
        <v>742597.3</v>
      </c>
      <c r="AO131" s="6" t="s">
        <v>215</v>
      </c>
      <c r="AP131" s="6" t="s">
        <v>215</v>
      </c>
      <c r="AQ131" s="6" t="s">
        <v>215</v>
      </c>
      <c r="AR131" s="6" t="s">
        <v>215</v>
      </c>
      <c r="AS131" s="1">
        <v>445558</v>
      </c>
      <c r="AT131" s="1">
        <v>0</v>
      </c>
      <c r="AU131" s="1">
        <v>445558</v>
      </c>
    </row>
    <row r="132" spans="1:47" x14ac:dyDescent="0.3">
      <c r="AU132" s="5">
        <f>SUM(AU2:AU131)</f>
        <v>43684478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55"/>
  <sheetViews>
    <sheetView topLeftCell="A10" zoomScale="70" zoomScaleNormal="70" workbookViewId="0">
      <selection activeCell="C56" sqref="C56"/>
    </sheetView>
  </sheetViews>
  <sheetFormatPr defaultRowHeight="16.5" x14ac:dyDescent="0.3"/>
  <cols>
    <col min="2" max="2" width="20" bestFit="1" customWidth="1"/>
    <col min="3" max="3" width="13.625" bestFit="1" customWidth="1"/>
    <col min="4" max="4" width="13" bestFit="1" customWidth="1"/>
  </cols>
  <sheetData>
    <row r="1" spans="1:4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59</v>
      </c>
      <c r="P2" s="3" t="s">
        <v>59</v>
      </c>
      <c r="Q2" s="3" t="s">
        <v>60</v>
      </c>
      <c r="R2" s="3" t="s">
        <v>61</v>
      </c>
      <c r="S2" s="3" t="s">
        <v>62</v>
      </c>
      <c r="T2" s="1">
        <v>5000</v>
      </c>
      <c r="U2" s="1">
        <v>700</v>
      </c>
      <c r="V2" s="1">
        <v>0</v>
      </c>
      <c r="W2" s="1">
        <v>34400</v>
      </c>
      <c r="X2" s="1">
        <v>5700</v>
      </c>
      <c r="Y2" s="1">
        <v>34400</v>
      </c>
      <c r="Z2" s="1">
        <v>40100</v>
      </c>
      <c r="AA2" s="1">
        <v>6000</v>
      </c>
      <c r="AB2" s="1">
        <v>700</v>
      </c>
      <c r="AC2" s="1">
        <v>0</v>
      </c>
      <c r="AD2" s="1">
        <v>34400</v>
      </c>
      <c r="AE2" s="1">
        <v>6700</v>
      </c>
      <c r="AF2" s="1">
        <v>34400</v>
      </c>
      <c r="AG2" s="1">
        <v>41100</v>
      </c>
      <c r="AH2" s="1">
        <v>5400</v>
      </c>
      <c r="AI2" s="1">
        <v>679</v>
      </c>
      <c r="AJ2" s="1">
        <v>0</v>
      </c>
      <c r="AK2" s="1">
        <v>30960</v>
      </c>
      <c r="AL2" s="1">
        <v>6079</v>
      </c>
      <c r="AM2" s="1">
        <v>30960</v>
      </c>
      <c r="AN2" s="1">
        <v>37039</v>
      </c>
      <c r="AO2" s="6" t="s">
        <v>215</v>
      </c>
      <c r="AP2" s="6" t="s">
        <v>215</v>
      </c>
      <c r="AQ2" s="6" t="s">
        <v>215</v>
      </c>
      <c r="AR2" s="6" t="s">
        <v>215</v>
      </c>
      <c r="AS2" s="1">
        <v>22223</v>
      </c>
      <c r="AT2" s="1">
        <v>0</v>
      </c>
      <c r="AU2" s="1">
        <v>22223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59</v>
      </c>
      <c r="P3" s="3" t="s">
        <v>59</v>
      </c>
      <c r="Q3" s="3" t="s">
        <v>60</v>
      </c>
      <c r="R3" s="3" t="s">
        <v>61</v>
      </c>
      <c r="S3" s="3" t="s">
        <v>63</v>
      </c>
      <c r="T3" s="1">
        <v>72000</v>
      </c>
      <c r="U3" s="1">
        <v>15500</v>
      </c>
      <c r="V3" s="1">
        <v>0</v>
      </c>
      <c r="W3" s="1">
        <v>34900</v>
      </c>
      <c r="X3" s="1">
        <v>87500</v>
      </c>
      <c r="Y3" s="1">
        <v>34900</v>
      </c>
      <c r="Z3" s="1">
        <v>122400</v>
      </c>
      <c r="AA3" s="1">
        <v>86400</v>
      </c>
      <c r="AB3" s="1">
        <v>15500</v>
      </c>
      <c r="AC3" s="1">
        <v>0</v>
      </c>
      <c r="AD3" s="1">
        <v>34900</v>
      </c>
      <c r="AE3" s="1">
        <v>101900</v>
      </c>
      <c r="AF3" s="1">
        <v>34900</v>
      </c>
      <c r="AG3" s="1">
        <v>136800</v>
      </c>
      <c r="AH3" s="1">
        <v>77760</v>
      </c>
      <c r="AI3" s="1">
        <v>15035</v>
      </c>
      <c r="AJ3" s="1">
        <v>0</v>
      </c>
      <c r="AK3" s="1">
        <v>31410</v>
      </c>
      <c r="AL3" s="1">
        <v>92795</v>
      </c>
      <c r="AM3" s="1">
        <v>31410</v>
      </c>
      <c r="AN3" s="1">
        <v>124205</v>
      </c>
      <c r="AO3" s="6" t="s">
        <v>215</v>
      </c>
      <c r="AP3" s="6" t="s">
        <v>215</v>
      </c>
      <c r="AQ3" s="6" t="s">
        <v>215</v>
      </c>
      <c r="AR3" s="6" t="s">
        <v>215</v>
      </c>
      <c r="AS3" s="1">
        <v>74523</v>
      </c>
      <c r="AT3" s="1">
        <v>0</v>
      </c>
      <c r="AU3" s="1">
        <v>74523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59</v>
      </c>
      <c r="P4" s="3" t="s">
        <v>59</v>
      </c>
      <c r="Q4" s="3" t="s">
        <v>60</v>
      </c>
      <c r="R4" s="3" t="s">
        <v>61</v>
      </c>
      <c r="S4" s="3" t="s">
        <v>63</v>
      </c>
      <c r="T4" s="1">
        <v>0</v>
      </c>
      <c r="U4" s="1">
        <v>24100</v>
      </c>
      <c r="V4" s="1">
        <v>0</v>
      </c>
      <c r="W4" s="1">
        <v>3500</v>
      </c>
      <c r="X4" s="1">
        <v>24100</v>
      </c>
      <c r="Y4" s="1">
        <v>3500</v>
      </c>
      <c r="Z4" s="1">
        <v>27600</v>
      </c>
      <c r="AA4" s="1">
        <v>0</v>
      </c>
      <c r="AB4" s="1">
        <v>24100</v>
      </c>
      <c r="AC4" s="1">
        <v>0</v>
      </c>
      <c r="AD4" s="1">
        <v>3500</v>
      </c>
      <c r="AE4" s="1">
        <v>24100</v>
      </c>
      <c r="AF4" s="1">
        <v>3500</v>
      </c>
      <c r="AG4" s="1">
        <v>27600</v>
      </c>
      <c r="AH4" s="1">
        <v>0</v>
      </c>
      <c r="AI4" s="1">
        <v>23377</v>
      </c>
      <c r="AJ4" s="1">
        <v>0</v>
      </c>
      <c r="AK4" s="1">
        <v>3150</v>
      </c>
      <c r="AL4" s="1">
        <v>23377</v>
      </c>
      <c r="AM4" s="1">
        <v>3150</v>
      </c>
      <c r="AN4" s="1">
        <v>26527</v>
      </c>
      <c r="AO4" s="6" t="s">
        <v>215</v>
      </c>
      <c r="AP4" s="6" t="s">
        <v>215</v>
      </c>
      <c r="AQ4" s="6" t="s">
        <v>215</v>
      </c>
      <c r="AR4" s="6" t="s">
        <v>215</v>
      </c>
      <c r="AS4" s="1">
        <v>15916</v>
      </c>
      <c r="AT4" s="1">
        <v>0</v>
      </c>
      <c r="AU4" s="1">
        <v>15916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  <c r="O5" s="3" t="s">
        <v>59</v>
      </c>
      <c r="P5" s="3" t="s">
        <v>59</v>
      </c>
      <c r="Q5" s="3" t="s">
        <v>60</v>
      </c>
      <c r="R5" s="3" t="s">
        <v>61</v>
      </c>
      <c r="S5" s="3" t="s">
        <v>63</v>
      </c>
      <c r="T5" s="1">
        <v>0</v>
      </c>
      <c r="U5" s="1">
        <v>12400</v>
      </c>
      <c r="V5" s="1">
        <v>0</v>
      </c>
      <c r="W5" s="1">
        <v>3000</v>
      </c>
      <c r="X5" s="1">
        <v>12400</v>
      </c>
      <c r="Y5" s="1">
        <v>3000</v>
      </c>
      <c r="Z5" s="1">
        <v>15400</v>
      </c>
      <c r="AA5" s="1">
        <v>0</v>
      </c>
      <c r="AB5" s="1">
        <v>12400</v>
      </c>
      <c r="AC5" s="1">
        <v>0</v>
      </c>
      <c r="AD5" s="1">
        <v>3000</v>
      </c>
      <c r="AE5" s="1">
        <v>12400</v>
      </c>
      <c r="AF5" s="1">
        <v>3000</v>
      </c>
      <c r="AG5" s="1">
        <v>15400</v>
      </c>
      <c r="AH5" s="1">
        <v>0</v>
      </c>
      <c r="AI5" s="1">
        <v>12028</v>
      </c>
      <c r="AJ5" s="1">
        <v>0</v>
      </c>
      <c r="AK5" s="1">
        <v>2700</v>
      </c>
      <c r="AL5" s="1">
        <v>12028</v>
      </c>
      <c r="AM5" s="1">
        <v>2700</v>
      </c>
      <c r="AN5" s="1">
        <v>14728</v>
      </c>
      <c r="AO5" s="6" t="s">
        <v>215</v>
      </c>
      <c r="AP5" s="6" t="s">
        <v>215</v>
      </c>
      <c r="AQ5" s="6" t="s">
        <v>215</v>
      </c>
      <c r="AR5" s="6" t="s">
        <v>215</v>
      </c>
      <c r="AS5" s="1">
        <v>8837</v>
      </c>
      <c r="AT5" s="1">
        <v>0</v>
      </c>
      <c r="AU5" s="1">
        <v>8837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64</v>
      </c>
      <c r="L6" s="3" t="s">
        <v>65</v>
      </c>
      <c r="M6" s="3" t="s">
        <v>66</v>
      </c>
      <c r="N6" s="3" t="s">
        <v>59</v>
      </c>
      <c r="O6" s="3" t="s">
        <v>59</v>
      </c>
      <c r="P6" s="3" t="s">
        <v>59</v>
      </c>
      <c r="Q6" s="3" t="s">
        <v>60</v>
      </c>
      <c r="R6" s="3" t="s">
        <v>61</v>
      </c>
      <c r="S6" s="3" t="s">
        <v>62</v>
      </c>
      <c r="T6" s="1">
        <v>2600</v>
      </c>
      <c r="U6" s="1">
        <v>2800</v>
      </c>
      <c r="V6" s="1">
        <v>0</v>
      </c>
      <c r="W6" s="1">
        <v>69000</v>
      </c>
      <c r="X6" s="1">
        <v>5400</v>
      </c>
      <c r="Y6" s="1">
        <v>69000</v>
      </c>
      <c r="Z6" s="1">
        <v>74400</v>
      </c>
      <c r="AA6" s="1">
        <v>3120</v>
      </c>
      <c r="AB6" s="1">
        <v>2800</v>
      </c>
      <c r="AC6" s="1">
        <v>0</v>
      </c>
      <c r="AD6" s="1">
        <v>69000</v>
      </c>
      <c r="AE6" s="1">
        <v>5920</v>
      </c>
      <c r="AF6" s="1">
        <v>69000</v>
      </c>
      <c r="AG6" s="1">
        <v>74920</v>
      </c>
      <c r="AH6" s="1">
        <v>2808</v>
      </c>
      <c r="AI6" s="1">
        <v>2716</v>
      </c>
      <c r="AJ6" s="1">
        <v>0</v>
      </c>
      <c r="AK6" s="1">
        <v>62100</v>
      </c>
      <c r="AL6" s="1">
        <v>5524</v>
      </c>
      <c r="AM6" s="1">
        <v>62100</v>
      </c>
      <c r="AN6" s="1">
        <v>67624</v>
      </c>
      <c r="AO6" s="6" t="s">
        <v>215</v>
      </c>
      <c r="AP6" s="6" t="s">
        <v>215</v>
      </c>
      <c r="AQ6" s="6" t="s">
        <v>215</v>
      </c>
      <c r="AR6" s="6" t="s">
        <v>215</v>
      </c>
      <c r="AS6" s="1">
        <v>40575</v>
      </c>
      <c r="AT6" s="1">
        <v>0</v>
      </c>
      <c r="AU6" s="1">
        <v>40575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64</v>
      </c>
      <c r="L7" s="3" t="s">
        <v>65</v>
      </c>
      <c r="M7" s="3" t="s">
        <v>66</v>
      </c>
      <c r="N7" s="3" t="s">
        <v>59</v>
      </c>
      <c r="O7" s="3" t="s">
        <v>59</v>
      </c>
      <c r="P7" s="3" t="s">
        <v>59</v>
      </c>
      <c r="Q7" s="3" t="s">
        <v>60</v>
      </c>
      <c r="R7" s="3" t="s">
        <v>61</v>
      </c>
      <c r="S7" s="3" t="s">
        <v>63</v>
      </c>
      <c r="T7" s="1">
        <v>7200</v>
      </c>
      <c r="U7" s="1">
        <v>10400</v>
      </c>
      <c r="V7" s="1">
        <v>0</v>
      </c>
      <c r="W7" s="1">
        <v>12000</v>
      </c>
      <c r="X7" s="1">
        <v>17600</v>
      </c>
      <c r="Y7" s="1">
        <v>12000</v>
      </c>
      <c r="Z7" s="1">
        <v>29600</v>
      </c>
      <c r="AA7" s="1">
        <v>8640</v>
      </c>
      <c r="AB7" s="1">
        <v>10400</v>
      </c>
      <c r="AC7" s="1">
        <v>0</v>
      </c>
      <c r="AD7" s="1">
        <v>12000</v>
      </c>
      <c r="AE7" s="1">
        <v>19040</v>
      </c>
      <c r="AF7" s="1">
        <v>12000</v>
      </c>
      <c r="AG7" s="1">
        <v>31040</v>
      </c>
      <c r="AH7" s="1">
        <v>7776</v>
      </c>
      <c r="AI7" s="1">
        <v>10088</v>
      </c>
      <c r="AJ7" s="1">
        <v>0</v>
      </c>
      <c r="AK7" s="1">
        <v>10800</v>
      </c>
      <c r="AL7" s="1">
        <v>17864</v>
      </c>
      <c r="AM7" s="1">
        <v>10800</v>
      </c>
      <c r="AN7" s="1">
        <v>28664</v>
      </c>
      <c r="AO7" s="6" t="s">
        <v>215</v>
      </c>
      <c r="AP7" s="6" t="s">
        <v>215</v>
      </c>
      <c r="AQ7" s="6" t="s">
        <v>215</v>
      </c>
      <c r="AR7" s="6" t="s">
        <v>215</v>
      </c>
      <c r="AS7" s="1">
        <v>17199</v>
      </c>
      <c r="AT7" s="1">
        <v>0</v>
      </c>
      <c r="AU7" s="1">
        <v>17199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64</v>
      </c>
      <c r="L8" s="3" t="s">
        <v>65</v>
      </c>
      <c r="M8" s="3" t="s">
        <v>66</v>
      </c>
      <c r="N8" s="3" t="s">
        <v>59</v>
      </c>
      <c r="O8" s="3" t="s">
        <v>59</v>
      </c>
      <c r="P8" s="3" t="s">
        <v>59</v>
      </c>
      <c r="Q8" s="3" t="s">
        <v>60</v>
      </c>
      <c r="R8" s="3" t="s">
        <v>61</v>
      </c>
      <c r="S8" s="3" t="s">
        <v>63</v>
      </c>
      <c r="T8" s="1">
        <v>27100</v>
      </c>
      <c r="U8" s="1">
        <v>18500</v>
      </c>
      <c r="V8" s="1">
        <v>0</v>
      </c>
      <c r="W8" s="1">
        <v>400</v>
      </c>
      <c r="X8" s="1">
        <v>45600</v>
      </c>
      <c r="Y8" s="1">
        <v>400</v>
      </c>
      <c r="Z8" s="1">
        <v>46000</v>
      </c>
      <c r="AA8" s="1">
        <v>32520</v>
      </c>
      <c r="AB8" s="1">
        <v>18500</v>
      </c>
      <c r="AC8" s="1">
        <v>0</v>
      </c>
      <c r="AD8" s="1">
        <v>400</v>
      </c>
      <c r="AE8" s="1">
        <v>51020</v>
      </c>
      <c r="AF8" s="1">
        <v>400</v>
      </c>
      <c r="AG8" s="1">
        <v>51420</v>
      </c>
      <c r="AH8" s="1">
        <v>29268</v>
      </c>
      <c r="AI8" s="1">
        <v>17945</v>
      </c>
      <c r="AJ8" s="1">
        <v>0</v>
      </c>
      <c r="AK8" s="1">
        <v>360</v>
      </c>
      <c r="AL8" s="1">
        <v>47213</v>
      </c>
      <c r="AM8" s="1">
        <v>360</v>
      </c>
      <c r="AN8" s="1">
        <v>47573</v>
      </c>
      <c r="AO8" s="6" t="s">
        <v>215</v>
      </c>
      <c r="AP8" s="6" t="s">
        <v>215</v>
      </c>
      <c r="AQ8" s="6" t="s">
        <v>215</v>
      </c>
      <c r="AR8" s="6" t="s">
        <v>215</v>
      </c>
      <c r="AS8" s="1">
        <v>28544</v>
      </c>
      <c r="AT8" s="1">
        <v>0</v>
      </c>
      <c r="AU8" s="1">
        <v>28544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54</v>
      </c>
      <c r="J9" s="3" t="s">
        <v>55</v>
      </c>
      <c r="K9" s="3" t="s">
        <v>64</v>
      </c>
      <c r="L9" s="3" t="s">
        <v>65</v>
      </c>
      <c r="M9" s="3" t="s">
        <v>66</v>
      </c>
      <c r="N9" s="3" t="s">
        <v>59</v>
      </c>
      <c r="O9" s="3" t="s">
        <v>59</v>
      </c>
      <c r="P9" s="3" t="s">
        <v>59</v>
      </c>
      <c r="Q9" s="3" t="s">
        <v>60</v>
      </c>
      <c r="R9" s="3" t="s">
        <v>61</v>
      </c>
      <c r="S9" s="3" t="s">
        <v>63</v>
      </c>
      <c r="T9" s="1">
        <v>17600</v>
      </c>
      <c r="U9" s="1">
        <v>25000</v>
      </c>
      <c r="V9" s="1">
        <v>-11300</v>
      </c>
      <c r="W9" s="1">
        <v>0</v>
      </c>
      <c r="X9" s="1">
        <v>31300</v>
      </c>
      <c r="Y9" s="1">
        <v>0</v>
      </c>
      <c r="Z9" s="1">
        <v>31300</v>
      </c>
      <c r="AA9" s="1">
        <v>21120</v>
      </c>
      <c r="AB9" s="1">
        <v>25000</v>
      </c>
      <c r="AC9" s="1">
        <v>-12450</v>
      </c>
      <c r="AD9" s="1">
        <v>0</v>
      </c>
      <c r="AE9" s="1">
        <v>33670</v>
      </c>
      <c r="AF9" s="1">
        <v>0</v>
      </c>
      <c r="AG9" s="1">
        <v>33670</v>
      </c>
      <c r="AH9" s="1">
        <v>19008</v>
      </c>
      <c r="AI9" s="1">
        <v>24250</v>
      </c>
      <c r="AJ9" s="1">
        <v>-8715</v>
      </c>
      <c r="AK9" s="1">
        <v>0</v>
      </c>
      <c r="AL9" s="1">
        <v>34543</v>
      </c>
      <c r="AM9" s="1">
        <v>0</v>
      </c>
      <c r="AN9" s="1">
        <v>34543</v>
      </c>
      <c r="AO9" s="6" t="s">
        <v>215</v>
      </c>
      <c r="AP9" s="6" t="s">
        <v>215</v>
      </c>
      <c r="AQ9" s="6" t="s">
        <v>215</v>
      </c>
      <c r="AR9" s="6" t="s">
        <v>215</v>
      </c>
      <c r="AS9" s="1">
        <v>20726</v>
      </c>
      <c r="AT9" s="1">
        <v>0</v>
      </c>
      <c r="AU9" s="1">
        <v>20726</v>
      </c>
    </row>
    <row r="10" spans="1:47" s="3" customFormat="1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67</v>
      </c>
      <c r="L10" s="3" t="s">
        <v>68</v>
      </c>
      <c r="M10" s="3" t="s">
        <v>69</v>
      </c>
      <c r="N10" s="3" t="s">
        <v>59</v>
      </c>
      <c r="O10" s="3" t="s">
        <v>59</v>
      </c>
      <c r="P10" s="3" t="s">
        <v>59</v>
      </c>
      <c r="Q10" s="3" t="s">
        <v>60</v>
      </c>
      <c r="R10" s="3" t="s">
        <v>61</v>
      </c>
      <c r="S10" s="3" t="s">
        <v>62</v>
      </c>
      <c r="T10" s="1">
        <v>7000</v>
      </c>
      <c r="U10" s="1">
        <v>0</v>
      </c>
      <c r="V10" s="1">
        <v>0</v>
      </c>
      <c r="W10" s="1">
        <v>11300</v>
      </c>
      <c r="X10" s="1">
        <v>7000</v>
      </c>
      <c r="Y10" s="1">
        <v>11300</v>
      </c>
      <c r="Z10" s="1">
        <v>18300</v>
      </c>
      <c r="AA10" s="1">
        <v>8400</v>
      </c>
      <c r="AB10" s="1">
        <v>0</v>
      </c>
      <c r="AC10" s="1">
        <v>0</v>
      </c>
      <c r="AD10" s="1">
        <v>11300</v>
      </c>
      <c r="AE10" s="1">
        <v>8400</v>
      </c>
      <c r="AF10" s="1">
        <v>11300</v>
      </c>
      <c r="AG10" s="1">
        <v>19700</v>
      </c>
      <c r="AH10" s="1">
        <v>7560</v>
      </c>
      <c r="AI10" s="1">
        <v>0</v>
      </c>
      <c r="AJ10" s="1">
        <v>0</v>
      </c>
      <c r="AK10" s="1">
        <v>10170</v>
      </c>
      <c r="AL10" s="1">
        <v>7560</v>
      </c>
      <c r="AM10" s="1">
        <v>10170</v>
      </c>
      <c r="AN10" s="1">
        <v>17730</v>
      </c>
      <c r="AO10" s="6" t="s">
        <v>215</v>
      </c>
      <c r="AP10" s="6" t="s">
        <v>215</v>
      </c>
      <c r="AQ10" s="6" t="s">
        <v>215</v>
      </c>
      <c r="AR10" s="6" t="s">
        <v>215</v>
      </c>
      <c r="AS10" s="1">
        <v>10638</v>
      </c>
      <c r="AT10" s="1">
        <v>0</v>
      </c>
      <c r="AU10" s="1">
        <v>10638</v>
      </c>
    </row>
    <row r="11" spans="1:47" s="3" customFormat="1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3" t="s">
        <v>53</v>
      </c>
      <c r="I11" s="3" t="s">
        <v>54</v>
      </c>
      <c r="J11" s="3" t="s">
        <v>55</v>
      </c>
      <c r="K11" s="3" t="s">
        <v>67</v>
      </c>
      <c r="L11" s="3" t="s">
        <v>68</v>
      </c>
      <c r="M11" s="3" t="s">
        <v>69</v>
      </c>
      <c r="N11" s="3" t="s">
        <v>59</v>
      </c>
      <c r="O11" s="3" t="s">
        <v>59</v>
      </c>
      <c r="P11" s="3" t="s">
        <v>59</v>
      </c>
      <c r="Q11" s="3" t="s">
        <v>60</v>
      </c>
      <c r="R11" s="3" t="s">
        <v>61</v>
      </c>
      <c r="S11" s="3" t="s">
        <v>63</v>
      </c>
      <c r="T11" s="1">
        <v>3000</v>
      </c>
      <c r="U11" s="1">
        <v>6400</v>
      </c>
      <c r="V11" s="1">
        <v>0</v>
      </c>
      <c r="W11" s="1">
        <v>2600</v>
      </c>
      <c r="X11" s="1">
        <v>9400</v>
      </c>
      <c r="Y11" s="1">
        <v>2600</v>
      </c>
      <c r="Z11" s="1">
        <v>12000</v>
      </c>
      <c r="AA11" s="1">
        <v>3600</v>
      </c>
      <c r="AB11" s="1">
        <v>6400</v>
      </c>
      <c r="AC11" s="1">
        <v>0</v>
      </c>
      <c r="AD11" s="1">
        <v>2600</v>
      </c>
      <c r="AE11" s="1">
        <v>10000</v>
      </c>
      <c r="AF11" s="1">
        <v>2600</v>
      </c>
      <c r="AG11" s="1">
        <v>12600</v>
      </c>
      <c r="AH11" s="1">
        <v>3240</v>
      </c>
      <c r="AI11" s="1">
        <v>6208</v>
      </c>
      <c r="AJ11" s="1">
        <v>0</v>
      </c>
      <c r="AK11" s="1">
        <v>2340</v>
      </c>
      <c r="AL11" s="1">
        <v>9448</v>
      </c>
      <c r="AM11" s="1">
        <v>2340</v>
      </c>
      <c r="AN11" s="1">
        <v>11788</v>
      </c>
      <c r="AO11" s="6" t="s">
        <v>215</v>
      </c>
      <c r="AP11" s="6" t="s">
        <v>215</v>
      </c>
      <c r="AQ11" s="6" t="s">
        <v>215</v>
      </c>
      <c r="AR11" s="6" t="s">
        <v>215</v>
      </c>
      <c r="AS11" s="1">
        <v>7073</v>
      </c>
      <c r="AT11" s="1">
        <v>0</v>
      </c>
      <c r="AU11" s="1">
        <v>7073</v>
      </c>
    </row>
    <row r="12" spans="1:47" s="3" customFormat="1" x14ac:dyDescent="0.3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55</v>
      </c>
      <c r="K12" s="3" t="s">
        <v>67</v>
      </c>
      <c r="L12" s="3" t="s">
        <v>68</v>
      </c>
      <c r="M12" s="3" t="s">
        <v>69</v>
      </c>
      <c r="N12" s="3" t="s">
        <v>59</v>
      </c>
      <c r="O12" s="3" t="s">
        <v>59</v>
      </c>
      <c r="P12" s="3" t="s">
        <v>59</v>
      </c>
      <c r="Q12" s="3" t="s">
        <v>60</v>
      </c>
      <c r="R12" s="3" t="s">
        <v>61</v>
      </c>
      <c r="S12" s="3" t="s">
        <v>63</v>
      </c>
      <c r="T12" s="1">
        <v>7600</v>
      </c>
      <c r="U12" s="1">
        <v>0</v>
      </c>
      <c r="V12" s="1">
        <v>0</v>
      </c>
      <c r="W12" s="1">
        <v>0</v>
      </c>
      <c r="X12" s="1">
        <v>7600</v>
      </c>
      <c r="Y12" s="1">
        <v>0</v>
      </c>
      <c r="Z12" s="1">
        <v>7600</v>
      </c>
      <c r="AA12" s="1">
        <v>9120</v>
      </c>
      <c r="AB12" s="1">
        <v>0</v>
      </c>
      <c r="AC12" s="1">
        <v>0</v>
      </c>
      <c r="AD12" s="1">
        <v>0</v>
      </c>
      <c r="AE12" s="1">
        <v>9120</v>
      </c>
      <c r="AF12" s="1">
        <v>0</v>
      </c>
      <c r="AG12" s="1">
        <v>9120</v>
      </c>
      <c r="AH12" s="1">
        <v>8208</v>
      </c>
      <c r="AI12" s="1">
        <v>0</v>
      </c>
      <c r="AJ12" s="1">
        <v>0</v>
      </c>
      <c r="AK12" s="1">
        <v>0</v>
      </c>
      <c r="AL12" s="1">
        <v>8208</v>
      </c>
      <c r="AM12" s="1">
        <v>0</v>
      </c>
      <c r="AN12" s="1">
        <v>8208</v>
      </c>
      <c r="AO12" s="6" t="s">
        <v>215</v>
      </c>
      <c r="AP12" s="6" t="s">
        <v>215</v>
      </c>
      <c r="AQ12" s="6" t="s">
        <v>215</v>
      </c>
      <c r="AR12" s="6" t="s">
        <v>215</v>
      </c>
      <c r="AS12" s="1">
        <v>4925</v>
      </c>
      <c r="AT12" s="1">
        <v>0</v>
      </c>
      <c r="AU12" s="1">
        <v>4925</v>
      </c>
    </row>
    <row r="13" spans="1:47" s="3" customFormat="1" x14ac:dyDescent="0.3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  <c r="H13" s="3" t="s">
        <v>53</v>
      </c>
      <c r="I13" s="3" t="s">
        <v>54</v>
      </c>
      <c r="J13" s="3" t="s">
        <v>55</v>
      </c>
      <c r="K13" s="3" t="s">
        <v>67</v>
      </c>
      <c r="L13" s="3" t="s">
        <v>68</v>
      </c>
      <c r="M13" s="3" t="s">
        <v>69</v>
      </c>
      <c r="N13" s="3" t="s">
        <v>59</v>
      </c>
      <c r="O13" s="3" t="s">
        <v>59</v>
      </c>
      <c r="P13" s="3" t="s">
        <v>59</v>
      </c>
      <c r="Q13" s="3" t="s">
        <v>60</v>
      </c>
      <c r="R13" s="3" t="s">
        <v>61</v>
      </c>
      <c r="S13" s="3" t="s">
        <v>63</v>
      </c>
      <c r="T13" s="1">
        <v>0</v>
      </c>
      <c r="U13" s="1">
        <v>-6200</v>
      </c>
      <c r="V13" s="1">
        <v>0</v>
      </c>
      <c r="W13" s="1">
        <v>0</v>
      </c>
      <c r="X13" s="1">
        <v>-6200</v>
      </c>
      <c r="Y13" s="1">
        <v>0</v>
      </c>
      <c r="Z13" s="1">
        <v>-6200</v>
      </c>
      <c r="AA13" s="1">
        <v>0</v>
      </c>
      <c r="AB13" s="1">
        <v>-6200</v>
      </c>
      <c r="AC13" s="1">
        <v>0</v>
      </c>
      <c r="AD13" s="1">
        <v>0</v>
      </c>
      <c r="AE13" s="1">
        <v>-6200</v>
      </c>
      <c r="AF13" s="1">
        <v>0</v>
      </c>
      <c r="AG13" s="1">
        <v>-6200</v>
      </c>
      <c r="AH13" s="1">
        <v>0</v>
      </c>
      <c r="AI13" s="1">
        <v>-6014</v>
      </c>
      <c r="AJ13" s="1">
        <v>0</v>
      </c>
      <c r="AK13" s="1">
        <v>0</v>
      </c>
      <c r="AL13" s="1">
        <v>-6014</v>
      </c>
      <c r="AM13" s="1">
        <v>0</v>
      </c>
      <c r="AN13" s="1">
        <v>-6014</v>
      </c>
      <c r="AO13" s="6" t="s">
        <v>215</v>
      </c>
      <c r="AP13" s="6" t="s">
        <v>215</v>
      </c>
      <c r="AQ13" s="6" t="s">
        <v>215</v>
      </c>
      <c r="AR13" s="6" t="s">
        <v>215</v>
      </c>
      <c r="AS13" s="1">
        <v>-3608</v>
      </c>
      <c r="AT13" s="1">
        <v>0</v>
      </c>
      <c r="AU13" s="1">
        <v>-3608</v>
      </c>
    </row>
    <row r="14" spans="1:47" s="3" customFormat="1" x14ac:dyDescent="0.3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52</v>
      </c>
      <c r="H14" s="3" t="s">
        <v>53</v>
      </c>
      <c r="I14" s="3" t="s">
        <v>54</v>
      </c>
      <c r="J14" s="3" t="s">
        <v>55</v>
      </c>
      <c r="K14" s="3" t="s">
        <v>224</v>
      </c>
      <c r="L14" s="3" t="s">
        <v>225</v>
      </c>
      <c r="M14" s="3" t="s">
        <v>226</v>
      </c>
      <c r="N14" s="3" t="s">
        <v>59</v>
      </c>
      <c r="O14" s="3" t="s">
        <v>59</v>
      </c>
      <c r="P14" s="3" t="s">
        <v>59</v>
      </c>
      <c r="Q14" s="3" t="s">
        <v>60</v>
      </c>
      <c r="R14" s="3" t="s">
        <v>61</v>
      </c>
      <c r="S14" s="3" t="s">
        <v>62</v>
      </c>
      <c r="T14" s="1">
        <v>105600</v>
      </c>
      <c r="U14" s="1">
        <v>0</v>
      </c>
      <c r="V14" s="1">
        <v>0</v>
      </c>
      <c r="W14" s="1">
        <v>0</v>
      </c>
      <c r="X14" s="1">
        <v>105600</v>
      </c>
      <c r="Y14" s="1">
        <v>0</v>
      </c>
      <c r="Z14" s="1">
        <v>105600</v>
      </c>
      <c r="AA14" s="1">
        <v>126720</v>
      </c>
      <c r="AB14" s="1">
        <v>0</v>
      </c>
      <c r="AC14" s="1">
        <v>0</v>
      </c>
      <c r="AD14" s="1">
        <v>0</v>
      </c>
      <c r="AE14" s="1">
        <v>126720</v>
      </c>
      <c r="AF14" s="1">
        <v>0</v>
      </c>
      <c r="AG14" s="1">
        <v>126720</v>
      </c>
      <c r="AH14" s="1">
        <v>114048</v>
      </c>
      <c r="AI14" s="1">
        <v>0</v>
      </c>
      <c r="AJ14" s="1">
        <v>0</v>
      </c>
      <c r="AK14" s="1">
        <v>0</v>
      </c>
      <c r="AL14" s="1">
        <v>114048</v>
      </c>
      <c r="AM14" s="1">
        <v>0</v>
      </c>
      <c r="AN14" s="1">
        <v>114048</v>
      </c>
      <c r="AO14" s="6" t="s">
        <v>215</v>
      </c>
      <c r="AP14" s="6" t="s">
        <v>215</v>
      </c>
      <c r="AQ14" s="6" t="s">
        <v>215</v>
      </c>
      <c r="AR14" s="6" t="s">
        <v>215</v>
      </c>
      <c r="AS14" s="1">
        <v>68429</v>
      </c>
      <c r="AT14" s="1">
        <v>0</v>
      </c>
      <c r="AU14" s="1">
        <v>68429</v>
      </c>
    </row>
    <row r="15" spans="1:47" x14ac:dyDescent="0.3">
      <c r="AU15" s="36">
        <f>SUM(AU2:AU14)</f>
        <v>316000</v>
      </c>
    </row>
    <row r="17" spans="1:4" x14ac:dyDescent="0.3">
      <c r="A17" s="7" t="s">
        <v>238</v>
      </c>
      <c r="B17" s="19"/>
      <c r="C17" s="19"/>
      <c r="D17" s="20"/>
    </row>
    <row r="18" spans="1:4" x14ac:dyDescent="0.3">
      <c r="A18" s="8" t="s">
        <v>243</v>
      </c>
      <c r="B18" s="8" t="s">
        <v>239</v>
      </c>
      <c r="C18" s="8" t="s">
        <v>240</v>
      </c>
      <c r="D18" s="8" t="s">
        <v>244</v>
      </c>
    </row>
    <row r="19" spans="1:4" x14ac:dyDescent="0.3">
      <c r="A19" s="9">
        <v>201912</v>
      </c>
      <c r="B19" s="12">
        <v>50000000</v>
      </c>
      <c r="C19" s="21">
        <v>616705</v>
      </c>
      <c r="D19" s="11">
        <v>49383295</v>
      </c>
    </row>
    <row r="20" spans="1:4" x14ac:dyDescent="0.3">
      <c r="A20" s="9">
        <v>202001</v>
      </c>
      <c r="B20" s="12"/>
      <c r="C20" s="21">
        <v>702488</v>
      </c>
      <c r="D20" s="11">
        <v>48680807</v>
      </c>
    </row>
    <row r="21" spans="1:4" x14ac:dyDescent="0.3">
      <c r="A21" s="9">
        <v>202002</v>
      </c>
      <c r="B21" s="12"/>
      <c r="C21" s="21">
        <v>631686</v>
      </c>
      <c r="D21" s="11">
        <v>48049121</v>
      </c>
    </row>
    <row r="22" spans="1:4" x14ac:dyDescent="0.3">
      <c r="A22" s="9">
        <v>202003</v>
      </c>
      <c r="B22" s="12"/>
      <c r="C22" s="21">
        <v>569830</v>
      </c>
      <c r="D22" s="11">
        <v>47479291</v>
      </c>
    </row>
    <row r="23" spans="1:4" x14ac:dyDescent="0.3">
      <c r="A23" s="9">
        <v>202004</v>
      </c>
      <c r="B23" s="12"/>
      <c r="C23" s="21">
        <v>19193902</v>
      </c>
      <c r="D23" s="11">
        <v>28285389</v>
      </c>
    </row>
    <row r="24" spans="1:4" x14ac:dyDescent="0.3">
      <c r="A24" s="9">
        <v>202005</v>
      </c>
      <c r="B24" s="12"/>
      <c r="C24" s="21">
        <v>5406095</v>
      </c>
      <c r="D24" s="11">
        <v>22879294</v>
      </c>
    </row>
    <row r="25" spans="1:4" x14ac:dyDescent="0.3">
      <c r="A25" s="9">
        <v>202006</v>
      </c>
      <c r="B25" s="12"/>
      <c r="C25" s="21">
        <v>2614141</v>
      </c>
      <c r="D25" s="11">
        <v>20265153</v>
      </c>
    </row>
    <row r="26" spans="1:4" x14ac:dyDescent="0.3">
      <c r="A26" s="9">
        <v>202007</v>
      </c>
      <c r="B26" s="12"/>
      <c r="C26" s="21">
        <v>3800817</v>
      </c>
      <c r="D26" s="11">
        <v>16464336</v>
      </c>
    </row>
    <row r="27" spans="1:4" x14ac:dyDescent="0.3">
      <c r="A27" s="9">
        <v>202008</v>
      </c>
      <c r="B27" s="9"/>
      <c r="C27" s="22">
        <v>2432478</v>
      </c>
      <c r="D27" s="23">
        <v>14031858</v>
      </c>
    </row>
    <row r="28" spans="1:4" x14ac:dyDescent="0.3">
      <c r="A28" s="9">
        <v>202009</v>
      </c>
      <c r="B28" s="9"/>
      <c r="C28" s="22">
        <v>1712223</v>
      </c>
      <c r="D28" s="23">
        <v>12319635</v>
      </c>
    </row>
    <row r="29" spans="1:4" x14ac:dyDescent="0.3">
      <c r="A29" s="9">
        <v>202010</v>
      </c>
      <c r="B29" s="9"/>
      <c r="C29" s="22">
        <v>4755890</v>
      </c>
      <c r="D29" s="23">
        <v>7563745</v>
      </c>
    </row>
    <row r="30" spans="1:4" x14ac:dyDescent="0.3">
      <c r="A30" s="9">
        <v>202011</v>
      </c>
      <c r="B30" s="9"/>
      <c r="C30" s="22">
        <v>1758007</v>
      </c>
      <c r="D30" s="23">
        <v>5805738</v>
      </c>
    </row>
    <row r="31" spans="1:4" x14ac:dyDescent="0.3">
      <c r="A31" s="9">
        <v>202012</v>
      </c>
      <c r="B31" s="9"/>
      <c r="C31" s="22">
        <v>562936</v>
      </c>
      <c r="D31" s="23">
        <v>5242802</v>
      </c>
    </row>
    <row r="32" spans="1:4" x14ac:dyDescent="0.3">
      <c r="A32" s="9">
        <v>202101</v>
      </c>
      <c r="B32" s="9"/>
      <c r="C32" s="22">
        <v>529072</v>
      </c>
      <c r="D32" s="23">
        <v>4713730</v>
      </c>
    </row>
    <row r="33" spans="1:4" x14ac:dyDescent="0.3">
      <c r="A33" s="9">
        <v>202102</v>
      </c>
      <c r="B33" s="9"/>
      <c r="C33" s="22">
        <v>474507</v>
      </c>
      <c r="D33" s="23">
        <v>4239223</v>
      </c>
    </row>
    <row r="34" spans="1:4" x14ac:dyDescent="0.3">
      <c r="A34" s="9">
        <v>202103</v>
      </c>
      <c r="B34" s="9"/>
      <c r="C34" s="22">
        <v>784410</v>
      </c>
      <c r="D34" s="23">
        <v>3454813</v>
      </c>
    </row>
    <row r="35" spans="1:4" x14ac:dyDescent="0.3">
      <c r="A35" s="9">
        <v>202104</v>
      </c>
      <c r="B35" s="9"/>
      <c r="C35" s="22">
        <v>679371</v>
      </c>
      <c r="D35" s="23">
        <v>2775442</v>
      </c>
    </row>
    <row r="36" spans="1:4" x14ac:dyDescent="0.3">
      <c r="A36" s="9">
        <v>202105</v>
      </c>
      <c r="B36" s="9"/>
      <c r="C36" s="22">
        <v>488373</v>
      </c>
      <c r="D36" s="23">
        <v>2287069</v>
      </c>
    </row>
    <row r="37" spans="1:4" x14ac:dyDescent="0.3">
      <c r="A37" s="9">
        <v>202106</v>
      </c>
      <c r="B37" s="9"/>
      <c r="C37" s="22">
        <v>442222</v>
      </c>
      <c r="D37" s="23">
        <v>1844847</v>
      </c>
    </row>
    <row r="38" spans="1:4" x14ac:dyDescent="0.3">
      <c r="A38" s="9">
        <v>202107</v>
      </c>
      <c r="B38" s="9"/>
      <c r="C38" s="22">
        <v>321530</v>
      </c>
      <c r="D38" s="23">
        <f>D37-C38</f>
        <v>1523317</v>
      </c>
    </row>
    <row r="39" spans="1:4" x14ac:dyDescent="0.3">
      <c r="A39" s="9">
        <v>202108</v>
      </c>
      <c r="B39" s="9"/>
      <c r="C39" s="22">
        <v>300806</v>
      </c>
      <c r="D39" s="23">
        <f>D38-C39</f>
        <v>1222511</v>
      </c>
    </row>
    <row r="40" spans="1:4" x14ac:dyDescent="0.3">
      <c r="A40" s="9">
        <v>202109</v>
      </c>
      <c r="B40" s="9"/>
      <c r="C40" s="22">
        <v>188639</v>
      </c>
      <c r="D40" s="23">
        <f>D39-C40</f>
        <v>1033872</v>
      </c>
    </row>
    <row r="41" spans="1:4" x14ac:dyDescent="0.3">
      <c r="A41" s="9">
        <v>202110</v>
      </c>
      <c r="B41" s="9"/>
      <c r="C41" s="22">
        <v>325666</v>
      </c>
      <c r="D41" s="23">
        <f>D40-C41</f>
        <v>708206</v>
      </c>
    </row>
    <row r="42" spans="1:4" x14ac:dyDescent="0.3">
      <c r="A42" s="9">
        <v>202111</v>
      </c>
      <c r="B42" s="9"/>
      <c r="C42" s="22">
        <v>295037</v>
      </c>
      <c r="D42" s="23">
        <f>D41-C42</f>
        <v>413169</v>
      </c>
    </row>
    <row r="43" spans="1:4" x14ac:dyDescent="0.3">
      <c r="A43" s="9">
        <v>202112</v>
      </c>
      <c r="B43" s="10">
        <v>20000000</v>
      </c>
      <c r="C43" s="22">
        <v>353299</v>
      </c>
      <c r="D43" s="23">
        <f>D42-C43+B43</f>
        <v>20059870</v>
      </c>
    </row>
    <row r="44" spans="1:4" x14ac:dyDescent="0.3">
      <c r="A44" s="9">
        <v>202201</v>
      </c>
      <c r="B44" s="10"/>
      <c r="C44" s="22">
        <v>246202</v>
      </c>
      <c r="D44" s="23">
        <f t="shared" ref="D44:D49" si="0">D43-C44</f>
        <v>19813668</v>
      </c>
    </row>
    <row r="45" spans="1:4" x14ac:dyDescent="0.3">
      <c r="A45" s="9">
        <v>202202</v>
      </c>
      <c r="B45" s="10"/>
      <c r="C45" s="24">
        <v>173976</v>
      </c>
      <c r="D45" s="23">
        <f t="shared" si="0"/>
        <v>19639692</v>
      </c>
    </row>
    <row r="46" spans="1:4" x14ac:dyDescent="0.3">
      <c r="A46" s="9">
        <v>202203</v>
      </c>
      <c r="B46" s="10"/>
      <c r="C46" s="24">
        <v>279606</v>
      </c>
      <c r="D46" s="23">
        <f t="shared" si="0"/>
        <v>19360086</v>
      </c>
    </row>
    <row r="47" spans="1:4" x14ac:dyDescent="0.3">
      <c r="A47" s="9">
        <v>202204</v>
      </c>
      <c r="B47" s="9"/>
      <c r="C47" s="24">
        <v>259655</v>
      </c>
      <c r="D47" s="23">
        <f t="shared" si="0"/>
        <v>19100431</v>
      </c>
    </row>
    <row r="48" spans="1:4" x14ac:dyDescent="0.3">
      <c r="A48" s="9">
        <v>202205</v>
      </c>
      <c r="B48" s="9"/>
      <c r="C48" s="24">
        <v>257213</v>
      </c>
      <c r="D48" s="23">
        <f t="shared" si="0"/>
        <v>18843218</v>
      </c>
    </row>
    <row r="49" spans="1:4" x14ac:dyDescent="0.3">
      <c r="A49" s="9">
        <v>202206</v>
      </c>
      <c r="B49" s="9"/>
      <c r="C49" s="25">
        <v>190175</v>
      </c>
      <c r="D49" s="23">
        <f t="shared" si="0"/>
        <v>18653043</v>
      </c>
    </row>
    <row r="50" spans="1:4" x14ac:dyDescent="0.3">
      <c r="A50" s="9">
        <v>202207</v>
      </c>
      <c r="B50" s="9"/>
      <c r="C50" s="25">
        <v>163258</v>
      </c>
      <c r="D50" s="23">
        <f>D49-C50</f>
        <v>18489785</v>
      </c>
    </row>
    <row r="51" spans="1:4" x14ac:dyDescent="0.3">
      <c r="A51" s="9">
        <v>202208</v>
      </c>
      <c r="B51" s="9"/>
      <c r="C51" s="25">
        <v>172773</v>
      </c>
      <c r="D51" s="23">
        <f>D50-C51</f>
        <v>18317012</v>
      </c>
    </row>
    <row r="52" spans="1:4" x14ac:dyDescent="0.3">
      <c r="A52" s="9">
        <v>202209</v>
      </c>
      <c r="B52" s="9"/>
      <c r="C52" s="25">
        <v>332887</v>
      </c>
      <c r="D52" s="23">
        <f>D51-C52</f>
        <v>17984125</v>
      </c>
    </row>
    <row r="53" spans="1:4" x14ac:dyDescent="0.3">
      <c r="A53" s="9">
        <v>202210</v>
      </c>
      <c r="B53" s="9"/>
      <c r="C53" s="25">
        <v>135587</v>
      </c>
      <c r="D53" s="23">
        <f>D52-C53</f>
        <v>17848538</v>
      </c>
    </row>
    <row r="54" spans="1:4" s="3" customFormat="1" x14ac:dyDescent="0.3">
      <c r="A54" s="9">
        <v>202211</v>
      </c>
      <c r="B54" s="9"/>
      <c r="C54" s="25">
        <f>AU15</f>
        <v>316000</v>
      </c>
      <c r="D54" s="23">
        <f>D53-C54</f>
        <v>17532538</v>
      </c>
    </row>
    <row r="55" spans="1:4" x14ac:dyDescent="0.3">
      <c r="A55" s="9" t="s">
        <v>245</v>
      </c>
      <c r="B55" s="26">
        <f>SUM(B19:B49)</f>
        <v>70000000</v>
      </c>
      <c r="C55" s="26">
        <f>SUM(C19:C54)</f>
        <v>52467462</v>
      </c>
      <c r="D55" s="9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99"/>
  <sheetViews>
    <sheetView topLeftCell="A64" zoomScale="70" zoomScaleNormal="70" workbookViewId="0">
      <selection activeCell="C100" sqref="C100"/>
    </sheetView>
  </sheetViews>
  <sheetFormatPr defaultRowHeight="16.5" x14ac:dyDescent="0.3"/>
  <cols>
    <col min="2" max="2" width="20" bestFit="1" customWidth="1"/>
    <col min="3" max="3" width="16.625" bestFit="1" customWidth="1"/>
    <col min="4" max="4" width="11.875" bestFit="1" customWidth="1"/>
    <col min="47" max="47" width="11.375" bestFit="1" customWidth="1"/>
  </cols>
  <sheetData>
    <row r="1" spans="1:4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72</v>
      </c>
      <c r="H2" s="3" t="s">
        <v>73</v>
      </c>
      <c r="I2" s="3" t="s">
        <v>54</v>
      </c>
      <c r="J2" s="3" t="s">
        <v>55</v>
      </c>
      <c r="K2" s="3" t="s">
        <v>74</v>
      </c>
      <c r="L2" s="3" t="s">
        <v>75</v>
      </c>
      <c r="M2" s="3" t="s">
        <v>76</v>
      </c>
      <c r="N2" s="3" t="s">
        <v>59</v>
      </c>
      <c r="O2" s="3" t="s">
        <v>59</v>
      </c>
      <c r="P2" s="3" t="s">
        <v>59</v>
      </c>
      <c r="Q2" s="3" t="s">
        <v>77</v>
      </c>
      <c r="R2" s="3" t="s">
        <v>61</v>
      </c>
      <c r="S2" s="3" t="s">
        <v>62</v>
      </c>
      <c r="T2" s="1">
        <v>550</v>
      </c>
      <c r="U2" s="1">
        <v>2690</v>
      </c>
      <c r="V2" s="1">
        <v>300</v>
      </c>
      <c r="W2" s="1">
        <v>53160</v>
      </c>
      <c r="X2" s="1">
        <v>3540</v>
      </c>
      <c r="Y2" s="1">
        <v>53160</v>
      </c>
      <c r="Z2" s="1">
        <v>56700</v>
      </c>
      <c r="AA2" s="1">
        <v>660</v>
      </c>
      <c r="AB2" s="1">
        <v>2690</v>
      </c>
      <c r="AC2" s="1">
        <v>330</v>
      </c>
      <c r="AD2" s="1">
        <v>53160</v>
      </c>
      <c r="AE2" s="1">
        <v>3680</v>
      </c>
      <c r="AF2" s="1">
        <v>53160</v>
      </c>
      <c r="AG2" s="1">
        <v>56840</v>
      </c>
      <c r="AH2" s="1">
        <v>594</v>
      </c>
      <c r="AI2" s="1">
        <v>2609.3000000000002</v>
      </c>
      <c r="AJ2" s="1">
        <v>231</v>
      </c>
      <c r="AK2" s="1">
        <v>47844</v>
      </c>
      <c r="AL2" s="1">
        <v>3434.3</v>
      </c>
      <c r="AM2" s="1">
        <v>47844</v>
      </c>
      <c r="AN2" s="1">
        <v>51278.3</v>
      </c>
      <c r="AO2" s="6" t="s">
        <v>215</v>
      </c>
      <c r="AP2" s="6" t="s">
        <v>215</v>
      </c>
      <c r="AQ2" s="6" t="s">
        <v>215</v>
      </c>
      <c r="AR2" s="6" t="s">
        <v>215</v>
      </c>
      <c r="AS2" s="1">
        <v>30767</v>
      </c>
      <c r="AT2" s="1">
        <v>0</v>
      </c>
      <c r="AU2" s="1">
        <v>30767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72</v>
      </c>
      <c r="H3" s="3" t="s">
        <v>73</v>
      </c>
      <c r="I3" s="3" t="s">
        <v>54</v>
      </c>
      <c r="J3" s="3" t="s">
        <v>55</v>
      </c>
      <c r="K3" s="3" t="s">
        <v>74</v>
      </c>
      <c r="L3" s="3" t="s">
        <v>75</v>
      </c>
      <c r="M3" s="3" t="s">
        <v>76</v>
      </c>
      <c r="N3" s="3" t="s">
        <v>59</v>
      </c>
      <c r="O3" s="3" t="s">
        <v>59</v>
      </c>
      <c r="P3" s="3" t="s">
        <v>59</v>
      </c>
      <c r="Q3" s="3" t="s">
        <v>77</v>
      </c>
      <c r="R3" s="3" t="s">
        <v>61</v>
      </c>
      <c r="S3" s="3" t="s">
        <v>63</v>
      </c>
      <c r="T3" s="1">
        <v>30000</v>
      </c>
      <c r="U3" s="1">
        <v>50700</v>
      </c>
      <c r="V3" s="1">
        <v>2400</v>
      </c>
      <c r="W3" s="1">
        <v>28500</v>
      </c>
      <c r="X3" s="1">
        <v>83100</v>
      </c>
      <c r="Y3" s="1">
        <v>28500</v>
      </c>
      <c r="Z3" s="1">
        <v>111600</v>
      </c>
      <c r="AA3" s="1">
        <v>36000</v>
      </c>
      <c r="AB3" s="1">
        <v>50700</v>
      </c>
      <c r="AC3" s="1">
        <v>2700</v>
      </c>
      <c r="AD3" s="1">
        <v>28500</v>
      </c>
      <c r="AE3" s="1">
        <v>89400</v>
      </c>
      <c r="AF3" s="1">
        <v>28500</v>
      </c>
      <c r="AG3" s="1">
        <v>117900</v>
      </c>
      <c r="AH3" s="1">
        <v>32400</v>
      </c>
      <c r="AI3" s="1">
        <v>49179</v>
      </c>
      <c r="AJ3" s="1">
        <v>1890</v>
      </c>
      <c r="AK3" s="1">
        <v>25650</v>
      </c>
      <c r="AL3" s="1">
        <v>83469</v>
      </c>
      <c r="AM3" s="1">
        <v>25650</v>
      </c>
      <c r="AN3" s="1">
        <v>109119</v>
      </c>
      <c r="AO3" s="6" t="s">
        <v>215</v>
      </c>
      <c r="AP3" s="6" t="s">
        <v>215</v>
      </c>
      <c r="AQ3" s="6" t="s">
        <v>215</v>
      </c>
      <c r="AR3" s="6" t="s">
        <v>215</v>
      </c>
      <c r="AS3" s="1">
        <v>65471</v>
      </c>
      <c r="AT3" s="1">
        <v>0</v>
      </c>
      <c r="AU3" s="1">
        <v>65471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72</v>
      </c>
      <c r="H4" s="3" t="s">
        <v>73</v>
      </c>
      <c r="I4" s="3" t="s">
        <v>54</v>
      </c>
      <c r="J4" s="3" t="s">
        <v>55</v>
      </c>
      <c r="K4" s="3" t="s">
        <v>74</v>
      </c>
      <c r="L4" s="3" t="s">
        <v>75</v>
      </c>
      <c r="M4" s="3" t="s">
        <v>76</v>
      </c>
      <c r="N4" s="3" t="s">
        <v>59</v>
      </c>
      <c r="O4" s="3" t="s">
        <v>59</v>
      </c>
      <c r="P4" s="3" t="s">
        <v>59</v>
      </c>
      <c r="Q4" s="3" t="s">
        <v>77</v>
      </c>
      <c r="R4" s="3" t="s">
        <v>61</v>
      </c>
      <c r="S4" s="3" t="s">
        <v>63</v>
      </c>
      <c r="T4" s="1">
        <v>0</v>
      </c>
      <c r="U4" s="1">
        <v>18000</v>
      </c>
      <c r="V4" s="1">
        <v>0</v>
      </c>
      <c r="W4" s="1">
        <v>0</v>
      </c>
      <c r="X4" s="1">
        <v>18000</v>
      </c>
      <c r="Y4" s="1">
        <v>0</v>
      </c>
      <c r="Z4" s="1">
        <v>18000</v>
      </c>
      <c r="AA4" s="1">
        <v>0</v>
      </c>
      <c r="AB4" s="1">
        <v>18000</v>
      </c>
      <c r="AC4" s="1">
        <v>0</v>
      </c>
      <c r="AD4" s="1">
        <v>0</v>
      </c>
      <c r="AE4" s="1">
        <v>18000</v>
      </c>
      <c r="AF4" s="1">
        <v>0</v>
      </c>
      <c r="AG4" s="1">
        <v>18000</v>
      </c>
      <c r="AH4" s="1">
        <v>0</v>
      </c>
      <c r="AI4" s="1">
        <v>17460</v>
      </c>
      <c r="AJ4" s="1">
        <v>0</v>
      </c>
      <c r="AK4" s="1">
        <v>0</v>
      </c>
      <c r="AL4" s="1">
        <v>17460</v>
      </c>
      <c r="AM4" s="1">
        <v>0</v>
      </c>
      <c r="AN4" s="1">
        <v>17460</v>
      </c>
      <c r="AO4" s="6" t="s">
        <v>215</v>
      </c>
      <c r="AP4" s="6" t="s">
        <v>215</v>
      </c>
      <c r="AQ4" s="6" t="s">
        <v>215</v>
      </c>
      <c r="AR4" s="6" t="s">
        <v>215</v>
      </c>
      <c r="AS4" s="1">
        <v>10476</v>
      </c>
      <c r="AT4" s="1">
        <v>0</v>
      </c>
      <c r="AU4" s="1">
        <v>10476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72</v>
      </c>
      <c r="H5" s="3" t="s">
        <v>73</v>
      </c>
      <c r="I5" s="3" t="s">
        <v>54</v>
      </c>
      <c r="J5" s="3" t="s">
        <v>55</v>
      </c>
      <c r="K5" s="3" t="s">
        <v>78</v>
      </c>
      <c r="L5" s="3" t="s">
        <v>79</v>
      </c>
      <c r="M5" s="3" t="s">
        <v>80</v>
      </c>
      <c r="N5" s="3" t="s">
        <v>59</v>
      </c>
      <c r="O5" s="3" t="s">
        <v>59</v>
      </c>
      <c r="P5" s="3" t="s">
        <v>59</v>
      </c>
      <c r="Q5" s="3" t="s">
        <v>77</v>
      </c>
      <c r="R5" s="3" t="s">
        <v>61</v>
      </c>
      <c r="S5" s="3" t="s">
        <v>62</v>
      </c>
      <c r="T5" s="1">
        <v>500</v>
      </c>
      <c r="U5" s="1">
        <v>1500</v>
      </c>
      <c r="V5" s="1">
        <v>0</v>
      </c>
      <c r="W5" s="1">
        <v>14800</v>
      </c>
      <c r="X5" s="1">
        <v>2000</v>
      </c>
      <c r="Y5" s="1">
        <v>14800</v>
      </c>
      <c r="Z5" s="1">
        <v>16800</v>
      </c>
      <c r="AA5" s="1">
        <v>600</v>
      </c>
      <c r="AB5" s="1">
        <v>1500</v>
      </c>
      <c r="AC5" s="1">
        <v>0</v>
      </c>
      <c r="AD5" s="1">
        <v>14800</v>
      </c>
      <c r="AE5" s="1">
        <v>2100</v>
      </c>
      <c r="AF5" s="1">
        <v>14800</v>
      </c>
      <c r="AG5" s="1">
        <v>16900</v>
      </c>
      <c r="AH5" s="1">
        <v>540</v>
      </c>
      <c r="AI5" s="1">
        <v>1455</v>
      </c>
      <c r="AJ5" s="1">
        <v>0</v>
      </c>
      <c r="AK5" s="1">
        <v>13320</v>
      </c>
      <c r="AL5" s="1">
        <v>1995</v>
      </c>
      <c r="AM5" s="1">
        <v>13320</v>
      </c>
      <c r="AN5" s="1">
        <v>15315</v>
      </c>
      <c r="AO5" s="6" t="s">
        <v>215</v>
      </c>
      <c r="AP5" s="6" t="s">
        <v>215</v>
      </c>
      <c r="AQ5" s="6" t="s">
        <v>215</v>
      </c>
      <c r="AR5" s="6" t="s">
        <v>215</v>
      </c>
      <c r="AS5" s="1">
        <v>9189</v>
      </c>
      <c r="AT5" s="1">
        <v>0</v>
      </c>
      <c r="AU5" s="1">
        <v>9189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72</v>
      </c>
      <c r="H6" s="3" t="s">
        <v>73</v>
      </c>
      <c r="I6" s="3" t="s">
        <v>54</v>
      </c>
      <c r="J6" s="3" t="s">
        <v>55</v>
      </c>
      <c r="K6" s="3" t="s">
        <v>78</v>
      </c>
      <c r="L6" s="3" t="s">
        <v>79</v>
      </c>
      <c r="M6" s="3" t="s">
        <v>80</v>
      </c>
      <c r="N6" s="3" t="s">
        <v>59</v>
      </c>
      <c r="O6" s="3" t="s">
        <v>59</v>
      </c>
      <c r="P6" s="3" t="s">
        <v>59</v>
      </c>
      <c r="Q6" s="3" t="s">
        <v>77</v>
      </c>
      <c r="R6" s="3" t="s">
        <v>61</v>
      </c>
      <c r="S6" s="3" t="s">
        <v>63</v>
      </c>
      <c r="T6" s="1">
        <v>1800</v>
      </c>
      <c r="U6" s="1">
        <v>7200</v>
      </c>
      <c r="V6" s="1">
        <v>0</v>
      </c>
      <c r="W6" s="1">
        <v>16200</v>
      </c>
      <c r="X6" s="1">
        <v>9000</v>
      </c>
      <c r="Y6" s="1">
        <v>16200</v>
      </c>
      <c r="Z6" s="1">
        <v>25200</v>
      </c>
      <c r="AA6" s="1">
        <v>2160</v>
      </c>
      <c r="AB6" s="1">
        <v>7200</v>
      </c>
      <c r="AC6" s="1">
        <v>0</v>
      </c>
      <c r="AD6" s="1">
        <v>16200</v>
      </c>
      <c r="AE6" s="1">
        <v>9360</v>
      </c>
      <c r="AF6" s="1">
        <v>16200</v>
      </c>
      <c r="AG6" s="1">
        <v>25560</v>
      </c>
      <c r="AH6" s="1">
        <v>1944</v>
      </c>
      <c r="AI6" s="1">
        <v>6984</v>
      </c>
      <c r="AJ6" s="1">
        <v>0</v>
      </c>
      <c r="AK6" s="1">
        <v>14580</v>
      </c>
      <c r="AL6" s="1">
        <v>8928</v>
      </c>
      <c r="AM6" s="1">
        <v>14580</v>
      </c>
      <c r="AN6" s="1">
        <v>23508</v>
      </c>
      <c r="AO6" s="6" t="s">
        <v>215</v>
      </c>
      <c r="AP6" s="6" t="s">
        <v>215</v>
      </c>
      <c r="AQ6" s="6" t="s">
        <v>215</v>
      </c>
      <c r="AR6" s="6" t="s">
        <v>215</v>
      </c>
      <c r="AS6" s="1">
        <v>14104</v>
      </c>
      <c r="AT6" s="1">
        <v>0</v>
      </c>
      <c r="AU6" s="1">
        <v>14104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72</v>
      </c>
      <c r="H7" s="3" t="s">
        <v>73</v>
      </c>
      <c r="I7" s="3" t="s">
        <v>54</v>
      </c>
      <c r="J7" s="3" t="s">
        <v>55</v>
      </c>
      <c r="K7" s="3" t="s">
        <v>78</v>
      </c>
      <c r="L7" s="3" t="s">
        <v>79</v>
      </c>
      <c r="M7" s="3" t="s">
        <v>80</v>
      </c>
      <c r="N7" s="3" t="s">
        <v>59</v>
      </c>
      <c r="O7" s="3" t="s">
        <v>59</v>
      </c>
      <c r="P7" s="3" t="s">
        <v>59</v>
      </c>
      <c r="Q7" s="3" t="s">
        <v>77</v>
      </c>
      <c r="R7" s="3" t="s">
        <v>61</v>
      </c>
      <c r="S7" s="3" t="s">
        <v>63</v>
      </c>
      <c r="T7" s="1">
        <v>35500</v>
      </c>
      <c r="U7" s="1">
        <v>26000</v>
      </c>
      <c r="V7" s="1">
        <v>0</v>
      </c>
      <c r="W7" s="1">
        <v>1500</v>
      </c>
      <c r="X7" s="1">
        <v>61500</v>
      </c>
      <c r="Y7" s="1">
        <v>1500</v>
      </c>
      <c r="Z7" s="1">
        <v>63000</v>
      </c>
      <c r="AA7" s="1">
        <v>42600</v>
      </c>
      <c r="AB7" s="1">
        <v>26000</v>
      </c>
      <c r="AC7" s="1">
        <v>0</v>
      </c>
      <c r="AD7" s="1">
        <v>1500</v>
      </c>
      <c r="AE7" s="1">
        <v>68600</v>
      </c>
      <c r="AF7" s="1">
        <v>1500</v>
      </c>
      <c r="AG7" s="1">
        <v>70100</v>
      </c>
      <c r="AH7" s="1">
        <v>38340</v>
      </c>
      <c r="AI7" s="1">
        <v>25220</v>
      </c>
      <c r="AJ7" s="1">
        <v>0</v>
      </c>
      <c r="AK7" s="1">
        <v>1350</v>
      </c>
      <c r="AL7" s="1">
        <v>63560</v>
      </c>
      <c r="AM7" s="1">
        <v>1350</v>
      </c>
      <c r="AN7" s="1">
        <v>64910</v>
      </c>
      <c r="AO7" s="6" t="s">
        <v>215</v>
      </c>
      <c r="AP7" s="6" t="s">
        <v>215</v>
      </c>
      <c r="AQ7" s="6" t="s">
        <v>215</v>
      </c>
      <c r="AR7" s="6" t="s">
        <v>215</v>
      </c>
      <c r="AS7" s="1">
        <v>38946</v>
      </c>
      <c r="AT7" s="1">
        <v>0</v>
      </c>
      <c r="AU7" s="1">
        <v>38946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72</v>
      </c>
      <c r="H8" s="3" t="s">
        <v>73</v>
      </c>
      <c r="I8" s="3" t="s">
        <v>54</v>
      </c>
      <c r="J8" s="3" t="s">
        <v>55</v>
      </c>
      <c r="K8" s="3" t="s">
        <v>216</v>
      </c>
      <c r="L8" s="3" t="s">
        <v>227</v>
      </c>
      <c r="M8" s="3" t="s">
        <v>217</v>
      </c>
      <c r="N8" s="3" t="s">
        <v>59</v>
      </c>
      <c r="O8" s="3" t="s">
        <v>59</v>
      </c>
      <c r="P8" s="3" t="s">
        <v>59</v>
      </c>
      <c r="Q8" s="3" t="s">
        <v>77</v>
      </c>
      <c r="R8" s="3" t="s">
        <v>61</v>
      </c>
      <c r="S8" s="3" t="s">
        <v>62</v>
      </c>
      <c r="T8" s="1">
        <v>400</v>
      </c>
      <c r="U8" s="1">
        <v>100</v>
      </c>
      <c r="V8" s="1">
        <v>0</v>
      </c>
      <c r="W8" s="1">
        <v>0</v>
      </c>
      <c r="X8" s="1">
        <v>500</v>
      </c>
      <c r="Y8" s="1">
        <v>0</v>
      </c>
      <c r="Z8" s="1">
        <v>500</v>
      </c>
      <c r="AA8" s="1">
        <v>480</v>
      </c>
      <c r="AB8" s="1">
        <v>100</v>
      </c>
      <c r="AC8" s="1">
        <v>0</v>
      </c>
      <c r="AD8" s="1">
        <v>0</v>
      </c>
      <c r="AE8" s="1">
        <v>580</v>
      </c>
      <c r="AF8" s="1">
        <v>0</v>
      </c>
      <c r="AG8" s="1">
        <v>580</v>
      </c>
      <c r="AH8" s="1">
        <v>432</v>
      </c>
      <c r="AI8" s="1">
        <v>97</v>
      </c>
      <c r="AJ8" s="1">
        <v>0</v>
      </c>
      <c r="AK8" s="1">
        <v>0</v>
      </c>
      <c r="AL8" s="1">
        <v>529</v>
      </c>
      <c r="AM8" s="1">
        <v>0</v>
      </c>
      <c r="AN8" s="1">
        <v>529</v>
      </c>
      <c r="AO8" s="6" t="s">
        <v>215</v>
      </c>
      <c r="AP8" s="6" t="s">
        <v>215</v>
      </c>
      <c r="AQ8" s="6" t="s">
        <v>215</v>
      </c>
      <c r="AR8" s="6" t="s">
        <v>215</v>
      </c>
      <c r="AS8" s="1">
        <v>317</v>
      </c>
      <c r="AT8" s="1">
        <v>0</v>
      </c>
      <c r="AU8" s="1">
        <v>317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72</v>
      </c>
      <c r="H9" s="3" t="s">
        <v>73</v>
      </c>
      <c r="I9" s="3" t="s">
        <v>54</v>
      </c>
      <c r="J9" s="3" t="s">
        <v>55</v>
      </c>
      <c r="K9" s="3" t="s">
        <v>216</v>
      </c>
      <c r="L9" s="3" t="s">
        <v>227</v>
      </c>
      <c r="M9" s="3" t="s">
        <v>217</v>
      </c>
      <c r="N9" s="3" t="s">
        <v>59</v>
      </c>
      <c r="O9" s="3" t="s">
        <v>59</v>
      </c>
      <c r="P9" s="3" t="s">
        <v>59</v>
      </c>
      <c r="Q9" s="3" t="s">
        <v>77</v>
      </c>
      <c r="R9" s="3" t="s">
        <v>61</v>
      </c>
      <c r="S9" s="3" t="s">
        <v>63</v>
      </c>
      <c r="T9" s="1">
        <v>0</v>
      </c>
      <c r="U9" s="1">
        <v>11000</v>
      </c>
      <c r="V9" s="1">
        <v>0</v>
      </c>
      <c r="W9" s="1">
        <v>500</v>
      </c>
      <c r="X9" s="1">
        <v>11000</v>
      </c>
      <c r="Y9" s="1">
        <v>500</v>
      </c>
      <c r="Z9" s="1">
        <v>11500</v>
      </c>
      <c r="AA9" s="1">
        <v>0</v>
      </c>
      <c r="AB9" s="1">
        <v>11000</v>
      </c>
      <c r="AC9" s="1">
        <v>0</v>
      </c>
      <c r="AD9" s="1">
        <v>500</v>
      </c>
      <c r="AE9" s="1">
        <v>11000</v>
      </c>
      <c r="AF9" s="1">
        <v>500</v>
      </c>
      <c r="AG9" s="1">
        <v>11500</v>
      </c>
      <c r="AH9" s="1">
        <v>0</v>
      </c>
      <c r="AI9" s="1">
        <v>10670</v>
      </c>
      <c r="AJ9" s="1">
        <v>0</v>
      </c>
      <c r="AK9" s="1">
        <v>450</v>
      </c>
      <c r="AL9" s="1">
        <v>10670</v>
      </c>
      <c r="AM9" s="1">
        <v>450</v>
      </c>
      <c r="AN9" s="1">
        <v>11120</v>
      </c>
      <c r="AO9" s="6" t="s">
        <v>215</v>
      </c>
      <c r="AP9" s="6" t="s">
        <v>215</v>
      </c>
      <c r="AQ9" s="6" t="s">
        <v>215</v>
      </c>
      <c r="AR9" s="6" t="s">
        <v>215</v>
      </c>
      <c r="AS9" s="1">
        <v>6672</v>
      </c>
      <c r="AT9" s="1">
        <v>0</v>
      </c>
      <c r="AU9" s="1">
        <v>6672</v>
      </c>
    </row>
    <row r="10" spans="1:47" s="3" customFormat="1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72</v>
      </c>
      <c r="H10" s="3" t="s">
        <v>73</v>
      </c>
      <c r="I10" s="3" t="s">
        <v>54</v>
      </c>
      <c r="J10" s="3" t="s">
        <v>55</v>
      </c>
      <c r="K10" s="3" t="s">
        <v>81</v>
      </c>
      <c r="L10" s="3" t="s">
        <v>82</v>
      </c>
      <c r="M10" s="3" t="s">
        <v>83</v>
      </c>
      <c r="N10" s="3" t="s">
        <v>59</v>
      </c>
      <c r="O10" s="3" t="s">
        <v>59</v>
      </c>
      <c r="P10" s="3" t="s">
        <v>59</v>
      </c>
      <c r="Q10" s="3" t="s">
        <v>77</v>
      </c>
      <c r="R10" s="3" t="s">
        <v>61</v>
      </c>
      <c r="S10" s="3" t="s">
        <v>62</v>
      </c>
      <c r="T10" s="1">
        <v>7780</v>
      </c>
      <c r="U10" s="1">
        <v>6000</v>
      </c>
      <c r="V10" s="1">
        <v>1500</v>
      </c>
      <c r="W10" s="1">
        <v>74520</v>
      </c>
      <c r="X10" s="1">
        <v>15280</v>
      </c>
      <c r="Y10" s="1">
        <v>74520</v>
      </c>
      <c r="Z10" s="1">
        <v>89800</v>
      </c>
      <c r="AA10" s="1">
        <v>9336</v>
      </c>
      <c r="AB10" s="1">
        <v>6000</v>
      </c>
      <c r="AC10" s="1">
        <v>1800</v>
      </c>
      <c r="AD10" s="1">
        <v>74520</v>
      </c>
      <c r="AE10" s="1">
        <v>17136</v>
      </c>
      <c r="AF10" s="1">
        <v>74520</v>
      </c>
      <c r="AG10" s="1">
        <v>91656</v>
      </c>
      <c r="AH10" s="1">
        <v>8402.4</v>
      </c>
      <c r="AI10" s="1">
        <v>5820</v>
      </c>
      <c r="AJ10" s="1">
        <v>1260</v>
      </c>
      <c r="AK10" s="1">
        <v>67068</v>
      </c>
      <c r="AL10" s="1">
        <v>15482.4</v>
      </c>
      <c r="AM10" s="1">
        <v>67068</v>
      </c>
      <c r="AN10" s="1">
        <v>82550.399999999994</v>
      </c>
      <c r="AO10" s="6" t="s">
        <v>215</v>
      </c>
      <c r="AP10" s="6" t="s">
        <v>215</v>
      </c>
      <c r="AQ10" s="6" t="s">
        <v>215</v>
      </c>
      <c r="AR10" s="6" t="s">
        <v>215</v>
      </c>
      <c r="AS10" s="1">
        <v>49530</v>
      </c>
      <c r="AT10" s="1">
        <v>0</v>
      </c>
      <c r="AU10" s="1">
        <v>49530</v>
      </c>
    </row>
    <row r="11" spans="1:47" s="3" customFormat="1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72</v>
      </c>
      <c r="H11" s="3" t="s">
        <v>73</v>
      </c>
      <c r="I11" s="3" t="s">
        <v>54</v>
      </c>
      <c r="J11" s="3" t="s">
        <v>55</v>
      </c>
      <c r="K11" s="3" t="s">
        <v>81</v>
      </c>
      <c r="L11" s="3" t="s">
        <v>82</v>
      </c>
      <c r="M11" s="3" t="s">
        <v>83</v>
      </c>
      <c r="N11" s="3" t="s">
        <v>59</v>
      </c>
      <c r="O11" s="3" t="s">
        <v>59</v>
      </c>
      <c r="P11" s="3" t="s">
        <v>59</v>
      </c>
      <c r="Q11" s="3" t="s">
        <v>77</v>
      </c>
      <c r="R11" s="3" t="s">
        <v>61</v>
      </c>
      <c r="S11" s="3" t="s">
        <v>63</v>
      </c>
      <c r="T11" s="1">
        <v>24900</v>
      </c>
      <c r="U11" s="1">
        <v>38900</v>
      </c>
      <c r="V11" s="1">
        <v>1800</v>
      </c>
      <c r="W11" s="1">
        <v>77300</v>
      </c>
      <c r="X11" s="1">
        <v>65600</v>
      </c>
      <c r="Y11" s="1">
        <v>77300</v>
      </c>
      <c r="Z11" s="1">
        <v>142900</v>
      </c>
      <c r="AA11" s="1">
        <v>29880</v>
      </c>
      <c r="AB11" s="1">
        <v>38900</v>
      </c>
      <c r="AC11" s="1">
        <v>2160</v>
      </c>
      <c r="AD11" s="1">
        <v>77300</v>
      </c>
      <c r="AE11" s="1">
        <v>70940</v>
      </c>
      <c r="AF11" s="1">
        <v>77300</v>
      </c>
      <c r="AG11" s="1">
        <v>148240</v>
      </c>
      <c r="AH11" s="1">
        <v>26892</v>
      </c>
      <c r="AI11" s="1">
        <v>37733</v>
      </c>
      <c r="AJ11" s="1">
        <v>1512</v>
      </c>
      <c r="AK11" s="1">
        <v>69570</v>
      </c>
      <c r="AL11" s="1">
        <v>66137</v>
      </c>
      <c r="AM11" s="1">
        <v>69570</v>
      </c>
      <c r="AN11" s="1">
        <v>135707</v>
      </c>
      <c r="AO11" s="6" t="s">
        <v>215</v>
      </c>
      <c r="AP11" s="6" t="s">
        <v>215</v>
      </c>
      <c r="AQ11" s="6" t="s">
        <v>215</v>
      </c>
      <c r="AR11" s="6" t="s">
        <v>215</v>
      </c>
      <c r="AS11" s="1">
        <v>81424</v>
      </c>
      <c r="AT11" s="1">
        <v>0</v>
      </c>
      <c r="AU11" s="1">
        <v>81424</v>
      </c>
    </row>
    <row r="12" spans="1:47" s="3" customFormat="1" x14ac:dyDescent="0.3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72</v>
      </c>
      <c r="H12" s="3" t="s">
        <v>73</v>
      </c>
      <c r="I12" s="3" t="s">
        <v>54</v>
      </c>
      <c r="J12" s="3" t="s">
        <v>55</v>
      </c>
      <c r="K12" s="3" t="s">
        <v>81</v>
      </c>
      <c r="L12" s="3" t="s">
        <v>82</v>
      </c>
      <c r="M12" s="3" t="s">
        <v>83</v>
      </c>
      <c r="N12" s="3" t="s">
        <v>59</v>
      </c>
      <c r="O12" s="3" t="s">
        <v>59</v>
      </c>
      <c r="P12" s="3" t="s">
        <v>59</v>
      </c>
      <c r="Q12" s="3" t="s">
        <v>77</v>
      </c>
      <c r="R12" s="3" t="s">
        <v>61</v>
      </c>
      <c r="S12" s="3" t="s">
        <v>63</v>
      </c>
      <c r="T12" s="1">
        <v>98950</v>
      </c>
      <c r="U12" s="1">
        <v>61600</v>
      </c>
      <c r="V12" s="1">
        <v>0</v>
      </c>
      <c r="W12" s="1">
        <v>1450</v>
      </c>
      <c r="X12" s="1">
        <v>160550</v>
      </c>
      <c r="Y12" s="1">
        <v>1450</v>
      </c>
      <c r="Z12" s="1">
        <v>162000</v>
      </c>
      <c r="AA12" s="1">
        <v>118740</v>
      </c>
      <c r="AB12" s="1">
        <v>61600</v>
      </c>
      <c r="AC12" s="1">
        <v>0</v>
      </c>
      <c r="AD12" s="1">
        <v>1450</v>
      </c>
      <c r="AE12" s="1">
        <v>180340</v>
      </c>
      <c r="AF12" s="1">
        <v>1450</v>
      </c>
      <c r="AG12" s="1">
        <v>181790</v>
      </c>
      <c r="AH12" s="1">
        <v>106866</v>
      </c>
      <c r="AI12" s="1">
        <v>59752</v>
      </c>
      <c r="AJ12" s="1">
        <v>0</v>
      </c>
      <c r="AK12" s="1">
        <v>1305</v>
      </c>
      <c r="AL12" s="1">
        <v>166618</v>
      </c>
      <c r="AM12" s="1">
        <v>1305</v>
      </c>
      <c r="AN12" s="1">
        <v>167923</v>
      </c>
      <c r="AO12" s="6" t="s">
        <v>215</v>
      </c>
      <c r="AP12" s="6" t="s">
        <v>215</v>
      </c>
      <c r="AQ12" s="6" t="s">
        <v>215</v>
      </c>
      <c r="AR12" s="6" t="s">
        <v>215</v>
      </c>
      <c r="AS12" s="1">
        <v>100754</v>
      </c>
      <c r="AT12" s="1">
        <v>0</v>
      </c>
      <c r="AU12" s="1">
        <v>100754</v>
      </c>
    </row>
    <row r="13" spans="1:47" s="3" customFormat="1" x14ac:dyDescent="0.3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72</v>
      </c>
      <c r="H13" s="3" t="s">
        <v>73</v>
      </c>
      <c r="I13" s="3" t="s">
        <v>54</v>
      </c>
      <c r="J13" s="3" t="s">
        <v>55</v>
      </c>
      <c r="K13" s="3" t="s">
        <v>81</v>
      </c>
      <c r="L13" s="3" t="s">
        <v>82</v>
      </c>
      <c r="M13" s="3" t="s">
        <v>83</v>
      </c>
      <c r="N13" s="3" t="s">
        <v>59</v>
      </c>
      <c r="O13" s="3" t="s">
        <v>59</v>
      </c>
      <c r="P13" s="3" t="s">
        <v>59</v>
      </c>
      <c r="Q13" s="3" t="s">
        <v>77</v>
      </c>
      <c r="R13" s="3" t="s">
        <v>61</v>
      </c>
      <c r="S13" s="3" t="s">
        <v>63</v>
      </c>
      <c r="T13" s="1">
        <v>27000</v>
      </c>
      <c r="U13" s="1">
        <v>0</v>
      </c>
      <c r="V13" s="1">
        <v>0</v>
      </c>
      <c r="W13" s="1">
        <v>0</v>
      </c>
      <c r="X13" s="1">
        <v>27000</v>
      </c>
      <c r="Y13" s="1">
        <v>0</v>
      </c>
      <c r="Z13" s="1">
        <v>27000</v>
      </c>
      <c r="AA13" s="1">
        <v>32400</v>
      </c>
      <c r="AB13" s="1">
        <v>0</v>
      </c>
      <c r="AC13" s="1">
        <v>0</v>
      </c>
      <c r="AD13" s="1">
        <v>0</v>
      </c>
      <c r="AE13" s="1">
        <v>32400</v>
      </c>
      <c r="AF13" s="1">
        <v>0</v>
      </c>
      <c r="AG13" s="1">
        <v>32400</v>
      </c>
      <c r="AH13" s="1">
        <v>29160</v>
      </c>
      <c r="AI13" s="1">
        <v>0</v>
      </c>
      <c r="AJ13" s="1">
        <v>0</v>
      </c>
      <c r="AK13" s="1">
        <v>0</v>
      </c>
      <c r="AL13" s="1">
        <v>29160</v>
      </c>
      <c r="AM13" s="1">
        <v>0</v>
      </c>
      <c r="AN13" s="1">
        <v>29160</v>
      </c>
      <c r="AO13" s="6" t="s">
        <v>215</v>
      </c>
      <c r="AP13" s="6" t="s">
        <v>215</v>
      </c>
      <c r="AQ13" s="6" t="s">
        <v>215</v>
      </c>
      <c r="AR13" s="6" t="s">
        <v>215</v>
      </c>
      <c r="AS13" s="1">
        <v>17496</v>
      </c>
      <c r="AT13" s="1">
        <v>0</v>
      </c>
      <c r="AU13" s="1">
        <v>17496</v>
      </c>
    </row>
    <row r="14" spans="1:47" s="3" customFormat="1" x14ac:dyDescent="0.3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72</v>
      </c>
      <c r="H14" s="3" t="s">
        <v>73</v>
      </c>
      <c r="I14" s="3" t="s">
        <v>54</v>
      </c>
      <c r="J14" s="3" t="s">
        <v>55</v>
      </c>
      <c r="K14" s="3" t="s">
        <v>84</v>
      </c>
      <c r="L14" s="3" t="s">
        <v>85</v>
      </c>
      <c r="M14" s="3" t="s">
        <v>86</v>
      </c>
      <c r="N14" s="3" t="s">
        <v>59</v>
      </c>
      <c r="O14" s="3" t="s">
        <v>59</v>
      </c>
      <c r="P14" s="3" t="s">
        <v>59</v>
      </c>
      <c r="Q14" s="3" t="s">
        <v>77</v>
      </c>
      <c r="R14" s="3" t="s">
        <v>61</v>
      </c>
      <c r="S14" s="3" t="s">
        <v>62</v>
      </c>
      <c r="T14" s="1">
        <v>1800</v>
      </c>
      <c r="U14" s="1">
        <v>0</v>
      </c>
      <c r="V14" s="1">
        <v>0</v>
      </c>
      <c r="W14" s="1">
        <v>4500</v>
      </c>
      <c r="X14" s="1">
        <v>1800</v>
      </c>
      <c r="Y14" s="1">
        <v>4500</v>
      </c>
      <c r="Z14" s="1">
        <v>6300</v>
      </c>
      <c r="AA14" s="1">
        <v>2160</v>
      </c>
      <c r="AB14" s="1">
        <v>0</v>
      </c>
      <c r="AC14" s="1">
        <v>0</v>
      </c>
      <c r="AD14" s="1">
        <v>4500</v>
      </c>
      <c r="AE14" s="1">
        <v>2160</v>
      </c>
      <c r="AF14" s="1">
        <v>4500</v>
      </c>
      <c r="AG14" s="1">
        <v>6660</v>
      </c>
      <c r="AH14" s="1">
        <v>1944</v>
      </c>
      <c r="AI14" s="1">
        <v>0</v>
      </c>
      <c r="AJ14" s="1">
        <v>0</v>
      </c>
      <c r="AK14" s="1">
        <v>4050</v>
      </c>
      <c r="AL14" s="1">
        <v>1944</v>
      </c>
      <c r="AM14" s="1">
        <v>4050</v>
      </c>
      <c r="AN14" s="1">
        <v>5994</v>
      </c>
      <c r="AO14" s="6" t="s">
        <v>215</v>
      </c>
      <c r="AP14" s="6" t="s">
        <v>215</v>
      </c>
      <c r="AQ14" s="6" t="s">
        <v>215</v>
      </c>
      <c r="AR14" s="6" t="s">
        <v>215</v>
      </c>
      <c r="AS14" s="1">
        <v>3596</v>
      </c>
      <c r="AT14" s="1">
        <v>0</v>
      </c>
      <c r="AU14" s="1">
        <v>3596</v>
      </c>
    </row>
    <row r="15" spans="1:47" s="3" customFormat="1" x14ac:dyDescent="0.3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72</v>
      </c>
      <c r="H15" s="3" t="s">
        <v>73</v>
      </c>
      <c r="I15" s="3" t="s">
        <v>54</v>
      </c>
      <c r="J15" s="3" t="s">
        <v>55</v>
      </c>
      <c r="K15" s="3" t="s">
        <v>84</v>
      </c>
      <c r="L15" s="3" t="s">
        <v>85</v>
      </c>
      <c r="M15" s="3" t="s">
        <v>86</v>
      </c>
      <c r="N15" s="3" t="s">
        <v>59</v>
      </c>
      <c r="O15" s="3" t="s">
        <v>59</v>
      </c>
      <c r="P15" s="3" t="s">
        <v>59</v>
      </c>
      <c r="Q15" s="3" t="s">
        <v>77</v>
      </c>
      <c r="R15" s="3" t="s">
        <v>61</v>
      </c>
      <c r="S15" s="3" t="s">
        <v>63</v>
      </c>
      <c r="T15" s="1">
        <v>0</v>
      </c>
      <c r="U15" s="1">
        <v>1300</v>
      </c>
      <c r="V15" s="1">
        <v>0</v>
      </c>
      <c r="W15" s="1">
        <v>500</v>
      </c>
      <c r="X15" s="1">
        <v>1300</v>
      </c>
      <c r="Y15" s="1">
        <v>500</v>
      </c>
      <c r="Z15" s="1">
        <v>1800</v>
      </c>
      <c r="AA15" s="1">
        <v>0</v>
      </c>
      <c r="AB15" s="1">
        <v>1300</v>
      </c>
      <c r="AC15" s="1">
        <v>0</v>
      </c>
      <c r="AD15" s="1">
        <v>500</v>
      </c>
      <c r="AE15" s="1">
        <v>1300</v>
      </c>
      <c r="AF15" s="1">
        <v>500</v>
      </c>
      <c r="AG15" s="1">
        <v>1800</v>
      </c>
      <c r="AH15" s="1">
        <v>0</v>
      </c>
      <c r="AI15" s="1">
        <v>1261</v>
      </c>
      <c r="AJ15" s="1">
        <v>0</v>
      </c>
      <c r="AK15" s="1">
        <v>450</v>
      </c>
      <c r="AL15" s="1">
        <v>1261</v>
      </c>
      <c r="AM15" s="1">
        <v>450</v>
      </c>
      <c r="AN15" s="1">
        <v>1711</v>
      </c>
      <c r="AO15" s="6" t="s">
        <v>215</v>
      </c>
      <c r="AP15" s="6" t="s">
        <v>215</v>
      </c>
      <c r="AQ15" s="6" t="s">
        <v>215</v>
      </c>
      <c r="AR15" s="6" t="s">
        <v>215</v>
      </c>
      <c r="AS15" s="1">
        <v>1027</v>
      </c>
      <c r="AT15" s="1">
        <v>0</v>
      </c>
      <c r="AU15" s="1">
        <v>1027</v>
      </c>
    </row>
    <row r="16" spans="1:47" s="3" customFormat="1" x14ac:dyDescent="0.3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72</v>
      </c>
      <c r="H16" s="3" t="s">
        <v>73</v>
      </c>
      <c r="I16" s="3" t="s">
        <v>54</v>
      </c>
      <c r="J16" s="3" t="s">
        <v>55</v>
      </c>
      <c r="K16" s="3" t="s">
        <v>84</v>
      </c>
      <c r="L16" s="3" t="s">
        <v>85</v>
      </c>
      <c r="M16" s="3" t="s">
        <v>86</v>
      </c>
      <c r="N16" s="3" t="s">
        <v>59</v>
      </c>
      <c r="O16" s="3" t="s">
        <v>59</v>
      </c>
      <c r="P16" s="3" t="s">
        <v>59</v>
      </c>
      <c r="Q16" s="3" t="s">
        <v>77</v>
      </c>
      <c r="R16" s="3" t="s">
        <v>61</v>
      </c>
      <c r="S16" s="3" t="s">
        <v>63</v>
      </c>
      <c r="T16" s="1">
        <v>5400</v>
      </c>
      <c r="U16" s="1">
        <v>5400</v>
      </c>
      <c r="V16" s="1">
        <v>0</v>
      </c>
      <c r="W16" s="1">
        <v>0</v>
      </c>
      <c r="X16" s="1">
        <v>10800</v>
      </c>
      <c r="Y16" s="1">
        <v>0</v>
      </c>
      <c r="Z16" s="1">
        <v>10800</v>
      </c>
      <c r="AA16" s="1">
        <v>6480</v>
      </c>
      <c r="AB16" s="1">
        <v>5400</v>
      </c>
      <c r="AC16" s="1">
        <v>0</v>
      </c>
      <c r="AD16" s="1">
        <v>0</v>
      </c>
      <c r="AE16" s="1">
        <v>11880</v>
      </c>
      <c r="AF16" s="1">
        <v>0</v>
      </c>
      <c r="AG16" s="1">
        <v>11880</v>
      </c>
      <c r="AH16" s="1">
        <v>5832</v>
      </c>
      <c r="AI16" s="1">
        <v>5238</v>
      </c>
      <c r="AJ16" s="1">
        <v>0</v>
      </c>
      <c r="AK16" s="1">
        <v>0</v>
      </c>
      <c r="AL16" s="1">
        <v>11070</v>
      </c>
      <c r="AM16" s="1">
        <v>0</v>
      </c>
      <c r="AN16" s="1">
        <v>11070</v>
      </c>
      <c r="AO16" s="6" t="s">
        <v>215</v>
      </c>
      <c r="AP16" s="6" t="s">
        <v>215</v>
      </c>
      <c r="AQ16" s="6" t="s">
        <v>215</v>
      </c>
      <c r="AR16" s="6" t="s">
        <v>215</v>
      </c>
      <c r="AS16" s="1">
        <v>6642</v>
      </c>
      <c r="AT16" s="1">
        <v>0</v>
      </c>
      <c r="AU16" s="1">
        <v>6642</v>
      </c>
    </row>
    <row r="17" spans="1:47" s="3" customFormat="1" x14ac:dyDescent="0.3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72</v>
      </c>
      <c r="H17" s="3" t="s">
        <v>73</v>
      </c>
      <c r="I17" s="3" t="s">
        <v>54</v>
      </c>
      <c r="J17" s="3" t="s">
        <v>55</v>
      </c>
      <c r="K17" s="3" t="s">
        <v>84</v>
      </c>
      <c r="L17" s="3" t="s">
        <v>85</v>
      </c>
      <c r="M17" s="3" t="s">
        <v>86</v>
      </c>
      <c r="N17" s="3" t="s">
        <v>59</v>
      </c>
      <c r="O17" s="3" t="s">
        <v>59</v>
      </c>
      <c r="P17" s="3" t="s">
        <v>59</v>
      </c>
      <c r="Q17" s="3" t="s">
        <v>77</v>
      </c>
      <c r="R17" s="3" t="s">
        <v>61</v>
      </c>
      <c r="S17" s="3" t="s">
        <v>63</v>
      </c>
      <c r="T17" s="1">
        <v>14300</v>
      </c>
      <c r="U17" s="1">
        <v>3700</v>
      </c>
      <c r="V17" s="1">
        <v>0</v>
      </c>
      <c r="W17" s="1">
        <v>0</v>
      </c>
      <c r="X17" s="1">
        <v>18000</v>
      </c>
      <c r="Y17" s="1">
        <v>0</v>
      </c>
      <c r="Z17" s="1">
        <v>18000</v>
      </c>
      <c r="AA17" s="1">
        <v>17160</v>
      </c>
      <c r="AB17" s="1">
        <v>3700</v>
      </c>
      <c r="AC17" s="1">
        <v>0</v>
      </c>
      <c r="AD17" s="1">
        <v>0</v>
      </c>
      <c r="AE17" s="1">
        <v>20860</v>
      </c>
      <c r="AF17" s="1">
        <v>0</v>
      </c>
      <c r="AG17" s="1">
        <v>20860</v>
      </c>
      <c r="AH17" s="1">
        <v>15444</v>
      </c>
      <c r="AI17" s="1">
        <v>3589</v>
      </c>
      <c r="AJ17" s="1">
        <v>0</v>
      </c>
      <c r="AK17" s="1">
        <v>0</v>
      </c>
      <c r="AL17" s="1">
        <v>19033</v>
      </c>
      <c r="AM17" s="1">
        <v>0</v>
      </c>
      <c r="AN17" s="1">
        <v>19033</v>
      </c>
      <c r="AO17" s="6" t="s">
        <v>215</v>
      </c>
      <c r="AP17" s="6" t="s">
        <v>215</v>
      </c>
      <c r="AQ17" s="6" t="s">
        <v>215</v>
      </c>
      <c r="AR17" s="6" t="s">
        <v>215</v>
      </c>
      <c r="AS17" s="1">
        <v>11419</v>
      </c>
      <c r="AT17" s="1">
        <v>0</v>
      </c>
      <c r="AU17" s="1">
        <v>11419</v>
      </c>
    </row>
    <row r="18" spans="1:47" s="3" customFormat="1" x14ac:dyDescent="0.3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72</v>
      </c>
      <c r="H18" s="3" t="s">
        <v>73</v>
      </c>
      <c r="I18" s="3" t="s">
        <v>54</v>
      </c>
      <c r="J18" s="3" t="s">
        <v>55</v>
      </c>
      <c r="K18" s="3" t="s">
        <v>87</v>
      </c>
      <c r="L18" s="3" t="s">
        <v>88</v>
      </c>
      <c r="M18" s="3" t="s">
        <v>89</v>
      </c>
      <c r="N18" s="3" t="s">
        <v>59</v>
      </c>
      <c r="O18" s="3" t="s">
        <v>59</v>
      </c>
      <c r="P18" s="3" t="s">
        <v>59</v>
      </c>
      <c r="Q18" s="3" t="s">
        <v>77</v>
      </c>
      <c r="R18" s="3" t="s">
        <v>61</v>
      </c>
      <c r="S18" s="3" t="s">
        <v>62</v>
      </c>
      <c r="T18" s="1">
        <v>0</v>
      </c>
      <c r="U18" s="1">
        <v>0</v>
      </c>
      <c r="V18" s="1">
        <v>0</v>
      </c>
      <c r="W18" s="1">
        <v>3900</v>
      </c>
      <c r="X18" s="1">
        <v>0</v>
      </c>
      <c r="Y18" s="1">
        <v>3900</v>
      </c>
      <c r="Z18" s="1">
        <v>3900</v>
      </c>
      <c r="AA18" s="1">
        <v>0</v>
      </c>
      <c r="AB18" s="1">
        <v>0</v>
      </c>
      <c r="AC18" s="1">
        <v>0</v>
      </c>
      <c r="AD18" s="1">
        <v>3900</v>
      </c>
      <c r="AE18" s="1">
        <v>0</v>
      </c>
      <c r="AF18" s="1">
        <v>3900</v>
      </c>
      <c r="AG18" s="1">
        <v>3900</v>
      </c>
      <c r="AH18" s="1">
        <v>0</v>
      </c>
      <c r="AI18" s="1">
        <v>0</v>
      </c>
      <c r="AJ18" s="1">
        <v>0</v>
      </c>
      <c r="AK18" s="1">
        <v>3510</v>
      </c>
      <c r="AL18" s="1">
        <v>0</v>
      </c>
      <c r="AM18" s="1">
        <v>3510</v>
      </c>
      <c r="AN18" s="1">
        <v>3510</v>
      </c>
      <c r="AO18" s="6" t="s">
        <v>215</v>
      </c>
      <c r="AP18" s="6" t="s">
        <v>215</v>
      </c>
      <c r="AQ18" s="6" t="s">
        <v>215</v>
      </c>
      <c r="AR18" s="6" t="s">
        <v>215</v>
      </c>
      <c r="AS18" s="1">
        <v>2106</v>
      </c>
      <c r="AT18" s="1">
        <v>0</v>
      </c>
      <c r="AU18" s="1">
        <v>2106</v>
      </c>
    </row>
    <row r="19" spans="1:47" s="3" customFormat="1" x14ac:dyDescent="0.3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72</v>
      </c>
      <c r="H19" s="3" t="s">
        <v>73</v>
      </c>
      <c r="I19" s="3" t="s">
        <v>54</v>
      </c>
      <c r="J19" s="3" t="s">
        <v>55</v>
      </c>
      <c r="K19" s="3" t="s">
        <v>87</v>
      </c>
      <c r="L19" s="3" t="s">
        <v>88</v>
      </c>
      <c r="M19" s="3" t="s">
        <v>89</v>
      </c>
      <c r="N19" s="3" t="s">
        <v>59</v>
      </c>
      <c r="O19" s="3" t="s">
        <v>59</v>
      </c>
      <c r="P19" s="3" t="s">
        <v>59</v>
      </c>
      <c r="Q19" s="3" t="s">
        <v>77</v>
      </c>
      <c r="R19" s="3" t="s">
        <v>61</v>
      </c>
      <c r="S19" s="3" t="s">
        <v>63</v>
      </c>
      <c r="T19" s="1">
        <v>0</v>
      </c>
      <c r="U19" s="1">
        <v>0</v>
      </c>
      <c r="V19" s="1">
        <v>0</v>
      </c>
      <c r="W19" s="1">
        <v>2300</v>
      </c>
      <c r="X19" s="1">
        <v>0</v>
      </c>
      <c r="Y19" s="1">
        <v>2300</v>
      </c>
      <c r="Z19" s="1">
        <v>2300</v>
      </c>
      <c r="AA19" s="1">
        <v>0</v>
      </c>
      <c r="AB19" s="1">
        <v>0</v>
      </c>
      <c r="AC19" s="1">
        <v>0</v>
      </c>
      <c r="AD19" s="1">
        <v>2300</v>
      </c>
      <c r="AE19" s="1">
        <v>0</v>
      </c>
      <c r="AF19" s="1">
        <v>2300</v>
      </c>
      <c r="AG19" s="1">
        <v>2300</v>
      </c>
      <c r="AH19" s="1">
        <v>0</v>
      </c>
      <c r="AI19" s="1">
        <v>0</v>
      </c>
      <c r="AJ19" s="1">
        <v>0</v>
      </c>
      <c r="AK19" s="1">
        <v>2070</v>
      </c>
      <c r="AL19" s="1">
        <v>0</v>
      </c>
      <c r="AM19" s="1">
        <v>2070</v>
      </c>
      <c r="AN19" s="1">
        <v>2070</v>
      </c>
      <c r="AO19" s="6" t="s">
        <v>215</v>
      </c>
      <c r="AP19" s="6" t="s">
        <v>215</v>
      </c>
      <c r="AQ19" s="6" t="s">
        <v>215</v>
      </c>
      <c r="AR19" s="6" t="s">
        <v>215</v>
      </c>
      <c r="AS19" s="1">
        <v>1242</v>
      </c>
      <c r="AT19" s="1">
        <v>0</v>
      </c>
      <c r="AU19" s="1">
        <v>1242</v>
      </c>
    </row>
    <row r="20" spans="1:47" s="3" customFormat="1" x14ac:dyDescent="0.3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72</v>
      </c>
      <c r="H20" s="3" t="s">
        <v>73</v>
      </c>
      <c r="I20" s="3" t="s">
        <v>54</v>
      </c>
      <c r="J20" s="3" t="s">
        <v>55</v>
      </c>
      <c r="K20" s="3" t="s">
        <v>90</v>
      </c>
      <c r="L20" s="3" t="s">
        <v>91</v>
      </c>
      <c r="M20" s="3" t="s">
        <v>92</v>
      </c>
      <c r="N20" s="3" t="s">
        <v>59</v>
      </c>
      <c r="O20" s="3" t="s">
        <v>59</v>
      </c>
      <c r="P20" s="3" t="s">
        <v>59</v>
      </c>
      <c r="Q20" s="3" t="s">
        <v>77</v>
      </c>
      <c r="R20" s="3" t="s">
        <v>61</v>
      </c>
      <c r="S20" s="3" t="s">
        <v>62</v>
      </c>
      <c r="T20" s="1">
        <v>1492020</v>
      </c>
      <c r="U20" s="1">
        <v>1120550</v>
      </c>
      <c r="V20" s="1">
        <v>103970</v>
      </c>
      <c r="W20" s="1">
        <v>5029160</v>
      </c>
      <c r="X20" s="1">
        <v>2716540</v>
      </c>
      <c r="Y20" s="1">
        <v>5029160</v>
      </c>
      <c r="Z20" s="1">
        <v>7745700</v>
      </c>
      <c r="AA20" s="1">
        <v>1790424</v>
      </c>
      <c r="AB20" s="1">
        <v>1120550</v>
      </c>
      <c r="AC20" s="1">
        <v>124854</v>
      </c>
      <c r="AD20" s="1">
        <v>5029160</v>
      </c>
      <c r="AE20" s="1">
        <v>3035828</v>
      </c>
      <c r="AF20" s="1">
        <v>5029160</v>
      </c>
      <c r="AG20" s="1">
        <v>8064988</v>
      </c>
      <c r="AH20" s="1">
        <v>1611381.6</v>
      </c>
      <c r="AI20" s="1">
        <v>1086933.5</v>
      </c>
      <c r="AJ20" s="1">
        <v>87397.8</v>
      </c>
      <c r="AK20" s="1">
        <v>4526244</v>
      </c>
      <c r="AL20" s="1">
        <v>2785712.9</v>
      </c>
      <c r="AM20" s="1">
        <v>4526244</v>
      </c>
      <c r="AN20" s="1">
        <v>7311956.9000000004</v>
      </c>
      <c r="AO20" s="6" t="s">
        <v>215</v>
      </c>
      <c r="AP20" s="6" t="s">
        <v>215</v>
      </c>
      <c r="AQ20" s="6" t="s">
        <v>215</v>
      </c>
      <c r="AR20" s="6" t="s">
        <v>215</v>
      </c>
      <c r="AS20" s="1">
        <v>4387174</v>
      </c>
      <c r="AT20" s="1">
        <v>0</v>
      </c>
      <c r="AU20" s="1">
        <v>4387174</v>
      </c>
    </row>
    <row r="21" spans="1:47" s="3" customFormat="1" x14ac:dyDescent="0.3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72</v>
      </c>
      <c r="H21" s="3" t="s">
        <v>73</v>
      </c>
      <c r="I21" s="3" t="s">
        <v>54</v>
      </c>
      <c r="J21" s="3" t="s">
        <v>55</v>
      </c>
      <c r="K21" s="3" t="s">
        <v>90</v>
      </c>
      <c r="L21" s="3" t="s">
        <v>91</v>
      </c>
      <c r="M21" s="3" t="s">
        <v>92</v>
      </c>
      <c r="N21" s="3" t="s">
        <v>59</v>
      </c>
      <c r="O21" s="3" t="s">
        <v>59</v>
      </c>
      <c r="P21" s="3" t="s">
        <v>59</v>
      </c>
      <c r="Q21" s="3" t="s">
        <v>77</v>
      </c>
      <c r="R21" s="3" t="s">
        <v>61</v>
      </c>
      <c r="S21" s="3" t="s">
        <v>63</v>
      </c>
      <c r="T21" s="1">
        <v>2345410</v>
      </c>
      <c r="U21" s="1">
        <v>2345050</v>
      </c>
      <c r="V21" s="1">
        <v>212300</v>
      </c>
      <c r="W21" s="1">
        <v>2748940</v>
      </c>
      <c r="X21" s="1">
        <v>4902760</v>
      </c>
      <c r="Y21" s="1">
        <v>2748940</v>
      </c>
      <c r="Z21" s="1">
        <v>7651700</v>
      </c>
      <c r="AA21" s="1">
        <v>2814492</v>
      </c>
      <c r="AB21" s="1">
        <v>2345050</v>
      </c>
      <c r="AC21" s="1">
        <v>254440</v>
      </c>
      <c r="AD21" s="1">
        <v>2748940</v>
      </c>
      <c r="AE21" s="1">
        <v>5413982</v>
      </c>
      <c r="AF21" s="1">
        <v>2748940</v>
      </c>
      <c r="AG21" s="1">
        <v>8162922</v>
      </c>
      <c r="AH21" s="1">
        <v>2533042.7999999998</v>
      </c>
      <c r="AI21" s="1">
        <v>2274698.5</v>
      </c>
      <c r="AJ21" s="1">
        <v>178108</v>
      </c>
      <c r="AK21" s="1">
        <v>2474046</v>
      </c>
      <c r="AL21" s="1">
        <v>4985849.3</v>
      </c>
      <c r="AM21" s="1">
        <v>2474046</v>
      </c>
      <c r="AN21" s="1">
        <v>7459895.2999999998</v>
      </c>
      <c r="AO21" s="6" t="s">
        <v>215</v>
      </c>
      <c r="AP21" s="6" t="s">
        <v>215</v>
      </c>
      <c r="AQ21" s="6" t="s">
        <v>215</v>
      </c>
      <c r="AR21" s="6" t="s">
        <v>215</v>
      </c>
      <c r="AS21" s="1">
        <v>4475938</v>
      </c>
      <c r="AT21" s="1">
        <v>0</v>
      </c>
      <c r="AU21" s="1">
        <v>4475938</v>
      </c>
    </row>
    <row r="22" spans="1:47" s="3" customFormat="1" x14ac:dyDescent="0.3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72</v>
      </c>
      <c r="H22" s="3" t="s">
        <v>73</v>
      </c>
      <c r="I22" s="3" t="s">
        <v>54</v>
      </c>
      <c r="J22" s="3" t="s">
        <v>55</v>
      </c>
      <c r="K22" s="3" t="s">
        <v>90</v>
      </c>
      <c r="L22" s="3" t="s">
        <v>91</v>
      </c>
      <c r="M22" s="3" t="s">
        <v>92</v>
      </c>
      <c r="N22" s="3" t="s">
        <v>59</v>
      </c>
      <c r="O22" s="3" t="s">
        <v>59</v>
      </c>
      <c r="P22" s="3" t="s">
        <v>59</v>
      </c>
      <c r="Q22" s="3" t="s">
        <v>77</v>
      </c>
      <c r="R22" s="3" t="s">
        <v>61</v>
      </c>
      <c r="S22" s="3" t="s">
        <v>63</v>
      </c>
      <c r="T22" s="1">
        <v>2345590</v>
      </c>
      <c r="U22" s="1">
        <v>2628940</v>
      </c>
      <c r="V22" s="1">
        <v>176430</v>
      </c>
      <c r="W22" s="1">
        <v>792340</v>
      </c>
      <c r="X22" s="1">
        <v>5150960</v>
      </c>
      <c r="Y22" s="1">
        <v>792340</v>
      </c>
      <c r="Z22" s="1">
        <v>5943300</v>
      </c>
      <c r="AA22" s="1">
        <v>2814708</v>
      </c>
      <c r="AB22" s="1">
        <v>2628940</v>
      </c>
      <c r="AC22" s="1">
        <v>211976</v>
      </c>
      <c r="AD22" s="1">
        <v>792340</v>
      </c>
      <c r="AE22" s="1">
        <v>5655624</v>
      </c>
      <c r="AF22" s="1">
        <v>792340</v>
      </c>
      <c r="AG22" s="1">
        <v>6447964</v>
      </c>
      <c r="AH22" s="1">
        <v>2533237.2000000002</v>
      </c>
      <c r="AI22" s="1">
        <v>2550071.7999999998</v>
      </c>
      <c r="AJ22" s="1">
        <v>148383.20000000001</v>
      </c>
      <c r="AK22" s="1">
        <v>713106</v>
      </c>
      <c r="AL22" s="1">
        <v>5231692.2</v>
      </c>
      <c r="AM22" s="1">
        <v>713106</v>
      </c>
      <c r="AN22" s="1">
        <v>5944798.2000000002</v>
      </c>
      <c r="AO22" s="6" t="s">
        <v>215</v>
      </c>
      <c r="AP22" s="6" t="s">
        <v>215</v>
      </c>
      <c r="AQ22" s="6" t="s">
        <v>215</v>
      </c>
      <c r="AR22" s="6" t="s">
        <v>215</v>
      </c>
      <c r="AS22" s="1">
        <v>3566879</v>
      </c>
      <c r="AT22" s="1">
        <v>0</v>
      </c>
      <c r="AU22" s="1">
        <v>3566879</v>
      </c>
    </row>
    <row r="23" spans="1:47" s="3" customFormat="1" x14ac:dyDescent="0.3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72</v>
      </c>
      <c r="H23" s="3" t="s">
        <v>73</v>
      </c>
      <c r="I23" s="3" t="s">
        <v>54</v>
      </c>
      <c r="J23" s="3" t="s">
        <v>55</v>
      </c>
      <c r="K23" s="3" t="s">
        <v>90</v>
      </c>
      <c r="L23" s="3" t="s">
        <v>91</v>
      </c>
      <c r="M23" s="3" t="s">
        <v>92</v>
      </c>
      <c r="N23" s="3" t="s">
        <v>59</v>
      </c>
      <c r="O23" s="3" t="s">
        <v>59</v>
      </c>
      <c r="P23" s="3" t="s">
        <v>59</v>
      </c>
      <c r="Q23" s="3" t="s">
        <v>77</v>
      </c>
      <c r="R23" s="3" t="s">
        <v>61</v>
      </c>
      <c r="S23" s="3" t="s">
        <v>63</v>
      </c>
      <c r="T23" s="1">
        <v>6585010</v>
      </c>
      <c r="U23" s="1">
        <v>6103960</v>
      </c>
      <c r="V23" s="1">
        <v>485000</v>
      </c>
      <c r="W23" s="1">
        <v>891030</v>
      </c>
      <c r="X23" s="1">
        <v>13173970</v>
      </c>
      <c r="Y23" s="1">
        <v>891030</v>
      </c>
      <c r="Z23" s="1">
        <v>14065000</v>
      </c>
      <c r="AA23" s="1">
        <v>7902012</v>
      </c>
      <c r="AB23" s="1">
        <v>6103960</v>
      </c>
      <c r="AC23" s="1">
        <v>578890</v>
      </c>
      <c r="AD23" s="1">
        <v>891030</v>
      </c>
      <c r="AE23" s="1">
        <v>14584862</v>
      </c>
      <c r="AF23" s="1">
        <v>891030</v>
      </c>
      <c r="AG23" s="1">
        <v>15475892</v>
      </c>
      <c r="AH23" s="1">
        <v>7111810.7999999998</v>
      </c>
      <c r="AI23" s="1">
        <v>5920841.2000000002</v>
      </c>
      <c r="AJ23" s="1">
        <v>405223</v>
      </c>
      <c r="AK23" s="1">
        <v>801927</v>
      </c>
      <c r="AL23" s="1">
        <v>13437875</v>
      </c>
      <c r="AM23" s="1">
        <v>801927</v>
      </c>
      <c r="AN23" s="1">
        <v>14239802</v>
      </c>
      <c r="AO23" s="6" t="s">
        <v>215</v>
      </c>
      <c r="AP23" s="6" t="s">
        <v>215</v>
      </c>
      <c r="AQ23" s="6" t="s">
        <v>215</v>
      </c>
      <c r="AR23" s="6" t="s">
        <v>215</v>
      </c>
      <c r="AS23" s="1">
        <v>8543881</v>
      </c>
      <c r="AT23" s="1">
        <v>0</v>
      </c>
      <c r="AU23" s="1">
        <v>8543881</v>
      </c>
    </row>
    <row r="24" spans="1:47" s="3" customFormat="1" x14ac:dyDescent="0.3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72</v>
      </c>
      <c r="H24" s="3" t="s">
        <v>73</v>
      </c>
      <c r="I24" s="3" t="s">
        <v>54</v>
      </c>
      <c r="J24" s="3" t="s">
        <v>55</v>
      </c>
      <c r="K24" s="3" t="s">
        <v>218</v>
      </c>
      <c r="L24" s="3" t="s">
        <v>219</v>
      </c>
      <c r="M24" s="3" t="s">
        <v>220</v>
      </c>
      <c r="N24" s="3" t="s">
        <v>59</v>
      </c>
      <c r="O24" s="3" t="s">
        <v>59</v>
      </c>
      <c r="P24" s="3" t="s">
        <v>59</v>
      </c>
      <c r="Q24" s="3" t="s">
        <v>77</v>
      </c>
      <c r="R24" s="3" t="s">
        <v>61</v>
      </c>
      <c r="S24" s="3" t="s">
        <v>62</v>
      </c>
      <c r="T24" s="1">
        <v>0</v>
      </c>
      <c r="U24" s="1">
        <v>600</v>
      </c>
      <c r="V24" s="1">
        <v>0</v>
      </c>
      <c r="W24" s="1">
        <v>5300</v>
      </c>
      <c r="X24" s="1">
        <v>600</v>
      </c>
      <c r="Y24" s="1">
        <v>5300</v>
      </c>
      <c r="Z24" s="1">
        <v>5900</v>
      </c>
      <c r="AA24" s="1">
        <v>0</v>
      </c>
      <c r="AB24" s="1">
        <v>600</v>
      </c>
      <c r="AC24" s="1">
        <v>0</v>
      </c>
      <c r="AD24" s="1">
        <v>5300</v>
      </c>
      <c r="AE24" s="1">
        <v>600</v>
      </c>
      <c r="AF24" s="1">
        <v>5300</v>
      </c>
      <c r="AG24" s="1">
        <v>5900</v>
      </c>
      <c r="AH24" s="1">
        <v>0</v>
      </c>
      <c r="AI24" s="1">
        <v>582</v>
      </c>
      <c r="AJ24" s="1">
        <v>0</v>
      </c>
      <c r="AK24" s="1">
        <v>4770</v>
      </c>
      <c r="AL24" s="1">
        <v>582</v>
      </c>
      <c r="AM24" s="1">
        <v>4770</v>
      </c>
      <c r="AN24" s="1">
        <v>5352</v>
      </c>
      <c r="AO24" s="6" t="s">
        <v>215</v>
      </c>
      <c r="AP24" s="6" t="s">
        <v>215</v>
      </c>
      <c r="AQ24" s="6" t="s">
        <v>215</v>
      </c>
      <c r="AR24" s="6" t="s">
        <v>215</v>
      </c>
      <c r="AS24" s="1">
        <v>3211</v>
      </c>
      <c r="AT24" s="1">
        <v>0</v>
      </c>
      <c r="AU24" s="1">
        <v>3211</v>
      </c>
    </row>
    <row r="25" spans="1:47" s="3" customFormat="1" x14ac:dyDescent="0.3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72</v>
      </c>
      <c r="H25" s="3" t="s">
        <v>73</v>
      </c>
      <c r="I25" s="3" t="s">
        <v>54</v>
      </c>
      <c r="J25" s="3" t="s">
        <v>55</v>
      </c>
      <c r="K25" s="3" t="s">
        <v>218</v>
      </c>
      <c r="L25" s="3" t="s">
        <v>219</v>
      </c>
      <c r="M25" s="3" t="s">
        <v>220</v>
      </c>
      <c r="N25" s="3" t="s">
        <v>59</v>
      </c>
      <c r="O25" s="3" t="s">
        <v>59</v>
      </c>
      <c r="P25" s="3" t="s">
        <v>59</v>
      </c>
      <c r="Q25" s="3" t="s">
        <v>77</v>
      </c>
      <c r="R25" s="3" t="s">
        <v>61</v>
      </c>
      <c r="S25" s="3" t="s">
        <v>63</v>
      </c>
      <c r="T25" s="1">
        <v>0</v>
      </c>
      <c r="U25" s="1">
        <v>2400</v>
      </c>
      <c r="V25" s="1">
        <v>0</v>
      </c>
      <c r="W25" s="1">
        <v>0</v>
      </c>
      <c r="X25" s="1">
        <v>2400</v>
      </c>
      <c r="Y25" s="1">
        <v>0</v>
      </c>
      <c r="Z25" s="1">
        <v>2400</v>
      </c>
      <c r="AA25" s="1">
        <v>0</v>
      </c>
      <c r="AB25" s="1">
        <v>2400</v>
      </c>
      <c r="AC25" s="1">
        <v>0</v>
      </c>
      <c r="AD25" s="1">
        <v>0</v>
      </c>
      <c r="AE25" s="1">
        <v>2400</v>
      </c>
      <c r="AF25" s="1">
        <v>0</v>
      </c>
      <c r="AG25" s="1">
        <v>2400</v>
      </c>
      <c r="AH25" s="1">
        <v>0</v>
      </c>
      <c r="AI25" s="1">
        <v>2328</v>
      </c>
      <c r="AJ25" s="1">
        <v>0</v>
      </c>
      <c r="AK25" s="1">
        <v>0</v>
      </c>
      <c r="AL25" s="1">
        <v>2328</v>
      </c>
      <c r="AM25" s="1">
        <v>0</v>
      </c>
      <c r="AN25" s="1">
        <v>2328</v>
      </c>
      <c r="AO25" s="6" t="s">
        <v>215</v>
      </c>
      <c r="AP25" s="6" t="s">
        <v>215</v>
      </c>
      <c r="AQ25" s="6" t="s">
        <v>215</v>
      </c>
      <c r="AR25" s="6" t="s">
        <v>215</v>
      </c>
      <c r="AS25" s="1">
        <v>1397</v>
      </c>
      <c r="AT25" s="1">
        <v>0</v>
      </c>
      <c r="AU25" s="1">
        <v>1397</v>
      </c>
    </row>
    <row r="26" spans="1:47" s="3" customFormat="1" x14ac:dyDescent="0.3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72</v>
      </c>
      <c r="H26" s="3" t="s">
        <v>73</v>
      </c>
      <c r="I26" s="3" t="s">
        <v>54</v>
      </c>
      <c r="J26" s="3" t="s">
        <v>55</v>
      </c>
      <c r="K26" s="3" t="s">
        <v>218</v>
      </c>
      <c r="L26" s="3" t="s">
        <v>219</v>
      </c>
      <c r="M26" s="3" t="s">
        <v>220</v>
      </c>
      <c r="N26" s="3" t="s">
        <v>59</v>
      </c>
      <c r="O26" s="3" t="s">
        <v>59</v>
      </c>
      <c r="P26" s="3" t="s">
        <v>59</v>
      </c>
      <c r="Q26" s="3" t="s">
        <v>77</v>
      </c>
      <c r="R26" s="3" t="s">
        <v>61</v>
      </c>
      <c r="S26" s="3" t="s">
        <v>63</v>
      </c>
      <c r="T26" s="1">
        <v>0</v>
      </c>
      <c r="U26" s="1">
        <v>4600</v>
      </c>
      <c r="V26" s="1">
        <v>0</v>
      </c>
      <c r="W26" s="1">
        <v>0</v>
      </c>
      <c r="X26" s="1">
        <v>4600</v>
      </c>
      <c r="Y26" s="1">
        <v>0</v>
      </c>
      <c r="Z26" s="1">
        <v>4600</v>
      </c>
      <c r="AA26" s="1">
        <v>0</v>
      </c>
      <c r="AB26" s="1">
        <v>4600</v>
      </c>
      <c r="AC26" s="1">
        <v>0</v>
      </c>
      <c r="AD26" s="1">
        <v>0</v>
      </c>
      <c r="AE26" s="1">
        <v>4600</v>
      </c>
      <c r="AF26" s="1">
        <v>0</v>
      </c>
      <c r="AG26" s="1">
        <v>4600</v>
      </c>
      <c r="AH26" s="1">
        <v>0</v>
      </c>
      <c r="AI26" s="1">
        <v>4462</v>
      </c>
      <c r="AJ26" s="1">
        <v>0</v>
      </c>
      <c r="AK26" s="1">
        <v>0</v>
      </c>
      <c r="AL26" s="1">
        <v>4462</v>
      </c>
      <c r="AM26" s="1">
        <v>0</v>
      </c>
      <c r="AN26" s="1">
        <v>4462</v>
      </c>
      <c r="AO26" s="6" t="s">
        <v>215</v>
      </c>
      <c r="AP26" s="6" t="s">
        <v>215</v>
      </c>
      <c r="AQ26" s="6" t="s">
        <v>215</v>
      </c>
      <c r="AR26" s="6" t="s">
        <v>215</v>
      </c>
      <c r="AS26" s="1">
        <v>2677</v>
      </c>
      <c r="AT26" s="1">
        <v>0</v>
      </c>
      <c r="AU26" s="1">
        <v>2677</v>
      </c>
    </row>
    <row r="27" spans="1:47" s="3" customFormat="1" x14ac:dyDescent="0.3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72</v>
      </c>
      <c r="H27" s="3" t="s">
        <v>73</v>
      </c>
      <c r="I27" s="3" t="s">
        <v>54</v>
      </c>
      <c r="J27" s="3" t="s">
        <v>55</v>
      </c>
      <c r="K27" s="3" t="s">
        <v>218</v>
      </c>
      <c r="L27" s="3" t="s">
        <v>219</v>
      </c>
      <c r="M27" s="3" t="s">
        <v>220</v>
      </c>
      <c r="N27" s="3" t="s">
        <v>59</v>
      </c>
      <c r="O27" s="3" t="s">
        <v>59</v>
      </c>
      <c r="P27" s="3" t="s">
        <v>59</v>
      </c>
      <c r="Q27" s="3" t="s">
        <v>77</v>
      </c>
      <c r="R27" s="3" t="s">
        <v>61</v>
      </c>
      <c r="S27" s="3" t="s">
        <v>63</v>
      </c>
      <c r="T27" s="1">
        <v>0</v>
      </c>
      <c r="U27" s="1">
        <v>9000</v>
      </c>
      <c r="V27" s="1">
        <v>0</v>
      </c>
      <c r="W27" s="1">
        <v>0</v>
      </c>
      <c r="X27" s="1">
        <v>9000</v>
      </c>
      <c r="Y27" s="1">
        <v>0</v>
      </c>
      <c r="Z27" s="1">
        <v>9000</v>
      </c>
      <c r="AA27" s="1">
        <v>0</v>
      </c>
      <c r="AB27" s="1">
        <v>9000</v>
      </c>
      <c r="AC27" s="1">
        <v>0</v>
      </c>
      <c r="AD27" s="1">
        <v>0</v>
      </c>
      <c r="AE27" s="1">
        <v>9000</v>
      </c>
      <c r="AF27" s="1">
        <v>0</v>
      </c>
      <c r="AG27" s="1">
        <v>9000</v>
      </c>
      <c r="AH27" s="1">
        <v>0</v>
      </c>
      <c r="AI27" s="1">
        <v>8730</v>
      </c>
      <c r="AJ27" s="1">
        <v>0</v>
      </c>
      <c r="AK27" s="1">
        <v>0</v>
      </c>
      <c r="AL27" s="1">
        <v>8730</v>
      </c>
      <c r="AM27" s="1">
        <v>0</v>
      </c>
      <c r="AN27" s="1">
        <v>8730</v>
      </c>
      <c r="AO27" s="6" t="s">
        <v>215</v>
      </c>
      <c r="AP27" s="6" t="s">
        <v>215</v>
      </c>
      <c r="AQ27" s="6" t="s">
        <v>215</v>
      </c>
      <c r="AR27" s="6" t="s">
        <v>215</v>
      </c>
      <c r="AS27" s="1">
        <v>5238</v>
      </c>
      <c r="AT27" s="1">
        <v>0</v>
      </c>
      <c r="AU27" s="1">
        <v>5238</v>
      </c>
    </row>
    <row r="28" spans="1:47" s="3" customFormat="1" x14ac:dyDescent="0.3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72</v>
      </c>
      <c r="H28" s="3" t="s">
        <v>73</v>
      </c>
      <c r="I28" s="3" t="s">
        <v>54</v>
      </c>
      <c r="J28" s="3" t="s">
        <v>55</v>
      </c>
      <c r="K28" s="3" t="s">
        <v>93</v>
      </c>
      <c r="L28" s="3" t="s">
        <v>94</v>
      </c>
      <c r="M28" s="3" t="s">
        <v>95</v>
      </c>
      <c r="N28" s="3" t="s">
        <v>59</v>
      </c>
      <c r="O28" s="3" t="s">
        <v>59</v>
      </c>
      <c r="P28" s="3" t="s">
        <v>59</v>
      </c>
      <c r="Q28" s="3" t="s">
        <v>77</v>
      </c>
      <c r="R28" s="3" t="s">
        <v>61</v>
      </c>
      <c r="S28" s="3" t="s">
        <v>62</v>
      </c>
      <c r="T28" s="1">
        <v>998600</v>
      </c>
      <c r="U28" s="1">
        <v>413900</v>
      </c>
      <c r="V28" s="1">
        <v>38400</v>
      </c>
      <c r="W28" s="1">
        <v>120300</v>
      </c>
      <c r="X28" s="1">
        <v>1450900</v>
      </c>
      <c r="Y28" s="1">
        <v>120300</v>
      </c>
      <c r="Z28" s="1">
        <v>1571200</v>
      </c>
      <c r="AA28" s="1">
        <v>1198320</v>
      </c>
      <c r="AB28" s="1">
        <v>413900</v>
      </c>
      <c r="AC28" s="1">
        <v>46080</v>
      </c>
      <c r="AD28" s="1">
        <v>120300</v>
      </c>
      <c r="AE28" s="1">
        <v>1658300</v>
      </c>
      <c r="AF28" s="1">
        <v>120300</v>
      </c>
      <c r="AG28" s="1">
        <v>1778600</v>
      </c>
      <c r="AH28" s="1">
        <v>1078488</v>
      </c>
      <c r="AI28" s="1">
        <v>401483</v>
      </c>
      <c r="AJ28" s="1">
        <v>32256</v>
      </c>
      <c r="AK28" s="1">
        <v>108270</v>
      </c>
      <c r="AL28" s="1">
        <v>1512227</v>
      </c>
      <c r="AM28" s="1">
        <v>108270</v>
      </c>
      <c r="AN28" s="1">
        <v>1620497</v>
      </c>
      <c r="AO28" s="6" t="s">
        <v>215</v>
      </c>
      <c r="AP28" s="6" t="s">
        <v>215</v>
      </c>
      <c r="AQ28" s="6" t="s">
        <v>215</v>
      </c>
      <c r="AR28" s="6" t="s">
        <v>215</v>
      </c>
      <c r="AS28" s="1">
        <v>972299</v>
      </c>
      <c r="AT28" s="1">
        <v>0</v>
      </c>
      <c r="AU28" s="1">
        <v>972299</v>
      </c>
    </row>
    <row r="29" spans="1:47" s="3" customFormat="1" x14ac:dyDescent="0.3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72</v>
      </c>
      <c r="H29" s="3" t="s">
        <v>73</v>
      </c>
      <c r="I29" s="3" t="s">
        <v>54</v>
      </c>
      <c r="J29" s="3" t="s">
        <v>55</v>
      </c>
      <c r="K29" s="3" t="s">
        <v>93</v>
      </c>
      <c r="L29" s="3" t="s">
        <v>94</v>
      </c>
      <c r="M29" s="3" t="s">
        <v>95</v>
      </c>
      <c r="N29" s="3" t="s">
        <v>59</v>
      </c>
      <c r="O29" s="3" t="s">
        <v>59</v>
      </c>
      <c r="P29" s="3" t="s">
        <v>59</v>
      </c>
      <c r="Q29" s="3" t="s">
        <v>77</v>
      </c>
      <c r="R29" s="3" t="s">
        <v>61</v>
      </c>
      <c r="S29" s="3" t="s">
        <v>63</v>
      </c>
      <c r="T29" s="1">
        <v>190700</v>
      </c>
      <c r="U29" s="1">
        <v>10400</v>
      </c>
      <c r="V29" s="1">
        <v>0</v>
      </c>
      <c r="W29" s="1">
        <v>500</v>
      </c>
      <c r="X29" s="1">
        <v>201100</v>
      </c>
      <c r="Y29" s="1">
        <v>500</v>
      </c>
      <c r="Z29" s="1">
        <v>201600</v>
      </c>
      <c r="AA29" s="1">
        <v>228840</v>
      </c>
      <c r="AB29" s="1">
        <v>10400</v>
      </c>
      <c r="AC29" s="1">
        <v>0</v>
      </c>
      <c r="AD29" s="1">
        <v>500</v>
      </c>
      <c r="AE29" s="1">
        <v>239240</v>
      </c>
      <c r="AF29" s="1">
        <v>500</v>
      </c>
      <c r="AG29" s="1">
        <v>239740</v>
      </c>
      <c r="AH29" s="1">
        <v>205956</v>
      </c>
      <c r="AI29" s="1">
        <v>10088</v>
      </c>
      <c r="AJ29" s="1">
        <v>0</v>
      </c>
      <c r="AK29" s="1">
        <v>450</v>
      </c>
      <c r="AL29" s="1">
        <v>216044</v>
      </c>
      <c r="AM29" s="1">
        <v>450</v>
      </c>
      <c r="AN29" s="1">
        <v>216494</v>
      </c>
      <c r="AO29" s="6" t="s">
        <v>215</v>
      </c>
      <c r="AP29" s="6" t="s">
        <v>215</v>
      </c>
      <c r="AQ29" s="6" t="s">
        <v>215</v>
      </c>
      <c r="AR29" s="6" t="s">
        <v>215</v>
      </c>
      <c r="AS29" s="1">
        <v>129897</v>
      </c>
      <c r="AT29" s="1">
        <v>0</v>
      </c>
      <c r="AU29" s="1">
        <v>129897</v>
      </c>
    </row>
    <row r="30" spans="1:47" s="3" customFormat="1" x14ac:dyDescent="0.3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72</v>
      </c>
      <c r="H30" s="3" t="s">
        <v>73</v>
      </c>
      <c r="I30" s="3" t="s">
        <v>54</v>
      </c>
      <c r="J30" s="3" t="s">
        <v>55</v>
      </c>
      <c r="K30" s="3" t="s">
        <v>96</v>
      </c>
      <c r="L30" s="3" t="s">
        <v>97</v>
      </c>
      <c r="M30" s="3" t="s">
        <v>98</v>
      </c>
      <c r="N30" s="3" t="s">
        <v>59</v>
      </c>
      <c r="O30" s="3" t="s">
        <v>59</v>
      </c>
      <c r="P30" s="3" t="s">
        <v>59</v>
      </c>
      <c r="Q30" s="3" t="s">
        <v>77</v>
      </c>
      <c r="R30" s="3" t="s">
        <v>61</v>
      </c>
      <c r="S30" s="3" t="s">
        <v>71</v>
      </c>
      <c r="T30" s="1">
        <v>0</v>
      </c>
      <c r="U30" s="1">
        <v>74600</v>
      </c>
      <c r="V30" s="1">
        <v>0</v>
      </c>
      <c r="W30" s="1">
        <v>25300</v>
      </c>
      <c r="X30" s="1">
        <v>74600</v>
      </c>
      <c r="Y30" s="1">
        <v>25300</v>
      </c>
      <c r="Z30" s="1">
        <v>99900</v>
      </c>
      <c r="AA30" s="1">
        <v>0</v>
      </c>
      <c r="AB30" s="1">
        <v>74600</v>
      </c>
      <c r="AC30" s="1">
        <v>0</v>
      </c>
      <c r="AD30" s="1">
        <v>25300</v>
      </c>
      <c r="AE30" s="1">
        <v>74600</v>
      </c>
      <c r="AF30" s="1">
        <v>25300</v>
      </c>
      <c r="AG30" s="1">
        <v>99900</v>
      </c>
      <c r="AH30" s="1">
        <v>0</v>
      </c>
      <c r="AI30" s="1">
        <v>72362</v>
      </c>
      <c r="AJ30" s="1">
        <v>0</v>
      </c>
      <c r="AK30" s="1">
        <v>22770</v>
      </c>
      <c r="AL30" s="1">
        <v>72362</v>
      </c>
      <c r="AM30" s="1">
        <v>22770</v>
      </c>
      <c r="AN30" s="1">
        <v>95132</v>
      </c>
      <c r="AO30" s="6" t="s">
        <v>215</v>
      </c>
      <c r="AP30" s="6" t="s">
        <v>215</v>
      </c>
      <c r="AQ30" s="6" t="s">
        <v>215</v>
      </c>
      <c r="AR30" s="6" t="s">
        <v>215</v>
      </c>
      <c r="AS30" s="1">
        <v>57079</v>
      </c>
      <c r="AT30" s="1">
        <v>0</v>
      </c>
      <c r="AU30" s="1">
        <v>57079</v>
      </c>
    </row>
    <row r="31" spans="1:47" s="3" customFormat="1" x14ac:dyDescent="0.3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72</v>
      </c>
      <c r="H31" s="3" t="s">
        <v>73</v>
      </c>
      <c r="I31" s="3" t="s">
        <v>54</v>
      </c>
      <c r="J31" s="3" t="s">
        <v>55</v>
      </c>
      <c r="K31" s="3" t="s">
        <v>99</v>
      </c>
      <c r="L31" s="3" t="s">
        <v>100</v>
      </c>
      <c r="M31" s="3" t="s">
        <v>70</v>
      </c>
      <c r="N31" s="3" t="s">
        <v>59</v>
      </c>
      <c r="O31" s="3" t="s">
        <v>59</v>
      </c>
      <c r="P31" s="3" t="s">
        <v>59</v>
      </c>
      <c r="Q31" s="3" t="s">
        <v>77</v>
      </c>
      <c r="R31" s="3" t="s">
        <v>61</v>
      </c>
      <c r="S31" s="3" t="s">
        <v>71</v>
      </c>
      <c r="T31" s="1">
        <v>2700</v>
      </c>
      <c r="U31" s="1">
        <v>0</v>
      </c>
      <c r="V31" s="1">
        <v>0</v>
      </c>
      <c r="W31" s="1">
        <v>1800</v>
      </c>
      <c r="X31" s="1">
        <v>2700</v>
      </c>
      <c r="Y31" s="1">
        <v>1800</v>
      </c>
      <c r="Z31" s="1">
        <v>4500</v>
      </c>
      <c r="AA31" s="1">
        <v>3240</v>
      </c>
      <c r="AB31" s="1">
        <v>0</v>
      </c>
      <c r="AC31" s="1">
        <v>0</v>
      </c>
      <c r="AD31" s="1">
        <v>1800</v>
      </c>
      <c r="AE31" s="1">
        <v>3240</v>
      </c>
      <c r="AF31" s="1">
        <v>1800</v>
      </c>
      <c r="AG31" s="1">
        <v>5040</v>
      </c>
      <c r="AH31" s="1">
        <v>2916</v>
      </c>
      <c r="AI31" s="1">
        <v>0</v>
      </c>
      <c r="AJ31" s="1">
        <v>0</v>
      </c>
      <c r="AK31" s="1">
        <v>1620</v>
      </c>
      <c r="AL31" s="1">
        <v>2916</v>
      </c>
      <c r="AM31" s="1">
        <v>1620</v>
      </c>
      <c r="AN31" s="1">
        <v>4536</v>
      </c>
      <c r="AO31" s="6" t="s">
        <v>215</v>
      </c>
      <c r="AP31" s="6" t="s">
        <v>215</v>
      </c>
      <c r="AQ31" s="6" t="s">
        <v>215</v>
      </c>
      <c r="AR31" s="6" t="s">
        <v>215</v>
      </c>
      <c r="AS31" s="1">
        <v>2722</v>
      </c>
      <c r="AT31" s="1">
        <v>0</v>
      </c>
      <c r="AU31" s="1">
        <v>2722</v>
      </c>
    </row>
    <row r="32" spans="1:47" s="3" customFormat="1" x14ac:dyDescent="0.3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72</v>
      </c>
      <c r="H32" s="3" t="s">
        <v>73</v>
      </c>
      <c r="I32" s="3" t="s">
        <v>54</v>
      </c>
      <c r="J32" s="3" t="s">
        <v>55</v>
      </c>
      <c r="K32" s="3" t="s">
        <v>101</v>
      </c>
      <c r="L32" s="3" t="s">
        <v>102</v>
      </c>
      <c r="M32" s="3" t="s">
        <v>98</v>
      </c>
      <c r="N32" s="3" t="s">
        <v>59</v>
      </c>
      <c r="O32" s="3" t="s">
        <v>59</v>
      </c>
      <c r="P32" s="3" t="s">
        <v>59</v>
      </c>
      <c r="Q32" s="3" t="s">
        <v>77</v>
      </c>
      <c r="R32" s="3" t="s">
        <v>61</v>
      </c>
      <c r="S32" s="3" t="s">
        <v>62</v>
      </c>
      <c r="T32" s="1">
        <v>2700</v>
      </c>
      <c r="U32" s="1">
        <v>0</v>
      </c>
      <c r="V32" s="1">
        <v>0</v>
      </c>
      <c r="W32" s="1">
        <v>13300</v>
      </c>
      <c r="X32" s="1">
        <v>2700</v>
      </c>
      <c r="Y32" s="1">
        <v>13300</v>
      </c>
      <c r="Z32" s="1">
        <v>16000</v>
      </c>
      <c r="AA32" s="1">
        <v>3240</v>
      </c>
      <c r="AB32" s="1">
        <v>0</v>
      </c>
      <c r="AC32" s="1">
        <v>0</v>
      </c>
      <c r="AD32" s="1">
        <v>13300</v>
      </c>
      <c r="AE32" s="1">
        <v>3240</v>
      </c>
      <c r="AF32" s="1">
        <v>13300</v>
      </c>
      <c r="AG32" s="1">
        <v>16540</v>
      </c>
      <c r="AH32" s="1">
        <v>2916</v>
      </c>
      <c r="AI32" s="1">
        <v>0</v>
      </c>
      <c r="AJ32" s="1">
        <v>0</v>
      </c>
      <c r="AK32" s="1">
        <v>11970</v>
      </c>
      <c r="AL32" s="1">
        <v>2916</v>
      </c>
      <c r="AM32" s="1">
        <v>11970</v>
      </c>
      <c r="AN32" s="1">
        <v>14886</v>
      </c>
      <c r="AO32" s="6" t="s">
        <v>215</v>
      </c>
      <c r="AP32" s="6" t="s">
        <v>215</v>
      </c>
      <c r="AQ32" s="6" t="s">
        <v>215</v>
      </c>
      <c r="AR32" s="6" t="s">
        <v>215</v>
      </c>
      <c r="AS32" s="1">
        <v>8932</v>
      </c>
      <c r="AT32" s="1">
        <v>0</v>
      </c>
      <c r="AU32" s="1">
        <v>8932</v>
      </c>
    </row>
    <row r="33" spans="1:47" s="3" customFormat="1" x14ac:dyDescent="0.3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72</v>
      </c>
      <c r="H33" s="3" t="s">
        <v>73</v>
      </c>
      <c r="I33" s="3" t="s">
        <v>54</v>
      </c>
      <c r="J33" s="3" t="s">
        <v>55</v>
      </c>
      <c r="K33" s="3" t="s">
        <v>101</v>
      </c>
      <c r="L33" s="3" t="s">
        <v>102</v>
      </c>
      <c r="M33" s="3" t="s">
        <v>98</v>
      </c>
      <c r="N33" s="3" t="s">
        <v>59</v>
      </c>
      <c r="O33" s="3" t="s">
        <v>59</v>
      </c>
      <c r="P33" s="3" t="s">
        <v>59</v>
      </c>
      <c r="Q33" s="3" t="s">
        <v>77</v>
      </c>
      <c r="R33" s="3" t="s">
        <v>61</v>
      </c>
      <c r="S33" s="3" t="s">
        <v>71</v>
      </c>
      <c r="T33" s="1">
        <v>0</v>
      </c>
      <c r="U33" s="1">
        <v>48170</v>
      </c>
      <c r="V33" s="1">
        <v>0</v>
      </c>
      <c r="W33" s="1">
        <v>54430</v>
      </c>
      <c r="X33" s="1">
        <v>48170</v>
      </c>
      <c r="Y33" s="1">
        <v>54430</v>
      </c>
      <c r="Z33" s="1">
        <v>102600</v>
      </c>
      <c r="AA33" s="1">
        <v>0</v>
      </c>
      <c r="AB33" s="1">
        <v>48170</v>
      </c>
      <c r="AC33" s="1">
        <v>0</v>
      </c>
      <c r="AD33" s="1">
        <v>54430</v>
      </c>
      <c r="AE33" s="1">
        <v>48170</v>
      </c>
      <c r="AF33" s="1">
        <v>54430</v>
      </c>
      <c r="AG33" s="1">
        <v>102600</v>
      </c>
      <c r="AH33" s="1">
        <v>0</v>
      </c>
      <c r="AI33" s="1">
        <v>46724.9</v>
      </c>
      <c r="AJ33" s="1">
        <v>0</v>
      </c>
      <c r="AK33" s="1">
        <v>48987</v>
      </c>
      <c r="AL33" s="1">
        <v>46724.9</v>
      </c>
      <c r="AM33" s="1">
        <v>48987</v>
      </c>
      <c r="AN33" s="1">
        <v>95711.9</v>
      </c>
      <c r="AO33" s="6" t="s">
        <v>215</v>
      </c>
      <c r="AP33" s="6" t="s">
        <v>215</v>
      </c>
      <c r="AQ33" s="6" t="s">
        <v>215</v>
      </c>
      <c r="AR33" s="6" t="s">
        <v>215</v>
      </c>
      <c r="AS33" s="1">
        <v>57427</v>
      </c>
      <c r="AT33" s="1">
        <v>0</v>
      </c>
      <c r="AU33" s="1">
        <v>57427</v>
      </c>
    </row>
    <row r="34" spans="1:47" s="3" customFormat="1" x14ac:dyDescent="0.3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72</v>
      </c>
      <c r="H34" s="3" t="s">
        <v>73</v>
      </c>
      <c r="I34" s="3" t="s">
        <v>54</v>
      </c>
      <c r="J34" s="3" t="s">
        <v>55</v>
      </c>
      <c r="K34" s="3" t="s">
        <v>228</v>
      </c>
      <c r="L34" s="3" t="s">
        <v>229</v>
      </c>
      <c r="M34" s="3" t="s">
        <v>98</v>
      </c>
      <c r="N34" s="3" t="s">
        <v>59</v>
      </c>
      <c r="O34" s="3" t="s">
        <v>59</v>
      </c>
      <c r="P34" s="3" t="s">
        <v>59</v>
      </c>
      <c r="Q34" s="3" t="s">
        <v>77</v>
      </c>
      <c r="R34" s="3" t="s">
        <v>61</v>
      </c>
      <c r="S34" s="3" t="s">
        <v>71</v>
      </c>
      <c r="T34" s="1">
        <v>26700</v>
      </c>
      <c r="U34" s="1">
        <v>700</v>
      </c>
      <c r="V34" s="1">
        <v>0</v>
      </c>
      <c r="W34" s="1">
        <v>21200</v>
      </c>
      <c r="X34" s="1">
        <v>27400</v>
      </c>
      <c r="Y34" s="1">
        <v>21200</v>
      </c>
      <c r="Z34" s="1">
        <v>48600</v>
      </c>
      <c r="AA34" s="1">
        <v>32040</v>
      </c>
      <c r="AB34" s="1">
        <v>700</v>
      </c>
      <c r="AC34" s="1">
        <v>0</v>
      </c>
      <c r="AD34" s="1">
        <v>21200</v>
      </c>
      <c r="AE34" s="1">
        <v>32740</v>
      </c>
      <c r="AF34" s="1">
        <v>21200</v>
      </c>
      <c r="AG34" s="1">
        <v>53940</v>
      </c>
      <c r="AH34" s="1">
        <v>28836</v>
      </c>
      <c r="AI34" s="1">
        <v>679</v>
      </c>
      <c r="AJ34" s="1">
        <v>0</v>
      </c>
      <c r="AK34" s="1">
        <v>19080</v>
      </c>
      <c r="AL34" s="1">
        <v>29515</v>
      </c>
      <c r="AM34" s="1">
        <v>19080</v>
      </c>
      <c r="AN34" s="1">
        <v>48595</v>
      </c>
      <c r="AO34" s="6" t="s">
        <v>215</v>
      </c>
      <c r="AP34" s="6" t="s">
        <v>215</v>
      </c>
      <c r="AQ34" s="6" t="s">
        <v>215</v>
      </c>
      <c r="AR34" s="6" t="s">
        <v>215</v>
      </c>
      <c r="AS34" s="1">
        <v>29157</v>
      </c>
      <c r="AT34" s="1">
        <v>0</v>
      </c>
      <c r="AU34" s="1">
        <v>29157</v>
      </c>
    </row>
    <row r="35" spans="1:47" s="3" customFormat="1" x14ac:dyDescent="0.3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72</v>
      </c>
      <c r="H35" s="3" t="s">
        <v>73</v>
      </c>
      <c r="I35" s="3" t="s">
        <v>54</v>
      </c>
      <c r="J35" s="3" t="s">
        <v>55</v>
      </c>
      <c r="K35" s="3" t="s">
        <v>103</v>
      </c>
      <c r="L35" s="3" t="s">
        <v>104</v>
      </c>
      <c r="M35" s="3" t="s">
        <v>98</v>
      </c>
      <c r="N35" s="3" t="s">
        <v>59</v>
      </c>
      <c r="O35" s="3" t="s">
        <v>59</v>
      </c>
      <c r="P35" s="3" t="s">
        <v>59</v>
      </c>
      <c r="Q35" s="3" t="s">
        <v>77</v>
      </c>
      <c r="R35" s="3" t="s">
        <v>61</v>
      </c>
      <c r="S35" s="3" t="s">
        <v>71</v>
      </c>
      <c r="T35" s="1">
        <v>0</v>
      </c>
      <c r="U35" s="1">
        <v>1800</v>
      </c>
      <c r="V35" s="1">
        <v>0</v>
      </c>
      <c r="W35" s="1">
        <v>9900</v>
      </c>
      <c r="X35" s="1">
        <v>1800</v>
      </c>
      <c r="Y35" s="1">
        <v>9900</v>
      </c>
      <c r="Z35" s="1">
        <v>11700</v>
      </c>
      <c r="AA35" s="1">
        <v>0</v>
      </c>
      <c r="AB35" s="1">
        <v>1800</v>
      </c>
      <c r="AC35" s="1">
        <v>0</v>
      </c>
      <c r="AD35" s="1">
        <v>9900</v>
      </c>
      <c r="AE35" s="1">
        <v>1800</v>
      </c>
      <c r="AF35" s="1">
        <v>9900</v>
      </c>
      <c r="AG35" s="1">
        <v>11700</v>
      </c>
      <c r="AH35" s="1">
        <v>0</v>
      </c>
      <c r="AI35" s="1">
        <v>1746</v>
      </c>
      <c r="AJ35" s="1">
        <v>0</v>
      </c>
      <c r="AK35" s="1">
        <v>8910</v>
      </c>
      <c r="AL35" s="1">
        <v>1746</v>
      </c>
      <c r="AM35" s="1">
        <v>8910</v>
      </c>
      <c r="AN35" s="1">
        <v>10656</v>
      </c>
      <c r="AO35" s="6" t="s">
        <v>215</v>
      </c>
      <c r="AP35" s="6" t="s">
        <v>215</v>
      </c>
      <c r="AQ35" s="6" t="s">
        <v>215</v>
      </c>
      <c r="AR35" s="6" t="s">
        <v>215</v>
      </c>
      <c r="AS35" s="1">
        <v>6394</v>
      </c>
      <c r="AT35" s="1">
        <v>0</v>
      </c>
      <c r="AU35" s="1">
        <v>6394</v>
      </c>
    </row>
    <row r="36" spans="1:47" s="3" customFormat="1" x14ac:dyDescent="0.3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72</v>
      </c>
      <c r="H36" s="3" t="s">
        <v>73</v>
      </c>
      <c r="I36" s="3" t="s">
        <v>54</v>
      </c>
      <c r="J36" s="3" t="s">
        <v>55</v>
      </c>
      <c r="K36" s="3" t="s">
        <v>230</v>
      </c>
      <c r="L36" s="3" t="s">
        <v>231</v>
      </c>
      <c r="M36" s="3" t="s">
        <v>232</v>
      </c>
      <c r="N36" s="3" t="s">
        <v>59</v>
      </c>
      <c r="O36" s="3" t="s">
        <v>59</v>
      </c>
      <c r="P36" s="3" t="s">
        <v>59</v>
      </c>
      <c r="Q36" s="3" t="s">
        <v>77</v>
      </c>
      <c r="R36" s="3" t="s">
        <v>61</v>
      </c>
      <c r="S36" s="3" t="s">
        <v>71</v>
      </c>
      <c r="T36" s="1">
        <v>5400</v>
      </c>
      <c r="U36" s="1">
        <v>0</v>
      </c>
      <c r="V36" s="1">
        <v>0</v>
      </c>
      <c r="W36" s="1">
        <v>900</v>
      </c>
      <c r="X36" s="1">
        <v>5400</v>
      </c>
      <c r="Y36" s="1">
        <v>900</v>
      </c>
      <c r="Z36" s="1">
        <v>6300</v>
      </c>
      <c r="AA36" s="1">
        <v>6480</v>
      </c>
      <c r="AB36" s="1">
        <v>0</v>
      </c>
      <c r="AC36" s="1">
        <v>0</v>
      </c>
      <c r="AD36" s="1">
        <v>900</v>
      </c>
      <c r="AE36" s="1">
        <v>6480</v>
      </c>
      <c r="AF36" s="1">
        <v>900</v>
      </c>
      <c r="AG36" s="1">
        <v>7380</v>
      </c>
      <c r="AH36" s="1">
        <v>5832</v>
      </c>
      <c r="AI36" s="1">
        <v>0</v>
      </c>
      <c r="AJ36" s="1">
        <v>0</v>
      </c>
      <c r="AK36" s="1">
        <v>810</v>
      </c>
      <c r="AL36" s="1">
        <v>5832</v>
      </c>
      <c r="AM36" s="1">
        <v>810</v>
      </c>
      <c r="AN36" s="1">
        <v>6642</v>
      </c>
      <c r="AO36" s="6" t="s">
        <v>215</v>
      </c>
      <c r="AP36" s="6" t="s">
        <v>215</v>
      </c>
      <c r="AQ36" s="6" t="s">
        <v>215</v>
      </c>
      <c r="AR36" s="6" t="s">
        <v>215</v>
      </c>
      <c r="AS36" s="1">
        <v>3985</v>
      </c>
      <c r="AT36" s="1">
        <v>0</v>
      </c>
      <c r="AU36" s="1">
        <v>3985</v>
      </c>
    </row>
    <row r="37" spans="1:47" x14ac:dyDescent="0.3">
      <c r="AU37" s="36">
        <f>SUM(AU2:AU36)</f>
        <v>22705465</v>
      </c>
    </row>
    <row r="39" spans="1:47" x14ac:dyDescent="0.3">
      <c r="A39" s="7" t="s">
        <v>238</v>
      </c>
      <c r="B39" s="19"/>
      <c r="C39" s="19"/>
      <c r="D39" s="20"/>
    </row>
    <row r="40" spans="1:47" x14ac:dyDescent="0.3">
      <c r="A40" s="8" t="s">
        <v>246</v>
      </c>
      <c r="B40" s="8" t="s">
        <v>247</v>
      </c>
      <c r="C40" s="8" t="s">
        <v>248</v>
      </c>
      <c r="D40" s="8" t="s">
        <v>249</v>
      </c>
    </row>
    <row r="41" spans="1:47" x14ac:dyDescent="0.3">
      <c r="A41" s="9">
        <v>201802</v>
      </c>
      <c r="B41" s="12">
        <v>70000000</v>
      </c>
      <c r="C41" s="12">
        <v>47732344</v>
      </c>
      <c r="D41" s="11">
        <v>22267656</v>
      </c>
    </row>
    <row r="42" spans="1:47" x14ac:dyDescent="0.3">
      <c r="A42" s="9">
        <v>201803</v>
      </c>
      <c r="B42" s="12">
        <v>50000000</v>
      </c>
      <c r="C42" s="12">
        <v>35701360</v>
      </c>
      <c r="D42" s="11">
        <v>36566296</v>
      </c>
    </row>
    <row r="43" spans="1:47" x14ac:dyDescent="0.3">
      <c r="A43" s="9">
        <v>201804</v>
      </c>
      <c r="B43" s="12">
        <v>50000000</v>
      </c>
      <c r="C43" s="12">
        <v>38938960</v>
      </c>
      <c r="D43" s="11">
        <v>47627336</v>
      </c>
    </row>
    <row r="44" spans="1:47" x14ac:dyDescent="0.3">
      <c r="A44" s="9">
        <v>201805</v>
      </c>
      <c r="B44" s="14"/>
      <c r="C44" s="12">
        <v>26553752</v>
      </c>
      <c r="D44" s="11">
        <v>21073584</v>
      </c>
    </row>
    <row r="45" spans="1:47" x14ac:dyDescent="0.3">
      <c r="A45" s="9">
        <v>201806</v>
      </c>
      <c r="B45" s="12">
        <v>50000000</v>
      </c>
      <c r="C45" s="12">
        <v>34500112</v>
      </c>
      <c r="D45" s="11">
        <v>36573472</v>
      </c>
    </row>
    <row r="46" spans="1:47" x14ac:dyDescent="0.3">
      <c r="A46" s="9">
        <v>201807</v>
      </c>
      <c r="B46" s="14"/>
      <c r="C46" s="12">
        <v>23175045</v>
      </c>
      <c r="D46" s="11">
        <v>13398427</v>
      </c>
    </row>
    <row r="47" spans="1:47" x14ac:dyDescent="0.3">
      <c r="A47" s="9">
        <v>201808</v>
      </c>
      <c r="B47" s="12">
        <v>50000000</v>
      </c>
      <c r="C47" s="12">
        <v>18766387</v>
      </c>
      <c r="D47" s="11">
        <v>44632040</v>
      </c>
    </row>
    <row r="48" spans="1:47" x14ac:dyDescent="0.3">
      <c r="A48" s="9">
        <v>201809</v>
      </c>
      <c r="B48" s="14"/>
      <c r="C48" s="12">
        <v>18646713</v>
      </c>
      <c r="D48" s="11">
        <v>25985327</v>
      </c>
    </row>
    <row r="49" spans="1:4" x14ac:dyDescent="0.3">
      <c r="A49" s="9">
        <v>201810</v>
      </c>
      <c r="B49" s="14"/>
      <c r="C49" s="12">
        <v>18925467</v>
      </c>
      <c r="D49" s="11">
        <v>7059860</v>
      </c>
    </row>
    <row r="50" spans="1:4" x14ac:dyDescent="0.3">
      <c r="A50" s="9">
        <v>201811</v>
      </c>
      <c r="B50" s="12">
        <v>50000000</v>
      </c>
      <c r="C50" s="12">
        <v>16885860</v>
      </c>
      <c r="D50" s="11">
        <v>40174000</v>
      </c>
    </row>
    <row r="51" spans="1:4" x14ac:dyDescent="0.3">
      <c r="A51" s="9">
        <v>201812</v>
      </c>
      <c r="B51" s="14"/>
      <c r="C51" s="12">
        <v>19348657</v>
      </c>
      <c r="D51" s="11">
        <v>20825343</v>
      </c>
    </row>
    <row r="52" spans="1:4" x14ac:dyDescent="0.3">
      <c r="A52" s="9">
        <v>201901</v>
      </c>
      <c r="B52" s="12">
        <v>50000000</v>
      </c>
      <c r="C52" s="12">
        <v>31454346</v>
      </c>
      <c r="D52" s="11">
        <v>39370997</v>
      </c>
    </row>
    <row r="53" spans="1:4" x14ac:dyDescent="0.3">
      <c r="A53" s="9">
        <v>201902</v>
      </c>
      <c r="B53" s="14"/>
      <c r="C53" s="12">
        <v>30366346</v>
      </c>
      <c r="D53" s="11">
        <v>9004651</v>
      </c>
    </row>
    <row r="54" spans="1:4" x14ac:dyDescent="0.3">
      <c r="A54" s="9">
        <v>201903</v>
      </c>
      <c r="B54" s="12">
        <v>50000000</v>
      </c>
      <c r="C54" s="12">
        <v>24049528</v>
      </c>
      <c r="D54" s="11">
        <v>34955123</v>
      </c>
    </row>
    <row r="55" spans="1:4" x14ac:dyDescent="0.3">
      <c r="A55" s="9">
        <v>201904</v>
      </c>
      <c r="B55" s="14"/>
      <c r="C55" s="12">
        <v>25754341</v>
      </c>
      <c r="D55" s="11">
        <v>9200782</v>
      </c>
    </row>
    <row r="56" spans="1:4" x14ac:dyDescent="0.3">
      <c r="A56" s="9">
        <v>201905</v>
      </c>
      <c r="B56" s="12">
        <v>50000000</v>
      </c>
      <c r="C56" s="12">
        <v>24706125</v>
      </c>
      <c r="D56" s="11">
        <v>34494657</v>
      </c>
    </row>
    <row r="57" spans="1:4" x14ac:dyDescent="0.3">
      <c r="A57" s="9">
        <v>201906</v>
      </c>
      <c r="B57" s="14"/>
      <c r="C57" s="12">
        <v>20303678</v>
      </c>
      <c r="D57" s="11">
        <v>14190979</v>
      </c>
    </row>
    <row r="58" spans="1:4" x14ac:dyDescent="0.3">
      <c r="A58" s="9">
        <v>201907</v>
      </c>
      <c r="B58" s="12">
        <v>50000000</v>
      </c>
      <c r="C58" s="12">
        <v>23411246</v>
      </c>
      <c r="D58" s="11">
        <v>40779733</v>
      </c>
    </row>
    <row r="59" spans="1:4" x14ac:dyDescent="0.3">
      <c r="A59" s="9">
        <v>201908</v>
      </c>
      <c r="B59" s="14"/>
      <c r="C59" s="12">
        <v>21883444</v>
      </c>
      <c r="D59" s="11">
        <v>18896289</v>
      </c>
    </row>
    <row r="60" spans="1:4" x14ac:dyDescent="0.3">
      <c r="A60" s="9">
        <v>201909</v>
      </c>
      <c r="B60" s="12">
        <v>50000000</v>
      </c>
      <c r="C60" s="12">
        <v>28787704</v>
      </c>
      <c r="D60" s="11">
        <v>40108585</v>
      </c>
    </row>
    <row r="61" spans="1:4" x14ac:dyDescent="0.3">
      <c r="A61" s="9">
        <v>201910</v>
      </c>
      <c r="B61" s="12"/>
      <c r="C61" s="12">
        <v>22129363</v>
      </c>
      <c r="D61" s="11">
        <v>17979222</v>
      </c>
    </row>
    <row r="62" spans="1:4" x14ac:dyDescent="0.3">
      <c r="A62" s="9">
        <v>201911</v>
      </c>
      <c r="B62" s="12">
        <v>50000000</v>
      </c>
      <c r="C62" s="27">
        <v>20240340</v>
      </c>
      <c r="D62" s="11">
        <v>47738882</v>
      </c>
    </row>
    <row r="63" spans="1:4" x14ac:dyDescent="0.3">
      <c r="A63" s="9">
        <v>201912</v>
      </c>
      <c r="B63" s="12"/>
      <c r="C63" s="12">
        <v>21290069</v>
      </c>
      <c r="D63" s="11">
        <v>26448813</v>
      </c>
    </row>
    <row r="64" spans="1:4" x14ac:dyDescent="0.3">
      <c r="A64" s="9">
        <v>202001</v>
      </c>
      <c r="B64" s="12">
        <v>50000000</v>
      </c>
      <c r="C64" s="28">
        <v>31440912</v>
      </c>
      <c r="D64" s="12">
        <v>45007901</v>
      </c>
    </row>
    <row r="65" spans="1:4" x14ac:dyDescent="0.3">
      <c r="A65" s="9">
        <v>202002</v>
      </c>
      <c r="B65" s="12"/>
      <c r="C65" s="29">
        <v>19283081</v>
      </c>
      <c r="D65" s="11">
        <v>25724820</v>
      </c>
    </row>
    <row r="66" spans="1:4" x14ac:dyDescent="0.3">
      <c r="A66" s="9">
        <v>202003</v>
      </c>
      <c r="B66" s="12">
        <v>50000000</v>
      </c>
      <c r="C66" s="29">
        <v>19822793</v>
      </c>
      <c r="D66" s="11">
        <v>55902027</v>
      </c>
    </row>
    <row r="67" spans="1:4" x14ac:dyDescent="0.3">
      <c r="A67" s="9">
        <v>202004</v>
      </c>
      <c r="B67" s="12"/>
      <c r="C67" s="29">
        <v>24700114</v>
      </c>
      <c r="D67" s="11">
        <v>31201913</v>
      </c>
    </row>
    <row r="68" spans="1:4" x14ac:dyDescent="0.3">
      <c r="A68" s="9">
        <v>202005</v>
      </c>
      <c r="B68" s="12"/>
      <c r="C68" s="29">
        <v>20221802</v>
      </c>
      <c r="D68" s="11">
        <v>10980122</v>
      </c>
    </row>
    <row r="69" spans="1:4" x14ac:dyDescent="0.3">
      <c r="A69" s="9">
        <v>202006</v>
      </c>
      <c r="B69" s="12">
        <v>50000000</v>
      </c>
      <c r="C69" s="29">
        <v>20465615</v>
      </c>
      <c r="D69" s="11">
        <f>D68+B69-C69</f>
        <v>40514507</v>
      </c>
    </row>
    <row r="70" spans="1:4" x14ac:dyDescent="0.3">
      <c r="A70" s="9">
        <v>202007</v>
      </c>
      <c r="B70" s="12"/>
      <c r="C70" s="29">
        <v>17162548</v>
      </c>
      <c r="D70" s="11">
        <f t="shared" ref="D70:D98" si="0">D69+B70-C70</f>
        <v>23351959</v>
      </c>
    </row>
    <row r="71" spans="1:4" x14ac:dyDescent="0.3">
      <c r="A71" s="9">
        <v>202008</v>
      </c>
      <c r="B71" s="12"/>
      <c r="C71" s="29">
        <v>18524835</v>
      </c>
      <c r="D71" s="11">
        <f t="shared" si="0"/>
        <v>4827124</v>
      </c>
    </row>
    <row r="72" spans="1:4" x14ac:dyDescent="0.3">
      <c r="A72" s="9">
        <v>202009</v>
      </c>
      <c r="B72" s="12">
        <v>50000000</v>
      </c>
      <c r="C72" s="29">
        <v>18377819</v>
      </c>
      <c r="D72" s="11">
        <f t="shared" si="0"/>
        <v>36449305</v>
      </c>
    </row>
    <row r="73" spans="1:4" x14ac:dyDescent="0.3">
      <c r="A73" s="9">
        <v>202010</v>
      </c>
      <c r="B73" s="12"/>
      <c r="C73" s="29">
        <v>12130233</v>
      </c>
      <c r="D73" s="11">
        <f t="shared" si="0"/>
        <v>24319072</v>
      </c>
    </row>
    <row r="74" spans="1:4" x14ac:dyDescent="0.3">
      <c r="A74" s="9">
        <v>202011</v>
      </c>
      <c r="B74" s="12">
        <v>50000000</v>
      </c>
      <c r="C74" s="29">
        <v>28409569</v>
      </c>
      <c r="D74" s="11">
        <f t="shared" si="0"/>
        <v>45909503</v>
      </c>
    </row>
    <row r="75" spans="1:4" x14ac:dyDescent="0.3">
      <c r="A75" s="9">
        <v>202012</v>
      </c>
      <c r="B75" s="12"/>
      <c r="C75" s="29">
        <v>20659980</v>
      </c>
      <c r="D75" s="11">
        <f t="shared" si="0"/>
        <v>25249523</v>
      </c>
    </row>
    <row r="76" spans="1:4" x14ac:dyDescent="0.3">
      <c r="A76" s="9">
        <v>202101</v>
      </c>
      <c r="B76" s="12"/>
      <c r="C76" s="29">
        <v>18057602</v>
      </c>
      <c r="D76" s="11">
        <f t="shared" si="0"/>
        <v>7191921</v>
      </c>
    </row>
    <row r="77" spans="1:4" x14ac:dyDescent="0.3">
      <c r="A77" s="9">
        <v>202102</v>
      </c>
      <c r="B77" s="12">
        <v>50000000</v>
      </c>
      <c r="C77" s="29">
        <v>11866625</v>
      </c>
      <c r="D77" s="11">
        <f t="shared" si="0"/>
        <v>45325296</v>
      </c>
    </row>
    <row r="78" spans="1:4" x14ac:dyDescent="0.3">
      <c r="A78" s="9">
        <v>202103</v>
      </c>
      <c r="B78" s="12"/>
      <c r="C78" s="29">
        <v>17540528</v>
      </c>
      <c r="D78" s="11">
        <f t="shared" si="0"/>
        <v>27784768</v>
      </c>
    </row>
    <row r="79" spans="1:4" x14ac:dyDescent="0.3">
      <c r="A79" s="9">
        <v>202104</v>
      </c>
      <c r="B79" s="12"/>
      <c r="C79" s="29">
        <v>12625804</v>
      </c>
      <c r="D79" s="11">
        <f t="shared" si="0"/>
        <v>15158964</v>
      </c>
    </row>
    <row r="80" spans="1:4" x14ac:dyDescent="0.3">
      <c r="A80" s="9">
        <v>202105</v>
      </c>
      <c r="B80" s="12"/>
      <c r="C80" s="29">
        <v>10775038</v>
      </c>
      <c r="D80" s="11">
        <f t="shared" si="0"/>
        <v>4383926</v>
      </c>
    </row>
    <row r="81" spans="1:4" x14ac:dyDescent="0.3">
      <c r="A81" s="9">
        <v>202106</v>
      </c>
      <c r="B81" s="12">
        <v>50000000</v>
      </c>
      <c r="C81" s="29">
        <v>21998758</v>
      </c>
      <c r="D81" s="11">
        <f t="shared" si="0"/>
        <v>32385168</v>
      </c>
    </row>
    <row r="82" spans="1:4" x14ac:dyDescent="0.3">
      <c r="A82" s="9">
        <v>202107</v>
      </c>
      <c r="B82" s="12"/>
      <c r="C82" s="29">
        <v>14341856</v>
      </c>
      <c r="D82" s="11">
        <f t="shared" si="0"/>
        <v>18043312</v>
      </c>
    </row>
    <row r="83" spans="1:4" x14ac:dyDescent="0.3">
      <c r="A83" s="9">
        <v>202108</v>
      </c>
      <c r="B83" s="12">
        <v>50000000</v>
      </c>
      <c r="C83" s="29">
        <v>32878577</v>
      </c>
      <c r="D83" s="11">
        <f t="shared" si="0"/>
        <v>35164735</v>
      </c>
    </row>
    <row r="84" spans="1:4" x14ac:dyDescent="0.3">
      <c r="A84" s="9">
        <v>202109</v>
      </c>
      <c r="B84" s="12"/>
      <c r="C84" s="29">
        <v>18768367</v>
      </c>
      <c r="D84" s="11">
        <f t="shared" si="0"/>
        <v>16396368</v>
      </c>
    </row>
    <row r="85" spans="1:4" x14ac:dyDescent="0.3">
      <c r="A85" s="9">
        <v>202110</v>
      </c>
      <c r="B85" s="12">
        <v>100000000</v>
      </c>
      <c r="C85" s="29">
        <v>77924216</v>
      </c>
      <c r="D85" s="11">
        <f t="shared" si="0"/>
        <v>38472152</v>
      </c>
    </row>
    <row r="86" spans="1:4" x14ac:dyDescent="0.3">
      <c r="A86" s="9">
        <v>202111</v>
      </c>
      <c r="B86" s="12">
        <v>50000000</v>
      </c>
      <c r="C86" s="29">
        <v>46002098</v>
      </c>
      <c r="D86" s="11">
        <f t="shared" si="0"/>
        <v>42470054</v>
      </c>
    </row>
    <row r="87" spans="1:4" x14ac:dyDescent="0.3">
      <c r="A87" s="9">
        <v>202112</v>
      </c>
      <c r="B87" s="12"/>
      <c r="C87" s="29">
        <v>39160141</v>
      </c>
      <c r="D87" s="11">
        <f t="shared" si="0"/>
        <v>3309913</v>
      </c>
    </row>
    <row r="88" spans="1:4" x14ac:dyDescent="0.3">
      <c r="A88" s="9">
        <v>202201</v>
      </c>
      <c r="B88" s="12">
        <v>50000000</v>
      </c>
      <c r="C88" s="29">
        <v>35237226</v>
      </c>
      <c r="D88" s="11">
        <f t="shared" si="0"/>
        <v>18072687</v>
      </c>
    </row>
    <row r="89" spans="1:4" x14ac:dyDescent="0.3">
      <c r="A89" s="9">
        <v>202202</v>
      </c>
      <c r="B89" s="12">
        <v>50000000</v>
      </c>
      <c r="C89" s="30">
        <v>28035779</v>
      </c>
      <c r="D89" s="11">
        <f t="shared" si="0"/>
        <v>40036908</v>
      </c>
    </row>
    <row r="90" spans="1:4" x14ac:dyDescent="0.3">
      <c r="A90" s="9">
        <v>202203</v>
      </c>
      <c r="B90" s="12"/>
      <c r="C90" s="29">
        <v>36126783</v>
      </c>
      <c r="D90" s="11">
        <f t="shared" si="0"/>
        <v>3910125</v>
      </c>
    </row>
    <row r="91" spans="1:4" x14ac:dyDescent="0.3">
      <c r="A91" s="9">
        <v>202204</v>
      </c>
      <c r="B91" s="12">
        <v>50000000</v>
      </c>
      <c r="C91" s="30">
        <v>28037258</v>
      </c>
      <c r="D91" s="11">
        <f t="shared" si="0"/>
        <v>25872867</v>
      </c>
    </row>
    <row r="92" spans="1:4" x14ac:dyDescent="0.3">
      <c r="A92" s="9">
        <v>202205</v>
      </c>
      <c r="B92" s="12">
        <v>50000000</v>
      </c>
      <c r="C92" s="30">
        <v>29074416</v>
      </c>
      <c r="D92" s="11">
        <f t="shared" si="0"/>
        <v>46798451</v>
      </c>
    </row>
    <row r="93" spans="1:4" x14ac:dyDescent="0.3">
      <c r="A93" s="9">
        <v>202206</v>
      </c>
      <c r="B93" s="12"/>
      <c r="C93" s="30">
        <v>21974755</v>
      </c>
      <c r="D93" s="11">
        <f t="shared" si="0"/>
        <v>24823696</v>
      </c>
    </row>
    <row r="94" spans="1:4" x14ac:dyDescent="0.3">
      <c r="A94" s="9">
        <v>202207</v>
      </c>
      <c r="B94" s="12"/>
      <c r="C94" s="31">
        <v>21040284</v>
      </c>
      <c r="D94" s="11">
        <f t="shared" si="0"/>
        <v>3783412</v>
      </c>
    </row>
    <row r="95" spans="1:4" x14ac:dyDescent="0.3">
      <c r="A95" s="9">
        <v>202208</v>
      </c>
      <c r="B95" s="12">
        <v>50000000</v>
      </c>
      <c r="C95" s="31">
        <v>16698288</v>
      </c>
      <c r="D95" s="11">
        <f t="shared" si="0"/>
        <v>37085124</v>
      </c>
    </row>
    <row r="96" spans="1:4" x14ac:dyDescent="0.3">
      <c r="A96" s="9">
        <v>202209</v>
      </c>
      <c r="B96" s="12"/>
      <c r="C96" s="31">
        <v>16002346</v>
      </c>
      <c r="D96" s="11">
        <f t="shared" si="0"/>
        <v>21082778</v>
      </c>
    </row>
    <row r="97" spans="1:4" x14ac:dyDescent="0.3">
      <c r="A97" s="9">
        <v>202210</v>
      </c>
      <c r="B97" s="12">
        <v>50000000</v>
      </c>
      <c r="C97" s="31">
        <v>28254005</v>
      </c>
      <c r="D97" s="11">
        <f t="shared" si="0"/>
        <v>42828773</v>
      </c>
    </row>
    <row r="98" spans="1:4" s="3" customFormat="1" x14ac:dyDescent="0.3">
      <c r="A98" s="9">
        <v>202211</v>
      </c>
      <c r="B98" s="12"/>
      <c r="C98" s="31">
        <f>AU37</f>
        <v>22705465</v>
      </c>
      <c r="D98" s="11">
        <f t="shared" si="0"/>
        <v>20123308</v>
      </c>
    </row>
    <row r="99" spans="1:4" x14ac:dyDescent="0.3">
      <c r="A99" s="17" t="s">
        <v>242</v>
      </c>
      <c r="B99" s="18">
        <f>SUM(B41:B95)</f>
        <v>1420000000</v>
      </c>
      <c r="C99" s="18">
        <f>SUM(C41:C98)</f>
        <v>1449876703</v>
      </c>
      <c r="D99" s="18"/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"/>
  <sheetViews>
    <sheetView zoomScale="70" zoomScaleNormal="70" workbookViewId="0">
      <selection activeCell="C20" sqref="C20"/>
    </sheetView>
  </sheetViews>
  <sheetFormatPr defaultRowHeight="16.5" x14ac:dyDescent="0.3"/>
  <cols>
    <col min="2" max="2" width="20" bestFit="1" customWidth="1"/>
    <col min="3" max="3" width="12.375" bestFit="1" customWidth="1"/>
    <col min="4" max="4" width="11.875" bestFit="1" customWidth="1"/>
  </cols>
  <sheetData>
    <row r="1" spans="1:4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111</v>
      </c>
      <c r="H2" s="3" t="s">
        <v>112</v>
      </c>
      <c r="I2" s="3" t="s">
        <v>54</v>
      </c>
      <c r="J2" s="3" t="s">
        <v>55</v>
      </c>
      <c r="K2" s="3" t="s">
        <v>113</v>
      </c>
      <c r="L2" s="3" t="s">
        <v>114</v>
      </c>
      <c r="M2" s="3" t="s">
        <v>115</v>
      </c>
      <c r="N2" s="3" t="s">
        <v>59</v>
      </c>
      <c r="O2" s="3" t="s">
        <v>59</v>
      </c>
      <c r="P2" s="3" t="s">
        <v>59</v>
      </c>
      <c r="Q2" s="3" t="s">
        <v>116</v>
      </c>
      <c r="R2" s="3" t="s">
        <v>61</v>
      </c>
      <c r="S2" s="3" t="s">
        <v>62</v>
      </c>
      <c r="T2" s="1">
        <v>40700</v>
      </c>
      <c r="U2" s="1">
        <v>18640</v>
      </c>
      <c r="V2" s="1">
        <v>2300</v>
      </c>
      <c r="W2" s="1">
        <v>166860</v>
      </c>
      <c r="X2" s="1">
        <v>61640</v>
      </c>
      <c r="Y2" s="1">
        <v>166860</v>
      </c>
      <c r="Z2" s="1">
        <v>228500</v>
      </c>
      <c r="AA2" s="1">
        <v>48840</v>
      </c>
      <c r="AB2" s="1">
        <v>18640</v>
      </c>
      <c r="AC2" s="1">
        <v>2989</v>
      </c>
      <c r="AD2" s="1">
        <v>166860</v>
      </c>
      <c r="AE2" s="1">
        <v>70469</v>
      </c>
      <c r="AF2" s="1">
        <v>166860</v>
      </c>
      <c r="AG2" s="1">
        <v>237329</v>
      </c>
      <c r="AH2" s="1">
        <v>43956</v>
      </c>
      <c r="AI2" s="1">
        <v>18080.8</v>
      </c>
      <c r="AJ2" s="1">
        <v>2092.3000000000002</v>
      </c>
      <c r="AK2" s="1">
        <v>150174</v>
      </c>
      <c r="AL2" s="1">
        <v>64129.1</v>
      </c>
      <c r="AM2" s="1">
        <v>150174</v>
      </c>
      <c r="AN2" s="1">
        <v>214303.1</v>
      </c>
      <c r="AO2" s="6" t="s">
        <v>215</v>
      </c>
      <c r="AP2" s="6" t="s">
        <v>215</v>
      </c>
      <c r="AQ2" s="6" t="s">
        <v>215</v>
      </c>
      <c r="AR2" s="6" t="s">
        <v>215</v>
      </c>
      <c r="AS2" s="1">
        <v>128581</v>
      </c>
      <c r="AT2" s="1">
        <v>0</v>
      </c>
      <c r="AU2" s="1">
        <v>128581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111</v>
      </c>
      <c r="H3" s="3" t="s">
        <v>112</v>
      </c>
      <c r="I3" s="3" t="s">
        <v>54</v>
      </c>
      <c r="J3" s="3" t="s">
        <v>55</v>
      </c>
      <c r="K3" s="3" t="s">
        <v>221</v>
      </c>
      <c r="L3" s="3" t="s">
        <v>222</v>
      </c>
      <c r="M3" s="3" t="s">
        <v>223</v>
      </c>
      <c r="N3" s="3" t="s">
        <v>59</v>
      </c>
      <c r="O3" s="3" t="s">
        <v>59</v>
      </c>
      <c r="P3" s="3" t="s">
        <v>59</v>
      </c>
      <c r="Q3" s="3" t="s">
        <v>116</v>
      </c>
      <c r="R3" s="3" t="s">
        <v>61</v>
      </c>
      <c r="S3" s="3" t="s">
        <v>62</v>
      </c>
      <c r="T3" s="1">
        <v>0</v>
      </c>
      <c r="U3" s="1">
        <v>8100</v>
      </c>
      <c r="V3" s="1">
        <v>0</v>
      </c>
      <c r="W3" s="1">
        <v>5400</v>
      </c>
      <c r="X3" s="1">
        <v>8100</v>
      </c>
      <c r="Y3" s="1">
        <v>5400</v>
      </c>
      <c r="Z3" s="1">
        <v>13500</v>
      </c>
      <c r="AA3" s="1">
        <v>0</v>
      </c>
      <c r="AB3" s="1">
        <v>8100</v>
      </c>
      <c r="AC3" s="1">
        <v>0</v>
      </c>
      <c r="AD3" s="1">
        <v>5400</v>
      </c>
      <c r="AE3" s="1">
        <v>8100</v>
      </c>
      <c r="AF3" s="1">
        <v>5400</v>
      </c>
      <c r="AG3" s="1">
        <v>13500</v>
      </c>
      <c r="AH3" s="1">
        <v>0</v>
      </c>
      <c r="AI3" s="1">
        <v>7857</v>
      </c>
      <c r="AJ3" s="1">
        <v>0</v>
      </c>
      <c r="AK3" s="1">
        <v>4860</v>
      </c>
      <c r="AL3" s="1">
        <v>7857</v>
      </c>
      <c r="AM3" s="1">
        <v>4860</v>
      </c>
      <c r="AN3" s="1">
        <v>12717</v>
      </c>
      <c r="AO3" s="6" t="s">
        <v>215</v>
      </c>
      <c r="AP3" s="6" t="s">
        <v>215</v>
      </c>
      <c r="AQ3" s="6" t="s">
        <v>215</v>
      </c>
      <c r="AR3" s="6" t="s">
        <v>215</v>
      </c>
      <c r="AS3" s="1">
        <v>7630</v>
      </c>
      <c r="AT3" s="1">
        <v>0</v>
      </c>
      <c r="AU3" s="1">
        <v>7630</v>
      </c>
    </row>
    <row r="4" spans="1:47" x14ac:dyDescent="0.3">
      <c r="AU4" s="36">
        <f>SUM(AU2:AU3)</f>
        <v>136211</v>
      </c>
    </row>
    <row r="6" spans="1:47" x14ac:dyDescent="0.3">
      <c r="A6" s="7" t="s">
        <v>238</v>
      </c>
      <c r="B6" s="3"/>
      <c r="C6" s="3"/>
      <c r="D6" s="3"/>
    </row>
    <row r="7" spans="1:47" x14ac:dyDescent="0.3">
      <c r="A7" s="8" t="s">
        <v>255</v>
      </c>
      <c r="B7" s="8" t="s">
        <v>239</v>
      </c>
      <c r="C7" s="8" t="s">
        <v>240</v>
      </c>
      <c r="D7" s="8" t="s">
        <v>256</v>
      </c>
    </row>
    <row r="8" spans="1:47" x14ac:dyDescent="0.3">
      <c r="A8" s="9">
        <v>202111</v>
      </c>
      <c r="B8" s="12">
        <v>10000000</v>
      </c>
      <c r="C8" s="12">
        <v>0</v>
      </c>
      <c r="D8" s="11">
        <f>B8-C8</f>
        <v>10000000</v>
      </c>
    </row>
    <row r="9" spans="1:47" x14ac:dyDescent="0.3">
      <c r="A9" s="9">
        <v>202202</v>
      </c>
      <c r="B9" s="12">
        <v>0</v>
      </c>
      <c r="C9" s="15">
        <v>2074047</v>
      </c>
      <c r="D9" s="11">
        <f t="shared" ref="D9:D14" si="0">D8-C9</f>
        <v>7925953</v>
      </c>
    </row>
    <row r="10" spans="1:47" x14ac:dyDescent="0.3">
      <c r="A10" s="9">
        <v>202203</v>
      </c>
      <c r="B10" s="14"/>
      <c r="C10" s="12">
        <v>822173</v>
      </c>
      <c r="D10" s="11">
        <f t="shared" si="0"/>
        <v>7103780</v>
      </c>
    </row>
    <row r="11" spans="1:47" x14ac:dyDescent="0.3">
      <c r="A11" s="16">
        <v>202204</v>
      </c>
      <c r="B11" s="14"/>
      <c r="C11" s="15">
        <v>656337</v>
      </c>
      <c r="D11" s="11">
        <f t="shared" si="0"/>
        <v>6447443</v>
      </c>
    </row>
    <row r="12" spans="1:47" x14ac:dyDescent="0.3">
      <c r="A12" s="16">
        <v>202205</v>
      </c>
      <c r="B12" s="14"/>
      <c r="C12" s="13">
        <v>506682</v>
      </c>
      <c r="D12" s="11">
        <f t="shared" si="0"/>
        <v>5940761</v>
      </c>
    </row>
    <row r="13" spans="1:47" x14ac:dyDescent="0.3">
      <c r="A13" s="9">
        <v>202206</v>
      </c>
      <c r="B13" s="14"/>
      <c r="C13" s="15">
        <v>406653</v>
      </c>
      <c r="D13" s="11">
        <f t="shared" si="0"/>
        <v>5534108</v>
      </c>
    </row>
    <row r="14" spans="1:47" x14ac:dyDescent="0.3">
      <c r="A14" s="9">
        <v>202207</v>
      </c>
      <c r="B14" s="14"/>
      <c r="C14" s="15">
        <v>250800</v>
      </c>
      <c r="D14" s="11">
        <f t="shared" si="0"/>
        <v>5283308</v>
      </c>
    </row>
    <row r="15" spans="1:47" x14ac:dyDescent="0.3">
      <c r="A15" s="9">
        <v>202208</v>
      </c>
      <c r="B15" s="14"/>
      <c r="C15" s="15">
        <v>205999</v>
      </c>
      <c r="D15" s="11">
        <f>D14-C15</f>
        <v>5077309</v>
      </c>
    </row>
    <row r="16" spans="1:47" x14ac:dyDescent="0.3">
      <c r="A16" s="9">
        <v>202209</v>
      </c>
      <c r="B16" s="14"/>
      <c r="C16" s="15">
        <v>211440</v>
      </c>
      <c r="D16" s="11">
        <f>D15-C16</f>
        <v>4865869</v>
      </c>
    </row>
    <row r="17" spans="1:4" x14ac:dyDescent="0.3">
      <c r="A17" s="9">
        <v>202210</v>
      </c>
      <c r="B17" s="14"/>
      <c r="C17" s="15">
        <v>226246</v>
      </c>
      <c r="D17" s="11">
        <f>D16-C17</f>
        <v>4639623</v>
      </c>
    </row>
    <row r="18" spans="1:4" s="3" customFormat="1" x14ac:dyDescent="0.3">
      <c r="A18" s="9">
        <v>202211</v>
      </c>
      <c r="B18" s="14"/>
      <c r="C18" s="15">
        <f>AU4</f>
        <v>136211</v>
      </c>
      <c r="D18" s="11">
        <f>D17-C18</f>
        <v>4503412</v>
      </c>
    </row>
    <row r="19" spans="1:4" x14ac:dyDescent="0.3">
      <c r="A19" s="17" t="s">
        <v>257</v>
      </c>
      <c r="B19" s="18">
        <f>SUM(B8:B15)</f>
        <v>10000000</v>
      </c>
      <c r="C19" s="18">
        <f>SUM(C8:C18)</f>
        <v>5496588</v>
      </c>
      <c r="D19" s="1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8"/>
  <sheetViews>
    <sheetView topLeftCell="A5" zoomScale="70" zoomScaleNormal="70" workbookViewId="0">
      <selection activeCell="C19" sqref="C19"/>
    </sheetView>
  </sheetViews>
  <sheetFormatPr defaultRowHeight="16.5" x14ac:dyDescent="0.3"/>
  <cols>
    <col min="1" max="1" width="9" style="3"/>
    <col min="2" max="2" width="20" style="3" bestFit="1" customWidth="1"/>
    <col min="3" max="3" width="12.375" style="3" bestFit="1" customWidth="1"/>
    <col min="4" max="4" width="11" style="3" bestFit="1" customWidth="1"/>
    <col min="5" max="16384" width="9" style="3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117</v>
      </c>
      <c r="H2" s="3" t="s">
        <v>118</v>
      </c>
      <c r="I2" s="3" t="s">
        <v>54</v>
      </c>
      <c r="J2" s="3" t="s">
        <v>55</v>
      </c>
      <c r="K2" s="3" t="s">
        <v>119</v>
      </c>
      <c r="L2" s="3" t="s">
        <v>120</v>
      </c>
      <c r="M2" s="3" t="s">
        <v>121</v>
      </c>
      <c r="N2" s="3" t="s">
        <v>59</v>
      </c>
      <c r="O2" s="3" t="s">
        <v>59</v>
      </c>
      <c r="P2" s="3" t="s">
        <v>59</v>
      </c>
      <c r="Q2" s="3" t="s">
        <v>122</v>
      </c>
      <c r="R2" s="3" t="s">
        <v>61</v>
      </c>
      <c r="S2" s="3" t="s">
        <v>62</v>
      </c>
      <c r="T2" s="1">
        <v>-500</v>
      </c>
      <c r="U2" s="1">
        <v>13200</v>
      </c>
      <c r="V2" s="1">
        <v>4000</v>
      </c>
      <c r="W2" s="1">
        <v>27000</v>
      </c>
      <c r="X2" s="1">
        <v>16700</v>
      </c>
      <c r="Y2" s="1">
        <v>27000</v>
      </c>
      <c r="Z2" s="1">
        <v>43700</v>
      </c>
      <c r="AA2" s="1">
        <v>-600</v>
      </c>
      <c r="AB2" s="1">
        <v>13200</v>
      </c>
      <c r="AC2" s="1">
        <v>4800</v>
      </c>
      <c r="AD2" s="1">
        <v>27000</v>
      </c>
      <c r="AE2" s="1">
        <v>17400</v>
      </c>
      <c r="AF2" s="1">
        <v>27000</v>
      </c>
      <c r="AG2" s="1">
        <v>44400</v>
      </c>
      <c r="AH2" s="1">
        <v>-540</v>
      </c>
      <c r="AI2" s="1">
        <v>12804</v>
      </c>
      <c r="AJ2" s="1">
        <v>3360</v>
      </c>
      <c r="AK2" s="1">
        <v>24300</v>
      </c>
      <c r="AL2" s="1">
        <v>15624</v>
      </c>
      <c r="AM2" s="1">
        <v>24300</v>
      </c>
      <c r="AN2" s="1">
        <v>39924</v>
      </c>
      <c r="AO2" s="6" t="s">
        <v>215</v>
      </c>
      <c r="AP2" s="6" t="s">
        <v>215</v>
      </c>
      <c r="AQ2" s="6" t="s">
        <v>215</v>
      </c>
      <c r="AR2" s="6" t="s">
        <v>215</v>
      </c>
      <c r="AS2" s="1">
        <v>23954</v>
      </c>
      <c r="AT2" s="1">
        <v>0</v>
      </c>
      <c r="AU2" s="1">
        <v>23954</v>
      </c>
    </row>
    <row r="3" spans="1:47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117</v>
      </c>
      <c r="H3" s="3" t="s">
        <v>118</v>
      </c>
      <c r="I3" s="3" t="s">
        <v>54</v>
      </c>
      <c r="J3" s="3" t="s">
        <v>55</v>
      </c>
      <c r="K3" s="3" t="s">
        <v>119</v>
      </c>
      <c r="L3" s="3" t="s">
        <v>120</v>
      </c>
      <c r="M3" s="3" t="s">
        <v>121</v>
      </c>
      <c r="N3" s="3" t="s">
        <v>59</v>
      </c>
      <c r="O3" s="3" t="s">
        <v>59</v>
      </c>
      <c r="P3" s="3" t="s">
        <v>59</v>
      </c>
      <c r="Q3" s="3" t="s">
        <v>122</v>
      </c>
      <c r="R3" s="3" t="s">
        <v>61</v>
      </c>
      <c r="S3" s="3" t="s">
        <v>63</v>
      </c>
      <c r="T3" s="1">
        <v>0</v>
      </c>
      <c r="U3" s="1">
        <v>18520</v>
      </c>
      <c r="V3" s="1">
        <v>200</v>
      </c>
      <c r="W3" s="1">
        <v>19480</v>
      </c>
      <c r="X3" s="1">
        <v>18720</v>
      </c>
      <c r="Y3" s="1">
        <v>19480</v>
      </c>
      <c r="Z3" s="1">
        <v>38200</v>
      </c>
      <c r="AA3" s="1">
        <v>0</v>
      </c>
      <c r="AB3" s="1">
        <v>18520</v>
      </c>
      <c r="AC3" s="1">
        <v>240</v>
      </c>
      <c r="AD3" s="1">
        <v>19480</v>
      </c>
      <c r="AE3" s="1">
        <v>18760</v>
      </c>
      <c r="AF3" s="1">
        <v>19480</v>
      </c>
      <c r="AG3" s="1">
        <v>38240</v>
      </c>
      <c r="AH3" s="1">
        <v>0</v>
      </c>
      <c r="AI3" s="1">
        <v>17964.400000000001</v>
      </c>
      <c r="AJ3" s="1">
        <v>168</v>
      </c>
      <c r="AK3" s="1">
        <v>17532</v>
      </c>
      <c r="AL3" s="1">
        <v>18132.400000000001</v>
      </c>
      <c r="AM3" s="1">
        <v>17532</v>
      </c>
      <c r="AN3" s="1">
        <v>35664.400000000001</v>
      </c>
      <c r="AO3" s="6" t="s">
        <v>215</v>
      </c>
      <c r="AP3" s="6" t="s">
        <v>215</v>
      </c>
      <c r="AQ3" s="6" t="s">
        <v>215</v>
      </c>
      <c r="AR3" s="6" t="s">
        <v>215</v>
      </c>
      <c r="AS3" s="1">
        <v>21399</v>
      </c>
      <c r="AT3" s="1">
        <v>0</v>
      </c>
      <c r="AU3" s="1">
        <v>21399</v>
      </c>
    </row>
    <row r="4" spans="1:47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117</v>
      </c>
      <c r="H4" s="3" t="s">
        <v>118</v>
      </c>
      <c r="I4" s="3" t="s">
        <v>54</v>
      </c>
      <c r="J4" s="3" t="s">
        <v>55</v>
      </c>
      <c r="K4" s="3" t="s">
        <v>119</v>
      </c>
      <c r="L4" s="3" t="s">
        <v>120</v>
      </c>
      <c r="M4" s="3" t="s">
        <v>121</v>
      </c>
      <c r="N4" s="3" t="s">
        <v>59</v>
      </c>
      <c r="O4" s="3" t="s">
        <v>59</v>
      </c>
      <c r="P4" s="3" t="s">
        <v>59</v>
      </c>
      <c r="Q4" s="3" t="s">
        <v>122</v>
      </c>
      <c r="R4" s="3" t="s">
        <v>61</v>
      </c>
      <c r="S4" s="3" t="s">
        <v>63</v>
      </c>
      <c r="T4" s="1">
        <v>6300</v>
      </c>
      <c r="U4" s="1">
        <v>10500</v>
      </c>
      <c r="V4" s="1">
        <v>3700</v>
      </c>
      <c r="W4" s="1">
        <v>4600</v>
      </c>
      <c r="X4" s="1">
        <v>20500</v>
      </c>
      <c r="Y4" s="1">
        <v>4600</v>
      </c>
      <c r="Z4" s="1">
        <v>25100</v>
      </c>
      <c r="AA4" s="1">
        <v>7560</v>
      </c>
      <c r="AB4" s="1">
        <v>10500</v>
      </c>
      <c r="AC4" s="1">
        <v>4440</v>
      </c>
      <c r="AD4" s="1">
        <v>4600</v>
      </c>
      <c r="AE4" s="1">
        <v>22500</v>
      </c>
      <c r="AF4" s="1">
        <v>4600</v>
      </c>
      <c r="AG4" s="1">
        <v>27100</v>
      </c>
      <c r="AH4" s="1">
        <v>6804</v>
      </c>
      <c r="AI4" s="1">
        <v>10185</v>
      </c>
      <c r="AJ4" s="1">
        <v>3108</v>
      </c>
      <c r="AK4" s="1">
        <v>4140</v>
      </c>
      <c r="AL4" s="1">
        <v>20097</v>
      </c>
      <c r="AM4" s="1">
        <v>4140</v>
      </c>
      <c r="AN4" s="1">
        <v>24237</v>
      </c>
      <c r="AO4" s="6" t="s">
        <v>215</v>
      </c>
      <c r="AP4" s="6" t="s">
        <v>215</v>
      </c>
      <c r="AQ4" s="6" t="s">
        <v>215</v>
      </c>
      <c r="AR4" s="6" t="s">
        <v>215</v>
      </c>
      <c r="AS4" s="1">
        <v>14542</v>
      </c>
      <c r="AT4" s="1">
        <v>0</v>
      </c>
      <c r="AU4" s="1">
        <v>14542</v>
      </c>
    </row>
    <row r="5" spans="1:47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117</v>
      </c>
      <c r="H5" s="3" t="s">
        <v>118</v>
      </c>
      <c r="I5" s="3" t="s">
        <v>54</v>
      </c>
      <c r="J5" s="3" t="s">
        <v>55</v>
      </c>
      <c r="K5" s="3" t="s">
        <v>119</v>
      </c>
      <c r="L5" s="3" t="s">
        <v>120</v>
      </c>
      <c r="M5" s="3" t="s">
        <v>121</v>
      </c>
      <c r="N5" s="3" t="s">
        <v>59</v>
      </c>
      <c r="O5" s="3" t="s">
        <v>59</v>
      </c>
      <c r="P5" s="3" t="s">
        <v>59</v>
      </c>
      <c r="Q5" s="3" t="s">
        <v>122</v>
      </c>
      <c r="R5" s="3" t="s">
        <v>61</v>
      </c>
      <c r="S5" s="3" t="s">
        <v>63</v>
      </c>
      <c r="T5" s="1">
        <v>0</v>
      </c>
      <c r="U5" s="1">
        <v>20500</v>
      </c>
      <c r="V5" s="1">
        <v>0</v>
      </c>
      <c r="W5" s="1">
        <v>7200</v>
      </c>
      <c r="X5" s="1">
        <v>20500</v>
      </c>
      <c r="Y5" s="1">
        <v>7200</v>
      </c>
      <c r="Z5" s="1">
        <v>27700</v>
      </c>
      <c r="AA5" s="1">
        <v>0</v>
      </c>
      <c r="AB5" s="1">
        <v>20500</v>
      </c>
      <c r="AC5" s="1">
        <v>0</v>
      </c>
      <c r="AD5" s="1">
        <v>7200</v>
      </c>
      <c r="AE5" s="1">
        <v>20500</v>
      </c>
      <c r="AF5" s="1">
        <v>7200</v>
      </c>
      <c r="AG5" s="1">
        <v>27700</v>
      </c>
      <c r="AH5" s="1">
        <v>0</v>
      </c>
      <c r="AI5" s="1">
        <v>19885</v>
      </c>
      <c r="AJ5" s="1">
        <v>0</v>
      </c>
      <c r="AK5" s="1">
        <v>6480</v>
      </c>
      <c r="AL5" s="1">
        <v>19885</v>
      </c>
      <c r="AM5" s="1">
        <v>6480</v>
      </c>
      <c r="AN5" s="1">
        <v>26365</v>
      </c>
      <c r="AO5" s="6" t="s">
        <v>215</v>
      </c>
      <c r="AP5" s="6" t="s">
        <v>215</v>
      </c>
      <c r="AQ5" s="6" t="s">
        <v>215</v>
      </c>
      <c r="AR5" s="6" t="s">
        <v>215</v>
      </c>
      <c r="AS5" s="1">
        <v>15819</v>
      </c>
      <c r="AT5" s="1">
        <v>0</v>
      </c>
      <c r="AU5" s="1">
        <v>15819</v>
      </c>
    </row>
    <row r="6" spans="1:47" x14ac:dyDescent="0.3">
      <c r="AU6" s="36">
        <f>SUM(AU2:AU5)</f>
        <v>75714</v>
      </c>
    </row>
    <row r="8" spans="1:47" x14ac:dyDescent="0.3">
      <c r="A8" s="7" t="s">
        <v>238</v>
      </c>
    </row>
    <row r="9" spans="1:47" x14ac:dyDescent="0.3">
      <c r="A9" s="8" t="s">
        <v>258</v>
      </c>
      <c r="B9" s="8" t="s">
        <v>259</v>
      </c>
      <c r="C9" s="8" t="s">
        <v>260</v>
      </c>
      <c r="D9" s="8" t="s">
        <v>244</v>
      </c>
    </row>
    <row r="10" spans="1:47" x14ac:dyDescent="0.3">
      <c r="A10" s="9">
        <v>202204</v>
      </c>
      <c r="B10" s="12">
        <v>10000000</v>
      </c>
      <c r="C10" s="15">
        <v>2078275</v>
      </c>
      <c r="D10" s="11">
        <f>B10-C10</f>
        <v>7921725</v>
      </c>
    </row>
    <row r="11" spans="1:47" x14ac:dyDescent="0.3">
      <c r="A11" s="9">
        <v>202205</v>
      </c>
      <c r="B11" s="12"/>
      <c r="C11" s="15">
        <v>1415159</v>
      </c>
      <c r="D11" s="11">
        <f t="shared" ref="D11:D17" si="0">D10-C11</f>
        <v>6506566</v>
      </c>
    </row>
    <row r="12" spans="1:47" x14ac:dyDescent="0.3">
      <c r="A12" s="9">
        <v>202206</v>
      </c>
      <c r="B12" s="14"/>
      <c r="C12" s="15">
        <v>372261</v>
      </c>
      <c r="D12" s="11">
        <f t="shared" si="0"/>
        <v>6134305</v>
      </c>
    </row>
    <row r="13" spans="1:47" x14ac:dyDescent="0.3">
      <c r="A13" s="16">
        <v>202207</v>
      </c>
      <c r="B13" s="14"/>
      <c r="C13" s="15">
        <v>227039</v>
      </c>
      <c r="D13" s="11">
        <f t="shared" si="0"/>
        <v>5907266</v>
      </c>
    </row>
    <row r="14" spans="1:47" x14ac:dyDescent="0.3">
      <c r="A14" s="16">
        <v>202208</v>
      </c>
      <c r="B14" s="14"/>
      <c r="C14" s="12">
        <v>92998</v>
      </c>
      <c r="D14" s="11">
        <f t="shared" si="0"/>
        <v>5814268</v>
      </c>
    </row>
    <row r="15" spans="1:47" x14ac:dyDescent="0.3">
      <c r="A15" s="16">
        <v>202209</v>
      </c>
      <c r="B15" s="14"/>
      <c r="C15" s="12">
        <v>46313</v>
      </c>
      <c r="D15" s="11">
        <f t="shared" si="0"/>
        <v>5767955</v>
      </c>
    </row>
    <row r="16" spans="1:47" x14ac:dyDescent="0.3">
      <c r="A16" s="16">
        <v>202210</v>
      </c>
      <c r="B16" s="14"/>
      <c r="C16" s="12">
        <v>66405</v>
      </c>
      <c r="D16" s="11">
        <f t="shared" si="0"/>
        <v>5701550</v>
      </c>
    </row>
    <row r="17" spans="1:4" x14ac:dyDescent="0.3">
      <c r="A17" s="16">
        <v>202211</v>
      </c>
      <c r="B17" s="14"/>
      <c r="C17" s="12">
        <f>AU6</f>
        <v>75714</v>
      </c>
      <c r="D17" s="11">
        <f t="shared" si="0"/>
        <v>5625836</v>
      </c>
    </row>
    <row r="18" spans="1:4" x14ac:dyDescent="0.3">
      <c r="A18" s="17" t="s">
        <v>261</v>
      </c>
      <c r="B18" s="18">
        <f>SUM(B10:B14)</f>
        <v>10000000</v>
      </c>
      <c r="C18" s="18">
        <f>SUM(C10:C17)</f>
        <v>4374164</v>
      </c>
      <c r="D18" s="1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2"/>
  <sheetViews>
    <sheetView topLeftCell="A34" zoomScale="70" zoomScaleNormal="70" workbookViewId="0">
      <selection activeCell="C63" sqref="C63"/>
    </sheetView>
  </sheetViews>
  <sheetFormatPr defaultRowHeight="16.5" x14ac:dyDescent="0.3"/>
  <cols>
    <col min="2" max="2" width="20" bestFit="1" customWidth="1"/>
    <col min="3" max="3" width="13.625" bestFit="1" customWidth="1"/>
    <col min="4" max="4" width="14.25" bestFit="1" customWidth="1"/>
    <col min="47" max="47" width="11.375" bestFit="1" customWidth="1"/>
  </cols>
  <sheetData>
    <row r="1" spans="1:4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150</v>
      </c>
      <c r="H2" s="3" t="s">
        <v>151</v>
      </c>
      <c r="I2" s="3" t="s">
        <v>54</v>
      </c>
      <c r="J2" s="3" t="s">
        <v>55</v>
      </c>
      <c r="K2" s="3" t="s">
        <v>152</v>
      </c>
      <c r="L2" s="3" t="s">
        <v>153</v>
      </c>
      <c r="M2" s="3" t="s">
        <v>154</v>
      </c>
      <c r="N2" s="3" t="s">
        <v>59</v>
      </c>
      <c r="O2" s="3" t="s">
        <v>59</v>
      </c>
      <c r="P2" s="3" t="s">
        <v>59</v>
      </c>
      <c r="Q2" s="3" t="s">
        <v>155</v>
      </c>
      <c r="R2" s="3" t="s">
        <v>61</v>
      </c>
      <c r="S2" s="3" t="s">
        <v>62</v>
      </c>
      <c r="T2" s="1">
        <v>313610</v>
      </c>
      <c r="U2" s="1">
        <v>266700</v>
      </c>
      <c r="V2" s="1">
        <v>46700</v>
      </c>
      <c r="W2" s="1">
        <v>3196090</v>
      </c>
      <c r="X2" s="1">
        <v>627010</v>
      </c>
      <c r="Y2" s="1">
        <v>3196090</v>
      </c>
      <c r="Z2" s="1">
        <v>3823100</v>
      </c>
      <c r="AA2" s="1">
        <v>376332</v>
      </c>
      <c r="AB2" s="1">
        <v>266700</v>
      </c>
      <c r="AC2" s="1">
        <v>55950</v>
      </c>
      <c r="AD2" s="1">
        <v>3196090</v>
      </c>
      <c r="AE2" s="1">
        <v>698982</v>
      </c>
      <c r="AF2" s="1">
        <v>3196090</v>
      </c>
      <c r="AG2" s="1">
        <v>3895072</v>
      </c>
      <c r="AH2" s="1">
        <v>338698.8</v>
      </c>
      <c r="AI2" s="1">
        <v>258699</v>
      </c>
      <c r="AJ2" s="1">
        <v>39165</v>
      </c>
      <c r="AK2" s="1">
        <v>2876481</v>
      </c>
      <c r="AL2" s="1">
        <v>636562.80000000005</v>
      </c>
      <c r="AM2" s="1">
        <v>2876481</v>
      </c>
      <c r="AN2" s="1">
        <v>3513043.8</v>
      </c>
      <c r="AO2" s="6" t="s">
        <v>215</v>
      </c>
      <c r="AP2" s="6" t="s">
        <v>215</v>
      </c>
      <c r="AQ2" s="6" t="s">
        <v>215</v>
      </c>
      <c r="AR2" s="6" t="s">
        <v>215</v>
      </c>
      <c r="AS2" s="1">
        <v>2107826</v>
      </c>
      <c r="AT2" s="1">
        <v>0</v>
      </c>
      <c r="AU2" s="1">
        <v>2107826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150</v>
      </c>
      <c r="H3" s="3" t="s">
        <v>151</v>
      </c>
      <c r="I3" s="3" t="s">
        <v>54</v>
      </c>
      <c r="J3" s="3" t="s">
        <v>55</v>
      </c>
      <c r="K3" s="3" t="s">
        <v>152</v>
      </c>
      <c r="L3" s="3" t="s">
        <v>153</v>
      </c>
      <c r="M3" s="3" t="s">
        <v>154</v>
      </c>
      <c r="N3" s="3" t="s">
        <v>59</v>
      </c>
      <c r="O3" s="3" t="s">
        <v>59</v>
      </c>
      <c r="P3" s="3" t="s">
        <v>59</v>
      </c>
      <c r="Q3" s="3" t="s">
        <v>155</v>
      </c>
      <c r="R3" s="3" t="s">
        <v>61</v>
      </c>
      <c r="S3" s="3" t="s">
        <v>63</v>
      </c>
      <c r="T3" s="1">
        <v>733970</v>
      </c>
      <c r="U3" s="1">
        <v>772970</v>
      </c>
      <c r="V3" s="1">
        <v>34840</v>
      </c>
      <c r="W3" s="1">
        <v>1718520</v>
      </c>
      <c r="X3" s="1">
        <v>1541780</v>
      </c>
      <c r="Y3" s="1">
        <v>1718520</v>
      </c>
      <c r="Z3" s="1">
        <v>3260300</v>
      </c>
      <c r="AA3" s="1">
        <v>880764</v>
      </c>
      <c r="AB3" s="1">
        <v>772970</v>
      </c>
      <c r="AC3" s="1">
        <v>41628</v>
      </c>
      <c r="AD3" s="1">
        <v>1718520</v>
      </c>
      <c r="AE3" s="1">
        <v>1695362</v>
      </c>
      <c r="AF3" s="1">
        <v>1718520</v>
      </c>
      <c r="AG3" s="1">
        <v>3413882</v>
      </c>
      <c r="AH3" s="1">
        <v>792687.6</v>
      </c>
      <c r="AI3" s="1">
        <v>749780.9</v>
      </c>
      <c r="AJ3" s="1">
        <v>29139.599999999999</v>
      </c>
      <c r="AK3" s="1">
        <v>1546668</v>
      </c>
      <c r="AL3" s="1">
        <v>1571608.1</v>
      </c>
      <c r="AM3" s="1">
        <v>1546668</v>
      </c>
      <c r="AN3" s="1">
        <v>3118276.1</v>
      </c>
      <c r="AO3" s="6" t="s">
        <v>215</v>
      </c>
      <c r="AP3" s="6" t="s">
        <v>215</v>
      </c>
      <c r="AQ3" s="6" t="s">
        <v>215</v>
      </c>
      <c r="AR3" s="6" t="s">
        <v>215</v>
      </c>
      <c r="AS3" s="1">
        <v>1870967</v>
      </c>
      <c r="AT3" s="1">
        <v>0</v>
      </c>
      <c r="AU3" s="1">
        <v>1870967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150</v>
      </c>
      <c r="H4" s="3" t="s">
        <v>151</v>
      </c>
      <c r="I4" s="3" t="s">
        <v>54</v>
      </c>
      <c r="J4" s="3" t="s">
        <v>55</v>
      </c>
      <c r="K4" s="3" t="s">
        <v>152</v>
      </c>
      <c r="L4" s="3" t="s">
        <v>153</v>
      </c>
      <c r="M4" s="3" t="s">
        <v>154</v>
      </c>
      <c r="N4" s="3" t="s">
        <v>59</v>
      </c>
      <c r="O4" s="3" t="s">
        <v>59</v>
      </c>
      <c r="P4" s="3" t="s">
        <v>59</v>
      </c>
      <c r="Q4" s="3" t="s">
        <v>155</v>
      </c>
      <c r="R4" s="3" t="s">
        <v>61</v>
      </c>
      <c r="S4" s="3" t="s">
        <v>63</v>
      </c>
      <c r="T4" s="1">
        <v>854960</v>
      </c>
      <c r="U4" s="1">
        <v>852250</v>
      </c>
      <c r="V4" s="1">
        <v>100840</v>
      </c>
      <c r="W4" s="1">
        <v>471850</v>
      </c>
      <c r="X4" s="1">
        <v>1808050</v>
      </c>
      <c r="Y4" s="1">
        <v>471850</v>
      </c>
      <c r="Z4" s="1">
        <v>2279900</v>
      </c>
      <c r="AA4" s="1">
        <v>1025952</v>
      </c>
      <c r="AB4" s="1">
        <v>852250</v>
      </c>
      <c r="AC4" s="1">
        <v>120869</v>
      </c>
      <c r="AD4" s="1">
        <v>471850</v>
      </c>
      <c r="AE4" s="1">
        <v>1999071</v>
      </c>
      <c r="AF4" s="1">
        <v>471850</v>
      </c>
      <c r="AG4" s="1">
        <v>2470921</v>
      </c>
      <c r="AH4" s="1">
        <v>923356.8</v>
      </c>
      <c r="AI4" s="1">
        <v>826682.5</v>
      </c>
      <c r="AJ4" s="1">
        <v>84608.3</v>
      </c>
      <c r="AK4" s="1">
        <v>424665</v>
      </c>
      <c r="AL4" s="1">
        <v>1834647.6</v>
      </c>
      <c r="AM4" s="1">
        <v>424665</v>
      </c>
      <c r="AN4" s="1">
        <v>2259312.6</v>
      </c>
      <c r="AO4" s="6" t="s">
        <v>215</v>
      </c>
      <c r="AP4" s="6" t="s">
        <v>215</v>
      </c>
      <c r="AQ4" s="6" t="s">
        <v>215</v>
      </c>
      <c r="AR4" s="6" t="s">
        <v>215</v>
      </c>
      <c r="AS4" s="1">
        <v>1355588</v>
      </c>
      <c r="AT4" s="1">
        <v>0</v>
      </c>
      <c r="AU4" s="1">
        <v>1355588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150</v>
      </c>
      <c r="H5" s="3" t="s">
        <v>151</v>
      </c>
      <c r="I5" s="3" t="s">
        <v>54</v>
      </c>
      <c r="J5" s="3" t="s">
        <v>55</v>
      </c>
      <c r="K5" s="3" t="s">
        <v>152</v>
      </c>
      <c r="L5" s="3" t="s">
        <v>153</v>
      </c>
      <c r="M5" s="3" t="s">
        <v>154</v>
      </c>
      <c r="N5" s="3" t="s">
        <v>59</v>
      </c>
      <c r="O5" s="3" t="s">
        <v>59</v>
      </c>
      <c r="P5" s="3" t="s">
        <v>59</v>
      </c>
      <c r="Q5" s="3" t="s">
        <v>155</v>
      </c>
      <c r="R5" s="3" t="s">
        <v>61</v>
      </c>
      <c r="S5" s="3" t="s">
        <v>63</v>
      </c>
      <c r="T5" s="1">
        <v>1287480</v>
      </c>
      <c r="U5" s="1">
        <v>1393890</v>
      </c>
      <c r="V5" s="1">
        <v>215990</v>
      </c>
      <c r="W5" s="1">
        <v>423540</v>
      </c>
      <c r="X5" s="1">
        <v>2897360</v>
      </c>
      <c r="Y5" s="1">
        <v>423540</v>
      </c>
      <c r="Z5" s="1">
        <v>3320900</v>
      </c>
      <c r="AA5" s="1">
        <v>1544976</v>
      </c>
      <c r="AB5" s="1">
        <v>1393890</v>
      </c>
      <c r="AC5" s="1">
        <v>260389</v>
      </c>
      <c r="AD5" s="1">
        <v>423540</v>
      </c>
      <c r="AE5" s="1">
        <v>3199255</v>
      </c>
      <c r="AF5" s="1">
        <v>423540</v>
      </c>
      <c r="AG5" s="1">
        <v>3622795</v>
      </c>
      <c r="AH5" s="1">
        <v>1390478.4</v>
      </c>
      <c r="AI5" s="1">
        <v>1352073.3</v>
      </c>
      <c r="AJ5" s="1">
        <v>182272.3</v>
      </c>
      <c r="AK5" s="1">
        <v>381186</v>
      </c>
      <c r="AL5" s="1">
        <v>2924824</v>
      </c>
      <c r="AM5" s="1">
        <v>381186</v>
      </c>
      <c r="AN5" s="1">
        <v>3306010</v>
      </c>
      <c r="AO5" s="6" t="s">
        <v>215</v>
      </c>
      <c r="AP5" s="6" t="s">
        <v>215</v>
      </c>
      <c r="AQ5" s="6" t="s">
        <v>215</v>
      </c>
      <c r="AR5" s="6" t="s">
        <v>215</v>
      </c>
      <c r="AS5" s="1">
        <v>1983606</v>
      </c>
      <c r="AT5" s="1">
        <v>0</v>
      </c>
      <c r="AU5" s="1">
        <v>1983606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150</v>
      </c>
      <c r="H6" s="3" t="s">
        <v>151</v>
      </c>
      <c r="I6" s="3" t="s">
        <v>54</v>
      </c>
      <c r="J6" s="3" t="s">
        <v>55</v>
      </c>
      <c r="K6" s="3" t="s">
        <v>156</v>
      </c>
      <c r="L6" s="3" t="s">
        <v>157</v>
      </c>
      <c r="M6" s="3" t="s">
        <v>158</v>
      </c>
      <c r="N6" s="3" t="s">
        <v>59</v>
      </c>
      <c r="O6" s="3" t="s">
        <v>59</v>
      </c>
      <c r="P6" s="3" t="s">
        <v>59</v>
      </c>
      <c r="Q6" s="3" t="s">
        <v>155</v>
      </c>
      <c r="R6" s="3" t="s">
        <v>61</v>
      </c>
      <c r="S6" s="3" t="s">
        <v>62</v>
      </c>
      <c r="T6" s="1">
        <v>46620</v>
      </c>
      <c r="U6" s="1">
        <v>55720</v>
      </c>
      <c r="V6" s="1">
        <v>300</v>
      </c>
      <c r="W6" s="1">
        <v>481660</v>
      </c>
      <c r="X6" s="1">
        <v>102640</v>
      </c>
      <c r="Y6" s="1">
        <v>481660</v>
      </c>
      <c r="Z6" s="1">
        <v>584300</v>
      </c>
      <c r="AA6" s="1">
        <v>55944</v>
      </c>
      <c r="AB6" s="1">
        <v>55720</v>
      </c>
      <c r="AC6" s="1">
        <v>417</v>
      </c>
      <c r="AD6" s="1">
        <v>481660</v>
      </c>
      <c r="AE6" s="1">
        <v>112081</v>
      </c>
      <c r="AF6" s="1">
        <v>481660</v>
      </c>
      <c r="AG6" s="1">
        <v>593741</v>
      </c>
      <c r="AH6" s="1">
        <v>50349.599999999999</v>
      </c>
      <c r="AI6" s="1">
        <v>54048.4</v>
      </c>
      <c r="AJ6" s="1">
        <v>291.89999999999998</v>
      </c>
      <c r="AK6" s="1">
        <v>433494</v>
      </c>
      <c r="AL6" s="1">
        <v>104689.9</v>
      </c>
      <c r="AM6" s="1">
        <v>433494</v>
      </c>
      <c r="AN6" s="1">
        <v>538183.9</v>
      </c>
      <c r="AO6" s="6" t="s">
        <v>215</v>
      </c>
      <c r="AP6" s="6" t="s">
        <v>215</v>
      </c>
      <c r="AQ6" s="6" t="s">
        <v>215</v>
      </c>
      <c r="AR6" s="6" t="s">
        <v>215</v>
      </c>
      <c r="AS6" s="1">
        <v>322910</v>
      </c>
      <c r="AT6" s="1">
        <v>0</v>
      </c>
      <c r="AU6" s="1">
        <v>322910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150</v>
      </c>
      <c r="H7" s="3" t="s">
        <v>151</v>
      </c>
      <c r="I7" s="3" t="s">
        <v>54</v>
      </c>
      <c r="J7" s="3" t="s">
        <v>55</v>
      </c>
      <c r="K7" s="3" t="s">
        <v>156</v>
      </c>
      <c r="L7" s="3" t="s">
        <v>157</v>
      </c>
      <c r="M7" s="3" t="s">
        <v>158</v>
      </c>
      <c r="N7" s="3" t="s">
        <v>59</v>
      </c>
      <c r="O7" s="3" t="s">
        <v>59</v>
      </c>
      <c r="P7" s="3" t="s">
        <v>59</v>
      </c>
      <c r="Q7" s="3" t="s">
        <v>155</v>
      </c>
      <c r="R7" s="3" t="s">
        <v>61</v>
      </c>
      <c r="S7" s="3" t="s">
        <v>63</v>
      </c>
      <c r="T7" s="1">
        <v>105260</v>
      </c>
      <c r="U7" s="1">
        <v>51640</v>
      </c>
      <c r="V7" s="1">
        <v>0</v>
      </c>
      <c r="W7" s="1">
        <v>86400</v>
      </c>
      <c r="X7" s="1">
        <v>156900</v>
      </c>
      <c r="Y7" s="1">
        <v>86400</v>
      </c>
      <c r="Z7" s="1">
        <v>243300</v>
      </c>
      <c r="AA7" s="1">
        <v>126312</v>
      </c>
      <c r="AB7" s="1">
        <v>51640</v>
      </c>
      <c r="AC7" s="1">
        <v>0</v>
      </c>
      <c r="AD7" s="1">
        <v>86400</v>
      </c>
      <c r="AE7" s="1">
        <v>177952</v>
      </c>
      <c r="AF7" s="1">
        <v>86400</v>
      </c>
      <c r="AG7" s="1">
        <v>264352</v>
      </c>
      <c r="AH7" s="1">
        <v>113680.8</v>
      </c>
      <c r="AI7" s="1">
        <v>50090.8</v>
      </c>
      <c r="AJ7" s="1">
        <v>0</v>
      </c>
      <c r="AK7" s="1">
        <v>77760</v>
      </c>
      <c r="AL7" s="1">
        <v>163771.6</v>
      </c>
      <c r="AM7" s="1">
        <v>77760</v>
      </c>
      <c r="AN7" s="1">
        <v>241531.6</v>
      </c>
      <c r="AO7" s="6" t="s">
        <v>215</v>
      </c>
      <c r="AP7" s="6" t="s">
        <v>215</v>
      </c>
      <c r="AQ7" s="6" t="s">
        <v>215</v>
      </c>
      <c r="AR7" s="6" t="s">
        <v>215</v>
      </c>
      <c r="AS7" s="1">
        <v>144918</v>
      </c>
      <c r="AT7" s="1">
        <v>0</v>
      </c>
      <c r="AU7" s="1">
        <v>144918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150</v>
      </c>
      <c r="H8" s="3" t="s">
        <v>151</v>
      </c>
      <c r="I8" s="3" t="s">
        <v>54</v>
      </c>
      <c r="J8" s="3" t="s">
        <v>55</v>
      </c>
      <c r="K8" s="3" t="s">
        <v>156</v>
      </c>
      <c r="L8" s="3" t="s">
        <v>157</v>
      </c>
      <c r="M8" s="3" t="s">
        <v>158</v>
      </c>
      <c r="N8" s="3" t="s">
        <v>59</v>
      </c>
      <c r="O8" s="3" t="s">
        <v>59</v>
      </c>
      <c r="P8" s="3" t="s">
        <v>59</v>
      </c>
      <c r="Q8" s="3" t="s">
        <v>155</v>
      </c>
      <c r="R8" s="3" t="s">
        <v>61</v>
      </c>
      <c r="S8" s="3" t="s">
        <v>63</v>
      </c>
      <c r="T8" s="1">
        <v>53600</v>
      </c>
      <c r="U8" s="1">
        <v>58700</v>
      </c>
      <c r="V8" s="1">
        <v>0</v>
      </c>
      <c r="W8" s="1">
        <v>29900</v>
      </c>
      <c r="X8" s="1">
        <v>112300</v>
      </c>
      <c r="Y8" s="1">
        <v>29900</v>
      </c>
      <c r="Z8" s="1">
        <v>142200</v>
      </c>
      <c r="AA8" s="1">
        <v>64320</v>
      </c>
      <c r="AB8" s="1">
        <v>58700</v>
      </c>
      <c r="AC8" s="1">
        <v>0</v>
      </c>
      <c r="AD8" s="1">
        <v>29900</v>
      </c>
      <c r="AE8" s="1">
        <v>123020</v>
      </c>
      <c r="AF8" s="1">
        <v>29900</v>
      </c>
      <c r="AG8" s="1">
        <v>152920</v>
      </c>
      <c r="AH8" s="1">
        <v>57888</v>
      </c>
      <c r="AI8" s="1">
        <v>56939</v>
      </c>
      <c r="AJ8" s="1">
        <v>0</v>
      </c>
      <c r="AK8" s="1">
        <v>26910</v>
      </c>
      <c r="AL8" s="1">
        <v>114827</v>
      </c>
      <c r="AM8" s="1">
        <v>26910</v>
      </c>
      <c r="AN8" s="1">
        <v>141737</v>
      </c>
      <c r="AO8" s="6" t="s">
        <v>215</v>
      </c>
      <c r="AP8" s="6" t="s">
        <v>215</v>
      </c>
      <c r="AQ8" s="6" t="s">
        <v>215</v>
      </c>
      <c r="AR8" s="6" t="s">
        <v>215</v>
      </c>
      <c r="AS8" s="1">
        <v>85042</v>
      </c>
      <c r="AT8" s="1">
        <v>0</v>
      </c>
      <c r="AU8" s="1">
        <v>85042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150</v>
      </c>
      <c r="H9" s="3" t="s">
        <v>151</v>
      </c>
      <c r="I9" s="3" t="s">
        <v>54</v>
      </c>
      <c r="J9" s="3" t="s">
        <v>55</v>
      </c>
      <c r="K9" s="3" t="s">
        <v>156</v>
      </c>
      <c r="L9" s="3" t="s">
        <v>157</v>
      </c>
      <c r="M9" s="3" t="s">
        <v>158</v>
      </c>
      <c r="N9" s="3" t="s">
        <v>59</v>
      </c>
      <c r="O9" s="3" t="s">
        <v>59</v>
      </c>
      <c r="P9" s="3" t="s">
        <v>59</v>
      </c>
      <c r="Q9" s="3" t="s">
        <v>155</v>
      </c>
      <c r="R9" s="3" t="s">
        <v>61</v>
      </c>
      <c r="S9" s="3" t="s">
        <v>63</v>
      </c>
      <c r="T9" s="1">
        <v>40100</v>
      </c>
      <c r="U9" s="1">
        <v>45900</v>
      </c>
      <c r="V9" s="1">
        <v>0</v>
      </c>
      <c r="W9" s="1">
        <v>1800</v>
      </c>
      <c r="X9" s="1">
        <v>86000</v>
      </c>
      <c r="Y9" s="1">
        <v>1800</v>
      </c>
      <c r="Z9" s="1">
        <v>87800</v>
      </c>
      <c r="AA9" s="1">
        <v>48120</v>
      </c>
      <c r="AB9" s="1">
        <v>45900</v>
      </c>
      <c r="AC9" s="1">
        <v>0</v>
      </c>
      <c r="AD9" s="1">
        <v>1800</v>
      </c>
      <c r="AE9" s="1">
        <v>94020</v>
      </c>
      <c r="AF9" s="1">
        <v>1800</v>
      </c>
      <c r="AG9" s="1">
        <v>95820</v>
      </c>
      <c r="AH9" s="1">
        <v>43308</v>
      </c>
      <c r="AI9" s="1">
        <v>44523</v>
      </c>
      <c r="AJ9" s="1">
        <v>0</v>
      </c>
      <c r="AK9" s="1">
        <v>1620</v>
      </c>
      <c r="AL9" s="1">
        <v>87831</v>
      </c>
      <c r="AM9" s="1">
        <v>1620</v>
      </c>
      <c r="AN9" s="1">
        <v>89451</v>
      </c>
      <c r="AO9" s="6" t="s">
        <v>215</v>
      </c>
      <c r="AP9" s="6" t="s">
        <v>215</v>
      </c>
      <c r="AQ9" s="6" t="s">
        <v>215</v>
      </c>
      <c r="AR9" s="6" t="s">
        <v>215</v>
      </c>
      <c r="AS9" s="1">
        <v>53671</v>
      </c>
      <c r="AT9" s="1">
        <v>0</v>
      </c>
      <c r="AU9" s="1">
        <v>53671</v>
      </c>
    </row>
    <row r="10" spans="1:47" s="3" customFormat="1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150</v>
      </c>
      <c r="H10" s="3" t="s">
        <v>151</v>
      </c>
      <c r="I10" s="3" t="s">
        <v>54</v>
      </c>
      <c r="J10" s="3" t="s">
        <v>55</v>
      </c>
      <c r="K10" s="3" t="s">
        <v>159</v>
      </c>
      <c r="L10" s="3" t="s">
        <v>160</v>
      </c>
      <c r="M10" s="3" t="s">
        <v>161</v>
      </c>
      <c r="N10" s="3" t="s">
        <v>59</v>
      </c>
      <c r="O10" s="3" t="s">
        <v>59</v>
      </c>
      <c r="P10" s="3" t="s">
        <v>59</v>
      </c>
      <c r="Q10" s="3" t="s">
        <v>155</v>
      </c>
      <c r="R10" s="3" t="s">
        <v>61</v>
      </c>
      <c r="S10" s="3" t="s">
        <v>62</v>
      </c>
      <c r="T10" s="1">
        <v>30890</v>
      </c>
      <c r="U10" s="1">
        <v>26400</v>
      </c>
      <c r="V10" s="1">
        <v>500</v>
      </c>
      <c r="W10" s="1">
        <v>348110</v>
      </c>
      <c r="X10" s="1">
        <v>57790</v>
      </c>
      <c r="Y10" s="1">
        <v>348110</v>
      </c>
      <c r="Z10" s="1">
        <v>405900</v>
      </c>
      <c r="AA10" s="1">
        <v>37068</v>
      </c>
      <c r="AB10" s="1">
        <v>26400</v>
      </c>
      <c r="AC10" s="1">
        <v>600</v>
      </c>
      <c r="AD10" s="1">
        <v>348110</v>
      </c>
      <c r="AE10" s="1">
        <v>64068</v>
      </c>
      <c r="AF10" s="1">
        <v>348110</v>
      </c>
      <c r="AG10" s="1">
        <v>412178</v>
      </c>
      <c r="AH10" s="1">
        <v>33361.199999999997</v>
      </c>
      <c r="AI10" s="1">
        <v>25608</v>
      </c>
      <c r="AJ10" s="1">
        <v>420</v>
      </c>
      <c r="AK10" s="1">
        <v>313299</v>
      </c>
      <c r="AL10" s="1">
        <v>59389.2</v>
      </c>
      <c r="AM10" s="1">
        <v>313299</v>
      </c>
      <c r="AN10" s="1">
        <v>372688.2</v>
      </c>
      <c r="AO10" s="6" t="s">
        <v>215</v>
      </c>
      <c r="AP10" s="6" t="s">
        <v>215</v>
      </c>
      <c r="AQ10" s="6" t="s">
        <v>215</v>
      </c>
      <c r="AR10" s="6" t="s">
        <v>215</v>
      </c>
      <c r="AS10" s="1">
        <v>223613</v>
      </c>
      <c r="AT10" s="1">
        <v>0</v>
      </c>
      <c r="AU10" s="1">
        <v>223613</v>
      </c>
    </row>
    <row r="11" spans="1:47" s="3" customFormat="1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150</v>
      </c>
      <c r="H11" s="3" t="s">
        <v>151</v>
      </c>
      <c r="I11" s="3" t="s">
        <v>54</v>
      </c>
      <c r="J11" s="3" t="s">
        <v>55</v>
      </c>
      <c r="K11" s="3" t="s">
        <v>159</v>
      </c>
      <c r="L11" s="3" t="s">
        <v>160</v>
      </c>
      <c r="M11" s="3" t="s">
        <v>161</v>
      </c>
      <c r="N11" s="3" t="s">
        <v>59</v>
      </c>
      <c r="O11" s="3" t="s">
        <v>59</v>
      </c>
      <c r="P11" s="3" t="s">
        <v>59</v>
      </c>
      <c r="Q11" s="3" t="s">
        <v>155</v>
      </c>
      <c r="R11" s="3" t="s">
        <v>61</v>
      </c>
      <c r="S11" s="3" t="s">
        <v>63</v>
      </c>
      <c r="T11" s="1">
        <v>48300</v>
      </c>
      <c r="U11" s="1">
        <v>52400</v>
      </c>
      <c r="V11" s="1">
        <v>21000</v>
      </c>
      <c r="W11" s="1">
        <v>156800</v>
      </c>
      <c r="X11" s="1">
        <v>121700</v>
      </c>
      <c r="Y11" s="1">
        <v>156800</v>
      </c>
      <c r="Z11" s="1">
        <v>278500</v>
      </c>
      <c r="AA11" s="1">
        <v>57960</v>
      </c>
      <c r="AB11" s="1">
        <v>52400</v>
      </c>
      <c r="AC11" s="1">
        <v>25200</v>
      </c>
      <c r="AD11" s="1">
        <v>156800</v>
      </c>
      <c r="AE11" s="1">
        <v>135560</v>
      </c>
      <c r="AF11" s="1">
        <v>156800</v>
      </c>
      <c r="AG11" s="1">
        <v>292360</v>
      </c>
      <c r="AH11" s="1">
        <v>52164</v>
      </c>
      <c r="AI11" s="1">
        <v>50828</v>
      </c>
      <c r="AJ11" s="1">
        <v>17640</v>
      </c>
      <c r="AK11" s="1">
        <v>141120</v>
      </c>
      <c r="AL11" s="1">
        <v>120632</v>
      </c>
      <c r="AM11" s="1">
        <v>141120</v>
      </c>
      <c r="AN11" s="1">
        <v>261752</v>
      </c>
      <c r="AO11" s="6" t="s">
        <v>215</v>
      </c>
      <c r="AP11" s="6" t="s">
        <v>215</v>
      </c>
      <c r="AQ11" s="6" t="s">
        <v>215</v>
      </c>
      <c r="AR11" s="6" t="s">
        <v>215</v>
      </c>
      <c r="AS11" s="1">
        <v>157051</v>
      </c>
      <c r="AT11" s="1">
        <v>0</v>
      </c>
      <c r="AU11" s="1">
        <v>157051</v>
      </c>
    </row>
    <row r="12" spans="1:47" s="3" customFormat="1" x14ac:dyDescent="0.3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150</v>
      </c>
      <c r="H12" s="3" t="s">
        <v>151</v>
      </c>
      <c r="I12" s="3" t="s">
        <v>54</v>
      </c>
      <c r="J12" s="3" t="s">
        <v>55</v>
      </c>
      <c r="K12" s="3" t="s">
        <v>159</v>
      </c>
      <c r="L12" s="3" t="s">
        <v>160</v>
      </c>
      <c r="M12" s="3" t="s">
        <v>161</v>
      </c>
      <c r="N12" s="3" t="s">
        <v>59</v>
      </c>
      <c r="O12" s="3" t="s">
        <v>59</v>
      </c>
      <c r="P12" s="3" t="s">
        <v>59</v>
      </c>
      <c r="Q12" s="3" t="s">
        <v>155</v>
      </c>
      <c r="R12" s="3" t="s">
        <v>61</v>
      </c>
      <c r="S12" s="3" t="s">
        <v>63</v>
      </c>
      <c r="T12" s="1">
        <v>73700</v>
      </c>
      <c r="U12" s="1">
        <v>41500</v>
      </c>
      <c r="V12" s="1">
        <v>18400</v>
      </c>
      <c r="W12" s="1">
        <v>12900</v>
      </c>
      <c r="X12" s="1">
        <v>133600</v>
      </c>
      <c r="Y12" s="1">
        <v>12900</v>
      </c>
      <c r="Z12" s="1">
        <v>146500</v>
      </c>
      <c r="AA12" s="1">
        <v>88440</v>
      </c>
      <c r="AB12" s="1">
        <v>41500</v>
      </c>
      <c r="AC12" s="1">
        <v>22080</v>
      </c>
      <c r="AD12" s="1">
        <v>12900</v>
      </c>
      <c r="AE12" s="1">
        <v>152020</v>
      </c>
      <c r="AF12" s="1">
        <v>12900</v>
      </c>
      <c r="AG12" s="1">
        <v>164920</v>
      </c>
      <c r="AH12" s="1">
        <v>79596</v>
      </c>
      <c r="AI12" s="1">
        <v>40255</v>
      </c>
      <c r="AJ12" s="1">
        <v>15456</v>
      </c>
      <c r="AK12" s="1">
        <v>11610</v>
      </c>
      <c r="AL12" s="1">
        <v>135307</v>
      </c>
      <c r="AM12" s="1">
        <v>11610</v>
      </c>
      <c r="AN12" s="1">
        <v>146917</v>
      </c>
      <c r="AO12" s="6" t="s">
        <v>215</v>
      </c>
      <c r="AP12" s="6" t="s">
        <v>215</v>
      </c>
      <c r="AQ12" s="6" t="s">
        <v>215</v>
      </c>
      <c r="AR12" s="6" t="s">
        <v>215</v>
      </c>
      <c r="AS12" s="1">
        <v>88151</v>
      </c>
      <c r="AT12" s="1">
        <v>0</v>
      </c>
      <c r="AU12" s="1">
        <v>88151</v>
      </c>
    </row>
    <row r="13" spans="1:47" s="3" customFormat="1" x14ac:dyDescent="0.3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150</v>
      </c>
      <c r="H13" s="3" t="s">
        <v>151</v>
      </c>
      <c r="I13" s="3" t="s">
        <v>54</v>
      </c>
      <c r="J13" s="3" t="s">
        <v>55</v>
      </c>
      <c r="K13" s="3" t="s">
        <v>159</v>
      </c>
      <c r="L13" s="3" t="s">
        <v>160</v>
      </c>
      <c r="M13" s="3" t="s">
        <v>161</v>
      </c>
      <c r="N13" s="3" t="s">
        <v>59</v>
      </c>
      <c r="O13" s="3" t="s">
        <v>59</v>
      </c>
      <c r="P13" s="3" t="s">
        <v>59</v>
      </c>
      <c r="Q13" s="3" t="s">
        <v>155</v>
      </c>
      <c r="R13" s="3" t="s">
        <v>61</v>
      </c>
      <c r="S13" s="3" t="s">
        <v>63</v>
      </c>
      <c r="T13" s="1">
        <v>72000</v>
      </c>
      <c r="U13" s="1">
        <v>10340</v>
      </c>
      <c r="V13" s="1">
        <v>0</v>
      </c>
      <c r="W13" s="1">
        <v>4660</v>
      </c>
      <c r="X13" s="1">
        <v>82340</v>
      </c>
      <c r="Y13" s="1">
        <v>4660</v>
      </c>
      <c r="Z13" s="1">
        <v>87000</v>
      </c>
      <c r="AA13" s="1">
        <v>86400</v>
      </c>
      <c r="AB13" s="1">
        <v>10340</v>
      </c>
      <c r="AC13" s="1">
        <v>0</v>
      </c>
      <c r="AD13" s="1">
        <v>4660</v>
      </c>
      <c r="AE13" s="1">
        <v>96740</v>
      </c>
      <c r="AF13" s="1">
        <v>4660</v>
      </c>
      <c r="AG13" s="1">
        <v>101400</v>
      </c>
      <c r="AH13" s="1">
        <v>77760</v>
      </c>
      <c r="AI13" s="1">
        <v>10029.799999999999</v>
      </c>
      <c r="AJ13" s="1">
        <v>0</v>
      </c>
      <c r="AK13" s="1">
        <v>4194</v>
      </c>
      <c r="AL13" s="1">
        <v>87789.8</v>
      </c>
      <c r="AM13" s="1">
        <v>4194</v>
      </c>
      <c r="AN13" s="1">
        <v>91983.8</v>
      </c>
      <c r="AO13" s="6" t="s">
        <v>215</v>
      </c>
      <c r="AP13" s="6" t="s">
        <v>215</v>
      </c>
      <c r="AQ13" s="6" t="s">
        <v>215</v>
      </c>
      <c r="AR13" s="6" t="s">
        <v>215</v>
      </c>
      <c r="AS13" s="1">
        <v>55190</v>
      </c>
      <c r="AT13" s="1">
        <v>0</v>
      </c>
      <c r="AU13" s="1">
        <v>55190</v>
      </c>
    </row>
    <row r="14" spans="1:47" s="3" customFormat="1" x14ac:dyDescent="0.3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150</v>
      </c>
      <c r="H14" s="3" t="s">
        <v>151</v>
      </c>
      <c r="I14" s="3" t="s">
        <v>54</v>
      </c>
      <c r="J14" s="3" t="s">
        <v>55</v>
      </c>
      <c r="K14" s="3" t="s">
        <v>162</v>
      </c>
      <c r="L14" s="3" t="s">
        <v>163</v>
      </c>
      <c r="M14" s="3" t="s">
        <v>164</v>
      </c>
      <c r="N14" s="3" t="s">
        <v>59</v>
      </c>
      <c r="O14" s="3" t="s">
        <v>59</v>
      </c>
      <c r="P14" s="3" t="s">
        <v>59</v>
      </c>
      <c r="Q14" s="3" t="s">
        <v>155</v>
      </c>
      <c r="R14" s="3" t="s">
        <v>61</v>
      </c>
      <c r="S14" s="3" t="s">
        <v>62</v>
      </c>
      <c r="T14" s="1">
        <v>800</v>
      </c>
      <c r="U14" s="1">
        <v>400</v>
      </c>
      <c r="V14" s="1">
        <v>0</v>
      </c>
      <c r="W14" s="1">
        <v>9600</v>
      </c>
      <c r="X14" s="1">
        <v>1200</v>
      </c>
      <c r="Y14" s="1">
        <v>9600</v>
      </c>
      <c r="Z14" s="1">
        <v>10800</v>
      </c>
      <c r="AA14" s="1">
        <v>960</v>
      </c>
      <c r="AB14" s="1">
        <v>400</v>
      </c>
      <c r="AC14" s="1">
        <v>0</v>
      </c>
      <c r="AD14" s="1">
        <v>9600</v>
      </c>
      <c r="AE14" s="1">
        <v>1360</v>
      </c>
      <c r="AF14" s="1">
        <v>9600</v>
      </c>
      <c r="AG14" s="1">
        <v>10960</v>
      </c>
      <c r="AH14" s="1">
        <v>864</v>
      </c>
      <c r="AI14" s="1">
        <v>388</v>
      </c>
      <c r="AJ14" s="1">
        <v>0</v>
      </c>
      <c r="AK14" s="1">
        <v>8640</v>
      </c>
      <c r="AL14" s="1">
        <v>1252</v>
      </c>
      <c r="AM14" s="1">
        <v>8640</v>
      </c>
      <c r="AN14" s="1">
        <v>9892</v>
      </c>
      <c r="AO14" s="6" t="s">
        <v>215</v>
      </c>
      <c r="AP14" s="6" t="s">
        <v>215</v>
      </c>
      <c r="AQ14" s="6" t="s">
        <v>215</v>
      </c>
      <c r="AR14" s="6" t="s">
        <v>215</v>
      </c>
      <c r="AS14" s="1">
        <v>5935</v>
      </c>
      <c r="AT14" s="1">
        <v>0</v>
      </c>
      <c r="AU14" s="1">
        <v>5935</v>
      </c>
    </row>
    <row r="15" spans="1:47" s="3" customFormat="1" x14ac:dyDescent="0.3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150</v>
      </c>
      <c r="H15" s="3" t="s">
        <v>151</v>
      </c>
      <c r="I15" s="3" t="s">
        <v>54</v>
      </c>
      <c r="J15" s="3" t="s">
        <v>55</v>
      </c>
      <c r="K15" s="3" t="s">
        <v>162</v>
      </c>
      <c r="L15" s="3" t="s">
        <v>163</v>
      </c>
      <c r="M15" s="3" t="s">
        <v>164</v>
      </c>
      <c r="N15" s="3" t="s">
        <v>59</v>
      </c>
      <c r="O15" s="3" t="s">
        <v>59</v>
      </c>
      <c r="P15" s="3" t="s">
        <v>59</v>
      </c>
      <c r="Q15" s="3" t="s">
        <v>155</v>
      </c>
      <c r="R15" s="3" t="s">
        <v>61</v>
      </c>
      <c r="S15" s="3" t="s">
        <v>63</v>
      </c>
      <c r="T15" s="1">
        <v>0</v>
      </c>
      <c r="U15" s="1">
        <v>6000</v>
      </c>
      <c r="V15" s="1">
        <v>0</v>
      </c>
      <c r="W15" s="1">
        <v>6700</v>
      </c>
      <c r="X15" s="1">
        <v>6000</v>
      </c>
      <c r="Y15" s="1">
        <v>6700</v>
      </c>
      <c r="Z15" s="1">
        <v>12700</v>
      </c>
      <c r="AA15" s="1">
        <v>0</v>
      </c>
      <c r="AB15" s="1">
        <v>6000</v>
      </c>
      <c r="AC15" s="1">
        <v>0</v>
      </c>
      <c r="AD15" s="1">
        <v>6700</v>
      </c>
      <c r="AE15" s="1">
        <v>6000</v>
      </c>
      <c r="AF15" s="1">
        <v>6700</v>
      </c>
      <c r="AG15" s="1">
        <v>12700</v>
      </c>
      <c r="AH15" s="1">
        <v>0</v>
      </c>
      <c r="AI15" s="1">
        <v>5820</v>
      </c>
      <c r="AJ15" s="1">
        <v>0</v>
      </c>
      <c r="AK15" s="1">
        <v>6030</v>
      </c>
      <c r="AL15" s="1">
        <v>5820</v>
      </c>
      <c r="AM15" s="1">
        <v>6030</v>
      </c>
      <c r="AN15" s="1">
        <v>11850</v>
      </c>
      <c r="AO15" s="6" t="s">
        <v>215</v>
      </c>
      <c r="AP15" s="6" t="s">
        <v>215</v>
      </c>
      <c r="AQ15" s="6" t="s">
        <v>215</v>
      </c>
      <c r="AR15" s="6" t="s">
        <v>215</v>
      </c>
      <c r="AS15" s="1">
        <v>7110</v>
      </c>
      <c r="AT15" s="1">
        <v>0</v>
      </c>
      <c r="AU15" s="1">
        <v>7110</v>
      </c>
    </row>
    <row r="16" spans="1:47" s="3" customFormat="1" x14ac:dyDescent="0.3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150</v>
      </c>
      <c r="H16" s="3" t="s">
        <v>151</v>
      </c>
      <c r="I16" s="3" t="s">
        <v>54</v>
      </c>
      <c r="J16" s="3" t="s">
        <v>55</v>
      </c>
      <c r="K16" s="3" t="s">
        <v>162</v>
      </c>
      <c r="L16" s="3" t="s">
        <v>163</v>
      </c>
      <c r="M16" s="3" t="s">
        <v>164</v>
      </c>
      <c r="N16" s="3" t="s">
        <v>59</v>
      </c>
      <c r="O16" s="3" t="s">
        <v>59</v>
      </c>
      <c r="P16" s="3" t="s">
        <v>59</v>
      </c>
      <c r="Q16" s="3" t="s">
        <v>155</v>
      </c>
      <c r="R16" s="3" t="s">
        <v>61</v>
      </c>
      <c r="S16" s="3" t="s">
        <v>63</v>
      </c>
      <c r="T16" s="1">
        <v>8700</v>
      </c>
      <c r="U16" s="1">
        <v>0</v>
      </c>
      <c r="V16" s="1">
        <v>4200</v>
      </c>
      <c r="W16" s="1">
        <v>5100</v>
      </c>
      <c r="X16" s="1">
        <v>12900</v>
      </c>
      <c r="Y16" s="1">
        <v>5100</v>
      </c>
      <c r="Z16" s="1">
        <v>18000</v>
      </c>
      <c r="AA16" s="1">
        <v>10440</v>
      </c>
      <c r="AB16" s="1">
        <v>0</v>
      </c>
      <c r="AC16" s="1">
        <v>5040</v>
      </c>
      <c r="AD16" s="1">
        <v>5100</v>
      </c>
      <c r="AE16" s="1">
        <v>15480</v>
      </c>
      <c r="AF16" s="1">
        <v>5100</v>
      </c>
      <c r="AG16" s="1">
        <v>20580</v>
      </c>
      <c r="AH16" s="1">
        <v>9396</v>
      </c>
      <c r="AI16" s="1">
        <v>0</v>
      </c>
      <c r="AJ16" s="1">
        <v>3528</v>
      </c>
      <c r="AK16" s="1">
        <v>4590</v>
      </c>
      <c r="AL16" s="1">
        <v>12924</v>
      </c>
      <c r="AM16" s="1">
        <v>4590</v>
      </c>
      <c r="AN16" s="1">
        <v>17514</v>
      </c>
      <c r="AO16" s="6" t="s">
        <v>215</v>
      </c>
      <c r="AP16" s="6" t="s">
        <v>215</v>
      </c>
      <c r="AQ16" s="6" t="s">
        <v>215</v>
      </c>
      <c r="AR16" s="6" t="s">
        <v>215</v>
      </c>
      <c r="AS16" s="1">
        <v>10509</v>
      </c>
      <c r="AT16" s="1">
        <v>0</v>
      </c>
      <c r="AU16" s="1">
        <v>10509</v>
      </c>
    </row>
    <row r="17" spans="1:47" s="3" customFormat="1" x14ac:dyDescent="0.3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150</v>
      </c>
      <c r="H17" s="3" t="s">
        <v>151</v>
      </c>
      <c r="I17" s="3" t="s">
        <v>54</v>
      </c>
      <c r="J17" s="3" t="s">
        <v>55</v>
      </c>
      <c r="K17" s="3" t="s">
        <v>165</v>
      </c>
      <c r="L17" s="3" t="s">
        <v>166</v>
      </c>
      <c r="M17" s="3" t="s">
        <v>167</v>
      </c>
      <c r="N17" s="3" t="s">
        <v>59</v>
      </c>
      <c r="O17" s="3" t="s">
        <v>59</v>
      </c>
      <c r="P17" s="3" t="s">
        <v>59</v>
      </c>
      <c r="Q17" s="3" t="s">
        <v>155</v>
      </c>
      <c r="R17" s="3" t="s">
        <v>61</v>
      </c>
      <c r="S17" s="3" t="s">
        <v>62</v>
      </c>
      <c r="T17" s="1">
        <v>5300</v>
      </c>
      <c r="U17" s="1">
        <v>1900</v>
      </c>
      <c r="V17" s="1">
        <v>0</v>
      </c>
      <c r="W17" s="1">
        <v>35700</v>
      </c>
      <c r="X17" s="1">
        <v>7200</v>
      </c>
      <c r="Y17" s="1">
        <v>35700</v>
      </c>
      <c r="Z17" s="1">
        <v>42900</v>
      </c>
      <c r="AA17" s="1">
        <v>6360</v>
      </c>
      <c r="AB17" s="1">
        <v>1900</v>
      </c>
      <c r="AC17" s="1">
        <v>0</v>
      </c>
      <c r="AD17" s="1">
        <v>35700</v>
      </c>
      <c r="AE17" s="1">
        <v>8260</v>
      </c>
      <c r="AF17" s="1">
        <v>35700</v>
      </c>
      <c r="AG17" s="1">
        <v>43960</v>
      </c>
      <c r="AH17" s="1">
        <v>5724</v>
      </c>
      <c r="AI17" s="1">
        <v>1843</v>
      </c>
      <c r="AJ17" s="1">
        <v>0</v>
      </c>
      <c r="AK17" s="1">
        <v>32130</v>
      </c>
      <c r="AL17" s="1">
        <v>7567</v>
      </c>
      <c r="AM17" s="1">
        <v>32130</v>
      </c>
      <c r="AN17" s="1">
        <v>39697</v>
      </c>
      <c r="AO17" s="6" t="s">
        <v>215</v>
      </c>
      <c r="AP17" s="6" t="s">
        <v>215</v>
      </c>
      <c r="AQ17" s="6" t="s">
        <v>215</v>
      </c>
      <c r="AR17" s="6" t="s">
        <v>215</v>
      </c>
      <c r="AS17" s="1">
        <v>23818</v>
      </c>
      <c r="AT17" s="1">
        <v>0</v>
      </c>
      <c r="AU17" s="1">
        <v>23818</v>
      </c>
    </row>
    <row r="18" spans="1:47" s="3" customFormat="1" x14ac:dyDescent="0.3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150</v>
      </c>
      <c r="H18" s="3" t="s">
        <v>151</v>
      </c>
      <c r="I18" s="3" t="s">
        <v>54</v>
      </c>
      <c r="J18" s="3" t="s">
        <v>55</v>
      </c>
      <c r="K18" s="3" t="s">
        <v>165</v>
      </c>
      <c r="L18" s="3" t="s">
        <v>166</v>
      </c>
      <c r="M18" s="3" t="s">
        <v>167</v>
      </c>
      <c r="N18" s="3" t="s">
        <v>59</v>
      </c>
      <c r="O18" s="3" t="s">
        <v>59</v>
      </c>
      <c r="P18" s="3" t="s">
        <v>59</v>
      </c>
      <c r="Q18" s="3" t="s">
        <v>155</v>
      </c>
      <c r="R18" s="3" t="s">
        <v>61</v>
      </c>
      <c r="S18" s="3" t="s">
        <v>63</v>
      </c>
      <c r="T18" s="1">
        <v>5400</v>
      </c>
      <c r="U18" s="1">
        <v>1100</v>
      </c>
      <c r="V18" s="1">
        <v>0</v>
      </c>
      <c r="W18" s="1">
        <v>12600</v>
      </c>
      <c r="X18" s="1">
        <v>6500</v>
      </c>
      <c r="Y18" s="1">
        <v>12600</v>
      </c>
      <c r="Z18" s="1">
        <v>19100</v>
      </c>
      <c r="AA18" s="1">
        <v>6480</v>
      </c>
      <c r="AB18" s="1">
        <v>1100</v>
      </c>
      <c r="AC18" s="1">
        <v>0</v>
      </c>
      <c r="AD18" s="1">
        <v>12600</v>
      </c>
      <c r="AE18" s="1">
        <v>7580</v>
      </c>
      <c r="AF18" s="1">
        <v>12600</v>
      </c>
      <c r="AG18" s="1">
        <v>20180</v>
      </c>
      <c r="AH18" s="1">
        <v>5832</v>
      </c>
      <c r="AI18" s="1">
        <v>1067</v>
      </c>
      <c r="AJ18" s="1">
        <v>0</v>
      </c>
      <c r="AK18" s="1">
        <v>11340</v>
      </c>
      <c r="AL18" s="1">
        <v>6899</v>
      </c>
      <c r="AM18" s="1">
        <v>11340</v>
      </c>
      <c r="AN18" s="1">
        <v>18239</v>
      </c>
      <c r="AO18" s="6" t="s">
        <v>215</v>
      </c>
      <c r="AP18" s="6" t="s">
        <v>215</v>
      </c>
      <c r="AQ18" s="6" t="s">
        <v>215</v>
      </c>
      <c r="AR18" s="6" t="s">
        <v>215</v>
      </c>
      <c r="AS18" s="1">
        <v>10943</v>
      </c>
      <c r="AT18" s="1">
        <v>0</v>
      </c>
      <c r="AU18" s="1">
        <v>10943</v>
      </c>
    </row>
    <row r="19" spans="1:47" s="3" customFormat="1" x14ac:dyDescent="0.3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150</v>
      </c>
      <c r="H19" s="3" t="s">
        <v>151</v>
      </c>
      <c r="I19" s="3" t="s">
        <v>54</v>
      </c>
      <c r="J19" s="3" t="s">
        <v>55</v>
      </c>
      <c r="K19" s="3" t="s">
        <v>165</v>
      </c>
      <c r="L19" s="3" t="s">
        <v>166</v>
      </c>
      <c r="M19" s="3" t="s">
        <v>167</v>
      </c>
      <c r="N19" s="3" t="s">
        <v>59</v>
      </c>
      <c r="O19" s="3" t="s">
        <v>59</v>
      </c>
      <c r="P19" s="3" t="s">
        <v>59</v>
      </c>
      <c r="Q19" s="3" t="s">
        <v>155</v>
      </c>
      <c r="R19" s="3" t="s">
        <v>61</v>
      </c>
      <c r="S19" s="3" t="s">
        <v>63</v>
      </c>
      <c r="T19" s="1">
        <v>0</v>
      </c>
      <c r="U19" s="1">
        <v>-1400</v>
      </c>
      <c r="V19" s="1">
        <v>0</v>
      </c>
      <c r="W19" s="1">
        <v>2000</v>
      </c>
      <c r="X19" s="1">
        <v>-1400</v>
      </c>
      <c r="Y19" s="1">
        <v>2000</v>
      </c>
      <c r="Z19" s="1">
        <v>600</v>
      </c>
      <c r="AA19" s="1">
        <v>0</v>
      </c>
      <c r="AB19" s="1">
        <v>-1400</v>
      </c>
      <c r="AC19" s="1">
        <v>0</v>
      </c>
      <c r="AD19" s="1">
        <v>2000</v>
      </c>
      <c r="AE19" s="1">
        <v>-1400</v>
      </c>
      <c r="AF19" s="1">
        <v>2000</v>
      </c>
      <c r="AG19" s="1">
        <v>600</v>
      </c>
      <c r="AH19" s="1">
        <v>0</v>
      </c>
      <c r="AI19" s="1">
        <v>-1358</v>
      </c>
      <c r="AJ19" s="1">
        <v>0</v>
      </c>
      <c r="AK19" s="1">
        <v>1800</v>
      </c>
      <c r="AL19" s="1">
        <v>-1358</v>
      </c>
      <c r="AM19" s="1">
        <v>1800</v>
      </c>
      <c r="AN19" s="1">
        <v>442</v>
      </c>
      <c r="AO19" s="6" t="s">
        <v>215</v>
      </c>
      <c r="AP19" s="6" t="s">
        <v>215</v>
      </c>
      <c r="AQ19" s="6" t="s">
        <v>215</v>
      </c>
      <c r="AR19" s="6" t="s">
        <v>215</v>
      </c>
      <c r="AS19" s="1">
        <v>265</v>
      </c>
      <c r="AT19" s="1">
        <v>0</v>
      </c>
      <c r="AU19" s="1">
        <v>265</v>
      </c>
    </row>
    <row r="20" spans="1:47" s="3" customFormat="1" x14ac:dyDescent="0.3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150</v>
      </c>
      <c r="H20" s="3" t="s">
        <v>151</v>
      </c>
      <c r="I20" s="3" t="s">
        <v>54</v>
      </c>
      <c r="J20" s="3" t="s">
        <v>55</v>
      </c>
      <c r="K20" s="3" t="s">
        <v>165</v>
      </c>
      <c r="L20" s="3" t="s">
        <v>166</v>
      </c>
      <c r="M20" s="3" t="s">
        <v>167</v>
      </c>
      <c r="N20" s="3" t="s">
        <v>59</v>
      </c>
      <c r="O20" s="3" t="s">
        <v>59</v>
      </c>
      <c r="P20" s="3" t="s">
        <v>59</v>
      </c>
      <c r="Q20" s="3" t="s">
        <v>155</v>
      </c>
      <c r="R20" s="3" t="s">
        <v>61</v>
      </c>
      <c r="S20" s="3" t="s">
        <v>63</v>
      </c>
      <c r="T20" s="1">
        <v>6700</v>
      </c>
      <c r="U20" s="1">
        <v>0</v>
      </c>
      <c r="V20" s="1">
        <v>0</v>
      </c>
      <c r="W20" s="1">
        <v>2300</v>
      </c>
      <c r="X20" s="1">
        <v>6700</v>
      </c>
      <c r="Y20" s="1">
        <v>2300</v>
      </c>
      <c r="Z20" s="1">
        <v>9000</v>
      </c>
      <c r="AA20" s="1">
        <v>8040</v>
      </c>
      <c r="AB20" s="1">
        <v>0</v>
      </c>
      <c r="AC20" s="1">
        <v>0</v>
      </c>
      <c r="AD20" s="1">
        <v>2300</v>
      </c>
      <c r="AE20" s="1">
        <v>8040</v>
      </c>
      <c r="AF20" s="1">
        <v>2300</v>
      </c>
      <c r="AG20" s="1">
        <v>10340</v>
      </c>
      <c r="AH20" s="1">
        <v>7236</v>
      </c>
      <c r="AI20" s="1">
        <v>0</v>
      </c>
      <c r="AJ20" s="1">
        <v>0</v>
      </c>
      <c r="AK20" s="1">
        <v>2070</v>
      </c>
      <c r="AL20" s="1">
        <v>7236</v>
      </c>
      <c r="AM20" s="1">
        <v>2070</v>
      </c>
      <c r="AN20" s="1">
        <v>9306</v>
      </c>
      <c r="AO20" s="6" t="s">
        <v>215</v>
      </c>
      <c r="AP20" s="6" t="s">
        <v>215</v>
      </c>
      <c r="AQ20" s="6" t="s">
        <v>215</v>
      </c>
      <c r="AR20" s="6" t="s">
        <v>215</v>
      </c>
      <c r="AS20" s="1">
        <v>5584</v>
      </c>
      <c r="AT20" s="1">
        <v>0</v>
      </c>
      <c r="AU20" s="1">
        <v>5584</v>
      </c>
    </row>
    <row r="21" spans="1:47" s="3" customFormat="1" x14ac:dyDescent="0.3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150</v>
      </c>
      <c r="H21" s="3" t="s">
        <v>151</v>
      </c>
      <c r="I21" s="3" t="s">
        <v>54</v>
      </c>
      <c r="J21" s="3" t="s">
        <v>55</v>
      </c>
      <c r="K21" s="3" t="s">
        <v>168</v>
      </c>
      <c r="L21" s="3" t="s">
        <v>169</v>
      </c>
      <c r="M21" s="3" t="s">
        <v>170</v>
      </c>
      <c r="N21" s="3" t="s">
        <v>59</v>
      </c>
      <c r="O21" s="3" t="s">
        <v>59</v>
      </c>
      <c r="P21" s="3" t="s">
        <v>59</v>
      </c>
      <c r="Q21" s="3" t="s">
        <v>155</v>
      </c>
      <c r="R21" s="3" t="s">
        <v>61</v>
      </c>
      <c r="S21" s="3" t="s">
        <v>62</v>
      </c>
      <c r="T21" s="1">
        <v>13700</v>
      </c>
      <c r="U21" s="1">
        <v>1400</v>
      </c>
      <c r="V21" s="1">
        <v>0</v>
      </c>
      <c r="W21" s="1">
        <v>20900</v>
      </c>
      <c r="X21" s="1">
        <v>15100</v>
      </c>
      <c r="Y21" s="1">
        <v>20900</v>
      </c>
      <c r="Z21" s="1">
        <v>36000</v>
      </c>
      <c r="AA21" s="1">
        <v>16440</v>
      </c>
      <c r="AB21" s="1">
        <v>1400</v>
      </c>
      <c r="AC21" s="1">
        <v>0</v>
      </c>
      <c r="AD21" s="1">
        <v>20900</v>
      </c>
      <c r="AE21" s="1">
        <v>17840</v>
      </c>
      <c r="AF21" s="1">
        <v>20900</v>
      </c>
      <c r="AG21" s="1">
        <v>38740</v>
      </c>
      <c r="AH21" s="1">
        <v>14796</v>
      </c>
      <c r="AI21" s="1">
        <v>1358</v>
      </c>
      <c r="AJ21" s="1">
        <v>0</v>
      </c>
      <c r="AK21" s="1">
        <v>18810</v>
      </c>
      <c r="AL21" s="1">
        <v>16154</v>
      </c>
      <c r="AM21" s="1">
        <v>18810</v>
      </c>
      <c r="AN21" s="1">
        <v>34964</v>
      </c>
      <c r="AO21" s="6" t="s">
        <v>215</v>
      </c>
      <c r="AP21" s="6" t="s">
        <v>215</v>
      </c>
      <c r="AQ21" s="6" t="s">
        <v>215</v>
      </c>
      <c r="AR21" s="6" t="s">
        <v>215</v>
      </c>
      <c r="AS21" s="1">
        <v>20979</v>
      </c>
      <c r="AT21" s="1">
        <v>0</v>
      </c>
      <c r="AU21" s="1">
        <v>20979</v>
      </c>
    </row>
    <row r="22" spans="1:47" s="3" customFormat="1" x14ac:dyDescent="0.3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150</v>
      </c>
      <c r="H22" s="3" t="s">
        <v>151</v>
      </c>
      <c r="I22" s="3" t="s">
        <v>54</v>
      </c>
      <c r="J22" s="3" t="s">
        <v>55</v>
      </c>
      <c r="K22" s="3" t="s">
        <v>168</v>
      </c>
      <c r="L22" s="3" t="s">
        <v>169</v>
      </c>
      <c r="M22" s="3" t="s">
        <v>170</v>
      </c>
      <c r="N22" s="3" t="s">
        <v>59</v>
      </c>
      <c r="O22" s="3" t="s">
        <v>59</v>
      </c>
      <c r="P22" s="3" t="s">
        <v>59</v>
      </c>
      <c r="Q22" s="3" t="s">
        <v>155</v>
      </c>
      <c r="R22" s="3" t="s">
        <v>61</v>
      </c>
      <c r="S22" s="3" t="s">
        <v>63</v>
      </c>
      <c r="T22" s="1">
        <v>6280</v>
      </c>
      <c r="U22" s="1">
        <v>-740</v>
      </c>
      <c r="V22" s="1">
        <v>0</v>
      </c>
      <c r="W22" s="1">
        <v>23260</v>
      </c>
      <c r="X22" s="1">
        <v>5540</v>
      </c>
      <c r="Y22" s="1">
        <v>23260</v>
      </c>
      <c r="Z22" s="1">
        <v>28800</v>
      </c>
      <c r="AA22" s="1">
        <v>7536</v>
      </c>
      <c r="AB22" s="1">
        <v>-740</v>
      </c>
      <c r="AC22" s="1">
        <v>0</v>
      </c>
      <c r="AD22" s="1">
        <v>23260</v>
      </c>
      <c r="AE22" s="1">
        <v>6796</v>
      </c>
      <c r="AF22" s="1">
        <v>23260</v>
      </c>
      <c r="AG22" s="1">
        <v>30056</v>
      </c>
      <c r="AH22" s="1">
        <v>6782.4</v>
      </c>
      <c r="AI22" s="1">
        <v>-717.8</v>
      </c>
      <c r="AJ22" s="1">
        <v>0</v>
      </c>
      <c r="AK22" s="1">
        <v>20934</v>
      </c>
      <c r="AL22" s="1">
        <v>6064.6</v>
      </c>
      <c r="AM22" s="1">
        <v>20934</v>
      </c>
      <c r="AN22" s="1">
        <v>26998.6</v>
      </c>
      <c r="AO22" s="6" t="s">
        <v>215</v>
      </c>
      <c r="AP22" s="6" t="s">
        <v>215</v>
      </c>
      <c r="AQ22" s="6" t="s">
        <v>215</v>
      </c>
      <c r="AR22" s="6" t="s">
        <v>215</v>
      </c>
      <c r="AS22" s="1">
        <v>16198</v>
      </c>
      <c r="AT22" s="1">
        <v>0</v>
      </c>
      <c r="AU22" s="1">
        <v>16198</v>
      </c>
    </row>
    <row r="23" spans="1:47" s="3" customFormat="1" x14ac:dyDescent="0.3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150</v>
      </c>
      <c r="H23" s="3" t="s">
        <v>151</v>
      </c>
      <c r="I23" s="3" t="s">
        <v>54</v>
      </c>
      <c r="J23" s="3" t="s">
        <v>55</v>
      </c>
      <c r="K23" s="3" t="s">
        <v>168</v>
      </c>
      <c r="L23" s="3" t="s">
        <v>169</v>
      </c>
      <c r="M23" s="3" t="s">
        <v>170</v>
      </c>
      <c r="N23" s="3" t="s">
        <v>59</v>
      </c>
      <c r="O23" s="3" t="s">
        <v>59</v>
      </c>
      <c r="P23" s="3" t="s">
        <v>59</v>
      </c>
      <c r="Q23" s="3" t="s">
        <v>155</v>
      </c>
      <c r="R23" s="3" t="s">
        <v>61</v>
      </c>
      <c r="S23" s="3" t="s">
        <v>63</v>
      </c>
      <c r="T23" s="1">
        <v>0</v>
      </c>
      <c r="U23" s="1">
        <v>4500</v>
      </c>
      <c r="V23" s="1">
        <v>0</v>
      </c>
      <c r="W23" s="1">
        <v>0</v>
      </c>
      <c r="X23" s="1">
        <v>4500</v>
      </c>
      <c r="Y23" s="1">
        <v>0</v>
      </c>
      <c r="Z23" s="1">
        <v>4500</v>
      </c>
      <c r="AA23" s="1">
        <v>0</v>
      </c>
      <c r="AB23" s="1">
        <v>4500</v>
      </c>
      <c r="AC23" s="1">
        <v>0</v>
      </c>
      <c r="AD23" s="1">
        <v>0</v>
      </c>
      <c r="AE23" s="1">
        <v>4500</v>
      </c>
      <c r="AF23" s="1">
        <v>0</v>
      </c>
      <c r="AG23" s="1">
        <v>4500</v>
      </c>
      <c r="AH23" s="1">
        <v>0</v>
      </c>
      <c r="AI23" s="1">
        <v>4365</v>
      </c>
      <c r="AJ23" s="1">
        <v>0</v>
      </c>
      <c r="AK23" s="1">
        <v>0</v>
      </c>
      <c r="AL23" s="1">
        <v>4365</v>
      </c>
      <c r="AM23" s="1">
        <v>0</v>
      </c>
      <c r="AN23" s="1">
        <v>4365</v>
      </c>
      <c r="AO23" s="6" t="s">
        <v>215</v>
      </c>
      <c r="AP23" s="6" t="s">
        <v>215</v>
      </c>
      <c r="AQ23" s="6" t="s">
        <v>215</v>
      </c>
      <c r="AR23" s="6" t="s">
        <v>215</v>
      </c>
      <c r="AS23" s="1">
        <v>2619</v>
      </c>
      <c r="AT23" s="1">
        <v>0</v>
      </c>
      <c r="AU23" s="1">
        <v>2619</v>
      </c>
    </row>
    <row r="24" spans="1:47" s="3" customFormat="1" x14ac:dyDescent="0.3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150</v>
      </c>
      <c r="H24" s="3" t="s">
        <v>151</v>
      </c>
      <c r="I24" s="3" t="s">
        <v>54</v>
      </c>
      <c r="J24" s="3" t="s">
        <v>55</v>
      </c>
      <c r="K24" s="3" t="s">
        <v>168</v>
      </c>
      <c r="L24" s="3" t="s">
        <v>169</v>
      </c>
      <c r="M24" s="3" t="s">
        <v>170</v>
      </c>
      <c r="N24" s="3" t="s">
        <v>59</v>
      </c>
      <c r="O24" s="3" t="s">
        <v>59</v>
      </c>
      <c r="P24" s="3" t="s">
        <v>59</v>
      </c>
      <c r="Q24" s="3" t="s">
        <v>155</v>
      </c>
      <c r="R24" s="3" t="s">
        <v>61</v>
      </c>
      <c r="S24" s="3" t="s">
        <v>63</v>
      </c>
      <c r="T24" s="1">
        <v>0</v>
      </c>
      <c r="U24" s="1">
        <v>-6700</v>
      </c>
      <c r="V24" s="1">
        <v>0</v>
      </c>
      <c r="W24" s="1">
        <v>0</v>
      </c>
      <c r="X24" s="1">
        <v>-6700</v>
      </c>
      <c r="Y24" s="1">
        <v>0</v>
      </c>
      <c r="Z24" s="1">
        <v>-6700</v>
      </c>
      <c r="AA24" s="1">
        <v>0</v>
      </c>
      <c r="AB24" s="1">
        <v>-6700</v>
      </c>
      <c r="AC24" s="1">
        <v>0</v>
      </c>
      <c r="AD24" s="1">
        <v>0</v>
      </c>
      <c r="AE24" s="1">
        <v>-6700</v>
      </c>
      <c r="AF24" s="1">
        <v>0</v>
      </c>
      <c r="AG24" s="1">
        <v>-6700</v>
      </c>
      <c r="AH24" s="1">
        <v>0</v>
      </c>
      <c r="AI24" s="1">
        <v>-6499</v>
      </c>
      <c r="AJ24" s="1">
        <v>0</v>
      </c>
      <c r="AK24" s="1">
        <v>0</v>
      </c>
      <c r="AL24" s="1">
        <v>-6499</v>
      </c>
      <c r="AM24" s="1">
        <v>0</v>
      </c>
      <c r="AN24" s="1">
        <v>-6499</v>
      </c>
      <c r="AO24" s="6" t="s">
        <v>215</v>
      </c>
      <c r="AP24" s="6" t="s">
        <v>215</v>
      </c>
      <c r="AQ24" s="6" t="s">
        <v>215</v>
      </c>
      <c r="AR24" s="6" t="s">
        <v>215</v>
      </c>
      <c r="AS24" s="1">
        <v>-3899</v>
      </c>
      <c r="AT24" s="1">
        <v>0</v>
      </c>
      <c r="AU24" s="1">
        <v>-3899</v>
      </c>
    </row>
    <row r="25" spans="1:47" s="3" customFormat="1" x14ac:dyDescent="0.3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150</v>
      </c>
      <c r="H25" s="3" t="s">
        <v>151</v>
      </c>
      <c r="I25" s="3" t="s">
        <v>54</v>
      </c>
      <c r="J25" s="3" t="s">
        <v>55</v>
      </c>
      <c r="K25" s="3" t="s">
        <v>171</v>
      </c>
      <c r="L25" s="3" t="s">
        <v>172</v>
      </c>
      <c r="M25" s="3" t="s">
        <v>173</v>
      </c>
      <c r="N25" s="3" t="s">
        <v>59</v>
      </c>
      <c r="O25" s="3" t="s">
        <v>59</v>
      </c>
      <c r="P25" s="3" t="s">
        <v>59</v>
      </c>
      <c r="Q25" s="3" t="s">
        <v>155</v>
      </c>
      <c r="R25" s="3" t="s">
        <v>61</v>
      </c>
      <c r="S25" s="3" t="s">
        <v>62</v>
      </c>
      <c r="T25" s="1">
        <v>441290</v>
      </c>
      <c r="U25" s="1">
        <v>351120</v>
      </c>
      <c r="V25" s="1">
        <v>59250</v>
      </c>
      <c r="W25" s="1">
        <v>1629240</v>
      </c>
      <c r="X25" s="1">
        <v>851660</v>
      </c>
      <c r="Y25" s="1">
        <v>1629240</v>
      </c>
      <c r="Z25" s="1">
        <v>2480900</v>
      </c>
      <c r="AA25" s="1">
        <v>529548</v>
      </c>
      <c r="AB25" s="1">
        <v>351120</v>
      </c>
      <c r="AC25" s="1">
        <v>70980</v>
      </c>
      <c r="AD25" s="1">
        <v>1629240</v>
      </c>
      <c r="AE25" s="1">
        <v>951648</v>
      </c>
      <c r="AF25" s="1">
        <v>1629240</v>
      </c>
      <c r="AG25" s="1">
        <v>2580888</v>
      </c>
      <c r="AH25" s="1">
        <v>476593.2</v>
      </c>
      <c r="AI25" s="1">
        <v>340586.4</v>
      </c>
      <c r="AJ25" s="1">
        <v>49686</v>
      </c>
      <c r="AK25" s="1">
        <v>1466316</v>
      </c>
      <c r="AL25" s="1">
        <v>866865.6</v>
      </c>
      <c r="AM25" s="1">
        <v>1466316</v>
      </c>
      <c r="AN25" s="1">
        <v>2333181.6</v>
      </c>
      <c r="AO25" s="6" t="s">
        <v>215</v>
      </c>
      <c r="AP25" s="6" t="s">
        <v>215</v>
      </c>
      <c r="AQ25" s="6" t="s">
        <v>215</v>
      </c>
      <c r="AR25" s="6" t="s">
        <v>215</v>
      </c>
      <c r="AS25" s="1">
        <v>1399910</v>
      </c>
      <c r="AT25" s="1">
        <v>0</v>
      </c>
      <c r="AU25" s="1">
        <v>1399910</v>
      </c>
    </row>
    <row r="26" spans="1:47" s="3" customFormat="1" x14ac:dyDescent="0.3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150</v>
      </c>
      <c r="H26" s="3" t="s">
        <v>151</v>
      </c>
      <c r="I26" s="3" t="s">
        <v>54</v>
      </c>
      <c r="J26" s="3" t="s">
        <v>55</v>
      </c>
      <c r="K26" s="3" t="s">
        <v>171</v>
      </c>
      <c r="L26" s="3" t="s">
        <v>172</v>
      </c>
      <c r="M26" s="3" t="s">
        <v>173</v>
      </c>
      <c r="N26" s="3" t="s">
        <v>59</v>
      </c>
      <c r="O26" s="3" t="s">
        <v>59</v>
      </c>
      <c r="P26" s="3" t="s">
        <v>59</v>
      </c>
      <c r="Q26" s="3" t="s">
        <v>155</v>
      </c>
      <c r="R26" s="3" t="s">
        <v>61</v>
      </c>
      <c r="S26" s="3" t="s">
        <v>63</v>
      </c>
      <c r="T26" s="1">
        <v>1190970</v>
      </c>
      <c r="U26" s="1">
        <v>1187390</v>
      </c>
      <c r="V26" s="1">
        <v>154380</v>
      </c>
      <c r="W26" s="1">
        <v>1008960</v>
      </c>
      <c r="X26" s="1">
        <v>2532740</v>
      </c>
      <c r="Y26" s="1">
        <v>1008960</v>
      </c>
      <c r="Z26" s="1">
        <v>3541700</v>
      </c>
      <c r="AA26" s="1">
        <v>1429164</v>
      </c>
      <c r="AB26" s="1">
        <v>1187390</v>
      </c>
      <c r="AC26" s="1">
        <v>185256</v>
      </c>
      <c r="AD26" s="1">
        <v>1008960</v>
      </c>
      <c r="AE26" s="1">
        <v>2801810</v>
      </c>
      <c r="AF26" s="1">
        <v>1008960</v>
      </c>
      <c r="AG26" s="1">
        <v>3810770</v>
      </c>
      <c r="AH26" s="1">
        <v>1286247.6000000001</v>
      </c>
      <c r="AI26" s="1">
        <v>1151768.3</v>
      </c>
      <c r="AJ26" s="1">
        <v>129679.2</v>
      </c>
      <c r="AK26" s="1">
        <v>908064</v>
      </c>
      <c r="AL26" s="1">
        <v>2567695.1</v>
      </c>
      <c r="AM26" s="1">
        <v>908064</v>
      </c>
      <c r="AN26" s="1">
        <v>3475759.1</v>
      </c>
      <c r="AO26" s="6" t="s">
        <v>215</v>
      </c>
      <c r="AP26" s="6" t="s">
        <v>215</v>
      </c>
      <c r="AQ26" s="6" t="s">
        <v>215</v>
      </c>
      <c r="AR26" s="6" t="s">
        <v>215</v>
      </c>
      <c r="AS26" s="1">
        <v>2085456</v>
      </c>
      <c r="AT26" s="1">
        <v>0</v>
      </c>
      <c r="AU26" s="1">
        <v>2085456</v>
      </c>
    </row>
    <row r="27" spans="1:47" s="3" customFormat="1" x14ac:dyDescent="0.3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150</v>
      </c>
      <c r="H27" s="3" t="s">
        <v>151</v>
      </c>
      <c r="I27" s="3" t="s">
        <v>54</v>
      </c>
      <c r="J27" s="3" t="s">
        <v>55</v>
      </c>
      <c r="K27" s="3" t="s">
        <v>171</v>
      </c>
      <c r="L27" s="3" t="s">
        <v>172</v>
      </c>
      <c r="M27" s="3" t="s">
        <v>173</v>
      </c>
      <c r="N27" s="3" t="s">
        <v>59</v>
      </c>
      <c r="O27" s="3" t="s">
        <v>59</v>
      </c>
      <c r="P27" s="3" t="s">
        <v>59</v>
      </c>
      <c r="Q27" s="3" t="s">
        <v>155</v>
      </c>
      <c r="R27" s="3" t="s">
        <v>61</v>
      </c>
      <c r="S27" s="3" t="s">
        <v>63</v>
      </c>
      <c r="T27" s="1">
        <v>1006005</v>
      </c>
      <c r="U27" s="1">
        <v>1021545</v>
      </c>
      <c r="V27" s="1">
        <v>216850</v>
      </c>
      <c r="W27" s="1">
        <v>299100</v>
      </c>
      <c r="X27" s="1">
        <v>2244400</v>
      </c>
      <c r="Y27" s="1">
        <v>299100</v>
      </c>
      <c r="Z27" s="1">
        <v>2543500</v>
      </c>
      <c r="AA27" s="1">
        <v>1207206</v>
      </c>
      <c r="AB27" s="1">
        <v>1021545</v>
      </c>
      <c r="AC27" s="1">
        <v>259889</v>
      </c>
      <c r="AD27" s="1">
        <v>299100</v>
      </c>
      <c r="AE27" s="1">
        <v>2488640</v>
      </c>
      <c r="AF27" s="1">
        <v>299100</v>
      </c>
      <c r="AG27" s="1">
        <v>2787740</v>
      </c>
      <c r="AH27" s="1">
        <v>1086485.3999999999</v>
      </c>
      <c r="AI27" s="1">
        <v>990898.65</v>
      </c>
      <c r="AJ27" s="1">
        <v>181922.3</v>
      </c>
      <c r="AK27" s="1">
        <v>269190</v>
      </c>
      <c r="AL27" s="1">
        <v>2259306.35</v>
      </c>
      <c r="AM27" s="1">
        <v>269190</v>
      </c>
      <c r="AN27" s="1">
        <v>2528496.35</v>
      </c>
      <c r="AO27" s="6" t="s">
        <v>215</v>
      </c>
      <c r="AP27" s="6" t="s">
        <v>215</v>
      </c>
      <c r="AQ27" s="6" t="s">
        <v>215</v>
      </c>
      <c r="AR27" s="6" t="s">
        <v>215</v>
      </c>
      <c r="AS27" s="1">
        <v>1517097</v>
      </c>
      <c r="AT27" s="1">
        <v>0</v>
      </c>
      <c r="AU27" s="1">
        <v>1517097</v>
      </c>
    </row>
    <row r="28" spans="1:47" s="3" customFormat="1" x14ac:dyDescent="0.3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150</v>
      </c>
      <c r="H28" s="3" t="s">
        <v>151</v>
      </c>
      <c r="I28" s="3" t="s">
        <v>54</v>
      </c>
      <c r="J28" s="3" t="s">
        <v>55</v>
      </c>
      <c r="K28" s="3" t="s">
        <v>171</v>
      </c>
      <c r="L28" s="3" t="s">
        <v>172</v>
      </c>
      <c r="M28" s="3" t="s">
        <v>173</v>
      </c>
      <c r="N28" s="3" t="s">
        <v>59</v>
      </c>
      <c r="O28" s="3" t="s">
        <v>59</v>
      </c>
      <c r="P28" s="3" t="s">
        <v>59</v>
      </c>
      <c r="Q28" s="3" t="s">
        <v>155</v>
      </c>
      <c r="R28" s="3" t="s">
        <v>61</v>
      </c>
      <c r="S28" s="3" t="s">
        <v>63</v>
      </c>
      <c r="T28" s="1">
        <v>406350</v>
      </c>
      <c r="U28" s="1">
        <v>238200</v>
      </c>
      <c r="V28" s="1">
        <v>48400</v>
      </c>
      <c r="W28" s="1">
        <v>64450</v>
      </c>
      <c r="X28" s="1">
        <v>692950</v>
      </c>
      <c r="Y28" s="1">
        <v>64450</v>
      </c>
      <c r="Z28" s="1">
        <v>757400</v>
      </c>
      <c r="AA28" s="1">
        <v>487620</v>
      </c>
      <c r="AB28" s="1">
        <v>238200</v>
      </c>
      <c r="AC28" s="1">
        <v>58340</v>
      </c>
      <c r="AD28" s="1">
        <v>64450</v>
      </c>
      <c r="AE28" s="1">
        <v>784160</v>
      </c>
      <c r="AF28" s="1">
        <v>64450</v>
      </c>
      <c r="AG28" s="1">
        <v>848610</v>
      </c>
      <c r="AH28" s="1">
        <v>438858</v>
      </c>
      <c r="AI28" s="1">
        <v>231054</v>
      </c>
      <c r="AJ28" s="1">
        <v>40838</v>
      </c>
      <c r="AK28" s="1">
        <v>58005</v>
      </c>
      <c r="AL28" s="1">
        <v>710750</v>
      </c>
      <c r="AM28" s="1">
        <v>58005</v>
      </c>
      <c r="AN28" s="1">
        <v>768755</v>
      </c>
      <c r="AO28" s="6" t="s">
        <v>215</v>
      </c>
      <c r="AP28" s="6" t="s">
        <v>215</v>
      </c>
      <c r="AQ28" s="6" t="s">
        <v>215</v>
      </c>
      <c r="AR28" s="6" t="s">
        <v>215</v>
      </c>
      <c r="AS28" s="1">
        <v>461253</v>
      </c>
      <c r="AT28" s="1">
        <v>0</v>
      </c>
      <c r="AU28" s="1">
        <v>461253</v>
      </c>
    </row>
    <row r="29" spans="1:47" s="3" customFormat="1" x14ac:dyDescent="0.3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150</v>
      </c>
      <c r="H29" s="3" t="s">
        <v>151</v>
      </c>
      <c r="I29" s="3" t="s">
        <v>54</v>
      </c>
      <c r="J29" s="3" t="s">
        <v>55</v>
      </c>
      <c r="K29" s="3" t="s">
        <v>174</v>
      </c>
      <c r="L29" s="3" t="s">
        <v>175</v>
      </c>
      <c r="M29" s="3" t="s">
        <v>176</v>
      </c>
      <c r="N29" s="3" t="s">
        <v>59</v>
      </c>
      <c r="O29" s="3" t="s">
        <v>59</v>
      </c>
      <c r="P29" s="3" t="s">
        <v>59</v>
      </c>
      <c r="Q29" s="3" t="s">
        <v>155</v>
      </c>
      <c r="R29" s="3" t="s">
        <v>61</v>
      </c>
      <c r="S29" s="3" t="s">
        <v>62</v>
      </c>
      <c r="T29" s="1">
        <v>23300</v>
      </c>
      <c r="U29" s="1">
        <v>17900</v>
      </c>
      <c r="V29" s="1">
        <v>0</v>
      </c>
      <c r="W29" s="1">
        <v>96500</v>
      </c>
      <c r="X29" s="1">
        <v>41200</v>
      </c>
      <c r="Y29" s="1">
        <v>96500</v>
      </c>
      <c r="Z29" s="1">
        <v>137700</v>
      </c>
      <c r="AA29" s="1">
        <v>27960</v>
      </c>
      <c r="AB29" s="1">
        <v>17900</v>
      </c>
      <c r="AC29" s="1">
        <v>0</v>
      </c>
      <c r="AD29" s="1">
        <v>96500</v>
      </c>
      <c r="AE29" s="1">
        <v>45860</v>
      </c>
      <c r="AF29" s="1">
        <v>96500</v>
      </c>
      <c r="AG29" s="1">
        <v>142360</v>
      </c>
      <c r="AH29" s="1">
        <v>25164</v>
      </c>
      <c r="AI29" s="1">
        <v>17363</v>
      </c>
      <c r="AJ29" s="1">
        <v>0</v>
      </c>
      <c r="AK29" s="1">
        <v>86850</v>
      </c>
      <c r="AL29" s="1">
        <v>42527</v>
      </c>
      <c r="AM29" s="1">
        <v>86850</v>
      </c>
      <c r="AN29" s="1">
        <v>129377</v>
      </c>
      <c r="AO29" s="6" t="s">
        <v>215</v>
      </c>
      <c r="AP29" s="6" t="s">
        <v>215</v>
      </c>
      <c r="AQ29" s="6" t="s">
        <v>215</v>
      </c>
      <c r="AR29" s="6" t="s">
        <v>215</v>
      </c>
      <c r="AS29" s="1">
        <v>77626</v>
      </c>
      <c r="AT29" s="1">
        <v>0</v>
      </c>
      <c r="AU29" s="1">
        <v>77626</v>
      </c>
    </row>
    <row r="30" spans="1:47" s="3" customFormat="1" x14ac:dyDescent="0.3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150</v>
      </c>
      <c r="H30" s="3" t="s">
        <v>151</v>
      </c>
      <c r="I30" s="3" t="s">
        <v>54</v>
      </c>
      <c r="J30" s="3" t="s">
        <v>55</v>
      </c>
      <c r="K30" s="3" t="s">
        <v>174</v>
      </c>
      <c r="L30" s="3" t="s">
        <v>175</v>
      </c>
      <c r="M30" s="3" t="s">
        <v>176</v>
      </c>
      <c r="N30" s="3" t="s">
        <v>59</v>
      </c>
      <c r="O30" s="3" t="s">
        <v>59</v>
      </c>
      <c r="P30" s="3" t="s">
        <v>59</v>
      </c>
      <c r="Q30" s="3" t="s">
        <v>155</v>
      </c>
      <c r="R30" s="3" t="s">
        <v>61</v>
      </c>
      <c r="S30" s="3" t="s">
        <v>63</v>
      </c>
      <c r="T30" s="1">
        <v>15100</v>
      </c>
      <c r="U30" s="1">
        <v>36000</v>
      </c>
      <c r="V30" s="1">
        <v>0</v>
      </c>
      <c r="W30" s="1">
        <v>51100</v>
      </c>
      <c r="X30" s="1">
        <v>51100</v>
      </c>
      <c r="Y30" s="1">
        <v>51100</v>
      </c>
      <c r="Z30" s="1">
        <v>102200</v>
      </c>
      <c r="AA30" s="1">
        <v>18120</v>
      </c>
      <c r="AB30" s="1">
        <v>36000</v>
      </c>
      <c r="AC30" s="1">
        <v>0</v>
      </c>
      <c r="AD30" s="1">
        <v>51100</v>
      </c>
      <c r="AE30" s="1">
        <v>54120</v>
      </c>
      <c r="AF30" s="1">
        <v>51100</v>
      </c>
      <c r="AG30" s="1">
        <v>105220</v>
      </c>
      <c r="AH30" s="1">
        <v>16308</v>
      </c>
      <c r="AI30" s="1">
        <v>34920</v>
      </c>
      <c r="AJ30" s="1">
        <v>0</v>
      </c>
      <c r="AK30" s="1">
        <v>45990</v>
      </c>
      <c r="AL30" s="1">
        <v>51228</v>
      </c>
      <c r="AM30" s="1">
        <v>45990</v>
      </c>
      <c r="AN30" s="1">
        <v>97218</v>
      </c>
      <c r="AO30" s="6" t="s">
        <v>215</v>
      </c>
      <c r="AP30" s="6" t="s">
        <v>215</v>
      </c>
      <c r="AQ30" s="6" t="s">
        <v>215</v>
      </c>
      <c r="AR30" s="6" t="s">
        <v>215</v>
      </c>
      <c r="AS30" s="1">
        <v>58331</v>
      </c>
      <c r="AT30" s="1">
        <v>0</v>
      </c>
      <c r="AU30" s="1">
        <v>58331</v>
      </c>
    </row>
    <row r="31" spans="1:47" s="3" customFormat="1" x14ac:dyDescent="0.3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150</v>
      </c>
      <c r="H31" s="3" t="s">
        <v>151</v>
      </c>
      <c r="I31" s="3" t="s">
        <v>54</v>
      </c>
      <c r="J31" s="3" t="s">
        <v>55</v>
      </c>
      <c r="K31" s="3" t="s">
        <v>174</v>
      </c>
      <c r="L31" s="3" t="s">
        <v>175</v>
      </c>
      <c r="M31" s="3" t="s">
        <v>176</v>
      </c>
      <c r="N31" s="3" t="s">
        <v>59</v>
      </c>
      <c r="O31" s="3" t="s">
        <v>59</v>
      </c>
      <c r="P31" s="3" t="s">
        <v>59</v>
      </c>
      <c r="Q31" s="3" t="s">
        <v>155</v>
      </c>
      <c r="R31" s="3" t="s">
        <v>61</v>
      </c>
      <c r="S31" s="3" t="s">
        <v>63</v>
      </c>
      <c r="T31" s="1">
        <v>63900</v>
      </c>
      <c r="U31" s="1">
        <v>46400</v>
      </c>
      <c r="V31" s="1">
        <v>0</v>
      </c>
      <c r="W31" s="1">
        <v>17600</v>
      </c>
      <c r="X31" s="1">
        <v>110300</v>
      </c>
      <c r="Y31" s="1">
        <v>17600</v>
      </c>
      <c r="Z31" s="1">
        <v>127900</v>
      </c>
      <c r="AA31" s="1">
        <v>76680</v>
      </c>
      <c r="AB31" s="1">
        <v>46400</v>
      </c>
      <c r="AC31" s="1">
        <v>0</v>
      </c>
      <c r="AD31" s="1">
        <v>17600</v>
      </c>
      <c r="AE31" s="1">
        <v>123080</v>
      </c>
      <c r="AF31" s="1">
        <v>17600</v>
      </c>
      <c r="AG31" s="1">
        <v>140680</v>
      </c>
      <c r="AH31" s="1">
        <v>69012</v>
      </c>
      <c r="AI31" s="1">
        <v>45008</v>
      </c>
      <c r="AJ31" s="1">
        <v>0</v>
      </c>
      <c r="AK31" s="1">
        <v>15840</v>
      </c>
      <c r="AL31" s="1">
        <v>114020</v>
      </c>
      <c r="AM31" s="1">
        <v>15840</v>
      </c>
      <c r="AN31" s="1">
        <v>129860</v>
      </c>
      <c r="AO31" s="6" t="s">
        <v>215</v>
      </c>
      <c r="AP31" s="6" t="s">
        <v>215</v>
      </c>
      <c r="AQ31" s="6" t="s">
        <v>215</v>
      </c>
      <c r="AR31" s="6" t="s">
        <v>215</v>
      </c>
      <c r="AS31" s="1">
        <v>77916</v>
      </c>
      <c r="AT31" s="1">
        <v>0</v>
      </c>
      <c r="AU31" s="1">
        <v>77916</v>
      </c>
    </row>
    <row r="32" spans="1:47" s="3" customFormat="1" x14ac:dyDescent="0.3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150</v>
      </c>
      <c r="H32" s="3" t="s">
        <v>151</v>
      </c>
      <c r="I32" s="3" t="s">
        <v>54</v>
      </c>
      <c r="J32" s="3" t="s">
        <v>55</v>
      </c>
      <c r="K32" s="3" t="s">
        <v>174</v>
      </c>
      <c r="L32" s="3" t="s">
        <v>175</v>
      </c>
      <c r="M32" s="3" t="s">
        <v>176</v>
      </c>
      <c r="N32" s="3" t="s">
        <v>59</v>
      </c>
      <c r="O32" s="3" t="s">
        <v>59</v>
      </c>
      <c r="P32" s="3" t="s">
        <v>59</v>
      </c>
      <c r="Q32" s="3" t="s">
        <v>155</v>
      </c>
      <c r="R32" s="3" t="s">
        <v>61</v>
      </c>
      <c r="S32" s="3" t="s">
        <v>63</v>
      </c>
      <c r="T32" s="1">
        <v>36000</v>
      </c>
      <c r="U32" s="1">
        <v>0</v>
      </c>
      <c r="V32" s="1">
        <v>0</v>
      </c>
      <c r="W32" s="1">
        <v>0</v>
      </c>
      <c r="X32" s="1">
        <v>36000</v>
      </c>
      <c r="Y32" s="1">
        <v>0</v>
      </c>
      <c r="Z32" s="1">
        <v>36000</v>
      </c>
      <c r="AA32" s="1">
        <v>43200</v>
      </c>
      <c r="AB32" s="1">
        <v>0</v>
      </c>
      <c r="AC32" s="1">
        <v>0</v>
      </c>
      <c r="AD32" s="1">
        <v>0</v>
      </c>
      <c r="AE32" s="1">
        <v>43200</v>
      </c>
      <c r="AF32" s="1">
        <v>0</v>
      </c>
      <c r="AG32" s="1">
        <v>43200</v>
      </c>
      <c r="AH32" s="1">
        <v>38880</v>
      </c>
      <c r="AI32" s="1">
        <v>0</v>
      </c>
      <c r="AJ32" s="1">
        <v>0</v>
      </c>
      <c r="AK32" s="1">
        <v>0</v>
      </c>
      <c r="AL32" s="1">
        <v>38880</v>
      </c>
      <c r="AM32" s="1">
        <v>0</v>
      </c>
      <c r="AN32" s="1">
        <v>38880</v>
      </c>
      <c r="AO32" s="6" t="s">
        <v>215</v>
      </c>
      <c r="AP32" s="6" t="s">
        <v>215</v>
      </c>
      <c r="AQ32" s="6" t="s">
        <v>215</v>
      </c>
      <c r="AR32" s="6" t="s">
        <v>215</v>
      </c>
      <c r="AS32" s="1">
        <v>23328</v>
      </c>
      <c r="AT32" s="1">
        <v>0</v>
      </c>
      <c r="AU32" s="1">
        <v>23328</v>
      </c>
    </row>
    <row r="33" spans="1:47" s="3" customFormat="1" x14ac:dyDescent="0.3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150</v>
      </c>
      <c r="H33" s="3" t="s">
        <v>151</v>
      </c>
      <c r="I33" s="3" t="s">
        <v>54</v>
      </c>
      <c r="J33" s="3" t="s">
        <v>55</v>
      </c>
      <c r="K33" s="3" t="s">
        <v>177</v>
      </c>
      <c r="L33" s="3" t="s">
        <v>178</v>
      </c>
      <c r="M33" s="3" t="s">
        <v>179</v>
      </c>
      <c r="N33" s="3" t="s">
        <v>59</v>
      </c>
      <c r="O33" s="3" t="s">
        <v>59</v>
      </c>
      <c r="P33" s="3" t="s">
        <v>59</v>
      </c>
      <c r="Q33" s="3" t="s">
        <v>155</v>
      </c>
      <c r="R33" s="3" t="s">
        <v>61</v>
      </c>
      <c r="S33" s="3" t="s">
        <v>62</v>
      </c>
      <c r="T33" s="1">
        <v>73840</v>
      </c>
      <c r="U33" s="1">
        <v>94760</v>
      </c>
      <c r="V33" s="1">
        <v>5100</v>
      </c>
      <c r="W33" s="1">
        <v>1335000</v>
      </c>
      <c r="X33" s="1">
        <v>173700</v>
      </c>
      <c r="Y33" s="1">
        <v>1335000</v>
      </c>
      <c r="Z33" s="1">
        <v>1508700</v>
      </c>
      <c r="AA33" s="1">
        <v>88608</v>
      </c>
      <c r="AB33" s="1">
        <v>94760</v>
      </c>
      <c r="AC33" s="1">
        <v>6120</v>
      </c>
      <c r="AD33" s="1">
        <v>1335000</v>
      </c>
      <c r="AE33" s="1">
        <v>189488</v>
      </c>
      <c r="AF33" s="1">
        <v>1335000</v>
      </c>
      <c r="AG33" s="1">
        <v>1524488</v>
      </c>
      <c r="AH33" s="1">
        <v>79747.199999999997</v>
      </c>
      <c r="AI33" s="1">
        <v>91917.2</v>
      </c>
      <c r="AJ33" s="1">
        <v>4284</v>
      </c>
      <c r="AK33" s="1">
        <v>1201500</v>
      </c>
      <c r="AL33" s="1">
        <v>175948.4</v>
      </c>
      <c r="AM33" s="1">
        <v>1201500</v>
      </c>
      <c r="AN33" s="1">
        <v>1377448.4</v>
      </c>
      <c r="AO33" s="6" t="s">
        <v>215</v>
      </c>
      <c r="AP33" s="6" t="s">
        <v>215</v>
      </c>
      <c r="AQ33" s="6" t="s">
        <v>215</v>
      </c>
      <c r="AR33" s="6" t="s">
        <v>215</v>
      </c>
      <c r="AS33" s="1">
        <v>826468</v>
      </c>
      <c r="AT33" s="1">
        <v>0</v>
      </c>
      <c r="AU33" s="1">
        <v>826468</v>
      </c>
    </row>
    <row r="34" spans="1:47" s="3" customFormat="1" x14ac:dyDescent="0.3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150</v>
      </c>
      <c r="H34" s="3" t="s">
        <v>151</v>
      </c>
      <c r="I34" s="3" t="s">
        <v>54</v>
      </c>
      <c r="J34" s="3" t="s">
        <v>55</v>
      </c>
      <c r="K34" s="3" t="s">
        <v>177</v>
      </c>
      <c r="L34" s="3" t="s">
        <v>178</v>
      </c>
      <c r="M34" s="3" t="s">
        <v>179</v>
      </c>
      <c r="N34" s="3" t="s">
        <v>59</v>
      </c>
      <c r="O34" s="3" t="s">
        <v>59</v>
      </c>
      <c r="P34" s="3" t="s">
        <v>59</v>
      </c>
      <c r="Q34" s="3" t="s">
        <v>155</v>
      </c>
      <c r="R34" s="3" t="s">
        <v>61</v>
      </c>
      <c r="S34" s="3" t="s">
        <v>63</v>
      </c>
      <c r="T34" s="1">
        <v>268170</v>
      </c>
      <c r="U34" s="1">
        <v>112770</v>
      </c>
      <c r="V34" s="1">
        <v>15300</v>
      </c>
      <c r="W34" s="1">
        <v>817260</v>
      </c>
      <c r="X34" s="1">
        <v>396240</v>
      </c>
      <c r="Y34" s="1">
        <v>817260</v>
      </c>
      <c r="Z34" s="1">
        <v>1213500</v>
      </c>
      <c r="AA34" s="1">
        <v>321804</v>
      </c>
      <c r="AB34" s="1">
        <v>112770</v>
      </c>
      <c r="AC34" s="1">
        <v>18360</v>
      </c>
      <c r="AD34" s="1">
        <v>817260</v>
      </c>
      <c r="AE34" s="1">
        <v>452934</v>
      </c>
      <c r="AF34" s="1">
        <v>817260</v>
      </c>
      <c r="AG34" s="1">
        <v>1270194</v>
      </c>
      <c r="AH34" s="1">
        <v>289623.59999999998</v>
      </c>
      <c r="AI34" s="1">
        <v>109386.9</v>
      </c>
      <c r="AJ34" s="1">
        <v>12852</v>
      </c>
      <c r="AK34" s="1">
        <v>735534</v>
      </c>
      <c r="AL34" s="1">
        <v>411862.5</v>
      </c>
      <c r="AM34" s="1">
        <v>735534</v>
      </c>
      <c r="AN34" s="1">
        <v>1147396.5</v>
      </c>
      <c r="AO34" s="6" t="s">
        <v>215</v>
      </c>
      <c r="AP34" s="6" t="s">
        <v>215</v>
      </c>
      <c r="AQ34" s="6" t="s">
        <v>215</v>
      </c>
      <c r="AR34" s="6" t="s">
        <v>215</v>
      </c>
      <c r="AS34" s="1">
        <v>688437</v>
      </c>
      <c r="AT34" s="1">
        <v>0</v>
      </c>
      <c r="AU34" s="1">
        <v>688437</v>
      </c>
    </row>
    <row r="35" spans="1:47" s="3" customFormat="1" x14ac:dyDescent="0.3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150</v>
      </c>
      <c r="H35" s="3" t="s">
        <v>151</v>
      </c>
      <c r="I35" s="3" t="s">
        <v>54</v>
      </c>
      <c r="J35" s="3" t="s">
        <v>55</v>
      </c>
      <c r="K35" s="3" t="s">
        <v>177</v>
      </c>
      <c r="L35" s="3" t="s">
        <v>178</v>
      </c>
      <c r="M35" s="3" t="s">
        <v>179</v>
      </c>
      <c r="N35" s="3" t="s">
        <v>59</v>
      </c>
      <c r="O35" s="3" t="s">
        <v>59</v>
      </c>
      <c r="P35" s="3" t="s">
        <v>59</v>
      </c>
      <c r="Q35" s="3" t="s">
        <v>155</v>
      </c>
      <c r="R35" s="3" t="s">
        <v>61</v>
      </c>
      <c r="S35" s="3" t="s">
        <v>63</v>
      </c>
      <c r="T35" s="1">
        <v>319510</v>
      </c>
      <c r="U35" s="1">
        <v>281930</v>
      </c>
      <c r="V35" s="1">
        <v>88500</v>
      </c>
      <c r="W35" s="1">
        <v>103460</v>
      </c>
      <c r="X35" s="1">
        <v>689940</v>
      </c>
      <c r="Y35" s="1">
        <v>103460</v>
      </c>
      <c r="Z35" s="1">
        <v>793400</v>
      </c>
      <c r="AA35" s="1">
        <v>383412</v>
      </c>
      <c r="AB35" s="1">
        <v>281930</v>
      </c>
      <c r="AC35" s="1">
        <v>106260</v>
      </c>
      <c r="AD35" s="1">
        <v>103460</v>
      </c>
      <c r="AE35" s="1">
        <v>771602</v>
      </c>
      <c r="AF35" s="1">
        <v>103460</v>
      </c>
      <c r="AG35" s="1">
        <v>875062</v>
      </c>
      <c r="AH35" s="1">
        <v>345070.8</v>
      </c>
      <c r="AI35" s="1">
        <v>273472.09999999998</v>
      </c>
      <c r="AJ35" s="1">
        <v>74382</v>
      </c>
      <c r="AK35" s="1">
        <v>93114</v>
      </c>
      <c r="AL35" s="1">
        <v>692924.9</v>
      </c>
      <c r="AM35" s="1">
        <v>93114</v>
      </c>
      <c r="AN35" s="1">
        <v>786038.9</v>
      </c>
      <c r="AO35" s="6" t="s">
        <v>215</v>
      </c>
      <c r="AP35" s="6" t="s">
        <v>215</v>
      </c>
      <c r="AQ35" s="6" t="s">
        <v>215</v>
      </c>
      <c r="AR35" s="6" t="s">
        <v>215</v>
      </c>
      <c r="AS35" s="1">
        <v>471622</v>
      </c>
      <c r="AT35" s="1">
        <v>0</v>
      </c>
      <c r="AU35" s="1">
        <v>471622</v>
      </c>
    </row>
    <row r="36" spans="1:47" s="3" customFormat="1" x14ac:dyDescent="0.3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150</v>
      </c>
      <c r="H36" s="3" t="s">
        <v>151</v>
      </c>
      <c r="I36" s="3" t="s">
        <v>54</v>
      </c>
      <c r="J36" s="3" t="s">
        <v>55</v>
      </c>
      <c r="K36" s="3" t="s">
        <v>177</v>
      </c>
      <c r="L36" s="3" t="s">
        <v>178</v>
      </c>
      <c r="M36" s="3" t="s">
        <v>179</v>
      </c>
      <c r="N36" s="3" t="s">
        <v>59</v>
      </c>
      <c r="O36" s="3" t="s">
        <v>59</v>
      </c>
      <c r="P36" s="3" t="s">
        <v>59</v>
      </c>
      <c r="Q36" s="3" t="s">
        <v>155</v>
      </c>
      <c r="R36" s="3" t="s">
        <v>61</v>
      </c>
      <c r="S36" s="3" t="s">
        <v>63</v>
      </c>
      <c r="T36" s="1">
        <v>223000</v>
      </c>
      <c r="U36" s="1">
        <v>207800</v>
      </c>
      <c r="V36" s="1">
        <v>18000</v>
      </c>
      <c r="W36" s="1">
        <v>21600</v>
      </c>
      <c r="X36" s="1">
        <v>448800</v>
      </c>
      <c r="Y36" s="1">
        <v>21600</v>
      </c>
      <c r="Z36" s="1">
        <v>470400</v>
      </c>
      <c r="AA36" s="1">
        <v>267600</v>
      </c>
      <c r="AB36" s="1">
        <v>207800</v>
      </c>
      <c r="AC36" s="1">
        <v>21600</v>
      </c>
      <c r="AD36" s="1">
        <v>21600</v>
      </c>
      <c r="AE36" s="1">
        <v>497000</v>
      </c>
      <c r="AF36" s="1">
        <v>21600</v>
      </c>
      <c r="AG36" s="1">
        <v>518600</v>
      </c>
      <c r="AH36" s="1">
        <v>240840</v>
      </c>
      <c r="AI36" s="1">
        <v>201566</v>
      </c>
      <c r="AJ36" s="1">
        <v>15120</v>
      </c>
      <c r="AK36" s="1">
        <v>19440</v>
      </c>
      <c r="AL36" s="1">
        <v>457526</v>
      </c>
      <c r="AM36" s="1">
        <v>19440</v>
      </c>
      <c r="AN36" s="1">
        <v>476966</v>
      </c>
      <c r="AO36" s="6" t="s">
        <v>215</v>
      </c>
      <c r="AP36" s="6" t="s">
        <v>215</v>
      </c>
      <c r="AQ36" s="6" t="s">
        <v>215</v>
      </c>
      <c r="AR36" s="6" t="s">
        <v>215</v>
      </c>
      <c r="AS36" s="1">
        <v>286180</v>
      </c>
      <c r="AT36" s="1">
        <v>0</v>
      </c>
      <c r="AU36" s="1">
        <v>286180</v>
      </c>
    </row>
    <row r="37" spans="1:47" s="3" customFormat="1" x14ac:dyDescent="0.3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150</v>
      </c>
      <c r="H37" s="3" t="s">
        <v>151</v>
      </c>
      <c r="I37" s="3" t="s">
        <v>54</v>
      </c>
      <c r="J37" s="3" t="s">
        <v>55</v>
      </c>
      <c r="K37" s="3" t="s">
        <v>180</v>
      </c>
      <c r="L37" s="3" t="s">
        <v>181</v>
      </c>
      <c r="M37" s="3" t="s">
        <v>70</v>
      </c>
      <c r="N37" s="3" t="s">
        <v>59</v>
      </c>
      <c r="O37" s="3" t="s">
        <v>59</v>
      </c>
      <c r="P37" s="3" t="s">
        <v>59</v>
      </c>
      <c r="Q37" s="3" t="s">
        <v>155</v>
      </c>
      <c r="R37" s="3" t="s">
        <v>61</v>
      </c>
      <c r="S37" s="3" t="s">
        <v>62</v>
      </c>
      <c r="T37" s="1">
        <v>525080</v>
      </c>
      <c r="U37" s="1">
        <v>356530</v>
      </c>
      <c r="V37" s="1">
        <v>45000</v>
      </c>
      <c r="W37" s="1">
        <v>119790</v>
      </c>
      <c r="X37" s="1">
        <v>926610</v>
      </c>
      <c r="Y37" s="1">
        <v>119790</v>
      </c>
      <c r="Z37" s="1">
        <v>1046400</v>
      </c>
      <c r="AA37" s="1">
        <v>630096</v>
      </c>
      <c r="AB37" s="1">
        <v>356530</v>
      </c>
      <c r="AC37" s="1">
        <v>54000</v>
      </c>
      <c r="AD37" s="1">
        <v>119790</v>
      </c>
      <c r="AE37" s="1">
        <v>1040626</v>
      </c>
      <c r="AF37" s="1">
        <v>119790</v>
      </c>
      <c r="AG37" s="1">
        <v>1160416</v>
      </c>
      <c r="AH37" s="1">
        <v>567086.4</v>
      </c>
      <c r="AI37" s="1">
        <v>345834.1</v>
      </c>
      <c r="AJ37" s="1">
        <v>37800</v>
      </c>
      <c r="AK37" s="1">
        <v>107811</v>
      </c>
      <c r="AL37" s="1">
        <v>950720.5</v>
      </c>
      <c r="AM37" s="1">
        <v>107811</v>
      </c>
      <c r="AN37" s="1">
        <v>1058531.5</v>
      </c>
      <c r="AO37" s="6" t="s">
        <v>215</v>
      </c>
      <c r="AP37" s="6" t="s">
        <v>215</v>
      </c>
      <c r="AQ37" s="6" t="s">
        <v>215</v>
      </c>
      <c r="AR37" s="6" t="s">
        <v>215</v>
      </c>
      <c r="AS37" s="1">
        <v>635119</v>
      </c>
      <c r="AT37" s="1">
        <v>0</v>
      </c>
      <c r="AU37" s="1">
        <v>635119</v>
      </c>
    </row>
    <row r="38" spans="1:47" s="3" customFormat="1" x14ac:dyDescent="0.3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150</v>
      </c>
      <c r="H38" s="3" t="s">
        <v>151</v>
      </c>
      <c r="I38" s="3" t="s">
        <v>54</v>
      </c>
      <c r="J38" s="3" t="s">
        <v>55</v>
      </c>
      <c r="K38" s="3" t="s">
        <v>180</v>
      </c>
      <c r="L38" s="3" t="s">
        <v>181</v>
      </c>
      <c r="M38" s="3" t="s">
        <v>70</v>
      </c>
      <c r="N38" s="3" t="s">
        <v>59</v>
      </c>
      <c r="O38" s="3" t="s">
        <v>59</v>
      </c>
      <c r="P38" s="3" t="s">
        <v>59</v>
      </c>
      <c r="Q38" s="3" t="s">
        <v>155</v>
      </c>
      <c r="R38" s="3" t="s">
        <v>61</v>
      </c>
      <c r="S38" s="3" t="s">
        <v>63</v>
      </c>
      <c r="T38" s="1">
        <v>44800</v>
      </c>
      <c r="U38" s="1">
        <v>0</v>
      </c>
      <c r="V38" s="1">
        <v>0</v>
      </c>
      <c r="W38" s="1">
        <v>0</v>
      </c>
      <c r="X38" s="1">
        <v>44800</v>
      </c>
      <c r="Y38" s="1">
        <v>0</v>
      </c>
      <c r="Z38" s="1">
        <v>44800</v>
      </c>
      <c r="AA38" s="1">
        <v>53760</v>
      </c>
      <c r="AB38" s="1">
        <v>0</v>
      </c>
      <c r="AC38" s="1">
        <v>0</v>
      </c>
      <c r="AD38" s="1">
        <v>0</v>
      </c>
      <c r="AE38" s="1">
        <v>53760</v>
      </c>
      <c r="AF38" s="1">
        <v>0</v>
      </c>
      <c r="AG38" s="1">
        <v>53760</v>
      </c>
      <c r="AH38" s="1">
        <v>48384</v>
      </c>
      <c r="AI38" s="1">
        <v>0</v>
      </c>
      <c r="AJ38" s="1">
        <v>0</v>
      </c>
      <c r="AK38" s="1">
        <v>0</v>
      </c>
      <c r="AL38" s="1">
        <v>48384</v>
      </c>
      <c r="AM38" s="1">
        <v>0</v>
      </c>
      <c r="AN38" s="1">
        <v>48384</v>
      </c>
      <c r="AO38" s="6" t="s">
        <v>215</v>
      </c>
      <c r="AP38" s="6" t="s">
        <v>215</v>
      </c>
      <c r="AQ38" s="6" t="s">
        <v>215</v>
      </c>
      <c r="AR38" s="6" t="s">
        <v>215</v>
      </c>
      <c r="AS38" s="1">
        <v>29030</v>
      </c>
      <c r="AT38" s="1">
        <v>0</v>
      </c>
      <c r="AU38" s="1">
        <v>29030</v>
      </c>
    </row>
    <row r="39" spans="1:47" s="3" customFormat="1" x14ac:dyDescent="0.3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150</v>
      </c>
      <c r="H39" s="3" t="s">
        <v>151</v>
      </c>
      <c r="I39" s="3" t="s">
        <v>54</v>
      </c>
      <c r="J39" s="3" t="s">
        <v>55</v>
      </c>
      <c r="K39" s="3" t="s">
        <v>182</v>
      </c>
      <c r="L39" s="3" t="s">
        <v>183</v>
      </c>
      <c r="M39" s="3" t="s">
        <v>184</v>
      </c>
      <c r="N39" s="3" t="s">
        <v>59</v>
      </c>
      <c r="O39" s="3" t="s">
        <v>59</v>
      </c>
      <c r="P39" s="3" t="s">
        <v>59</v>
      </c>
      <c r="Q39" s="3" t="s">
        <v>155</v>
      </c>
      <c r="R39" s="3" t="s">
        <v>61</v>
      </c>
      <c r="S39" s="3" t="s">
        <v>62</v>
      </c>
      <c r="T39" s="1">
        <v>32200</v>
      </c>
      <c r="U39" s="1">
        <v>30900</v>
      </c>
      <c r="V39" s="1">
        <v>0</v>
      </c>
      <c r="W39" s="1">
        <v>4100</v>
      </c>
      <c r="X39" s="1">
        <v>63100</v>
      </c>
      <c r="Y39" s="1">
        <v>4100</v>
      </c>
      <c r="Z39" s="1">
        <v>67200</v>
      </c>
      <c r="AA39" s="1">
        <v>38640</v>
      </c>
      <c r="AB39" s="1">
        <v>30900</v>
      </c>
      <c r="AC39" s="1">
        <v>0</v>
      </c>
      <c r="AD39" s="1">
        <v>4100</v>
      </c>
      <c r="AE39" s="1">
        <v>69540</v>
      </c>
      <c r="AF39" s="1">
        <v>4100</v>
      </c>
      <c r="AG39" s="1">
        <v>73640</v>
      </c>
      <c r="AH39" s="1">
        <v>34776</v>
      </c>
      <c r="AI39" s="1">
        <v>29973</v>
      </c>
      <c r="AJ39" s="1">
        <v>0</v>
      </c>
      <c r="AK39" s="1">
        <v>3690</v>
      </c>
      <c r="AL39" s="1">
        <v>64749</v>
      </c>
      <c r="AM39" s="1">
        <v>3690</v>
      </c>
      <c r="AN39" s="1">
        <v>68439</v>
      </c>
      <c r="AO39" s="6" t="s">
        <v>215</v>
      </c>
      <c r="AP39" s="6" t="s">
        <v>215</v>
      </c>
      <c r="AQ39" s="6" t="s">
        <v>215</v>
      </c>
      <c r="AR39" s="6" t="s">
        <v>215</v>
      </c>
      <c r="AS39" s="1">
        <v>41064</v>
      </c>
      <c r="AT39" s="1">
        <v>0</v>
      </c>
      <c r="AU39" s="1">
        <v>41064</v>
      </c>
    </row>
    <row r="40" spans="1:47" s="3" customFormat="1" x14ac:dyDescent="0.3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150</v>
      </c>
      <c r="H40" s="3" t="s">
        <v>151</v>
      </c>
      <c r="I40" s="3" t="s">
        <v>54</v>
      </c>
      <c r="J40" s="3" t="s">
        <v>55</v>
      </c>
      <c r="K40" s="3" t="s">
        <v>182</v>
      </c>
      <c r="L40" s="3" t="s">
        <v>183</v>
      </c>
      <c r="M40" s="3" t="s">
        <v>184</v>
      </c>
      <c r="N40" s="3" t="s">
        <v>59</v>
      </c>
      <c r="O40" s="3" t="s">
        <v>59</v>
      </c>
      <c r="P40" s="3" t="s">
        <v>59</v>
      </c>
      <c r="Q40" s="3" t="s">
        <v>155</v>
      </c>
      <c r="R40" s="3" t="s">
        <v>61</v>
      </c>
      <c r="S40" s="3" t="s">
        <v>71</v>
      </c>
      <c r="T40" s="1">
        <v>9900</v>
      </c>
      <c r="U40" s="1">
        <v>18400</v>
      </c>
      <c r="V40" s="1">
        <v>0</v>
      </c>
      <c r="W40" s="1">
        <v>13100</v>
      </c>
      <c r="X40" s="1">
        <v>28300</v>
      </c>
      <c r="Y40" s="1">
        <v>13100</v>
      </c>
      <c r="Z40" s="1">
        <v>41400</v>
      </c>
      <c r="AA40" s="1">
        <v>11880</v>
      </c>
      <c r="AB40" s="1">
        <v>18400</v>
      </c>
      <c r="AC40" s="1">
        <v>0</v>
      </c>
      <c r="AD40" s="1">
        <v>13100</v>
      </c>
      <c r="AE40" s="1">
        <v>30280</v>
      </c>
      <c r="AF40" s="1">
        <v>13100</v>
      </c>
      <c r="AG40" s="1">
        <v>43380</v>
      </c>
      <c r="AH40" s="1">
        <v>10692</v>
      </c>
      <c r="AI40" s="1">
        <v>17848</v>
      </c>
      <c r="AJ40" s="1">
        <v>0</v>
      </c>
      <c r="AK40" s="1">
        <v>11790</v>
      </c>
      <c r="AL40" s="1">
        <v>28540</v>
      </c>
      <c r="AM40" s="1">
        <v>11790</v>
      </c>
      <c r="AN40" s="1">
        <v>40330</v>
      </c>
      <c r="AO40" s="6" t="s">
        <v>215</v>
      </c>
      <c r="AP40" s="6" t="s">
        <v>215</v>
      </c>
      <c r="AQ40" s="6" t="s">
        <v>215</v>
      </c>
      <c r="AR40" s="6" t="s">
        <v>215</v>
      </c>
      <c r="AS40" s="1">
        <v>24198</v>
      </c>
      <c r="AT40" s="1">
        <v>0</v>
      </c>
      <c r="AU40" s="1">
        <v>24198</v>
      </c>
    </row>
    <row r="41" spans="1:47" s="3" customFormat="1" x14ac:dyDescent="0.3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150</v>
      </c>
      <c r="H41" s="3" t="s">
        <v>151</v>
      </c>
      <c r="I41" s="3" t="s">
        <v>54</v>
      </c>
      <c r="J41" s="3" t="s">
        <v>55</v>
      </c>
      <c r="K41" s="3" t="s">
        <v>185</v>
      </c>
      <c r="L41" s="3" t="s">
        <v>186</v>
      </c>
      <c r="M41" s="3" t="s">
        <v>184</v>
      </c>
      <c r="N41" s="3" t="s">
        <v>59</v>
      </c>
      <c r="O41" s="3" t="s">
        <v>59</v>
      </c>
      <c r="P41" s="3" t="s">
        <v>59</v>
      </c>
      <c r="Q41" s="3" t="s">
        <v>155</v>
      </c>
      <c r="R41" s="3" t="s">
        <v>61</v>
      </c>
      <c r="S41" s="3" t="s">
        <v>62</v>
      </c>
      <c r="T41" s="1">
        <v>0</v>
      </c>
      <c r="U41" s="1">
        <v>0</v>
      </c>
      <c r="V41" s="1">
        <v>0</v>
      </c>
      <c r="W41" s="1">
        <v>6400</v>
      </c>
      <c r="X41" s="1">
        <v>0</v>
      </c>
      <c r="Y41" s="1">
        <v>6400</v>
      </c>
      <c r="Z41" s="1">
        <v>6400</v>
      </c>
      <c r="AA41" s="1">
        <v>0</v>
      </c>
      <c r="AB41" s="1">
        <v>0</v>
      </c>
      <c r="AC41" s="1">
        <v>0</v>
      </c>
      <c r="AD41" s="1">
        <v>6400</v>
      </c>
      <c r="AE41" s="1">
        <v>0</v>
      </c>
      <c r="AF41" s="1">
        <v>6400</v>
      </c>
      <c r="AG41" s="1">
        <v>6400</v>
      </c>
      <c r="AH41" s="1">
        <v>0</v>
      </c>
      <c r="AI41" s="1">
        <v>0</v>
      </c>
      <c r="AJ41" s="1">
        <v>0</v>
      </c>
      <c r="AK41" s="1">
        <v>5760</v>
      </c>
      <c r="AL41" s="1">
        <v>0</v>
      </c>
      <c r="AM41" s="1">
        <v>5760</v>
      </c>
      <c r="AN41" s="1">
        <v>5760</v>
      </c>
      <c r="AO41" s="6" t="s">
        <v>215</v>
      </c>
      <c r="AP41" s="6" t="s">
        <v>215</v>
      </c>
      <c r="AQ41" s="6" t="s">
        <v>215</v>
      </c>
      <c r="AR41" s="6" t="s">
        <v>215</v>
      </c>
      <c r="AS41" s="1">
        <v>3456</v>
      </c>
      <c r="AT41" s="1">
        <v>0</v>
      </c>
      <c r="AU41" s="1">
        <v>3456</v>
      </c>
    </row>
    <row r="42" spans="1:47" s="3" customFormat="1" x14ac:dyDescent="0.3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150</v>
      </c>
      <c r="H42" s="3" t="s">
        <v>151</v>
      </c>
      <c r="I42" s="3" t="s">
        <v>54</v>
      </c>
      <c r="J42" s="3" t="s">
        <v>55</v>
      </c>
      <c r="K42" s="3" t="s">
        <v>187</v>
      </c>
      <c r="L42" s="3" t="s">
        <v>188</v>
      </c>
      <c r="M42" s="3" t="s">
        <v>189</v>
      </c>
      <c r="N42" s="3" t="s">
        <v>59</v>
      </c>
      <c r="O42" s="3" t="s">
        <v>59</v>
      </c>
      <c r="P42" s="3" t="s">
        <v>59</v>
      </c>
      <c r="Q42" s="3" t="s">
        <v>155</v>
      </c>
      <c r="R42" s="3" t="s">
        <v>61</v>
      </c>
      <c r="S42" s="3" t="s">
        <v>62</v>
      </c>
      <c r="T42" s="1">
        <v>69240</v>
      </c>
      <c r="U42" s="1">
        <v>32500</v>
      </c>
      <c r="V42" s="1">
        <v>0</v>
      </c>
      <c r="W42" s="1">
        <v>697960</v>
      </c>
      <c r="X42" s="1">
        <v>101740</v>
      </c>
      <c r="Y42" s="1">
        <v>697960</v>
      </c>
      <c r="Z42" s="1">
        <v>799700</v>
      </c>
      <c r="AA42" s="1">
        <v>83088</v>
      </c>
      <c r="AB42" s="1">
        <v>32500</v>
      </c>
      <c r="AC42" s="1">
        <v>0</v>
      </c>
      <c r="AD42" s="1">
        <v>697960</v>
      </c>
      <c r="AE42" s="1">
        <v>115588</v>
      </c>
      <c r="AF42" s="1">
        <v>697960</v>
      </c>
      <c r="AG42" s="1">
        <v>813548</v>
      </c>
      <c r="AH42" s="1">
        <v>74779.199999999997</v>
      </c>
      <c r="AI42" s="1">
        <v>31525</v>
      </c>
      <c r="AJ42" s="1">
        <v>0</v>
      </c>
      <c r="AK42" s="1">
        <v>628164</v>
      </c>
      <c r="AL42" s="1">
        <v>106304.2</v>
      </c>
      <c r="AM42" s="1">
        <v>628164</v>
      </c>
      <c r="AN42" s="1">
        <v>734468.2</v>
      </c>
      <c r="AO42" s="6" t="s">
        <v>215</v>
      </c>
      <c r="AP42" s="6" t="s">
        <v>215</v>
      </c>
      <c r="AQ42" s="6" t="s">
        <v>215</v>
      </c>
      <c r="AR42" s="6" t="s">
        <v>215</v>
      </c>
      <c r="AS42" s="1">
        <v>440681</v>
      </c>
      <c r="AT42" s="1">
        <v>0</v>
      </c>
      <c r="AU42" s="1">
        <v>440681</v>
      </c>
    </row>
    <row r="43" spans="1:47" s="3" customFormat="1" x14ac:dyDescent="0.3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150</v>
      </c>
      <c r="H43" s="3" t="s">
        <v>151</v>
      </c>
      <c r="I43" s="3" t="s">
        <v>54</v>
      </c>
      <c r="J43" s="3" t="s">
        <v>55</v>
      </c>
      <c r="K43" s="3" t="s">
        <v>187</v>
      </c>
      <c r="L43" s="3" t="s">
        <v>188</v>
      </c>
      <c r="M43" s="3" t="s">
        <v>189</v>
      </c>
      <c r="N43" s="3" t="s">
        <v>59</v>
      </c>
      <c r="O43" s="3" t="s">
        <v>59</v>
      </c>
      <c r="P43" s="3" t="s">
        <v>59</v>
      </c>
      <c r="Q43" s="3" t="s">
        <v>155</v>
      </c>
      <c r="R43" s="3" t="s">
        <v>61</v>
      </c>
      <c r="S43" s="3" t="s">
        <v>63</v>
      </c>
      <c r="T43" s="1">
        <v>41199</v>
      </c>
      <c r="U43" s="1">
        <v>60201</v>
      </c>
      <c r="V43" s="1">
        <v>19000</v>
      </c>
      <c r="W43" s="1">
        <v>271700</v>
      </c>
      <c r="X43" s="1">
        <v>120400</v>
      </c>
      <c r="Y43" s="1">
        <v>271700</v>
      </c>
      <c r="Z43" s="1">
        <v>392100</v>
      </c>
      <c r="AA43" s="1">
        <v>49439</v>
      </c>
      <c r="AB43" s="1">
        <v>60201</v>
      </c>
      <c r="AC43" s="1">
        <v>22800</v>
      </c>
      <c r="AD43" s="1">
        <v>271700</v>
      </c>
      <c r="AE43" s="1">
        <v>132440</v>
      </c>
      <c r="AF43" s="1">
        <v>271700</v>
      </c>
      <c r="AG43" s="1">
        <v>404140</v>
      </c>
      <c r="AH43" s="1">
        <v>44495.1</v>
      </c>
      <c r="AI43" s="1">
        <v>58394.97</v>
      </c>
      <c r="AJ43" s="1">
        <v>15960</v>
      </c>
      <c r="AK43" s="1">
        <v>244530</v>
      </c>
      <c r="AL43" s="1">
        <v>118850.07</v>
      </c>
      <c r="AM43" s="1">
        <v>244530</v>
      </c>
      <c r="AN43" s="1">
        <v>363380.07</v>
      </c>
      <c r="AO43" s="6" t="s">
        <v>215</v>
      </c>
      <c r="AP43" s="6" t="s">
        <v>215</v>
      </c>
      <c r="AQ43" s="6" t="s">
        <v>215</v>
      </c>
      <c r="AR43" s="6" t="s">
        <v>215</v>
      </c>
      <c r="AS43" s="1">
        <v>218028</v>
      </c>
      <c r="AT43" s="1">
        <v>0</v>
      </c>
      <c r="AU43" s="1">
        <v>218028</v>
      </c>
    </row>
    <row r="44" spans="1:47" s="3" customFormat="1" x14ac:dyDescent="0.3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150</v>
      </c>
      <c r="H44" s="3" t="s">
        <v>151</v>
      </c>
      <c r="I44" s="3" t="s">
        <v>54</v>
      </c>
      <c r="J44" s="3" t="s">
        <v>55</v>
      </c>
      <c r="K44" s="3" t="s">
        <v>187</v>
      </c>
      <c r="L44" s="3" t="s">
        <v>188</v>
      </c>
      <c r="M44" s="3" t="s">
        <v>189</v>
      </c>
      <c r="N44" s="3" t="s">
        <v>59</v>
      </c>
      <c r="O44" s="3" t="s">
        <v>59</v>
      </c>
      <c r="P44" s="3" t="s">
        <v>59</v>
      </c>
      <c r="Q44" s="3" t="s">
        <v>155</v>
      </c>
      <c r="R44" s="3" t="s">
        <v>61</v>
      </c>
      <c r="S44" s="3" t="s">
        <v>63</v>
      </c>
      <c r="T44" s="1">
        <v>54050</v>
      </c>
      <c r="U44" s="1">
        <v>108650</v>
      </c>
      <c r="V44" s="1">
        <v>0</v>
      </c>
      <c r="W44" s="1">
        <v>92300</v>
      </c>
      <c r="X44" s="1">
        <v>162700</v>
      </c>
      <c r="Y44" s="1">
        <v>92300</v>
      </c>
      <c r="Z44" s="1">
        <v>255000</v>
      </c>
      <c r="AA44" s="1">
        <v>64860</v>
      </c>
      <c r="AB44" s="1">
        <v>108650</v>
      </c>
      <c r="AC44" s="1">
        <v>0</v>
      </c>
      <c r="AD44" s="1">
        <v>92300</v>
      </c>
      <c r="AE44" s="1">
        <v>173510</v>
      </c>
      <c r="AF44" s="1">
        <v>92300</v>
      </c>
      <c r="AG44" s="1">
        <v>265810</v>
      </c>
      <c r="AH44" s="1">
        <v>58374</v>
      </c>
      <c r="AI44" s="1">
        <v>105390.5</v>
      </c>
      <c r="AJ44" s="1">
        <v>0</v>
      </c>
      <c r="AK44" s="1">
        <v>83070</v>
      </c>
      <c r="AL44" s="1">
        <v>163764.5</v>
      </c>
      <c r="AM44" s="1">
        <v>83070</v>
      </c>
      <c r="AN44" s="1">
        <v>246834.5</v>
      </c>
      <c r="AO44" s="6" t="s">
        <v>215</v>
      </c>
      <c r="AP44" s="6" t="s">
        <v>215</v>
      </c>
      <c r="AQ44" s="6" t="s">
        <v>215</v>
      </c>
      <c r="AR44" s="6" t="s">
        <v>215</v>
      </c>
      <c r="AS44" s="1">
        <v>148100</v>
      </c>
      <c r="AT44" s="1">
        <v>0</v>
      </c>
      <c r="AU44" s="1">
        <v>148100</v>
      </c>
    </row>
    <row r="45" spans="1:47" s="3" customFormat="1" x14ac:dyDescent="0.3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150</v>
      </c>
      <c r="H45" s="3" t="s">
        <v>151</v>
      </c>
      <c r="I45" s="3" t="s">
        <v>54</v>
      </c>
      <c r="J45" s="3" t="s">
        <v>55</v>
      </c>
      <c r="K45" s="3" t="s">
        <v>187</v>
      </c>
      <c r="L45" s="3" t="s">
        <v>188</v>
      </c>
      <c r="M45" s="3" t="s">
        <v>189</v>
      </c>
      <c r="N45" s="3" t="s">
        <v>59</v>
      </c>
      <c r="O45" s="3" t="s">
        <v>59</v>
      </c>
      <c r="P45" s="3" t="s">
        <v>59</v>
      </c>
      <c r="Q45" s="3" t="s">
        <v>155</v>
      </c>
      <c r="R45" s="3" t="s">
        <v>61</v>
      </c>
      <c r="S45" s="3" t="s">
        <v>63</v>
      </c>
      <c r="T45" s="1">
        <v>81900</v>
      </c>
      <c r="U45" s="1">
        <v>48800</v>
      </c>
      <c r="V45" s="1">
        <v>-9100</v>
      </c>
      <c r="W45" s="1">
        <v>39200</v>
      </c>
      <c r="X45" s="1">
        <v>121600</v>
      </c>
      <c r="Y45" s="1">
        <v>39200</v>
      </c>
      <c r="Z45" s="1">
        <v>160800</v>
      </c>
      <c r="AA45" s="1">
        <v>98280</v>
      </c>
      <c r="AB45" s="1">
        <v>48800</v>
      </c>
      <c r="AC45" s="1">
        <v>-10920</v>
      </c>
      <c r="AD45" s="1">
        <v>39200</v>
      </c>
      <c r="AE45" s="1">
        <v>136160</v>
      </c>
      <c r="AF45" s="1">
        <v>39200</v>
      </c>
      <c r="AG45" s="1">
        <v>175360</v>
      </c>
      <c r="AH45" s="1">
        <v>88452</v>
      </c>
      <c r="AI45" s="1">
        <v>47336</v>
      </c>
      <c r="AJ45" s="1">
        <v>-7644</v>
      </c>
      <c r="AK45" s="1">
        <v>35280</v>
      </c>
      <c r="AL45" s="1">
        <v>128144</v>
      </c>
      <c r="AM45" s="1">
        <v>35280</v>
      </c>
      <c r="AN45" s="1">
        <v>163424</v>
      </c>
      <c r="AO45" s="6" t="s">
        <v>215</v>
      </c>
      <c r="AP45" s="6" t="s">
        <v>215</v>
      </c>
      <c r="AQ45" s="6" t="s">
        <v>215</v>
      </c>
      <c r="AR45" s="6" t="s">
        <v>215</v>
      </c>
      <c r="AS45" s="1">
        <v>98055</v>
      </c>
      <c r="AT45" s="1">
        <v>0</v>
      </c>
      <c r="AU45" s="1">
        <v>98055</v>
      </c>
    </row>
    <row r="46" spans="1:47" s="3" customFormat="1" x14ac:dyDescent="0.3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150</v>
      </c>
      <c r="H46" s="3" t="s">
        <v>151</v>
      </c>
      <c r="I46" s="3" t="s">
        <v>54</v>
      </c>
      <c r="J46" s="3" t="s">
        <v>55</v>
      </c>
      <c r="K46" s="3" t="s">
        <v>190</v>
      </c>
      <c r="L46" s="3" t="s">
        <v>191</v>
      </c>
      <c r="M46" s="3" t="s">
        <v>192</v>
      </c>
      <c r="N46" s="3" t="s">
        <v>59</v>
      </c>
      <c r="O46" s="3" t="s">
        <v>59</v>
      </c>
      <c r="P46" s="3" t="s">
        <v>59</v>
      </c>
      <c r="Q46" s="3" t="s">
        <v>155</v>
      </c>
      <c r="R46" s="3" t="s">
        <v>61</v>
      </c>
      <c r="S46" s="3" t="s">
        <v>62</v>
      </c>
      <c r="T46" s="1">
        <v>12800</v>
      </c>
      <c r="U46" s="1">
        <v>0</v>
      </c>
      <c r="V46" s="1">
        <v>0</v>
      </c>
      <c r="W46" s="1">
        <v>0</v>
      </c>
      <c r="X46" s="1">
        <v>12800</v>
      </c>
      <c r="Y46" s="1">
        <v>0</v>
      </c>
      <c r="Z46" s="1">
        <v>12800</v>
      </c>
      <c r="AA46" s="1">
        <v>15360</v>
      </c>
      <c r="AB46" s="1">
        <v>0</v>
      </c>
      <c r="AC46" s="1">
        <v>0</v>
      </c>
      <c r="AD46" s="1">
        <v>0</v>
      </c>
      <c r="AE46" s="1">
        <v>15360</v>
      </c>
      <c r="AF46" s="1">
        <v>0</v>
      </c>
      <c r="AG46" s="1">
        <v>15360</v>
      </c>
      <c r="AH46" s="1">
        <v>13824</v>
      </c>
      <c r="AI46" s="1">
        <v>0</v>
      </c>
      <c r="AJ46" s="1">
        <v>0</v>
      </c>
      <c r="AK46" s="1">
        <v>0</v>
      </c>
      <c r="AL46" s="1">
        <v>13824</v>
      </c>
      <c r="AM46" s="1">
        <v>0</v>
      </c>
      <c r="AN46" s="1">
        <v>13824</v>
      </c>
      <c r="AO46" s="6" t="s">
        <v>215</v>
      </c>
      <c r="AP46" s="6" t="s">
        <v>215</v>
      </c>
      <c r="AQ46" s="6" t="s">
        <v>215</v>
      </c>
      <c r="AR46" s="6" t="s">
        <v>215</v>
      </c>
      <c r="AS46" s="1">
        <v>8294</v>
      </c>
      <c r="AT46" s="1">
        <v>0</v>
      </c>
      <c r="AU46" s="1">
        <v>8294</v>
      </c>
    </row>
    <row r="47" spans="1:47" s="3" customFormat="1" x14ac:dyDescent="0.3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150</v>
      </c>
      <c r="H47" s="3" t="s">
        <v>151</v>
      </c>
      <c r="I47" s="3" t="s">
        <v>54</v>
      </c>
      <c r="J47" s="3" t="s">
        <v>55</v>
      </c>
      <c r="K47" s="3" t="s">
        <v>193</v>
      </c>
      <c r="L47" s="3" t="s">
        <v>194</v>
      </c>
      <c r="M47" s="3" t="s">
        <v>195</v>
      </c>
      <c r="N47" s="3" t="s">
        <v>59</v>
      </c>
      <c r="O47" s="3" t="s">
        <v>59</v>
      </c>
      <c r="P47" s="3" t="s">
        <v>59</v>
      </c>
      <c r="Q47" s="3" t="s">
        <v>155</v>
      </c>
      <c r="R47" s="3" t="s">
        <v>61</v>
      </c>
      <c r="S47" s="3" t="s">
        <v>62</v>
      </c>
      <c r="T47" s="1">
        <v>6400</v>
      </c>
      <c r="U47" s="1">
        <v>24900</v>
      </c>
      <c r="V47" s="1">
        <v>0</v>
      </c>
      <c r="W47" s="1">
        <v>7100</v>
      </c>
      <c r="X47" s="1">
        <v>31300</v>
      </c>
      <c r="Y47" s="1">
        <v>7100</v>
      </c>
      <c r="Z47" s="1">
        <v>38400</v>
      </c>
      <c r="AA47" s="1">
        <v>7680</v>
      </c>
      <c r="AB47" s="1">
        <v>24900</v>
      </c>
      <c r="AC47" s="1">
        <v>0</v>
      </c>
      <c r="AD47" s="1">
        <v>7100</v>
      </c>
      <c r="AE47" s="1">
        <v>32580</v>
      </c>
      <c r="AF47" s="1">
        <v>7100</v>
      </c>
      <c r="AG47" s="1">
        <v>39680</v>
      </c>
      <c r="AH47" s="1">
        <v>6912</v>
      </c>
      <c r="AI47" s="1">
        <v>24153</v>
      </c>
      <c r="AJ47" s="1">
        <v>0</v>
      </c>
      <c r="AK47" s="1">
        <v>6390</v>
      </c>
      <c r="AL47" s="1">
        <v>31065</v>
      </c>
      <c r="AM47" s="1">
        <v>6390</v>
      </c>
      <c r="AN47" s="1">
        <v>37455</v>
      </c>
      <c r="AO47" s="6" t="s">
        <v>215</v>
      </c>
      <c r="AP47" s="6" t="s">
        <v>215</v>
      </c>
      <c r="AQ47" s="6" t="s">
        <v>215</v>
      </c>
      <c r="AR47" s="6" t="s">
        <v>215</v>
      </c>
      <c r="AS47" s="1">
        <v>22473</v>
      </c>
      <c r="AT47" s="1">
        <v>0</v>
      </c>
      <c r="AU47" s="1">
        <v>22473</v>
      </c>
    </row>
    <row r="48" spans="1:47" s="3" customFormat="1" x14ac:dyDescent="0.3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150</v>
      </c>
      <c r="H48" s="3" t="s">
        <v>151</v>
      </c>
      <c r="I48" s="3" t="s">
        <v>54</v>
      </c>
      <c r="J48" s="3" t="s">
        <v>55</v>
      </c>
      <c r="K48" s="3" t="s">
        <v>196</v>
      </c>
      <c r="L48" s="3" t="s">
        <v>197</v>
      </c>
      <c r="M48" s="3" t="s">
        <v>198</v>
      </c>
      <c r="N48" s="3" t="s">
        <v>59</v>
      </c>
      <c r="O48" s="3" t="s">
        <v>59</v>
      </c>
      <c r="P48" s="3" t="s">
        <v>59</v>
      </c>
      <c r="Q48" s="3" t="s">
        <v>155</v>
      </c>
      <c r="R48" s="3" t="s">
        <v>61</v>
      </c>
      <c r="S48" s="3" t="s">
        <v>62</v>
      </c>
      <c r="T48" s="1">
        <v>106300</v>
      </c>
      <c r="U48" s="1">
        <v>50500</v>
      </c>
      <c r="V48" s="1">
        <v>12200</v>
      </c>
      <c r="W48" s="1">
        <v>171000</v>
      </c>
      <c r="X48" s="1">
        <v>169000</v>
      </c>
      <c r="Y48" s="1">
        <v>171000</v>
      </c>
      <c r="Z48" s="1">
        <v>340000</v>
      </c>
      <c r="AA48" s="1">
        <v>127560</v>
      </c>
      <c r="AB48" s="1">
        <v>50500</v>
      </c>
      <c r="AC48" s="1">
        <v>14640</v>
      </c>
      <c r="AD48" s="1">
        <v>171000</v>
      </c>
      <c r="AE48" s="1">
        <v>192700</v>
      </c>
      <c r="AF48" s="1">
        <v>171000</v>
      </c>
      <c r="AG48" s="1">
        <v>363700</v>
      </c>
      <c r="AH48" s="1">
        <v>114804</v>
      </c>
      <c r="AI48" s="1">
        <v>48985</v>
      </c>
      <c r="AJ48" s="1">
        <v>10248</v>
      </c>
      <c r="AK48" s="1">
        <v>153900</v>
      </c>
      <c r="AL48" s="1">
        <v>174037</v>
      </c>
      <c r="AM48" s="1">
        <v>153900</v>
      </c>
      <c r="AN48" s="1">
        <v>327937</v>
      </c>
      <c r="AO48" s="6" t="s">
        <v>215</v>
      </c>
      <c r="AP48" s="6" t="s">
        <v>215</v>
      </c>
      <c r="AQ48" s="6" t="s">
        <v>215</v>
      </c>
      <c r="AR48" s="6" t="s">
        <v>215</v>
      </c>
      <c r="AS48" s="1">
        <v>196762</v>
      </c>
      <c r="AT48" s="1">
        <v>0</v>
      </c>
      <c r="AU48" s="1">
        <v>196762</v>
      </c>
    </row>
    <row r="49" spans="1:47" s="3" customFormat="1" x14ac:dyDescent="0.3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150</v>
      </c>
      <c r="H49" s="3" t="s">
        <v>151</v>
      </c>
      <c r="I49" s="3" t="s">
        <v>54</v>
      </c>
      <c r="J49" s="3" t="s">
        <v>55</v>
      </c>
      <c r="K49" s="3" t="s">
        <v>199</v>
      </c>
      <c r="L49" s="3" t="s">
        <v>200</v>
      </c>
      <c r="M49" s="3" t="s">
        <v>198</v>
      </c>
      <c r="N49" s="3" t="s">
        <v>59</v>
      </c>
      <c r="O49" s="3" t="s">
        <v>59</v>
      </c>
      <c r="P49" s="3" t="s">
        <v>59</v>
      </c>
      <c r="Q49" s="3" t="s">
        <v>155</v>
      </c>
      <c r="R49" s="3" t="s">
        <v>61</v>
      </c>
      <c r="S49" s="3" t="s">
        <v>62</v>
      </c>
      <c r="T49" s="1">
        <v>27000</v>
      </c>
      <c r="U49" s="1">
        <v>59700</v>
      </c>
      <c r="V49" s="1">
        <v>0</v>
      </c>
      <c r="W49" s="1">
        <v>12500</v>
      </c>
      <c r="X49" s="1">
        <v>86700</v>
      </c>
      <c r="Y49" s="1">
        <v>12500</v>
      </c>
      <c r="Z49" s="1">
        <v>99200</v>
      </c>
      <c r="AA49" s="1">
        <v>32400</v>
      </c>
      <c r="AB49" s="1">
        <v>59700</v>
      </c>
      <c r="AC49" s="1">
        <v>0</v>
      </c>
      <c r="AD49" s="1">
        <v>12500</v>
      </c>
      <c r="AE49" s="1">
        <v>92100</v>
      </c>
      <c r="AF49" s="1">
        <v>12500</v>
      </c>
      <c r="AG49" s="1">
        <v>104600</v>
      </c>
      <c r="AH49" s="1">
        <v>29160</v>
      </c>
      <c r="AI49" s="1">
        <v>57909</v>
      </c>
      <c r="AJ49" s="1">
        <v>0</v>
      </c>
      <c r="AK49" s="1">
        <v>11250</v>
      </c>
      <c r="AL49" s="1">
        <v>87069</v>
      </c>
      <c r="AM49" s="1">
        <v>11250</v>
      </c>
      <c r="AN49" s="1">
        <v>98319</v>
      </c>
      <c r="AO49" s="6" t="s">
        <v>215</v>
      </c>
      <c r="AP49" s="6" t="s">
        <v>215</v>
      </c>
      <c r="AQ49" s="6" t="s">
        <v>215</v>
      </c>
      <c r="AR49" s="6" t="s">
        <v>215</v>
      </c>
      <c r="AS49" s="1">
        <v>58991</v>
      </c>
      <c r="AT49" s="1">
        <v>0</v>
      </c>
      <c r="AU49" s="1">
        <v>58991</v>
      </c>
    </row>
    <row r="50" spans="1:47" s="3" customFormat="1" x14ac:dyDescent="0.3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150</v>
      </c>
      <c r="H50" s="3" t="s">
        <v>151</v>
      </c>
      <c r="I50" s="3" t="s">
        <v>54</v>
      </c>
      <c r="J50" s="3" t="s">
        <v>55</v>
      </c>
      <c r="K50" s="3" t="s">
        <v>201</v>
      </c>
      <c r="L50" s="3" t="s">
        <v>202</v>
      </c>
      <c r="M50" s="3" t="s">
        <v>198</v>
      </c>
      <c r="N50" s="3" t="s">
        <v>59</v>
      </c>
      <c r="O50" s="3" t="s">
        <v>59</v>
      </c>
      <c r="P50" s="3" t="s">
        <v>59</v>
      </c>
      <c r="Q50" s="3" t="s">
        <v>155</v>
      </c>
      <c r="R50" s="3" t="s">
        <v>61</v>
      </c>
      <c r="S50" s="3" t="s">
        <v>62</v>
      </c>
      <c r="T50" s="1">
        <v>1004700</v>
      </c>
      <c r="U50" s="1">
        <v>689900</v>
      </c>
      <c r="V50" s="1">
        <v>0</v>
      </c>
      <c r="W50" s="1">
        <v>167800</v>
      </c>
      <c r="X50" s="1">
        <v>1694600</v>
      </c>
      <c r="Y50" s="1">
        <v>167800</v>
      </c>
      <c r="Z50" s="1">
        <v>1862400</v>
      </c>
      <c r="AA50" s="1">
        <v>1205640</v>
      </c>
      <c r="AB50" s="1">
        <v>689900</v>
      </c>
      <c r="AC50" s="1">
        <v>0</v>
      </c>
      <c r="AD50" s="1">
        <v>167800</v>
      </c>
      <c r="AE50" s="1">
        <v>1895540</v>
      </c>
      <c r="AF50" s="1">
        <v>167800</v>
      </c>
      <c r="AG50" s="1">
        <v>2063340</v>
      </c>
      <c r="AH50" s="1">
        <v>1085076</v>
      </c>
      <c r="AI50" s="1">
        <v>669203</v>
      </c>
      <c r="AJ50" s="1">
        <v>0</v>
      </c>
      <c r="AK50" s="1">
        <v>151020</v>
      </c>
      <c r="AL50" s="1">
        <v>1754279</v>
      </c>
      <c r="AM50" s="1">
        <v>151020</v>
      </c>
      <c r="AN50" s="1">
        <v>1905299</v>
      </c>
      <c r="AO50" s="6" t="s">
        <v>215</v>
      </c>
      <c r="AP50" s="6" t="s">
        <v>215</v>
      </c>
      <c r="AQ50" s="6" t="s">
        <v>215</v>
      </c>
      <c r="AR50" s="6" t="s">
        <v>215</v>
      </c>
      <c r="AS50" s="1">
        <v>1143180</v>
      </c>
      <c r="AT50" s="1">
        <v>0</v>
      </c>
      <c r="AU50" s="1">
        <v>1143180</v>
      </c>
    </row>
    <row r="51" spans="1:47" s="3" customFormat="1" x14ac:dyDescent="0.3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150</v>
      </c>
      <c r="H51" s="3" t="s">
        <v>151</v>
      </c>
      <c r="I51" s="3" t="s">
        <v>54</v>
      </c>
      <c r="J51" s="3" t="s">
        <v>55</v>
      </c>
      <c r="K51" s="3" t="s">
        <v>203</v>
      </c>
      <c r="L51" s="3" t="s">
        <v>204</v>
      </c>
      <c r="M51" s="3" t="s">
        <v>198</v>
      </c>
      <c r="N51" s="3" t="s">
        <v>59</v>
      </c>
      <c r="O51" s="3" t="s">
        <v>59</v>
      </c>
      <c r="P51" s="3" t="s">
        <v>59</v>
      </c>
      <c r="Q51" s="3" t="s">
        <v>155</v>
      </c>
      <c r="R51" s="3" t="s">
        <v>61</v>
      </c>
      <c r="S51" s="3" t="s">
        <v>62</v>
      </c>
      <c r="T51" s="1">
        <v>171400</v>
      </c>
      <c r="U51" s="1">
        <v>67800</v>
      </c>
      <c r="V51" s="1">
        <v>0</v>
      </c>
      <c r="W51" s="1">
        <v>10400</v>
      </c>
      <c r="X51" s="1">
        <v>239200</v>
      </c>
      <c r="Y51" s="1">
        <v>10400</v>
      </c>
      <c r="Z51" s="1">
        <v>249600</v>
      </c>
      <c r="AA51" s="1">
        <v>205680</v>
      </c>
      <c r="AB51" s="1">
        <v>67800</v>
      </c>
      <c r="AC51" s="1">
        <v>0</v>
      </c>
      <c r="AD51" s="1">
        <v>10400</v>
      </c>
      <c r="AE51" s="1">
        <v>273480</v>
      </c>
      <c r="AF51" s="1">
        <v>10400</v>
      </c>
      <c r="AG51" s="1">
        <v>283880</v>
      </c>
      <c r="AH51" s="1">
        <v>185112</v>
      </c>
      <c r="AI51" s="1">
        <v>65766</v>
      </c>
      <c r="AJ51" s="1">
        <v>0</v>
      </c>
      <c r="AK51" s="1">
        <v>9360</v>
      </c>
      <c r="AL51" s="1">
        <v>250878</v>
      </c>
      <c r="AM51" s="1">
        <v>9360</v>
      </c>
      <c r="AN51" s="1">
        <v>260238</v>
      </c>
      <c r="AO51" s="6" t="s">
        <v>215</v>
      </c>
      <c r="AP51" s="6" t="s">
        <v>215</v>
      </c>
      <c r="AQ51" s="6" t="s">
        <v>215</v>
      </c>
      <c r="AR51" s="6" t="s">
        <v>215</v>
      </c>
      <c r="AS51" s="1">
        <v>156143</v>
      </c>
      <c r="AT51" s="1">
        <v>0</v>
      </c>
      <c r="AU51" s="1">
        <v>156143</v>
      </c>
    </row>
    <row r="52" spans="1:47" s="3" customFormat="1" x14ac:dyDescent="0.3">
      <c r="A52" s="3" t="s">
        <v>46</v>
      </c>
      <c r="B52" s="3" t="s">
        <v>47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150</v>
      </c>
      <c r="H52" s="3" t="s">
        <v>151</v>
      </c>
      <c r="I52" s="3" t="s">
        <v>54</v>
      </c>
      <c r="J52" s="3" t="s">
        <v>55</v>
      </c>
      <c r="K52" s="3" t="s">
        <v>205</v>
      </c>
      <c r="L52" s="3" t="s">
        <v>206</v>
      </c>
      <c r="M52" s="3" t="s">
        <v>198</v>
      </c>
      <c r="N52" s="3" t="s">
        <v>59</v>
      </c>
      <c r="O52" s="3" t="s">
        <v>59</v>
      </c>
      <c r="P52" s="3" t="s">
        <v>59</v>
      </c>
      <c r="Q52" s="3" t="s">
        <v>155</v>
      </c>
      <c r="R52" s="3" t="s">
        <v>61</v>
      </c>
      <c r="S52" s="3" t="s">
        <v>62</v>
      </c>
      <c r="T52" s="1">
        <v>16200</v>
      </c>
      <c r="U52" s="1">
        <v>29700</v>
      </c>
      <c r="V52" s="1">
        <v>0</v>
      </c>
      <c r="W52" s="1">
        <v>21300</v>
      </c>
      <c r="X52" s="1">
        <v>45900</v>
      </c>
      <c r="Y52" s="1">
        <v>21300</v>
      </c>
      <c r="Z52" s="1">
        <v>67200</v>
      </c>
      <c r="AA52" s="1">
        <v>19440</v>
      </c>
      <c r="AB52" s="1">
        <v>29700</v>
      </c>
      <c r="AC52" s="1">
        <v>0</v>
      </c>
      <c r="AD52" s="1">
        <v>21300</v>
      </c>
      <c r="AE52" s="1">
        <v>49140</v>
      </c>
      <c r="AF52" s="1">
        <v>21300</v>
      </c>
      <c r="AG52" s="1">
        <v>70440</v>
      </c>
      <c r="AH52" s="1">
        <v>17496</v>
      </c>
      <c r="AI52" s="1">
        <v>28809</v>
      </c>
      <c r="AJ52" s="1">
        <v>0</v>
      </c>
      <c r="AK52" s="1">
        <v>19170</v>
      </c>
      <c r="AL52" s="1">
        <v>46305</v>
      </c>
      <c r="AM52" s="1">
        <v>19170</v>
      </c>
      <c r="AN52" s="1">
        <v>65475</v>
      </c>
      <c r="AO52" s="6" t="s">
        <v>215</v>
      </c>
      <c r="AP52" s="6" t="s">
        <v>215</v>
      </c>
      <c r="AQ52" s="6" t="s">
        <v>215</v>
      </c>
      <c r="AR52" s="6" t="s">
        <v>215</v>
      </c>
      <c r="AS52" s="1">
        <v>39285</v>
      </c>
      <c r="AT52" s="1">
        <v>0</v>
      </c>
      <c r="AU52" s="1">
        <v>39285</v>
      </c>
    </row>
    <row r="53" spans="1:47" s="3" customFormat="1" x14ac:dyDescent="0.3">
      <c r="A53" s="3" t="s">
        <v>46</v>
      </c>
      <c r="B53" s="3" t="s">
        <v>47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150</v>
      </c>
      <c r="H53" s="3" t="s">
        <v>151</v>
      </c>
      <c r="I53" s="3" t="s">
        <v>54</v>
      </c>
      <c r="J53" s="3" t="s">
        <v>55</v>
      </c>
      <c r="K53" s="3" t="s">
        <v>207</v>
      </c>
      <c r="L53" s="3" t="s">
        <v>208</v>
      </c>
      <c r="M53" s="3" t="s">
        <v>209</v>
      </c>
      <c r="N53" s="3" t="s">
        <v>59</v>
      </c>
      <c r="O53" s="3" t="s">
        <v>59</v>
      </c>
      <c r="P53" s="3" t="s">
        <v>59</v>
      </c>
      <c r="Q53" s="3" t="s">
        <v>155</v>
      </c>
      <c r="R53" s="3" t="s">
        <v>61</v>
      </c>
      <c r="S53" s="3" t="s">
        <v>62</v>
      </c>
      <c r="T53" s="1">
        <v>407800</v>
      </c>
      <c r="U53" s="1">
        <v>234190</v>
      </c>
      <c r="V53" s="1">
        <v>16000</v>
      </c>
      <c r="W53" s="1">
        <v>68410</v>
      </c>
      <c r="X53" s="1">
        <v>657990</v>
      </c>
      <c r="Y53" s="1">
        <v>68410</v>
      </c>
      <c r="Z53" s="1">
        <v>726400</v>
      </c>
      <c r="AA53" s="1">
        <v>489360</v>
      </c>
      <c r="AB53" s="1">
        <v>234190</v>
      </c>
      <c r="AC53" s="1">
        <v>19200</v>
      </c>
      <c r="AD53" s="1">
        <v>68410</v>
      </c>
      <c r="AE53" s="1">
        <v>742750</v>
      </c>
      <c r="AF53" s="1">
        <v>68410</v>
      </c>
      <c r="AG53" s="1">
        <v>811160</v>
      </c>
      <c r="AH53" s="1">
        <v>440424</v>
      </c>
      <c r="AI53" s="1">
        <v>227164.3</v>
      </c>
      <c r="AJ53" s="1">
        <v>13440</v>
      </c>
      <c r="AK53" s="1">
        <v>61569</v>
      </c>
      <c r="AL53" s="1">
        <v>681028.3</v>
      </c>
      <c r="AM53" s="1">
        <v>61569</v>
      </c>
      <c r="AN53" s="1">
        <v>742597.3</v>
      </c>
      <c r="AO53" s="6" t="s">
        <v>215</v>
      </c>
      <c r="AP53" s="6" t="s">
        <v>215</v>
      </c>
      <c r="AQ53" s="6" t="s">
        <v>215</v>
      </c>
      <c r="AR53" s="6" t="s">
        <v>215</v>
      </c>
      <c r="AS53" s="1">
        <v>445558</v>
      </c>
      <c r="AT53" s="1">
        <v>0</v>
      </c>
      <c r="AU53" s="1">
        <v>445558</v>
      </c>
    </row>
    <row r="54" spans="1:47" x14ac:dyDescent="0.3">
      <c r="AU54" s="36">
        <f>SUM(AU2:AU53)</f>
        <v>20230635</v>
      </c>
    </row>
    <row r="56" spans="1:47" x14ac:dyDescent="0.3">
      <c r="A56" s="7" t="s">
        <v>238</v>
      </c>
      <c r="B56" s="19"/>
      <c r="C56" s="19"/>
      <c r="D56" s="20"/>
    </row>
    <row r="57" spans="1:47" x14ac:dyDescent="0.3">
      <c r="A57" s="8" t="s">
        <v>267</v>
      </c>
      <c r="B57" s="8" t="s">
        <v>239</v>
      </c>
      <c r="C57" s="8" t="s">
        <v>240</v>
      </c>
      <c r="D57" s="8" t="s">
        <v>276</v>
      </c>
    </row>
    <row r="58" spans="1:47" x14ac:dyDescent="0.3">
      <c r="A58" s="9">
        <v>202208</v>
      </c>
      <c r="B58" s="12">
        <v>400000000</v>
      </c>
      <c r="C58" s="12">
        <v>16951766</v>
      </c>
      <c r="D58" s="11">
        <f>B58-C58</f>
        <v>383048234</v>
      </c>
    </row>
    <row r="59" spans="1:47" x14ac:dyDescent="0.3">
      <c r="A59" s="9">
        <v>202209</v>
      </c>
      <c r="B59" s="12"/>
      <c r="C59" s="12">
        <v>16196889</v>
      </c>
      <c r="D59" s="11">
        <f>D58-C59</f>
        <v>366851345</v>
      </c>
    </row>
    <row r="60" spans="1:47" x14ac:dyDescent="0.3">
      <c r="A60" s="9">
        <v>202210</v>
      </c>
      <c r="B60" s="12"/>
      <c r="C60" s="12">
        <v>14305489</v>
      </c>
      <c r="D60" s="11">
        <f>D59-C60</f>
        <v>352545856</v>
      </c>
    </row>
    <row r="61" spans="1:47" s="3" customFormat="1" x14ac:dyDescent="0.3">
      <c r="A61" s="9">
        <v>202211</v>
      </c>
      <c r="B61" s="12"/>
      <c r="C61" s="12">
        <f>AU54</f>
        <v>20230635</v>
      </c>
      <c r="D61" s="11">
        <f>D60-C61</f>
        <v>332315221</v>
      </c>
    </row>
    <row r="62" spans="1:47" x14ac:dyDescent="0.3">
      <c r="A62" s="17" t="s">
        <v>277</v>
      </c>
      <c r="B62" s="18">
        <f>SUM(B58)</f>
        <v>400000000</v>
      </c>
      <c r="C62" s="18">
        <f>SUM(C58:C61)</f>
        <v>67684779</v>
      </c>
      <c r="D62" s="18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18"/>
  <sheetViews>
    <sheetView zoomScale="70" zoomScaleNormal="70" workbookViewId="0">
      <selection activeCell="C19" sqref="C19"/>
    </sheetView>
  </sheetViews>
  <sheetFormatPr defaultRowHeight="16.5" x14ac:dyDescent="0.3"/>
  <cols>
    <col min="2" max="2" width="20" bestFit="1" customWidth="1"/>
    <col min="3" max="3" width="12.375" bestFit="1" customWidth="1"/>
    <col min="4" max="4" width="11" bestFit="1" customWidth="1"/>
  </cols>
  <sheetData>
    <row r="1" spans="1:4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123</v>
      </c>
      <c r="H2" s="3" t="s">
        <v>124</v>
      </c>
      <c r="I2" s="3" t="s">
        <v>54</v>
      </c>
      <c r="J2" s="3" t="s">
        <v>55</v>
      </c>
      <c r="K2" s="3" t="s">
        <v>125</v>
      </c>
      <c r="L2" s="3" t="s">
        <v>126</v>
      </c>
      <c r="M2" s="3" t="s">
        <v>127</v>
      </c>
      <c r="N2" s="3" t="s">
        <v>59</v>
      </c>
      <c r="O2" s="3" t="s">
        <v>59</v>
      </c>
      <c r="P2" s="3" t="s">
        <v>59</v>
      </c>
      <c r="Q2" s="3" t="s">
        <v>128</v>
      </c>
      <c r="R2" s="3" t="s">
        <v>61</v>
      </c>
      <c r="S2" s="3" t="s">
        <v>62</v>
      </c>
      <c r="T2" s="1">
        <v>0</v>
      </c>
      <c r="U2" s="1">
        <v>500</v>
      </c>
      <c r="V2" s="1">
        <v>0</v>
      </c>
      <c r="W2" s="1">
        <v>3800</v>
      </c>
      <c r="X2" s="1">
        <v>500</v>
      </c>
      <c r="Y2" s="1">
        <v>3800</v>
      </c>
      <c r="Z2" s="1">
        <v>4300</v>
      </c>
      <c r="AA2" s="1">
        <v>0</v>
      </c>
      <c r="AB2" s="1">
        <v>500</v>
      </c>
      <c r="AC2" s="1">
        <v>0</v>
      </c>
      <c r="AD2" s="1">
        <v>3800</v>
      </c>
      <c r="AE2" s="1">
        <v>500</v>
      </c>
      <c r="AF2" s="1">
        <v>3800</v>
      </c>
      <c r="AG2" s="1">
        <v>4300</v>
      </c>
      <c r="AH2" s="1">
        <v>0</v>
      </c>
      <c r="AI2" s="1">
        <v>485</v>
      </c>
      <c r="AJ2" s="1">
        <v>0</v>
      </c>
      <c r="AK2" s="1">
        <v>3420</v>
      </c>
      <c r="AL2" s="1">
        <v>485</v>
      </c>
      <c r="AM2" s="1">
        <v>3420</v>
      </c>
      <c r="AN2" s="1">
        <v>3905</v>
      </c>
      <c r="AO2" s="6" t="s">
        <v>215</v>
      </c>
      <c r="AP2" s="6" t="s">
        <v>215</v>
      </c>
      <c r="AQ2" s="6" t="s">
        <v>215</v>
      </c>
      <c r="AR2" s="6" t="s">
        <v>215</v>
      </c>
      <c r="AS2" s="1">
        <v>2343</v>
      </c>
      <c r="AT2" s="1">
        <v>0</v>
      </c>
      <c r="AU2" s="1">
        <v>2343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123</v>
      </c>
      <c r="H3" s="3" t="s">
        <v>124</v>
      </c>
      <c r="I3" s="3" t="s">
        <v>54</v>
      </c>
      <c r="J3" s="3" t="s">
        <v>55</v>
      </c>
      <c r="K3" s="3" t="s">
        <v>125</v>
      </c>
      <c r="L3" s="3" t="s">
        <v>126</v>
      </c>
      <c r="M3" s="3" t="s">
        <v>127</v>
      </c>
      <c r="N3" s="3" t="s">
        <v>59</v>
      </c>
      <c r="O3" s="3" t="s">
        <v>59</v>
      </c>
      <c r="P3" s="3" t="s">
        <v>59</v>
      </c>
      <c r="Q3" s="3" t="s">
        <v>128</v>
      </c>
      <c r="R3" s="3" t="s">
        <v>61</v>
      </c>
      <c r="S3" s="3" t="s">
        <v>63</v>
      </c>
      <c r="T3" s="1">
        <v>0</v>
      </c>
      <c r="U3" s="1">
        <v>0</v>
      </c>
      <c r="V3" s="1">
        <v>0</v>
      </c>
      <c r="W3" s="1">
        <v>2400</v>
      </c>
      <c r="X3" s="1">
        <v>0</v>
      </c>
      <c r="Y3" s="1">
        <v>2400</v>
      </c>
      <c r="Z3" s="1">
        <v>2400</v>
      </c>
      <c r="AA3" s="1">
        <v>0</v>
      </c>
      <c r="AB3" s="1">
        <v>0</v>
      </c>
      <c r="AC3" s="1">
        <v>0</v>
      </c>
      <c r="AD3" s="1">
        <v>2400</v>
      </c>
      <c r="AE3" s="1">
        <v>0</v>
      </c>
      <c r="AF3" s="1">
        <v>2400</v>
      </c>
      <c r="AG3" s="1">
        <v>2400</v>
      </c>
      <c r="AH3" s="1">
        <v>0</v>
      </c>
      <c r="AI3" s="1">
        <v>0</v>
      </c>
      <c r="AJ3" s="1">
        <v>0</v>
      </c>
      <c r="AK3" s="1">
        <v>2160</v>
      </c>
      <c r="AL3" s="1">
        <v>0</v>
      </c>
      <c r="AM3" s="1">
        <v>2160</v>
      </c>
      <c r="AN3" s="1">
        <v>2160</v>
      </c>
      <c r="AO3" s="6" t="s">
        <v>215</v>
      </c>
      <c r="AP3" s="6" t="s">
        <v>215</v>
      </c>
      <c r="AQ3" s="6" t="s">
        <v>215</v>
      </c>
      <c r="AR3" s="6" t="s">
        <v>215</v>
      </c>
      <c r="AS3" s="1">
        <v>1296</v>
      </c>
      <c r="AT3" s="1">
        <v>0</v>
      </c>
      <c r="AU3" s="1">
        <v>1296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123</v>
      </c>
      <c r="H4" s="3" t="s">
        <v>124</v>
      </c>
      <c r="I4" s="3" t="s">
        <v>54</v>
      </c>
      <c r="J4" s="3" t="s">
        <v>55</v>
      </c>
      <c r="K4" s="3" t="s">
        <v>233</v>
      </c>
      <c r="L4" s="3" t="s">
        <v>234</v>
      </c>
      <c r="M4" s="3" t="s">
        <v>235</v>
      </c>
      <c r="N4" s="3" t="s">
        <v>59</v>
      </c>
      <c r="O4" s="3" t="s">
        <v>59</v>
      </c>
      <c r="P4" s="3" t="s">
        <v>59</v>
      </c>
      <c r="Q4" s="3" t="s">
        <v>128</v>
      </c>
      <c r="R4" s="3" t="s">
        <v>61</v>
      </c>
      <c r="S4" s="3" t="s">
        <v>62</v>
      </c>
      <c r="T4" s="1">
        <v>12800</v>
      </c>
      <c r="U4" s="1">
        <v>0</v>
      </c>
      <c r="V4" s="1">
        <v>0</v>
      </c>
      <c r="W4" s="1">
        <v>0</v>
      </c>
      <c r="X4" s="1">
        <v>12800</v>
      </c>
      <c r="Y4" s="1">
        <v>0</v>
      </c>
      <c r="Z4" s="1">
        <v>12800</v>
      </c>
      <c r="AA4" s="1">
        <v>15360</v>
      </c>
      <c r="AB4" s="1">
        <v>0</v>
      </c>
      <c r="AC4" s="1">
        <v>0</v>
      </c>
      <c r="AD4" s="1">
        <v>0</v>
      </c>
      <c r="AE4" s="1">
        <v>15360</v>
      </c>
      <c r="AF4" s="1">
        <v>0</v>
      </c>
      <c r="AG4" s="1">
        <v>15360</v>
      </c>
      <c r="AH4" s="1">
        <v>13824</v>
      </c>
      <c r="AI4" s="1">
        <v>0</v>
      </c>
      <c r="AJ4" s="1">
        <v>0</v>
      </c>
      <c r="AK4" s="1">
        <v>0</v>
      </c>
      <c r="AL4" s="1">
        <v>13824</v>
      </c>
      <c r="AM4" s="1">
        <v>0</v>
      </c>
      <c r="AN4" s="1">
        <v>13824</v>
      </c>
      <c r="AO4" s="6" t="s">
        <v>215</v>
      </c>
      <c r="AP4" s="6" t="s">
        <v>215</v>
      </c>
      <c r="AQ4" s="6" t="s">
        <v>215</v>
      </c>
      <c r="AR4" s="6" t="s">
        <v>215</v>
      </c>
      <c r="AS4" s="1">
        <v>8294</v>
      </c>
      <c r="AT4" s="1">
        <v>0</v>
      </c>
      <c r="AU4" s="1">
        <v>8294</v>
      </c>
    </row>
    <row r="5" spans="1:47" x14ac:dyDescent="0.3">
      <c r="AU5" s="36">
        <f>SUM(AU2:AU4)</f>
        <v>11933</v>
      </c>
    </row>
    <row r="7" spans="1:47" x14ac:dyDescent="0.3">
      <c r="A7" s="7" t="s">
        <v>262</v>
      </c>
      <c r="B7" s="3"/>
      <c r="C7" s="3"/>
      <c r="D7" s="3"/>
    </row>
    <row r="8" spans="1:47" x14ac:dyDescent="0.3">
      <c r="A8" s="8" t="s">
        <v>263</v>
      </c>
      <c r="B8" s="8" t="s">
        <v>264</v>
      </c>
      <c r="C8" s="8" t="s">
        <v>240</v>
      </c>
      <c r="D8" s="8" t="s">
        <v>265</v>
      </c>
    </row>
    <row r="9" spans="1:47" x14ac:dyDescent="0.3">
      <c r="A9" s="9" t="s">
        <v>241</v>
      </c>
      <c r="B9" s="10">
        <v>10000000</v>
      </c>
      <c r="C9" s="10">
        <v>2535560</v>
      </c>
      <c r="D9" s="11">
        <f>B9-C9-1</f>
        <v>7464439</v>
      </c>
    </row>
    <row r="10" spans="1:47" x14ac:dyDescent="0.3">
      <c r="A10" s="9">
        <v>202204</v>
      </c>
      <c r="B10" s="12"/>
      <c r="C10" s="13">
        <v>9130</v>
      </c>
      <c r="D10" s="11">
        <f t="shared" ref="D10:D15" si="0">D9-C10</f>
        <v>7455309</v>
      </c>
    </row>
    <row r="11" spans="1:47" x14ac:dyDescent="0.3">
      <c r="A11" s="9">
        <v>202205</v>
      </c>
      <c r="B11" s="14"/>
      <c r="C11" s="15">
        <v>117904</v>
      </c>
      <c r="D11" s="11">
        <f t="shared" si="0"/>
        <v>7337405</v>
      </c>
    </row>
    <row r="12" spans="1:47" x14ac:dyDescent="0.3">
      <c r="A12" s="9">
        <v>202206</v>
      </c>
      <c r="B12" s="14"/>
      <c r="C12" s="13">
        <v>24521</v>
      </c>
      <c r="D12" s="11">
        <f t="shared" si="0"/>
        <v>7312884</v>
      </c>
    </row>
    <row r="13" spans="1:47" x14ac:dyDescent="0.3">
      <c r="A13" s="16">
        <v>202207</v>
      </c>
      <c r="B13" s="14"/>
      <c r="C13" s="15">
        <v>6200</v>
      </c>
      <c r="D13" s="11">
        <f t="shared" si="0"/>
        <v>7306684</v>
      </c>
    </row>
    <row r="14" spans="1:47" x14ac:dyDescent="0.3">
      <c r="A14" s="16">
        <v>202208</v>
      </c>
      <c r="B14" s="14"/>
      <c r="C14" s="12">
        <v>27915</v>
      </c>
      <c r="D14" s="11">
        <f t="shared" si="0"/>
        <v>7278769</v>
      </c>
    </row>
    <row r="15" spans="1:47" x14ac:dyDescent="0.3">
      <c r="A15" s="16">
        <v>202209</v>
      </c>
      <c r="B15" s="14"/>
      <c r="C15" s="12">
        <v>3399</v>
      </c>
      <c r="D15" s="11">
        <f t="shared" si="0"/>
        <v>7275370</v>
      </c>
    </row>
    <row r="16" spans="1:47" x14ac:dyDescent="0.3">
      <c r="A16" s="16">
        <v>202210</v>
      </c>
      <c r="B16" s="14"/>
      <c r="C16" s="12">
        <v>8749</v>
      </c>
      <c r="D16" s="11">
        <f>D15-C16</f>
        <v>7266621</v>
      </c>
    </row>
    <row r="17" spans="1:4" s="3" customFormat="1" x14ac:dyDescent="0.3">
      <c r="A17" s="16">
        <v>202211</v>
      </c>
      <c r="B17" s="14"/>
      <c r="C17" s="12">
        <f>AU5</f>
        <v>11933</v>
      </c>
      <c r="D17" s="11">
        <f>D16-C17</f>
        <v>7254688</v>
      </c>
    </row>
    <row r="18" spans="1:4" x14ac:dyDescent="0.3">
      <c r="A18" s="17" t="s">
        <v>266</v>
      </c>
      <c r="B18" s="18">
        <f>SUM(B9:B14)</f>
        <v>10000000</v>
      </c>
      <c r="C18" s="18">
        <f>SUM(C9:C17)</f>
        <v>2745311</v>
      </c>
      <c r="D18" s="18"/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19"/>
  <sheetViews>
    <sheetView zoomScale="70" zoomScaleNormal="70" workbookViewId="0">
      <selection activeCell="C20" sqref="C20"/>
    </sheetView>
  </sheetViews>
  <sheetFormatPr defaultRowHeight="16.5" x14ac:dyDescent="0.3"/>
  <cols>
    <col min="1" max="1" width="9" style="3"/>
    <col min="2" max="2" width="20" style="3" bestFit="1" customWidth="1"/>
    <col min="3" max="3" width="12.375" style="3" bestFit="1" customWidth="1"/>
    <col min="4" max="4" width="11.875" style="3" bestFit="1" customWidth="1"/>
    <col min="5" max="16384" width="9" style="3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129</v>
      </c>
      <c r="H2" s="3" t="s">
        <v>149</v>
      </c>
      <c r="I2" s="3" t="s">
        <v>54</v>
      </c>
      <c r="J2" s="3" t="s">
        <v>55</v>
      </c>
      <c r="K2" s="3" t="s">
        <v>130</v>
      </c>
      <c r="L2" s="3" t="s">
        <v>131</v>
      </c>
      <c r="M2" s="3" t="s">
        <v>132</v>
      </c>
      <c r="N2" s="3" t="s">
        <v>59</v>
      </c>
      <c r="O2" s="3" t="s">
        <v>59</v>
      </c>
      <c r="P2" s="3" t="s">
        <v>59</v>
      </c>
      <c r="Q2" s="3" t="s">
        <v>133</v>
      </c>
      <c r="R2" s="3" t="s">
        <v>61</v>
      </c>
      <c r="S2" s="3" t="s">
        <v>62</v>
      </c>
      <c r="T2" s="1">
        <v>0</v>
      </c>
      <c r="U2" s="1">
        <v>0</v>
      </c>
      <c r="V2" s="1">
        <v>0</v>
      </c>
      <c r="W2" s="1">
        <v>2400</v>
      </c>
      <c r="X2" s="1">
        <v>0</v>
      </c>
      <c r="Y2" s="1">
        <v>2400</v>
      </c>
      <c r="Z2" s="1">
        <v>2400</v>
      </c>
      <c r="AA2" s="1">
        <v>0</v>
      </c>
      <c r="AB2" s="1">
        <v>0</v>
      </c>
      <c r="AC2" s="1">
        <v>0</v>
      </c>
      <c r="AD2" s="1">
        <v>2400</v>
      </c>
      <c r="AE2" s="1">
        <v>0</v>
      </c>
      <c r="AF2" s="1">
        <v>2400</v>
      </c>
      <c r="AG2" s="1">
        <v>2400</v>
      </c>
      <c r="AH2" s="1">
        <v>0</v>
      </c>
      <c r="AI2" s="1">
        <v>0</v>
      </c>
      <c r="AJ2" s="1">
        <v>0</v>
      </c>
      <c r="AK2" s="1">
        <v>2160</v>
      </c>
      <c r="AL2" s="1">
        <v>0</v>
      </c>
      <c r="AM2" s="1">
        <v>2160</v>
      </c>
      <c r="AN2" s="1">
        <v>2160</v>
      </c>
      <c r="AO2" s="6" t="s">
        <v>215</v>
      </c>
      <c r="AP2" s="6" t="s">
        <v>215</v>
      </c>
      <c r="AQ2" s="6" t="s">
        <v>215</v>
      </c>
      <c r="AR2" s="6" t="s">
        <v>215</v>
      </c>
      <c r="AS2" s="1">
        <v>1296</v>
      </c>
      <c r="AT2" s="1">
        <v>0</v>
      </c>
      <c r="AU2" s="1">
        <v>1296</v>
      </c>
    </row>
    <row r="3" spans="1:47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129</v>
      </c>
      <c r="H3" s="3" t="s">
        <v>149</v>
      </c>
      <c r="I3" s="3" t="s">
        <v>54</v>
      </c>
      <c r="J3" s="3" t="s">
        <v>55</v>
      </c>
      <c r="K3" s="3" t="s">
        <v>130</v>
      </c>
      <c r="L3" s="3" t="s">
        <v>131</v>
      </c>
      <c r="M3" s="3" t="s">
        <v>132</v>
      </c>
      <c r="N3" s="3" t="s">
        <v>59</v>
      </c>
      <c r="O3" s="3" t="s">
        <v>59</v>
      </c>
      <c r="P3" s="3" t="s">
        <v>59</v>
      </c>
      <c r="Q3" s="3" t="s">
        <v>133</v>
      </c>
      <c r="R3" s="3" t="s">
        <v>61</v>
      </c>
      <c r="S3" s="3" t="s">
        <v>63</v>
      </c>
      <c r="T3" s="1">
        <v>0</v>
      </c>
      <c r="U3" s="1">
        <v>2000</v>
      </c>
      <c r="V3" s="1">
        <v>0</v>
      </c>
      <c r="W3" s="1">
        <v>3000</v>
      </c>
      <c r="X3" s="1">
        <v>2000</v>
      </c>
      <c r="Y3" s="1">
        <v>3000</v>
      </c>
      <c r="Z3" s="1">
        <v>5000</v>
      </c>
      <c r="AA3" s="1">
        <v>0</v>
      </c>
      <c r="AB3" s="1">
        <v>2000</v>
      </c>
      <c r="AC3" s="1">
        <v>0</v>
      </c>
      <c r="AD3" s="1">
        <v>3000</v>
      </c>
      <c r="AE3" s="1">
        <v>2000</v>
      </c>
      <c r="AF3" s="1">
        <v>3000</v>
      </c>
      <c r="AG3" s="1">
        <v>5000</v>
      </c>
      <c r="AH3" s="1">
        <v>0</v>
      </c>
      <c r="AI3" s="1">
        <v>1940</v>
      </c>
      <c r="AJ3" s="1">
        <v>0</v>
      </c>
      <c r="AK3" s="1">
        <v>2700</v>
      </c>
      <c r="AL3" s="1">
        <v>1940</v>
      </c>
      <c r="AM3" s="1">
        <v>2700</v>
      </c>
      <c r="AN3" s="1">
        <v>4640</v>
      </c>
      <c r="AO3" s="6" t="s">
        <v>215</v>
      </c>
      <c r="AP3" s="6" t="s">
        <v>215</v>
      </c>
      <c r="AQ3" s="6" t="s">
        <v>215</v>
      </c>
      <c r="AR3" s="6" t="s">
        <v>215</v>
      </c>
      <c r="AS3" s="1">
        <v>2784</v>
      </c>
      <c r="AT3" s="1">
        <v>0</v>
      </c>
      <c r="AU3" s="1">
        <v>2784</v>
      </c>
    </row>
    <row r="4" spans="1:47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129</v>
      </c>
      <c r="H4" s="3" t="s">
        <v>149</v>
      </c>
      <c r="I4" s="3" t="s">
        <v>54</v>
      </c>
      <c r="J4" s="3" t="s">
        <v>55</v>
      </c>
      <c r="K4" s="3" t="s">
        <v>130</v>
      </c>
      <c r="L4" s="3" t="s">
        <v>131</v>
      </c>
      <c r="M4" s="3" t="s">
        <v>132</v>
      </c>
      <c r="N4" s="3" t="s">
        <v>59</v>
      </c>
      <c r="O4" s="3" t="s">
        <v>59</v>
      </c>
      <c r="P4" s="3" t="s">
        <v>59</v>
      </c>
      <c r="Q4" s="3" t="s">
        <v>133</v>
      </c>
      <c r="R4" s="3" t="s">
        <v>61</v>
      </c>
      <c r="S4" s="3" t="s">
        <v>63</v>
      </c>
      <c r="T4" s="1">
        <v>0</v>
      </c>
      <c r="U4" s="1">
        <v>2200</v>
      </c>
      <c r="V4" s="1">
        <v>0</v>
      </c>
      <c r="W4" s="1">
        <v>0</v>
      </c>
      <c r="X4" s="1">
        <v>2200</v>
      </c>
      <c r="Y4" s="1">
        <v>0</v>
      </c>
      <c r="Z4" s="1">
        <v>2200</v>
      </c>
      <c r="AA4" s="1">
        <v>0</v>
      </c>
      <c r="AB4" s="1">
        <v>2200</v>
      </c>
      <c r="AC4" s="1">
        <v>0</v>
      </c>
      <c r="AD4" s="1">
        <v>0</v>
      </c>
      <c r="AE4" s="1">
        <v>2200</v>
      </c>
      <c r="AF4" s="1">
        <v>0</v>
      </c>
      <c r="AG4" s="1">
        <v>2200</v>
      </c>
      <c r="AH4" s="1">
        <v>0</v>
      </c>
      <c r="AI4" s="1">
        <v>2134</v>
      </c>
      <c r="AJ4" s="1">
        <v>0</v>
      </c>
      <c r="AK4" s="1">
        <v>0</v>
      </c>
      <c r="AL4" s="1">
        <v>2134</v>
      </c>
      <c r="AM4" s="1">
        <v>0</v>
      </c>
      <c r="AN4" s="1">
        <v>2134</v>
      </c>
      <c r="AO4" s="6" t="s">
        <v>215</v>
      </c>
      <c r="AP4" s="6" t="s">
        <v>215</v>
      </c>
      <c r="AQ4" s="6" t="s">
        <v>215</v>
      </c>
      <c r="AR4" s="6" t="s">
        <v>215</v>
      </c>
      <c r="AS4" s="1">
        <v>1280</v>
      </c>
      <c r="AT4" s="1">
        <v>0</v>
      </c>
      <c r="AU4" s="1">
        <v>1280</v>
      </c>
    </row>
    <row r="5" spans="1:47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129</v>
      </c>
      <c r="H5" s="3" t="s">
        <v>149</v>
      </c>
      <c r="I5" s="3" t="s">
        <v>54</v>
      </c>
      <c r="J5" s="3" t="s">
        <v>55</v>
      </c>
      <c r="K5" s="3" t="s">
        <v>236</v>
      </c>
      <c r="L5" s="3" t="s">
        <v>237</v>
      </c>
      <c r="M5" s="3" t="s">
        <v>235</v>
      </c>
      <c r="N5" s="3" t="s">
        <v>59</v>
      </c>
      <c r="O5" s="3" t="s">
        <v>59</v>
      </c>
      <c r="P5" s="3" t="s">
        <v>59</v>
      </c>
      <c r="Q5" s="3" t="s">
        <v>133</v>
      </c>
      <c r="R5" s="3" t="s">
        <v>61</v>
      </c>
      <c r="S5" s="3" t="s">
        <v>62</v>
      </c>
      <c r="T5" s="1">
        <v>0</v>
      </c>
      <c r="U5" s="1">
        <v>0</v>
      </c>
      <c r="V5" s="1">
        <v>0</v>
      </c>
      <c r="W5" s="1">
        <v>3200</v>
      </c>
      <c r="X5" s="1">
        <v>0</v>
      </c>
      <c r="Y5" s="1">
        <v>3200</v>
      </c>
      <c r="Z5" s="1">
        <v>3200</v>
      </c>
      <c r="AA5" s="1">
        <v>0</v>
      </c>
      <c r="AB5" s="1">
        <v>0</v>
      </c>
      <c r="AC5" s="1">
        <v>0</v>
      </c>
      <c r="AD5" s="1">
        <v>3200</v>
      </c>
      <c r="AE5" s="1">
        <v>0</v>
      </c>
      <c r="AF5" s="1">
        <v>3200</v>
      </c>
      <c r="AG5" s="1">
        <v>3200</v>
      </c>
      <c r="AH5" s="1">
        <v>0</v>
      </c>
      <c r="AI5" s="1">
        <v>0</v>
      </c>
      <c r="AJ5" s="1">
        <v>0</v>
      </c>
      <c r="AK5" s="1">
        <v>2880</v>
      </c>
      <c r="AL5" s="1">
        <v>0</v>
      </c>
      <c r="AM5" s="1">
        <v>2880</v>
      </c>
      <c r="AN5" s="1">
        <v>2880</v>
      </c>
      <c r="AO5" s="6" t="s">
        <v>215</v>
      </c>
      <c r="AP5" s="6" t="s">
        <v>215</v>
      </c>
      <c r="AQ5" s="6" t="s">
        <v>215</v>
      </c>
      <c r="AR5" s="6" t="s">
        <v>215</v>
      </c>
      <c r="AS5" s="1">
        <v>1728</v>
      </c>
      <c r="AT5" s="1">
        <v>0</v>
      </c>
      <c r="AU5" s="1">
        <v>1728</v>
      </c>
    </row>
    <row r="6" spans="1:47" x14ac:dyDescent="0.3">
      <c r="AU6" s="36">
        <f>SUM(AU2:AU5)</f>
        <v>7088</v>
      </c>
    </row>
    <row r="8" spans="1:47" x14ac:dyDescent="0.3">
      <c r="A8" s="7" t="s">
        <v>238</v>
      </c>
    </row>
    <row r="9" spans="1:47" x14ac:dyDescent="0.3">
      <c r="A9" s="8" t="s">
        <v>267</v>
      </c>
      <c r="B9" s="8" t="s">
        <v>264</v>
      </c>
      <c r="C9" s="8" t="s">
        <v>268</v>
      </c>
      <c r="D9" s="8" t="s">
        <v>265</v>
      </c>
    </row>
    <row r="10" spans="1:47" x14ac:dyDescent="0.3">
      <c r="A10" s="9" t="s">
        <v>241</v>
      </c>
      <c r="B10" s="10">
        <v>20000000</v>
      </c>
      <c r="C10" s="35">
        <v>1709126</v>
      </c>
      <c r="D10" s="11">
        <f>B10-C10</f>
        <v>18290874</v>
      </c>
    </row>
    <row r="11" spans="1:47" x14ac:dyDescent="0.3">
      <c r="A11" s="9">
        <v>202204</v>
      </c>
      <c r="B11" s="12"/>
      <c r="C11" s="13">
        <v>4950</v>
      </c>
      <c r="D11" s="11">
        <f t="shared" ref="D11:D18" si="0">D10-C11</f>
        <v>18285924</v>
      </c>
    </row>
    <row r="12" spans="1:47" x14ac:dyDescent="0.3">
      <c r="A12" s="9">
        <v>202205</v>
      </c>
      <c r="B12" s="14"/>
      <c r="C12" s="15">
        <v>97955</v>
      </c>
      <c r="D12" s="11">
        <f t="shared" si="0"/>
        <v>18187969</v>
      </c>
    </row>
    <row r="13" spans="1:47" x14ac:dyDescent="0.3">
      <c r="A13" s="16">
        <v>202206</v>
      </c>
      <c r="B13" s="14"/>
      <c r="C13" s="15">
        <v>24994</v>
      </c>
      <c r="D13" s="11">
        <f t="shared" si="0"/>
        <v>18162975</v>
      </c>
    </row>
    <row r="14" spans="1:47" x14ac:dyDescent="0.3">
      <c r="A14" s="16">
        <v>202207</v>
      </c>
      <c r="B14" s="14"/>
      <c r="C14" s="15">
        <v>7756</v>
      </c>
      <c r="D14" s="11">
        <f t="shared" si="0"/>
        <v>18155219</v>
      </c>
    </row>
    <row r="15" spans="1:47" x14ac:dyDescent="0.3">
      <c r="A15" s="16">
        <v>202208</v>
      </c>
      <c r="B15" s="14"/>
      <c r="C15" s="15">
        <v>1534</v>
      </c>
      <c r="D15" s="11">
        <f t="shared" si="0"/>
        <v>18153685</v>
      </c>
    </row>
    <row r="16" spans="1:47" x14ac:dyDescent="0.3">
      <c r="A16" s="16">
        <v>202209</v>
      </c>
      <c r="B16" s="14"/>
      <c r="C16" s="15">
        <v>10238</v>
      </c>
      <c r="D16" s="11">
        <f t="shared" si="0"/>
        <v>18143447</v>
      </c>
    </row>
    <row r="17" spans="1:4" x14ac:dyDescent="0.3">
      <c r="A17" s="16">
        <v>202210</v>
      </c>
      <c r="B17" s="14"/>
      <c r="C17" s="15">
        <v>12143</v>
      </c>
      <c r="D17" s="11">
        <f t="shared" si="0"/>
        <v>18131304</v>
      </c>
    </row>
    <row r="18" spans="1:4" x14ac:dyDescent="0.3">
      <c r="A18" s="16">
        <v>202211</v>
      </c>
      <c r="B18" s="14"/>
      <c r="C18" s="15">
        <f>AU6</f>
        <v>7088</v>
      </c>
      <c r="D18" s="11">
        <f t="shared" si="0"/>
        <v>18124216</v>
      </c>
    </row>
    <row r="19" spans="1:4" x14ac:dyDescent="0.3">
      <c r="A19" s="17" t="s">
        <v>269</v>
      </c>
      <c r="B19" s="18">
        <f>SUM(B10:B15)</f>
        <v>20000000</v>
      </c>
      <c r="C19" s="18">
        <f>SUM(C10:C18)</f>
        <v>1875784</v>
      </c>
      <c r="D19" s="18"/>
    </row>
  </sheetData>
  <phoneticPr fontId="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"/>
  <sheetViews>
    <sheetView zoomScale="70" zoomScaleNormal="70" workbookViewId="0">
      <selection activeCell="A22" sqref="A22"/>
    </sheetView>
  </sheetViews>
  <sheetFormatPr defaultRowHeight="16.5" x14ac:dyDescent="0.3"/>
  <cols>
    <col min="1" max="1" width="9" style="3"/>
    <col min="2" max="2" width="20" style="3" bestFit="1" customWidth="1"/>
    <col min="3" max="3" width="13.625" style="3" bestFit="1" customWidth="1"/>
    <col min="4" max="4" width="11.875" style="3" bestFit="1" customWidth="1"/>
    <col min="5" max="16384" width="9" style="3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134</v>
      </c>
      <c r="H2" s="3" t="s">
        <v>135</v>
      </c>
      <c r="I2" s="3" t="s">
        <v>54</v>
      </c>
      <c r="J2" s="3" t="s">
        <v>55</v>
      </c>
      <c r="K2" s="3" t="s">
        <v>136</v>
      </c>
      <c r="L2" s="3" t="s">
        <v>137</v>
      </c>
      <c r="M2" s="3" t="s">
        <v>138</v>
      </c>
      <c r="N2" s="3" t="s">
        <v>59</v>
      </c>
      <c r="O2" s="3" t="s">
        <v>59</v>
      </c>
      <c r="P2" s="3" t="s">
        <v>59</v>
      </c>
      <c r="Q2" s="3" t="s">
        <v>139</v>
      </c>
      <c r="R2" s="3" t="s">
        <v>61</v>
      </c>
      <c r="S2" s="3" t="s">
        <v>62</v>
      </c>
      <c r="T2" s="1">
        <v>0</v>
      </c>
      <c r="U2" s="1">
        <v>700</v>
      </c>
      <c r="V2" s="1">
        <v>0</v>
      </c>
      <c r="W2" s="1">
        <v>0</v>
      </c>
      <c r="X2" s="1">
        <v>700</v>
      </c>
      <c r="Y2" s="1">
        <v>0</v>
      </c>
      <c r="Z2" s="1">
        <v>700</v>
      </c>
      <c r="AA2" s="1">
        <v>0</v>
      </c>
      <c r="AB2" s="1">
        <v>700</v>
      </c>
      <c r="AC2" s="1">
        <v>0</v>
      </c>
      <c r="AD2" s="1">
        <v>0</v>
      </c>
      <c r="AE2" s="1">
        <v>700</v>
      </c>
      <c r="AF2" s="1">
        <v>0</v>
      </c>
      <c r="AG2" s="1">
        <v>700</v>
      </c>
      <c r="AH2" s="1">
        <v>0</v>
      </c>
      <c r="AI2" s="1">
        <v>679</v>
      </c>
      <c r="AJ2" s="1">
        <v>0</v>
      </c>
      <c r="AK2" s="1">
        <v>0</v>
      </c>
      <c r="AL2" s="1">
        <v>679</v>
      </c>
      <c r="AM2" s="1">
        <v>0</v>
      </c>
      <c r="AN2" s="1">
        <v>679</v>
      </c>
      <c r="AO2" s="6" t="s">
        <v>215</v>
      </c>
      <c r="AP2" s="6" t="s">
        <v>215</v>
      </c>
      <c r="AQ2" s="6" t="s">
        <v>215</v>
      </c>
      <c r="AR2" s="6" t="s">
        <v>215</v>
      </c>
      <c r="AS2" s="1">
        <v>407</v>
      </c>
      <c r="AT2" s="1">
        <v>0</v>
      </c>
      <c r="AU2" s="1">
        <v>407</v>
      </c>
    </row>
    <row r="3" spans="1:47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134</v>
      </c>
      <c r="H3" s="3" t="s">
        <v>135</v>
      </c>
      <c r="I3" s="3" t="s">
        <v>54</v>
      </c>
      <c r="J3" s="3" t="s">
        <v>55</v>
      </c>
      <c r="K3" s="3" t="s">
        <v>136</v>
      </c>
      <c r="L3" s="3" t="s">
        <v>137</v>
      </c>
      <c r="M3" s="3" t="s">
        <v>138</v>
      </c>
      <c r="N3" s="3" t="s">
        <v>59</v>
      </c>
      <c r="O3" s="3" t="s">
        <v>59</v>
      </c>
      <c r="P3" s="3" t="s">
        <v>59</v>
      </c>
      <c r="Q3" s="3" t="s">
        <v>139</v>
      </c>
      <c r="R3" s="3" t="s">
        <v>61</v>
      </c>
      <c r="S3" s="3" t="s">
        <v>63</v>
      </c>
      <c r="T3" s="1">
        <v>900</v>
      </c>
      <c r="U3" s="1">
        <v>4500</v>
      </c>
      <c r="V3" s="1">
        <v>0</v>
      </c>
      <c r="W3" s="1">
        <v>900</v>
      </c>
      <c r="X3" s="1">
        <v>5400</v>
      </c>
      <c r="Y3" s="1">
        <v>900</v>
      </c>
      <c r="Z3" s="1">
        <v>6300</v>
      </c>
      <c r="AA3" s="1">
        <v>1080</v>
      </c>
      <c r="AB3" s="1">
        <v>4500</v>
      </c>
      <c r="AC3" s="1">
        <v>0</v>
      </c>
      <c r="AD3" s="1">
        <v>900</v>
      </c>
      <c r="AE3" s="1">
        <v>5580</v>
      </c>
      <c r="AF3" s="1">
        <v>900</v>
      </c>
      <c r="AG3" s="1">
        <v>6480</v>
      </c>
      <c r="AH3" s="1">
        <v>972</v>
      </c>
      <c r="AI3" s="1">
        <v>4365</v>
      </c>
      <c r="AJ3" s="1">
        <v>0</v>
      </c>
      <c r="AK3" s="1">
        <v>810</v>
      </c>
      <c r="AL3" s="1">
        <v>5337</v>
      </c>
      <c r="AM3" s="1">
        <v>810</v>
      </c>
      <c r="AN3" s="1">
        <v>6147</v>
      </c>
      <c r="AO3" s="6" t="s">
        <v>215</v>
      </c>
      <c r="AP3" s="6" t="s">
        <v>215</v>
      </c>
      <c r="AQ3" s="6" t="s">
        <v>215</v>
      </c>
      <c r="AR3" s="6" t="s">
        <v>215</v>
      </c>
      <c r="AS3" s="1">
        <v>3688</v>
      </c>
      <c r="AT3" s="1">
        <v>0</v>
      </c>
      <c r="AU3" s="1">
        <v>3688</v>
      </c>
    </row>
    <row r="4" spans="1:47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134</v>
      </c>
      <c r="H4" s="3" t="s">
        <v>135</v>
      </c>
      <c r="I4" s="3" t="s">
        <v>54</v>
      </c>
      <c r="J4" s="3" t="s">
        <v>55</v>
      </c>
      <c r="K4" s="3" t="s">
        <v>136</v>
      </c>
      <c r="L4" s="3" t="s">
        <v>137</v>
      </c>
      <c r="M4" s="3" t="s">
        <v>138</v>
      </c>
      <c r="N4" s="3" t="s">
        <v>59</v>
      </c>
      <c r="O4" s="3" t="s">
        <v>59</v>
      </c>
      <c r="P4" s="3" t="s">
        <v>59</v>
      </c>
      <c r="Q4" s="3" t="s">
        <v>139</v>
      </c>
      <c r="R4" s="3" t="s">
        <v>61</v>
      </c>
      <c r="S4" s="3" t="s">
        <v>63</v>
      </c>
      <c r="T4" s="1">
        <v>0</v>
      </c>
      <c r="U4" s="1">
        <v>2700</v>
      </c>
      <c r="V4" s="1">
        <v>0</v>
      </c>
      <c r="W4" s="1">
        <v>0</v>
      </c>
      <c r="X4" s="1">
        <v>2700</v>
      </c>
      <c r="Y4" s="1">
        <v>0</v>
      </c>
      <c r="Z4" s="1">
        <v>2700</v>
      </c>
      <c r="AA4" s="1">
        <v>0</v>
      </c>
      <c r="AB4" s="1">
        <v>2700</v>
      </c>
      <c r="AC4" s="1">
        <v>0</v>
      </c>
      <c r="AD4" s="1">
        <v>0</v>
      </c>
      <c r="AE4" s="1">
        <v>2700</v>
      </c>
      <c r="AF4" s="1">
        <v>0</v>
      </c>
      <c r="AG4" s="1">
        <v>2700</v>
      </c>
      <c r="AH4" s="1">
        <v>0</v>
      </c>
      <c r="AI4" s="1">
        <v>2619</v>
      </c>
      <c r="AJ4" s="1">
        <v>0</v>
      </c>
      <c r="AK4" s="1">
        <v>0</v>
      </c>
      <c r="AL4" s="1">
        <v>2619</v>
      </c>
      <c r="AM4" s="1">
        <v>0</v>
      </c>
      <c r="AN4" s="1">
        <v>2619</v>
      </c>
      <c r="AO4" s="6" t="s">
        <v>215</v>
      </c>
      <c r="AP4" s="6" t="s">
        <v>215</v>
      </c>
      <c r="AQ4" s="6" t="s">
        <v>215</v>
      </c>
      <c r="AR4" s="6" t="s">
        <v>215</v>
      </c>
      <c r="AS4" s="1">
        <v>1571</v>
      </c>
      <c r="AT4" s="1">
        <v>0</v>
      </c>
      <c r="AU4" s="1">
        <v>1571</v>
      </c>
    </row>
    <row r="5" spans="1:47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134</v>
      </c>
      <c r="H5" s="3" t="s">
        <v>135</v>
      </c>
      <c r="I5" s="3" t="s">
        <v>54</v>
      </c>
      <c r="J5" s="3" t="s">
        <v>55</v>
      </c>
      <c r="K5" s="3" t="s">
        <v>140</v>
      </c>
      <c r="L5" s="3" t="s">
        <v>141</v>
      </c>
      <c r="M5" s="3" t="s">
        <v>142</v>
      </c>
      <c r="N5" s="3" t="s">
        <v>59</v>
      </c>
      <c r="O5" s="3" t="s">
        <v>59</v>
      </c>
      <c r="P5" s="3" t="s">
        <v>59</v>
      </c>
      <c r="Q5" s="3" t="s">
        <v>139</v>
      </c>
      <c r="R5" s="3" t="s">
        <v>61</v>
      </c>
      <c r="S5" s="3" t="s">
        <v>62</v>
      </c>
      <c r="T5" s="1">
        <v>29400</v>
      </c>
      <c r="U5" s="1">
        <v>6500</v>
      </c>
      <c r="V5" s="1">
        <v>1200</v>
      </c>
      <c r="W5" s="1">
        <v>51100</v>
      </c>
      <c r="X5" s="1">
        <v>37100</v>
      </c>
      <c r="Y5" s="1">
        <v>51100</v>
      </c>
      <c r="Z5" s="1">
        <v>88200</v>
      </c>
      <c r="AA5" s="1">
        <v>35280</v>
      </c>
      <c r="AB5" s="1">
        <v>6500</v>
      </c>
      <c r="AC5" s="1">
        <v>1440</v>
      </c>
      <c r="AD5" s="1">
        <v>51100</v>
      </c>
      <c r="AE5" s="1">
        <v>43220</v>
      </c>
      <c r="AF5" s="1">
        <v>51100</v>
      </c>
      <c r="AG5" s="1">
        <v>94320</v>
      </c>
      <c r="AH5" s="1">
        <v>31752</v>
      </c>
      <c r="AI5" s="1">
        <v>6305</v>
      </c>
      <c r="AJ5" s="1">
        <v>1008</v>
      </c>
      <c r="AK5" s="1">
        <v>45990</v>
      </c>
      <c r="AL5" s="1">
        <v>39065</v>
      </c>
      <c r="AM5" s="1">
        <v>45990</v>
      </c>
      <c r="AN5" s="1">
        <v>85055</v>
      </c>
      <c r="AO5" s="6" t="s">
        <v>215</v>
      </c>
      <c r="AP5" s="6" t="s">
        <v>215</v>
      </c>
      <c r="AQ5" s="6" t="s">
        <v>215</v>
      </c>
      <c r="AR5" s="6" t="s">
        <v>215</v>
      </c>
      <c r="AS5" s="1">
        <v>51033</v>
      </c>
      <c r="AT5" s="1">
        <v>0</v>
      </c>
      <c r="AU5" s="1">
        <v>51033</v>
      </c>
    </row>
    <row r="6" spans="1:47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134</v>
      </c>
      <c r="H6" s="3" t="s">
        <v>135</v>
      </c>
      <c r="I6" s="3" t="s">
        <v>54</v>
      </c>
      <c r="J6" s="3" t="s">
        <v>55</v>
      </c>
      <c r="K6" s="3" t="s">
        <v>140</v>
      </c>
      <c r="L6" s="3" t="s">
        <v>141</v>
      </c>
      <c r="M6" s="3" t="s">
        <v>142</v>
      </c>
      <c r="N6" s="3" t="s">
        <v>59</v>
      </c>
      <c r="O6" s="3" t="s">
        <v>59</v>
      </c>
      <c r="P6" s="3" t="s">
        <v>59</v>
      </c>
      <c r="Q6" s="3" t="s">
        <v>139</v>
      </c>
      <c r="R6" s="3" t="s">
        <v>61</v>
      </c>
      <c r="S6" s="3" t="s">
        <v>63</v>
      </c>
      <c r="T6" s="1">
        <v>13200</v>
      </c>
      <c r="U6" s="1">
        <v>-2500</v>
      </c>
      <c r="V6" s="1">
        <v>5500</v>
      </c>
      <c r="W6" s="1">
        <v>2200</v>
      </c>
      <c r="X6" s="1">
        <v>16200</v>
      </c>
      <c r="Y6" s="1">
        <v>2200</v>
      </c>
      <c r="Z6" s="1">
        <v>18400</v>
      </c>
      <c r="AA6" s="1">
        <v>15840</v>
      </c>
      <c r="AB6" s="1">
        <v>-2500</v>
      </c>
      <c r="AC6" s="1">
        <v>6600</v>
      </c>
      <c r="AD6" s="1">
        <v>2200</v>
      </c>
      <c r="AE6" s="1">
        <v>19940</v>
      </c>
      <c r="AF6" s="1">
        <v>2200</v>
      </c>
      <c r="AG6" s="1">
        <v>22140</v>
      </c>
      <c r="AH6" s="1">
        <v>14256</v>
      </c>
      <c r="AI6" s="1">
        <v>-2425</v>
      </c>
      <c r="AJ6" s="1">
        <v>4620</v>
      </c>
      <c r="AK6" s="1">
        <v>1980</v>
      </c>
      <c r="AL6" s="1">
        <v>16451</v>
      </c>
      <c r="AM6" s="1">
        <v>1980</v>
      </c>
      <c r="AN6" s="1">
        <v>18431</v>
      </c>
      <c r="AO6" s="6" t="s">
        <v>215</v>
      </c>
      <c r="AP6" s="6" t="s">
        <v>215</v>
      </c>
      <c r="AQ6" s="6" t="s">
        <v>215</v>
      </c>
      <c r="AR6" s="6" t="s">
        <v>215</v>
      </c>
      <c r="AS6" s="1">
        <v>11059</v>
      </c>
      <c r="AT6" s="1">
        <v>0</v>
      </c>
      <c r="AU6" s="1">
        <v>11059</v>
      </c>
    </row>
    <row r="7" spans="1:47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134</v>
      </c>
      <c r="H7" s="3" t="s">
        <v>135</v>
      </c>
      <c r="I7" s="3" t="s">
        <v>54</v>
      </c>
      <c r="J7" s="3" t="s">
        <v>55</v>
      </c>
      <c r="K7" s="3" t="s">
        <v>140</v>
      </c>
      <c r="L7" s="3" t="s">
        <v>141</v>
      </c>
      <c r="M7" s="3" t="s">
        <v>142</v>
      </c>
      <c r="N7" s="3" t="s">
        <v>59</v>
      </c>
      <c r="O7" s="3" t="s">
        <v>59</v>
      </c>
      <c r="P7" s="3" t="s">
        <v>59</v>
      </c>
      <c r="Q7" s="3" t="s">
        <v>139</v>
      </c>
      <c r="R7" s="3" t="s">
        <v>61</v>
      </c>
      <c r="S7" s="3" t="s">
        <v>63</v>
      </c>
      <c r="T7" s="1">
        <v>7700</v>
      </c>
      <c r="U7" s="1">
        <v>3200</v>
      </c>
      <c r="V7" s="1">
        <v>0</v>
      </c>
      <c r="W7" s="1">
        <v>3700</v>
      </c>
      <c r="X7" s="1">
        <v>10900</v>
      </c>
      <c r="Y7" s="1">
        <v>3700</v>
      </c>
      <c r="Z7" s="1">
        <v>14600</v>
      </c>
      <c r="AA7" s="1">
        <v>9240</v>
      </c>
      <c r="AB7" s="1">
        <v>3200</v>
      </c>
      <c r="AC7" s="1">
        <v>0</v>
      </c>
      <c r="AD7" s="1">
        <v>3700</v>
      </c>
      <c r="AE7" s="1">
        <v>12440</v>
      </c>
      <c r="AF7" s="1">
        <v>3700</v>
      </c>
      <c r="AG7" s="1">
        <v>16140</v>
      </c>
      <c r="AH7" s="1">
        <v>8316</v>
      </c>
      <c r="AI7" s="1">
        <v>3104</v>
      </c>
      <c r="AJ7" s="1">
        <v>0</v>
      </c>
      <c r="AK7" s="1">
        <v>3330</v>
      </c>
      <c r="AL7" s="1">
        <v>11420</v>
      </c>
      <c r="AM7" s="1">
        <v>3330</v>
      </c>
      <c r="AN7" s="1">
        <v>14750</v>
      </c>
      <c r="AO7" s="6" t="s">
        <v>215</v>
      </c>
      <c r="AP7" s="6" t="s">
        <v>215</v>
      </c>
      <c r="AQ7" s="6" t="s">
        <v>215</v>
      </c>
      <c r="AR7" s="6" t="s">
        <v>215</v>
      </c>
      <c r="AS7" s="1">
        <v>8850</v>
      </c>
      <c r="AT7" s="1">
        <v>0</v>
      </c>
      <c r="AU7" s="1">
        <v>8850</v>
      </c>
    </row>
    <row r="8" spans="1:47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134</v>
      </c>
      <c r="H8" s="3" t="s">
        <v>135</v>
      </c>
      <c r="I8" s="3" t="s">
        <v>54</v>
      </c>
      <c r="J8" s="3" t="s">
        <v>55</v>
      </c>
      <c r="K8" s="3" t="s">
        <v>140</v>
      </c>
      <c r="L8" s="3" t="s">
        <v>141</v>
      </c>
      <c r="M8" s="3" t="s">
        <v>142</v>
      </c>
      <c r="N8" s="3" t="s">
        <v>59</v>
      </c>
      <c r="O8" s="3" t="s">
        <v>59</v>
      </c>
      <c r="P8" s="3" t="s">
        <v>59</v>
      </c>
      <c r="Q8" s="3" t="s">
        <v>139</v>
      </c>
      <c r="R8" s="3" t="s">
        <v>61</v>
      </c>
      <c r="S8" s="3" t="s">
        <v>63</v>
      </c>
      <c r="T8" s="1">
        <v>3800</v>
      </c>
      <c r="U8" s="1">
        <v>11900</v>
      </c>
      <c r="V8" s="1">
        <v>0</v>
      </c>
      <c r="W8" s="1">
        <v>9700</v>
      </c>
      <c r="X8" s="1">
        <v>15700</v>
      </c>
      <c r="Y8" s="1">
        <v>9700</v>
      </c>
      <c r="Z8" s="1">
        <v>25400</v>
      </c>
      <c r="AA8" s="1">
        <v>4560</v>
      </c>
      <c r="AB8" s="1">
        <v>11900</v>
      </c>
      <c r="AC8" s="1">
        <v>0</v>
      </c>
      <c r="AD8" s="1">
        <v>9700</v>
      </c>
      <c r="AE8" s="1">
        <v>16460</v>
      </c>
      <c r="AF8" s="1">
        <v>9700</v>
      </c>
      <c r="AG8" s="1">
        <v>26160</v>
      </c>
      <c r="AH8" s="1">
        <v>4104</v>
      </c>
      <c r="AI8" s="1">
        <v>11543</v>
      </c>
      <c r="AJ8" s="1">
        <v>0</v>
      </c>
      <c r="AK8" s="1">
        <v>8730</v>
      </c>
      <c r="AL8" s="1">
        <v>15647</v>
      </c>
      <c r="AM8" s="1">
        <v>8730</v>
      </c>
      <c r="AN8" s="1">
        <v>24377</v>
      </c>
      <c r="AO8" s="6" t="s">
        <v>215</v>
      </c>
      <c r="AP8" s="6" t="s">
        <v>215</v>
      </c>
      <c r="AQ8" s="6" t="s">
        <v>215</v>
      </c>
      <c r="AR8" s="6" t="s">
        <v>215</v>
      </c>
      <c r="AS8" s="1">
        <v>14626</v>
      </c>
      <c r="AT8" s="1">
        <v>0</v>
      </c>
      <c r="AU8" s="1">
        <v>14626</v>
      </c>
    </row>
    <row r="9" spans="1:47" x14ac:dyDescent="0.3">
      <c r="AU9" s="36">
        <f>SUM(AU2:AU8)</f>
        <v>91234</v>
      </c>
    </row>
    <row r="11" spans="1:47" x14ac:dyDescent="0.3">
      <c r="A11" s="7" t="s">
        <v>270</v>
      </c>
    </row>
    <row r="12" spans="1:47" x14ac:dyDescent="0.3">
      <c r="A12" s="8" t="s">
        <v>271</v>
      </c>
      <c r="B12" s="8" t="s">
        <v>272</v>
      </c>
      <c r="C12" s="8" t="s">
        <v>273</v>
      </c>
      <c r="D12" s="8" t="s">
        <v>244</v>
      </c>
    </row>
    <row r="13" spans="1:47" x14ac:dyDescent="0.3">
      <c r="A13" s="9">
        <v>202204</v>
      </c>
      <c r="B13" s="12">
        <v>10000000</v>
      </c>
      <c r="C13" s="13">
        <v>7634038</v>
      </c>
      <c r="D13" s="11">
        <f>B13-C13</f>
        <v>2365962</v>
      </c>
    </row>
    <row r="14" spans="1:47" x14ac:dyDescent="0.3">
      <c r="A14" s="9">
        <v>202205</v>
      </c>
      <c r="B14" s="12">
        <v>10000000</v>
      </c>
      <c r="C14" s="13">
        <v>1625952</v>
      </c>
      <c r="D14" s="11">
        <f t="shared" ref="D14:D20" si="0">D13+B14-C14</f>
        <v>10740010</v>
      </c>
    </row>
    <row r="15" spans="1:47" x14ac:dyDescent="0.3">
      <c r="A15" s="9">
        <v>202206</v>
      </c>
      <c r="B15" s="14"/>
      <c r="C15" s="15">
        <v>1023791</v>
      </c>
      <c r="D15" s="11">
        <f t="shared" si="0"/>
        <v>9716219</v>
      </c>
    </row>
    <row r="16" spans="1:47" x14ac:dyDescent="0.3">
      <c r="A16" s="16">
        <v>202207</v>
      </c>
      <c r="B16" s="14"/>
      <c r="C16" s="15">
        <v>910057</v>
      </c>
      <c r="D16" s="11">
        <f t="shared" si="0"/>
        <v>8806162</v>
      </c>
    </row>
    <row r="17" spans="1:4" x14ac:dyDescent="0.3">
      <c r="A17" s="16">
        <v>202208</v>
      </c>
      <c r="B17" s="14"/>
      <c r="C17" s="15">
        <v>378817</v>
      </c>
      <c r="D17" s="11">
        <f t="shared" si="0"/>
        <v>8427345</v>
      </c>
    </row>
    <row r="18" spans="1:4" x14ac:dyDescent="0.3">
      <c r="A18" s="16">
        <v>202209</v>
      </c>
      <c r="B18" s="14"/>
      <c r="C18" s="15">
        <v>170113</v>
      </c>
      <c r="D18" s="11">
        <f t="shared" si="0"/>
        <v>8257232</v>
      </c>
    </row>
    <row r="19" spans="1:4" x14ac:dyDescent="0.3">
      <c r="A19" s="16">
        <v>202210</v>
      </c>
      <c r="B19" s="14"/>
      <c r="C19" s="15">
        <v>155385</v>
      </c>
      <c r="D19" s="11">
        <f t="shared" si="0"/>
        <v>8101847</v>
      </c>
    </row>
    <row r="20" spans="1:4" x14ac:dyDescent="0.3">
      <c r="A20" s="16">
        <v>202211</v>
      </c>
      <c r="B20" s="14"/>
      <c r="C20" s="15">
        <f>AU9</f>
        <v>91234</v>
      </c>
      <c r="D20" s="11">
        <f t="shared" si="0"/>
        <v>8010613</v>
      </c>
    </row>
    <row r="21" spans="1:4" x14ac:dyDescent="0.3">
      <c r="A21" s="17" t="s">
        <v>274</v>
      </c>
      <c r="B21" s="18">
        <f>SUM(B13:B17)</f>
        <v>20000000</v>
      </c>
      <c r="C21" s="18">
        <f>SUM(C13:C20)</f>
        <v>11989387</v>
      </c>
      <c r="D21" s="18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6"/>
  <sheetViews>
    <sheetView workbookViewId="0">
      <selection activeCell="A27" sqref="A27"/>
    </sheetView>
  </sheetViews>
  <sheetFormatPr defaultRowHeight="16.5" x14ac:dyDescent="0.3"/>
  <cols>
    <col min="2" max="2" width="20" bestFit="1" customWidth="1"/>
    <col min="3" max="3" width="13.625" bestFit="1" customWidth="1"/>
    <col min="4" max="4" width="11" bestFit="1" customWidth="1"/>
  </cols>
  <sheetData>
    <row r="1" spans="1:4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105</v>
      </c>
      <c r="H2" s="3" t="s">
        <v>106</v>
      </c>
      <c r="I2" s="3" t="s">
        <v>54</v>
      </c>
      <c r="J2" s="3" t="s">
        <v>55</v>
      </c>
      <c r="K2" s="3" t="s">
        <v>107</v>
      </c>
      <c r="L2" s="3" t="s">
        <v>108</v>
      </c>
      <c r="M2" s="3" t="s">
        <v>109</v>
      </c>
      <c r="N2" s="3" t="s">
        <v>59</v>
      </c>
      <c r="O2" s="3" t="s">
        <v>59</v>
      </c>
      <c r="P2" s="3" t="s">
        <v>59</v>
      </c>
      <c r="Q2" s="3" t="s">
        <v>110</v>
      </c>
      <c r="R2" s="3" t="s">
        <v>61</v>
      </c>
      <c r="S2" s="3" t="s">
        <v>62</v>
      </c>
      <c r="T2" s="1">
        <v>9780</v>
      </c>
      <c r="U2" s="1">
        <v>5100</v>
      </c>
      <c r="V2" s="1">
        <v>0</v>
      </c>
      <c r="W2" s="1">
        <v>26620</v>
      </c>
      <c r="X2" s="1">
        <v>14880</v>
      </c>
      <c r="Y2" s="1">
        <v>26620</v>
      </c>
      <c r="Z2" s="1">
        <v>41500</v>
      </c>
      <c r="AA2" s="1">
        <v>11736</v>
      </c>
      <c r="AB2" s="1">
        <v>5100</v>
      </c>
      <c r="AC2" s="1">
        <v>0</v>
      </c>
      <c r="AD2" s="1">
        <v>26620</v>
      </c>
      <c r="AE2" s="1">
        <v>16836</v>
      </c>
      <c r="AF2" s="1">
        <v>26620</v>
      </c>
      <c r="AG2" s="1">
        <v>43456</v>
      </c>
      <c r="AH2" s="1">
        <v>10562.4</v>
      </c>
      <c r="AI2" s="1">
        <v>4947</v>
      </c>
      <c r="AJ2" s="1">
        <v>0</v>
      </c>
      <c r="AK2" s="1">
        <v>23958</v>
      </c>
      <c r="AL2" s="1">
        <v>15509.4</v>
      </c>
      <c r="AM2" s="1">
        <v>23958</v>
      </c>
      <c r="AN2" s="1">
        <v>39467.4</v>
      </c>
      <c r="AO2" s="6" t="s">
        <v>215</v>
      </c>
      <c r="AP2" s="6" t="s">
        <v>215</v>
      </c>
      <c r="AQ2" s="6" t="s">
        <v>215</v>
      </c>
      <c r="AR2" s="6" t="s">
        <v>215</v>
      </c>
      <c r="AS2" s="1">
        <v>23680</v>
      </c>
      <c r="AT2" s="1">
        <v>0</v>
      </c>
      <c r="AU2" s="1">
        <v>23680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105</v>
      </c>
      <c r="H3" s="3" t="s">
        <v>106</v>
      </c>
      <c r="I3" s="3" t="s">
        <v>54</v>
      </c>
      <c r="J3" s="3" t="s">
        <v>55</v>
      </c>
      <c r="K3" s="3" t="s">
        <v>107</v>
      </c>
      <c r="L3" s="3" t="s">
        <v>108</v>
      </c>
      <c r="M3" s="3" t="s">
        <v>109</v>
      </c>
      <c r="N3" s="3" t="s">
        <v>59</v>
      </c>
      <c r="O3" s="3" t="s">
        <v>59</v>
      </c>
      <c r="P3" s="3" t="s">
        <v>59</v>
      </c>
      <c r="Q3" s="3" t="s">
        <v>110</v>
      </c>
      <c r="R3" s="3" t="s">
        <v>61</v>
      </c>
      <c r="S3" s="3" t="s">
        <v>63</v>
      </c>
      <c r="T3" s="1">
        <v>14200</v>
      </c>
      <c r="U3" s="1">
        <v>8800</v>
      </c>
      <c r="V3" s="1">
        <v>0</v>
      </c>
      <c r="W3" s="1">
        <v>6700</v>
      </c>
      <c r="X3" s="1">
        <v>23000</v>
      </c>
      <c r="Y3" s="1">
        <v>6700</v>
      </c>
      <c r="Z3" s="1">
        <v>29700</v>
      </c>
      <c r="AA3" s="1">
        <v>17040</v>
      </c>
      <c r="AB3" s="1">
        <v>8800</v>
      </c>
      <c r="AC3" s="1">
        <v>0</v>
      </c>
      <c r="AD3" s="1">
        <v>6700</v>
      </c>
      <c r="AE3" s="1">
        <v>25840</v>
      </c>
      <c r="AF3" s="1">
        <v>6700</v>
      </c>
      <c r="AG3" s="1">
        <v>32540</v>
      </c>
      <c r="AH3" s="1">
        <v>15336</v>
      </c>
      <c r="AI3" s="1">
        <v>8536</v>
      </c>
      <c r="AJ3" s="1">
        <v>0</v>
      </c>
      <c r="AK3" s="1">
        <v>6030</v>
      </c>
      <c r="AL3" s="1">
        <v>23872</v>
      </c>
      <c r="AM3" s="1">
        <v>6030</v>
      </c>
      <c r="AN3" s="1">
        <v>29902</v>
      </c>
      <c r="AO3" s="6" t="s">
        <v>215</v>
      </c>
      <c r="AP3" s="6" t="s">
        <v>215</v>
      </c>
      <c r="AQ3" s="6" t="s">
        <v>215</v>
      </c>
      <c r="AR3" s="6" t="s">
        <v>215</v>
      </c>
      <c r="AS3" s="1">
        <v>17942</v>
      </c>
      <c r="AT3" s="1">
        <v>0</v>
      </c>
      <c r="AU3" s="1">
        <v>17942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105</v>
      </c>
      <c r="H4" s="3" t="s">
        <v>106</v>
      </c>
      <c r="I4" s="3" t="s">
        <v>54</v>
      </c>
      <c r="J4" s="3" t="s">
        <v>55</v>
      </c>
      <c r="K4" s="3" t="s">
        <v>107</v>
      </c>
      <c r="L4" s="3" t="s">
        <v>108</v>
      </c>
      <c r="M4" s="3" t="s">
        <v>109</v>
      </c>
      <c r="N4" s="3" t="s">
        <v>59</v>
      </c>
      <c r="O4" s="3" t="s">
        <v>59</v>
      </c>
      <c r="P4" s="3" t="s">
        <v>59</v>
      </c>
      <c r="Q4" s="3" t="s">
        <v>110</v>
      </c>
      <c r="R4" s="3" t="s">
        <v>61</v>
      </c>
      <c r="S4" s="3" t="s">
        <v>63</v>
      </c>
      <c r="T4" s="1">
        <v>9200</v>
      </c>
      <c r="U4" s="1">
        <v>-4500</v>
      </c>
      <c r="V4" s="1">
        <v>0</v>
      </c>
      <c r="W4" s="1">
        <v>0</v>
      </c>
      <c r="X4" s="1">
        <v>4700</v>
      </c>
      <c r="Y4" s="1">
        <v>0</v>
      </c>
      <c r="Z4" s="1">
        <v>4700</v>
      </c>
      <c r="AA4" s="1">
        <v>11040</v>
      </c>
      <c r="AB4" s="1">
        <v>-4500</v>
      </c>
      <c r="AC4" s="1">
        <v>0</v>
      </c>
      <c r="AD4" s="1">
        <v>0</v>
      </c>
      <c r="AE4" s="1">
        <v>6540</v>
      </c>
      <c r="AF4" s="1">
        <v>0</v>
      </c>
      <c r="AG4" s="1">
        <v>6540</v>
      </c>
      <c r="AH4" s="1">
        <v>9936</v>
      </c>
      <c r="AI4" s="1">
        <v>-4365</v>
      </c>
      <c r="AJ4" s="1">
        <v>0</v>
      </c>
      <c r="AK4" s="1">
        <v>0</v>
      </c>
      <c r="AL4" s="1">
        <v>5571</v>
      </c>
      <c r="AM4" s="1">
        <v>0</v>
      </c>
      <c r="AN4" s="1">
        <v>5571</v>
      </c>
      <c r="AO4" s="6" t="s">
        <v>215</v>
      </c>
      <c r="AP4" s="6" t="s">
        <v>215</v>
      </c>
      <c r="AQ4" s="6" t="s">
        <v>215</v>
      </c>
      <c r="AR4" s="6" t="s">
        <v>215</v>
      </c>
      <c r="AS4" s="1">
        <v>3343</v>
      </c>
      <c r="AT4" s="1">
        <v>0</v>
      </c>
      <c r="AU4" s="1">
        <v>3343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105</v>
      </c>
      <c r="H5" s="3" t="s">
        <v>106</v>
      </c>
      <c r="I5" s="3" t="s">
        <v>54</v>
      </c>
      <c r="J5" s="3" t="s">
        <v>55</v>
      </c>
      <c r="K5" s="3" t="s">
        <v>107</v>
      </c>
      <c r="L5" s="3" t="s">
        <v>108</v>
      </c>
      <c r="M5" s="3" t="s">
        <v>109</v>
      </c>
      <c r="N5" s="3" t="s">
        <v>59</v>
      </c>
      <c r="O5" s="3" t="s">
        <v>59</v>
      </c>
      <c r="P5" s="3" t="s">
        <v>59</v>
      </c>
      <c r="Q5" s="3" t="s">
        <v>110</v>
      </c>
      <c r="R5" s="3" t="s">
        <v>61</v>
      </c>
      <c r="S5" s="3" t="s">
        <v>63</v>
      </c>
      <c r="T5" s="1">
        <v>7200</v>
      </c>
      <c r="U5" s="1">
        <v>0</v>
      </c>
      <c r="V5" s="1">
        <v>0</v>
      </c>
      <c r="W5" s="1">
        <v>0</v>
      </c>
      <c r="X5" s="1">
        <v>7200</v>
      </c>
      <c r="Y5" s="1">
        <v>0</v>
      </c>
      <c r="Z5" s="1">
        <v>7200</v>
      </c>
      <c r="AA5" s="1">
        <v>8640</v>
      </c>
      <c r="AB5" s="1">
        <v>0</v>
      </c>
      <c r="AC5" s="1">
        <v>0</v>
      </c>
      <c r="AD5" s="1">
        <v>0</v>
      </c>
      <c r="AE5" s="1">
        <v>8640</v>
      </c>
      <c r="AF5" s="1">
        <v>0</v>
      </c>
      <c r="AG5" s="1">
        <v>8640</v>
      </c>
      <c r="AH5" s="1">
        <v>7776</v>
      </c>
      <c r="AI5" s="1">
        <v>0</v>
      </c>
      <c r="AJ5" s="1">
        <v>0</v>
      </c>
      <c r="AK5" s="1">
        <v>0</v>
      </c>
      <c r="AL5" s="1">
        <v>7776</v>
      </c>
      <c r="AM5" s="1">
        <v>0</v>
      </c>
      <c r="AN5" s="1">
        <v>7776</v>
      </c>
      <c r="AO5" s="6" t="s">
        <v>215</v>
      </c>
      <c r="AP5" s="6" t="s">
        <v>215</v>
      </c>
      <c r="AQ5" s="6" t="s">
        <v>215</v>
      </c>
      <c r="AR5" s="6" t="s">
        <v>215</v>
      </c>
      <c r="AS5" s="1">
        <v>4666</v>
      </c>
      <c r="AT5" s="1">
        <v>0</v>
      </c>
      <c r="AU5" s="1">
        <v>4666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105</v>
      </c>
      <c r="H6" s="3" t="s">
        <v>106</v>
      </c>
      <c r="I6" s="3" t="s">
        <v>54</v>
      </c>
      <c r="J6" s="3" t="s">
        <v>55</v>
      </c>
      <c r="K6" s="3" t="s">
        <v>210</v>
      </c>
      <c r="L6" s="3" t="s">
        <v>211</v>
      </c>
      <c r="M6" s="3" t="s">
        <v>212</v>
      </c>
      <c r="N6" s="3" t="s">
        <v>59</v>
      </c>
      <c r="O6" s="3" t="s">
        <v>59</v>
      </c>
      <c r="P6" s="3" t="s">
        <v>59</v>
      </c>
      <c r="Q6" s="3" t="s">
        <v>110</v>
      </c>
      <c r="R6" s="3" t="s">
        <v>61</v>
      </c>
      <c r="S6" s="3" t="s">
        <v>62</v>
      </c>
      <c r="T6" s="1">
        <v>0</v>
      </c>
      <c r="U6" s="1">
        <v>0</v>
      </c>
      <c r="V6" s="1">
        <v>0</v>
      </c>
      <c r="W6" s="1">
        <v>9000</v>
      </c>
      <c r="X6" s="1">
        <v>0</v>
      </c>
      <c r="Y6" s="1">
        <v>9000</v>
      </c>
      <c r="Z6" s="1">
        <v>9000</v>
      </c>
      <c r="AA6" s="1">
        <v>0</v>
      </c>
      <c r="AB6" s="1">
        <v>0</v>
      </c>
      <c r="AC6" s="1">
        <v>0</v>
      </c>
      <c r="AD6" s="1">
        <v>9000</v>
      </c>
      <c r="AE6" s="1">
        <v>0</v>
      </c>
      <c r="AF6" s="1">
        <v>9000</v>
      </c>
      <c r="AG6" s="1">
        <v>9000</v>
      </c>
      <c r="AH6" s="1">
        <v>0</v>
      </c>
      <c r="AI6" s="1">
        <v>0</v>
      </c>
      <c r="AJ6" s="1">
        <v>0</v>
      </c>
      <c r="AK6" s="1">
        <v>8100</v>
      </c>
      <c r="AL6" s="1">
        <v>0</v>
      </c>
      <c r="AM6" s="1">
        <v>8100</v>
      </c>
      <c r="AN6" s="1">
        <v>8100</v>
      </c>
      <c r="AO6" s="6" t="s">
        <v>215</v>
      </c>
      <c r="AP6" s="6" t="s">
        <v>215</v>
      </c>
      <c r="AQ6" s="6" t="s">
        <v>215</v>
      </c>
      <c r="AR6" s="6" t="s">
        <v>215</v>
      </c>
      <c r="AS6" s="1">
        <v>4860</v>
      </c>
      <c r="AT6" s="1">
        <v>0</v>
      </c>
      <c r="AU6" s="1">
        <v>4860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105</v>
      </c>
      <c r="H7" s="3" t="s">
        <v>106</v>
      </c>
      <c r="I7" s="3" t="s">
        <v>54</v>
      </c>
      <c r="J7" s="3" t="s">
        <v>55</v>
      </c>
      <c r="K7" s="3" t="s">
        <v>213</v>
      </c>
      <c r="L7" s="3" t="s">
        <v>214</v>
      </c>
      <c r="M7" s="3" t="s">
        <v>212</v>
      </c>
      <c r="N7" s="3" t="s">
        <v>59</v>
      </c>
      <c r="O7" s="3" t="s">
        <v>59</v>
      </c>
      <c r="P7" s="3" t="s">
        <v>59</v>
      </c>
      <c r="Q7" s="3" t="s">
        <v>110</v>
      </c>
      <c r="R7" s="3" t="s">
        <v>61</v>
      </c>
      <c r="S7" s="3" t="s">
        <v>62</v>
      </c>
      <c r="T7" s="1">
        <v>0</v>
      </c>
      <c r="U7" s="1">
        <v>1000</v>
      </c>
      <c r="V7" s="1">
        <v>0</v>
      </c>
      <c r="W7" s="1">
        <v>1000</v>
      </c>
      <c r="X7" s="1">
        <v>1000</v>
      </c>
      <c r="Y7" s="1">
        <v>1000</v>
      </c>
      <c r="Z7" s="1">
        <v>2000</v>
      </c>
      <c r="AA7" s="1">
        <v>0</v>
      </c>
      <c r="AB7" s="1">
        <v>1000</v>
      </c>
      <c r="AC7" s="1">
        <v>0</v>
      </c>
      <c r="AD7" s="1">
        <v>1000</v>
      </c>
      <c r="AE7" s="1">
        <v>1000</v>
      </c>
      <c r="AF7" s="1">
        <v>1000</v>
      </c>
      <c r="AG7" s="1">
        <v>2000</v>
      </c>
      <c r="AH7" s="1">
        <v>0</v>
      </c>
      <c r="AI7" s="1">
        <v>970</v>
      </c>
      <c r="AJ7" s="1">
        <v>0</v>
      </c>
      <c r="AK7" s="1">
        <v>900</v>
      </c>
      <c r="AL7" s="1">
        <v>970</v>
      </c>
      <c r="AM7" s="1">
        <v>900</v>
      </c>
      <c r="AN7" s="1">
        <v>1870</v>
      </c>
      <c r="AO7" s="6" t="s">
        <v>215</v>
      </c>
      <c r="AP7" s="6" t="s">
        <v>215</v>
      </c>
      <c r="AQ7" s="6" t="s">
        <v>215</v>
      </c>
      <c r="AR7" s="6" t="s">
        <v>215</v>
      </c>
      <c r="AS7" s="1">
        <v>1122</v>
      </c>
      <c r="AT7" s="1">
        <v>0</v>
      </c>
      <c r="AU7" s="1">
        <v>1122</v>
      </c>
    </row>
    <row r="8" spans="1:47" x14ac:dyDescent="0.3">
      <c r="AU8" s="36">
        <f>SUM(AU2:AU7)</f>
        <v>55613</v>
      </c>
    </row>
    <row r="10" spans="1:47" x14ac:dyDescent="0.3">
      <c r="A10" s="7" t="s">
        <v>250</v>
      </c>
      <c r="B10" s="19"/>
      <c r="C10" s="19"/>
      <c r="D10" s="20"/>
    </row>
    <row r="11" spans="1:47" x14ac:dyDescent="0.3">
      <c r="A11" s="8" t="s">
        <v>251</v>
      </c>
      <c r="B11" s="8" t="s">
        <v>252</v>
      </c>
      <c r="C11" s="8" t="s">
        <v>253</v>
      </c>
      <c r="D11" s="8" t="s">
        <v>254</v>
      </c>
    </row>
    <row r="12" spans="1:47" x14ac:dyDescent="0.3">
      <c r="A12" s="9">
        <v>202110</v>
      </c>
      <c r="B12" s="12">
        <v>10000000</v>
      </c>
      <c r="C12" s="12">
        <v>7140751</v>
      </c>
      <c r="D12" s="11">
        <f>B12-C12</f>
        <v>2859249</v>
      </c>
    </row>
    <row r="13" spans="1:47" x14ac:dyDescent="0.3">
      <c r="A13" s="9">
        <v>202111</v>
      </c>
      <c r="B13" s="12">
        <v>10000000</v>
      </c>
      <c r="C13" s="12">
        <v>3430957</v>
      </c>
      <c r="D13" s="11">
        <f>D12+B13-C13</f>
        <v>9428292</v>
      </c>
    </row>
    <row r="14" spans="1:47" x14ac:dyDescent="0.3">
      <c r="A14" s="9">
        <v>202112</v>
      </c>
      <c r="B14" s="12"/>
      <c r="C14" s="12">
        <v>816063</v>
      </c>
      <c r="D14" s="11">
        <f>D13+B14-C14</f>
        <v>8612229</v>
      </c>
    </row>
    <row r="15" spans="1:47" x14ac:dyDescent="0.3">
      <c r="A15" s="9">
        <v>202201</v>
      </c>
      <c r="B15" s="12"/>
      <c r="C15" s="12">
        <v>877784</v>
      </c>
      <c r="D15" s="11">
        <f t="shared" ref="D15:D20" si="0">D14-C15</f>
        <v>7734445</v>
      </c>
    </row>
    <row r="16" spans="1:47" x14ac:dyDescent="0.3">
      <c r="A16" s="9">
        <v>202202</v>
      </c>
      <c r="B16" s="12"/>
      <c r="C16" s="15">
        <v>320090</v>
      </c>
      <c r="D16" s="11">
        <f t="shared" si="0"/>
        <v>7414355</v>
      </c>
    </row>
    <row r="17" spans="1:4" x14ac:dyDescent="0.3">
      <c r="A17" s="9">
        <v>202203</v>
      </c>
      <c r="B17" s="14"/>
      <c r="C17" s="32">
        <v>186577</v>
      </c>
      <c r="D17" s="11">
        <f t="shared" si="0"/>
        <v>7227778</v>
      </c>
    </row>
    <row r="18" spans="1:4" x14ac:dyDescent="0.3">
      <c r="A18" s="9">
        <v>202204</v>
      </c>
      <c r="B18" s="14"/>
      <c r="C18" s="33">
        <v>75307</v>
      </c>
      <c r="D18" s="11">
        <f t="shared" si="0"/>
        <v>7152471</v>
      </c>
    </row>
    <row r="19" spans="1:4" x14ac:dyDescent="0.3">
      <c r="A19" s="16">
        <v>202205</v>
      </c>
      <c r="B19" s="14"/>
      <c r="C19" s="34">
        <v>811157</v>
      </c>
      <c r="D19" s="11">
        <f t="shared" si="0"/>
        <v>6341314</v>
      </c>
    </row>
    <row r="20" spans="1:4" x14ac:dyDescent="0.3">
      <c r="A20" s="9">
        <v>202206</v>
      </c>
      <c r="B20" s="14"/>
      <c r="C20" s="33">
        <v>160854</v>
      </c>
      <c r="D20" s="11">
        <f t="shared" si="0"/>
        <v>6180460</v>
      </c>
    </row>
    <row r="21" spans="1:4" x14ac:dyDescent="0.3">
      <c r="A21" s="16">
        <v>202207</v>
      </c>
      <c r="B21" s="14"/>
      <c r="C21" s="34">
        <v>58127</v>
      </c>
      <c r="D21" s="11">
        <f>D20-C21</f>
        <v>6122333</v>
      </c>
    </row>
    <row r="22" spans="1:4" x14ac:dyDescent="0.3">
      <c r="A22" s="16">
        <v>202208</v>
      </c>
      <c r="B22" s="14"/>
      <c r="C22" s="34">
        <v>37050</v>
      </c>
      <c r="D22" s="11">
        <f>D21-C22</f>
        <v>6085283</v>
      </c>
    </row>
    <row r="23" spans="1:4" x14ac:dyDescent="0.3">
      <c r="A23" s="16">
        <v>202209</v>
      </c>
      <c r="B23" s="14"/>
      <c r="C23" s="34">
        <v>26856</v>
      </c>
      <c r="D23" s="11">
        <f>D22-C23</f>
        <v>6058427</v>
      </c>
    </row>
    <row r="24" spans="1:4" x14ac:dyDescent="0.3">
      <c r="A24" s="16">
        <v>202210</v>
      </c>
      <c r="B24" s="14"/>
      <c r="C24" s="34">
        <v>39993</v>
      </c>
      <c r="D24" s="11">
        <f>D23-C24</f>
        <v>6018434</v>
      </c>
    </row>
    <row r="25" spans="1:4" s="3" customFormat="1" x14ac:dyDescent="0.3">
      <c r="A25" s="16">
        <v>202211</v>
      </c>
      <c r="B25" s="14"/>
      <c r="C25" s="34">
        <f>AU8</f>
        <v>55613</v>
      </c>
      <c r="D25" s="11">
        <f>D24-C25</f>
        <v>5962821</v>
      </c>
    </row>
    <row r="26" spans="1:4" x14ac:dyDescent="0.3">
      <c r="A26" s="17" t="s">
        <v>242</v>
      </c>
      <c r="B26" s="18">
        <f>SUM(B12:B22)</f>
        <v>20000000</v>
      </c>
      <c r="C26" s="18">
        <f>SUM(C12:C25)</f>
        <v>14037179</v>
      </c>
      <c r="D26" s="18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6"/>
  <sheetViews>
    <sheetView workbookViewId="0">
      <selection activeCell="A5" sqref="A5"/>
    </sheetView>
  </sheetViews>
  <sheetFormatPr defaultRowHeight="16.5" x14ac:dyDescent="0.3"/>
  <cols>
    <col min="1" max="1" width="9" style="3"/>
    <col min="2" max="2" width="20" style="3" bestFit="1" customWidth="1"/>
    <col min="3" max="3" width="12.375" style="3" bestFit="1" customWidth="1"/>
    <col min="4" max="4" width="11" style="3" bestFit="1" customWidth="1"/>
    <col min="5" max="16384" width="9" style="3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143</v>
      </c>
      <c r="H2" s="3" t="s">
        <v>144</v>
      </c>
      <c r="I2" s="3" t="s">
        <v>54</v>
      </c>
      <c r="J2" s="3" t="s">
        <v>55</v>
      </c>
      <c r="K2" s="3" t="s">
        <v>145</v>
      </c>
      <c r="L2" s="3" t="s">
        <v>146</v>
      </c>
      <c r="M2" s="3" t="s">
        <v>147</v>
      </c>
      <c r="N2" s="3" t="s">
        <v>59</v>
      </c>
      <c r="O2" s="3" t="s">
        <v>59</v>
      </c>
      <c r="P2" s="3" t="s">
        <v>59</v>
      </c>
      <c r="Q2" s="3" t="s">
        <v>148</v>
      </c>
      <c r="R2" s="3" t="s">
        <v>61</v>
      </c>
      <c r="S2" s="3" t="s">
        <v>62</v>
      </c>
      <c r="T2" s="1">
        <v>2000</v>
      </c>
      <c r="U2" s="1">
        <v>10500</v>
      </c>
      <c r="V2" s="1">
        <v>200</v>
      </c>
      <c r="W2" s="1">
        <v>32200</v>
      </c>
      <c r="X2" s="1">
        <v>12700</v>
      </c>
      <c r="Y2" s="1">
        <v>32200</v>
      </c>
      <c r="Z2" s="1">
        <v>44900</v>
      </c>
      <c r="AA2" s="1">
        <v>2400</v>
      </c>
      <c r="AB2" s="1">
        <v>10500</v>
      </c>
      <c r="AC2" s="1">
        <v>240</v>
      </c>
      <c r="AD2" s="1">
        <v>32200</v>
      </c>
      <c r="AE2" s="1">
        <v>13140</v>
      </c>
      <c r="AF2" s="1">
        <v>32200</v>
      </c>
      <c r="AG2" s="1">
        <v>45340</v>
      </c>
      <c r="AH2" s="1">
        <v>2160</v>
      </c>
      <c r="AI2" s="1">
        <v>10185</v>
      </c>
      <c r="AJ2" s="1">
        <v>168</v>
      </c>
      <c r="AK2" s="1">
        <v>28980</v>
      </c>
      <c r="AL2" s="1">
        <v>12513</v>
      </c>
      <c r="AM2" s="1">
        <v>28980</v>
      </c>
      <c r="AN2" s="1">
        <v>41493</v>
      </c>
      <c r="AO2" s="6" t="s">
        <v>215</v>
      </c>
      <c r="AP2" s="6" t="s">
        <v>215</v>
      </c>
      <c r="AQ2" s="6" t="s">
        <v>215</v>
      </c>
      <c r="AR2" s="6" t="s">
        <v>215</v>
      </c>
      <c r="AS2" s="1">
        <v>24896</v>
      </c>
      <c r="AT2" s="1">
        <v>0</v>
      </c>
      <c r="AU2" s="1">
        <v>24896</v>
      </c>
    </row>
    <row r="3" spans="1:47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143</v>
      </c>
      <c r="H3" s="3" t="s">
        <v>144</v>
      </c>
      <c r="I3" s="3" t="s">
        <v>54</v>
      </c>
      <c r="J3" s="3" t="s">
        <v>55</v>
      </c>
      <c r="K3" s="3" t="s">
        <v>145</v>
      </c>
      <c r="L3" s="3" t="s">
        <v>146</v>
      </c>
      <c r="M3" s="3" t="s">
        <v>147</v>
      </c>
      <c r="N3" s="3" t="s">
        <v>59</v>
      </c>
      <c r="O3" s="3" t="s">
        <v>59</v>
      </c>
      <c r="P3" s="3" t="s">
        <v>59</v>
      </c>
      <c r="Q3" s="3" t="s">
        <v>148</v>
      </c>
      <c r="R3" s="3" t="s">
        <v>61</v>
      </c>
      <c r="S3" s="3" t="s">
        <v>63</v>
      </c>
      <c r="T3" s="1">
        <v>2800</v>
      </c>
      <c r="U3" s="1">
        <v>8400</v>
      </c>
      <c r="V3" s="1">
        <v>0</v>
      </c>
      <c r="W3" s="1">
        <v>5900</v>
      </c>
      <c r="X3" s="1">
        <v>11200</v>
      </c>
      <c r="Y3" s="1">
        <v>5900</v>
      </c>
      <c r="Z3" s="1">
        <v>17100</v>
      </c>
      <c r="AA3" s="1">
        <v>3360</v>
      </c>
      <c r="AB3" s="1">
        <v>8400</v>
      </c>
      <c r="AC3" s="1">
        <v>0</v>
      </c>
      <c r="AD3" s="1">
        <v>5900</v>
      </c>
      <c r="AE3" s="1">
        <v>11760</v>
      </c>
      <c r="AF3" s="1">
        <v>5900</v>
      </c>
      <c r="AG3" s="1">
        <v>17660</v>
      </c>
      <c r="AH3" s="1">
        <v>3024</v>
      </c>
      <c r="AI3" s="1">
        <v>8148</v>
      </c>
      <c r="AJ3" s="1">
        <v>0</v>
      </c>
      <c r="AK3" s="1">
        <v>5310</v>
      </c>
      <c r="AL3" s="1">
        <v>11172</v>
      </c>
      <c r="AM3" s="1">
        <v>5310</v>
      </c>
      <c r="AN3" s="1">
        <v>16482</v>
      </c>
      <c r="AO3" s="6" t="s">
        <v>215</v>
      </c>
      <c r="AP3" s="6" t="s">
        <v>215</v>
      </c>
      <c r="AQ3" s="6" t="s">
        <v>215</v>
      </c>
      <c r="AR3" s="6" t="s">
        <v>215</v>
      </c>
      <c r="AS3" s="1">
        <v>9889</v>
      </c>
      <c r="AT3" s="1">
        <v>0</v>
      </c>
      <c r="AU3" s="1">
        <v>9889</v>
      </c>
    </row>
    <row r="4" spans="1:47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143</v>
      </c>
      <c r="H4" s="3" t="s">
        <v>144</v>
      </c>
      <c r="I4" s="3" t="s">
        <v>54</v>
      </c>
      <c r="J4" s="3" t="s">
        <v>55</v>
      </c>
      <c r="K4" s="3" t="s">
        <v>145</v>
      </c>
      <c r="L4" s="3" t="s">
        <v>146</v>
      </c>
      <c r="M4" s="3" t="s">
        <v>147</v>
      </c>
      <c r="N4" s="3" t="s">
        <v>59</v>
      </c>
      <c r="O4" s="3" t="s">
        <v>59</v>
      </c>
      <c r="P4" s="3" t="s">
        <v>59</v>
      </c>
      <c r="Q4" s="3" t="s">
        <v>148</v>
      </c>
      <c r="R4" s="3" t="s">
        <v>61</v>
      </c>
      <c r="S4" s="3" t="s">
        <v>63</v>
      </c>
      <c r="T4" s="1">
        <v>7400</v>
      </c>
      <c r="U4" s="1">
        <v>3700</v>
      </c>
      <c r="V4" s="1">
        <v>0</v>
      </c>
      <c r="W4" s="1">
        <v>7400</v>
      </c>
      <c r="X4" s="1">
        <v>11100</v>
      </c>
      <c r="Y4" s="1">
        <v>7400</v>
      </c>
      <c r="Z4" s="1">
        <v>18500</v>
      </c>
      <c r="AA4" s="1">
        <v>8880</v>
      </c>
      <c r="AB4" s="1">
        <v>3700</v>
      </c>
      <c r="AC4" s="1">
        <v>0</v>
      </c>
      <c r="AD4" s="1">
        <v>7400</v>
      </c>
      <c r="AE4" s="1">
        <v>12580</v>
      </c>
      <c r="AF4" s="1">
        <v>7400</v>
      </c>
      <c r="AG4" s="1">
        <v>19980</v>
      </c>
      <c r="AH4" s="1">
        <v>7992</v>
      </c>
      <c r="AI4" s="1">
        <v>3589</v>
      </c>
      <c r="AJ4" s="1">
        <v>0</v>
      </c>
      <c r="AK4" s="1">
        <v>6660</v>
      </c>
      <c r="AL4" s="1">
        <v>11581</v>
      </c>
      <c r="AM4" s="1">
        <v>6660</v>
      </c>
      <c r="AN4" s="1">
        <v>18241</v>
      </c>
      <c r="AO4" s="6" t="s">
        <v>215</v>
      </c>
      <c r="AP4" s="6" t="s">
        <v>215</v>
      </c>
      <c r="AQ4" s="6" t="s">
        <v>215</v>
      </c>
      <c r="AR4" s="6" t="s">
        <v>215</v>
      </c>
      <c r="AS4" s="1">
        <v>10944</v>
      </c>
      <c r="AT4" s="1">
        <v>0</v>
      </c>
      <c r="AU4" s="1">
        <v>10944</v>
      </c>
    </row>
    <row r="5" spans="1:47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143</v>
      </c>
      <c r="H5" s="3" t="s">
        <v>144</v>
      </c>
      <c r="I5" s="3" t="s">
        <v>54</v>
      </c>
      <c r="J5" s="3" t="s">
        <v>55</v>
      </c>
      <c r="K5" s="3" t="s">
        <v>145</v>
      </c>
      <c r="L5" s="3" t="s">
        <v>146</v>
      </c>
      <c r="M5" s="3" t="s">
        <v>147</v>
      </c>
      <c r="N5" s="3" t="s">
        <v>59</v>
      </c>
      <c r="O5" s="3" t="s">
        <v>59</v>
      </c>
      <c r="P5" s="3" t="s">
        <v>59</v>
      </c>
      <c r="Q5" s="3" t="s">
        <v>148</v>
      </c>
      <c r="R5" s="3" t="s">
        <v>61</v>
      </c>
      <c r="S5" s="3" t="s">
        <v>63</v>
      </c>
      <c r="T5" s="1">
        <v>7200</v>
      </c>
      <c r="U5" s="1">
        <v>7200</v>
      </c>
      <c r="V5" s="1">
        <v>0</v>
      </c>
      <c r="W5" s="1">
        <v>0</v>
      </c>
      <c r="X5" s="1">
        <v>14400</v>
      </c>
      <c r="Y5" s="1">
        <v>0</v>
      </c>
      <c r="Z5" s="1">
        <v>14400</v>
      </c>
      <c r="AA5" s="1">
        <v>8640</v>
      </c>
      <c r="AB5" s="1">
        <v>7200</v>
      </c>
      <c r="AC5" s="1">
        <v>0</v>
      </c>
      <c r="AD5" s="1">
        <v>0</v>
      </c>
      <c r="AE5" s="1">
        <v>15840</v>
      </c>
      <c r="AF5" s="1">
        <v>0</v>
      </c>
      <c r="AG5" s="1">
        <v>15840</v>
      </c>
      <c r="AH5" s="1">
        <v>7776</v>
      </c>
      <c r="AI5" s="1">
        <v>6984</v>
      </c>
      <c r="AJ5" s="1">
        <v>0</v>
      </c>
      <c r="AK5" s="1">
        <v>0</v>
      </c>
      <c r="AL5" s="1">
        <v>14760</v>
      </c>
      <c r="AM5" s="1">
        <v>0</v>
      </c>
      <c r="AN5" s="1">
        <v>14760</v>
      </c>
      <c r="AO5" s="6" t="s">
        <v>215</v>
      </c>
      <c r="AP5" s="6" t="s">
        <v>215</v>
      </c>
      <c r="AQ5" s="6" t="s">
        <v>215</v>
      </c>
      <c r="AR5" s="6" t="s">
        <v>215</v>
      </c>
      <c r="AS5" s="1">
        <v>8856</v>
      </c>
      <c r="AT5" s="1">
        <v>0</v>
      </c>
      <c r="AU5" s="1">
        <v>8856</v>
      </c>
    </row>
    <row r="6" spans="1:47" x14ac:dyDescent="0.3">
      <c r="AU6" s="36">
        <f>SUM(AU2:AU5)</f>
        <v>54585</v>
      </c>
    </row>
    <row r="8" spans="1:47" x14ac:dyDescent="0.3">
      <c r="A8" s="7" t="s">
        <v>238</v>
      </c>
      <c r="B8" s="19"/>
      <c r="C8" s="19"/>
      <c r="D8" s="20"/>
    </row>
    <row r="9" spans="1:47" x14ac:dyDescent="0.3">
      <c r="A9" s="8" t="s">
        <v>243</v>
      </c>
      <c r="B9" s="8" t="s">
        <v>239</v>
      </c>
      <c r="C9" s="8" t="s">
        <v>275</v>
      </c>
      <c r="D9" s="8" t="s">
        <v>244</v>
      </c>
    </row>
    <row r="10" spans="1:47" x14ac:dyDescent="0.3">
      <c r="A10" s="9">
        <v>202206</v>
      </c>
      <c r="B10" s="12">
        <v>10000000</v>
      </c>
      <c r="C10" s="15">
        <v>1696880</v>
      </c>
      <c r="D10" s="12">
        <f>B10-C10</f>
        <v>8303120</v>
      </c>
    </row>
    <row r="11" spans="1:47" x14ac:dyDescent="0.3">
      <c r="A11" s="9">
        <v>202207</v>
      </c>
      <c r="B11" s="12"/>
      <c r="C11" s="15">
        <v>652549</v>
      </c>
      <c r="D11" s="12">
        <f>D10-C11</f>
        <v>7650571</v>
      </c>
    </row>
    <row r="12" spans="1:47" x14ac:dyDescent="0.3">
      <c r="A12" s="9">
        <v>202208</v>
      </c>
      <c r="B12" s="12"/>
      <c r="C12" s="12">
        <v>179823</v>
      </c>
      <c r="D12" s="12">
        <f>D11-C12</f>
        <v>7470748</v>
      </c>
    </row>
    <row r="13" spans="1:47" x14ac:dyDescent="0.3">
      <c r="A13" s="9">
        <v>202209</v>
      </c>
      <c r="B13" s="12"/>
      <c r="C13" s="12">
        <v>95408</v>
      </c>
      <c r="D13" s="12">
        <f>D12-C13</f>
        <v>7375340</v>
      </c>
    </row>
    <row r="14" spans="1:47" x14ac:dyDescent="0.3">
      <c r="A14" s="9">
        <v>202210</v>
      </c>
      <c r="B14" s="12"/>
      <c r="C14" s="12">
        <v>44613</v>
      </c>
      <c r="D14" s="12">
        <f>D13-C14</f>
        <v>7330727</v>
      </c>
    </row>
    <row r="15" spans="1:47" x14ac:dyDescent="0.3">
      <c r="A15" s="9">
        <v>202211</v>
      </c>
      <c r="B15" s="12"/>
      <c r="C15" s="12">
        <f>AU6</f>
        <v>54585</v>
      </c>
      <c r="D15" s="12">
        <f>D14-C15</f>
        <v>7276142</v>
      </c>
    </row>
    <row r="16" spans="1:47" x14ac:dyDescent="0.3">
      <c r="A16" s="17" t="s">
        <v>242</v>
      </c>
      <c r="B16" s="18">
        <f>SUM(B10:B12)</f>
        <v>10000000</v>
      </c>
      <c r="C16" s="18">
        <f>SUM(C10:C15)</f>
        <v>2723858</v>
      </c>
      <c r="D16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합계(11)</vt:lpstr>
      <vt:lpstr>청빙</vt:lpstr>
      <vt:lpstr>김광수</vt:lpstr>
      <vt:lpstr>김정연</vt:lpstr>
      <vt:lpstr>김운담</vt:lpstr>
      <vt:lpstr>무장</vt:lpstr>
      <vt:lpstr>틴타</vt:lpstr>
      <vt:lpstr>프레인</vt:lpstr>
      <vt:lpstr>아이리스</vt:lpstr>
      <vt:lpstr>몸서리</vt:lpstr>
      <vt:lpstr>룽다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2022-12-05T07:14:51Z</dcterms:modified>
</cp:coreProperties>
</file>