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11월 매출\1. 월초마감\네이버\"/>
    </mc:Choice>
  </mc:AlternateContent>
  <bookViews>
    <workbookView xWindow="0" yWindow="0" windowWidth="2175" windowHeight="0" tabRatio="766"/>
  </bookViews>
  <sheets>
    <sheet name="합계(11)" sheetId="412" r:id="rId1"/>
  </sheets>
  <definedNames>
    <definedName name="_xlnm._FilterDatabase" localSheetId="0" hidden="1">'합계(11)'!$A$1:$AM$1</definedName>
    <definedName name="_xlnm.Extract" localSheetId="0">'합계(11)'!#REF!</definedName>
  </definedNames>
  <calcPr calcId="152511"/>
</workbook>
</file>

<file path=xl/calcChain.xml><?xml version="1.0" encoding="utf-8"?>
<calcChain xmlns="http://schemas.openxmlformats.org/spreadsheetml/2006/main">
  <c r="C47" i="412" l="1"/>
  <c r="D47" i="412"/>
  <c r="D48" i="412"/>
  <c r="C49" i="412"/>
  <c r="BN6" i="412" l="1"/>
  <c r="BO6" i="412" s="1"/>
  <c r="BN5" i="412"/>
  <c r="BO5" i="412" s="1"/>
  <c r="BN3" i="412"/>
  <c r="BP6" i="412" l="1"/>
  <c r="B49" i="412"/>
  <c r="BO3" i="412" l="1"/>
  <c r="BN4" i="412"/>
  <c r="BO4" i="412" s="1"/>
  <c r="BN2" i="412"/>
  <c r="BO2" i="412" l="1"/>
  <c r="BO7" i="412" s="1"/>
  <c r="D10" i="412"/>
  <c r="D11" i="412" s="1"/>
  <c r="D12" i="412" s="1"/>
  <c r="D13" i="412" s="1"/>
  <c r="D14" i="412" s="1"/>
  <c r="D15" i="412" s="1"/>
  <c r="D16" i="412" s="1"/>
  <c r="D17" i="412" s="1"/>
  <c r="D18" i="412" s="1"/>
  <c r="D19" i="412" s="1"/>
  <c r="D20" i="412" s="1"/>
  <c r="D21" i="412" s="1"/>
  <c r="D22" i="412" s="1"/>
  <c r="D23" i="412" s="1"/>
  <c r="D24" i="412" s="1"/>
  <c r="D25" i="412" s="1"/>
  <c r="D26" i="412" s="1"/>
  <c r="D27" i="412" s="1"/>
  <c r="D28" i="412" s="1"/>
  <c r="D29" i="412" s="1"/>
  <c r="D30" i="412" s="1"/>
  <c r="D31" i="412" s="1"/>
  <c r="D32" i="412" s="1"/>
  <c r="D33" i="412" s="1"/>
  <c r="D34" i="412" s="1"/>
  <c r="D35" i="412" s="1"/>
  <c r="D36" i="412" s="1"/>
  <c r="D37" i="412" s="1"/>
  <c r="D38" i="412" s="1"/>
  <c r="D39" i="412" s="1"/>
  <c r="D40" i="412" s="1"/>
  <c r="D41" i="412" s="1"/>
  <c r="D42" i="412" s="1"/>
  <c r="BP4" i="412" l="1"/>
  <c r="D43" i="412" l="1"/>
  <c r="D44" i="412" s="1"/>
  <c r="D45" i="412" s="1"/>
  <c r="D46" i="412" s="1"/>
</calcChain>
</file>

<file path=xl/sharedStrings.xml><?xml version="1.0" encoding="utf-8"?>
<sst xmlns="http://schemas.openxmlformats.org/spreadsheetml/2006/main" count="129" uniqueCount="105">
  <si>
    <t>컨텐츠</t>
  </si>
  <si>
    <t>컨텐츠No</t>
  </si>
  <si>
    <t>공급자코드</t>
  </si>
  <si>
    <t>CP명</t>
  </si>
  <si>
    <t>작가명</t>
  </si>
  <si>
    <t>출판사</t>
  </si>
  <si>
    <t>서비스일</t>
  </si>
  <si>
    <t>합계</t>
  </si>
  <si>
    <t>앱마켓수수료</t>
  </si>
  <si>
    <t>&lt;사비타&gt; MG차감내역</t>
    <phoneticPr fontId="20" type="noConversion"/>
  </si>
  <si>
    <t>월</t>
    <phoneticPr fontId="20" type="noConversion"/>
  </si>
  <si>
    <t>MG</t>
    <phoneticPr fontId="20" type="noConversion"/>
  </si>
  <si>
    <t>차감액</t>
    <phoneticPr fontId="20" type="noConversion"/>
  </si>
  <si>
    <t>잔여액</t>
    <phoneticPr fontId="20" type="noConversion"/>
  </si>
  <si>
    <t xml:space="preserve"> </t>
    <phoneticPr fontId="20" type="noConversion"/>
  </si>
  <si>
    <t>21.07(US)</t>
    <phoneticPr fontId="20" type="noConversion"/>
  </si>
  <si>
    <t>21.08(US)</t>
    <phoneticPr fontId="20" type="noConversion"/>
  </si>
  <si>
    <t>21.09(US)</t>
    <phoneticPr fontId="20" type="noConversion"/>
  </si>
  <si>
    <t>21.10</t>
    <phoneticPr fontId="20" type="noConversion"/>
  </si>
  <si>
    <t>21.10(US/JP)</t>
    <phoneticPr fontId="20" type="noConversion"/>
  </si>
  <si>
    <t>21.11(US/JP/FR)</t>
    <phoneticPr fontId="20" type="noConversion"/>
  </si>
  <si>
    <t>21.12(US/JP/FR)</t>
    <phoneticPr fontId="20" type="noConversion"/>
  </si>
  <si>
    <t>22.01(US/JP/FR)</t>
    <phoneticPr fontId="20" type="noConversion"/>
  </si>
  <si>
    <t>22.02(US/JP/FR)</t>
    <phoneticPr fontId="20" type="noConversion"/>
  </si>
  <si>
    <t>22.03(JP/US/FR)</t>
    <phoneticPr fontId="20" type="noConversion"/>
  </si>
  <si>
    <t>합계</t>
    <phoneticPr fontId="20" type="noConversion"/>
  </si>
  <si>
    <t>22.04(JP/FR/DE)</t>
    <phoneticPr fontId="20" type="noConversion"/>
  </si>
  <si>
    <t>22.06(JP/FR/DE)</t>
    <phoneticPr fontId="20" type="noConversion"/>
  </si>
  <si>
    <t>22.05(JP/FR/DE)</t>
    <phoneticPr fontId="20" type="noConversion"/>
  </si>
  <si>
    <t>사랑은 비를 타고 [독점]</t>
  </si>
  <si>
    <t>스토리위즈_사랑은비를타고_MG</t>
  </si>
  <si>
    <t>예리</t>
  </si>
  <si>
    <t>스토리위즈</t>
  </si>
  <si>
    <t>전체이용가</t>
  </si>
  <si>
    <t>2022.04.27</t>
  </si>
  <si>
    <t>시리즈 완전판(APP)</t>
    <phoneticPr fontId="20" type="noConversion"/>
  </si>
  <si>
    <t>시리즈(iOS)</t>
    <phoneticPr fontId="20" type="noConversion"/>
  </si>
  <si>
    <t>N스토어(PC)</t>
    <phoneticPr fontId="20" type="noConversion"/>
  </si>
  <si>
    <t>PC뷰어(PC)</t>
    <phoneticPr fontId="20" type="noConversion"/>
  </si>
  <si>
    <t>22.07(JP/FR/DE/US)</t>
    <phoneticPr fontId="20" type="noConversion"/>
  </si>
  <si>
    <t>구분</t>
    <phoneticPr fontId="20" type="noConversion"/>
  </si>
  <si>
    <t>나이제한</t>
    <phoneticPr fontId="20" type="noConversion"/>
  </si>
  <si>
    <t>대여권_건수</t>
    <phoneticPr fontId="20" type="noConversion"/>
  </si>
  <si>
    <t>대여권_비정산</t>
    <phoneticPr fontId="20" type="noConversion"/>
  </si>
  <si>
    <t>대여권_무료이용권</t>
    <phoneticPr fontId="20" type="noConversion"/>
  </si>
  <si>
    <t>대여권_유상쿠키</t>
    <phoneticPr fontId="20" type="noConversion"/>
  </si>
  <si>
    <t>대여권_무상쿠키</t>
    <phoneticPr fontId="20" type="noConversion"/>
  </si>
  <si>
    <t>대여권_유상i쿠키</t>
    <phoneticPr fontId="20" type="noConversion"/>
  </si>
  <si>
    <t>대여권_무상i쿠키</t>
    <phoneticPr fontId="20" type="noConversion"/>
  </si>
  <si>
    <t>대여권_유상자동충전쿠키</t>
    <phoneticPr fontId="20" type="noConversion"/>
  </si>
  <si>
    <t>대여권_무상자동충전쿠키</t>
    <phoneticPr fontId="20" type="noConversion"/>
  </si>
  <si>
    <t>소장권_건수</t>
    <phoneticPr fontId="20" type="noConversion"/>
  </si>
  <si>
    <t>소장권_
비정산</t>
    <phoneticPr fontId="20" type="noConversion"/>
  </si>
  <si>
    <t>소장권_무료이용권</t>
    <phoneticPr fontId="20" type="noConversion"/>
  </si>
  <si>
    <t>소장권_유상쿠키</t>
    <phoneticPr fontId="20" type="noConversion"/>
  </si>
  <si>
    <t>소장권_무상쿠키</t>
    <phoneticPr fontId="20" type="noConversion"/>
  </si>
  <si>
    <t>소장권_유상i쿠키</t>
    <phoneticPr fontId="20" type="noConversion"/>
  </si>
  <si>
    <t>소장권_무상i쿠키</t>
    <phoneticPr fontId="20" type="noConversion"/>
  </si>
  <si>
    <t>소장권_유상자동충전쿠키</t>
    <phoneticPr fontId="20" type="noConversion"/>
  </si>
  <si>
    <t>소장권_무상자동충전쿠키</t>
    <phoneticPr fontId="20" type="noConversion"/>
  </si>
  <si>
    <t>쿠키로대여_건수</t>
    <phoneticPr fontId="20" type="noConversion"/>
  </si>
  <si>
    <t>쿠키로 대여_유상</t>
    <phoneticPr fontId="20" type="noConversion"/>
  </si>
  <si>
    <t>쿠키로 대여_무상</t>
    <phoneticPr fontId="20" type="noConversion"/>
  </si>
  <si>
    <t>쿠키로 구매_건수</t>
    <phoneticPr fontId="20" type="noConversion"/>
  </si>
  <si>
    <t>쿠키로 구매_유상</t>
    <phoneticPr fontId="20" type="noConversion"/>
  </si>
  <si>
    <t>쿠키로 구매_무상</t>
    <phoneticPr fontId="20" type="noConversion"/>
  </si>
  <si>
    <t>i쿠키로 대여_건수</t>
    <phoneticPr fontId="20" type="noConversion"/>
  </si>
  <si>
    <t>i쿠키로 대여_유상</t>
    <phoneticPr fontId="20" type="noConversion"/>
  </si>
  <si>
    <t>i쿠키로 대여_무상</t>
    <phoneticPr fontId="20" type="noConversion"/>
  </si>
  <si>
    <t>i쿠키로 구매_건수</t>
    <phoneticPr fontId="20" type="noConversion"/>
  </si>
  <si>
    <t>i쿠키로 구매_유상</t>
    <phoneticPr fontId="20" type="noConversion"/>
  </si>
  <si>
    <t>i쿠키로 구매_무상</t>
    <phoneticPr fontId="20" type="noConversion"/>
  </si>
  <si>
    <t>자동충전 쿠키로 대여_건수</t>
    <phoneticPr fontId="20" type="noConversion"/>
  </si>
  <si>
    <t>자동충전 쿠키로 대여_유상</t>
    <phoneticPr fontId="20" type="noConversion"/>
  </si>
  <si>
    <t>자동충전 쿠키로 대여_무상</t>
    <phoneticPr fontId="20" type="noConversion"/>
  </si>
  <si>
    <t>자동충전 쿠키로 구매_건수</t>
    <phoneticPr fontId="20" type="noConversion"/>
  </si>
  <si>
    <t>자동충전 쿠키로 구매_유상</t>
    <phoneticPr fontId="20" type="noConversion"/>
  </si>
  <si>
    <t>자동충전 쿠키로 구매_무상</t>
    <phoneticPr fontId="20" type="noConversion"/>
  </si>
  <si>
    <t>구글 쿠키로 대여_건수</t>
    <phoneticPr fontId="20" type="noConversion"/>
  </si>
  <si>
    <t>구글 쿠키로 대여_유상</t>
    <phoneticPr fontId="20" type="noConversion"/>
  </si>
  <si>
    <t>구글 쿠키로 대여_무상</t>
    <phoneticPr fontId="20" type="noConversion"/>
  </si>
  <si>
    <t>구글 쿠키로 구매_건수</t>
    <phoneticPr fontId="20" type="noConversion"/>
  </si>
  <si>
    <t>구글 쿠키로 구매_유상</t>
    <phoneticPr fontId="20" type="noConversion"/>
  </si>
  <si>
    <t>구글 쿠키로 구매_무상</t>
    <phoneticPr fontId="20" type="noConversion"/>
  </si>
  <si>
    <t>구글 외부 쿠키로 대여_건수</t>
    <phoneticPr fontId="20" type="noConversion"/>
  </si>
  <si>
    <t>구글 외부 쿠키로 대여_유상</t>
    <phoneticPr fontId="20" type="noConversion"/>
  </si>
  <si>
    <t>구글 외부 쿠키로 대여_무상</t>
    <phoneticPr fontId="20" type="noConversion"/>
  </si>
  <si>
    <t>구글 외부 쿠키로 구매_건수</t>
    <phoneticPr fontId="20" type="noConversion"/>
  </si>
  <si>
    <t>구글 외부 쿠키로 구매_유상</t>
    <phoneticPr fontId="20" type="noConversion"/>
  </si>
  <si>
    <t>구글 외부 쿠키로 구매_무상</t>
    <phoneticPr fontId="20" type="noConversion"/>
  </si>
  <si>
    <t>원스토어 쿠키로 대여_건수</t>
    <phoneticPr fontId="20" type="noConversion"/>
  </si>
  <si>
    <t>원스토어 쿠키로 대여_유상</t>
    <phoneticPr fontId="20" type="noConversion"/>
  </si>
  <si>
    <t>원스토어 쿠키로 대여_무상</t>
    <phoneticPr fontId="20" type="noConversion"/>
  </si>
  <si>
    <t>원스토어 쿠키로 구매_건수</t>
    <phoneticPr fontId="20" type="noConversion"/>
  </si>
  <si>
    <t>원스토어 쿠키로 구매_유상</t>
    <phoneticPr fontId="20" type="noConversion"/>
  </si>
  <si>
    <t>원스토어 쿠키로 구매_무상</t>
    <phoneticPr fontId="20" type="noConversion"/>
  </si>
  <si>
    <t>순매출(합계-수수료)</t>
    <phoneticPr fontId="20" type="noConversion"/>
  </si>
  <si>
    <t>SW 매출</t>
    <phoneticPr fontId="20" type="noConversion"/>
  </si>
  <si>
    <t>APP 매출</t>
    <phoneticPr fontId="20" type="noConversion"/>
  </si>
  <si>
    <t>WEB 매출</t>
    <phoneticPr fontId="20" type="noConversion"/>
  </si>
  <si>
    <t>22.09(JP/FR/DE/US)</t>
    <phoneticPr fontId="20" type="noConversion"/>
  </si>
  <si>
    <t>22.08(JP/FR/DE/US)</t>
  </si>
  <si>
    <t>22.10(JP/FR/DE/US)</t>
    <phoneticPr fontId="20" type="noConversion"/>
  </si>
  <si>
    <t>시리즈(APP)</t>
    <phoneticPr fontId="20" type="noConversion"/>
  </si>
  <si>
    <t>22.11(JP/FR/DE/US)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</si>
</sst>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7"/>
      <color theme="1"/>
      <name val="맑은 고딕"/>
      <family val="3"/>
      <charset val="129"/>
      <scheme val="minor"/>
    </font>
    <font>
      <b/>
      <sz val="7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7"/>
      <color rgb="FFFF0000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2"/>
      <color theme="1"/>
      <name val="굴림"/>
      <family val="3"/>
      <charset val="129"/>
    </font>
    <font>
      <sz val="8"/>
      <color theme="1"/>
      <name val="맑은 고딕"/>
      <family val="3"/>
      <charset val="129"/>
      <scheme val="minor"/>
    </font>
    <font>
      <sz val="7"/>
      <color rgb="FF000000"/>
      <name val="맑은 고딕"/>
      <family val="3"/>
      <charset val="129"/>
    </font>
    <font>
      <sz val="8"/>
      <color theme="1"/>
      <name val="맑은 고딕"/>
      <family val="2"/>
      <charset val="129"/>
      <scheme val="minor"/>
    </font>
    <font>
      <b/>
      <sz val="6"/>
      <color theme="1"/>
      <name val="맑은 고딕"/>
      <family val="3"/>
      <charset val="129"/>
      <scheme val="minor"/>
    </font>
    <font>
      <sz val="8"/>
      <color rgb="FF000000"/>
      <name val="맑은 고딕"/>
      <family val="3"/>
      <charset val="129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rgb="FF000000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5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0" xfId="0" applyFont="1" applyFill="1" applyBorder="1" applyAlignment="1">
      <alignment vertical="center" wrapText="1"/>
    </xf>
    <xf numFmtId="0" fontId="18" fillId="33" borderId="0" xfId="0" applyFont="1" applyFill="1" applyBorder="1" applyAlignment="1">
      <alignment vertical="center" wrapText="1"/>
    </xf>
    <xf numFmtId="0" fontId="19" fillId="34" borderId="0" xfId="0" applyFont="1" applyFill="1" applyBorder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1" fillId="0" borderId="0" xfId="0" applyNumberFormat="1" applyFont="1" applyAlignment="1">
      <alignment vertical="center" wrapText="1"/>
    </xf>
    <xf numFmtId="0" fontId="21" fillId="0" borderId="0" xfId="0" applyFont="1" applyAlignment="1">
      <alignment vertical="center" wrapText="1"/>
    </xf>
    <xf numFmtId="0" fontId="19" fillId="33" borderId="0" xfId="0" applyFont="1" applyFill="1" applyAlignment="1">
      <alignment horizontal="center" vertical="center" wrapText="1"/>
    </xf>
    <xf numFmtId="41" fontId="0" fillId="0" borderId="0" xfId="42" applyFont="1">
      <alignment vertical="center"/>
    </xf>
    <xf numFmtId="0" fontId="18" fillId="33" borderId="0" xfId="0" applyFont="1" applyFill="1" applyAlignment="1">
      <alignment vertical="center" wrapText="1"/>
    </xf>
    <xf numFmtId="0" fontId="22" fillId="0" borderId="0" xfId="0" applyFont="1" applyBorder="1">
      <alignment vertical="center"/>
    </xf>
    <xf numFmtId="0" fontId="18" fillId="0" borderId="0" xfId="0" applyFont="1" applyBorder="1" applyAlignment="1">
      <alignment horizontal="center" vertical="center"/>
    </xf>
    <xf numFmtId="0" fontId="18" fillId="0" borderId="0" xfId="0" applyFont="1" applyBorder="1">
      <alignment vertical="center"/>
    </xf>
    <xf numFmtId="3" fontId="23" fillId="0" borderId="0" xfId="0" applyNumberFormat="1" applyFont="1">
      <alignment vertical="center"/>
    </xf>
    <xf numFmtId="0" fontId="24" fillId="35" borderId="10" xfId="0" applyFont="1" applyFill="1" applyBorder="1" applyAlignment="1">
      <alignment horizontal="center" vertical="center"/>
    </xf>
    <xf numFmtId="0" fontId="18" fillId="35" borderId="10" xfId="0" applyFont="1" applyFill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3" fontId="18" fillId="0" borderId="10" xfId="0" applyNumberFormat="1" applyFont="1" applyBorder="1" applyAlignment="1">
      <alignment horizontal="right" vertical="center"/>
    </xf>
    <xf numFmtId="41" fontId="18" fillId="0" borderId="10" xfId="0" applyNumberFormat="1" applyFont="1" applyBorder="1">
      <alignment vertical="center"/>
    </xf>
    <xf numFmtId="41" fontId="18" fillId="0" borderId="10" xfId="42" applyFont="1" applyBorder="1">
      <alignment vertical="center"/>
    </xf>
    <xf numFmtId="0" fontId="24" fillId="36" borderId="10" xfId="0" applyFont="1" applyFill="1" applyBorder="1" applyAlignment="1">
      <alignment horizontal="center" vertical="center"/>
    </xf>
    <xf numFmtId="3" fontId="18" fillId="36" borderId="10" xfId="0" applyNumberFormat="1" applyFont="1" applyFill="1" applyBorder="1" applyAlignment="1">
      <alignment horizontal="right" vertical="center"/>
    </xf>
    <xf numFmtId="41" fontId="18" fillId="36" borderId="10" xfId="0" applyNumberFormat="1" applyFont="1" applyFill="1" applyBorder="1">
      <alignment vertical="center"/>
    </xf>
    <xf numFmtId="41" fontId="18" fillId="36" borderId="10" xfId="42" applyFont="1" applyFill="1" applyBorder="1">
      <alignment vertical="center"/>
    </xf>
    <xf numFmtId="3" fontId="18" fillId="0" borderId="0" xfId="0" applyNumberFormat="1" applyFont="1" applyBorder="1">
      <alignment vertical="center"/>
    </xf>
    <xf numFmtId="0" fontId="24" fillId="0" borderId="10" xfId="0" quotePrefix="1" applyFont="1" applyFill="1" applyBorder="1" applyAlignment="1">
      <alignment horizontal="center" vertical="center"/>
    </xf>
    <xf numFmtId="3" fontId="18" fillId="0" borderId="10" xfId="0" applyNumberFormat="1" applyFont="1" applyFill="1" applyBorder="1" applyAlignment="1">
      <alignment horizontal="right" vertical="center"/>
    </xf>
    <xf numFmtId="41" fontId="18" fillId="0" borderId="10" xfId="0" applyNumberFormat="1" applyFont="1" applyFill="1" applyBorder="1">
      <alignment vertical="center"/>
    </xf>
    <xf numFmtId="41" fontId="18" fillId="0" borderId="10" xfId="42" applyFont="1" applyFill="1" applyBorder="1">
      <alignment vertical="center"/>
    </xf>
    <xf numFmtId="0" fontId="24" fillId="36" borderId="10" xfId="0" quotePrefix="1" applyFont="1" applyFill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41" fontId="25" fillId="0" borderId="10" xfId="0" applyNumberFormat="1" applyFont="1" applyFill="1" applyBorder="1">
      <alignment vertical="center"/>
    </xf>
    <xf numFmtId="41" fontId="25" fillId="37" borderId="10" xfId="0" applyNumberFormat="1" applyFont="1" applyFill="1" applyBorder="1">
      <alignment vertical="center"/>
    </xf>
    <xf numFmtId="0" fontId="24" fillId="36" borderId="10" xfId="0" quotePrefix="1" applyFont="1" applyFill="1" applyBorder="1">
      <alignment vertical="center"/>
    </xf>
    <xf numFmtId="0" fontId="18" fillId="36" borderId="10" xfId="0" applyFont="1" applyFill="1" applyBorder="1" applyAlignment="1">
      <alignment horizontal="center" vertical="center"/>
    </xf>
    <xf numFmtId="41" fontId="21" fillId="0" borderId="0" xfId="0" applyNumberFormat="1" applyFont="1" applyBorder="1">
      <alignment vertical="center"/>
    </xf>
    <xf numFmtId="41" fontId="24" fillId="0" borderId="0" xfId="42" applyFont="1" applyAlignment="1">
      <alignment vertical="center" wrapText="1"/>
    </xf>
    <xf numFmtId="41" fontId="26" fillId="0" borderId="0" xfId="0" applyNumberFormat="1" applyFont="1">
      <alignment vertical="center"/>
    </xf>
    <xf numFmtId="0" fontId="26" fillId="0" borderId="0" xfId="0" applyFont="1">
      <alignment vertical="center"/>
    </xf>
    <xf numFmtId="0" fontId="24" fillId="0" borderId="0" xfId="0" applyFont="1">
      <alignment vertical="center"/>
    </xf>
    <xf numFmtId="41" fontId="24" fillId="0" borderId="0" xfId="0" applyNumberFormat="1" applyFont="1">
      <alignment vertical="center"/>
    </xf>
    <xf numFmtId="41" fontId="18" fillId="0" borderId="0" xfId="42" applyFont="1" applyAlignment="1">
      <alignment vertical="center" wrapText="1"/>
    </xf>
    <xf numFmtId="41" fontId="27" fillId="34" borderId="0" xfId="42" applyFont="1" applyFill="1" applyAlignment="1">
      <alignment vertical="center" wrapText="1"/>
    </xf>
    <xf numFmtId="0" fontId="28" fillId="0" borderId="10" xfId="0" quotePrefix="1" applyFont="1" applyFill="1" applyBorder="1" applyAlignment="1">
      <alignment horizontal="center" vertical="center"/>
    </xf>
    <xf numFmtId="3" fontId="25" fillId="0" borderId="10" xfId="0" applyNumberFormat="1" applyFont="1" applyFill="1" applyBorder="1" applyAlignment="1">
      <alignment horizontal="right" vertical="center"/>
    </xf>
    <xf numFmtId="0" fontId="28" fillId="37" borderId="10" xfId="0" quotePrefix="1" applyFont="1" applyFill="1" applyBorder="1">
      <alignment vertical="center"/>
    </xf>
    <xf numFmtId="0" fontId="25" fillId="37" borderId="10" xfId="0" applyFont="1" applyFill="1" applyBorder="1" applyAlignment="1">
      <alignment horizontal="center" vertical="center"/>
    </xf>
    <xf numFmtId="41" fontId="25" fillId="37" borderId="10" xfId="42" applyFont="1" applyFill="1" applyBorder="1">
      <alignment vertical="center"/>
    </xf>
    <xf numFmtId="0" fontId="18" fillId="0" borderId="10" xfId="0" applyFont="1" applyFill="1" applyBorder="1" applyAlignment="1">
      <alignment horizontal="center" vertical="center"/>
    </xf>
    <xf numFmtId="2" fontId="24" fillId="0" borderId="10" xfId="0" quotePrefix="1" applyNumberFormat="1" applyFont="1" applyFill="1" applyBorder="1" applyAlignment="1">
      <alignment horizontal="center" vertical="center"/>
    </xf>
    <xf numFmtId="0" fontId="18" fillId="0" borderId="0" xfId="0" applyFont="1">
      <alignment vertical="center"/>
    </xf>
    <xf numFmtId="0" fontId="18" fillId="0" borderId="0" xfId="0" applyFont="1" applyFill="1" applyBorder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Q452"/>
  <sheetViews>
    <sheetView tabSelected="1" zoomScale="115" zoomScaleNormal="115" workbookViewId="0">
      <selection activeCell="C49" sqref="C49"/>
    </sheetView>
  </sheetViews>
  <sheetFormatPr defaultRowHeight="16.5" x14ac:dyDescent="0.3"/>
  <cols>
    <col min="1" max="1" width="11.875" style="1" customWidth="1"/>
    <col min="2" max="2" width="20" bestFit="1" customWidth="1"/>
    <col min="3" max="3" width="7.75" bestFit="1" customWidth="1"/>
    <col min="4" max="4" width="8.375" bestFit="1" customWidth="1"/>
    <col min="5" max="5" width="10" customWidth="1"/>
    <col min="6" max="6" width="10.25" customWidth="1"/>
    <col min="7" max="7" width="10" bestFit="1" customWidth="1"/>
    <col min="8" max="8" width="13.625" customWidth="1"/>
    <col min="9" max="9" width="7.375" customWidth="1"/>
    <col min="10" max="10" width="4.25" customWidth="1"/>
    <col min="11" max="11" width="4.75" customWidth="1"/>
    <col min="12" max="12" width="7.25" customWidth="1"/>
    <col min="13" max="13" width="6.75" customWidth="1"/>
    <col min="14" max="14" width="6" customWidth="1"/>
    <col min="15" max="16" width="6.25" customWidth="1"/>
    <col min="17" max="17" width="5" customWidth="1"/>
    <col min="18" max="18" width="4.75" customWidth="1"/>
    <col min="19" max="19" width="7.25" customWidth="1"/>
    <col min="20" max="20" width="6.75" customWidth="1"/>
    <col min="21" max="21" width="6" customWidth="1"/>
    <col min="22" max="23" width="6.25" customWidth="1"/>
    <col min="24" max="24" width="3.625" customWidth="1"/>
    <col min="25" max="25" width="5" customWidth="1"/>
    <col min="26" max="27" width="3.625" customWidth="1"/>
    <col min="28" max="28" width="4.25" bestFit="1" customWidth="1"/>
    <col min="29" max="29" width="6.75" bestFit="1" customWidth="1"/>
    <col min="30" max="30" width="5.75" bestFit="1" customWidth="1"/>
    <col min="31" max="31" width="5" bestFit="1" customWidth="1"/>
    <col min="32" max="33" width="6.75" bestFit="1" customWidth="1"/>
    <col min="34" max="35" width="3.625" customWidth="1"/>
    <col min="36" max="36" width="12.75" bestFit="1" customWidth="1"/>
    <col min="37" max="38" width="12.875" bestFit="1" customWidth="1"/>
    <col min="39" max="39" width="15.75" bestFit="1" customWidth="1"/>
    <col min="48" max="48" width="13.875" bestFit="1" customWidth="1"/>
    <col min="65" max="65" width="12.75" bestFit="1" customWidth="1"/>
    <col min="66" max="66" width="13.5" bestFit="1" customWidth="1"/>
    <col min="67" max="67" width="13.375" style="13" customWidth="1"/>
  </cols>
  <sheetData>
    <row r="1" spans="1:69" ht="27" customHeight="1" x14ac:dyDescent="0.3">
      <c r="A1" s="2" t="s">
        <v>40</v>
      </c>
      <c r="B1" s="2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 s="2" t="s">
        <v>5</v>
      </c>
      <c r="H1" s="3" t="s">
        <v>41</v>
      </c>
      <c r="I1" s="14" t="s">
        <v>6</v>
      </c>
      <c r="J1" s="12" t="s">
        <v>42</v>
      </c>
      <c r="K1" s="12" t="s">
        <v>43</v>
      </c>
      <c r="L1" s="12" t="s">
        <v>44</v>
      </c>
      <c r="M1" s="12" t="s">
        <v>45</v>
      </c>
      <c r="N1" s="12" t="s">
        <v>46</v>
      </c>
      <c r="O1" s="12" t="s">
        <v>47</v>
      </c>
      <c r="P1" s="12" t="s">
        <v>48</v>
      </c>
      <c r="Q1" s="12" t="s">
        <v>49</v>
      </c>
      <c r="R1" s="12" t="s">
        <v>50</v>
      </c>
      <c r="S1" s="12" t="s">
        <v>51</v>
      </c>
      <c r="T1" s="12" t="s">
        <v>52</v>
      </c>
      <c r="U1" s="12" t="s">
        <v>53</v>
      </c>
      <c r="V1" s="12" t="s">
        <v>54</v>
      </c>
      <c r="W1" s="12" t="s">
        <v>55</v>
      </c>
      <c r="X1" s="12" t="s">
        <v>56</v>
      </c>
      <c r="Y1" s="12" t="s">
        <v>57</v>
      </c>
      <c r="Z1" s="12" t="s">
        <v>58</v>
      </c>
      <c r="AA1" s="12" t="s">
        <v>59</v>
      </c>
      <c r="AB1" s="12" t="s">
        <v>60</v>
      </c>
      <c r="AC1" s="12" t="s">
        <v>61</v>
      </c>
      <c r="AD1" s="12" t="s">
        <v>62</v>
      </c>
      <c r="AE1" s="12" t="s">
        <v>63</v>
      </c>
      <c r="AF1" s="12" t="s">
        <v>64</v>
      </c>
      <c r="AG1" s="12" t="s">
        <v>65</v>
      </c>
      <c r="AH1" s="12" t="s">
        <v>66</v>
      </c>
      <c r="AI1" s="12" t="s">
        <v>67</v>
      </c>
      <c r="AJ1" s="12" t="s">
        <v>68</v>
      </c>
      <c r="AK1" s="12" t="s">
        <v>69</v>
      </c>
      <c r="AL1" s="12" t="s">
        <v>70</v>
      </c>
      <c r="AM1" s="12" t="s">
        <v>71</v>
      </c>
      <c r="AN1" s="12" t="s">
        <v>72</v>
      </c>
      <c r="AO1" s="12" t="s">
        <v>73</v>
      </c>
      <c r="AP1" s="12" t="s">
        <v>74</v>
      </c>
      <c r="AQ1" s="12" t="s">
        <v>75</v>
      </c>
      <c r="AR1" s="12" t="s">
        <v>76</v>
      </c>
      <c r="AS1" s="12" t="s">
        <v>77</v>
      </c>
      <c r="AT1" s="12" t="s">
        <v>78</v>
      </c>
      <c r="AU1" s="12" t="s">
        <v>79</v>
      </c>
      <c r="AV1" s="12" t="s">
        <v>80</v>
      </c>
      <c r="AW1" s="12" t="s">
        <v>81</v>
      </c>
      <c r="AX1" s="12" t="s">
        <v>82</v>
      </c>
      <c r="AY1" s="12" t="s">
        <v>83</v>
      </c>
      <c r="AZ1" s="12" t="s">
        <v>84</v>
      </c>
      <c r="BA1" s="12" t="s">
        <v>85</v>
      </c>
      <c r="BB1" s="12" t="s">
        <v>86</v>
      </c>
      <c r="BC1" s="12" t="s">
        <v>87</v>
      </c>
      <c r="BD1" s="12" t="s">
        <v>88</v>
      </c>
      <c r="BE1" s="12" t="s">
        <v>89</v>
      </c>
      <c r="BF1" s="12" t="s">
        <v>90</v>
      </c>
      <c r="BG1" s="12" t="s">
        <v>91</v>
      </c>
      <c r="BH1" s="12" t="s">
        <v>92</v>
      </c>
      <c r="BI1" s="12" t="s">
        <v>93</v>
      </c>
      <c r="BJ1" s="12" t="s">
        <v>94</v>
      </c>
      <c r="BK1" s="12" t="s">
        <v>95</v>
      </c>
      <c r="BL1" s="12" t="s">
        <v>8</v>
      </c>
      <c r="BM1" s="12" t="s">
        <v>7</v>
      </c>
      <c r="BN1" s="12" t="s">
        <v>96</v>
      </c>
      <c r="BO1" s="12" t="s">
        <v>97</v>
      </c>
    </row>
    <row r="2" spans="1:69" s="55" customFormat="1" ht="19.5" x14ac:dyDescent="0.3">
      <c r="A2" s="5" t="s">
        <v>103</v>
      </c>
      <c r="B2" s="5" t="s">
        <v>29</v>
      </c>
      <c r="C2" s="5">
        <v>423644</v>
      </c>
      <c r="D2" s="6"/>
      <c r="E2" s="5" t="s">
        <v>30</v>
      </c>
      <c r="F2" s="5" t="s">
        <v>31</v>
      </c>
      <c r="G2" s="5" t="s">
        <v>32</v>
      </c>
      <c r="H2" s="7" t="s">
        <v>33</v>
      </c>
      <c r="I2" s="7" t="s">
        <v>34</v>
      </c>
      <c r="J2" s="7">
        <v>2</v>
      </c>
      <c r="K2" s="7">
        <v>504</v>
      </c>
      <c r="L2" s="7">
        <v>400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53</v>
      </c>
      <c r="AC2" s="7">
        <v>200</v>
      </c>
      <c r="AD2" s="8">
        <v>10400</v>
      </c>
      <c r="AE2" s="7">
        <v>1</v>
      </c>
      <c r="AF2" s="7">
        <v>0</v>
      </c>
      <c r="AG2" s="7">
        <v>400</v>
      </c>
      <c r="AH2" s="7">
        <v>0</v>
      </c>
      <c r="AI2" s="7">
        <v>0</v>
      </c>
      <c r="AJ2" s="7">
        <v>0</v>
      </c>
      <c r="AK2" s="7">
        <v>0</v>
      </c>
      <c r="AL2" s="7">
        <v>0</v>
      </c>
      <c r="AM2" s="7">
        <v>0</v>
      </c>
      <c r="AN2" s="7">
        <v>9</v>
      </c>
      <c r="AO2" s="8">
        <v>1800</v>
      </c>
      <c r="AP2" s="7">
        <v>0</v>
      </c>
      <c r="AQ2" s="7">
        <v>0</v>
      </c>
      <c r="AR2" s="7">
        <v>0</v>
      </c>
      <c r="AS2" s="7">
        <v>0</v>
      </c>
      <c r="AT2" s="7">
        <v>0</v>
      </c>
      <c r="AU2" s="7">
        <v>0</v>
      </c>
      <c r="AV2" s="7">
        <v>0</v>
      </c>
      <c r="AW2" s="7">
        <v>0</v>
      </c>
      <c r="AX2" s="7">
        <v>0</v>
      </c>
      <c r="AY2" s="7">
        <v>0</v>
      </c>
      <c r="AZ2" s="7">
        <v>31</v>
      </c>
      <c r="BA2" s="8">
        <v>7440</v>
      </c>
      <c r="BB2" s="7">
        <v>0</v>
      </c>
      <c r="BC2" s="7">
        <v>1</v>
      </c>
      <c r="BD2" s="7">
        <v>480</v>
      </c>
      <c r="BE2" s="7">
        <v>0</v>
      </c>
      <c r="BF2" s="7">
        <v>0</v>
      </c>
      <c r="BG2" s="7">
        <v>0</v>
      </c>
      <c r="BH2" s="7">
        <v>0</v>
      </c>
      <c r="BI2" s="7">
        <v>0</v>
      </c>
      <c r="BJ2" s="7">
        <v>0</v>
      </c>
      <c r="BK2" s="7">
        <v>0</v>
      </c>
      <c r="BL2" s="7">
        <v>475.2</v>
      </c>
      <c r="BM2" s="10">
        <v>21120</v>
      </c>
      <c r="BN2" s="46">
        <f>BM2-BL2</f>
        <v>20644.8</v>
      </c>
      <c r="BO2" s="46">
        <f>BN2*60%</f>
        <v>12386.88</v>
      </c>
    </row>
    <row r="3" spans="1:69" x14ac:dyDescent="0.3">
      <c r="A3" s="5" t="s">
        <v>35</v>
      </c>
      <c r="B3" s="5" t="s">
        <v>29</v>
      </c>
      <c r="C3" s="5">
        <v>423644</v>
      </c>
      <c r="D3" s="6"/>
      <c r="E3" s="5" t="s">
        <v>30</v>
      </c>
      <c r="F3" s="5" t="s">
        <v>31</v>
      </c>
      <c r="G3" s="5" t="s">
        <v>32</v>
      </c>
      <c r="H3" s="7" t="s">
        <v>33</v>
      </c>
      <c r="I3" s="7" t="s">
        <v>34</v>
      </c>
      <c r="J3" s="7">
        <v>2</v>
      </c>
      <c r="K3" s="8">
        <v>508</v>
      </c>
      <c r="L3" s="7">
        <v>400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38</v>
      </c>
      <c r="AC3" s="8">
        <v>0</v>
      </c>
      <c r="AD3" s="8">
        <v>7600</v>
      </c>
      <c r="AE3" s="7">
        <v>23</v>
      </c>
      <c r="AF3" s="7">
        <v>0</v>
      </c>
      <c r="AG3" s="8">
        <v>9200</v>
      </c>
      <c r="AH3" s="7">
        <v>0</v>
      </c>
      <c r="AI3" s="7">
        <v>0</v>
      </c>
      <c r="AJ3" s="7">
        <v>0</v>
      </c>
      <c r="AK3" s="7">
        <v>0</v>
      </c>
      <c r="AL3" s="7">
        <v>0</v>
      </c>
      <c r="AM3" s="7">
        <v>0</v>
      </c>
      <c r="AN3" s="7">
        <v>2</v>
      </c>
      <c r="AO3" s="8">
        <v>400</v>
      </c>
      <c r="AP3" s="7">
        <v>0</v>
      </c>
      <c r="AQ3" s="7">
        <v>29</v>
      </c>
      <c r="AR3" s="8">
        <v>11600</v>
      </c>
      <c r="AS3" s="7">
        <v>0</v>
      </c>
      <c r="AT3" s="7">
        <v>0</v>
      </c>
      <c r="AU3" s="7">
        <v>0</v>
      </c>
      <c r="AV3" s="7">
        <v>0</v>
      </c>
      <c r="AW3" s="7">
        <v>0</v>
      </c>
      <c r="AX3" s="7">
        <v>0</v>
      </c>
      <c r="AY3" s="7">
        <v>0</v>
      </c>
      <c r="AZ3" s="7">
        <v>0</v>
      </c>
      <c r="BA3" s="8">
        <v>0</v>
      </c>
      <c r="BB3" s="7">
        <v>0</v>
      </c>
      <c r="BC3" s="7">
        <v>0</v>
      </c>
      <c r="BD3" s="7">
        <v>0</v>
      </c>
      <c r="BE3" s="7">
        <v>0</v>
      </c>
      <c r="BF3" s="7">
        <v>0</v>
      </c>
      <c r="BG3" s="8">
        <v>0</v>
      </c>
      <c r="BH3" s="7">
        <v>0</v>
      </c>
      <c r="BI3" s="7">
        <v>0</v>
      </c>
      <c r="BJ3" s="8">
        <v>0</v>
      </c>
      <c r="BK3" s="7">
        <v>0</v>
      </c>
      <c r="BL3" s="9">
        <v>0</v>
      </c>
      <c r="BM3" s="10">
        <v>29200</v>
      </c>
      <c r="BN3" s="46">
        <f t="shared" ref="BN3:BN4" si="0">BM3-BL3</f>
        <v>29200</v>
      </c>
      <c r="BO3" s="46">
        <f t="shared" ref="BO3:BO4" si="1">BN3*60%</f>
        <v>17520</v>
      </c>
    </row>
    <row r="4" spans="1:69" x14ac:dyDescent="0.3">
      <c r="A4" s="5" t="s">
        <v>36</v>
      </c>
      <c r="B4" s="5" t="s">
        <v>29</v>
      </c>
      <c r="C4" s="5">
        <v>423644</v>
      </c>
      <c r="D4" s="6"/>
      <c r="E4" s="5" t="s">
        <v>30</v>
      </c>
      <c r="F4" s="5" t="s">
        <v>31</v>
      </c>
      <c r="G4" s="5" t="s">
        <v>32</v>
      </c>
      <c r="H4" s="7" t="s">
        <v>33</v>
      </c>
      <c r="I4" s="7" t="s">
        <v>34</v>
      </c>
      <c r="J4" s="7">
        <v>1</v>
      </c>
      <c r="K4" s="8">
        <v>117</v>
      </c>
      <c r="L4" s="7">
        <v>200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1</v>
      </c>
      <c r="AC4" s="8">
        <v>0</v>
      </c>
      <c r="AD4" s="8">
        <v>200</v>
      </c>
      <c r="AE4" s="7">
        <v>0</v>
      </c>
      <c r="AF4" s="7">
        <v>0</v>
      </c>
      <c r="AG4" s="7">
        <v>0</v>
      </c>
      <c r="AH4" s="7">
        <v>35</v>
      </c>
      <c r="AI4" s="8">
        <v>0</v>
      </c>
      <c r="AJ4" s="8">
        <v>7000</v>
      </c>
      <c r="AK4" s="7">
        <v>0</v>
      </c>
      <c r="AL4" s="7">
        <v>0</v>
      </c>
      <c r="AM4" s="7">
        <v>0</v>
      </c>
      <c r="AN4" s="7">
        <v>0</v>
      </c>
      <c r="AO4" s="8">
        <v>0</v>
      </c>
      <c r="AP4" s="7">
        <v>0</v>
      </c>
      <c r="AQ4" s="7">
        <v>0</v>
      </c>
      <c r="AR4" s="8">
        <v>0</v>
      </c>
      <c r="AS4" s="7">
        <v>0</v>
      </c>
      <c r="AT4" s="7">
        <v>0</v>
      </c>
      <c r="AU4" s="7">
        <v>0</v>
      </c>
      <c r="AV4" s="7">
        <v>0</v>
      </c>
      <c r="AW4" s="7">
        <v>0</v>
      </c>
      <c r="AX4" s="7">
        <v>0</v>
      </c>
      <c r="AY4" s="7">
        <v>0</v>
      </c>
      <c r="AZ4" s="7">
        <v>0</v>
      </c>
      <c r="BA4" s="7">
        <v>0</v>
      </c>
      <c r="BB4" s="7">
        <v>0</v>
      </c>
      <c r="BC4" s="7">
        <v>0</v>
      </c>
      <c r="BD4" s="7">
        <v>0</v>
      </c>
      <c r="BE4" s="7">
        <v>0</v>
      </c>
      <c r="BF4" s="7">
        <v>0</v>
      </c>
      <c r="BG4" s="7">
        <v>0</v>
      </c>
      <c r="BH4" s="7">
        <v>0</v>
      </c>
      <c r="BI4" s="7">
        <v>0</v>
      </c>
      <c r="BJ4" s="7">
        <v>0</v>
      </c>
      <c r="BK4" s="7">
        <v>0</v>
      </c>
      <c r="BL4" s="9">
        <v>0</v>
      </c>
      <c r="BM4" s="10">
        <v>7400</v>
      </c>
      <c r="BN4" s="46">
        <f t="shared" si="0"/>
        <v>7400</v>
      </c>
      <c r="BO4" s="46">
        <f t="shared" si="1"/>
        <v>4440</v>
      </c>
      <c r="BP4" s="42">
        <f>SUM(BO2:BO4)</f>
        <v>34346.879999999997</v>
      </c>
      <c r="BQ4" s="43" t="s">
        <v>98</v>
      </c>
    </row>
    <row r="5" spans="1:69" x14ac:dyDescent="0.3">
      <c r="A5" s="5" t="s">
        <v>37</v>
      </c>
      <c r="B5" s="5" t="s">
        <v>29</v>
      </c>
      <c r="C5" s="5">
        <v>423644</v>
      </c>
      <c r="D5" s="6"/>
      <c r="E5" s="5" t="s">
        <v>30</v>
      </c>
      <c r="F5" s="5" t="s">
        <v>31</v>
      </c>
      <c r="G5" s="5" t="s">
        <v>32</v>
      </c>
      <c r="H5" s="7" t="s">
        <v>33</v>
      </c>
      <c r="I5" s="7" t="s">
        <v>34</v>
      </c>
      <c r="J5" s="7">
        <v>0</v>
      </c>
      <c r="K5" s="7">
        <v>6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6</v>
      </c>
      <c r="AF5" s="8">
        <v>2400</v>
      </c>
      <c r="AG5" s="7">
        <v>0</v>
      </c>
      <c r="AH5" s="7">
        <v>0</v>
      </c>
      <c r="AI5" s="7">
        <v>0</v>
      </c>
      <c r="AJ5" s="8">
        <v>0</v>
      </c>
      <c r="AK5" s="7">
        <v>0</v>
      </c>
      <c r="AL5" s="7">
        <v>0</v>
      </c>
      <c r="AM5" s="7">
        <v>0</v>
      </c>
      <c r="AN5" s="7">
        <v>0</v>
      </c>
      <c r="AO5" s="8">
        <v>0</v>
      </c>
      <c r="AP5" s="7">
        <v>0</v>
      </c>
      <c r="AQ5" s="7">
        <v>0</v>
      </c>
      <c r="AR5" s="8">
        <v>0</v>
      </c>
      <c r="AS5" s="7">
        <v>0</v>
      </c>
      <c r="AT5" s="7">
        <v>0</v>
      </c>
      <c r="AU5" s="7">
        <v>0</v>
      </c>
      <c r="AV5" s="7">
        <v>0</v>
      </c>
      <c r="AW5" s="7">
        <v>0</v>
      </c>
      <c r="AX5" s="7">
        <v>0</v>
      </c>
      <c r="AY5" s="7">
        <v>0</v>
      </c>
      <c r="AZ5" s="7">
        <v>0</v>
      </c>
      <c r="BA5" s="7">
        <v>0</v>
      </c>
      <c r="BB5" s="7">
        <v>0</v>
      </c>
      <c r="BC5" s="7">
        <v>0</v>
      </c>
      <c r="BD5" s="7">
        <v>0</v>
      </c>
      <c r="BE5" s="7">
        <v>0</v>
      </c>
      <c r="BF5" s="7">
        <v>0</v>
      </c>
      <c r="BG5" s="7">
        <v>0</v>
      </c>
      <c r="BH5" s="7">
        <v>0</v>
      </c>
      <c r="BI5" s="7">
        <v>0</v>
      </c>
      <c r="BJ5" s="7">
        <v>0</v>
      </c>
      <c r="BK5" s="7">
        <v>0</v>
      </c>
      <c r="BL5" s="9">
        <v>0</v>
      </c>
      <c r="BM5" s="10">
        <v>2400</v>
      </c>
      <c r="BN5" s="46">
        <f t="shared" ref="BN5" si="2">BM5-BL5</f>
        <v>2400</v>
      </c>
      <c r="BO5" s="46">
        <f t="shared" ref="BO5" si="3">BN5*60%</f>
        <v>1440</v>
      </c>
      <c r="BP5" s="44"/>
      <c r="BQ5" s="44"/>
    </row>
    <row r="6" spans="1:69" x14ac:dyDescent="0.3">
      <c r="A6" s="5" t="s">
        <v>38</v>
      </c>
      <c r="B6" s="5" t="s">
        <v>29</v>
      </c>
      <c r="C6" s="5">
        <v>423644</v>
      </c>
      <c r="D6" s="6"/>
      <c r="E6" s="5" t="s">
        <v>30</v>
      </c>
      <c r="F6" s="5" t="s">
        <v>31</v>
      </c>
      <c r="G6" s="5" t="s">
        <v>32</v>
      </c>
      <c r="H6" s="7" t="s">
        <v>33</v>
      </c>
      <c r="I6" s="7" t="s">
        <v>34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1</v>
      </c>
      <c r="AC6" s="7">
        <v>200</v>
      </c>
      <c r="AD6" s="7">
        <v>0</v>
      </c>
      <c r="AE6" s="7">
        <v>24</v>
      </c>
      <c r="AF6" s="8">
        <v>9600</v>
      </c>
      <c r="AG6" s="7">
        <v>0</v>
      </c>
      <c r="AH6" s="7">
        <v>0</v>
      </c>
      <c r="AI6" s="7">
        <v>0</v>
      </c>
      <c r="AJ6" s="8">
        <v>0</v>
      </c>
      <c r="AK6" s="7">
        <v>0</v>
      </c>
      <c r="AL6" s="7">
        <v>0</v>
      </c>
      <c r="AM6" s="7">
        <v>0</v>
      </c>
      <c r="AN6" s="7">
        <v>0</v>
      </c>
      <c r="AO6" s="8">
        <v>0</v>
      </c>
      <c r="AP6" s="7">
        <v>0</v>
      </c>
      <c r="AQ6" s="7">
        <v>0</v>
      </c>
      <c r="AR6" s="8">
        <v>0</v>
      </c>
      <c r="AS6" s="7">
        <v>0</v>
      </c>
      <c r="AT6" s="7">
        <v>0</v>
      </c>
      <c r="AU6" s="7">
        <v>0</v>
      </c>
      <c r="AV6" s="7">
        <v>0</v>
      </c>
      <c r="AW6" s="7">
        <v>0</v>
      </c>
      <c r="AX6" s="7">
        <v>0</v>
      </c>
      <c r="AY6" s="7">
        <v>0</v>
      </c>
      <c r="AZ6" s="7">
        <v>0</v>
      </c>
      <c r="BA6" s="7">
        <v>0</v>
      </c>
      <c r="BB6" s="7">
        <v>0</v>
      </c>
      <c r="BC6" s="7">
        <v>0</v>
      </c>
      <c r="BD6" s="7">
        <v>0</v>
      </c>
      <c r="BE6" s="7">
        <v>0</v>
      </c>
      <c r="BF6" s="7">
        <v>0</v>
      </c>
      <c r="BG6" s="7">
        <v>0</v>
      </c>
      <c r="BH6" s="7">
        <v>0</v>
      </c>
      <c r="BI6" s="7">
        <v>0</v>
      </c>
      <c r="BJ6" s="7">
        <v>0</v>
      </c>
      <c r="BK6" s="7">
        <v>0</v>
      </c>
      <c r="BL6" s="9">
        <v>0</v>
      </c>
      <c r="BM6" s="10">
        <v>9800</v>
      </c>
      <c r="BN6" s="46">
        <f t="shared" ref="BN6" si="4">BM6-BL6</f>
        <v>9800</v>
      </c>
      <c r="BO6" s="46">
        <f>BN6*60%</f>
        <v>5880</v>
      </c>
      <c r="BP6" s="45">
        <f>SUM(BO5:BO6)</f>
        <v>7320</v>
      </c>
      <c r="BQ6" s="44" t="s">
        <v>99</v>
      </c>
    </row>
    <row r="7" spans="1:69" x14ac:dyDescent="0.3">
      <c r="A7" s="5"/>
      <c r="B7" s="5"/>
      <c r="C7" s="5"/>
      <c r="D7" s="6"/>
      <c r="E7" s="5"/>
      <c r="F7" s="5"/>
      <c r="G7" s="5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8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10"/>
      <c r="BN7" s="41"/>
      <c r="BO7" s="47">
        <f>SUM(BO2:BO6)</f>
        <v>41666.879999999997</v>
      </c>
    </row>
    <row r="8" spans="1:69" s="17" customFormat="1" ht="14.25" x14ac:dyDescent="0.3">
      <c r="A8" s="15" t="s">
        <v>9</v>
      </c>
      <c r="B8" s="16"/>
      <c r="AU8" s="18"/>
      <c r="AW8" s="18"/>
      <c r="BO8" s="40"/>
    </row>
    <row r="9" spans="1:69" s="17" customFormat="1" ht="11.25" x14ac:dyDescent="0.3">
      <c r="A9" s="19" t="s">
        <v>10</v>
      </c>
      <c r="B9" s="20" t="s">
        <v>11</v>
      </c>
      <c r="C9" s="20" t="s">
        <v>12</v>
      </c>
      <c r="D9" s="20" t="s">
        <v>13</v>
      </c>
      <c r="J9" s="17" t="s">
        <v>14</v>
      </c>
    </row>
    <row r="10" spans="1:69" s="17" customFormat="1" ht="11.25" x14ac:dyDescent="0.3">
      <c r="A10" s="21">
        <v>21.02</v>
      </c>
      <c r="B10" s="22">
        <v>30000000</v>
      </c>
      <c r="C10" s="23">
        <v>472077</v>
      </c>
      <c r="D10" s="24">
        <f>B10-C10</f>
        <v>29527923</v>
      </c>
    </row>
    <row r="11" spans="1:69" s="17" customFormat="1" ht="11.25" x14ac:dyDescent="0.3">
      <c r="A11" s="21">
        <v>21.03</v>
      </c>
      <c r="B11" s="22"/>
      <c r="C11" s="23">
        <v>408648</v>
      </c>
      <c r="D11" s="24">
        <f t="shared" ref="D11:D32" si="5">D10-C11</f>
        <v>29119275</v>
      </c>
    </row>
    <row r="12" spans="1:69" s="17" customFormat="1" ht="11.25" x14ac:dyDescent="0.3">
      <c r="A12" s="21">
        <v>21.04</v>
      </c>
      <c r="B12" s="22"/>
      <c r="C12" s="23">
        <v>160198.56</v>
      </c>
      <c r="D12" s="24">
        <f t="shared" si="5"/>
        <v>28959076.440000001</v>
      </c>
    </row>
    <row r="13" spans="1:69" s="17" customFormat="1" ht="11.25" x14ac:dyDescent="0.3">
      <c r="A13" s="21">
        <v>21.05</v>
      </c>
      <c r="B13" s="22"/>
      <c r="C13" s="23">
        <v>121166</v>
      </c>
      <c r="D13" s="24">
        <f t="shared" si="5"/>
        <v>28837910.440000001</v>
      </c>
    </row>
    <row r="14" spans="1:69" s="17" customFormat="1" ht="10.9" customHeight="1" x14ac:dyDescent="0.3">
      <c r="A14" s="21">
        <v>21.06</v>
      </c>
      <c r="B14" s="22"/>
      <c r="C14" s="23">
        <v>290693</v>
      </c>
      <c r="D14" s="24">
        <f t="shared" si="5"/>
        <v>28547217.440000001</v>
      </c>
    </row>
    <row r="15" spans="1:69" s="17" customFormat="1" ht="11.25" x14ac:dyDescent="0.3">
      <c r="A15" s="25" t="s">
        <v>15</v>
      </c>
      <c r="B15" s="26"/>
      <c r="C15" s="27">
        <v>1204515</v>
      </c>
      <c r="D15" s="28">
        <f t="shared" si="5"/>
        <v>27342702.440000001</v>
      </c>
    </row>
    <row r="16" spans="1:69" s="17" customFormat="1" ht="11.25" x14ac:dyDescent="0.3">
      <c r="A16" s="21">
        <v>21.07</v>
      </c>
      <c r="B16" s="22"/>
      <c r="C16" s="23">
        <v>188088</v>
      </c>
      <c r="D16" s="24">
        <f t="shared" si="5"/>
        <v>27154614.440000001</v>
      </c>
      <c r="AU16" s="29"/>
      <c r="AW16" s="29"/>
    </row>
    <row r="17" spans="1:49" s="17" customFormat="1" ht="11.25" x14ac:dyDescent="0.3">
      <c r="A17" s="21">
        <v>21.08</v>
      </c>
      <c r="B17" s="22"/>
      <c r="C17" s="23">
        <v>118512</v>
      </c>
      <c r="D17" s="24">
        <f t="shared" si="5"/>
        <v>27036102.440000001</v>
      </c>
      <c r="AU17" s="29"/>
      <c r="AW17" s="29"/>
    </row>
    <row r="18" spans="1:49" s="17" customFormat="1" ht="11.25" x14ac:dyDescent="0.3">
      <c r="A18" s="25" t="s">
        <v>16</v>
      </c>
      <c r="B18" s="26"/>
      <c r="C18" s="27">
        <v>844621</v>
      </c>
      <c r="D18" s="28">
        <f t="shared" si="5"/>
        <v>26191481.440000001</v>
      </c>
      <c r="AU18" s="29"/>
      <c r="AW18" s="29"/>
    </row>
    <row r="19" spans="1:49" s="17" customFormat="1" ht="11.25" x14ac:dyDescent="0.3">
      <c r="A19" s="21">
        <v>21.09</v>
      </c>
      <c r="B19" s="22"/>
      <c r="C19" s="23">
        <v>322027</v>
      </c>
      <c r="D19" s="24">
        <f t="shared" si="5"/>
        <v>25869454.440000001</v>
      </c>
      <c r="AU19" s="29"/>
      <c r="AW19" s="29"/>
    </row>
    <row r="20" spans="1:49" s="17" customFormat="1" ht="11.25" x14ac:dyDescent="0.3">
      <c r="A20" s="25" t="s">
        <v>17</v>
      </c>
      <c r="B20" s="26"/>
      <c r="C20" s="27">
        <v>552842</v>
      </c>
      <c r="D20" s="28">
        <f t="shared" si="5"/>
        <v>25316612.440000001</v>
      </c>
      <c r="AU20" s="29"/>
      <c r="AW20" s="29"/>
    </row>
    <row r="21" spans="1:49" s="17" customFormat="1" ht="11.25" x14ac:dyDescent="0.3">
      <c r="A21" s="30" t="s">
        <v>18</v>
      </c>
      <c r="B21" s="31"/>
      <c r="C21" s="32">
        <v>91790.399999999994</v>
      </c>
      <c r="D21" s="33">
        <f t="shared" si="5"/>
        <v>25224822.040000003</v>
      </c>
      <c r="AU21" s="29"/>
      <c r="AW21" s="29"/>
    </row>
    <row r="22" spans="1:49" s="17" customFormat="1" ht="11.25" x14ac:dyDescent="0.3">
      <c r="A22" s="34" t="s">
        <v>19</v>
      </c>
      <c r="B22" s="26"/>
      <c r="C22" s="27">
        <v>605653</v>
      </c>
      <c r="D22" s="28">
        <f t="shared" si="5"/>
        <v>24619169.040000003</v>
      </c>
      <c r="AU22" s="29"/>
      <c r="AW22" s="29"/>
    </row>
    <row r="23" spans="1:49" s="17" customFormat="1" ht="11.25" x14ac:dyDescent="0.3">
      <c r="A23" s="34" t="s">
        <v>20</v>
      </c>
      <c r="B23" s="26"/>
      <c r="C23" s="27">
        <v>547220</v>
      </c>
      <c r="D23" s="28">
        <f t="shared" si="5"/>
        <v>24071949.040000003</v>
      </c>
      <c r="AU23" s="29"/>
      <c r="AW23" s="29"/>
    </row>
    <row r="24" spans="1:49" s="17" customFormat="1" ht="10.9" customHeight="1" x14ac:dyDescent="0.3">
      <c r="A24" s="30">
        <v>21.11</v>
      </c>
      <c r="B24" s="31"/>
      <c r="C24" s="32">
        <v>25450</v>
      </c>
      <c r="D24" s="33">
        <f t="shared" si="5"/>
        <v>24046499.040000003</v>
      </c>
      <c r="AU24" s="29"/>
      <c r="AW24" s="29"/>
    </row>
    <row r="25" spans="1:49" s="17" customFormat="1" ht="11.25" x14ac:dyDescent="0.3">
      <c r="A25" s="34" t="s">
        <v>21</v>
      </c>
      <c r="B25" s="26"/>
      <c r="C25" s="27">
        <v>457391</v>
      </c>
      <c r="D25" s="28">
        <f t="shared" si="5"/>
        <v>23589108.040000003</v>
      </c>
      <c r="AU25" s="29"/>
      <c r="AW25" s="29"/>
    </row>
    <row r="26" spans="1:49" s="17" customFormat="1" ht="11.25" x14ac:dyDescent="0.3">
      <c r="A26" s="30">
        <v>21.12</v>
      </c>
      <c r="B26" s="31"/>
      <c r="C26" s="32">
        <v>23400</v>
      </c>
      <c r="D26" s="33">
        <f t="shared" si="5"/>
        <v>23565708.040000003</v>
      </c>
      <c r="AU26" s="29"/>
      <c r="AW26" s="29"/>
    </row>
    <row r="27" spans="1:49" s="17" customFormat="1" ht="11.25" x14ac:dyDescent="0.3">
      <c r="A27" s="34" t="s">
        <v>22</v>
      </c>
      <c r="B27" s="26"/>
      <c r="C27" s="27">
        <v>477210</v>
      </c>
      <c r="D27" s="28">
        <f t="shared" si="5"/>
        <v>23088498.040000003</v>
      </c>
      <c r="AU27" s="29"/>
      <c r="AW27" s="29"/>
    </row>
    <row r="28" spans="1:49" s="17" customFormat="1" ht="11.25" x14ac:dyDescent="0.3">
      <c r="A28" s="30">
        <v>22.01</v>
      </c>
      <c r="B28" s="31"/>
      <c r="C28" s="32">
        <v>260419.20000000001</v>
      </c>
      <c r="D28" s="33">
        <f t="shared" si="5"/>
        <v>22828078.840000004</v>
      </c>
      <c r="AU28" s="29"/>
      <c r="AW28" s="29"/>
    </row>
    <row r="29" spans="1:49" s="17" customFormat="1" ht="11.25" x14ac:dyDescent="0.3">
      <c r="A29" s="34" t="s">
        <v>23</v>
      </c>
      <c r="B29" s="26"/>
      <c r="C29" s="27">
        <v>295476</v>
      </c>
      <c r="D29" s="28">
        <f t="shared" si="5"/>
        <v>22532602.840000004</v>
      </c>
      <c r="AU29" s="29"/>
      <c r="AW29" s="29"/>
    </row>
    <row r="30" spans="1:49" s="17" customFormat="1" ht="11.25" x14ac:dyDescent="0.3">
      <c r="A30" s="30">
        <v>22.02</v>
      </c>
      <c r="B30" s="31"/>
      <c r="C30" s="36">
        <v>482780.27999999991</v>
      </c>
      <c r="D30" s="33">
        <f t="shared" si="5"/>
        <v>22049822.560000002</v>
      </c>
      <c r="AU30" s="29"/>
      <c r="AW30" s="29"/>
    </row>
    <row r="31" spans="1:49" s="17" customFormat="1" ht="11.25" x14ac:dyDescent="0.3">
      <c r="A31" s="30">
        <v>22.03</v>
      </c>
      <c r="B31" s="31"/>
      <c r="C31" s="36">
        <v>905174.87999999989</v>
      </c>
      <c r="D31" s="33">
        <f t="shared" si="5"/>
        <v>21144647.680000003</v>
      </c>
      <c r="AU31" s="29"/>
      <c r="AW31" s="29"/>
    </row>
    <row r="32" spans="1:49" s="17" customFormat="1" ht="11.25" x14ac:dyDescent="0.3">
      <c r="A32" s="34" t="s">
        <v>24</v>
      </c>
      <c r="B32" s="26"/>
      <c r="C32" s="37">
        <v>113872</v>
      </c>
      <c r="D32" s="28">
        <f t="shared" si="5"/>
        <v>21030775.680000003</v>
      </c>
      <c r="AU32" s="29"/>
      <c r="AW32" s="29"/>
    </row>
    <row r="33" spans="1:49" s="17" customFormat="1" ht="19.899999999999999" customHeight="1" x14ac:dyDescent="0.3">
      <c r="A33" s="30">
        <v>22.04</v>
      </c>
      <c r="B33" s="35"/>
      <c r="C33" s="36">
        <v>905174.87999999989</v>
      </c>
      <c r="D33" s="33">
        <f t="shared" ref="D33:D38" si="6">D32-C33</f>
        <v>20125600.800000004</v>
      </c>
    </row>
    <row r="34" spans="1:49" s="17" customFormat="1" ht="11.25" x14ac:dyDescent="0.3">
      <c r="A34" s="34" t="s">
        <v>26</v>
      </c>
      <c r="B34" s="26"/>
      <c r="C34" s="37">
        <v>169682</v>
      </c>
      <c r="D34" s="28">
        <f t="shared" si="6"/>
        <v>19955918.800000004</v>
      </c>
      <c r="AU34" s="29"/>
      <c r="AW34" s="29"/>
    </row>
    <row r="35" spans="1:49" s="17" customFormat="1" ht="11.25" x14ac:dyDescent="0.3">
      <c r="A35" s="30">
        <v>22.05</v>
      </c>
      <c r="B35" s="31"/>
      <c r="C35" s="32">
        <v>1300003.9799999997</v>
      </c>
      <c r="D35" s="33">
        <f t="shared" si="6"/>
        <v>18655914.820000004</v>
      </c>
      <c r="AU35" s="29"/>
      <c r="AW35" s="29"/>
    </row>
    <row r="36" spans="1:49" s="17" customFormat="1" ht="11.25" x14ac:dyDescent="0.3">
      <c r="A36" s="38" t="s">
        <v>28</v>
      </c>
      <c r="B36" s="39"/>
      <c r="C36" s="28">
        <v>105406</v>
      </c>
      <c r="D36" s="28">
        <f t="shared" si="6"/>
        <v>18550508.820000004</v>
      </c>
    </row>
    <row r="37" spans="1:49" s="17" customFormat="1" ht="11.25" x14ac:dyDescent="0.3">
      <c r="A37" s="30">
        <v>22.06</v>
      </c>
      <c r="B37" s="31"/>
      <c r="C37" s="32">
        <v>103000</v>
      </c>
      <c r="D37" s="33">
        <f t="shared" si="6"/>
        <v>18447508.820000004</v>
      </c>
      <c r="AU37" s="29"/>
      <c r="AW37" s="29"/>
    </row>
    <row r="38" spans="1:49" s="17" customFormat="1" ht="11.25" x14ac:dyDescent="0.3">
      <c r="A38" s="38" t="s">
        <v>27</v>
      </c>
      <c r="B38" s="39"/>
      <c r="C38" s="28">
        <v>588627</v>
      </c>
      <c r="D38" s="28">
        <f t="shared" si="6"/>
        <v>17858881.820000004</v>
      </c>
    </row>
    <row r="39" spans="1:49" s="17" customFormat="1" ht="11.25" x14ac:dyDescent="0.3">
      <c r="A39" s="30">
        <v>22.07</v>
      </c>
      <c r="B39" s="31"/>
      <c r="C39" s="32">
        <v>21828.480000000003</v>
      </c>
      <c r="D39" s="33">
        <f t="shared" ref="D39:D43" si="7">D38-C39</f>
        <v>17837053.340000004</v>
      </c>
    </row>
    <row r="40" spans="1:49" s="17" customFormat="1" ht="11.25" x14ac:dyDescent="0.3">
      <c r="A40" s="38" t="s">
        <v>39</v>
      </c>
      <c r="B40" s="39"/>
      <c r="C40" s="28">
        <v>631815</v>
      </c>
      <c r="D40" s="28">
        <f t="shared" si="7"/>
        <v>17205238.340000004</v>
      </c>
    </row>
    <row r="41" spans="1:49" s="17" customFormat="1" ht="11.25" x14ac:dyDescent="0.3">
      <c r="A41" s="48">
        <v>22.08</v>
      </c>
      <c r="B41" s="49"/>
      <c r="C41" s="36">
        <v>22375.68</v>
      </c>
      <c r="D41" s="33">
        <f t="shared" si="7"/>
        <v>17182862.660000004</v>
      </c>
    </row>
    <row r="42" spans="1:49" s="17" customFormat="1" ht="11.25" x14ac:dyDescent="0.3">
      <c r="A42" s="50" t="s">
        <v>101</v>
      </c>
      <c r="B42" s="51"/>
      <c r="C42" s="52">
        <v>557461</v>
      </c>
      <c r="D42" s="28">
        <f t="shared" si="7"/>
        <v>16625401.660000004</v>
      </c>
    </row>
    <row r="43" spans="1:49" s="17" customFormat="1" ht="11.25" x14ac:dyDescent="0.3">
      <c r="A43" s="30">
        <v>22.09</v>
      </c>
      <c r="B43" s="31"/>
      <c r="C43" s="32">
        <v>464043.95999999996</v>
      </c>
      <c r="D43" s="33">
        <f t="shared" si="7"/>
        <v>16161357.700000003</v>
      </c>
    </row>
    <row r="44" spans="1:49" s="17" customFormat="1" ht="11.25" x14ac:dyDescent="0.3">
      <c r="A44" s="38" t="s">
        <v>100</v>
      </c>
      <c r="B44" s="39"/>
      <c r="C44" s="28">
        <v>290215</v>
      </c>
      <c r="D44" s="28">
        <f>D43-C44</f>
        <v>15871142.700000003</v>
      </c>
    </row>
    <row r="45" spans="1:49" s="17" customFormat="1" ht="11.25" x14ac:dyDescent="0.3">
      <c r="A45" s="54">
        <v>22.1</v>
      </c>
      <c r="B45" s="53"/>
      <c r="C45" s="33">
        <v>128070</v>
      </c>
      <c r="D45" s="33">
        <f>D44-C45</f>
        <v>15743072.700000003</v>
      </c>
    </row>
    <row r="46" spans="1:49" s="17" customFormat="1" ht="11.25" x14ac:dyDescent="0.3">
      <c r="A46" s="38" t="s">
        <v>102</v>
      </c>
      <c r="B46" s="39"/>
      <c r="C46" s="28">
        <v>117731</v>
      </c>
      <c r="D46" s="28">
        <f>D45-C46</f>
        <v>15625341.700000003</v>
      </c>
    </row>
    <row r="47" spans="1:49" s="56" customFormat="1" ht="11.25" x14ac:dyDescent="0.3">
      <c r="A47" s="54">
        <v>22.11</v>
      </c>
      <c r="B47" s="53"/>
      <c r="C47" s="33">
        <f>BO7</f>
        <v>41666.879999999997</v>
      </c>
      <c r="D47" s="33">
        <f>D46-C47</f>
        <v>15583674.820000002</v>
      </c>
    </row>
    <row r="48" spans="1:49" s="17" customFormat="1" ht="11.25" x14ac:dyDescent="0.3">
      <c r="A48" s="38" t="s">
        <v>104</v>
      </c>
      <c r="B48" s="39"/>
      <c r="C48" s="28">
        <v>119554</v>
      </c>
      <c r="D48" s="28">
        <f>D47-C48</f>
        <v>15464120.820000002</v>
      </c>
    </row>
    <row r="49" spans="1:65" s="17" customFormat="1" ht="11.25" x14ac:dyDescent="0.3">
      <c r="A49" s="19" t="s">
        <v>25</v>
      </c>
      <c r="B49" s="22">
        <f>SUM(B10:B38)</f>
        <v>30000000</v>
      </c>
      <c r="C49" s="22">
        <f>SUM(C10:C48)</f>
        <v>14535879.180000002</v>
      </c>
      <c r="D49" s="22"/>
    </row>
    <row r="50" spans="1:65" x14ac:dyDescent="0.3">
      <c r="A50" s="5"/>
      <c r="B50" s="5"/>
      <c r="C50" s="5"/>
      <c r="D50" s="6"/>
      <c r="E50" s="5"/>
      <c r="F50" s="5"/>
      <c r="G50" s="5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11"/>
    </row>
    <row r="51" spans="1:65" x14ac:dyDescent="0.3">
      <c r="A51" s="5"/>
      <c r="B51" s="5"/>
      <c r="C51" s="5"/>
      <c r="D51" s="6"/>
      <c r="E51" s="5"/>
      <c r="F51" s="5"/>
      <c r="G51" s="5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11"/>
    </row>
    <row r="52" spans="1:65" x14ac:dyDescent="0.3">
      <c r="A52" s="5"/>
      <c r="B52" s="5"/>
      <c r="C52" s="5"/>
      <c r="D52" s="6"/>
      <c r="E52" s="5"/>
      <c r="F52" s="5"/>
      <c r="G52" s="5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8"/>
      <c r="AG52" s="8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10"/>
    </row>
    <row r="53" spans="1:65" x14ac:dyDescent="0.3">
      <c r="A53" s="5"/>
      <c r="B53" s="5"/>
      <c r="C53" s="5"/>
      <c r="D53" s="6"/>
      <c r="E53" s="5"/>
      <c r="F53" s="5"/>
      <c r="G53" s="5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8"/>
      <c r="AG53" s="8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10"/>
    </row>
    <row r="54" spans="1:65" x14ac:dyDescent="0.3">
      <c r="A54" s="5"/>
      <c r="B54" s="5"/>
      <c r="C54" s="5"/>
      <c r="D54" s="6"/>
      <c r="E54" s="5"/>
      <c r="F54" s="5"/>
      <c r="G54" s="5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8"/>
      <c r="AG54" s="8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10"/>
    </row>
    <row r="55" spans="1:65" x14ac:dyDescent="0.3">
      <c r="A55" s="5"/>
      <c r="B55" s="5"/>
      <c r="C55" s="5"/>
      <c r="D55" s="6"/>
      <c r="E55" s="5"/>
      <c r="F55" s="5"/>
      <c r="G55" s="5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8"/>
      <c r="AG55" s="8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8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10"/>
    </row>
    <row r="56" spans="1:65" x14ac:dyDescent="0.3">
      <c r="A56" s="5"/>
      <c r="B56" s="5"/>
      <c r="C56" s="5"/>
      <c r="D56" s="6"/>
      <c r="E56" s="5"/>
      <c r="F56" s="5"/>
      <c r="G56" s="5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8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8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10"/>
    </row>
    <row r="57" spans="1:65" x14ac:dyDescent="0.3">
      <c r="A57" s="5"/>
      <c r="B57" s="5"/>
      <c r="C57" s="5"/>
      <c r="D57" s="6"/>
      <c r="E57" s="5"/>
      <c r="F57" s="5"/>
      <c r="G57" s="5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8"/>
      <c r="AG57" s="8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8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10"/>
    </row>
    <row r="58" spans="1:65" x14ac:dyDescent="0.3">
      <c r="A58" s="5"/>
      <c r="B58" s="5"/>
      <c r="C58" s="5"/>
      <c r="D58" s="6"/>
      <c r="E58" s="5"/>
      <c r="F58" s="5"/>
      <c r="G58" s="5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8"/>
      <c r="AG58" s="8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10"/>
    </row>
    <row r="59" spans="1:65" x14ac:dyDescent="0.3">
      <c r="A59" s="5"/>
      <c r="B59" s="5"/>
      <c r="C59" s="5"/>
      <c r="D59" s="6"/>
      <c r="E59" s="5"/>
      <c r="F59" s="5"/>
      <c r="G59" s="5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8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10"/>
    </row>
    <row r="60" spans="1:65" x14ac:dyDescent="0.3">
      <c r="A60" s="5"/>
      <c r="B60" s="5"/>
      <c r="C60" s="5"/>
      <c r="D60" s="6"/>
      <c r="E60" s="5"/>
      <c r="F60" s="5"/>
      <c r="G60" s="5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8"/>
      <c r="AG60" s="8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8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10"/>
    </row>
    <row r="61" spans="1:65" x14ac:dyDescent="0.3">
      <c r="A61" s="5"/>
      <c r="B61" s="5"/>
      <c r="C61" s="5"/>
      <c r="D61" s="6"/>
      <c r="E61" s="5"/>
      <c r="F61" s="5"/>
      <c r="G61" s="5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8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10"/>
    </row>
    <row r="62" spans="1:65" x14ac:dyDescent="0.3">
      <c r="A62" s="5"/>
      <c r="B62" s="5"/>
      <c r="C62" s="5"/>
      <c r="D62" s="6"/>
      <c r="E62" s="5"/>
      <c r="F62" s="5"/>
      <c r="G62" s="5"/>
      <c r="H62" s="7"/>
      <c r="I62" s="7"/>
      <c r="J62" s="7"/>
      <c r="K62" s="7"/>
      <c r="L62" s="8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8"/>
      <c r="AG62" s="8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10"/>
    </row>
    <row r="63" spans="1:65" x14ac:dyDescent="0.3">
      <c r="A63" s="5"/>
      <c r="B63" s="5"/>
      <c r="C63" s="5"/>
      <c r="D63" s="6"/>
      <c r="E63" s="5"/>
      <c r="F63" s="5"/>
      <c r="G63" s="5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8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8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10"/>
    </row>
    <row r="64" spans="1:65" x14ac:dyDescent="0.3">
      <c r="A64" s="5"/>
      <c r="B64" s="5"/>
      <c r="C64" s="5"/>
      <c r="D64" s="6"/>
      <c r="E64" s="5"/>
      <c r="F64" s="5"/>
      <c r="G64" s="5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8"/>
      <c r="AG64" s="8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8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10"/>
    </row>
    <row r="65" spans="1:65" x14ac:dyDescent="0.3">
      <c r="A65" s="5"/>
      <c r="B65" s="5"/>
      <c r="C65" s="5"/>
      <c r="D65" s="6"/>
      <c r="E65" s="5"/>
      <c r="F65" s="5"/>
      <c r="G65" s="5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8"/>
      <c r="AG65" s="8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10"/>
    </row>
    <row r="66" spans="1:65" x14ac:dyDescent="0.3">
      <c r="A66" s="5"/>
      <c r="B66" s="5"/>
      <c r="C66" s="5"/>
      <c r="D66" s="6"/>
      <c r="E66" s="5"/>
      <c r="F66" s="5"/>
      <c r="G66" s="5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8"/>
      <c r="AG66" s="8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8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10"/>
    </row>
    <row r="67" spans="1:65" x14ac:dyDescent="0.3">
      <c r="A67" s="5"/>
      <c r="B67" s="5"/>
      <c r="C67" s="5"/>
      <c r="D67" s="6"/>
      <c r="E67" s="5"/>
      <c r="F67" s="5"/>
      <c r="G67" s="5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8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10"/>
    </row>
    <row r="68" spans="1:65" x14ac:dyDescent="0.3">
      <c r="A68" s="5"/>
      <c r="B68" s="5"/>
      <c r="C68" s="5"/>
      <c r="D68" s="6"/>
      <c r="E68" s="5"/>
      <c r="F68" s="5"/>
      <c r="G68" s="5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8"/>
      <c r="AG68" s="8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10"/>
    </row>
    <row r="69" spans="1:65" x14ac:dyDescent="0.3">
      <c r="A69" s="5"/>
      <c r="B69" s="5"/>
      <c r="C69" s="5"/>
      <c r="D69" s="6"/>
      <c r="E69" s="5"/>
      <c r="F69" s="5"/>
      <c r="G69" s="5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8"/>
      <c r="AG69" s="8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10"/>
    </row>
    <row r="70" spans="1:65" x14ac:dyDescent="0.3">
      <c r="A70" s="5"/>
      <c r="B70" s="5"/>
      <c r="C70" s="5"/>
      <c r="D70" s="6"/>
      <c r="E70" s="5"/>
      <c r="F70" s="5"/>
      <c r="G70" s="5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8"/>
      <c r="AG70" s="8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10"/>
    </row>
    <row r="71" spans="1:65" x14ac:dyDescent="0.3">
      <c r="A71" s="5"/>
      <c r="B71" s="5"/>
      <c r="C71" s="5"/>
      <c r="D71" s="6"/>
      <c r="E71" s="5"/>
      <c r="F71" s="5"/>
      <c r="G71" s="5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8"/>
      <c r="AG71" s="8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10"/>
    </row>
    <row r="72" spans="1:65" x14ac:dyDescent="0.3">
      <c r="A72" s="5"/>
      <c r="B72" s="5"/>
      <c r="C72" s="5"/>
      <c r="D72" s="6"/>
      <c r="E72" s="5"/>
      <c r="F72" s="5"/>
      <c r="G72" s="5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8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10"/>
    </row>
    <row r="73" spans="1:65" x14ac:dyDescent="0.3">
      <c r="A73" s="5"/>
      <c r="B73" s="5"/>
      <c r="C73" s="5"/>
      <c r="D73" s="6"/>
      <c r="E73" s="5"/>
      <c r="F73" s="5"/>
      <c r="G73" s="5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8"/>
      <c r="AG73" s="8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8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10"/>
    </row>
    <row r="74" spans="1:65" x14ac:dyDescent="0.3">
      <c r="A74" s="5"/>
      <c r="B74" s="5"/>
      <c r="C74" s="5"/>
      <c r="D74" s="6"/>
      <c r="E74" s="5"/>
      <c r="F74" s="5"/>
      <c r="G74" s="5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8"/>
      <c r="AG74" s="8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8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10"/>
    </row>
    <row r="75" spans="1:65" x14ac:dyDescent="0.3">
      <c r="A75" s="5"/>
      <c r="B75" s="5"/>
      <c r="C75" s="5"/>
      <c r="D75" s="6"/>
      <c r="E75" s="5"/>
      <c r="F75" s="5"/>
      <c r="G75" s="5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8"/>
      <c r="AG75" s="8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10"/>
    </row>
    <row r="76" spans="1:65" x14ac:dyDescent="0.3">
      <c r="A76" s="5"/>
      <c r="B76" s="5"/>
      <c r="C76" s="5"/>
      <c r="D76" s="6"/>
      <c r="E76" s="5"/>
      <c r="F76" s="5"/>
      <c r="G76" s="5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8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8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10"/>
    </row>
    <row r="77" spans="1:65" x14ac:dyDescent="0.3">
      <c r="A77" s="5"/>
      <c r="B77" s="5"/>
      <c r="C77" s="5"/>
      <c r="D77" s="6"/>
      <c r="E77" s="5"/>
      <c r="F77" s="5"/>
      <c r="G77" s="5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8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8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10"/>
    </row>
    <row r="78" spans="1:65" x14ac:dyDescent="0.3">
      <c r="A78" s="5"/>
      <c r="B78" s="5"/>
      <c r="C78" s="5"/>
      <c r="D78" s="6"/>
      <c r="E78" s="5"/>
      <c r="F78" s="5"/>
      <c r="G78" s="5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8"/>
      <c r="AG78" s="8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10"/>
    </row>
    <row r="79" spans="1:65" x14ac:dyDescent="0.3">
      <c r="A79" s="5"/>
      <c r="B79" s="5"/>
      <c r="C79" s="5"/>
      <c r="D79" s="6"/>
      <c r="E79" s="5"/>
      <c r="F79" s="5"/>
      <c r="G79" s="5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8"/>
      <c r="AG79" s="8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10"/>
    </row>
    <row r="80" spans="1:65" x14ac:dyDescent="0.3">
      <c r="A80" s="5"/>
      <c r="B80" s="5"/>
      <c r="C80" s="5"/>
      <c r="D80" s="6"/>
      <c r="E80" s="5"/>
      <c r="F80" s="5"/>
      <c r="G80" s="5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8"/>
      <c r="AG80" s="8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8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10"/>
    </row>
    <row r="81" spans="1:65" x14ac:dyDescent="0.3">
      <c r="A81" s="5"/>
      <c r="B81" s="5"/>
      <c r="C81" s="5"/>
      <c r="D81" s="6"/>
      <c r="E81" s="5"/>
      <c r="F81" s="5"/>
      <c r="G81" s="5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8"/>
      <c r="AG81" s="8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10"/>
    </row>
    <row r="82" spans="1:65" x14ac:dyDescent="0.3">
      <c r="A82" s="5"/>
      <c r="B82" s="5"/>
      <c r="C82" s="5"/>
      <c r="D82" s="6"/>
      <c r="E82" s="5"/>
      <c r="F82" s="5"/>
      <c r="G82" s="5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8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8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10"/>
    </row>
    <row r="83" spans="1:65" x14ac:dyDescent="0.3">
      <c r="A83" s="5"/>
      <c r="B83" s="5"/>
      <c r="C83" s="5"/>
      <c r="D83" s="6"/>
      <c r="E83" s="5"/>
      <c r="F83" s="5"/>
      <c r="G83" s="5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8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8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10"/>
    </row>
    <row r="84" spans="1:65" x14ac:dyDescent="0.3">
      <c r="A84" s="5"/>
      <c r="B84" s="5"/>
      <c r="C84" s="5"/>
      <c r="D84" s="6"/>
      <c r="E84" s="5"/>
      <c r="F84" s="5"/>
      <c r="G84" s="5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8"/>
      <c r="AG84" s="8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8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10"/>
    </row>
    <row r="85" spans="1:65" x14ac:dyDescent="0.3">
      <c r="A85" s="5"/>
      <c r="B85" s="5"/>
      <c r="C85" s="5"/>
      <c r="D85" s="6"/>
      <c r="E85" s="5"/>
      <c r="F85" s="5"/>
      <c r="G85" s="5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8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8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10"/>
    </row>
    <row r="86" spans="1:65" x14ac:dyDescent="0.3">
      <c r="A86" s="5"/>
      <c r="B86" s="5"/>
      <c r="C86" s="5"/>
      <c r="D86" s="6"/>
      <c r="E86" s="5"/>
      <c r="F86" s="5"/>
      <c r="G86" s="5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8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10"/>
    </row>
    <row r="87" spans="1:65" x14ac:dyDescent="0.3">
      <c r="A87" s="5"/>
      <c r="B87" s="5"/>
      <c r="C87" s="5"/>
      <c r="D87" s="6"/>
      <c r="E87" s="5"/>
      <c r="F87" s="5"/>
      <c r="G87" s="5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8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10"/>
    </row>
    <row r="88" spans="1:65" x14ac:dyDescent="0.3">
      <c r="A88" s="5"/>
      <c r="B88" s="5"/>
      <c r="C88" s="5"/>
      <c r="D88" s="6"/>
      <c r="E88" s="5"/>
      <c r="F88" s="5"/>
      <c r="G88" s="5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8"/>
      <c r="AG88" s="8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10"/>
    </row>
    <row r="89" spans="1:65" x14ac:dyDescent="0.3">
      <c r="A89" s="5"/>
      <c r="B89" s="5"/>
      <c r="C89" s="5"/>
      <c r="D89" s="6"/>
      <c r="E89" s="5"/>
      <c r="F89" s="5"/>
      <c r="G89" s="5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8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10"/>
    </row>
    <row r="90" spans="1:65" x14ac:dyDescent="0.3">
      <c r="A90" s="5"/>
      <c r="B90" s="5"/>
      <c r="C90" s="5"/>
      <c r="D90" s="6"/>
      <c r="E90" s="5"/>
      <c r="F90" s="5"/>
      <c r="G90" s="5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8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10"/>
    </row>
    <row r="91" spans="1:65" x14ac:dyDescent="0.3">
      <c r="A91" s="5"/>
      <c r="B91" s="5"/>
      <c r="C91" s="5"/>
      <c r="D91" s="6"/>
      <c r="E91" s="5"/>
      <c r="F91" s="5"/>
      <c r="G91" s="5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8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10"/>
    </row>
    <row r="92" spans="1:65" x14ac:dyDescent="0.3">
      <c r="A92" s="5"/>
      <c r="B92" s="5"/>
      <c r="C92" s="5"/>
      <c r="D92" s="6"/>
      <c r="E92" s="5"/>
      <c r="F92" s="5"/>
      <c r="G92" s="5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8"/>
      <c r="AG92" s="8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10"/>
    </row>
    <row r="93" spans="1:65" x14ac:dyDescent="0.3">
      <c r="A93" s="5"/>
      <c r="B93" s="5"/>
      <c r="C93" s="5"/>
      <c r="D93" s="6"/>
      <c r="E93" s="5"/>
      <c r="F93" s="5"/>
      <c r="G93" s="5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8"/>
      <c r="AG93" s="8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10"/>
    </row>
    <row r="94" spans="1:65" x14ac:dyDescent="0.3">
      <c r="A94" s="5"/>
      <c r="B94" s="5"/>
      <c r="C94" s="5"/>
      <c r="D94" s="6"/>
      <c r="E94" s="5"/>
      <c r="F94" s="5"/>
      <c r="G94" s="5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8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8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10"/>
    </row>
    <row r="95" spans="1:65" x14ac:dyDescent="0.3">
      <c r="A95" s="5"/>
      <c r="B95" s="5"/>
      <c r="C95" s="5"/>
      <c r="D95" s="6"/>
      <c r="E95" s="5"/>
      <c r="F95" s="5"/>
      <c r="G95" s="5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8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10"/>
    </row>
    <row r="96" spans="1:65" x14ac:dyDescent="0.3">
      <c r="A96" s="5"/>
      <c r="B96" s="5"/>
      <c r="C96" s="5"/>
      <c r="D96" s="6"/>
      <c r="E96" s="5"/>
      <c r="F96" s="5"/>
      <c r="G96" s="5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8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8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10"/>
    </row>
    <row r="97" spans="1:65" x14ac:dyDescent="0.3">
      <c r="A97" s="5"/>
      <c r="B97" s="5"/>
      <c r="C97" s="5"/>
      <c r="D97" s="6"/>
      <c r="E97" s="5"/>
      <c r="F97" s="5"/>
      <c r="G97" s="5"/>
      <c r="H97" s="7"/>
      <c r="I97" s="7"/>
      <c r="J97" s="7"/>
      <c r="K97" s="7"/>
      <c r="L97" s="8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8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8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10"/>
    </row>
    <row r="98" spans="1:65" x14ac:dyDescent="0.3">
      <c r="A98" s="5"/>
      <c r="B98" s="5"/>
      <c r="C98" s="5"/>
      <c r="D98" s="6"/>
      <c r="E98" s="5"/>
      <c r="F98" s="5"/>
      <c r="G98" s="5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8"/>
      <c r="AG98" s="8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8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10"/>
    </row>
    <row r="99" spans="1:65" x14ac:dyDescent="0.3">
      <c r="A99" s="5"/>
      <c r="B99" s="5"/>
      <c r="C99" s="5"/>
      <c r="D99" s="6"/>
      <c r="E99" s="5"/>
      <c r="F99" s="5"/>
      <c r="G99" s="5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8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10"/>
    </row>
    <row r="100" spans="1:65" x14ac:dyDescent="0.3">
      <c r="A100" s="5"/>
      <c r="B100" s="5"/>
      <c r="C100" s="5"/>
      <c r="D100" s="6"/>
      <c r="E100" s="5"/>
      <c r="F100" s="5"/>
      <c r="G100" s="5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8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8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10"/>
    </row>
    <row r="101" spans="1:65" x14ac:dyDescent="0.3">
      <c r="A101" s="5"/>
      <c r="B101" s="5"/>
      <c r="C101" s="5"/>
      <c r="D101" s="6"/>
      <c r="E101" s="5"/>
      <c r="F101" s="5"/>
      <c r="G101" s="5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8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10"/>
    </row>
    <row r="102" spans="1:65" x14ac:dyDescent="0.3">
      <c r="A102" s="5"/>
      <c r="B102" s="5"/>
      <c r="C102" s="5"/>
      <c r="D102" s="6"/>
      <c r="E102" s="5"/>
      <c r="F102" s="5"/>
      <c r="G102" s="5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8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10"/>
    </row>
    <row r="103" spans="1:65" x14ac:dyDescent="0.3">
      <c r="A103" s="5"/>
      <c r="B103" s="5"/>
      <c r="C103" s="5"/>
      <c r="D103" s="6"/>
      <c r="E103" s="5"/>
      <c r="F103" s="5"/>
      <c r="G103" s="5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8"/>
      <c r="AG103" s="8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8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10"/>
    </row>
    <row r="104" spans="1:65" x14ac:dyDescent="0.3">
      <c r="A104" s="5"/>
      <c r="B104" s="5"/>
      <c r="C104" s="5"/>
      <c r="D104" s="6"/>
      <c r="E104" s="5"/>
      <c r="F104" s="5"/>
      <c r="G104" s="5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8"/>
      <c r="AG104" s="8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10"/>
    </row>
    <row r="105" spans="1:65" x14ac:dyDescent="0.3">
      <c r="A105" s="5"/>
      <c r="B105" s="5"/>
      <c r="C105" s="5"/>
      <c r="D105" s="6"/>
      <c r="E105" s="5"/>
      <c r="F105" s="5"/>
      <c r="G105" s="5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8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10"/>
    </row>
    <row r="106" spans="1:65" x14ac:dyDescent="0.3">
      <c r="A106" s="5"/>
      <c r="B106" s="5"/>
      <c r="C106" s="5"/>
      <c r="D106" s="6"/>
      <c r="E106" s="5"/>
      <c r="F106" s="5"/>
      <c r="G106" s="5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8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8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10"/>
    </row>
    <row r="107" spans="1:65" x14ac:dyDescent="0.3">
      <c r="A107" s="5"/>
      <c r="B107" s="5"/>
      <c r="C107" s="5"/>
      <c r="D107" s="6"/>
      <c r="E107" s="5"/>
      <c r="F107" s="5"/>
      <c r="G107" s="5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8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8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10"/>
    </row>
    <row r="108" spans="1:65" x14ac:dyDescent="0.3">
      <c r="A108" s="5"/>
      <c r="B108" s="5"/>
      <c r="C108" s="5"/>
      <c r="D108" s="6"/>
      <c r="E108" s="5"/>
      <c r="F108" s="5"/>
      <c r="G108" s="5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8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10"/>
    </row>
    <row r="109" spans="1:65" x14ac:dyDescent="0.3">
      <c r="A109" s="5"/>
      <c r="B109" s="5"/>
      <c r="C109" s="5"/>
      <c r="D109" s="6"/>
      <c r="E109" s="5"/>
      <c r="F109" s="5"/>
      <c r="G109" s="5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8"/>
      <c r="AG109" s="8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10"/>
    </row>
    <row r="110" spans="1:65" x14ac:dyDescent="0.3">
      <c r="A110" s="5"/>
      <c r="B110" s="5"/>
      <c r="C110" s="5"/>
      <c r="D110" s="6"/>
      <c r="E110" s="5"/>
      <c r="F110" s="5"/>
      <c r="G110" s="5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8"/>
      <c r="AG110" s="8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10"/>
    </row>
    <row r="111" spans="1:65" x14ac:dyDescent="0.3">
      <c r="A111" s="5"/>
      <c r="B111" s="5"/>
      <c r="C111" s="5"/>
      <c r="D111" s="6"/>
      <c r="E111" s="5"/>
      <c r="F111" s="5"/>
      <c r="G111" s="5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8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10"/>
    </row>
    <row r="112" spans="1:65" x14ac:dyDescent="0.3">
      <c r="A112" s="5"/>
      <c r="B112" s="5"/>
      <c r="C112" s="5"/>
      <c r="D112" s="6"/>
      <c r="E112" s="5"/>
      <c r="F112" s="5"/>
      <c r="G112" s="5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8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10"/>
    </row>
    <row r="113" spans="1:65" x14ac:dyDescent="0.3">
      <c r="A113" s="5"/>
      <c r="B113" s="5"/>
      <c r="C113" s="5"/>
      <c r="D113" s="6"/>
      <c r="E113" s="5"/>
      <c r="F113" s="5"/>
      <c r="G113" s="5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8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10"/>
    </row>
    <row r="114" spans="1:65" x14ac:dyDescent="0.3">
      <c r="A114" s="5"/>
      <c r="B114" s="5"/>
      <c r="C114" s="5"/>
      <c r="D114" s="6"/>
      <c r="E114" s="5"/>
      <c r="F114" s="5"/>
      <c r="G114" s="5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8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10"/>
    </row>
    <row r="115" spans="1:65" x14ac:dyDescent="0.3">
      <c r="A115" s="5"/>
      <c r="B115" s="5"/>
      <c r="C115" s="5"/>
      <c r="D115" s="6"/>
      <c r="E115" s="5"/>
      <c r="F115" s="5"/>
      <c r="G115" s="5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8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10"/>
    </row>
    <row r="116" spans="1:65" x14ac:dyDescent="0.3">
      <c r="A116" s="5"/>
      <c r="B116" s="5"/>
      <c r="C116" s="5"/>
      <c r="D116" s="6"/>
      <c r="E116" s="5"/>
      <c r="F116" s="5"/>
      <c r="G116" s="5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8"/>
      <c r="AD116" s="7"/>
      <c r="AE116" s="7"/>
      <c r="AF116" s="8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10"/>
    </row>
    <row r="117" spans="1:65" x14ac:dyDescent="0.3">
      <c r="A117" s="5"/>
      <c r="B117" s="5"/>
      <c r="C117" s="5"/>
      <c r="D117" s="6"/>
      <c r="E117" s="5"/>
      <c r="F117" s="5"/>
      <c r="G117" s="5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8"/>
      <c r="AG117" s="8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10"/>
    </row>
    <row r="118" spans="1:65" x14ac:dyDescent="0.3">
      <c r="A118" s="5"/>
      <c r="B118" s="5"/>
      <c r="C118" s="5"/>
      <c r="D118" s="6"/>
      <c r="E118" s="5"/>
      <c r="F118" s="5"/>
      <c r="G118" s="5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8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10"/>
    </row>
    <row r="119" spans="1:65" x14ac:dyDescent="0.3">
      <c r="A119" s="5"/>
      <c r="B119" s="5"/>
      <c r="C119" s="5"/>
      <c r="D119" s="6"/>
      <c r="E119" s="5"/>
      <c r="F119" s="5"/>
      <c r="G119" s="5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8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10"/>
    </row>
    <row r="120" spans="1:65" x14ac:dyDescent="0.3">
      <c r="A120" s="5"/>
      <c r="B120" s="5"/>
      <c r="C120" s="5"/>
      <c r="D120" s="6"/>
      <c r="E120" s="5"/>
      <c r="F120" s="5"/>
      <c r="G120" s="5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8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10"/>
    </row>
    <row r="121" spans="1:65" x14ac:dyDescent="0.3">
      <c r="A121" s="5"/>
      <c r="B121" s="5"/>
      <c r="C121" s="5"/>
      <c r="D121" s="6"/>
      <c r="E121" s="5"/>
      <c r="F121" s="5"/>
      <c r="G121" s="5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8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10"/>
    </row>
    <row r="122" spans="1:65" x14ac:dyDescent="0.3">
      <c r="A122" s="5"/>
      <c r="B122" s="5"/>
      <c r="C122" s="5"/>
      <c r="D122" s="6"/>
      <c r="E122" s="5"/>
      <c r="F122" s="5"/>
      <c r="G122" s="5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8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10"/>
    </row>
    <row r="123" spans="1:65" x14ac:dyDescent="0.3">
      <c r="A123" s="5"/>
      <c r="B123" s="5"/>
      <c r="C123" s="5"/>
      <c r="D123" s="6"/>
      <c r="E123" s="5"/>
      <c r="F123" s="5"/>
      <c r="G123" s="5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8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8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10"/>
    </row>
    <row r="124" spans="1:65" x14ac:dyDescent="0.3">
      <c r="A124" s="5"/>
      <c r="B124" s="5"/>
      <c r="C124" s="5"/>
      <c r="D124" s="6"/>
      <c r="E124" s="5"/>
      <c r="F124" s="5"/>
      <c r="G124" s="5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8"/>
      <c r="AG124" s="8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10"/>
    </row>
    <row r="125" spans="1:65" x14ac:dyDescent="0.3">
      <c r="A125" s="5"/>
      <c r="B125" s="5"/>
      <c r="C125" s="5"/>
      <c r="D125" s="6"/>
      <c r="E125" s="5"/>
      <c r="F125" s="5"/>
      <c r="G125" s="5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8"/>
      <c r="AS125" s="8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10"/>
    </row>
    <row r="126" spans="1:65" x14ac:dyDescent="0.3">
      <c r="A126" s="5"/>
      <c r="B126" s="5"/>
      <c r="C126" s="5"/>
      <c r="D126" s="6"/>
      <c r="E126" s="5"/>
      <c r="F126" s="5"/>
      <c r="G126" s="5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8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10"/>
    </row>
    <row r="127" spans="1:65" x14ac:dyDescent="0.3">
      <c r="A127" s="5"/>
      <c r="B127" s="5"/>
      <c r="C127" s="5"/>
      <c r="D127" s="6"/>
      <c r="E127" s="5"/>
      <c r="F127" s="5"/>
      <c r="G127" s="5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8"/>
      <c r="AG127" s="8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10"/>
    </row>
    <row r="128" spans="1:65" x14ac:dyDescent="0.3">
      <c r="A128" s="5"/>
      <c r="B128" s="5"/>
      <c r="C128" s="5"/>
      <c r="D128" s="6"/>
      <c r="E128" s="5"/>
      <c r="F128" s="5"/>
      <c r="G128" s="5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8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10"/>
    </row>
    <row r="129" spans="1:65" x14ac:dyDescent="0.3">
      <c r="A129" s="5"/>
      <c r="B129" s="5"/>
      <c r="C129" s="5"/>
      <c r="D129" s="6"/>
      <c r="E129" s="5"/>
      <c r="F129" s="5"/>
      <c r="G129" s="5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8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10"/>
    </row>
    <row r="130" spans="1:65" x14ac:dyDescent="0.3">
      <c r="A130" s="5"/>
      <c r="B130" s="5"/>
      <c r="C130" s="5"/>
      <c r="D130" s="6"/>
      <c r="E130" s="5"/>
      <c r="F130" s="5"/>
      <c r="G130" s="5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8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10"/>
    </row>
    <row r="131" spans="1:65" x14ac:dyDescent="0.3">
      <c r="A131" s="5"/>
      <c r="B131" s="5"/>
      <c r="C131" s="5"/>
      <c r="D131" s="6"/>
      <c r="E131" s="5"/>
      <c r="F131" s="5"/>
      <c r="G131" s="5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8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10"/>
    </row>
    <row r="132" spans="1:65" x14ac:dyDescent="0.3">
      <c r="A132" s="5"/>
      <c r="B132" s="5"/>
      <c r="C132" s="5"/>
      <c r="D132" s="6"/>
      <c r="E132" s="5"/>
      <c r="F132" s="5"/>
      <c r="G132" s="5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8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10"/>
    </row>
    <row r="133" spans="1:65" x14ac:dyDescent="0.3">
      <c r="A133" s="5"/>
      <c r="B133" s="5"/>
      <c r="C133" s="5"/>
      <c r="D133" s="6"/>
      <c r="E133" s="5"/>
      <c r="F133" s="5"/>
      <c r="G133" s="5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8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10"/>
    </row>
    <row r="134" spans="1:65" x14ac:dyDescent="0.3">
      <c r="A134" s="5"/>
      <c r="B134" s="5"/>
      <c r="C134" s="5"/>
      <c r="D134" s="6"/>
      <c r="E134" s="5"/>
      <c r="F134" s="5"/>
      <c r="G134" s="5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8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10"/>
    </row>
    <row r="135" spans="1:65" x14ac:dyDescent="0.3">
      <c r="A135" s="5"/>
      <c r="B135" s="5"/>
      <c r="C135" s="5"/>
      <c r="D135" s="6"/>
      <c r="E135" s="5"/>
      <c r="F135" s="5"/>
      <c r="G135" s="5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8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10"/>
    </row>
    <row r="136" spans="1:65" x14ac:dyDescent="0.3">
      <c r="A136" s="5"/>
      <c r="B136" s="5"/>
      <c r="C136" s="5"/>
      <c r="D136" s="6"/>
      <c r="E136" s="5"/>
      <c r="F136" s="5"/>
      <c r="G136" s="5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8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10"/>
    </row>
    <row r="137" spans="1:65" x14ac:dyDescent="0.3">
      <c r="A137" s="5"/>
      <c r="B137" s="5"/>
      <c r="C137" s="5"/>
      <c r="D137" s="6"/>
      <c r="E137" s="5"/>
      <c r="F137" s="5"/>
      <c r="G137" s="5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8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10"/>
    </row>
    <row r="138" spans="1:65" x14ac:dyDescent="0.3">
      <c r="A138" s="5"/>
      <c r="B138" s="5"/>
      <c r="C138" s="5"/>
      <c r="D138" s="6"/>
      <c r="E138" s="5"/>
      <c r="F138" s="5"/>
      <c r="G138" s="5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8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10"/>
    </row>
    <row r="139" spans="1:65" x14ac:dyDescent="0.3">
      <c r="A139" s="5"/>
      <c r="B139" s="5"/>
      <c r="C139" s="5"/>
      <c r="D139" s="6"/>
      <c r="E139" s="5"/>
      <c r="F139" s="5"/>
      <c r="G139" s="5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10"/>
    </row>
    <row r="140" spans="1:65" x14ac:dyDescent="0.3">
      <c r="A140" s="5"/>
      <c r="B140" s="5"/>
      <c r="C140" s="5"/>
      <c r="D140" s="6"/>
      <c r="E140" s="5"/>
      <c r="F140" s="5"/>
      <c r="G140" s="5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10"/>
    </row>
    <row r="141" spans="1:65" x14ac:dyDescent="0.3">
      <c r="A141" s="5"/>
      <c r="B141" s="5"/>
      <c r="C141" s="5"/>
      <c r="D141" s="6"/>
      <c r="E141" s="5"/>
      <c r="F141" s="5"/>
      <c r="G141" s="5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8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10"/>
    </row>
    <row r="142" spans="1:65" x14ac:dyDescent="0.3">
      <c r="A142" s="5"/>
      <c r="B142" s="5"/>
      <c r="C142" s="5"/>
      <c r="D142" s="6"/>
      <c r="E142" s="5"/>
      <c r="F142" s="5"/>
      <c r="G142" s="5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11"/>
    </row>
    <row r="143" spans="1:65" x14ac:dyDescent="0.3">
      <c r="A143" s="5"/>
      <c r="B143" s="5"/>
      <c r="C143" s="5"/>
      <c r="D143" s="6"/>
      <c r="E143" s="5"/>
      <c r="F143" s="5"/>
      <c r="G143" s="5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11"/>
    </row>
    <row r="144" spans="1:65" x14ac:dyDescent="0.3">
      <c r="A144" s="5"/>
      <c r="B144" s="5"/>
      <c r="C144" s="5"/>
      <c r="D144" s="6"/>
      <c r="E144" s="5"/>
      <c r="F144" s="5"/>
      <c r="G144" s="5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11"/>
    </row>
    <row r="145" spans="1:65" x14ac:dyDescent="0.3">
      <c r="A145" s="5"/>
      <c r="B145" s="5"/>
      <c r="C145" s="5"/>
      <c r="D145" s="6"/>
      <c r="E145" s="5"/>
      <c r="F145" s="5"/>
      <c r="G145" s="5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11"/>
    </row>
    <row r="146" spans="1:65" x14ac:dyDescent="0.3">
      <c r="A146" s="5"/>
      <c r="B146" s="5"/>
      <c r="C146" s="5"/>
      <c r="D146" s="6"/>
      <c r="E146" s="5"/>
      <c r="F146" s="5"/>
      <c r="G146" s="5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11"/>
    </row>
    <row r="147" spans="1:65" x14ac:dyDescent="0.3">
      <c r="A147" s="5"/>
      <c r="B147" s="5"/>
      <c r="C147" s="5"/>
      <c r="D147" s="6"/>
      <c r="E147" s="5"/>
      <c r="F147" s="5"/>
      <c r="G147" s="5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11"/>
    </row>
    <row r="148" spans="1:65" x14ac:dyDescent="0.3">
      <c r="A148" s="5"/>
      <c r="B148" s="5"/>
      <c r="C148" s="5"/>
      <c r="D148" s="6"/>
      <c r="E148" s="5"/>
      <c r="F148" s="5"/>
      <c r="G148" s="5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11"/>
    </row>
    <row r="149" spans="1:65" x14ac:dyDescent="0.3">
      <c r="A149" s="5"/>
      <c r="B149" s="5"/>
      <c r="C149" s="5"/>
      <c r="D149" s="6"/>
      <c r="E149" s="5"/>
      <c r="F149" s="5"/>
      <c r="G149" s="5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11"/>
    </row>
    <row r="150" spans="1:65" x14ac:dyDescent="0.3">
      <c r="A150" s="5"/>
      <c r="B150" s="5"/>
      <c r="C150" s="5"/>
      <c r="D150" s="6"/>
      <c r="E150" s="5"/>
      <c r="F150" s="5"/>
      <c r="G150" s="5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11"/>
    </row>
    <row r="151" spans="1:65" x14ac:dyDescent="0.3">
      <c r="A151" s="5"/>
      <c r="B151" s="5"/>
      <c r="C151" s="5"/>
      <c r="D151" s="6"/>
      <c r="E151" s="5"/>
      <c r="F151" s="5"/>
      <c r="G151" s="5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11"/>
    </row>
    <row r="152" spans="1:65" x14ac:dyDescent="0.3">
      <c r="A152" s="5"/>
      <c r="B152" s="5"/>
      <c r="C152" s="5"/>
      <c r="D152" s="6"/>
      <c r="E152" s="5"/>
      <c r="F152" s="5"/>
      <c r="G152" s="5"/>
      <c r="H152" s="7"/>
      <c r="I152" s="7"/>
      <c r="J152" s="7"/>
      <c r="K152" s="8"/>
      <c r="L152" s="8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8"/>
      <c r="AF152" s="8"/>
      <c r="AG152" s="8"/>
      <c r="AH152" s="7"/>
      <c r="AI152" s="7"/>
      <c r="AJ152" s="7"/>
      <c r="AK152" s="7"/>
      <c r="AL152" s="7"/>
      <c r="AM152" s="7"/>
      <c r="AN152" s="7"/>
      <c r="AO152" s="7"/>
      <c r="AP152" s="7"/>
      <c r="AQ152" s="8"/>
      <c r="AR152" s="8"/>
      <c r="AS152" s="8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10"/>
    </row>
    <row r="153" spans="1:65" x14ac:dyDescent="0.3">
      <c r="A153" s="5"/>
      <c r="B153" s="5"/>
      <c r="C153" s="5"/>
      <c r="D153" s="6"/>
      <c r="E153" s="5"/>
      <c r="F153" s="5"/>
      <c r="G153" s="5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8"/>
      <c r="AG153" s="8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8"/>
      <c r="AS153" s="8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10"/>
    </row>
    <row r="154" spans="1:65" x14ac:dyDescent="0.3">
      <c r="A154" s="5"/>
      <c r="B154" s="5"/>
      <c r="C154" s="5"/>
      <c r="D154" s="6"/>
      <c r="E154" s="5"/>
      <c r="F154" s="5"/>
      <c r="G154" s="5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8"/>
      <c r="AD154" s="8"/>
      <c r="AE154" s="7"/>
      <c r="AF154" s="8"/>
      <c r="AG154" s="8"/>
      <c r="AH154" s="7"/>
      <c r="AI154" s="7"/>
      <c r="AJ154" s="7"/>
      <c r="AK154" s="7"/>
      <c r="AL154" s="7"/>
      <c r="AM154" s="7"/>
      <c r="AN154" s="7"/>
      <c r="AO154" s="8"/>
      <c r="AP154" s="7"/>
      <c r="AQ154" s="7"/>
      <c r="AR154" s="8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10"/>
    </row>
    <row r="155" spans="1:65" x14ac:dyDescent="0.3">
      <c r="A155" s="5"/>
      <c r="B155" s="5"/>
      <c r="C155" s="5"/>
      <c r="D155" s="6"/>
      <c r="E155" s="5"/>
      <c r="F155" s="5"/>
      <c r="G155" s="5"/>
      <c r="H155" s="7"/>
      <c r="I155" s="7"/>
      <c r="J155" s="7"/>
      <c r="K155" s="8"/>
      <c r="L155" s="8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8"/>
      <c r="AF155" s="8"/>
      <c r="AG155" s="8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8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10"/>
    </row>
    <row r="156" spans="1:65" x14ac:dyDescent="0.3">
      <c r="A156" s="5"/>
      <c r="B156" s="5"/>
      <c r="C156" s="5"/>
      <c r="D156" s="6"/>
      <c r="E156" s="5"/>
      <c r="F156" s="5"/>
      <c r="G156" s="5"/>
      <c r="H156" s="7"/>
      <c r="I156" s="7"/>
      <c r="J156" s="8"/>
      <c r="K156" s="8"/>
      <c r="L156" s="8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8"/>
      <c r="AG156" s="8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10"/>
    </row>
    <row r="157" spans="1:65" x14ac:dyDescent="0.3">
      <c r="A157" s="5"/>
      <c r="B157" s="5"/>
      <c r="C157" s="5"/>
      <c r="D157" s="6"/>
      <c r="E157" s="5"/>
      <c r="F157" s="5"/>
      <c r="G157" s="5"/>
      <c r="H157" s="7"/>
      <c r="I157" s="7"/>
      <c r="J157" s="7"/>
      <c r="K157" s="8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8"/>
      <c r="AF157" s="8"/>
      <c r="AG157" s="8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8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10"/>
    </row>
    <row r="158" spans="1:65" x14ac:dyDescent="0.3">
      <c r="A158" s="5"/>
      <c r="B158" s="5"/>
      <c r="C158" s="5"/>
      <c r="D158" s="6"/>
      <c r="E158" s="5"/>
      <c r="F158" s="5"/>
      <c r="G158" s="5"/>
      <c r="H158" s="7"/>
      <c r="I158" s="7"/>
      <c r="J158" s="7"/>
      <c r="K158" s="8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8"/>
      <c r="AF158" s="8"/>
      <c r="AG158" s="8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8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10"/>
    </row>
    <row r="159" spans="1:65" x14ac:dyDescent="0.3">
      <c r="A159" s="5"/>
      <c r="B159" s="5"/>
      <c r="C159" s="5"/>
      <c r="D159" s="6"/>
      <c r="E159" s="5"/>
      <c r="F159" s="5"/>
      <c r="G159" s="5"/>
      <c r="H159" s="7"/>
      <c r="I159" s="7"/>
      <c r="J159" s="7"/>
      <c r="K159" s="8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8"/>
      <c r="AF159" s="8"/>
      <c r="AG159" s="8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8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10"/>
    </row>
    <row r="160" spans="1:65" x14ac:dyDescent="0.3">
      <c r="A160" s="5"/>
      <c r="B160" s="5"/>
      <c r="C160" s="5"/>
      <c r="D160" s="6"/>
      <c r="E160" s="5"/>
      <c r="F160" s="5"/>
      <c r="G160" s="5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8"/>
      <c r="AD160" s="7"/>
      <c r="AE160" s="7"/>
      <c r="AF160" s="8"/>
      <c r="AG160" s="8"/>
      <c r="AH160" s="7"/>
      <c r="AI160" s="7"/>
      <c r="AJ160" s="7"/>
      <c r="AK160" s="7"/>
      <c r="AL160" s="7"/>
      <c r="AM160" s="7"/>
      <c r="AN160" s="7"/>
      <c r="AO160" s="8"/>
      <c r="AP160" s="7"/>
      <c r="AQ160" s="7"/>
      <c r="AR160" s="8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10"/>
    </row>
    <row r="161" spans="1:65" x14ac:dyDescent="0.3">
      <c r="A161" s="5"/>
      <c r="B161" s="5"/>
      <c r="C161" s="5"/>
      <c r="D161" s="6"/>
      <c r="E161" s="5"/>
      <c r="F161" s="5"/>
      <c r="G161" s="5"/>
      <c r="H161" s="7"/>
      <c r="I161" s="7"/>
      <c r="J161" s="7"/>
      <c r="K161" s="8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8"/>
      <c r="AF161" s="8"/>
      <c r="AG161" s="8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8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10"/>
    </row>
    <row r="162" spans="1:65" x14ac:dyDescent="0.3">
      <c r="A162" s="5"/>
      <c r="B162" s="5"/>
      <c r="C162" s="5"/>
      <c r="D162" s="6"/>
      <c r="E162" s="5"/>
      <c r="F162" s="5"/>
      <c r="G162" s="5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8"/>
      <c r="AF162" s="8"/>
      <c r="AG162" s="8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8"/>
      <c r="AS162" s="8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10"/>
    </row>
    <row r="163" spans="1:65" x14ac:dyDescent="0.3">
      <c r="A163" s="5"/>
      <c r="B163" s="5"/>
      <c r="C163" s="5"/>
      <c r="D163" s="6"/>
      <c r="E163" s="5"/>
      <c r="F163" s="5"/>
      <c r="G163" s="5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8"/>
      <c r="AF163" s="8"/>
      <c r="AG163" s="8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8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10"/>
    </row>
    <row r="164" spans="1:65" x14ac:dyDescent="0.3">
      <c r="A164" s="5"/>
      <c r="B164" s="5"/>
      <c r="C164" s="5"/>
      <c r="D164" s="6"/>
      <c r="E164" s="5"/>
      <c r="F164" s="5"/>
      <c r="G164" s="5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8"/>
      <c r="AG164" s="8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8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10"/>
    </row>
    <row r="165" spans="1:65" x14ac:dyDescent="0.3">
      <c r="A165" s="5"/>
      <c r="B165" s="5"/>
      <c r="C165" s="5"/>
      <c r="D165" s="6"/>
      <c r="E165" s="5"/>
      <c r="F165" s="5"/>
      <c r="G165" s="5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8"/>
      <c r="AF165" s="8"/>
      <c r="AG165" s="8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8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10"/>
    </row>
    <row r="166" spans="1:65" x14ac:dyDescent="0.3">
      <c r="A166" s="5"/>
      <c r="B166" s="5"/>
      <c r="C166" s="5"/>
      <c r="D166" s="6"/>
      <c r="E166" s="5"/>
      <c r="F166" s="5"/>
      <c r="G166" s="5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8"/>
      <c r="AF166" s="8"/>
      <c r="AG166" s="8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8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10"/>
    </row>
    <row r="167" spans="1:65" x14ac:dyDescent="0.3">
      <c r="A167" s="5"/>
      <c r="B167" s="5"/>
      <c r="C167" s="5"/>
      <c r="D167" s="6"/>
      <c r="E167" s="5"/>
      <c r="F167" s="5"/>
      <c r="G167" s="5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8"/>
      <c r="AG167" s="8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8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10"/>
    </row>
    <row r="168" spans="1:65" x14ac:dyDescent="0.3">
      <c r="A168" s="5"/>
      <c r="B168" s="5"/>
      <c r="C168" s="5"/>
      <c r="D168" s="6"/>
      <c r="E168" s="5"/>
      <c r="F168" s="5"/>
      <c r="G168" s="5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8"/>
      <c r="AG168" s="8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10"/>
    </row>
    <row r="169" spans="1:65" x14ac:dyDescent="0.3">
      <c r="A169" s="5"/>
      <c r="B169" s="5"/>
      <c r="C169" s="5"/>
      <c r="D169" s="6"/>
      <c r="E169" s="5"/>
      <c r="F169" s="5"/>
      <c r="G169" s="5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8"/>
      <c r="AG169" s="8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10"/>
    </row>
    <row r="170" spans="1:65" x14ac:dyDescent="0.3">
      <c r="A170" s="5"/>
      <c r="B170" s="5"/>
      <c r="C170" s="5"/>
      <c r="D170" s="6"/>
      <c r="E170" s="5"/>
      <c r="F170" s="5"/>
      <c r="G170" s="5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8"/>
      <c r="AG170" s="8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8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10"/>
    </row>
    <row r="171" spans="1:65" x14ac:dyDescent="0.3">
      <c r="A171" s="5"/>
      <c r="B171" s="5"/>
      <c r="C171" s="5"/>
      <c r="D171" s="6"/>
      <c r="E171" s="5"/>
      <c r="F171" s="5"/>
      <c r="G171" s="5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8"/>
      <c r="AG171" s="8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8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10"/>
    </row>
    <row r="172" spans="1:65" x14ac:dyDescent="0.3">
      <c r="A172" s="5"/>
      <c r="B172" s="5"/>
      <c r="C172" s="5"/>
      <c r="D172" s="6"/>
      <c r="E172" s="5"/>
      <c r="F172" s="5"/>
      <c r="G172" s="5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8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8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10"/>
    </row>
    <row r="173" spans="1:65" x14ac:dyDescent="0.3">
      <c r="A173" s="5"/>
      <c r="B173" s="5"/>
      <c r="C173" s="5"/>
      <c r="D173" s="6"/>
      <c r="E173" s="5"/>
      <c r="F173" s="5"/>
      <c r="G173" s="5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8"/>
      <c r="AD173" s="7"/>
      <c r="AE173" s="7"/>
      <c r="AF173" s="8"/>
      <c r="AG173" s="8"/>
      <c r="AH173" s="7"/>
      <c r="AI173" s="7"/>
      <c r="AJ173" s="7"/>
      <c r="AK173" s="7"/>
      <c r="AL173" s="7"/>
      <c r="AM173" s="7"/>
      <c r="AN173" s="7"/>
      <c r="AO173" s="8"/>
      <c r="AP173" s="8"/>
      <c r="AQ173" s="7"/>
      <c r="AR173" s="8"/>
      <c r="AS173" s="8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10"/>
    </row>
    <row r="174" spans="1:65" x14ac:dyDescent="0.3">
      <c r="A174" s="5"/>
      <c r="B174" s="5"/>
      <c r="C174" s="5"/>
      <c r="D174" s="6"/>
      <c r="E174" s="5"/>
      <c r="F174" s="5"/>
      <c r="G174" s="5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8"/>
      <c r="AG174" s="8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8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10"/>
    </row>
    <row r="175" spans="1:65" x14ac:dyDescent="0.3">
      <c r="A175" s="5"/>
      <c r="B175" s="5"/>
      <c r="C175" s="5"/>
      <c r="D175" s="6"/>
      <c r="E175" s="5"/>
      <c r="F175" s="5"/>
      <c r="G175" s="5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8"/>
      <c r="AG175" s="8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8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10"/>
    </row>
    <row r="176" spans="1:65" x14ac:dyDescent="0.3">
      <c r="A176" s="5"/>
      <c r="B176" s="5"/>
      <c r="C176" s="5"/>
      <c r="D176" s="6"/>
      <c r="E176" s="5"/>
      <c r="F176" s="5"/>
      <c r="G176" s="5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8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8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10"/>
    </row>
    <row r="177" spans="1:65" x14ac:dyDescent="0.3">
      <c r="A177" s="5"/>
      <c r="B177" s="5"/>
      <c r="C177" s="5"/>
      <c r="D177" s="6"/>
      <c r="E177" s="5"/>
      <c r="F177" s="5"/>
      <c r="G177" s="5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8"/>
      <c r="AG177" s="8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8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10"/>
    </row>
    <row r="178" spans="1:65" x14ac:dyDescent="0.3">
      <c r="A178" s="5"/>
      <c r="B178" s="5"/>
      <c r="C178" s="5"/>
      <c r="D178" s="6"/>
      <c r="E178" s="5"/>
      <c r="F178" s="5"/>
      <c r="G178" s="5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8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10"/>
    </row>
    <row r="179" spans="1:65" x14ac:dyDescent="0.3">
      <c r="A179" s="5"/>
      <c r="B179" s="5"/>
      <c r="C179" s="5"/>
      <c r="D179" s="6"/>
      <c r="E179" s="5"/>
      <c r="F179" s="5"/>
      <c r="G179" s="5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8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8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10"/>
    </row>
    <row r="180" spans="1:65" x14ac:dyDescent="0.3">
      <c r="A180" s="5"/>
      <c r="B180" s="5"/>
      <c r="C180" s="5"/>
      <c r="D180" s="6"/>
      <c r="E180" s="5"/>
      <c r="F180" s="5"/>
      <c r="G180" s="5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8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10"/>
    </row>
    <row r="181" spans="1:65" x14ac:dyDescent="0.3">
      <c r="A181" s="5"/>
      <c r="B181" s="5"/>
      <c r="C181" s="5"/>
      <c r="D181" s="6"/>
      <c r="E181" s="5"/>
      <c r="F181" s="5"/>
      <c r="G181" s="5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8"/>
      <c r="AD181" s="8"/>
      <c r="AE181" s="7"/>
      <c r="AF181" s="7"/>
      <c r="AG181" s="8"/>
      <c r="AH181" s="7"/>
      <c r="AI181" s="7"/>
      <c r="AJ181" s="7"/>
      <c r="AK181" s="7"/>
      <c r="AL181" s="7"/>
      <c r="AM181" s="7"/>
      <c r="AN181" s="7"/>
      <c r="AO181" s="8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10"/>
    </row>
    <row r="182" spans="1:65" x14ac:dyDescent="0.3">
      <c r="A182" s="5"/>
      <c r="B182" s="5"/>
      <c r="C182" s="5"/>
      <c r="D182" s="6"/>
      <c r="E182" s="5"/>
      <c r="F182" s="5"/>
      <c r="G182" s="5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8"/>
      <c r="AG182" s="8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8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10"/>
    </row>
    <row r="183" spans="1:65" x14ac:dyDescent="0.3">
      <c r="A183" s="5"/>
      <c r="B183" s="5"/>
      <c r="C183" s="5"/>
      <c r="D183" s="6"/>
      <c r="E183" s="5"/>
      <c r="F183" s="5"/>
      <c r="G183" s="5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8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8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10"/>
    </row>
    <row r="184" spans="1:65" x14ac:dyDescent="0.3">
      <c r="A184" s="5"/>
      <c r="B184" s="5"/>
      <c r="C184" s="5"/>
      <c r="D184" s="6"/>
      <c r="E184" s="5"/>
      <c r="F184" s="5"/>
      <c r="G184" s="5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8"/>
      <c r="AG184" s="8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10"/>
    </row>
    <row r="185" spans="1:65" x14ac:dyDescent="0.3">
      <c r="A185" s="5"/>
      <c r="B185" s="5"/>
      <c r="C185" s="5"/>
      <c r="D185" s="6"/>
      <c r="E185" s="5"/>
      <c r="F185" s="5"/>
      <c r="G185" s="5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8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10"/>
    </row>
    <row r="186" spans="1:65" x14ac:dyDescent="0.3">
      <c r="A186" s="5"/>
      <c r="B186" s="5"/>
      <c r="C186" s="5"/>
      <c r="D186" s="6"/>
      <c r="E186" s="5"/>
      <c r="F186" s="5"/>
      <c r="G186" s="5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8"/>
      <c r="AG186" s="8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10"/>
    </row>
    <row r="187" spans="1:65" x14ac:dyDescent="0.3">
      <c r="A187" s="5"/>
      <c r="B187" s="5"/>
      <c r="C187" s="5"/>
      <c r="D187" s="6"/>
      <c r="E187" s="5"/>
      <c r="F187" s="5"/>
      <c r="G187" s="5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8"/>
      <c r="AG187" s="8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8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10"/>
    </row>
    <row r="188" spans="1:65" x14ac:dyDescent="0.3">
      <c r="A188" s="5"/>
      <c r="B188" s="5"/>
      <c r="C188" s="5"/>
      <c r="D188" s="6"/>
      <c r="E188" s="5"/>
      <c r="F188" s="5"/>
      <c r="G188" s="5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8"/>
      <c r="AG188" s="8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10"/>
    </row>
    <row r="189" spans="1:65" x14ac:dyDescent="0.3">
      <c r="A189" s="5"/>
      <c r="B189" s="5"/>
      <c r="C189" s="5"/>
      <c r="D189" s="6"/>
      <c r="E189" s="5"/>
      <c r="F189" s="5"/>
      <c r="G189" s="5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8"/>
      <c r="AG189" s="8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10"/>
    </row>
    <row r="190" spans="1:65" x14ac:dyDescent="0.3">
      <c r="A190" s="5"/>
      <c r="B190" s="5"/>
      <c r="C190" s="5"/>
      <c r="D190" s="6"/>
      <c r="E190" s="5"/>
      <c r="F190" s="5"/>
      <c r="G190" s="5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8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8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10"/>
    </row>
    <row r="191" spans="1:65" x14ac:dyDescent="0.3">
      <c r="A191" s="5"/>
      <c r="B191" s="5"/>
      <c r="C191" s="5"/>
      <c r="D191" s="6"/>
      <c r="E191" s="5"/>
      <c r="F191" s="5"/>
      <c r="G191" s="5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8"/>
      <c r="AG191" s="8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8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10"/>
    </row>
    <row r="192" spans="1:65" x14ac:dyDescent="0.3">
      <c r="A192" s="5"/>
      <c r="B192" s="5"/>
      <c r="C192" s="5"/>
      <c r="D192" s="6"/>
      <c r="E192" s="5"/>
      <c r="F192" s="5"/>
      <c r="G192" s="5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8"/>
      <c r="AG192" s="8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8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10"/>
    </row>
    <row r="193" spans="1:65" x14ac:dyDescent="0.3">
      <c r="A193" s="5"/>
      <c r="B193" s="5"/>
      <c r="C193" s="5"/>
      <c r="D193" s="6"/>
      <c r="E193" s="5"/>
      <c r="F193" s="5"/>
      <c r="G193" s="5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8"/>
      <c r="AG193" s="8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10"/>
    </row>
    <row r="194" spans="1:65" x14ac:dyDescent="0.3">
      <c r="A194" s="5"/>
      <c r="B194" s="5"/>
      <c r="C194" s="5"/>
      <c r="D194" s="6"/>
      <c r="E194" s="5"/>
      <c r="F194" s="5"/>
      <c r="G194" s="5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8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10"/>
    </row>
    <row r="195" spans="1:65" x14ac:dyDescent="0.3">
      <c r="A195" s="5"/>
      <c r="B195" s="5"/>
      <c r="C195" s="5"/>
      <c r="D195" s="6"/>
      <c r="E195" s="5"/>
      <c r="F195" s="5"/>
      <c r="G195" s="5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8"/>
      <c r="AG195" s="8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8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10"/>
    </row>
    <row r="196" spans="1:65" x14ac:dyDescent="0.3">
      <c r="A196" s="5"/>
      <c r="B196" s="5"/>
      <c r="C196" s="5"/>
      <c r="D196" s="6"/>
      <c r="E196" s="5"/>
      <c r="F196" s="5"/>
      <c r="G196" s="5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8"/>
      <c r="AG196" s="8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10"/>
    </row>
    <row r="197" spans="1:65" x14ac:dyDescent="0.3">
      <c r="A197" s="5"/>
      <c r="B197" s="5"/>
      <c r="C197" s="5"/>
      <c r="D197" s="6"/>
      <c r="E197" s="5"/>
      <c r="F197" s="5"/>
      <c r="G197" s="5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8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8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10"/>
    </row>
    <row r="198" spans="1:65" x14ac:dyDescent="0.3">
      <c r="A198" s="5"/>
      <c r="B198" s="5"/>
      <c r="C198" s="5"/>
      <c r="D198" s="6"/>
      <c r="E198" s="5"/>
      <c r="F198" s="5"/>
      <c r="G198" s="5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8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10"/>
    </row>
    <row r="199" spans="1:65" x14ac:dyDescent="0.3">
      <c r="A199" s="5"/>
      <c r="B199" s="5"/>
      <c r="C199" s="5"/>
      <c r="D199" s="6"/>
      <c r="E199" s="5"/>
      <c r="F199" s="5"/>
      <c r="G199" s="5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8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10"/>
    </row>
    <row r="200" spans="1:65" x14ac:dyDescent="0.3">
      <c r="A200" s="5"/>
      <c r="B200" s="5"/>
      <c r="C200" s="5"/>
      <c r="D200" s="6"/>
      <c r="E200" s="5"/>
      <c r="F200" s="5"/>
      <c r="G200" s="5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8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10"/>
    </row>
    <row r="201" spans="1:65" x14ac:dyDescent="0.3">
      <c r="A201" s="5"/>
      <c r="B201" s="5"/>
      <c r="C201" s="5"/>
      <c r="D201" s="6"/>
      <c r="E201" s="5"/>
      <c r="F201" s="5"/>
      <c r="G201" s="5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8"/>
      <c r="AG201" s="8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10"/>
    </row>
    <row r="202" spans="1:65" x14ac:dyDescent="0.3">
      <c r="A202" s="5"/>
      <c r="B202" s="5"/>
      <c r="C202" s="5"/>
      <c r="D202" s="6"/>
      <c r="E202" s="5"/>
      <c r="F202" s="5"/>
      <c r="G202" s="5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8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10"/>
    </row>
    <row r="203" spans="1:65" x14ac:dyDescent="0.3">
      <c r="A203" s="5"/>
      <c r="B203" s="5"/>
      <c r="C203" s="5"/>
      <c r="D203" s="6"/>
      <c r="E203" s="5"/>
      <c r="F203" s="5"/>
      <c r="G203" s="5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8"/>
      <c r="AD203" s="8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10"/>
    </row>
    <row r="204" spans="1:65" x14ac:dyDescent="0.3">
      <c r="A204" s="5"/>
      <c r="B204" s="5"/>
      <c r="C204" s="5"/>
      <c r="D204" s="6"/>
      <c r="E204" s="5"/>
      <c r="F204" s="5"/>
      <c r="G204" s="5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8"/>
      <c r="AG204" s="8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10"/>
    </row>
    <row r="205" spans="1:65" x14ac:dyDescent="0.3">
      <c r="A205" s="5"/>
      <c r="B205" s="5"/>
      <c r="C205" s="5"/>
      <c r="D205" s="6"/>
      <c r="E205" s="5"/>
      <c r="F205" s="5"/>
      <c r="G205" s="5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8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10"/>
    </row>
    <row r="206" spans="1:65" x14ac:dyDescent="0.3">
      <c r="A206" s="5"/>
      <c r="B206" s="5"/>
      <c r="C206" s="5"/>
      <c r="D206" s="6"/>
      <c r="E206" s="5"/>
      <c r="F206" s="5"/>
      <c r="G206" s="5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8"/>
      <c r="AG206" s="8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8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10"/>
    </row>
    <row r="207" spans="1:65" x14ac:dyDescent="0.3">
      <c r="A207" s="5"/>
      <c r="B207" s="5"/>
      <c r="C207" s="5"/>
      <c r="D207" s="6"/>
      <c r="E207" s="5"/>
      <c r="F207" s="5"/>
      <c r="G207" s="5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8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10"/>
    </row>
    <row r="208" spans="1:65" x14ac:dyDescent="0.3">
      <c r="A208" s="5"/>
      <c r="B208" s="5"/>
      <c r="C208" s="5"/>
      <c r="D208" s="6"/>
      <c r="E208" s="5"/>
      <c r="F208" s="5"/>
      <c r="G208" s="5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8"/>
      <c r="AG208" s="8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10"/>
    </row>
    <row r="209" spans="1:65" x14ac:dyDescent="0.3">
      <c r="A209" s="5"/>
      <c r="B209" s="5"/>
      <c r="C209" s="5"/>
      <c r="D209" s="6"/>
      <c r="E209" s="5"/>
      <c r="F209" s="5"/>
      <c r="G209" s="5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8"/>
      <c r="AG209" s="8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10"/>
    </row>
    <row r="210" spans="1:65" x14ac:dyDescent="0.3">
      <c r="A210" s="5"/>
      <c r="B210" s="5"/>
      <c r="C210" s="5"/>
      <c r="D210" s="6"/>
      <c r="E210" s="5"/>
      <c r="F210" s="5"/>
      <c r="G210" s="5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8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8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10"/>
    </row>
    <row r="211" spans="1:65" x14ac:dyDescent="0.3">
      <c r="A211" s="5"/>
      <c r="B211" s="5"/>
      <c r="C211" s="5"/>
      <c r="D211" s="6"/>
      <c r="E211" s="5"/>
      <c r="F211" s="5"/>
      <c r="G211" s="5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8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10"/>
    </row>
    <row r="212" spans="1:65" x14ac:dyDescent="0.3">
      <c r="A212" s="5"/>
      <c r="B212" s="5"/>
      <c r="C212" s="5"/>
      <c r="D212" s="6"/>
      <c r="E212" s="5"/>
      <c r="F212" s="5"/>
      <c r="G212" s="5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8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10"/>
    </row>
    <row r="213" spans="1:65" x14ac:dyDescent="0.3">
      <c r="A213" s="5"/>
      <c r="B213" s="5"/>
      <c r="C213" s="5"/>
      <c r="D213" s="6"/>
      <c r="E213" s="5"/>
      <c r="F213" s="5"/>
      <c r="G213" s="5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8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8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10"/>
    </row>
    <row r="214" spans="1:65" x14ac:dyDescent="0.3">
      <c r="A214" s="5"/>
      <c r="B214" s="5"/>
      <c r="C214" s="5"/>
      <c r="D214" s="6"/>
      <c r="E214" s="5"/>
      <c r="F214" s="5"/>
      <c r="G214" s="5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8"/>
      <c r="AG214" s="8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10"/>
    </row>
    <row r="215" spans="1:65" x14ac:dyDescent="0.3">
      <c r="A215" s="5"/>
      <c r="B215" s="5"/>
      <c r="C215" s="5"/>
      <c r="D215" s="6"/>
      <c r="E215" s="5"/>
      <c r="F215" s="5"/>
      <c r="G215" s="5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8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10"/>
    </row>
    <row r="216" spans="1:65" x14ac:dyDescent="0.3">
      <c r="A216" s="5"/>
      <c r="B216" s="5"/>
      <c r="C216" s="5"/>
      <c r="D216" s="6"/>
      <c r="E216" s="5"/>
      <c r="F216" s="5"/>
      <c r="G216" s="5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8"/>
      <c r="AG216" s="8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10"/>
    </row>
    <row r="217" spans="1:65" x14ac:dyDescent="0.3">
      <c r="A217" s="5"/>
      <c r="B217" s="5"/>
      <c r="C217" s="5"/>
      <c r="D217" s="6"/>
      <c r="E217" s="5"/>
      <c r="F217" s="5"/>
      <c r="G217" s="5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8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8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10"/>
    </row>
    <row r="218" spans="1:65" x14ac:dyDescent="0.3">
      <c r="A218" s="5"/>
      <c r="B218" s="5"/>
      <c r="C218" s="5"/>
      <c r="D218" s="6"/>
      <c r="E218" s="5"/>
      <c r="F218" s="5"/>
      <c r="G218" s="5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8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10"/>
    </row>
    <row r="219" spans="1:65" x14ac:dyDescent="0.3">
      <c r="A219" s="5"/>
      <c r="B219" s="5"/>
      <c r="C219" s="5"/>
      <c r="D219" s="6"/>
      <c r="E219" s="5"/>
      <c r="F219" s="5"/>
      <c r="G219" s="5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8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10"/>
    </row>
    <row r="220" spans="1:65" x14ac:dyDescent="0.3">
      <c r="A220" s="5"/>
      <c r="B220" s="5"/>
      <c r="C220" s="5"/>
      <c r="D220" s="6"/>
      <c r="E220" s="5"/>
      <c r="F220" s="5"/>
      <c r="G220" s="5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8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10"/>
    </row>
    <row r="221" spans="1:65" x14ac:dyDescent="0.3">
      <c r="A221" s="5"/>
      <c r="B221" s="5"/>
      <c r="C221" s="5"/>
      <c r="D221" s="6"/>
      <c r="E221" s="5"/>
      <c r="F221" s="5"/>
      <c r="G221" s="5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8"/>
      <c r="AG221" s="8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8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10"/>
    </row>
    <row r="222" spans="1:65" x14ac:dyDescent="0.3">
      <c r="A222" s="5"/>
      <c r="B222" s="5"/>
      <c r="C222" s="5"/>
      <c r="D222" s="6"/>
      <c r="E222" s="5"/>
      <c r="F222" s="5"/>
      <c r="G222" s="5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8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8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10"/>
    </row>
    <row r="223" spans="1:65" x14ac:dyDescent="0.3">
      <c r="A223" s="5"/>
      <c r="B223" s="5"/>
      <c r="C223" s="5"/>
      <c r="D223" s="6"/>
      <c r="E223" s="5"/>
      <c r="F223" s="5"/>
      <c r="G223" s="5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8"/>
      <c r="AG223" s="8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10"/>
    </row>
    <row r="224" spans="1:65" x14ac:dyDescent="0.3">
      <c r="A224" s="5"/>
      <c r="B224" s="5"/>
      <c r="C224" s="5"/>
      <c r="D224" s="6"/>
      <c r="E224" s="5"/>
      <c r="F224" s="5"/>
      <c r="G224" s="5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8"/>
      <c r="AG224" s="8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10"/>
    </row>
    <row r="225" spans="1:65" x14ac:dyDescent="0.3">
      <c r="A225" s="5"/>
      <c r="B225" s="5"/>
      <c r="C225" s="5"/>
      <c r="D225" s="6"/>
      <c r="E225" s="5"/>
      <c r="F225" s="5"/>
      <c r="G225" s="5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8"/>
      <c r="AG225" s="8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10"/>
    </row>
    <row r="226" spans="1:65" x14ac:dyDescent="0.3">
      <c r="A226" s="5"/>
      <c r="B226" s="5"/>
      <c r="C226" s="5"/>
      <c r="D226" s="6"/>
      <c r="E226" s="5"/>
      <c r="F226" s="5"/>
      <c r="G226" s="5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8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10"/>
    </row>
    <row r="227" spans="1:65" x14ac:dyDescent="0.3">
      <c r="A227" s="5"/>
      <c r="B227" s="5"/>
      <c r="C227" s="5"/>
      <c r="D227" s="6"/>
      <c r="E227" s="5"/>
      <c r="F227" s="5"/>
      <c r="G227" s="5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8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10"/>
    </row>
    <row r="228" spans="1:65" x14ac:dyDescent="0.3">
      <c r="A228" s="5"/>
      <c r="B228" s="5"/>
      <c r="C228" s="5"/>
      <c r="D228" s="6"/>
      <c r="E228" s="5"/>
      <c r="F228" s="5"/>
      <c r="G228" s="5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8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10"/>
    </row>
    <row r="229" spans="1:65" x14ac:dyDescent="0.3">
      <c r="A229" s="5"/>
      <c r="B229" s="5"/>
      <c r="C229" s="5"/>
      <c r="D229" s="6"/>
      <c r="E229" s="5"/>
      <c r="F229" s="5"/>
      <c r="G229" s="5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8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10"/>
    </row>
    <row r="230" spans="1:65" x14ac:dyDescent="0.3">
      <c r="A230" s="5"/>
      <c r="B230" s="5"/>
      <c r="C230" s="5"/>
      <c r="D230" s="6"/>
      <c r="E230" s="5"/>
      <c r="F230" s="5"/>
      <c r="G230" s="5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8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10"/>
    </row>
    <row r="231" spans="1:65" x14ac:dyDescent="0.3">
      <c r="A231" s="5"/>
      <c r="B231" s="5"/>
      <c r="C231" s="5"/>
      <c r="D231" s="6"/>
      <c r="E231" s="5"/>
      <c r="F231" s="5"/>
      <c r="G231" s="5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8"/>
      <c r="AG231" s="8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8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10"/>
    </row>
    <row r="232" spans="1:65" x14ac:dyDescent="0.3">
      <c r="A232" s="5"/>
      <c r="B232" s="5"/>
      <c r="C232" s="5"/>
      <c r="D232" s="6"/>
      <c r="E232" s="5"/>
      <c r="F232" s="5"/>
      <c r="G232" s="5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8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10"/>
    </row>
    <row r="233" spans="1:65" x14ac:dyDescent="0.3">
      <c r="A233" s="5"/>
      <c r="B233" s="5"/>
      <c r="C233" s="5"/>
      <c r="D233" s="6"/>
      <c r="E233" s="5"/>
      <c r="F233" s="5"/>
      <c r="G233" s="5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8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10"/>
    </row>
    <row r="234" spans="1:65" x14ac:dyDescent="0.3">
      <c r="A234" s="5"/>
      <c r="B234" s="5"/>
      <c r="C234" s="5"/>
      <c r="D234" s="6"/>
      <c r="E234" s="5"/>
      <c r="F234" s="5"/>
      <c r="G234" s="5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8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10"/>
    </row>
    <row r="235" spans="1:65" x14ac:dyDescent="0.3">
      <c r="A235" s="5"/>
      <c r="B235" s="5"/>
      <c r="C235" s="5"/>
      <c r="D235" s="6"/>
      <c r="E235" s="5"/>
      <c r="F235" s="5"/>
      <c r="G235" s="5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8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8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10"/>
    </row>
    <row r="236" spans="1:65" x14ac:dyDescent="0.3">
      <c r="A236" s="5"/>
      <c r="B236" s="5"/>
      <c r="C236" s="5"/>
      <c r="D236" s="6"/>
      <c r="E236" s="5"/>
      <c r="F236" s="5"/>
      <c r="G236" s="5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8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10"/>
    </row>
    <row r="237" spans="1:65" x14ac:dyDescent="0.3">
      <c r="A237" s="5"/>
      <c r="B237" s="5"/>
      <c r="C237" s="5"/>
      <c r="D237" s="6"/>
      <c r="E237" s="5"/>
      <c r="F237" s="5"/>
      <c r="G237" s="5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8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10"/>
    </row>
    <row r="238" spans="1:65" x14ac:dyDescent="0.3">
      <c r="A238" s="5"/>
      <c r="B238" s="5"/>
      <c r="C238" s="5"/>
      <c r="D238" s="6"/>
      <c r="E238" s="5"/>
      <c r="F238" s="5"/>
      <c r="G238" s="5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8"/>
      <c r="AG238" s="8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8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10"/>
    </row>
    <row r="239" spans="1:65" x14ac:dyDescent="0.3">
      <c r="A239" s="5"/>
      <c r="B239" s="5"/>
      <c r="C239" s="5"/>
      <c r="D239" s="6"/>
      <c r="E239" s="5"/>
      <c r="F239" s="5"/>
      <c r="G239" s="5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8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10"/>
    </row>
    <row r="240" spans="1:65" x14ac:dyDescent="0.3">
      <c r="A240" s="5"/>
      <c r="B240" s="5"/>
      <c r="C240" s="5"/>
      <c r="D240" s="6"/>
      <c r="E240" s="5"/>
      <c r="F240" s="5"/>
      <c r="G240" s="5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8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10"/>
    </row>
    <row r="241" spans="1:65" x14ac:dyDescent="0.3">
      <c r="A241" s="5"/>
      <c r="B241" s="5"/>
      <c r="C241" s="5"/>
      <c r="D241" s="6"/>
      <c r="E241" s="5"/>
      <c r="F241" s="5"/>
      <c r="G241" s="5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8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10"/>
    </row>
    <row r="242" spans="1:65" x14ac:dyDescent="0.3">
      <c r="A242" s="5"/>
      <c r="B242" s="5"/>
      <c r="C242" s="5"/>
      <c r="D242" s="6"/>
      <c r="E242" s="5"/>
      <c r="F242" s="5"/>
      <c r="G242" s="5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8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10"/>
    </row>
    <row r="243" spans="1:65" x14ac:dyDescent="0.3">
      <c r="A243" s="5"/>
      <c r="B243" s="5"/>
      <c r="C243" s="5"/>
      <c r="D243" s="6"/>
      <c r="E243" s="5"/>
      <c r="F243" s="5"/>
      <c r="G243" s="5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8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10"/>
    </row>
    <row r="244" spans="1:65" x14ac:dyDescent="0.3">
      <c r="A244" s="5"/>
      <c r="B244" s="5"/>
      <c r="C244" s="5"/>
      <c r="D244" s="6"/>
      <c r="E244" s="5"/>
      <c r="F244" s="5"/>
      <c r="G244" s="5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8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10"/>
    </row>
    <row r="245" spans="1:65" x14ac:dyDescent="0.3">
      <c r="A245" s="5"/>
      <c r="B245" s="5"/>
      <c r="C245" s="5"/>
      <c r="D245" s="6"/>
      <c r="E245" s="5"/>
      <c r="F245" s="5"/>
      <c r="G245" s="5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8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10"/>
    </row>
    <row r="246" spans="1:65" x14ac:dyDescent="0.3">
      <c r="A246" s="5"/>
      <c r="B246" s="5"/>
      <c r="C246" s="5"/>
      <c r="D246" s="6"/>
      <c r="E246" s="5"/>
      <c r="F246" s="5"/>
      <c r="G246" s="5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8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10"/>
    </row>
    <row r="247" spans="1:65" x14ac:dyDescent="0.3">
      <c r="A247" s="5"/>
      <c r="B247" s="5"/>
      <c r="C247" s="5"/>
      <c r="D247" s="6"/>
      <c r="E247" s="5"/>
      <c r="F247" s="5"/>
      <c r="G247" s="5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8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10"/>
    </row>
    <row r="248" spans="1:65" x14ac:dyDescent="0.3">
      <c r="A248" s="5"/>
      <c r="B248" s="5"/>
      <c r="C248" s="5"/>
      <c r="D248" s="6"/>
      <c r="E248" s="5"/>
      <c r="F248" s="5"/>
      <c r="G248" s="5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8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10"/>
    </row>
    <row r="249" spans="1:65" x14ac:dyDescent="0.3">
      <c r="A249" s="5"/>
      <c r="B249" s="5"/>
      <c r="C249" s="5"/>
      <c r="D249" s="6"/>
      <c r="E249" s="5"/>
      <c r="F249" s="5"/>
      <c r="G249" s="5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8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10"/>
    </row>
    <row r="250" spans="1:65" x14ac:dyDescent="0.3">
      <c r="A250" s="5"/>
      <c r="B250" s="5"/>
      <c r="C250" s="5"/>
      <c r="D250" s="6"/>
      <c r="E250" s="5"/>
      <c r="F250" s="5"/>
      <c r="G250" s="5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8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10"/>
    </row>
    <row r="251" spans="1:65" x14ac:dyDescent="0.3">
      <c r="A251" s="5"/>
      <c r="B251" s="5"/>
      <c r="C251" s="5"/>
      <c r="D251" s="6"/>
      <c r="E251" s="5"/>
      <c r="F251" s="5"/>
      <c r="G251" s="5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8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8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10"/>
    </row>
    <row r="252" spans="1:65" x14ac:dyDescent="0.3">
      <c r="A252" s="5"/>
      <c r="B252" s="5"/>
      <c r="C252" s="5"/>
      <c r="D252" s="6"/>
      <c r="E252" s="5"/>
      <c r="F252" s="5"/>
      <c r="G252" s="5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8"/>
      <c r="AG252" s="8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10"/>
    </row>
    <row r="253" spans="1:65" x14ac:dyDescent="0.3">
      <c r="A253" s="5"/>
      <c r="B253" s="5"/>
      <c r="C253" s="5"/>
      <c r="D253" s="6"/>
      <c r="E253" s="5"/>
      <c r="F253" s="5"/>
      <c r="G253" s="5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8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10"/>
    </row>
    <row r="254" spans="1:65" x14ac:dyDescent="0.3">
      <c r="A254" s="5"/>
      <c r="B254" s="5"/>
      <c r="C254" s="5"/>
      <c r="D254" s="6"/>
      <c r="E254" s="5"/>
      <c r="F254" s="5"/>
      <c r="G254" s="5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8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10"/>
    </row>
    <row r="255" spans="1:65" x14ac:dyDescent="0.3">
      <c r="A255" s="5"/>
      <c r="B255" s="5"/>
      <c r="C255" s="5"/>
      <c r="D255" s="6"/>
      <c r="E255" s="5"/>
      <c r="F255" s="5"/>
      <c r="G255" s="5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8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8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10"/>
    </row>
    <row r="256" spans="1:65" x14ac:dyDescent="0.3">
      <c r="A256" s="5"/>
      <c r="B256" s="5"/>
      <c r="C256" s="5"/>
      <c r="D256" s="6"/>
      <c r="E256" s="5"/>
      <c r="F256" s="5"/>
      <c r="G256" s="5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8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10"/>
    </row>
    <row r="257" spans="1:65" x14ac:dyDescent="0.3">
      <c r="A257" s="5"/>
      <c r="B257" s="5"/>
      <c r="C257" s="5"/>
      <c r="D257" s="6"/>
      <c r="E257" s="5"/>
      <c r="F257" s="5"/>
      <c r="G257" s="5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8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10"/>
    </row>
    <row r="258" spans="1:65" x14ac:dyDescent="0.3">
      <c r="A258" s="5"/>
      <c r="B258" s="5"/>
      <c r="C258" s="5"/>
      <c r="D258" s="6"/>
      <c r="E258" s="5"/>
      <c r="F258" s="5"/>
      <c r="G258" s="5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8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10"/>
    </row>
    <row r="259" spans="1:65" x14ac:dyDescent="0.3">
      <c r="A259" s="5"/>
      <c r="B259" s="5"/>
      <c r="C259" s="5"/>
      <c r="D259" s="6"/>
      <c r="E259" s="5"/>
      <c r="F259" s="5"/>
      <c r="G259" s="5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8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10"/>
    </row>
    <row r="260" spans="1:65" x14ac:dyDescent="0.3">
      <c r="A260" s="5"/>
      <c r="B260" s="5"/>
      <c r="C260" s="5"/>
      <c r="D260" s="6"/>
      <c r="E260" s="5"/>
      <c r="F260" s="5"/>
      <c r="G260" s="5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8"/>
      <c r="AG260" s="8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10"/>
    </row>
    <row r="261" spans="1:65" x14ac:dyDescent="0.3">
      <c r="A261" s="5"/>
      <c r="B261" s="5"/>
      <c r="C261" s="5"/>
      <c r="D261" s="6"/>
      <c r="E261" s="5"/>
      <c r="F261" s="5"/>
      <c r="G261" s="5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8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10"/>
    </row>
    <row r="262" spans="1:65" x14ac:dyDescent="0.3">
      <c r="A262" s="5"/>
      <c r="B262" s="5"/>
      <c r="C262" s="5"/>
      <c r="D262" s="6"/>
      <c r="E262" s="5"/>
      <c r="F262" s="5"/>
      <c r="G262" s="5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8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10"/>
    </row>
    <row r="263" spans="1:65" x14ac:dyDescent="0.3">
      <c r="A263" s="5"/>
      <c r="B263" s="5"/>
      <c r="C263" s="5"/>
      <c r="D263" s="6"/>
      <c r="E263" s="5"/>
      <c r="F263" s="5"/>
      <c r="G263" s="5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8"/>
      <c r="AG263" s="8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10"/>
    </row>
    <row r="264" spans="1:65" x14ac:dyDescent="0.3">
      <c r="A264" s="5"/>
      <c r="B264" s="5"/>
      <c r="C264" s="5"/>
      <c r="D264" s="6"/>
      <c r="E264" s="5"/>
      <c r="F264" s="5"/>
      <c r="G264" s="5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8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10"/>
    </row>
    <row r="265" spans="1:65" x14ac:dyDescent="0.3">
      <c r="A265" s="5"/>
      <c r="B265" s="5"/>
      <c r="C265" s="5"/>
      <c r="D265" s="6"/>
      <c r="E265" s="5"/>
      <c r="F265" s="5"/>
      <c r="G265" s="5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8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8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10"/>
    </row>
    <row r="266" spans="1:65" x14ac:dyDescent="0.3">
      <c r="A266" s="5"/>
      <c r="B266" s="5"/>
      <c r="C266" s="5"/>
      <c r="D266" s="6"/>
      <c r="E266" s="5"/>
      <c r="F266" s="5"/>
      <c r="G266" s="5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8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10"/>
    </row>
    <row r="267" spans="1:65" x14ac:dyDescent="0.3">
      <c r="A267" s="5"/>
      <c r="B267" s="5"/>
      <c r="C267" s="5"/>
      <c r="D267" s="6"/>
      <c r="E267" s="5"/>
      <c r="F267" s="5"/>
      <c r="G267" s="5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8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10"/>
    </row>
    <row r="268" spans="1:65" x14ac:dyDescent="0.3">
      <c r="A268" s="5"/>
      <c r="B268" s="5"/>
      <c r="C268" s="5"/>
      <c r="D268" s="6"/>
      <c r="E268" s="5"/>
      <c r="F268" s="5"/>
      <c r="G268" s="5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8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10"/>
    </row>
    <row r="269" spans="1:65" x14ac:dyDescent="0.3">
      <c r="A269" s="5"/>
      <c r="B269" s="5"/>
      <c r="C269" s="5"/>
      <c r="D269" s="6"/>
      <c r="E269" s="5"/>
      <c r="F269" s="5"/>
      <c r="G269" s="5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8"/>
      <c r="AG269" s="8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8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10"/>
    </row>
    <row r="270" spans="1:65" x14ac:dyDescent="0.3">
      <c r="A270" s="5"/>
      <c r="B270" s="5"/>
      <c r="C270" s="5"/>
      <c r="D270" s="6"/>
      <c r="E270" s="5"/>
      <c r="F270" s="5"/>
      <c r="G270" s="5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8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10"/>
    </row>
    <row r="271" spans="1:65" x14ac:dyDescent="0.3">
      <c r="A271" s="5"/>
      <c r="B271" s="5"/>
      <c r="C271" s="5"/>
      <c r="D271" s="6"/>
      <c r="E271" s="5"/>
      <c r="F271" s="5"/>
      <c r="G271" s="5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8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10"/>
    </row>
    <row r="272" spans="1:65" x14ac:dyDescent="0.3">
      <c r="A272" s="5"/>
      <c r="B272" s="5"/>
      <c r="C272" s="5"/>
      <c r="D272" s="6"/>
      <c r="E272" s="5"/>
      <c r="F272" s="5"/>
      <c r="G272" s="5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8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10"/>
    </row>
    <row r="273" spans="1:65" x14ac:dyDescent="0.3">
      <c r="A273" s="5"/>
      <c r="B273" s="5"/>
      <c r="C273" s="5"/>
      <c r="D273" s="6"/>
      <c r="E273" s="5"/>
      <c r="F273" s="5"/>
      <c r="G273" s="5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8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10"/>
    </row>
    <row r="274" spans="1:65" x14ac:dyDescent="0.3">
      <c r="A274" s="5"/>
      <c r="B274" s="5"/>
      <c r="C274" s="5"/>
      <c r="D274" s="6"/>
      <c r="E274" s="5"/>
      <c r="F274" s="5"/>
      <c r="G274" s="5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8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10"/>
    </row>
    <row r="275" spans="1:65" x14ac:dyDescent="0.3">
      <c r="A275" s="5"/>
      <c r="B275" s="5"/>
      <c r="C275" s="5"/>
      <c r="D275" s="6"/>
      <c r="E275" s="5"/>
      <c r="F275" s="5"/>
      <c r="G275" s="5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8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10"/>
    </row>
    <row r="276" spans="1:65" x14ac:dyDescent="0.3">
      <c r="A276" s="5"/>
      <c r="B276" s="5"/>
      <c r="C276" s="5"/>
      <c r="D276" s="6"/>
      <c r="E276" s="5"/>
      <c r="F276" s="5"/>
      <c r="G276" s="5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8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10"/>
    </row>
    <row r="277" spans="1:65" x14ac:dyDescent="0.3">
      <c r="A277" s="5"/>
      <c r="B277" s="5"/>
      <c r="C277" s="5"/>
      <c r="D277" s="6"/>
      <c r="E277" s="5"/>
      <c r="F277" s="5"/>
      <c r="G277" s="5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8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10"/>
    </row>
    <row r="278" spans="1:65" x14ac:dyDescent="0.3">
      <c r="A278" s="5"/>
      <c r="B278" s="5"/>
      <c r="C278" s="5"/>
      <c r="D278" s="6"/>
      <c r="E278" s="5"/>
      <c r="F278" s="5"/>
      <c r="G278" s="5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8"/>
      <c r="AG278" s="8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10"/>
    </row>
    <row r="279" spans="1:65" x14ac:dyDescent="0.3">
      <c r="A279" s="5"/>
      <c r="B279" s="5"/>
      <c r="C279" s="5"/>
      <c r="D279" s="6"/>
      <c r="E279" s="5"/>
      <c r="F279" s="5"/>
      <c r="G279" s="5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8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10"/>
    </row>
    <row r="280" spans="1:65" x14ac:dyDescent="0.3">
      <c r="A280" s="5"/>
      <c r="B280" s="5"/>
      <c r="C280" s="5"/>
      <c r="D280" s="6"/>
      <c r="E280" s="5"/>
      <c r="F280" s="5"/>
      <c r="G280" s="5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8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10"/>
    </row>
    <row r="281" spans="1:65" x14ac:dyDescent="0.3">
      <c r="A281" s="5"/>
      <c r="B281" s="5"/>
      <c r="C281" s="5"/>
      <c r="D281" s="6"/>
      <c r="E281" s="5"/>
      <c r="F281" s="5"/>
      <c r="G281" s="5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8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10"/>
    </row>
    <row r="282" spans="1:65" x14ac:dyDescent="0.3">
      <c r="A282" s="5"/>
      <c r="B282" s="5"/>
      <c r="C282" s="5"/>
      <c r="D282" s="6"/>
      <c r="E282" s="5"/>
      <c r="F282" s="5"/>
      <c r="G282" s="5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8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8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10"/>
    </row>
    <row r="283" spans="1:65" x14ac:dyDescent="0.3">
      <c r="A283" s="5"/>
      <c r="B283" s="5"/>
      <c r="C283" s="5"/>
      <c r="D283" s="6"/>
      <c r="E283" s="5"/>
      <c r="F283" s="5"/>
      <c r="G283" s="5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8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10"/>
    </row>
    <row r="284" spans="1:65" x14ac:dyDescent="0.3">
      <c r="A284" s="5"/>
      <c r="B284" s="5"/>
      <c r="C284" s="5"/>
      <c r="D284" s="6"/>
      <c r="E284" s="5"/>
      <c r="F284" s="5"/>
      <c r="G284" s="5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8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10"/>
    </row>
    <row r="285" spans="1:65" x14ac:dyDescent="0.3">
      <c r="A285" s="5"/>
      <c r="B285" s="5"/>
      <c r="C285" s="5"/>
      <c r="D285" s="6"/>
      <c r="E285" s="5"/>
      <c r="F285" s="5"/>
      <c r="G285" s="5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8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  <c r="BM285" s="10"/>
    </row>
    <row r="286" spans="1:65" x14ac:dyDescent="0.3">
      <c r="A286" s="5"/>
      <c r="B286" s="5"/>
      <c r="C286" s="5"/>
      <c r="D286" s="6"/>
      <c r="E286" s="5"/>
      <c r="F286" s="5"/>
      <c r="G286" s="5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7"/>
      <c r="BM286" s="10"/>
    </row>
    <row r="287" spans="1:65" x14ac:dyDescent="0.3">
      <c r="A287" s="5"/>
      <c r="B287" s="5"/>
      <c r="C287" s="5"/>
      <c r="D287" s="6"/>
      <c r="E287" s="5"/>
      <c r="F287" s="5"/>
      <c r="G287" s="5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8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10"/>
    </row>
    <row r="288" spans="1:65" x14ac:dyDescent="0.3">
      <c r="A288" s="5"/>
      <c r="B288" s="5"/>
      <c r="C288" s="5"/>
      <c r="D288" s="6"/>
      <c r="E288" s="5"/>
      <c r="F288" s="5"/>
      <c r="G288" s="5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8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7"/>
      <c r="BM288" s="10"/>
    </row>
    <row r="289" spans="1:65" x14ac:dyDescent="0.3">
      <c r="A289" s="5"/>
      <c r="B289" s="5"/>
      <c r="C289" s="5"/>
      <c r="D289" s="6"/>
      <c r="E289" s="5"/>
      <c r="F289" s="5"/>
      <c r="G289" s="5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7"/>
      <c r="BM289" s="10"/>
    </row>
    <row r="290" spans="1:65" x14ac:dyDescent="0.3">
      <c r="A290" s="5"/>
      <c r="B290" s="5"/>
      <c r="C290" s="5"/>
      <c r="D290" s="6"/>
      <c r="E290" s="5"/>
      <c r="F290" s="5"/>
      <c r="G290" s="5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8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10"/>
    </row>
    <row r="291" spans="1:65" x14ac:dyDescent="0.3">
      <c r="A291" s="5"/>
      <c r="B291" s="5"/>
      <c r="C291" s="5"/>
      <c r="D291" s="6"/>
      <c r="E291" s="5"/>
      <c r="F291" s="5"/>
      <c r="G291" s="5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8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7"/>
      <c r="BM291" s="10"/>
    </row>
    <row r="292" spans="1:65" x14ac:dyDescent="0.3">
      <c r="A292" s="5"/>
      <c r="B292" s="5"/>
      <c r="C292" s="5"/>
      <c r="D292" s="6"/>
      <c r="E292" s="5"/>
      <c r="F292" s="5"/>
      <c r="G292" s="5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8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10"/>
    </row>
    <row r="293" spans="1:65" x14ac:dyDescent="0.3">
      <c r="A293" s="5"/>
      <c r="B293" s="5"/>
      <c r="C293" s="5"/>
      <c r="D293" s="6"/>
      <c r="E293" s="5"/>
      <c r="F293" s="5"/>
      <c r="G293" s="5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8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7"/>
      <c r="BM293" s="10"/>
    </row>
    <row r="294" spans="1:65" x14ac:dyDescent="0.3">
      <c r="A294" s="5"/>
      <c r="B294" s="5"/>
      <c r="C294" s="5"/>
      <c r="D294" s="6"/>
      <c r="E294" s="5"/>
      <c r="F294" s="5"/>
      <c r="G294" s="5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8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10"/>
    </row>
    <row r="295" spans="1:65" x14ac:dyDescent="0.3">
      <c r="A295" s="5"/>
      <c r="B295" s="5"/>
      <c r="C295" s="5"/>
      <c r="D295" s="6"/>
      <c r="E295" s="5"/>
      <c r="F295" s="5"/>
      <c r="G295" s="5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7"/>
      <c r="BM295" s="11"/>
    </row>
    <row r="296" spans="1:65" x14ac:dyDescent="0.3">
      <c r="A296" s="5"/>
      <c r="B296" s="5"/>
      <c r="C296" s="5"/>
      <c r="D296" s="6"/>
      <c r="E296" s="5"/>
      <c r="F296" s="5"/>
      <c r="G296" s="5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11"/>
    </row>
    <row r="297" spans="1:65" x14ac:dyDescent="0.3">
      <c r="A297" s="5"/>
      <c r="B297" s="5"/>
      <c r="C297" s="5"/>
      <c r="D297" s="6"/>
      <c r="E297" s="5"/>
      <c r="F297" s="5"/>
      <c r="G297" s="5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7"/>
      <c r="BM297" s="11"/>
    </row>
    <row r="298" spans="1:65" x14ac:dyDescent="0.3">
      <c r="A298" s="5"/>
      <c r="B298" s="5"/>
      <c r="C298" s="5"/>
      <c r="D298" s="6"/>
      <c r="E298" s="5"/>
      <c r="F298" s="5"/>
      <c r="G298" s="5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11"/>
    </row>
    <row r="299" spans="1:65" x14ac:dyDescent="0.3">
      <c r="A299" s="5"/>
      <c r="B299" s="5"/>
      <c r="C299" s="5"/>
      <c r="D299" s="6"/>
      <c r="E299" s="5"/>
      <c r="F299" s="5"/>
      <c r="G299" s="5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7"/>
      <c r="BM299" s="11"/>
    </row>
    <row r="300" spans="1:65" x14ac:dyDescent="0.3">
      <c r="A300" s="5"/>
      <c r="B300" s="5"/>
      <c r="C300" s="5"/>
      <c r="D300" s="6"/>
      <c r="E300" s="5"/>
      <c r="F300" s="5"/>
      <c r="G300" s="5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11"/>
    </row>
    <row r="301" spans="1:65" x14ac:dyDescent="0.3">
      <c r="A301" s="5"/>
      <c r="B301" s="5"/>
      <c r="C301" s="5"/>
      <c r="D301" s="6"/>
      <c r="E301" s="5"/>
      <c r="F301" s="5"/>
      <c r="G301" s="5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11"/>
    </row>
    <row r="302" spans="1:65" x14ac:dyDescent="0.3">
      <c r="A302" s="5"/>
      <c r="B302" s="5"/>
      <c r="C302" s="5"/>
      <c r="D302" s="6"/>
      <c r="E302" s="5"/>
      <c r="F302" s="5"/>
      <c r="G302" s="5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11"/>
    </row>
    <row r="303" spans="1:65" x14ac:dyDescent="0.3">
      <c r="A303" s="5"/>
      <c r="B303" s="5"/>
      <c r="C303" s="5"/>
      <c r="D303" s="6"/>
      <c r="E303" s="5"/>
      <c r="F303" s="5"/>
      <c r="G303" s="5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7"/>
      <c r="BM303" s="11"/>
    </row>
    <row r="304" spans="1:65" x14ac:dyDescent="0.3">
      <c r="A304" s="5"/>
      <c r="B304" s="5"/>
      <c r="C304" s="5"/>
      <c r="D304" s="6"/>
      <c r="E304" s="5"/>
      <c r="F304" s="5"/>
      <c r="G304" s="5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11"/>
    </row>
    <row r="305" spans="1:65" x14ac:dyDescent="0.3">
      <c r="A305" s="5"/>
      <c r="B305" s="5"/>
      <c r="C305" s="5"/>
      <c r="D305" s="6"/>
      <c r="E305" s="5"/>
      <c r="F305" s="5"/>
      <c r="G305" s="5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  <c r="BM305" s="11"/>
    </row>
    <row r="306" spans="1:65" x14ac:dyDescent="0.3">
      <c r="A306" s="5"/>
      <c r="B306" s="5"/>
      <c r="C306" s="5"/>
      <c r="D306" s="6"/>
      <c r="E306" s="5"/>
      <c r="F306" s="5"/>
      <c r="G306" s="5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11"/>
    </row>
    <row r="307" spans="1:65" x14ac:dyDescent="0.3">
      <c r="A307" s="5"/>
      <c r="B307" s="5"/>
      <c r="C307" s="5"/>
      <c r="D307" s="6"/>
      <c r="E307" s="5"/>
      <c r="F307" s="5"/>
      <c r="G307" s="5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11"/>
    </row>
    <row r="308" spans="1:65" x14ac:dyDescent="0.3">
      <c r="A308" s="5"/>
      <c r="B308" s="5"/>
      <c r="C308" s="5"/>
      <c r="D308" s="6"/>
      <c r="E308" s="5"/>
      <c r="F308" s="5"/>
      <c r="G308" s="5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11"/>
    </row>
    <row r="309" spans="1:65" x14ac:dyDescent="0.3">
      <c r="A309" s="5"/>
      <c r="B309" s="5"/>
      <c r="C309" s="5"/>
      <c r="D309" s="6"/>
      <c r="E309" s="5"/>
      <c r="F309" s="5"/>
      <c r="G309" s="5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7"/>
      <c r="BM309" s="11"/>
    </row>
    <row r="310" spans="1:65" x14ac:dyDescent="0.3">
      <c r="A310" s="5"/>
      <c r="B310" s="5"/>
      <c r="C310" s="5"/>
      <c r="D310" s="6"/>
      <c r="E310" s="5"/>
      <c r="F310" s="5"/>
      <c r="G310" s="5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11"/>
    </row>
    <row r="311" spans="1:65" x14ac:dyDescent="0.3">
      <c r="A311" s="5"/>
      <c r="B311" s="5"/>
      <c r="C311" s="5"/>
      <c r="D311" s="6"/>
      <c r="E311" s="5"/>
      <c r="F311" s="5"/>
      <c r="G311" s="5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11"/>
    </row>
    <row r="312" spans="1:65" x14ac:dyDescent="0.3">
      <c r="A312" s="5"/>
      <c r="B312" s="5"/>
      <c r="C312" s="5"/>
      <c r="D312" s="6"/>
      <c r="E312" s="5"/>
      <c r="F312" s="5"/>
      <c r="G312" s="5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  <c r="BM312" s="11"/>
    </row>
    <row r="313" spans="1:65" x14ac:dyDescent="0.3">
      <c r="A313" s="5"/>
      <c r="B313" s="5"/>
      <c r="C313" s="5"/>
      <c r="D313" s="6"/>
      <c r="E313" s="5"/>
      <c r="F313" s="5"/>
      <c r="G313" s="5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7"/>
      <c r="BM313" s="11"/>
    </row>
    <row r="314" spans="1:65" x14ac:dyDescent="0.3">
      <c r="A314" s="5"/>
      <c r="B314" s="5"/>
      <c r="C314" s="5"/>
      <c r="D314" s="6"/>
      <c r="E314" s="5"/>
      <c r="F314" s="5"/>
      <c r="G314" s="5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  <c r="BM314" s="11"/>
    </row>
    <row r="315" spans="1:65" x14ac:dyDescent="0.3">
      <c r="A315" s="5"/>
      <c r="B315" s="5"/>
      <c r="C315" s="5"/>
      <c r="D315" s="6"/>
      <c r="E315" s="5"/>
      <c r="F315" s="5"/>
      <c r="G315" s="5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7"/>
      <c r="BM315" s="11"/>
    </row>
    <row r="316" spans="1:65" x14ac:dyDescent="0.3">
      <c r="A316" s="5"/>
      <c r="B316" s="5"/>
      <c r="C316" s="5"/>
      <c r="D316" s="6"/>
      <c r="E316" s="5"/>
      <c r="F316" s="5"/>
      <c r="G316" s="5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7"/>
      <c r="BM316" s="11"/>
    </row>
    <row r="317" spans="1:65" x14ac:dyDescent="0.3">
      <c r="A317" s="5"/>
      <c r="B317" s="5"/>
      <c r="C317" s="5"/>
      <c r="D317" s="6"/>
      <c r="E317" s="5"/>
      <c r="F317" s="5"/>
      <c r="G317" s="5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7"/>
      <c r="BM317" s="11"/>
    </row>
    <row r="318" spans="1:65" x14ac:dyDescent="0.3">
      <c r="A318" s="5"/>
      <c r="B318" s="5"/>
      <c r="C318" s="5"/>
      <c r="D318" s="6"/>
      <c r="E318" s="5"/>
      <c r="F318" s="5"/>
      <c r="G318" s="5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7"/>
      <c r="BM318" s="11"/>
    </row>
    <row r="319" spans="1:65" x14ac:dyDescent="0.3">
      <c r="A319" s="5"/>
      <c r="B319" s="5"/>
      <c r="C319" s="5"/>
      <c r="D319" s="6"/>
      <c r="E319" s="5"/>
      <c r="F319" s="5"/>
      <c r="G319" s="5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7"/>
      <c r="BM319" s="11"/>
    </row>
    <row r="320" spans="1:65" x14ac:dyDescent="0.3">
      <c r="A320" s="5"/>
      <c r="B320" s="5"/>
      <c r="C320" s="5"/>
      <c r="D320" s="6"/>
      <c r="E320" s="5"/>
      <c r="F320" s="5"/>
      <c r="G320" s="5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7"/>
      <c r="BM320" s="11"/>
    </row>
    <row r="321" spans="1:65" x14ac:dyDescent="0.3">
      <c r="A321" s="5"/>
      <c r="B321" s="5"/>
      <c r="C321" s="5"/>
      <c r="D321" s="6"/>
      <c r="E321" s="5"/>
      <c r="F321" s="5"/>
      <c r="G321" s="5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7"/>
      <c r="BM321" s="11"/>
    </row>
    <row r="322" spans="1:65" x14ac:dyDescent="0.3">
      <c r="A322" s="5"/>
      <c r="B322" s="5"/>
      <c r="C322" s="5"/>
      <c r="D322" s="6"/>
      <c r="E322" s="5"/>
      <c r="F322" s="5"/>
      <c r="G322" s="5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7"/>
      <c r="BM322" s="11"/>
    </row>
    <row r="323" spans="1:65" x14ac:dyDescent="0.3">
      <c r="A323" s="5"/>
      <c r="B323" s="5"/>
      <c r="C323" s="5"/>
      <c r="D323" s="6"/>
      <c r="E323" s="5"/>
      <c r="F323" s="5"/>
      <c r="G323" s="5"/>
      <c r="H323" s="7"/>
      <c r="I323" s="7"/>
      <c r="J323" s="7"/>
      <c r="K323" s="8"/>
      <c r="L323" s="8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8"/>
      <c r="AF323" s="8"/>
      <c r="AG323" s="8"/>
      <c r="AH323" s="7"/>
      <c r="AI323" s="7"/>
      <c r="AJ323" s="7"/>
      <c r="AK323" s="8"/>
      <c r="AL323" s="8"/>
      <c r="AM323" s="8"/>
      <c r="AN323" s="7"/>
      <c r="AO323" s="7"/>
      <c r="AP323" s="7"/>
      <c r="AQ323" s="8"/>
      <c r="AR323" s="8"/>
      <c r="AS323" s="8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9"/>
      <c r="BM323" s="10"/>
    </row>
    <row r="324" spans="1:65" x14ac:dyDescent="0.3">
      <c r="A324" s="5"/>
      <c r="B324" s="5"/>
      <c r="C324" s="5"/>
      <c r="D324" s="6"/>
      <c r="E324" s="5"/>
      <c r="F324" s="5"/>
      <c r="G324" s="5"/>
      <c r="H324" s="7"/>
      <c r="I324" s="7"/>
      <c r="J324" s="7"/>
      <c r="K324" s="8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8"/>
      <c r="AF324" s="8"/>
      <c r="AG324" s="8"/>
      <c r="AH324" s="7"/>
      <c r="AI324" s="7"/>
      <c r="AJ324" s="7"/>
      <c r="AK324" s="8"/>
      <c r="AL324" s="8"/>
      <c r="AM324" s="8"/>
      <c r="AN324" s="7"/>
      <c r="AO324" s="7"/>
      <c r="AP324" s="7"/>
      <c r="AQ324" s="7"/>
      <c r="AR324" s="8"/>
      <c r="AS324" s="8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9"/>
      <c r="BM324" s="10"/>
    </row>
    <row r="325" spans="1:65" x14ac:dyDescent="0.3">
      <c r="A325" s="5"/>
      <c r="B325" s="5"/>
      <c r="C325" s="5"/>
      <c r="D325" s="6"/>
      <c r="E325" s="5"/>
      <c r="F325" s="5"/>
      <c r="G325" s="5"/>
      <c r="H325" s="7"/>
      <c r="I325" s="7"/>
      <c r="J325" s="7"/>
      <c r="K325" s="8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8"/>
      <c r="AF325" s="8"/>
      <c r="AG325" s="8"/>
      <c r="AH325" s="7"/>
      <c r="AI325" s="7"/>
      <c r="AJ325" s="7"/>
      <c r="AK325" s="8"/>
      <c r="AL325" s="8"/>
      <c r="AM325" s="8"/>
      <c r="AN325" s="7"/>
      <c r="AO325" s="7"/>
      <c r="AP325" s="7"/>
      <c r="AQ325" s="8"/>
      <c r="AR325" s="8"/>
      <c r="AS325" s="8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9"/>
      <c r="BM325" s="10"/>
    </row>
    <row r="326" spans="1:65" x14ac:dyDescent="0.3">
      <c r="A326" s="5"/>
      <c r="B326" s="5"/>
      <c r="C326" s="5"/>
      <c r="D326" s="6"/>
      <c r="E326" s="5"/>
      <c r="F326" s="5"/>
      <c r="G326" s="5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8"/>
      <c r="AF326" s="8"/>
      <c r="AG326" s="8"/>
      <c r="AH326" s="7"/>
      <c r="AI326" s="7"/>
      <c r="AJ326" s="7"/>
      <c r="AK326" s="8"/>
      <c r="AL326" s="8"/>
      <c r="AM326" s="8"/>
      <c r="AN326" s="7"/>
      <c r="AO326" s="7"/>
      <c r="AP326" s="7"/>
      <c r="AQ326" s="8"/>
      <c r="AR326" s="8"/>
      <c r="AS326" s="8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9"/>
      <c r="BM326" s="10"/>
    </row>
    <row r="327" spans="1:65" x14ac:dyDescent="0.3">
      <c r="A327" s="5"/>
      <c r="B327" s="5"/>
      <c r="C327" s="5"/>
      <c r="D327" s="6"/>
      <c r="E327" s="5"/>
      <c r="F327" s="5"/>
      <c r="G327" s="5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8"/>
      <c r="AG327" s="8"/>
      <c r="AH327" s="7"/>
      <c r="AI327" s="7"/>
      <c r="AJ327" s="7"/>
      <c r="AK327" s="7"/>
      <c r="AL327" s="8"/>
      <c r="AM327" s="8"/>
      <c r="AN327" s="7"/>
      <c r="AO327" s="7"/>
      <c r="AP327" s="7"/>
      <c r="AQ327" s="7"/>
      <c r="AR327" s="8"/>
      <c r="AS327" s="8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9"/>
      <c r="BM327" s="10"/>
    </row>
    <row r="328" spans="1:65" x14ac:dyDescent="0.3">
      <c r="A328" s="5"/>
      <c r="B328" s="5"/>
      <c r="C328" s="5"/>
      <c r="D328" s="6"/>
      <c r="E328" s="5"/>
      <c r="F328" s="5"/>
      <c r="G328" s="5"/>
      <c r="H328" s="7"/>
      <c r="I328" s="7"/>
      <c r="J328" s="7"/>
      <c r="K328" s="8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8"/>
      <c r="AF328" s="8"/>
      <c r="AG328" s="8"/>
      <c r="AH328" s="7"/>
      <c r="AI328" s="7"/>
      <c r="AJ328" s="7"/>
      <c r="AK328" s="8"/>
      <c r="AL328" s="8"/>
      <c r="AM328" s="8"/>
      <c r="AN328" s="7"/>
      <c r="AO328" s="7"/>
      <c r="AP328" s="7"/>
      <c r="AQ328" s="7"/>
      <c r="AR328" s="8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9"/>
      <c r="BM328" s="10"/>
    </row>
    <row r="329" spans="1:65" x14ac:dyDescent="0.3">
      <c r="A329" s="5"/>
      <c r="B329" s="5"/>
      <c r="C329" s="5"/>
      <c r="D329" s="6"/>
      <c r="E329" s="5"/>
      <c r="F329" s="5"/>
      <c r="G329" s="5"/>
      <c r="H329" s="7"/>
      <c r="I329" s="7"/>
      <c r="J329" s="7"/>
      <c r="K329" s="8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8"/>
      <c r="AF329" s="8"/>
      <c r="AG329" s="8"/>
      <c r="AH329" s="7"/>
      <c r="AI329" s="7"/>
      <c r="AJ329" s="7"/>
      <c r="AK329" s="8"/>
      <c r="AL329" s="8"/>
      <c r="AM329" s="8"/>
      <c r="AN329" s="7"/>
      <c r="AO329" s="7"/>
      <c r="AP329" s="7"/>
      <c r="AQ329" s="7"/>
      <c r="AR329" s="8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9"/>
      <c r="BM329" s="10"/>
    </row>
    <row r="330" spans="1:65" x14ac:dyDescent="0.3">
      <c r="A330" s="5"/>
      <c r="B330" s="5"/>
      <c r="C330" s="5"/>
      <c r="D330" s="6"/>
      <c r="E330" s="5"/>
      <c r="F330" s="5"/>
      <c r="G330" s="5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8"/>
      <c r="AF330" s="8"/>
      <c r="AG330" s="8"/>
      <c r="AH330" s="7"/>
      <c r="AI330" s="7"/>
      <c r="AJ330" s="7"/>
      <c r="AK330" s="8"/>
      <c r="AL330" s="8"/>
      <c r="AM330" s="8"/>
      <c r="AN330" s="7"/>
      <c r="AO330" s="7"/>
      <c r="AP330" s="7"/>
      <c r="AQ330" s="7"/>
      <c r="AR330" s="8"/>
      <c r="AS330" s="8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9"/>
      <c r="BM330" s="10"/>
    </row>
    <row r="331" spans="1:65" x14ac:dyDescent="0.3">
      <c r="A331" s="5"/>
      <c r="B331" s="5"/>
      <c r="C331" s="5"/>
      <c r="D331" s="6"/>
      <c r="E331" s="5"/>
      <c r="F331" s="5"/>
      <c r="G331" s="5"/>
      <c r="H331" s="7"/>
      <c r="I331" s="7"/>
      <c r="J331" s="7"/>
      <c r="K331" s="8"/>
      <c r="L331" s="8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8"/>
      <c r="AF331" s="8"/>
      <c r="AG331" s="8"/>
      <c r="AH331" s="7"/>
      <c r="AI331" s="7"/>
      <c r="AJ331" s="7"/>
      <c r="AK331" s="8"/>
      <c r="AL331" s="8"/>
      <c r="AM331" s="8"/>
      <c r="AN331" s="7"/>
      <c r="AO331" s="7"/>
      <c r="AP331" s="7"/>
      <c r="AQ331" s="7"/>
      <c r="AR331" s="8"/>
      <c r="AS331" s="8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9"/>
      <c r="BM331" s="10"/>
    </row>
    <row r="332" spans="1:65" x14ac:dyDescent="0.3">
      <c r="A332" s="5"/>
      <c r="B332" s="5"/>
      <c r="C332" s="5"/>
      <c r="D332" s="6"/>
      <c r="E332" s="5"/>
      <c r="F332" s="5"/>
      <c r="G332" s="5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8"/>
      <c r="AF332" s="8"/>
      <c r="AG332" s="8"/>
      <c r="AH332" s="7"/>
      <c r="AI332" s="7"/>
      <c r="AJ332" s="7"/>
      <c r="AK332" s="8"/>
      <c r="AL332" s="8"/>
      <c r="AM332" s="8"/>
      <c r="AN332" s="7"/>
      <c r="AO332" s="7"/>
      <c r="AP332" s="7"/>
      <c r="AQ332" s="7"/>
      <c r="AR332" s="8"/>
      <c r="AS332" s="8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9"/>
      <c r="BM332" s="10"/>
    </row>
    <row r="333" spans="1:65" x14ac:dyDescent="0.3">
      <c r="A333" s="5"/>
      <c r="B333" s="5"/>
      <c r="C333" s="5"/>
      <c r="D333" s="6"/>
      <c r="E333" s="5"/>
      <c r="F333" s="5"/>
      <c r="G333" s="5"/>
      <c r="H333" s="7"/>
      <c r="I333" s="7"/>
      <c r="J333" s="7"/>
      <c r="K333" s="8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8"/>
      <c r="AF333" s="8"/>
      <c r="AG333" s="8"/>
      <c r="AH333" s="7"/>
      <c r="AI333" s="7"/>
      <c r="AJ333" s="7"/>
      <c r="AK333" s="8"/>
      <c r="AL333" s="8"/>
      <c r="AM333" s="8"/>
      <c r="AN333" s="7"/>
      <c r="AO333" s="7"/>
      <c r="AP333" s="7"/>
      <c r="AQ333" s="7"/>
      <c r="AR333" s="8"/>
      <c r="AS333" s="8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9"/>
      <c r="BM333" s="10"/>
    </row>
    <row r="334" spans="1:65" x14ac:dyDescent="0.3">
      <c r="A334" s="5"/>
      <c r="B334" s="5"/>
      <c r="C334" s="5"/>
      <c r="D334" s="6"/>
      <c r="E334" s="5"/>
      <c r="F334" s="5"/>
      <c r="G334" s="5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8"/>
      <c r="AG334" s="8"/>
      <c r="AH334" s="7"/>
      <c r="AI334" s="7"/>
      <c r="AJ334" s="7"/>
      <c r="AK334" s="8"/>
      <c r="AL334" s="8"/>
      <c r="AM334" s="8"/>
      <c r="AN334" s="7"/>
      <c r="AO334" s="7"/>
      <c r="AP334" s="7"/>
      <c r="AQ334" s="7"/>
      <c r="AR334" s="8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9"/>
      <c r="BM334" s="10"/>
    </row>
    <row r="335" spans="1:65" x14ac:dyDescent="0.3">
      <c r="A335" s="5"/>
      <c r="B335" s="5"/>
      <c r="C335" s="5"/>
      <c r="D335" s="6"/>
      <c r="E335" s="5"/>
      <c r="F335" s="5"/>
      <c r="G335" s="5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8"/>
      <c r="AG335" s="8"/>
      <c r="AH335" s="7"/>
      <c r="AI335" s="7"/>
      <c r="AJ335" s="7"/>
      <c r="AK335" s="7"/>
      <c r="AL335" s="8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9"/>
      <c r="BM335" s="10"/>
    </row>
    <row r="336" spans="1:65" x14ac:dyDescent="0.3">
      <c r="A336" s="5"/>
      <c r="B336" s="5"/>
      <c r="C336" s="5"/>
      <c r="D336" s="6"/>
      <c r="E336" s="5"/>
      <c r="F336" s="5"/>
      <c r="G336" s="5"/>
      <c r="H336" s="7"/>
      <c r="I336" s="7"/>
      <c r="J336" s="8"/>
      <c r="K336" s="7"/>
      <c r="L336" s="8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8"/>
      <c r="AG336" s="8"/>
      <c r="AH336" s="7"/>
      <c r="AI336" s="7"/>
      <c r="AJ336" s="7"/>
      <c r="AK336" s="7"/>
      <c r="AL336" s="8"/>
      <c r="AM336" s="8"/>
      <c r="AN336" s="7"/>
      <c r="AO336" s="7"/>
      <c r="AP336" s="7"/>
      <c r="AQ336" s="7"/>
      <c r="AR336" s="8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9"/>
      <c r="BM336" s="10"/>
    </row>
    <row r="337" spans="1:65" x14ac:dyDescent="0.3">
      <c r="A337" s="5"/>
      <c r="B337" s="5"/>
      <c r="C337" s="5"/>
      <c r="D337" s="6"/>
      <c r="E337" s="5"/>
      <c r="F337" s="5"/>
      <c r="G337" s="5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8"/>
      <c r="AG337" s="7"/>
      <c r="AH337" s="7"/>
      <c r="AI337" s="7"/>
      <c r="AJ337" s="7"/>
      <c r="AK337" s="7"/>
      <c r="AL337" s="8"/>
      <c r="AM337" s="8"/>
      <c r="AN337" s="7"/>
      <c r="AO337" s="7"/>
      <c r="AP337" s="7"/>
      <c r="AQ337" s="7"/>
      <c r="AR337" s="8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9"/>
      <c r="BM337" s="10"/>
    </row>
    <row r="338" spans="1:65" x14ac:dyDescent="0.3">
      <c r="A338" s="5"/>
      <c r="B338" s="5"/>
      <c r="C338" s="5"/>
      <c r="D338" s="6"/>
      <c r="E338" s="5"/>
      <c r="F338" s="5"/>
      <c r="G338" s="5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8"/>
      <c r="AG338" s="7"/>
      <c r="AH338" s="7"/>
      <c r="AI338" s="7"/>
      <c r="AJ338" s="7"/>
      <c r="AK338" s="7"/>
      <c r="AL338" s="8"/>
      <c r="AM338" s="8"/>
      <c r="AN338" s="7"/>
      <c r="AO338" s="7"/>
      <c r="AP338" s="7"/>
      <c r="AQ338" s="7"/>
      <c r="AR338" s="8"/>
      <c r="AS338" s="8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9"/>
      <c r="BM338" s="10"/>
    </row>
    <row r="339" spans="1:65" x14ac:dyDescent="0.3">
      <c r="A339" s="5"/>
      <c r="B339" s="5"/>
      <c r="C339" s="5"/>
      <c r="D339" s="6"/>
      <c r="E339" s="5"/>
      <c r="F339" s="5"/>
      <c r="G339" s="5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8"/>
      <c r="AG339" s="8"/>
      <c r="AH339" s="7"/>
      <c r="AI339" s="7"/>
      <c r="AJ339" s="7"/>
      <c r="AK339" s="7"/>
      <c r="AL339" s="8"/>
      <c r="AM339" s="8"/>
      <c r="AN339" s="7"/>
      <c r="AO339" s="7"/>
      <c r="AP339" s="7"/>
      <c r="AQ339" s="7"/>
      <c r="AR339" s="8"/>
      <c r="AS339" s="8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9"/>
      <c r="BM339" s="10"/>
    </row>
    <row r="340" spans="1:65" x14ac:dyDescent="0.3">
      <c r="A340" s="5"/>
      <c r="B340" s="5"/>
      <c r="C340" s="5"/>
      <c r="D340" s="6"/>
      <c r="E340" s="5"/>
      <c r="F340" s="5"/>
      <c r="G340" s="5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8"/>
      <c r="AG340" s="7"/>
      <c r="AH340" s="7"/>
      <c r="AI340" s="8"/>
      <c r="AJ340" s="8"/>
      <c r="AK340" s="7"/>
      <c r="AL340" s="7"/>
      <c r="AM340" s="7"/>
      <c r="AN340" s="7"/>
      <c r="AO340" s="7"/>
      <c r="AP340" s="7"/>
      <c r="AQ340" s="7"/>
      <c r="AR340" s="8"/>
      <c r="AS340" s="8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9"/>
      <c r="BM340" s="10"/>
    </row>
    <row r="341" spans="1:65" x14ac:dyDescent="0.3">
      <c r="A341" s="5"/>
      <c r="B341" s="5"/>
      <c r="C341" s="5"/>
      <c r="D341" s="6"/>
      <c r="E341" s="5"/>
      <c r="F341" s="5"/>
      <c r="G341" s="5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8"/>
      <c r="AG341" s="7"/>
      <c r="AH341" s="7"/>
      <c r="AI341" s="7"/>
      <c r="AJ341" s="7"/>
      <c r="AK341" s="7"/>
      <c r="AL341" s="8"/>
      <c r="AM341" s="8"/>
      <c r="AN341" s="7"/>
      <c r="AO341" s="7"/>
      <c r="AP341" s="7"/>
      <c r="AQ341" s="7"/>
      <c r="AR341" s="8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9"/>
      <c r="BM341" s="10"/>
    </row>
    <row r="342" spans="1:65" x14ac:dyDescent="0.3">
      <c r="A342" s="5"/>
      <c r="B342" s="5"/>
      <c r="C342" s="5"/>
      <c r="D342" s="6"/>
      <c r="E342" s="5"/>
      <c r="F342" s="5"/>
      <c r="G342" s="5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8"/>
      <c r="AG342" s="8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8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7"/>
      <c r="BM342" s="10"/>
    </row>
    <row r="343" spans="1:65" x14ac:dyDescent="0.3">
      <c r="A343" s="5"/>
      <c r="B343" s="5"/>
      <c r="C343" s="5"/>
      <c r="D343" s="6"/>
      <c r="E343" s="5"/>
      <c r="F343" s="5"/>
      <c r="G343" s="5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8"/>
      <c r="AG343" s="7"/>
      <c r="AH343" s="7"/>
      <c r="AI343" s="7"/>
      <c r="AJ343" s="7"/>
      <c r="AK343" s="7"/>
      <c r="AL343" s="8"/>
      <c r="AM343" s="7"/>
      <c r="AN343" s="7"/>
      <c r="AO343" s="7"/>
      <c r="AP343" s="7"/>
      <c r="AQ343" s="7"/>
      <c r="AR343" s="8"/>
      <c r="AS343" s="8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K343" s="7"/>
      <c r="BL343" s="9"/>
      <c r="BM343" s="10"/>
    </row>
    <row r="344" spans="1:65" x14ac:dyDescent="0.3">
      <c r="A344" s="5"/>
      <c r="B344" s="5"/>
      <c r="C344" s="5"/>
      <c r="D344" s="6"/>
      <c r="E344" s="5"/>
      <c r="F344" s="5"/>
      <c r="G344" s="5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8"/>
      <c r="AG344" s="7"/>
      <c r="AH344" s="7"/>
      <c r="AI344" s="7"/>
      <c r="AJ344" s="7"/>
      <c r="AK344" s="7"/>
      <c r="AL344" s="8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7"/>
      <c r="BM344" s="10"/>
    </row>
    <row r="345" spans="1:65" x14ac:dyDescent="0.3">
      <c r="A345" s="5"/>
      <c r="B345" s="5"/>
      <c r="C345" s="5"/>
      <c r="D345" s="6"/>
      <c r="E345" s="5"/>
      <c r="F345" s="5"/>
      <c r="G345" s="5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8"/>
      <c r="AG345" s="7"/>
      <c r="AH345" s="7"/>
      <c r="AI345" s="7"/>
      <c r="AJ345" s="7"/>
      <c r="AK345" s="7"/>
      <c r="AL345" s="8"/>
      <c r="AM345" s="7"/>
      <c r="AN345" s="7"/>
      <c r="AO345" s="7"/>
      <c r="AP345" s="7"/>
      <c r="AQ345" s="7"/>
      <c r="AR345" s="8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9"/>
      <c r="BM345" s="10"/>
    </row>
    <row r="346" spans="1:65" x14ac:dyDescent="0.3">
      <c r="A346" s="5"/>
      <c r="B346" s="5"/>
      <c r="C346" s="5"/>
      <c r="D346" s="6"/>
      <c r="E346" s="5"/>
      <c r="F346" s="5"/>
      <c r="G346" s="5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8"/>
      <c r="AG346" s="7"/>
      <c r="AH346" s="7"/>
      <c r="AI346" s="7"/>
      <c r="AJ346" s="7"/>
      <c r="AK346" s="7"/>
      <c r="AL346" s="8"/>
      <c r="AM346" s="7"/>
      <c r="AN346" s="7"/>
      <c r="AO346" s="7"/>
      <c r="AP346" s="7"/>
      <c r="AQ346" s="7"/>
      <c r="AR346" s="8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9"/>
      <c r="BM346" s="10"/>
    </row>
    <row r="347" spans="1:65" x14ac:dyDescent="0.3">
      <c r="A347" s="5"/>
      <c r="B347" s="5"/>
      <c r="C347" s="5"/>
      <c r="D347" s="6"/>
      <c r="E347" s="5"/>
      <c r="F347" s="5"/>
      <c r="G347" s="5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8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8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7"/>
      <c r="BM347" s="10"/>
    </row>
    <row r="348" spans="1:65" x14ac:dyDescent="0.3">
      <c r="A348" s="5"/>
      <c r="B348" s="5"/>
      <c r="C348" s="5"/>
      <c r="D348" s="6"/>
      <c r="E348" s="5"/>
      <c r="F348" s="5"/>
      <c r="G348" s="5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8"/>
      <c r="AG348" s="7"/>
      <c r="AH348" s="7"/>
      <c r="AI348" s="7"/>
      <c r="AJ348" s="7"/>
      <c r="AK348" s="7"/>
      <c r="AL348" s="8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9"/>
      <c r="BM348" s="10"/>
    </row>
    <row r="349" spans="1:65" x14ac:dyDescent="0.3">
      <c r="A349" s="5"/>
      <c r="B349" s="5"/>
      <c r="C349" s="5"/>
      <c r="D349" s="6"/>
      <c r="E349" s="5"/>
      <c r="F349" s="5"/>
      <c r="G349" s="5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8"/>
      <c r="AM349" s="8"/>
      <c r="AN349" s="7"/>
      <c r="AO349" s="7"/>
      <c r="AP349" s="7"/>
      <c r="AQ349" s="7"/>
      <c r="AR349" s="8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9"/>
      <c r="BM349" s="10"/>
    </row>
    <row r="350" spans="1:65" x14ac:dyDescent="0.3">
      <c r="A350" s="5"/>
      <c r="B350" s="5"/>
      <c r="C350" s="5"/>
      <c r="D350" s="6"/>
      <c r="E350" s="5"/>
      <c r="F350" s="5"/>
      <c r="G350" s="5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8"/>
      <c r="AG350" s="8"/>
      <c r="AH350" s="7"/>
      <c r="AI350" s="7"/>
      <c r="AJ350" s="7"/>
      <c r="AK350" s="7"/>
      <c r="AL350" s="8"/>
      <c r="AM350" s="8"/>
      <c r="AN350" s="7"/>
      <c r="AO350" s="7"/>
      <c r="AP350" s="7"/>
      <c r="AQ350" s="7"/>
      <c r="AR350" s="8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9"/>
      <c r="BM350" s="10"/>
    </row>
    <row r="351" spans="1:65" x14ac:dyDescent="0.3">
      <c r="A351" s="5"/>
      <c r="B351" s="5"/>
      <c r="C351" s="5"/>
      <c r="D351" s="6"/>
      <c r="E351" s="5"/>
      <c r="F351" s="5"/>
      <c r="G351" s="5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8"/>
      <c r="AG351" s="7"/>
      <c r="AH351" s="7"/>
      <c r="AI351" s="7"/>
      <c r="AJ351" s="7"/>
      <c r="AK351" s="7"/>
      <c r="AL351" s="8"/>
      <c r="AM351" s="7"/>
      <c r="AN351" s="7"/>
      <c r="AO351" s="7"/>
      <c r="AP351" s="7"/>
      <c r="AQ351" s="7"/>
      <c r="AR351" s="8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9"/>
      <c r="BM351" s="10"/>
    </row>
    <row r="352" spans="1:65" x14ac:dyDescent="0.3">
      <c r="A352" s="5"/>
      <c r="B352" s="5"/>
      <c r="C352" s="5"/>
      <c r="D352" s="6"/>
      <c r="E352" s="5"/>
      <c r="F352" s="5"/>
      <c r="G352" s="5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8"/>
      <c r="AG352" s="7"/>
      <c r="AH352" s="7"/>
      <c r="AI352" s="7"/>
      <c r="AJ352" s="7"/>
      <c r="AK352" s="7"/>
      <c r="AL352" s="8"/>
      <c r="AM352" s="7"/>
      <c r="AN352" s="7"/>
      <c r="AO352" s="7"/>
      <c r="AP352" s="7"/>
      <c r="AQ352" s="7"/>
      <c r="AR352" s="8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9"/>
      <c r="BM352" s="10"/>
    </row>
    <row r="353" spans="1:65" x14ac:dyDescent="0.3">
      <c r="A353" s="5"/>
      <c r="B353" s="5"/>
      <c r="C353" s="5"/>
      <c r="D353" s="6"/>
      <c r="E353" s="5"/>
      <c r="F353" s="5"/>
      <c r="G353" s="5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8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9"/>
      <c r="BM353" s="10"/>
    </row>
    <row r="354" spans="1:65" x14ac:dyDescent="0.3">
      <c r="A354" s="5"/>
      <c r="B354" s="5"/>
      <c r="C354" s="5"/>
      <c r="D354" s="6"/>
      <c r="E354" s="5"/>
      <c r="F354" s="5"/>
      <c r="G354" s="5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8"/>
      <c r="AG354" s="8"/>
      <c r="AH354" s="7"/>
      <c r="AI354" s="7"/>
      <c r="AJ354" s="7"/>
      <c r="AK354" s="7"/>
      <c r="AL354" s="8"/>
      <c r="AM354" s="8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9"/>
      <c r="BM354" s="10"/>
    </row>
    <row r="355" spans="1:65" x14ac:dyDescent="0.3">
      <c r="A355" s="5"/>
      <c r="B355" s="5"/>
      <c r="C355" s="5"/>
      <c r="D355" s="6"/>
      <c r="E355" s="5"/>
      <c r="F355" s="5"/>
      <c r="G355" s="5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8"/>
      <c r="AG355" s="8"/>
      <c r="AH355" s="7"/>
      <c r="AI355" s="7"/>
      <c r="AJ355" s="7"/>
      <c r="AK355" s="7"/>
      <c r="AL355" s="8"/>
      <c r="AM355" s="8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7"/>
      <c r="BM355" s="10"/>
    </row>
    <row r="356" spans="1:65" x14ac:dyDescent="0.3">
      <c r="A356" s="5"/>
      <c r="B356" s="5"/>
      <c r="C356" s="5"/>
      <c r="D356" s="6"/>
      <c r="E356" s="5"/>
      <c r="F356" s="5"/>
      <c r="G356" s="5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8"/>
      <c r="AG356" s="7"/>
      <c r="AH356" s="7"/>
      <c r="AI356" s="7"/>
      <c r="AJ356" s="7"/>
      <c r="AK356" s="7"/>
      <c r="AL356" s="8"/>
      <c r="AM356" s="8"/>
      <c r="AN356" s="7"/>
      <c r="AO356" s="7"/>
      <c r="AP356" s="7"/>
      <c r="AQ356" s="7"/>
      <c r="AR356" s="8"/>
      <c r="AS356" s="8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9"/>
      <c r="BM356" s="10"/>
    </row>
    <row r="357" spans="1:65" x14ac:dyDescent="0.3">
      <c r="A357" s="5"/>
      <c r="B357" s="5"/>
      <c r="C357" s="5"/>
      <c r="D357" s="6"/>
      <c r="E357" s="5"/>
      <c r="F357" s="5"/>
      <c r="G357" s="5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8"/>
      <c r="AG357" s="8"/>
      <c r="AH357" s="7"/>
      <c r="AI357" s="7"/>
      <c r="AJ357" s="7"/>
      <c r="AK357" s="7"/>
      <c r="AL357" s="8"/>
      <c r="AM357" s="8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9"/>
      <c r="BM357" s="10"/>
    </row>
    <row r="358" spans="1:65" x14ac:dyDescent="0.3">
      <c r="A358" s="5"/>
      <c r="B358" s="5"/>
      <c r="C358" s="5"/>
      <c r="D358" s="6"/>
      <c r="E358" s="5"/>
      <c r="F358" s="5"/>
      <c r="G358" s="5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8"/>
      <c r="AG358" s="7"/>
      <c r="AH358" s="7"/>
      <c r="AI358" s="7"/>
      <c r="AJ358" s="7"/>
      <c r="AK358" s="7"/>
      <c r="AL358" s="8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9"/>
      <c r="BM358" s="10"/>
    </row>
    <row r="359" spans="1:65" x14ac:dyDescent="0.3">
      <c r="A359" s="5"/>
      <c r="B359" s="5"/>
      <c r="C359" s="5"/>
      <c r="D359" s="6"/>
      <c r="E359" s="5"/>
      <c r="F359" s="5"/>
      <c r="G359" s="5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8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7"/>
      <c r="BM359" s="10"/>
    </row>
    <row r="360" spans="1:65" x14ac:dyDescent="0.3">
      <c r="A360" s="5"/>
      <c r="B360" s="5"/>
      <c r="C360" s="5"/>
      <c r="D360" s="6"/>
      <c r="E360" s="5"/>
      <c r="F360" s="5"/>
      <c r="G360" s="5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8"/>
      <c r="AG360" s="7"/>
      <c r="AH360" s="7"/>
      <c r="AI360" s="7"/>
      <c r="AJ360" s="7"/>
      <c r="AK360" s="7"/>
      <c r="AL360" s="8"/>
      <c r="AM360" s="7"/>
      <c r="AN360" s="7"/>
      <c r="AO360" s="7"/>
      <c r="AP360" s="7"/>
      <c r="AQ360" s="7"/>
      <c r="AR360" s="8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9"/>
      <c r="BM360" s="10"/>
    </row>
    <row r="361" spans="1:65" x14ac:dyDescent="0.3">
      <c r="A361" s="5"/>
      <c r="B361" s="5"/>
      <c r="C361" s="5"/>
      <c r="D361" s="6"/>
      <c r="E361" s="5"/>
      <c r="F361" s="5"/>
      <c r="G361" s="5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8"/>
      <c r="AG361" s="7"/>
      <c r="AH361" s="7"/>
      <c r="AI361" s="7"/>
      <c r="AJ361" s="7"/>
      <c r="AK361" s="7"/>
      <c r="AL361" s="8"/>
      <c r="AM361" s="8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9"/>
      <c r="BM361" s="10"/>
    </row>
    <row r="362" spans="1:65" x14ac:dyDescent="0.3">
      <c r="A362" s="5"/>
      <c r="B362" s="5"/>
      <c r="C362" s="5"/>
      <c r="D362" s="6"/>
      <c r="E362" s="5"/>
      <c r="F362" s="5"/>
      <c r="G362" s="5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8"/>
      <c r="AG362" s="7"/>
      <c r="AH362" s="7"/>
      <c r="AI362" s="7"/>
      <c r="AJ362" s="7"/>
      <c r="AK362" s="7"/>
      <c r="AL362" s="8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  <c r="BL362" s="9"/>
      <c r="BM362" s="10"/>
    </row>
    <row r="363" spans="1:65" x14ac:dyDescent="0.3">
      <c r="A363" s="5"/>
      <c r="B363" s="5"/>
      <c r="C363" s="5"/>
      <c r="D363" s="6"/>
      <c r="E363" s="5"/>
      <c r="F363" s="5"/>
      <c r="G363" s="5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8"/>
      <c r="AG363" s="7"/>
      <c r="AH363" s="7"/>
      <c r="AI363" s="7"/>
      <c r="AJ363" s="7"/>
      <c r="AK363" s="7"/>
      <c r="AL363" s="8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7"/>
      <c r="BM363" s="10"/>
    </row>
    <row r="364" spans="1:65" x14ac:dyDescent="0.3">
      <c r="A364" s="5"/>
      <c r="B364" s="5"/>
      <c r="C364" s="5"/>
      <c r="D364" s="6"/>
      <c r="E364" s="5"/>
      <c r="F364" s="5"/>
      <c r="G364" s="5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8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8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7"/>
      <c r="BM364" s="10"/>
    </row>
    <row r="365" spans="1:65" x14ac:dyDescent="0.3">
      <c r="A365" s="5"/>
      <c r="B365" s="5"/>
      <c r="C365" s="5"/>
      <c r="D365" s="6"/>
      <c r="E365" s="5"/>
      <c r="F365" s="5"/>
      <c r="G365" s="5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8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  <c r="BL365" s="9"/>
      <c r="BM365" s="10"/>
    </row>
    <row r="366" spans="1:65" x14ac:dyDescent="0.3">
      <c r="A366" s="5"/>
      <c r="B366" s="5"/>
      <c r="C366" s="5"/>
      <c r="D366" s="6"/>
      <c r="E366" s="5"/>
      <c r="F366" s="5"/>
      <c r="G366" s="5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8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  <c r="BL366" s="7"/>
      <c r="BM366" s="10"/>
    </row>
    <row r="367" spans="1:65" x14ac:dyDescent="0.3">
      <c r="A367" s="5"/>
      <c r="B367" s="5"/>
      <c r="C367" s="5"/>
      <c r="D367" s="6"/>
      <c r="E367" s="5"/>
      <c r="F367" s="5"/>
      <c r="G367" s="5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8"/>
      <c r="AG367" s="7"/>
      <c r="AH367" s="7"/>
      <c r="AI367" s="7"/>
      <c r="AJ367" s="7"/>
      <c r="AK367" s="7"/>
      <c r="AL367" s="8"/>
      <c r="AM367" s="8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  <c r="BK367" s="7"/>
      <c r="BL367" s="9"/>
      <c r="BM367" s="10"/>
    </row>
    <row r="368" spans="1:65" x14ac:dyDescent="0.3">
      <c r="A368" s="5"/>
      <c r="B368" s="5"/>
      <c r="C368" s="5"/>
      <c r="D368" s="6"/>
      <c r="E368" s="5"/>
      <c r="F368" s="5"/>
      <c r="G368" s="5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8"/>
      <c r="AG368" s="7"/>
      <c r="AH368" s="7"/>
      <c r="AI368" s="7"/>
      <c r="AJ368" s="7"/>
      <c r="AK368" s="7"/>
      <c r="AL368" s="8"/>
      <c r="AM368" s="8"/>
      <c r="AN368" s="7"/>
      <c r="AO368" s="7"/>
      <c r="AP368" s="7"/>
      <c r="AQ368" s="7"/>
      <c r="AR368" s="8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7"/>
      <c r="BM368" s="10"/>
    </row>
    <row r="369" spans="1:65" x14ac:dyDescent="0.3">
      <c r="A369" s="5"/>
      <c r="B369" s="5"/>
      <c r="C369" s="5"/>
      <c r="D369" s="6"/>
      <c r="E369" s="5"/>
      <c r="F369" s="5"/>
      <c r="G369" s="5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8"/>
      <c r="AJ369" s="7"/>
      <c r="AK369" s="7"/>
      <c r="AL369" s="8"/>
      <c r="AM369" s="7"/>
      <c r="AN369" s="7"/>
      <c r="AO369" s="8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  <c r="BK369" s="7"/>
      <c r="BL369" s="9"/>
      <c r="BM369" s="10"/>
    </row>
    <row r="370" spans="1:65" x14ac:dyDescent="0.3">
      <c r="A370" s="5"/>
      <c r="B370" s="5"/>
      <c r="C370" s="5"/>
      <c r="D370" s="6"/>
      <c r="E370" s="5"/>
      <c r="F370" s="5"/>
      <c r="G370" s="5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8"/>
      <c r="AM370" s="8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  <c r="BK370" s="7"/>
      <c r="BL370" s="9"/>
      <c r="BM370" s="10"/>
    </row>
    <row r="371" spans="1:65" x14ac:dyDescent="0.3">
      <c r="A371" s="5"/>
      <c r="B371" s="5"/>
      <c r="C371" s="5"/>
      <c r="D371" s="6"/>
      <c r="E371" s="5"/>
      <c r="F371" s="5"/>
      <c r="G371" s="5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8"/>
      <c r="AG371" s="7"/>
      <c r="AH371" s="7"/>
      <c r="AI371" s="7"/>
      <c r="AJ371" s="7"/>
      <c r="AK371" s="7"/>
      <c r="AL371" s="8"/>
      <c r="AM371" s="7"/>
      <c r="AN371" s="7"/>
      <c r="AO371" s="7"/>
      <c r="AP371" s="7"/>
      <c r="AQ371" s="7"/>
      <c r="AR371" s="8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  <c r="BK371" s="7"/>
      <c r="BL371" s="9"/>
      <c r="BM371" s="10"/>
    </row>
    <row r="372" spans="1:65" x14ac:dyDescent="0.3">
      <c r="A372" s="5"/>
      <c r="B372" s="5"/>
      <c r="C372" s="5"/>
      <c r="D372" s="6"/>
      <c r="E372" s="5"/>
      <c r="F372" s="5"/>
      <c r="G372" s="5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8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  <c r="BK372" s="7"/>
      <c r="BL372" s="9"/>
      <c r="BM372" s="10"/>
    </row>
    <row r="373" spans="1:65" x14ac:dyDescent="0.3">
      <c r="A373" s="5"/>
      <c r="B373" s="5"/>
      <c r="C373" s="5"/>
      <c r="D373" s="6"/>
      <c r="E373" s="5"/>
      <c r="F373" s="5"/>
      <c r="G373" s="5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8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8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  <c r="BK373" s="7"/>
      <c r="BL373" s="7"/>
      <c r="BM373" s="10"/>
    </row>
    <row r="374" spans="1:65" x14ac:dyDescent="0.3">
      <c r="A374" s="5"/>
      <c r="B374" s="5"/>
      <c r="C374" s="5"/>
      <c r="D374" s="6"/>
      <c r="E374" s="5"/>
      <c r="F374" s="5"/>
      <c r="G374" s="5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8"/>
      <c r="AG374" s="7"/>
      <c r="AH374" s="7"/>
      <c r="AI374" s="7"/>
      <c r="AJ374" s="7"/>
      <c r="AK374" s="7"/>
      <c r="AL374" s="8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  <c r="BK374" s="7"/>
      <c r="BL374" s="9"/>
      <c r="BM374" s="10"/>
    </row>
    <row r="375" spans="1:65" x14ac:dyDescent="0.3">
      <c r="A375" s="5"/>
      <c r="B375" s="5"/>
      <c r="C375" s="5"/>
      <c r="D375" s="6"/>
      <c r="E375" s="5"/>
      <c r="F375" s="5"/>
      <c r="G375" s="5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8"/>
      <c r="AS375" s="8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  <c r="BK375" s="7"/>
      <c r="BL375" s="7"/>
      <c r="BM375" s="10"/>
    </row>
    <row r="376" spans="1:65" x14ac:dyDescent="0.3">
      <c r="A376" s="5"/>
      <c r="B376" s="5"/>
      <c r="C376" s="5"/>
      <c r="D376" s="6"/>
      <c r="E376" s="5"/>
      <c r="F376" s="5"/>
      <c r="G376" s="5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8"/>
      <c r="AG376" s="7"/>
      <c r="AH376" s="7"/>
      <c r="AI376" s="7"/>
      <c r="AJ376" s="7"/>
      <c r="AK376" s="7"/>
      <c r="AL376" s="8"/>
      <c r="AM376" s="8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  <c r="BK376" s="7"/>
      <c r="BL376" s="9"/>
      <c r="BM376" s="10"/>
    </row>
    <row r="377" spans="1:65" x14ac:dyDescent="0.3">
      <c r="A377" s="5"/>
      <c r="B377" s="5"/>
      <c r="C377" s="5"/>
      <c r="D377" s="6"/>
      <c r="E377" s="5"/>
      <c r="F377" s="5"/>
      <c r="G377" s="5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8"/>
      <c r="AM377" s="8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  <c r="BK377" s="7"/>
      <c r="BL377" s="9"/>
      <c r="BM377" s="10"/>
    </row>
    <row r="378" spans="1:65" x14ac:dyDescent="0.3">
      <c r="A378" s="5"/>
      <c r="B378" s="5"/>
      <c r="C378" s="5"/>
      <c r="D378" s="6"/>
      <c r="E378" s="5"/>
      <c r="F378" s="5"/>
      <c r="G378" s="5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8"/>
      <c r="AG378" s="7"/>
      <c r="AH378" s="7"/>
      <c r="AI378" s="7"/>
      <c r="AJ378" s="7"/>
      <c r="AK378" s="7"/>
      <c r="AL378" s="7"/>
      <c r="AM378" s="8"/>
      <c r="AN378" s="7"/>
      <c r="AO378" s="7"/>
      <c r="AP378" s="7"/>
      <c r="AQ378" s="7"/>
      <c r="AR378" s="8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  <c r="BK378" s="7"/>
      <c r="BL378" s="7"/>
      <c r="BM378" s="10"/>
    </row>
    <row r="379" spans="1:65" x14ac:dyDescent="0.3">
      <c r="A379" s="5"/>
      <c r="B379" s="5"/>
      <c r="C379" s="5"/>
      <c r="D379" s="6"/>
      <c r="E379" s="5"/>
      <c r="F379" s="5"/>
      <c r="G379" s="5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8"/>
      <c r="AG379" s="7"/>
      <c r="AH379" s="7"/>
      <c r="AI379" s="7"/>
      <c r="AJ379" s="7"/>
      <c r="AK379" s="7"/>
      <c r="AL379" s="8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  <c r="BK379" s="7"/>
      <c r="BL379" s="9"/>
      <c r="BM379" s="10"/>
    </row>
    <row r="380" spans="1:65" x14ac:dyDescent="0.3">
      <c r="A380" s="5"/>
      <c r="B380" s="5"/>
      <c r="C380" s="5"/>
      <c r="D380" s="6"/>
      <c r="E380" s="5"/>
      <c r="F380" s="5"/>
      <c r="G380" s="5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8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  <c r="BK380" s="7"/>
      <c r="BL380" s="9"/>
      <c r="BM380" s="10"/>
    </row>
    <row r="381" spans="1:65" x14ac:dyDescent="0.3">
      <c r="A381" s="5"/>
      <c r="B381" s="5"/>
      <c r="C381" s="5"/>
      <c r="D381" s="6"/>
      <c r="E381" s="5"/>
      <c r="F381" s="5"/>
      <c r="G381" s="5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8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7"/>
      <c r="BK381" s="7"/>
      <c r="BL381" s="9"/>
      <c r="BM381" s="10"/>
    </row>
    <row r="382" spans="1:65" x14ac:dyDescent="0.3">
      <c r="A382" s="5"/>
      <c r="B382" s="5"/>
      <c r="C382" s="5"/>
      <c r="D382" s="6"/>
      <c r="E382" s="5"/>
      <c r="F382" s="5"/>
      <c r="G382" s="5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8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  <c r="BK382" s="7"/>
      <c r="BL382" s="7"/>
      <c r="BM382" s="10"/>
    </row>
    <row r="383" spans="1:65" x14ac:dyDescent="0.3">
      <c r="A383" s="5"/>
      <c r="B383" s="5"/>
      <c r="C383" s="5"/>
      <c r="D383" s="6"/>
      <c r="E383" s="5"/>
      <c r="F383" s="5"/>
      <c r="G383" s="5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8"/>
      <c r="AG383" s="7"/>
      <c r="AH383" s="7"/>
      <c r="AI383" s="7"/>
      <c r="AJ383" s="7"/>
      <c r="AK383" s="7"/>
      <c r="AL383" s="8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  <c r="BK383" s="7"/>
      <c r="BL383" s="9"/>
      <c r="BM383" s="10"/>
    </row>
    <row r="384" spans="1:65" x14ac:dyDescent="0.3">
      <c r="A384" s="5"/>
      <c r="B384" s="5"/>
      <c r="C384" s="5"/>
      <c r="D384" s="6"/>
      <c r="E384" s="5"/>
      <c r="F384" s="5"/>
      <c r="G384" s="5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8"/>
      <c r="AN384" s="7"/>
      <c r="AO384" s="7"/>
      <c r="AP384" s="7"/>
      <c r="AQ384" s="7"/>
      <c r="AR384" s="8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  <c r="BK384" s="7"/>
      <c r="BL384" s="7"/>
      <c r="BM384" s="10"/>
    </row>
    <row r="385" spans="1:65" x14ac:dyDescent="0.3">
      <c r="A385" s="5"/>
      <c r="B385" s="5"/>
      <c r="C385" s="5"/>
      <c r="D385" s="6"/>
      <c r="E385" s="5"/>
      <c r="F385" s="5"/>
      <c r="G385" s="5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8"/>
      <c r="AG385" s="7"/>
      <c r="AH385" s="7"/>
      <c r="AI385" s="7"/>
      <c r="AJ385" s="7"/>
      <c r="AK385" s="7"/>
      <c r="AL385" s="8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7"/>
      <c r="BK385" s="7"/>
      <c r="BL385" s="9"/>
      <c r="BM385" s="10"/>
    </row>
    <row r="386" spans="1:65" x14ac:dyDescent="0.3">
      <c r="A386" s="5"/>
      <c r="B386" s="5"/>
      <c r="C386" s="5"/>
      <c r="D386" s="6"/>
      <c r="E386" s="5"/>
      <c r="F386" s="5"/>
      <c r="G386" s="5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8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  <c r="BK386" s="7"/>
      <c r="BL386" s="9"/>
      <c r="BM386" s="10"/>
    </row>
    <row r="387" spans="1:65" x14ac:dyDescent="0.3">
      <c r="A387" s="5"/>
      <c r="B387" s="5"/>
      <c r="C387" s="5"/>
      <c r="D387" s="6"/>
      <c r="E387" s="5"/>
      <c r="F387" s="5"/>
      <c r="G387" s="5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8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  <c r="BJ387" s="7"/>
      <c r="BK387" s="7"/>
      <c r="BL387" s="7"/>
      <c r="BM387" s="10"/>
    </row>
    <row r="388" spans="1:65" x14ac:dyDescent="0.3">
      <c r="A388" s="5"/>
      <c r="B388" s="5"/>
      <c r="C388" s="5"/>
      <c r="D388" s="6"/>
      <c r="E388" s="5"/>
      <c r="F388" s="5"/>
      <c r="G388" s="5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8"/>
      <c r="AG388" s="8"/>
      <c r="AH388" s="7"/>
      <c r="AI388" s="7"/>
      <c r="AJ388" s="7"/>
      <c r="AK388" s="7"/>
      <c r="AL388" s="8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  <c r="BJ388" s="7"/>
      <c r="BK388" s="7"/>
      <c r="BL388" s="7"/>
      <c r="BM388" s="10"/>
    </row>
    <row r="389" spans="1:65" x14ac:dyDescent="0.3">
      <c r="A389" s="5"/>
      <c r="B389" s="5"/>
      <c r="C389" s="5"/>
      <c r="D389" s="6"/>
      <c r="E389" s="5"/>
      <c r="F389" s="5"/>
      <c r="G389" s="5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8"/>
      <c r="AM389" s="7"/>
      <c r="AN389" s="7"/>
      <c r="AO389" s="7"/>
      <c r="AP389" s="7"/>
      <c r="AQ389" s="7"/>
      <c r="AR389" s="8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/>
      <c r="BJ389" s="7"/>
      <c r="BK389" s="7"/>
      <c r="BL389" s="9"/>
      <c r="BM389" s="10"/>
    </row>
    <row r="390" spans="1:65" x14ac:dyDescent="0.3">
      <c r="A390" s="5"/>
      <c r="B390" s="5"/>
      <c r="C390" s="5"/>
      <c r="D390" s="6"/>
      <c r="E390" s="5"/>
      <c r="F390" s="5"/>
      <c r="G390" s="5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8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  <c r="BJ390" s="7"/>
      <c r="BK390" s="7"/>
      <c r="BL390" s="9"/>
      <c r="BM390" s="10"/>
    </row>
    <row r="391" spans="1:65" x14ac:dyDescent="0.3">
      <c r="A391" s="5"/>
      <c r="B391" s="5"/>
      <c r="C391" s="5"/>
      <c r="D391" s="6"/>
      <c r="E391" s="5"/>
      <c r="F391" s="5"/>
      <c r="G391" s="5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8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  <c r="BJ391" s="7"/>
      <c r="BK391" s="7"/>
      <c r="BL391" s="9"/>
      <c r="BM391" s="10"/>
    </row>
    <row r="392" spans="1:65" x14ac:dyDescent="0.3">
      <c r="A392" s="5"/>
      <c r="B392" s="5"/>
      <c r="C392" s="5"/>
      <c r="D392" s="6"/>
      <c r="E392" s="5"/>
      <c r="F392" s="5"/>
      <c r="G392" s="5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8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8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7"/>
      <c r="BK392" s="7"/>
      <c r="BL392" s="7"/>
      <c r="BM392" s="10"/>
    </row>
    <row r="393" spans="1:65" x14ac:dyDescent="0.3">
      <c r="A393" s="5"/>
      <c r="B393" s="5"/>
      <c r="C393" s="5"/>
      <c r="D393" s="6"/>
      <c r="E393" s="5"/>
      <c r="F393" s="5"/>
      <c r="G393" s="5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8"/>
      <c r="AG393" s="7"/>
      <c r="AH393" s="7"/>
      <c r="AI393" s="7"/>
      <c r="AJ393" s="7"/>
      <c r="AK393" s="7"/>
      <c r="AL393" s="8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  <c r="BJ393" s="7"/>
      <c r="BK393" s="7"/>
      <c r="BL393" s="7"/>
      <c r="BM393" s="10"/>
    </row>
    <row r="394" spans="1:65" x14ac:dyDescent="0.3">
      <c r="A394" s="5"/>
      <c r="B394" s="5"/>
      <c r="C394" s="5"/>
      <c r="D394" s="6"/>
      <c r="E394" s="5"/>
      <c r="F394" s="5"/>
      <c r="G394" s="5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8"/>
      <c r="AG394" s="7"/>
      <c r="AH394" s="7"/>
      <c r="AI394" s="7"/>
      <c r="AJ394" s="7"/>
      <c r="AK394" s="7"/>
      <c r="AL394" s="8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  <c r="BJ394" s="7"/>
      <c r="BK394" s="7"/>
      <c r="BL394" s="9"/>
      <c r="BM394" s="10"/>
    </row>
    <row r="395" spans="1:65" x14ac:dyDescent="0.3">
      <c r="A395" s="5"/>
      <c r="B395" s="5"/>
      <c r="C395" s="5"/>
      <c r="D395" s="6"/>
      <c r="E395" s="5"/>
      <c r="F395" s="5"/>
      <c r="G395" s="5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8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  <c r="BJ395" s="7"/>
      <c r="BK395" s="7"/>
      <c r="BL395" s="9"/>
      <c r="BM395" s="10"/>
    </row>
    <row r="396" spans="1:65" x14ac:dyDescent="0.3">
      <c r="A396" s="5"/>
      <c r="B396" s="5"/>
      <c r="C396" s="5"/>
      <c r="D396" s="6"/>
      <c r="E396" s="5"/>
      <c r="F396" s="5"/>
      <c r="G396" s="5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8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8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  <c r="BI396" s="7"/>
      <c r="BJ396" s="7"/>
      <c r="BK396" s="7"/>
      <c r="BL396" s="7"/>
      <c r="BM396" s="10"/>
    </row>
    <row r="397" spans="1:65" x14ac:dyDescent="0.3">
      <c r="A397" s="5"/>
      <c r="B397" s="5"/>
      <c r="C397" s="5"/>
      <c r="D397" s="6"/>
      <c r="E397" s="5"/>
      <c r="F397" s="5"/>
      <c r="G397" s="5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8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7"/>
      <c r="BJ397" s="7"/>
      <c r="BK397" s="7"/>
      <c r="BL397" s="9"/>
      <c r="BM397" s="10"/>
    </row>
    <row r="398" spans="1:65" x14ac:dyDescent="0.3">
      <c r="A398" s="5"/>
      <c r="B398" s="5"/>
      <c r="C398" s="5"/>
      <c r="D398" s="6"/>
      <c r="E398" s="5"/>
      <c r="F398" s="5"/>
      <c r="G398" s="5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8"/>
      <c r="AG398" s="8"/>
      <c r="AH398" s="7"/>
      <c r="AI398" s="7"/>
      <c r="AJ398" s="7"/>
      <c r="AK398" s="7"/>
      <c r="AL398" s="7"/>
      <c r="AM398" s="8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7"/>
      <c r="BJ398" s="7"/>
      <c r="BK398" s="7"/>
      <c r="BL398" s="7"/>
      <c r="BM398" s="10"/>
    </row>
    <row r="399" spans="1:65" x14ac:dyDescent="0.3">
      <c r="A399" s="5"/>
      <c r="B399" s="5"/>
      <c r="C399" s="5"/>
      <c r="D399" s="6"/>
      <c r="E399" s="5"/>
      <c r="F399" s="5"/>
      <c r="G399" s="5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8"/>
      <c r="AH399" s="7"/>
      <c r="AI399" s="7"/>
      <c r="AJ399" s="7"/>
      <c r="AK399" s="7"/>
      <c r="AL399" s="7"/>
      <c r="AM399" s="8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7"/>
      <c r="BJ399" s="7"/>
      <c r="BK399" s="7"/>
      <c r="BL399" s="7"/>
      <c r="BM399" s="10"/>
    </row>
    <row r="400" spans="1:65" x14ac:dyDescent="0.3">
      <c r="A400" s="5"/>
      <c r="B400" s="5"/>
      <c r="C400" s="5"/>
      <c r="D400" s="6"/>
      <c r="E400" s="5"/>
      <c r="F400" s="5"/>
      <c r="G400" s="5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8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  <c r="BJ400" s="7"/>
      <c r="BK400" s="7"/>
      <c r="BL400" s="7"/>
      <c r="BM400" s="10"/>
    </row>
    <row r="401" spans="1:65" x14ac:dyDescent="0.3">
      <c r="A401" s="5"/>
      <c r="B401" s="5"/>
      <c r="C401" s="5"/>
      <c r="D401" s="6"/>
      <c r="E401" s="5"/>
      <c r="F401" s="5"/>
      <c r="G401" s="5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8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  <c r="BI401" s="7"/>
      <c r="BJ401" s="7"/>
      <c r="BK401" s="7"/>
      <c r="BL401" s="7"/>
      <c r="BM401" s="10"/>
    </row>
    <row r="402" spans="1:65" x14ac:dyDescent="0.3">
      <c r="A402" s="5"/>
      <c r="B402" s="5"/>
      <c r="C402" s="5"/>
      <c r="D402" s="6"/>
      <c r="E402" s="5"/>
      <c r="F402" s="5"/>
      <c r="G402" s="5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8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7"/>
      <c r="BK402" s="7"/>
      <c r="BL402" s="9"/>
      <c r="BM402" s="10"/>
    </row>
    <row r="403" spans="1:65" x14ac:dyDescent="0.3">
      <c r="A403" s="5"/>
      <c r="B403" s="5"/>
      <c r="C403" s="5"/>
      <c r="D403" s="6"/>
      <c r="E403" s="5"/>
      <c r="F403" s="5"/>
      <c r="G403" s="5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8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  <c r="BI403" s="7"/>
      <c r="BJ403" s="7"/>
      <c r="BK403" s="7"/>
      <c r="BL403" s="7"/>
      <c r="BM403" s="10"/>
    </row>
    <row r="404" spans="1:65" x14ac:dyDescent="0.3">
      <c r="A404" s="5"/>
      <c r="B404" s="5"/>
      <c r="C404" s="5"/>
      <c r="D404" s="6"/>
      <c r="E404" s="5"/>
      <c r="F404" s="5"/>
      <c r="G404" s="5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8"/>
      <c r="AM404" s="8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7"/>
      <c r="BJ404" s="7"/>
      <c r="BK404" s="7"/>
      <c r="BL404" s="7"/>
      <c r="BM404" s="10"/>
    </row>
    <row r="405" spans="1:65" x14ac:dyDescent="0.3">
      <c r="A405" s="5"/>
      <c r="B405" s="5"/>
      <c r="C405" s="5"/>
      <c r="D405" s="6"/>
      <c r="E405" s="5"/>
      <c r="F405" s="5"/>
      <c r="G405" s="5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8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7"/>
      <c r="BJ405" s="7"/>
      <c r="BK405" s="7"/>
      <c r="BL405" s="7"/>
      <c r="BM405" s="10"/>
    </row>
    <row r="406" spans="1:65" x14ac:dyDescent="0.3">
      <c r="A406" s="5"/>
      <c r="B406" s="5"/>
      <c r="C406" s="5"/>
      <c r="D406" s="6"/>
      <c r="E406" s="5"/>
      <c r="F406" s="5"/>
      <c r="G406" s="5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8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  <c r="BI406" s="7"/>
      <c r="BJ406" s="7"/>
      <c r="BK406" s="7"/>
      <c r="BL406" s="9"/>
      <c r="BM406" s="10"/>
    </row>
    <row r="407" spans="1:65" x14ac:dyDescent="0.3">
      <c r="A407" s="5"/>
      <c r="B407" s="5"/>
      <c r="C407" s="5"/>
      <c r="D407" s="6"/>
      <c r="E407" s="5"/>
      <c r="F407" s="5"/>
      <c r="G407" s="5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8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  <c r="BI407" s="7"/>
      <c r="BJ407" s="7"/>
      <c r="BK407" s="7"/>
      <c r="BL407" s="7"/>
      <c r="BM407" s="10"/>
    </row>
    <row r="408" spans="1:65" x14ac:dyDescent="0.3">
      <c r="A408" s="5"/>
      <c r="B408" s="5"/>
      <c r="C408" s="5"/>
      <c r="D408" s="6"/>
      <c r="E408" s="5"/>
      <c r="F408" s="5"/>
      <c r="G408" s="5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8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  <c r="BJ408" s="7"/>
      <c r="BK408" s="7"/>
      <c r="BL408" s="7"/>
      <c r="BM408" s="10"/>
    </row>
    <row r="409" spans="1:65" x14ac:dyDescent="0.3">
      <c r="A409" s="5"/>
      <c r="B409" s="5"/>
      <c r="C409" s="5"/>
      <c r="D409" s="6"/>
      <c r="E409" s="5"/>
      <c r="F409" s="5"/>
      <c r="G409" s="5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8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7"/>
      <c r="BJ409" s="7"/>
      <c r="BK409" s="7"/>
      <c r="BL409" s="7"/>
      <c r="BM409" s="10"/>
    </row>
    <row r="410" spans="1:65" x14ac:dyDescent="0.3">
      <c r="A410" s="5"/>
      <c r="B410" s="5"/>
      <c r="C410" s="5"/>
      <c r="D410" s="6"/>
      <c r="E410" s="5"/>
      <c r="F410" s="5"/>
      <c r="G410" s="5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8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7"/>
      <c r="BJ410" s="7"/>
      <c r="BK410" s="7"/>
      <c r="BL410" s="7"/>
      <c r="BM410" s="10"/>
    </row>
    <row r="411" spans="1:65" x14ac:dyDescent="0.3">
      <c r="A411" s="5"/>
      <c r="B411" s="5"/>
      <c r="C411" s="5"/>
      <c r="D411" s="6"/>
      <c r="E411" s="5"/>
      <c r="F411" s="5"/>
      <c r="G411" s="5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8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  <c r="BI411" s="7"/>
      <c r="BJ411" s="7"/>
      <c r="BK411" s="7"/>
      <c r="BL411" s="7"/>
      <c r="BM411" s="10"/>
    </row>
    <row r="412" spans="1:65" x14ac:dyDescent="0.3">
      <c r="A412" s="5"/>
      <c r="B412" s="5"/>
      <c r="C412" s="5"/>
      <c r="D412" s="6"/>
      <c r="E412" s="5"/>
      <c r="F412" s="5"/>
      <c r="G412" s="5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8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7"/>
      <c r="BJ412" s="7"/>
      <c r="BK412" s="7"/>
      <c r="BL412" s="7"/>
      <c r="BM412" s="10"/>
    </row>
    <row r="413" spans="1:65" x14ac:dyDescent="0.3">
      <c r="A413" s="5"/>
      <c r="B413" s="5"/>
      <c r="C413" s="5"/>
      <c r="D413" s="6"/>
      <c r="E413" s="5"/>
      <c r="F413" s="5"/>
      <c r="G413" s="5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8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  <c r="BI413" s="7"/>
      <c r="BJ413" s="7"/>
      <c r="BK413" s="7"/>
      <c r="BL413" s="7"/>
      <c r="BM413" s="10"/>
    </row>
    <row r="414" spans="1:65" x14ac:dyDescent="0.3">
      <c r="A414" s="5"/>
      <c r="B414" s="5"/>
      <c r="C414" s="5"/>
      <c r="D414" s="6"/>
      <c r="E414" s="5"/>
      <c r="F414" s="5"/>
      <c r="G414" s="5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8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  <c r="BI414" s="7"/>
      <c r="BJ414" s="7"/>
      <c r="BK414" s="7"/>
      <c r="BL414" s="7"/>
      <c r="BM414" s="10"/>
    </row>
    <row r="415" spans="1:65" x14ac:dyDescent="0.3">
      <c r="A415" s="5"/>
      <c r="B415" s="5"/>
      <c r="C415" s="5"/>
      <c r="D415" s="6"/>
      <c r="E415" s="5"/>
      <c r="F415" s="5"/>
      <c r="G415" s="5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8"/>
      <c r="AH415" s="7"/>
      <c r="AI415" s="7"/>
      <c r="AJ415" s="7"/>
      <c r="AK415" s="7"/>
      <c r="AL415" s="7"/>
      <c r="AM415" s="8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/>
      <c r="BH415" s="7"/>
      <c r="BI415" s="7"/>
      <c r="BJ415" s="7"/>
      <c r="BK415" s="7"/>
      <c r="BL415" s="7"/>
      <c r="BM415" s="10"/>
    </row>
    <row r="416" spans="1:65" x14ac:dyDescent="0.3">
      <c r="A416" s="5"/>
      <c r="B416" s="5"/>
      <c r="C416" s="5"/>
      <c r="D416" s="6"/>
      <c r="E416" s="5"/>
      <c r="F416" s="5"/>
      <c r="G416" s="5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8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7"/>
      <c r="BI416" s="7"/>
      <c r="BJ416" s="7"/>
      <c r="BK416" s="7"/>
      <c r="BL416" s="7"/>
      <c r="BM416" s="10"/>
    </row>
    <row r="417" spans="1:65" x14ac:dyDescent="0.3">
      <c r="A417" s="5"/>
      <c r="B417" s="5"/>
      <c r="C417" s="5"/>
      <c r="D417" s="6"/>
      <c r="E417" s="5"/>
      <c r="F417" s="5"/>
      <c r="G417" s="5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8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7"/>
      <c r="BH417" s="7"/>
      <c r="BI417" s="7"/>
      <c r="BJ417" s="7"/>
      <c r="BK417" s="7"/>
      <c r="BL417" s="7"/>
      <c r="BM417" s="10"/>
    </row>
    <row r="418" spans="1:65" x14ac:dyDescent="0.3">
      <c r="A418" s="5"/>
      <c r="B418" s="5"/>
      <c r="C418" s="5"/>
      <c r="D418" s="6"/>
      <c r="E418" s="5"/>
      <c r="F418" s="5"/>
      <c r="G418" s="5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8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  <c r="BH418" s="7"/>
      <c r="BI418" s="7"/>
      <c r="BJ418" s="7"/>
      <c r="BK418" s="7"/>
      <c r="BL418" s="7"/>
      <c r="BM418" s="10"/>
    </row>
    <row r="419" spans="1:65" x14ac:dyDescent="0.3">
      <c r="A419" s="5"/>
      <c r="B419" s="5"/>
      <c r="C419" s="5"/>
      <c r="D419" s="6"/>
      <c r="E419" s="5"/>
      <c r="F419" s="5"/>
      <c r="G419" s="5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8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7"/>
      <c r="BH419" s="7"/>
      <c r="BI419" s="7"/>
      <c r="BJ419" s="7"/>
      <c r="BK419" s="7"/>
      <c r="BL419" s="7"/>
      <c r="BM419" s="10"/>
    </row>
    <row r="420" spans="1:65" x14ac:dyDescent="0.3">
      <c r="A420" s="5"/>
      <c r="B420" s="5"/>
      <c r="C420" s="5"/>
      <c r="D420" s="6"/>
      <c r="E420" s="5"/>
      <c r="F420" s="5"/>
      <c r="G420" s="5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8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7"/>
      <c r="BH420" s="7"/>
      <c r="BI420" s="7"/>
      <c r="BJ420" s="7"/>
      <c r="BK420" s="7"/>
      <c r="BL420" s="7"/>
      <c r="BM420" s="10"/>
    </row>
    <row r="421" spans="1:65" x14ac:dyDescent="0.3">
      <c r="A421" s="5"/>
      <c r="B421" s="5"/>
      <c r="C421" s="5"/>
      <c r="D421" s="6"/>
      <c r="E421" s="5"/>
      <c r="F421" s="5"/>
      <c r="G421" s="5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8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7"/>
      <c r="BH421" s="7"/>
      <c r="BI421" s="7"/>
      <c r="BJ421" s="7"/>
      <c r="BK421" s="7"/>
      <c r="BL421" s="7"/>
      <c r="BM421" s="10"/>
    </row>
    <row r="422" spans="1:65" x14ac:dyDescent="0.3">
      <c r="A422" s="5"/>
      <c r="B422" s="5"/>
      <c r="C422" s="5"/>
      <c r="D422" s="6"/>
      <c r="E422" s="5"/>
      <c r="F422" s="5"/>
      <c r="G422" s="5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8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7"/>
      <c r="BH422" s="7"/>
      <c r="BI422" s="7"/>
      <c r="BJ422" s="7"/>
      <c r="BK422" s="7"/>
      <c r="BL422" s="7"/>
      <c r="BM422" s="10"/>
    </row>
    <row r="423" spans="1:65" x14ac:dyDescent="0.3">
      <c r="A423" s="5"/>
      <c r="B423" s="5"/>
      <c r="C423" s="5"/>
      <c r="D423" s="6"/>
      <c r="E423" s="5"/>
      <c r="F423" s="5"/>
      <c r="G423" s="5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8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7"/>
      <c r="BG423" s="7"/>
      <c r="BH423" s="7"/>
      <c r="BI423" s="7"/>
      <c r="BJ423" s="7"/>
      <c r="BK423" s="7"/>
      <c r="BL423" s="7"/>
      <c r="BM423" s="10"/>
    </row>
    <row r="424" spans="1:65" x14ac:dyDescent="0.3">
      <c r="A424" s="5"/>
      <c r="B424" s="5"/>
      <c r="C424" s="5"/>
      <c r="D424" s="6"/>
      <c r="E424" s="5"/>
      <c r="F424" s="5"/>
      <c r="G424" s="5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8"/>
      <c r="AG424" s="7"/>
      <c r="AH424" s="7"/>
      <c r="AI424" s="7"/>
      <c r="AJ424" s="7"/>
      <c r="AK424" s="7"/>
      <c r="AL424" s="7"/>
      <c r="AM424" s="8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7"/>
      <c r="BG424" s="7"/>
      <c r="BH424" s="7"/>
      <c r="BI424" s="7"/>
      <c r="BJ424" s="7"/>
      <c r="BK424" s="7"/>
      <c r="BL424" s="7"/>
      <c r="BM424" s="10"/>
    </row>
    <row r="425" spans="1:65" x14ac:dyDescent="0.3">
      <c r="A425" s="5"/>
      <c r="B425" s="5"/>
      <c r="C425" s="5"/>
      <c r="D425" s="6"/>
      <c r="E425" s="5"/>
      <c r="F425" s="5"/>
      <c r="G425" s="5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8"/>
      <c r="AG425" s="7"/>
      <c r="AH425" s="7"/>
      <c r="AI425" s="7"/>
      <c r="AJ425" s="7"/>
      <c r="AK425" s="7"/>
      <c r="AL425" s="7"/>
      <c r="AM425" s="8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/>
      <c r="BG425" s="7"/>
      <c r="BH425" s="7"/>
      <c r="BI425" s="7"/>
      <c r="BJ425" s="7"/>
      <c r="BK425" s="7"/>
      <c r="BL425" s="7"/>
      <c r="BM425" s="10"/>
    </row>
    <row r="426" spans="1:65" x14ac:dyDescent="0.3">
      <c r="A426" s="5"/>
      <c r="B426" s="5"/>
      <c r="C426" s="5"/>
      <c r="D426" s="6"/>
      <c r="E426" s="5"/>
      <c r="F426" s="5"/>
      <c r="G426" s="5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8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7"/>
      <c r="BG426" s="7"/>
      <c r="BH426" s="7"/>
      <c r="BI426" s="7"/>
      <c r="BJ426" s="7"/>
      <c r="BK426" s="7"/>
      <c r="BL426" s="7"/>
      <c r="BM426" s="10"/>
    </row>
    <row r="427" spans="1:65" x14ac:dyDescent="0.3">
      <c r="A427" s="5"/>
      <c r="B427" s="5"/>
      <c r="C427" s="5"/>
      <c r="D427" s="6"/>
      <c r="E427" s="5"/>
      <c r="F427" s="5"/>
      <c r="G427" s="5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8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7"/>
      <c r="BG427" s="7"/>
      <c r="BH427" s="7"/>
      <c r="BI427" s="7"/>
      <c r="BJ427" s="7"/>
      <c r="BK427" s="7"/>
      <c r="BL427" s="7"/>
      <c r="BM427" s="10"/>
    </row>
    <row r="428" spans="1:65" x14ac:dyDescent="0.3">
      <c r="A428" s="5"/>
      <c r="B428" s="5"/>
      <c r="C428" s="5"/>
      <c r="D428" s="6"/>
      <c r="E428" s="5"/>
      <c r="F428" s="5"/>
      <c r="G428" s="5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8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7"/>
      <c r="BG428" s="7"/>
      <c r="BH428" s="7"/>
      <c r="BI428" s="7"/>
      <c r="BJ428" s="7"/>
      <c r="BK428" s="7"/>
      <c r="BL428" s="7"/>
      <c r="BM428" s="10"/>
    </row>
    <row r="429" spans="1:65" x14ac:dyDescent="0.3">
      <c r="A429" s="5"/>
      <c r="B429" s="5"/>
      <c r="C429" s="5"/>
      <c r="D429" s="6"/>
      <c r="E429" s="5"/>
      <c r="F429" s="5"/>
      <c r="G429" s="5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8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7"/>
      <c r="BG429" s="7"/>
      <c r="BH429" s="7"/>
      <c r="BI429" s="7"/>
      <c r="BJ429" s="7"/>
      <c r="BK429" s="7"/>
      <c r="BL429" s="7"/>
      <c r="BM429" s="10"/>
    </row>
    <row r="430" spans="1:65" x14ac:dyDescent="0.3">
      <c r="A430" s="5"/>
      <c r="B430" s="5"/>
      <c r="C430" s="5"/>
      <c r="D430" s="6"/>
      <c r="E430" s="5"/>
      <c r="F430" s="5"/>
      <c r="G430" s="5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8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/>
      <c r="BG430" s="7"/>
      <c r="BH430" s="7"/>
      <c r="BI430" s="7"/>
      <c r="BJ430" s="7"/>
      <c r="BK430" s="7"/>
      <c r="BL430" s="7"/>
      <c r="BM430" s="10"/>
    </row>
    <row r="431" spans="1:65" x14ac:dyDescent="0.3">
      <c r="A431" s="5"/>
      <c r="B431" s="5"/>
      <c r="C431" s="5"/>
      <c r="D431" s="6"/>
      <c r="E431" s="5"/>
      <c r="F431" s="5"/>
      <c r="G431" s="5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8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  <c r="BF431" s="7"/>
      <c r="BG431" s="7"/>
      <c r="BH431" s="7"/>
      <c r="BI431" s="7"/>
      <c r="BJ431" s="7"/>
      <c r="BK431" s="7"/>
      <c r="BL431" s="7"/>
      <c r="BM431" s="10"/>
    </row>
    <row r="432" spans="1:65" x14ac:dyDescent="0.3">
      <c r="A432" s="5"/>
      <c r="B432" s="5"/>
      <c r="C432" s="5"/>
      <c r="D432" s="6"/>
      <c r="E432" s="5"/>
      <c r="F432" s="5"/>
      <c r="G432" s="5"/>
      <c r="H432" s="7"/>
      <c r="I432" s="7"/>
      <c r="J432" s="7"/>
      <c r="K432" s="7"/>
      <c r="L432" s="8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7"/>
      <c r="BG432" s="7"/>
      <c r="BH432" s="7"/>
      <c r="BI432" s="7"/>
      <c r="BJ432" s="7"/>
      <c r="BK432" s="7"/>
      <c r="BL432" s="7"/>
      <c r="BM432" s="10"/>
    </row>
    <row r="433" spans="1:65" x14ac:dyDescent="0.3">
      <c r="A433" s="5"/>
      <c r="B433" s="5"/>
      <c r="C433" s="5"/>
      <c r="D433" s="6"/>
      <c r="E433" s="5"/>
      <c r="F433" s="5"/>
      <c r="G433" s="5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8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7"/>
      <c r="BG433" s="7"/>
      <c r="BH433" s="7"/>
      <c r="BI433" s="7"/>
      <c r="BJ433" s="7"/>
      <c r="BK433" s="7"/>
      <c r="BL433" s="7"/>
      <c r="BM433" s="10"/>
    </row>
    <row r="434" spans="1:65" x14ac:dyDescent="0.3">
      <c r="A434" s="5"/>
      <c r="B434" s="5"/>
      <c r="C434" s="5"/>
      <c r="D434" s="6"/>
      <c r="E434" s="5"/>
      <c r="F434" s="5"/>
      <c r="G434" s="5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7"/>
      <c r="BH434" s="7"/>
      <c r="BI434" s="7"/>
      <c r="BJ434" s="7"/>
      <c r="BK434" s="7"/>
      <c r="BL434" s="7"/>
      <c r="BM434" s="10"/>
    </row>
    <row r="435" spans="1:65" x14ac:dyDescent="0.3">
      <c r="A435" s="5"/>
      <c r="B435" s="5"/>
      <c r="C435" s="5"/>
      <c r="D435" s="6"/>
      <c r="E435" s="5"/>
      <c r="F435" s="5"/>
      <c r="G435" s="5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8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7"/>
      <c r="BG435" s="7"/>
      <c r="BH435" s="7"/>
      <c r="BI435" s="7"/>
      <c r="BJ435" s="7"/>
      <c r="BK435" s="7"/>
      <c r="BL435" s="7"/>
      <c r="BM435" s="10"/>
    </row>
    <row r="436" spans="1:65" x14ac:dyDescent="0.3">
      <c r="A436" s="5"/>
      <c r="B436" s="5"/>
      <c r="C436" s="5"/>
      <c r="D436" s="6"/>
      <c r="E436" s="5"/>
      <c r="F436" s="5"/>
      <c r="G436" s="5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8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7"/>
      <c r="BG436" s="7"/>
      <c r="BH436" s="7"/>
      <c r="BI436" s="7"/>
      <c r="BJ436" s="7"/>
      <c r="BK436" s="7"/>
      <c r="BL436" s="7"/>
      <c r="BM436" s="10"/>
    </row>
    <row r="437" spans="1:65" x14ac:dyDescent="0.3">
      <c r="A437" s="5"/>
      <c r="B437" s="5"/>
      <c r="C437" s="5"/>
      <c r="D437" s="6"/>
      <c r="E437" s="5"/>
      <c r="F437" s="5"/>
      <c r="G437" s="5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8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7"/>
      <c r="BG437" s="7"/>
      <c r="BH437" s="7"/>
      <c r="BI437" s="7"/>
      <c r="BJ437" s="7"/>
      <c r="BK437" s="7"/>
      <c r="BL437" s="7"/>
      <c r="BM437" s="10"/>
    </row>
    <row r="438" spans="1:65" x14ac:dyDescent="0.3">
      <c r="A438" s="5"/>
      <c r="B438" s="5"/>
      <c r="C438" s="5"/>
      <c r="D438" s="6"/>
      <c r="E438" s="5"/>
      <c r="F438" s="5"/>
      <c r="G438" s="5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7"/>
      <c r="BG438" s="7"/>
      <c r="BH438" s="7"/>
      <c r="BI438" s="7"/>
      <c r="BJ438" s="7"/>
      <c r="BK438" s="7"/>
      <c r="BL438" s="7"/>
      <c r="BM438" s="11"/>
    </row>
    <row r="439" spans="1:65" x14ac:dyDescent="0.3">
      <c r="A439" s="5"/>
      <c r="B439" s="5"/>
      <c r="C439" s="5"/>
      <c r="D439" s="6"/>
      <c r="E439" s="5"/>
      <c r="F439" s="5"/>
      <c r="G439" s="5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7"/>
      <c r="BG439" s="7"/>
      <c r="BH439" s="7"/>
      <c r="BI439" s="7"/>
      <c r="BJ439" s="7"/>
      <c r="BK439" s="7"/>
      <c r="BL439" s="7"/>
      <c r="BM439" s="11"/>
    </row>
    <row r="440" spans="1:65" x14ac:dyDescent="0.3">
      <c r="A440" s="5"/>
      <c r="B440" s="5"/>
      <c r="C440" s="5"/>
      <c r="D440" s="6"/>
      <c r="E440" s="5"/>
      <c r="F440" s="5"/>
      <c r="G440" s="5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7"/>
      <c r="BH440" s="7"/>
      <c r="BI440" s="7"/>
      <c r="BJ440" s="7"/>
      <c r="BK440" s="7"/>
      <c r="BL440" s="7"/>
      <c r="BM440" s="11"/>
    </row>
    <row r="441" spans="1:65" x14ac:dyDescent="0.3">
      <c r="A441" s="5"/>
      <c r="B441" s="5"/>
      <c r="C441" s="5"/>
      <c r="D441" s="6"/>
      <c r="E441" s="5"/>
      <c r="F441" s="5"/>
      <c r="G441" s="5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7"/>
      <c r="BG441" s="7"/>
      <c r="BH441" s="7"/>
      <c r="BI441" s="7"/>
      <c r="BJ441" s="7"/>
      <c r="BK441" s="7"/>
      <c r="BL441" s="7"/>
      <c r="BM441" s="11"/>
    </row>
    <row r="442" spans="1:65" x14ac:dyDescent="0.3">
      <c r="A442" s="5"/>
      <c r="B442" s="5"/>
      <c r="C442" s="5"/>
      <c r="D442" s="6"/>
      <c r="E442" s="5"/>
      <c r="F442" s="5"/>
      <c r="G442" s="5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7"/>
      <c r="BG442" s="7"/>
      <c r="BH442" s="7"/>
      <c r="BI442" s="7"/>
      <c r="BJ442" s="7"/>
      <c r="BK442" s="7"/>
      <c r="BL442" s="7"/>
      <c r="BM442" s="11"/>
    </row>
    <row r="443" spans="1:65" x14ac:dyDescent="0.3">
      <c r="A443" s="5"/>
      <c r="B443" s="5"/>
      <c r="C443" s="5"/>
      <c r="D443" s="6"/>
      <c r="E443" s="5"/>
      <c r="F443" s="5"/>
      <c r="G443" s="5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7"/>
      <c r="BG443" s="7"/>
      <c r="BH443" s="7"/>
      <c r="BI443" s="7"/>
      <c r="BJ443" s="7"/>
      <c r="BK443" s="7"/>
      <c r="BL443" s="7"/>
      <c r="BM443" s="11"/>
    </row>
    <row r="444" spans="1:65" x14ac:dyDescent="0.3">
      <c r="A444" s="5"/>
      <c r="B444" s="5"/>
      <c r="C444" s="5"/>
      <c r="D444" s="6"/>
      <c r="E444" s="5"/>
      <c r="F444" s="5"/>
      <c r="G444" s="5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/>
      <c r="BG444" s="7"/>
      <c r="BH444" s="7"/>
      <c r="BI444" s="7"/>
      <c r="BJ444" s="7"/>
      <c r="BK444" s="7"/>
      <c r="BL444" s="7"/>
      <c r="BM444" s="11"/>
    </row>
    <row r="445" spans="1:65" x14ac:dyDescent="0.3">
      <c r="A445" s="5"/>
      <c r="B445" s="5"/>
      <c r="C445" s="5"/>
      <c r="D445" s="6"/>
      <c r="E445" s="5"/>
      <c r="F445" s="5"/>
      <c r="G445" s="5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  <c r="BF445" s="7"/>
      <c r="BG445" s="7"/>
      <c r="BH445" s="7"/>
      <c r="BI445" s="7"/>
      <c r="BJ445" s="7"/>
      <c r="BK445" s="7"/>
      <c r="BL445" s="7"/>
      <c r="BM445" s="11"/>
    </row>
    <row r="446" spans="1:65" x14ac:dyDescent="0.3">
      <c r="A446" s="5"/>
      <c r="B446" s="5"/>
      <c r="C446" s="5"/>
      <c r="D446" s="6"/>
      <c r="E446" s="5"/>
      <c r="F446" s="5"/>
      <c r="G446" s="5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  <c r="BF446" s="7"/>
      <c r="BG446" s="7"/>
      <c r="BH446" s="7"/>
      <c r="BI446" s="7"/>
      <c r="BJ446" s="7"/>
      <c r="BK446" s="7"/>
      <c r="BL446" s="7"/>
      <c r="BM446" s="11"/>
    </row>
    <row r="447" spans="1:65" x14ac:dyDescent="0.3">
      <c r="A447" s="5"/>
      <c r="B447" s="5"/>
      <c r="C447" s="5"/>
      <c r="D447" s="6"/>
      <c r="E447" s="5"/>
      <c r="F447" s="5"/>
      <c r="G447" s="5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  <c r="BF447" s="7"/>
      <c r="BG447" s="7"/>
      <c r="BH447" s="7"/>
      <c r="BI447" s="7"/>
      <c r="BJ447" s="7"/>
      <c r="BK447" s="7"/>
      <c r="BL447" s="7"/>
      <c r="BM447" s="11"/>
    </row>
    <row r="448" spans="1:65" x14ac:dyDescent="0.3">
      <c r="A448" s="5"/>
      <c r="B448" s="5"/>
      <c r="C448" s="5"/>
      <c r="D448" s="6"/>
      <c r="E448" s="5"/>
      <c r="F448" s="5"/>
      <c r="G448" s="5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7"/>
      <c r="BG448" s="7"/>
      <c r="BH448" s="7"/>
      <c r="BI448" s="7"/>
      <c r="BJ448" s="7"/>
      <c r="BK448" s="7"/>
      <c r="BL448" s="7"/>
      <c r="BM448" s="11"/>
    </row>
    <row r="449" spans="1:65" x14ac:dyDescent="0.3">
      <c r="A449" s="5"/>
      <c r="B449" s="5"/>
      <c r="C449" s="5"/>
      <c r="D449" s="6"/>
      <c r="E449" s="5"/>
      <c r="F449" s="5"/>
      <c r="G449" s="5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7"/>
      <c r="BE449" s="7"/>
      <c r="BF449" s="7"/>
      <c r="BG449" s="7"/>
      <c r="BH449" s="7"/>
      <c r="BI449" s="7"/>
      <c r="BJ449" s="7"/>
      <c r="BK449" s="7"/>
      <c r="BL449" s="7"/>
      <c r="BM449" s="11"/>
    </row>
    <row r="450" spans="1:65" x14ac:dyDescent="0.3">
      <c r="A450" s="5"/>
      <c r="B450" s="5"/>
      <c r="C450" s="5"/>
      <c r="D450" s="6"/>
      <c r="E450" s="5"/>
      <c r="F450" s="5"/>
      <c r="G450" s="5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/>
      <c r="BE450" s="7"/>
      <c r="BF450" s="7"/>
      <c r="BG450" s="7"/>
      <c r="BH450" s="7"/>
      <c r="BI450" s="7"/>
      <c r="BJ450" s="7"/>
      <c r="BK450" s="7"/>
      <c r="BL450" s="7"/>
      <c r="BM450" s="11"/>
    </row>
    <row r="451" spans="1:65" x14ac:dyDescent="0.3">
      <c r="A451" s="5"/>
      <c r="B451" s="5"/>
      <c r="C451" s="5"/>
      <c r="D451" s="6"/>
      <c r="E451" s="5"/>
      <c r="F451" s="5"/>
      <c r="G451" s="5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  <c r="BD451" s="7"/>
      <c r="BE451" s="7"/>
      <c r="BF451" s="7"/>
      <c r="BG451" s="7"/>
      <c r="BH451" s="7"/>
      <c r="BI451" s="7"/>
      <c r="BJ451" s="7"/>
      <c r="BK451" s="7"/>
      <c r="BL451" s="7"/>
      <c r="BM451" s="11"/>
    </row>
    <row r="452" spans="1:65" x14ac:dyDescent="0.3">
      <c r="A452" s="5"/>
      <c r="B452" s="5"/>
      <c r="C452" s="5"/>
      <c r="D452" s="6"/>
      <c r="E452" s="5"/>
      <c r="F452" s="5"/>
      <c r="G452" s="5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  <c r="BC452" s="7"/>
      <c r="BD452" s="7"/>
      <c r="BE452" s="7"/>
      <c r="BF452" s="7"/>
      <c r="BG452" s="7"/>
      <c r="BH452" s="7"/>
      <c r="BI452" s="7"/>
      <c r="BJ452" s="7"/>
      <c r="BK452" s="7"/>
      <c r="BL452" s="7"/>
      <c r="BM452" s="11"/>
    </row>
  </sheetData>
  <phoneticPr fontId="20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합계(11)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Administrator</dc:creator>
  <cp:lastModifiedBy>storywiz</cp:lastModifiedBy>
  <dcterms:created xsi:type="dcterms:W3CDTF">2019-02-07T01:40:45Z</dcterms:created>
  <dcterms:modified xsi:type="dcterms:W3CDTF">2022-12-02T06:04:16Z</dcterms:modified>
</cp:coreProperties>
</file>