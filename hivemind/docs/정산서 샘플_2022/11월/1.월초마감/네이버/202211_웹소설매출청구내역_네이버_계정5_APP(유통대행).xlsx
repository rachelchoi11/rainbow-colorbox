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1월 매출\1. 월초마감\네이버\"/>
    </mc:Choice>
  </mc:AlternateContent>
  <bookViews>
    <workbookView xWindow="0" yWindow="0" windowWidth="23040" windowHeight="8955" tabRatio="766"/>
  </bookViews>
  <sheets>
    <sheet name="합계(11)" sheetId="412" r:id="rId1"/>
  </sheets>
  <definedNames>
    <definedName name="_xlnm._FilterDatabase" localSheetId="0" hidden="1">'합계(11)'!$A$1:$BQ$71</definedName>
    <definedName name="_xlnm.Extract" localSheetId="0">'합계(11)'!#REF!</definedName>
  </definedNames>
  <calcPr calcId="152511"/>
</workbook>
</file>

<file path=xl/calcChain.xml><?xml version="1.0" encoding="utf-8"?>
<calcChain xmlns="http://schemas.openxmlformats.org/spreadsheetml/2006/main">
  <c r="BO202" i="412" l="1"/>
  <c r="BN201" i="412" l="1"/>
  <c r="BO201" i="412" s="1"/>
  <c r="BN200" i="412"/>
  <c r="BO200" i="412" s="1"/>
  <c r="BN199" i="412"/>
  <c r="BO199" i="412" s="1"/>
  <c r="BN198" i="412"/>
  <c r="BO198" i="412" s="1"/>
  <c r="BN197" i="412"/>
  <c r="BO197" i="412" s="1"/>
  <c r="BN196" i="412"/>
  <c r="BO196" i="412" s="1"/>
  <c r="BN195" i="412"/>
  <c r="BO195" i="412" s="1"/>
  <c r="BN194" i="412"/>
  <c r="BO194" i="412" s="1"/>
  <c r="BN193" i="412"/>
  <c r="BO193" i="412" s="1"/>
  <c r="BN192" i="412"/>
  <c r="BO192" i="412" s="1"/>
  <c r="BN191" i="412"/>
  <c r="BO191" i="412" s="1"/>
  <c r="BN190" i="412"/>
  <c r="BO190" i="412" s="1"/>
  <c r="BN189" i="412"/>
  <c r="BO189" i="412" s="1"/>
  <c r="BN188" i="412"/>
  <c r="BO188" i="412" s="1"/>
  <c r="BN187" i="412"/>
  <c r="BO187" i="412" s="1"/>
  <c r="BN186" i="412"/>
  <c r="BO186" i="412" s="1"/>
  <c r="BN185" i="412"/>
  <c r="BO185" i="412" s="1"/>
  <c r="BN184" i="412"/>
  <c r="BO184" i="412" s="1"/>
  <c r="BN183" i="412"/>
  <c r="BO183" i="412" s="1"/>
  <c r="BN182" i="412"/>
  <c r="BO182" i="412" s="1"/>
  <c r="BN181" i="412"/>
  <c r="BO181" i="412" s="1"/>
  <c r="BN180" i="412"/>
  <c r="BO180" i="412" s="1"/>
  <c r="BN179" i="412"/>
  <c r="BO179" i="412" s="1"/>
  <c r="BN178" i="412"/>
  <c r="BO178" i="412" s="1"/>
  <c r="BN177" i="412"/>
  <c r="BO177" i="412" s="1"/>
  <c r="BN72" i="412" l="1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131" i="412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 s="1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170" i="412"/>
  <c r="BO170" i="412" s="1"/>
  <c r="BN171" i="412"/>
  <c r="BO171" i="412" s="1"/>
  <c r="BN172" i="412"/>
  <c r="BO172" i="412" s="1"/>
  <c r="BN173" i="412"/>
  <c r="BO173" i="412" s="1"/>
  <c r="BN174" i="412"/>
  <c r="BO174" i="412" s="1"/>
  <c r="BN175" i="412"/>
  <c r="BO175" i="412" s="1"/>
  <c r="BN176" i="412"/>
  <c r="BO176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43" i="412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2" i="412" l="1"/>
  <c r="BO2" i="412" l="1"/>
</calcChain>
</file>

<file path=xl/sharedStrings.xml><?xml version="1.0" encoding="utf-8"?>
<sst xmlns="http://schemas.openxmlformats.org/spreadsheetml/2006/main" count="1472" uniqueCount="388">
  <si>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</si>
  <si>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</si>
  <si>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</si>
  <si>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</si>
  <si>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</si>
  <si>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</si>
  <si>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</si>
  <si>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</si>
  <si>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</si>
  <si>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</si>
  <si>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</si>
  <si>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합계</t>
  </si>
  <si>
    <t>SW 매출</t>
    <phoneticPr fontId="20" type="noConversion"/>
  </si>
  <si>
    <t>앱마켓수수료</t>
  </si>
  <si>
    <t>2022.03.16</t>
  </si>
  <si>
    <t>법보다 주먹 [단행본]</t>
  </si>
  <si>
    <t>스토리위즈_2</t>
  </si>
  <si>
    <t>백범(白帆)</t>
  </si>
  <si>
    <t>에필로그</t>
  </si>
  <si>
    <t>2022.04.13</t>
  </si>
  <si>
    <t>법보다 주먹</t>
  </si>
  <si>
    <t>일교차 [단행본]</t>
  </si>
  <si>
    <t>해화</t>
  </si>
  <si>
    <t>밀리오리지널</t>
  </si>
  <si>
    <t>2022.04.08</t>
  </si>
  <si>
    <t>연애의 시작 [단행본]</t>
  </si>
  <si>
    <t>차크</t>
  </si>
  <si>
    <t>19세 이상 이용가능</t>
  </si>
  <si>
    <t>2022.02.18</t>
  </si>
  <si>
    <t>어딜 봐요? [외전증보판]</t>
  </si>
  <si>
    <t>주해나</t>
  </si>
  <si>
    <t>쉬즈노블</t>
  </si>
  <si>
    <t>2019.07.10</t>
  </si>
  <si>
    <t>더티독 [BL]</t>
  </si>
  <si>
    <t>용가리맛쿠키</t>
  </si>
  <si>
    <t>블러쉬</t>
  </si>
  <si>
    <t>2020.04.13</t>
  </si>
  <si>
    <t>악당의 리턴!</t>
  </si>
  <si>
    <t>354950</t>
  </si>
  <si>
    <t>2019.06.20</t>
  </si>
  <si>
    <t>전설이 돼라 [개정판]</t>
  </si>
  <si>
    <t>2022.03.02</t>
  </si>
  <si>
    <t>최현자</t>
  </si>
  <si>
    <t>반하는 세계 [BL]</t>
  </si>
  <si>
    <t>나나코</t>
  </si>
  <si>
    <t>히즈노블</t>
  </si>
  <si>
    <t>2019.08.17</t>
  </si>
  <si>
    <t>서혜은</t>
  </si>
  <si>
    <t>남창목가 [단행본]</t>
  </si>
  <si>
    <t>최재봉</t>
  </si>
  <si>
    <t>2020.05.18</t>
  </si>
  <si>
    <t>이세계 최강 군바리</t>
  </si>
  <si>
    <t>협행마</t>
  </si>
  <si>
    <t>2019.07.31</t>
  </si>
  <si>
    <t>집착의 맛</t>
  </si>
  <si>
    <t>sJessi</t>
  </si>
  <si>
    <t>쉬라즈</t>
  </si>
  <si>
    <t>2021.12.31</t>
  </si>
  <si>
    <t>브레이크 어웨이(Break Away) [단행본]</t>
  </si>
  <si>
    <t>서정윤</t>
  </si>
  <si>
    <t>2022.05.23</t>
  </si>
  <si>
    <t>남창목가 [외전 독점]</t>
  </si>
  <si>
    <t>2019.11.18</t>
  </si>
  <si>
    <t>다정한 내일을 위한 새벽 [BL]</t>
  </si>
  <si>
    <t>2019.08.13</t>
  </si>
  <si>
    <t>진짜 사나이 [단행본]</t>
  </si>
  <si>
    <t>2021.12.15</t>
  </si>
  <si>
    <t>사냥꾼은 마왕이 되기 싫다 [독점]</t>
  </si>
  <si>
    <t>강명운</t>
  </si>
  <si>
    <t>스토리아크</t>
  </si>
  <si>
    <t>2022.01.03</t>
  </si>
  <si>
    <t>이차적 일탈 [단행본]</t>
  </si>
  <si>
    <t>2022.03.04</t>
  </si>
  <si>
    <t>2020.09.10</t>
  </si>
  <si>
    <t>너만 보면 두근두근 [단행본]</t>
  </si>
  <si>
    <t>정경하</t>
  </si>
  <si>
    <t>2022.01.14</t>
  </si>
  <si>
    <t>이세계 최강 군바리 [단행본]</t>
  </si>
  <si>
    <t>2019.11.04</t>
  </si>
  <si>
    <t>2021.08.27</t>
  </si>
  <si>
    <t>더티독 [BL][단행본]</t>
  </si>
  <si>
    <t>2020.04.09</t>
  </si>
  <si>
    <t>더 캡틴</t>
  </si>
  <si>
    <t>2022.01.21</t>
  </si>
  <si>
    <t>수련</t>
  </si>
  <si>
    <t>사틴</t>
  </si>
  <si>
    <t>설국연가 [단행본]</t>
  </si>
  <si>
    <t>마뇽</t>
  </si>
  <si>
    <t>2022.01.17</t>
  </si>
  <si>
    <t>2021.09.14</t>
  </si>
  <si>
    <t>최강주</t>
  </si>
  <si>
    <t>SISSI</t>
  </si>
  <si>
    <t>너는 싱그러운 여름처럼 [단행본]</t>
  </si>
  <si>
    <t>박지영</t>
  </si>
  <si>
    <t>2022.04.25</t>
  </si>
  <si>
    <t>뉴욕 키스 스캔들 [BL][단행본]</t>
  </si>
  <si>
    <t>2018.06.12</t>
  </si>
  <si>
    <t>라이큐</t>
  </si>
  <si>
    <t>2022.02.17</t>
  </si>
  <si>
    <t>벗어 주세요</t>
  </si>
  <si>
    <t>2019.03.07</t>
  </si>
  <si>
    <t>무적살수 [단행본]</t>
  </si>
  <si>
    <t>2020.09.09</t>
  </si>
  <si>
    <t>2021.08.24</t>
  </si>
  <si>
    <t>그 순간, 별이 빛났다 [BL]</t>
  </si>
  <si>
    <t>성실</t>
  </si>
  <si>
    <t>2021.09.09</t>
  </si>
  <si>
    <t>계략적 관계 [독점]</t>
  </si>
  <si>
    <t>진태이</t>
  </si>
  <si>
    <t>2021.10.13</t>
  </si>
  <si>
    <t>남궁세가 건달공자 [단행본]</t>
  </si>
  <si>
    <t>2019.06.18</t>
  </si>
  <si>
    <t>더 캡틴 [단행본]</t>
  </si>
  <si>
    <t>사계(Four Season) [BL]</t>
  </si>
  <si>
    <t>2020.06.17</t>
  </si>
  <si>
    <t>2021.08.30</t>
  </si>
  <si>
    <t>만나러 갈게 [단행본]</t>
  </si>
  <si>
    <t>박샛별</t>
  </si>
  <si>
    <t>2022.02.04</t>
  </si>
  <si>
    <t>강호, 미치다</t>
  </si>
  <si>
    <t>2019.09.18</t>
  </si>
  <si>
    <t>키도</t>
  </si>
  <si>
    <t>이서윤</t>
  </si>
  <si>
    <t>무림병장 [단행본]</t>
  </si>
  <si>
    <t>2021.02.08</t>
  </si>
  <si>
    <t>미확인 사고</t>
  </si>
  <si>
    <t>2019.03.20</t>
  </si>
  <si>
    <t>이리 와 봐 외전 [단행본]</t>
  </si>
  <si>
    <t>2018.10.19</t>
  </si>
  <si>
    <t>위사무적</t>
  </si>
  <si>
    <t>위사무적 [단행본]</t>
  </si>
  <si>
    <t>2020.09.11</t>
  </si>
  <si>
    <t>끝도 없이 젖어드는</t>
  </si>
  <si>
    <t>2019.06.21</t>
  </si>
  <si>
    <t>짝사랑 중입니다 [단행본]</t>
  </si>
  <si>
    <t>진양</t>
  </si>
  <si>
    <t>2022.06.27</t>
  </si>
  <si>
    <t>아득히 먼 훗날 우리가 [단행본]</t>
  </si>
  <si>
    <t>2022.06.13</t>
  </si>
  <si>
    <t>베르사유의 장미 [BL]</t>
  </si>
  <si>
    <t>2020.04.21</t>
  </si>
  <si>
    <t>ARC곽도우</t>
  </si>
  <si>
    <t>무심코 [단행본]</t>
  </si>
  <si>
    <t>달로</t>
  </si>
  <si>
    <t>2022.06.03</t>
  </si>
  <si>
    <t>깃들다 [단행본]</t>
  </si>
  <si>
    <t>현진서</t>
  </si>
  <si>
    <t>2022.06.22</t>
  </si>
  <si>
    <t>테이크 백(Take Back) [단행본]</t>
  </si>
  <si>
    <t>일락</t>
  </si>
  <si>
    <t>2022.06.24</t>
  </si>
  <si>
    <t>근수저 오크는 근손실이 싫다 [독점]</t>
  </si>
  <si>
    <t>동대륙의 낭인무사 [단행본]</t>
  </si>
  <si>
    <t>2020.09.08</t>
  </si>
  <si>
    <t>연유</t>
  </si>
  <si>
    <t>바보가 만드는 멋진 세상 [개정판]</t>
  </si>
  <si>
    <t>공호</t>
  </si>
  <si>
    <t>하일군재래(何日君再來) [단행본]</t>
  </si>
  <si>
    <t>신윤희(에드가)</t>
  </si>
  <si>
    <t>2022.07.14</t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</si>
  <si>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</si>
  <si>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</si>
  <si>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</si>
  <si>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</si>
  <si>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</si>
  <si>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</si>
  <si>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</si>
  <si>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</si>
  <si>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</si>
  <si>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</si>
  <si>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</si>
  <si>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</si>
  <si>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</si>
  <si>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</si>
  <si>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</si>
  <si>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</si>
  <si>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</si>
  <si>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</si>
  <si>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</si>
  <si>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</si>
  <si>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</si>
  <si>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</si>
  <si>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</si>
  <si>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</si>
  <si>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</si>
  <si>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</si>
  <si>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</si>
  <si>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</si>
  <si>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</si>
  <si>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</si>
  <si>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</si>
  <si>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</si>
  <si>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</si>
  <si>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</si>
  <si>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</si>
  <si>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</si>
  <si>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</si>
  <si>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</si>
  <si>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</si>
  <si>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</si>
  <si>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</si>
  <si>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</si>
  <si>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</si>
  <si>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</si>
  <si>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</si>
  <si>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</si>
  <si>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</si>
  <si>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</si>
  <si>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</si>
  <si>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</si>
  <si>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</si>
  <si>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</si>
  <si>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</si>
  <si>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</si>
  <si>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</si>
  <si>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</si>
  <si>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시리즈(APP)</t>
    <phoneticPr fontId="20" type="noConversion"/>
  </si>
  <si>
    <t>시리즈(APP)</t>
    <phoneticPr fontId="20" type="noConversion"/>
  </si>
  <si>
    <t>티끌모아 대박 [단행본]</t>
  </si>
  <si>
    <t>2022.07.29</t>
  </si>
  <si>
    <t>티끌모아 대박</t>
  </si>
  <si>
    <t>2022.08.11</t>
  </si>
  <si>
    <t>시리즈(APP)</t>
    <phoneticPr fontId="20" type="noConversion"/>
  </si>
  <si>
    <t>너는 천사 [단행본]</t>
  </si>
  <si>
    <t>2022.08.25</t>
  </si>
  <si>
    <t>시리즈(APP)</t>
    <phoneticPr fontId="20" type="noConversion"/>
  </si>
  <si>
    <t>하루가</t>
  </si>
  <si>
    <t>불시착한 우주 [BL]</t>
  </si>
  <si>
    <t>시리즈 완전판(APP)</t>
    <phoneticPr fontId="20" type="noConversion"/>
  </si>
  <si>
    <t>시리즈 완전판(APP)</t>
    <phoneticPr fontId="20" type="noConversion"/>
  </si>
  <si>
    <t>연애의 끝 [단행본]</t>
  </si>
  <si>
    <t>2022.07.28</t>
  </si>
  <si>
    <t>작열감 [단행본]</t>
  </si>
  <si>
    <t>리밀</t>
  </si>
  <si>
    <t>시리즈 완전판(APP)</t>
    <phoneticPr fontId="20" type="noConversion"/>
  </si>
  <si>
    <t>더티독 외전 [BL][단행본]</t>
  </si>
  <si>
    <t>끝까지, 지독하게</t>
  </si>
  <si>
    <t>2021.09.17</t>
  </si>
  <si>
    <t>시리즈(iOS)</t>
    <phoneticPr fontId="20" type="noConversion"/>
  </si>
  <si>
    <t>시리즈(iOS)</t>
    <phoneticPr fontId="20" type="noConversion"/>
  </si>
  <si>
    <t>시리즈(iOS)</t>
    <phoneticPr fontId="20" type="noConversion"/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</si>
  <si>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</si>
  <si>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</si>
  <si>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용병수칙 [단행본]</t>
  </si>
  <si>
    <t>전장의 금기 [단행본]</t>
  </si>
  <si>
    <t>2020.09.13</t>
  </si>
  <si>
    <t>유일한 취미 [단행본]</t>
  </si>
  <si>
    <t>2022.05.06</t>
  </si>
  <si>
    <t>헌터 킹 [단행본]</t>
  </si>
  <si>
    <t>2021.12.10</t>
  </si>
  <si>
    <t>마티네(Matinée) [BL]</t>
  </si>
  <si>
    <t>눈부시게 아찔한 [단행본]</t>
  </si>
  <si>
    <t>적랑</t>
  </si>
  <si>
    <t>2022.09.15</t>
  </si>
  <si>
    <t>여우비가 내리던 날 [BL]</t>
  </si>
  <si>
    <t>무림병장 [독점]</t>
  </si>
  <si>
    <t>2020.08.29</t>
  </si>
  <si>
    <t>소울 슈터</t>
  </si>
  <si>
    <t>진령군 도망기 [단행본]</t>
  </si>
  <si>
    <t>정은숙</t>
  </si>
  <si>
    <t>2022.09.01</t>
  </si>
  <si>
    <t>붉은 정자-살라댕 [단행본]</t>
  </si>
  <si>
    <t>라벤더블루</t>
  </si>
  <si>
    <t>2022.01.10</t>
  </si>
  <si>
    <t>익스클루시브(Exclusive) [BL][단행본]</t>
  </si>
  <si>
    <t>2021.08.13</t>
  </si>
  <si>
    <t>원성혜</t>
  </si>
  <si>
    <t>2022.10.19</t>
  </si>
  <si>
    <t>이별하기 좋은 계절 [단행본]</t>
  </si>
  <si>
    <t>송민선</t>
  </si>
  <si>
    <t>2022.10.06</t>
  </si>
  <si>
    <t>그린 라이트 [단행본]</t>
  </si>
  <si>
    <t>2022.10.20</t>
  </si>
  <si>
    <t>달보드레 [BL] [단행본]</t>
  </si>
  <si>
    <t>시아</t>
  </si>
  <si>
    <t>비엘스토리</t>
  </si>
  <si>
    <t>2018.05.18</t>
  </si>
  <si>
    <t>이번 생은 망한 줄 알았는데 [단행본]</t>
  </si>
  <si>
    <t>이윤미</t>
  </si>
  <si>
    <t>2022.10.26</t>
  </si>
  <si>
    <t>소년연애담 [BL] [단행본]</t>
  </si>
  <si>
    <t>2018.04.23</t>
  </si>
  <si>
    <t>전장의 금기</t>
  </si>
  <si>
    <t>2020.09.12</t>
  </si>
  <si>
    <t>낯선 밤에 마주친 [단행본]</t>
  </si>
  <si>
    <t>춈춈</t>
  </si>
  <si>
    <t>2022.10.12</t>
  </si>
  <si>
    <t>꽃처럼 너를 안는다 [단행본]</t>
  </si>
  <si>
    <t>반지영</t>
  </si>
  <si>
    <t>여름, 밤의 사정 [단행본]</t>
  </si>
  <si>
    <t>기획에 산다</t>
  </si>
  <si>
    <t>바스락 [단행본]</t>
  </si>
  <si>
    <t>첫사랑을 종료하시겠습니까 [단행본]</t>
  </si>
  <si>
    <t>이파람</t>
  </si>
  <si>
    <t>2022.10.24</t>
  </si>
  <si>
    <t>비공개 열애 [단행본]</t>
  </si>
  <si>
    <t>엑스 비서 [단행본]</t>
  </si>
  <si>
    <t>비향</t>
  </si>
  <si>
    <t>사내 연애의 끝 [단행본]</t>
  </si>
  <si>
    <t>너와 나의 절정 [단행본]</t>
  </si>
  <si>
    <t>깊은 밤 너의 고백이 [단행본]</t>
  </si>
  <si>
    <t>이새인</t>
  </si>
  <si>
    <t>2022.10.21</t>
  </si>
  <si>
    <t>이중생활 [단행본]</t>
  </si>
  <si>
    <t>이정숙</t>
  </si>
  <si>
    <t>삶의 끝에서 [단행본]</t>
  </si>
  <si>
    <t>이승희</t>
  </si>
  <si>
    <t>꽃 무덤 [단행본]</t>
  </si>
  <si>
    <t>2022.10.13</t>
  </si>
  <si>
    <t>봄, 어리 이야기 [단행본]</t>
  </si>
  <si>
    <t>수면제 [단행본]</t>
  </si>
  <si>
    <t>명우</t>
  </si>
  <si>
    <t>이별 그리고 그 후 [단행본]</t>
  </si>
  <si>
    <t>2022.05.11</t>
  </si>
  <si>
    <t>오후 4시의 남자 [단행본]</t>
  </si>
  <si>
    <t>차연유</t>
  </si>
  <si>
    <t>2020.11.12</t>
  </si>
  <si>
    <t>불건전한 수컷 [단행본]</t>
  </si>
  <si>
    <t>2020.10.31</t>
  </si>
  <si>
    <t>트리플베리</t>
  </si>
  <si>
    <t>슈크림 [단행본]</t>
  </si>
  <si>
    <t>2022.04.15</t>
  </si>
  <si>
    <t>수리 낭군 [단행본]</t>
  </si>
  <si>
    <t>익스클루시브(Exclusive) [BL]</t>
  </si>
  <si>
    <t>끝까지, 지독하게 [외전][단행본]</t>
  </si>
  <si>
    <t>2022.12.02</t>
  </si>
  <si>
    <t>스물한 송이 [단행본]</t>
  </si>
  <si>
    <t>2022.11.03</t>
  </si>
  <si>
    <t>가장 완벽한 인질</t>
  </si>
  <si>
    <t>2020.12.07</t>
  </si>
  <si>
    <t>진짜 사나이</t>
  </si>
  <si>
    <t>도베르만 길들이기 [단행본]</t>
  </si>
  <si>
    <t>2022.11.10</t>
  </si>
  <si>
    <t>다정한 내일을 위한 새벽 [BL][단행본]</t>
  </si>
  <si>
    <t>2019.05.06</t>
  </si>
  <si>
    <t>악당의 리턴! [단행본]</t>
  </si>
  <si>
    <t>2019.11.26</t>
  </si>
  <si>
    <t>여신과 수호비 [개정판]</t>
  </si>
  <si>
    <t>구하늬</t>
  </si>
  <si>
    <t>2017.05.12</t>
  </si>
  <si>
    <t>불건전한 수컷</t>
  </si>
  <si>
    <t>내가 사랑하는 총리님</t>
  </si>
  <si>
    <t>벨</t>
  </si>
  <si>
    <t>2021.03.02</t>
  </si>
  <si>
    <t>백양의 귀신 퇴치 매뉴얼 [BL]</t>
  </si>
  <si>
    <t>하바수</t>
  </si>
  <si>
    <t>2020.07.23</t>
  </si>
  <si>
    <t>녹아내리다</t>
  </si>
  <si>
    <t>투즈</t>
  </si>
  <si>
    <t>2021.02.22</t>
  </si>
  <si>
    <t>흠뻑 적셔줄게 [BL]</t>
  </si>
  <si>
    <t>묜수</t>
  </si>
  <si>
    <t>들개의 덫</t>
  </si>
  <si>
    <t>달을 쫓는 하운드 [BL][단행본]</t>
  </si>
  <si>
    <t>채플린</t>
  </si>
  <si>
    <t>2020.10.29</t>
  </si>
  <si>
    <t>밤이 오는 소리 [단행본]</t>
  </si>
  <si>
    <t>2022.10.28</t>
  </si>
  <si>
    <t>우리 집 악마 새끼 [BL][단행본]</t>
  </si>
  <si>
    <t>2019.11.12</t>
  </si>
  <si>
    <t>끝도 없이 젖어드는 [단행본]</t>
  </si>
  <si>
    <t>2019.05.10</t>
  </si>
  <si>
    <t>이리 와 봐 [단행본]</t>
  </si>
  <si>
    <t>2018.08.30</t>
  </si>
  <si>
    <t>베르사유의 장미 [BL][단행본]</t>
  </si>
  <si>
    <t>2020.04.20</t>
  </si>
  <si>
    <t>낮과 밤 [BL][단행본]</t>
  </si>
  <si>
    <t>2021.02.05</t>
  </si>
  <si>
    <t>불시착한 우주 [BL][단행본]</t>
  </si>
  <si>
    <t>2020.11.11</t>
  </si>
  <si>
    <t>운명과 복수 [단행본]</t>
  </si>
  <si>
    <t>2022.11.17</t>
  </si>
  <si>
    <t>처녀 보쌈 [단행본]</t>
  </si>
  <si>
    <t>김원경</t>
  </si>
  <si>
    <t>2022.06.10</t>
  </si>
  <si>
    <t>탈각 [단행본]</t>
  </si>
  <si>
    <t>2022.06.29</t>
  </si>
  <si>
    <t>빠져들다 [단행본]</t>
  </si>
  <si>
    <t>알리시아</t>
  </si>
  <si>
    <t>2022.07.21</t>
  </si>
  <si>
    <t>분홍의 작약 [단행본]</t>
  </si>
  <si>
    <t>송여희</t>
  </si>
  <si>
    <t>2022.01.12</t>
  </si>
  <si>
    <t>봄볕이 아른아른 [단행본]</t>
  </si>
  <si>
    <t>2022.07.07</t>
  </si>
  <si>
    <t>달을 쫓는 하운드 외전 [BL][단행본]</t>
  </si>
  <si>
    <t>발칙한 연애</t>
  </si>
  <si>
    <t>2019.10.30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</si>
</sst>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41" fontId="23" fillId="0" borderId="0" xfId="42" applyFont="1">
      <alignment vertical="center"/>
    </xf>
    <xf numFmtId="41" fontId="22" fillId="34" borderId="0" xfId="42" applyFont="1" applyFill="1">
      <alignment vertical="center"/>
    </xf>
    <xf numFmtId="0" fontId="25" fillId="0" borderId="0" xfId="0" applyFont="1" applyAlignment="1">
      <alignment horizontal="left" vertical="center" wrapText="1"/>
    </xf>
    <xf numFmtId="49" fontId="25" fillId="0" borderId="0" xfId="0" applyNumberFormat="1" applyFont="1" applyAlignment="1">
      <alignment vertical="center" wrapText="1"/>
    </xf>
    <xf numFmtId="0" fontId="25" fillId="0" borderId="0" xfId="0" applyFont="1" applyAlignment="1">
      <alignment vertical="center" wrapText="1"/>
    </xf>
    <xf numFmtId="3" fontId="25" fillId="0" borderId="0" xfId="0" applyNumberFormat="1" applyFont="1" applyAlignment="1">
      <alignment vertical="center" wrapText="1"/>
    </xf>
    <xf numFmtId="4" fontId="25" fillId="0" borderId="0" xfId="0" applyNumberFormat="1" applyFont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0" fontId="26" fillId="0" borderId="0" xfId="0" applyFont="1" applyAlignment="1">
      <alignment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226"/>
  <sheetViews>
    <sheetView tabSelected="1" topLeftCell="AZ197" zoomScaleNormal="100" workbookViewId="0">
      <selection activeCell="BO202" sqref="BO202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2.75" bestFit="1" customWidth="1"/>
    <col min="66" max="66" width="13.5" bestFit="1" customWidth="1"/>
    <col min="67" max="67" width="13.375" style="12" customWidth="1"/>
  </cols>
  <sheetData>
    <row r="1" spans="1:69" ht="27" customHeight="1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160</v>
      </c>
      <c r="I1" s="13" t="s">
        <v>6</v>
      </c>
      <c r="J1" s="11" t="s">
        <v>161</v>
      </c>
      <c r="K1" s="11" t="s">
        <v>162</v>
      </c>
      <c r="L1" s="11" t="s">
        <v>163</v>
      </c>
      <c r="M1" s="11" t="s">
        <v>164</v>
      </c>
      <c r="N1" s="11" t="s">
        <v>165</v>
      </c>
      <c r="O1" s="11" t="s">
        <v>166</v>
      </c>
      <c r="P1" s="11" t="s">
        <v>167</v>
      </c>
      <c r="Q1" s="11" t="s">
        <v>168</v>
      </c>
      <c r="R1" s="11" t="s">
        <v>169</v>
      </c>
      <c r="S1" s="11" t="s">
        <v>170</v>
      </c>
      <c r="T1" s="11" t="s">
        <v>171</v>
      </c>
      <c r="U1" s="11" t="s">
        <v>172</v>
      </c>
      <c r="V1" s="11" t="s">
        <v>173</v>
      </c>
      <c r="W1" s="11" t="s">
        <v>174</v>
      </c>
      <c r="X1" s="11" t="s">
        <v>175</v>
      </c>
      <c r="Y1" s="11" t="s">
        <v>176</v>
      </c>
      <c r="Z1" s="11" t="s">
        <v>177</v>
      </c>
      <c r="AA1" s="11" t="s">
        <v>178</v>
      </c>
      <c r="AB1" s="11" t="s">
        <v>179</v>
      </c>
      <c r="AC1" s="11" t="s">
        <v>180</v>
      </c>
      <c r="AD1" s="11" t="s">
        <v>181</v>
      </c>
      <c r="AE1" s="11" t="s">
        <v>182</v>
      </c>
      <c r="AF1" s="11" t="s">
        <v>183</v>
      </c>
      <c r="AG1" s="11" t="s">
        <v>184</v>
      </c>
      <c r="AH1" s="11" t="s">
        <v>185</v>
      </c>
      <c r="AI1" s="11" t="s">
        <v>186</v>
      </c>
      <c r="AJ1" s="11" t="s">
        <v>187</v>
      </c>
      <c r="AK1" s="11" t="s">
        <v>188</v>
      </c>
      <c r="AL1" s="11" t="s">
        <v>189</v>
      </c>
      <c r="AM1" s="11" t="s">
        <v>190</v>
      </c>
      <c r="AN1" s="11" t="s">
        <v>191</v>
      </c>
      <c r="AO1" s="11" t="s">
        <v>192</v>
      </c>
      <c r="AP1" s="11" t="s">
        <v>193</v>
      </c>
      <c r="AQ1" s="11" t="s">
        <v>194</v>
      </c>
      <c r="AR1" s="11" t="s">
        <v>195</v>
      </c>
      <c r="AS1" s="11" t="s">
        <v>196</v>
      </c>
      <c r="AT1" s="11" t="s">
        <v>197</v>
      </c>
      <c r="AU1" s="11" t="s">
        <v>198</v>
      </c>
      <c r="AV1" s="11" t="s">
        <v>199</v>
      </c>
      <c r="AW1" s="11" t="s">
        <v>200</v>
      </c>
      <c r="AX1" s="11" t="s">
        <v>201</v>
      </c>
      <c r="AY1" s="11" t="s">
        <v>202</v>
      </c>
      <c r="AZ1" s="11" t="s">
        <v>203</v>
      </c>
      <c r="BA1" s="11" t="s">
        <v>204</v>
      </c>
      <c r="BB1" s="11" t="s">
        <v>205</v>
      </c>
      <c r="BC1" s="11" t="s">
        <v>206</v>
      </c>
      <c r="BD1" s="11" t="s">
        <v>207</v>
      </c>
      <c r="BE1" s="11" t="s">
        <v>208</v>
      </c>
      <c r="BF1" s="11" t="s">
        <v>209</v>
      </c>
      <c r="BG1" s="11" t="s">
        <v>210</v>
      </c>
      <c r="BH1" s="11" t="s">
        <v>211</v>
      </c>
      <c r="BI1" s="11" t="s">
        <v>212</v>
      </c>
      <c r="BJ1" s="11" t="s">
        <v>213</v>
      </c>
      <c r="BK1" s="11" t="s">
        <v>214</v>
      </c>
      <c r="BL1" s="11" t="s">
        <v>13</v>
      </c>
      <c r="BM1" s="11" t="s">
        <v>11</v>
      </c>
      <c r="BN1" s="11" t="s">
        <v>215</v>
      </c>
      <c r="BO1" s="11" t="s">
        <v>12</v>
      </c>
      <c r="BP1" s="11" t="s">
        <v>241</v>
      </c>
      <c r="BQ1" s="11" t="s">
        <v>242</v>
      </c>
    </row>
    <row r="2" spans="1:69" ht="24" x14ac:dyDescent="0.3">
      <c r="A2" s="5" t="s">
        <v>216</v>
      </c>
      <c r="B2" s="16" t="s">
        <v>20</v>
      </c>
      <c r="C2" s="16">
        <v>451051</v>
      </c>
      <c r="D2" s="17"/>
      <c r="E2" s="16" t="s">
        <v>16</v>
      </c>
      <c r="F2" s="16" t="s">
        <v>17</v>
      </c>
      <c r="G2" s="16" t="s">
        <v>18</v>
      </c>
      <c r="H2" s="18" t="s">
        <v>10</v>
      </c>
      <c r="I2" s="18" t="s">
        <v>14</v>
      </c>
      <c r="J2" s="18">
        <v>0</v>
      </c>
      <c r="K2" s="18">
        <v>0</v>
      </c>
      <c r="L2" s="18">
        <v>0</v>
      </c>
      <c r="M2" s="18">
        <v>0</v>
      </c>
      <c r="N2" s="18">
        <v>0</v>
      </c>
      <c r="O2" s="18">
        <v>0</v>
      </c>
      <c r="P2" s="18">
        <v>0</v>
      </c>
      <c r="Q2" s="18">
        <v>0</v>
      </c>
      <c r="R2" s="18">
        <v>0</v>
      </c>
      <c r="S2" s="18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8">
        <v>0</v>
      </c>
      <c r="Z2" s="18">
        <v>0</v>
      </c>
      <c r="AA2" s="18">
        <v>0</v>
      </c>
      <c r="AB2" s="18">
        <v>0</v>
      </c>
      <c r="AC2" s="18">
        <v>0</v>
      </c>
      <c r="AD2" s="18">
        <v>0</v>
      </c>
      <c r="AE2" s="19">
        <v>2229</v>
      </c>
      <c r="AF2" s="19">
        <v>165980</v>
      </c>
      <c r="AG2" s="19">
        <v>67000</v>
      </c>
      <c r="AH2" s="18">
        <v>0</v>
      </c>
      <c r="AI2" s="18">
        <v>0</v>
      </c>
      <c r="AJ2" s="18">
        <v>0</v>
      </c>
      <c r="AK2" s="18">
        <v>35</v>
      </c>
      <c r="AL2" s="19">
        <v>1200</v>
      </c>
      <c r="AM2" s="19">
        <v>2500</v>
      </c>
      <c r="AN2" s="18">
        <v>0</v>
      </c>
      <c r="AO2" s="18">
        <v>0</v>
      </c>
      <c r="AP2" s="18">
        <v>0</v>
      </c>
      <c r="AQ2" s="19">
        <v>2584</v>
      </c>
      <c r="AR2" s="19">
        <v>251800</v>
      </c>
      <c r="AS2" s="19">
        <v>6600</v>
      </c>
      <c r="AT2" s="18">
        <v>0</v>
      </c>
      <c r="AU2" s="18">
        <v>0</v>
      </c>
      <c r="AV2" s="18">
        <v>0</v>
      </c>
      <c r="AW2" s="18">
        <v>685</v>
      </c>
      <c r="AX2" s="19">
        <v>82245</v>
      </c>
      <c r="AY2" s="18">
        <v>0</v>
      </c>
      <c r="AZ2" s="18">
        <v>0</v>
      </c>
      <c r="BA2" s="18">
        <v>0</v>
      </c>
      <c r="BB2" s="18">
        <v>0</v>
      </c>
      <c r="BC2" s="19">
        <v>9735</v>
      </c>
      <c r="BD2" s="19">
        <v>1165800</v>
      </c>
      <c r="BE2" s="19">
        <v>2000</v>
      </c>
      <c r="BF2" s="18">
        <v>0</v>
      </c>
      <c r="BG2" s="18">
        <v>0</v>
      </c>
      <c r="BH2" s="18">
        <v>0</v>
      </c>
      <c r="BI2" s="18">
        <v>42</v>
      </c>
      <c r="BJ2" s="19">
        <v>5040</v>
      </c>
      <c r="BK2" s="18">
        <v>0</v>
      </c>
      <c r="BL2" s="20">
        <v>78784.5</v>
      </c>
      <c r="BM2" s="21">
        <v>1750165</v>
      </c>
      <c r="BN2" s="14">
        <f>BM2-BL2</f>
        <v>1671380.5</v>
      </c>
      <c r="BO2" s="14">
        <f>BN2*0.7</f>
        <v>1169966.3499999999</v>
      </c>
    </row>
    <row r="3" spans="1:69" ht="24" x14ac:dyDescent="0.3">
      <c r="A3" s="5" t="s">
        <v>217</v>
      </c>
      <c r="B3" s="16" t="s">
        <v>15</v>
      </c>
      <c r="C3" s="16">
        <v>465998</v>
      </c>
      <c r="D3" s="17"/>
      <c r="E3" s="16" t="s">
        <v>16</v>
      </c>
      <c r="F3" s="16" t="s">
        <v>17</v>
      </c>
      <c r="G3" s="16" t="s">
        <v>18</v>
      </c>
      <c r="H3" s="18" t="s">
        <v>10</v>
      </c>
      <c r="I3" s="18" t="s">
        <v>19</v>
      </c>
      <c r="J3" s="18">
        <v>0</v>
      </c>
      <c r="K3" s="18">
        <v>0</v>
      </c>
      <c r="L3" s="18">
        <v>0</v>
      </c>
      <c r="M3" s="18">
        <v>0</v>
      </c>
      <c r="N3" s="18">
        <v>0</v>
      </c>
      <c r="O3" s="18">
        <v>0</v>
      </c>
      <c r="P3" s="18">
        <v>0</v>
      </c>
      <c r="Q3" s="18">
        <v>0</v>
      </c>
      <c r="R3" s="18">
        <v>0</v>
      </c>
      <c r="S3" s="18">
        <v>0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8">
        <v>0</v>
      </c>
      <c r="Z3" s="18">
        <v>0</v>
      </c>
      <c r="AA3" s="18">
        <v>0</v>
      </c>
      <c r="AB3" s="18">
        <v>51</v>
      </c>
      <c r="AC3" s="19">
        <v>45600</v>
      </c>
      <c r="AD3" s="19">
        <v>5600</v>
      </c>
      <c r="AE3" s="18">
        <v>36</v>
      </c>
      <c r="AF3" s="19">
        <v>72000</v>
      </c>
      <c r="AG3" s="18">
        <v>0</v>
      </c>
      <c r="AH3" s="18">
        <v>0</v>
      </c>
      <c r="AI3" s="18">
        <v>0</v>
      </c>
      <c r="AJ3" s="18">
        <v>0</v>
      </c>
      <c r="AK3" s="18">
        <v>0</v>
      </c>
      <c r="AL3" s="18">
        <v>0</v>
      </c>
      <c r="AM3" s="18">
        <v>0</v>
      </c>
      <c r="AN3" s="18">
        <v>108</v>
      </c>
      <c r="AO3" s="19">
        <v>94000</v>
      </c>
      <c r="AP3" s="19">
        <v>1100</v>
      </c>
      <c r="AQ3" s="18">
        <v>6</v>
      </c>
      <c r="AR3" s="19">
        <v>9400</v>
      </c>
      <c r="AS3" s="18">
        <v>400</v>
      </c>
      <c r="AT3" s="18">
        <v>31</v>
      </c>
      <c r="AU3" s="19">
        <v>32760</v>
      </c>
      <c r="AV3" s="18">
        <v>0</v>
      </c>
      <c r="AW3" s="18">
        <v>0</v>
      </c>
      <c r="AX3" s="18">
        <v>0</v>
      </c>
      <c r="AY3" s="18">
        <v>0</v>
      </c>
      <c r="AZ3" s="18">
        <v>127</v>
      </c>
      <c r="BA3" s="19">
        <v>133800</v>
      </c>
      <c r="BB3" s="18">
        <v>0</v>
      </c>
      <c r="BC3" s="18">
        <v>45</v>
      </c>
      <c r="BD3" s="19">
        <v>105840</v>
      </c>
      <c r="BE3" s="18">
        <v>0</v>
      </c>
      <c r="BF3" s="18">
        <v>0</v>
      </c>
      <c r="BG3" s="18">
        <v>0</v>
      </c>
      <c r="BH3" s="18">
        <v>0</v>
      </c>
      <c r="BI3" s="18">
        <v>0</v>
      </c>
      <c r="BJ3" s="18">
        <v>0</v>
      </c>
      <c r="BK3" s="18">
        <v>0</v>
      </c>
      <c r="BL3" s="20">
        <v>17654.400000000001</v>
      </c>
      <c r="BM3" s="21">
        <v>500500</v>
      </c>
      <c r="BN3" s="14">
        <f t="shared" ref="BN3:BN66" si="0">BM3-BL3</f>
        <v>482845.6</v>
      </c>
      <c r="BO3" s="14">
        <f t="shared" ref="BO3:BO66" si="1">BN3*0.7</f>
        <v>337991.92</v>
      </c>
    </row>
    <row r="4" spans="1:69" ht="24" x14ac:dyDescent="0.3">
      <c r="A4" s="5" t="s">
        <v>217</v>
      </c>
      <c r="B4" s="16" t="s">
        <v>151</v>
      </c>
      <c r="C4" s="16">
        <v>469971</v>
      </c>
      <c r="D4" s="17"/>
      <c r="E4" s="16" t="s">
        <v>16</v>
      </c>
      <c r="F4" s="16" t="s">
        <v>141</v>
      </c>
      <c r="G4" s="16" t="s">
        <v>69</v>
      </c>
      <c r="H4" s="18" t="s">
        <v>7</v>
      </c>
      <c r="I4" s="18" t="s">
        <v>325</v>
      </c>
      <c r="J4" s="18">
        <v>0</v>
      </c>
      <c r="K4" s="19">
        <v>2222</v>
      </c>
      <c r="L4" s="18">
        <v>0</v>
      </c>
      <c r="M4" s="18">
        <v>0</v>
      </c>
      <c r="N4" s="18">
        <v>0</v>
      </c>
      <c r="O4" s="18">
        <v>0</v>
      </c>
      <c r="P4" s="18">
        <v>0</v>
      </c>
      <c r="Q4" s="18">
        <v>0</v>
      </c>
      <c r="R4" s="18">
        <v>0</v>
      </c>
      <c r="S4" s="18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8">
        <v>0</v>
      </c>
      <c r="AE4" s="19">
        <v>1448</v>
      </c>
      <c r="AF4" s="19">
        <v>106300</v>
      </c>
      <c r="AG4" s="19">
        <v>41500</v>
      </c>
      <c r="AH4" s="18">
        <v>0</v>
      </c>
      <c r="AI4" s="18">
        <v>0</v>
      </c>
      <c r="AJ4" s="18">
        <v>0</v>
      </c>
      <c r="AK4" s="18">
        <v>1</v>
      </c>
      <c r="AL4" s="18">
        <v>120</v>
      </c>
      <c r="AM4" s="18">
        <v>0</v>
      </c>
      <c r="AN4" s="18">
        <v>0</v>
      </c>
      <c r="AO4" s="18">
        <v>0</v>
      </c>
      <c r="AP4" s="18">
        <v>0</v>
      </c>
      <c r="AQ4" s="18">
        <v>581</v>
      </c>
      <c r="AR4" s="19">
        <v>57600</v>
      </c>
      <c r="AS4" s="18">
        <v>500</v>
      </c>
      <c r="AT4" s="18">
        <v>0</v>
      </c>
      <c r="AU4" s="18">
        <v>0</v>
      </c>
      <c r="AV4" s="18">
        <v>0</v>
      </c>
      <c r="AW4" s="18">
        <v>668</v>
      </c>
      <c r="AX4" s="19">
        <v>80160</v>
      </c>
      <c r="AY4" s="18">
        <v>0</v>
      </c>
      <c r="AZ4" s="18">
        <v>0</v>
      </c>
      <c r="BA4" s="18">
        <v>0</v>
      </c>
      <c r="BB4" s="18">
        <v>0</v>
      </c>
      <c r="BC4" s="19">
        <v>1022</v>
      </c>
      <c r="BD4" s="19">
        <v>122640</v>
      </c>
      <c r="BE4" s="18">
        <v>0</v>
      </c>
      <c r="BF4" s="18">
        <v>0</v>
      </c>
      <c r="BG4" s="18">
        <v>0</v>
      </c>
      <c r="BH4" s="18">
        <v>0</v>
      </c>
      <c r="BI4" s="18">
        <v>0</v>
      </c>
      <c r="BJ4" s="18">
        <v>0</v>
      </c>
      <c r="BK4" s="18">
        <v>0</v>
      </c>
      <c r="BL4" s="20">
        <v>15410.4</v>
      </c>
      <c r="BM4" s="21">
        <v>408820</v>
      </c>
      <c r="BN4" s="14">
        <f t="shared" si="0"/>
        <v>393409.6</v>
      </c>
      <c r="BO4" s="14">
        <f t="shared" si="1"/>
        <v>275386.71999999997</v>
      </c>
    </row>
    <row r="5" spans="1:69" ht="24" x14ac:dyDescent="0.3">
      <c r="A5" s="5" t="s">
        <v>217</v>
      </c>
      <c r="B5" s="16" t="s">
        <v>129</v>
      </c>
      <c r="C5" s="16">
        <v>408838</v>
      </c>
      <c r="D5" s="17"/>
      <c r="E5" s="16" t="s">
        <v>16</v>
      </c>
      <c r="F5" s="16" t="s">
        <v>52</v>
      </c>
      <c r="G5" s="16" t="s">
        <v>18</v>
      </c>
      <c r="H5" s="18" t="s">
        <v>7</v>
      </c>
      <c r="I5" s="18" t="s">
        <v>267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77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685</v>
      </c>
      <c r="AF5" s="19">
        <v>63440</v>
      </c>
      <c r="AG5" s="19">
        <v>9300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273</v>
      </c>
      <c r="AR5" s="19">
        <v>27100</v>
      </c>
      <c r="AS5" s="18">
        <v>200</v>
      </c>
      <c r="AT5" s="18">
        <v>0</v>
      </c>
      <c r="AU5" s="18">
        <v>0</v>
      </c>
      <c r="AV5" s="18">
        <v>0</v>
      </c>
      <c r="AW5" s="18">
        <v>218</v>
      </c>
      <c r="AX5" s="19">
        <v>26208</v>
      </c>
      <c r="AY5" s="18">
        <v>0</v>
      </c>
      <c r="AZ5" s="18">
        <v>0</v>
      </c>
      <c r="BA5" s="18">
        <v>0</v>
      </c>
      <c r="BB5" s="18">
        <v>0</v>
      </c>
      <c r="BC5" s="19">
        <v>1829</v>
      </c>
      <c r="BD5" s="19">
        <v>219480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20">
        <v>15789.6</v>
      </c>
      <c r="BM5" s="21">
        <v>345728</v>
      </c>
      <c r="BN5" s="14">
        <f t="shared" si="0"/>
        <v>329938.40000000002</v>
      </c>
      <c r="BO5" s="14">
        <f t="shared" si="1"/>
        <v>230956.88</v>
      </c>
    </row>
    <row r="6" spans="1:69" ht="24" x14ac:dyDescent="0.3">
      <c r="A6" s="5" t="s">
        <v>217</v>
      </c>
      <c r="B6" s="16" t="s">
        <v>244</v>
      </c>
      <c r="C6" s="16">
        <v>408846</v>
      </c>
      <c r="D6" s="17"/>
      <c r="E6" s="16" t="s">
        <v>16</v>
      </c>
      <c r="F6" s="16" t="s">
        <v>52</v>
      </c>
      <c r="G6" s="16" t="s">
        <v>18</v>
      </c>
      <c r="H6" s="18" t="s">
        <v>7</v>
      </c>
      <c r="I6" s="18" t="s">
        <v>245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21</v>
      </c>
      <c r="AC6" s="19">
        <v>14320</v>
      </c>
      <c r="AD6" s="19">
        <v>5400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40</v>
      </c>
      <c r="AO6" s="19">
        <v>35600</v>
      </c>
      <c r="AP6" s="18">
        <v>400</v>
      </c>
      <c r="AQ6" s="18">
        <v>0</v>
      </c>
      <c r="AR6" s="18">
        <v>0</v>
      </c>
      <c r="AS6" s="18">
        <v>0</v>
      </c>
      <c r="AT6" s="18">
        <v>1</v>
      </c>
      <c r="AU6" s="19">
        <v>1080</v>
      </c>
      <c r="AV6" s="18">
        <v>0</v>
      </c>
      <c r="AW6" s="18">
        <v>1</v>
      </c>
      <c r="AX6" s="19">
        <v>3000</v>
      </c>
      <c r="AY6" s="18">
        <v>0</v>
      </c>
      <c r="AZ6" s="18">
        <v>75</v>
      </c>
      <c r="BA6" s="19">
        <v>80880</v>
      </c>
      <c r="BB6" s="18">
        <v>0</v>
      </c>
      <c r="BC6" s="18">
        <v>1</v>
      </c>
      <c r="BD6" s="19">
        <v>3000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20">
        <v>5440.8</v>
      </c>
      <c r="BM6" s="21">
        <v>143680</v>
      </c>
      <c r="BN6" s="14">
        <f t="shared" si="0"/>
        <v>138239.20000000001</v>
      </c>
      <c r="BO6" s="14">
        <f t="shared" si="1"/>
        <v>96767.44</v>
      </c>
    </row>
    <row r="7" spans="1:69" ht="24" x14ac:dyDescent="0.3">
      <c r="A7" s="5" t="s">
        <v>216</v>
      </c>
      <c r="B7" s="16" t="s">
        <v>61</v>
      </c>
      <c r="C7" s="16">
        <v>369060</v>
      </c>
      <c r="D7" s="17"/>
      <c r="E7" s="16" t="s">
        <v>16</v>
      </c>
      <c r="F7" s="16" t="s">
        <v>49</v>
      </c>
      <c r="G7" s="16" t="s">
        <v>18</v>
      </c>
      <c r="H7" s="18" t="s">
        <v>7</v>
      </c>
      <c r="I7" s="18" t="s">
        <v>62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62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37</v>
      </c>
      <c r="AF7" s="18">
        <v>0</v>
      </c>
      <c r="AG7" s="19">
        <v>3700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932</v>
      </c>
      <c r="AR7" s="19">
        <v>91100</v>
      </c>
      <c r="AS7" s="19">
        <v>2100</v>
      </c>
      <c r="AT7" s="18">
        <v>0</v>
      </c>
      <c r="AU7" s="18">
        <v>0</v>
      </c>
      <c r="AV7" s="18">
        <v>0</v>
      </c>
      <c r="AW7" s="18">
        <v>237</v>
      </c>
      <c r="AX7" s="19">
        <v>28440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20">
        <v>2844</v>
      </c>
      <c r="BM7" s="21">
        <v>125340</v>
      </c>
      <c r="BN7" s="14">
        <f t="shared" si="0"/>
        <v>122496</v>
      </c>
      <c r="BO7" s="14">
        <f t="shared" si="1"/>
        <v>85747.199999999997</v>
      </c>
    </row>
    <row r="8" spans="1:69" ht="24" x14ac:dyDescent="0.3">
      <c r="A8" s="5" t="s">
        <v>216</v>
      </c>
      <c r="B8" s="16" t="s">
        <v>119</v>
      </c>
      <c r="C8" s="16">
        <v>367415</v>
      </c>
      <c r="D8" s="17"/>
      <c r="E8" s="16" t="s">
        <v>16</v>
      </c>
      <c r="F8" s="16" t="s">
        <v>49</v>
      </c>
      <c r="G8" s="16" t="s">
        <v>18</v>
      </c>
      <c r="H8" s="18" t="s">
        <v>7</v>
      </c>
      <c r="I8" s="18" t="s">
        <v>120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5</v>
      </c>
      <c r="T8" s="18">
        <v>63</v>
      </c>
      <c r="U8" s="18">
        <v>0</v>
      </c>
      <c r="V8" s="18">
        <v>500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489</v>
      </c>
      <c r="AF8" s="19">
        <v>47900</v>
      </c>
      <c r="AG8" s="19">
        <v>1000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323</v>
      </c>
      <c r="AR8" s="19">
        <v>31700</v>
      </c>
      <c r="AS8" s="18">
        <v>600</v>
      </c>
      <c r="AT8" s="18">
        <v>0</v>
      </c>
      <c r="AU8" s="18">
        <v>0</v>
      </c>
      <c r="AV8" s="18">
        <v>0</v>
      </c>
      <c r="AW8" s="18">
        <v>198</v>
      </c>
      <c r="AX8" s="19">
        <v>23760</v>
      </c>
      <c r="AY8" s="18">
        <v>0</v>
      </c>
      <c r="AZ8" s="18">
        <v>0</v>
      </c>
      <c r="BA8" s="18">
        <v>0</v>
      </c>
      <c r="BB8" s="18">
        <v>0</v>
      </c>
      <c r="BC8" s="18">
        <v>141</v>
      </c>
      <c r="BD8" s="19">
        <v>16920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20">
        <v>3391.2</v>
      </c>
      <c r="BM8" s="21">
        <v>122380</v>
      </c>
      <c r="BN8" s="14">
        <f t="shared" si="0"/>
        <v>118988.8</v>
      </c>
      <c r="BO8" s="14">
        <f t="shared" si="1"/>
        <v>83292.160000000003</v>
      </c>
    </row>
    <row r="9" spans="1:69" ht="24" x14ac:dyDescent="0.3">
      <c r="A9" s="5" t="s">
        <v>216</v>
      </c>
      <c r="B9" s="16" t="s">
        <v>107</v>
      </c>
      <c r="C9" s="16">
        <v>448030</v>
      </c>
      <c r="D9" s="17"/>
      <c r="E9" s="16" t="s">
        <v>16</v>
      </c>
      <c r="F9" s="16" t="s">
        <v>108</v>
      </c>
      <c r="G9" s="16" t="s">
        <v>56</v>
      </c>
      <c r="H9" s="18" t="s">
        <v>8</v>
      </c>
      <c r="I9" s="18" t="s">
        <v>109</v>
      </c>
      <c r="J9" s="18">
        <v>0</v>
      </c>
      <c r="K9" s="19">
        <v>1127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257</v>
      </c>
      <c r="AF9" s="19">
        <v>18440</v>
      </c>
      <c r="AG9" s="19">
        <v>7300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219</v>
      </c>
      <c r="AR9" s="19">
        <v>21900</v>
      </c>
      <c r="AS9" s="18">
        <v>0</v>
      </c>
      <c r="AT9" s="18">
        <v>0</v>
      </c>
      <c r="AU9" s="18">
        <v>0</v>
      </c>
      <c r="AV9" s="18">
        <v>0</v>
      </c>
      <c r="AW9" s="18">
        <v>83</v>
      </c>
      <c r="AX9" s="19">
        <v>9960</v>
      </c>
      <c r="AY9" s="18">
        <v>0</v>
      </c>
      <c r="AZ9" s="18">
        <v>0</v>
      </c>
      <c r="BA9" s="18">
        <v>0</v>
      </c>
      <c r="BB9" s="18">
        <v>0</v>
      </c>
      <c r="BC9" s="18">
        <v>526</v>
      </c>
      <c r="BD9" s="19">
        <v>63120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20">
        <v>4783.2</v>
      </c>
      <c r="BM9" s="21">
        <v>120720</v>
      </c>
      <c r="BN9" s="14">
        <f t="shared" si="0"/>
        <v>115936.8</v>
      </c>
      <c r="BO9" s="14">
        <f t="shared" si="1"/>
        <v>81155.759999999995</v>
      </c>
    </row>
    <row r="10" spans="1:69" ht="24" x14ac:dyDescent="0.3">
      <c r="A10" s="5" t="s">
        <v>216</v>
      </c>
      <c r="B10" s="16" t="s">
        <v>130</v>
      </c>
      <c r="C10" s="16">
        <v>408836</v>
      </c>
      <c r="D10" s="17"/>
      <c r="E10" s="16" t="s">
        <v>16</v>
      </c>
      <c r="F10" s="16" t="s">
        <v>52</v>
      </c>
      <c r="G10" s="16" t="s">
        <v>18</v>
      </c>
      <c r="H10" s="18" t="s">
        <v>7</v>
      </c>
      <c r="I10" s="18" t="s">
        <v>131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33</v>
      </c>
      <c r="AC10" s="19">
        <v>17640</v>
      </c>
      <c r="AD10" s="19">
        <v>5600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10</v>
      </c>
      <c r="AO10" s="19">
        <v>5800</v>
      </c>
      <c r="AP10" s="18">
        <v>600</v>
      </c>
      <c r="AQ10" s="18">
        <v>0</v>
      </c>
      <c r="AR10" s="18">
        <v>0</v>
      </c>
      <c r="AS10" s="18">
        <v>0</v>
      </c>
      <c r="AT10" s="18">
        <v>20</v>
      </c>
      <c r="AU10" s="19">
        <v>16800</v>
      </c>
      <c r="AV10" s="18">
        <v>0</v>
      </c>
      <c r="AW10" s="18">
        <v>0</v>
      </c>
      <c r="AX10" s="18">
        <v>0</v>
      </c>
      <c r="AY10" s="18">
        <v>0</v>
      </c>
      <c r="AZ10" s="18">
        <v>77</v>
      </c>
      <c r="BA10" s="19">
        <v>63720</v>
      </c>
      <c r="BB10" s="18">
        <v>0</v>
      </c>
      <c r="BC10" s="18">
        <v>1</v>
      </c>
      <c r="BD10" s="19">
        <v>2400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20">
        <v>5647.2</v>
      </c>
      <c r="BM10" s="21">
        <v>112560</v>
      </c>
      <c r="BN10" s="14">
        <f t="shared" si="0"/>
        <v>106912.8</v>
      </c>
      <c r="BO10" s="14">
        <f t="shared" si="1"/>
        <v>74838.959999999992</v>
      </c>
    </row>
    <row r="11" spans="1:69" ht="24" x14ac:dyDescent="0.3">
      <c r="A11" s="5" t="s">
        <v>216</v>
      </c>
      <c r="B11" s="16" t="s">
        <v>48</v>
      </c>
      <c r="C11" s="16">
        <v>380954</v>
      </c>
      <c r="D11" s="17"/>
      <c r="E11" s="16" t="s">
        <v>16</v>
      </c>
      <c r="F11" s="16" t="s">
        <v>49</v>
      </c>
      <c r="G11" s="16" t="s">
        <v>18</v>
      </c>
      <c r="H11" s="18" t="s">
        <v>7</v>
      </c>
      <c r="I11" s="18" t="s">
        <v>50</v>
      </c>
      <c r="J11" s="18">
        <v>0</v>
      </c>
      <c r="K11" s="18">
        <v>1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11</v>
      </c>
      <c r="AC11" s="18">
        <v>0</v>
      </c>
      <c r="AD11" s="19">
        <v>9900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9</v>
      </c>
      <c r="AO11" s="19">
        <v>8100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68</v>
      </c>
      <c r="BA11" s="19">
        <v>73440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20">
        <v>4406.3999999999996</v>
      </c>
      <c r="BM11" s="21">
        <v>91440</v>
      </c>
      <c r="BN11" s="14">
        <f t="shared" si="0"/>
        <v>87033.600000000006</v>
      </c>
      <c r="BO11" s="14">
        <f t="shared" si="1"/>
        <v>60923.519999999997</v>
      </c>
    </row>
    <row r="12" spans="1:69" ht="24" x14ac:dyDescent="0.3">
      <c r="A12" s="5" t="s">
        <v>217</v>
      </c>
      <c r="B12" s="16" t="s">
        <v>21</v>
      </c>
      <c r="C12" s="16">
        <v>464786</v>
      </c>
      <c r="D12" s="17"/>
      <c r="E12" s="16" t="s">
        <v>16</v>
      </c>
      <c r="F12" s="16" t="s">
        <v>22</v>
      </c>
      <c r="G12" s="16" t="s">
        <v>23</v>
      </c>
      <c r="H12" s="18" t="s">
        <v>10</v>
      </c>
      <c r="I12" s="18" t="s">
        <v>24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10</v>
      </c>
      <c r="AF12" s="19">
        <v>4400</v>
      </c>
      <c r="AG12" s="19">
        <v>19800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2</v>
      </c>
      <c r="AR12" s="19">
        <v>5000</v>
      </c>
      <c r="AS12" s="18">
        <v>0</v>
      </c>
      <c r="AT12" s="18">
        <v>0</v>
      </c>
      <c r="AU12" s="18">
        <v>0</v>
      </c>
      <c r="AV12" s="18">
        <v>0</v>
      </c>
      <c r="AW12" s="18">
        <v>2</v>
      </c>
      <c r="AX12" s="19">
        <v>6000</v>
      </c>
      <c r="AY12" s="18">
        <v>0</v>
      </c>
      <c r="AZ12" s="18">
        <v>0</v>
      </c>
      <c r="BA12" s="18">
        <v>0</v>
      </c>
      <c r="BB12" s="18">
        <v>0</v>
      </c>
      <c r="BC12" s="18">
        <v>14</v>
      </c>
      <c r="BD12" s="19">
        <v>36960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20">
        <v>2817.6</v>
      </c>
      <c r="BM12" s="21">
        <v>72160</v>
      </c>
      <c r="BN12" s="14">
        <f t="shared" si="0"/>
        <v>69342.399999999994</v>
      </c>
      <c r="BO12" s="14">
        <f t="shared" si="1"/>
        <v>48539.679999999993</v>
      </c>
    </row>
    <row r="13" spans="1:69" ht="24" x14ac:dyDescent="0.3">
      <c r="A13" s="5" t="s">
        <v>216</v>
      </c>
      <c r="B13" s="16" t="s">
        <v>268</v>
      </c>
      <c r="C13" s="16">
        <v>483769</v>
      </c>
      <c r="D13" s="17"/>
      <c r="E13" s="16" t="s">
        <v>16</v>
      </c>
      <c r="F13" s="16" t="s">
        <v>269</v>
      </c>
      <c r="G13" s="16" t="s">
        <v>23</v>
      </c>
      <c r="H13" s="18" t="s">
        <v>8</v>
      </c>
      <c r="I13" s="18" t="s">
        <v>270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0</v>
      </c>
      <c r="Q13" s="18">
        <v>0</v>
      </c>
      <c r="R13" s="18">
        <v>0</v>
      </c>
      <c r="S13" s="18">
        <v>0</v>
      </c>
      <c r="T13" s="18">
        <v>0</v>
      </c>
      <c r="U13" s="18">
        <v>0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3</v>
      </c>
      <c r="AF13" s="19">
        <v>5000</v>
      </c>
      <c r="AG13" s="19">
        <v>2500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2</v>
      </c>
      <c r="AR13" s="19">
        <v>5000</v>
      </c>
      <c r="AS13" s="18">
        <v>0</v>
      </c>
      <c r="AT13" s="18">
        <v>0</v>
      </c>
      <c r="AU13" s="18">
        <v>0</v>
      </c>
      <c r="AV13" s="18">
        <v>0</v>
      </c>
      <c r="AW13" s="18">
        <v>1</v>
      </c>
      <c r="AX13" s="19">
        <v>3000</v>
      </c>
      <c r="AY13" s="18">
        <v>0</v>
      </c>
      <c r="AZ13" s="18">
        <v>0</v>
      </c>
      <c r="BA13" s="18">
        <v>0</v>
      </c>
      <c r="BB13" s="18">
        <v>0</v>
      </c>
      <c r="BC13" s="18">
        <v>17</v>
      </c>
      <c r="BD13" s="19">
        <v>51000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20">
        <v>3360</v>
      </c>
      <c r="BM13" s="21">
        <v>66500</v>
      </c>
      <c r="BN13" s="14">
        <f t="shared" si="0"/>
        <v>63140</v>
      </c>
      <c r="BO13" s="14">
        <f t="shared" si="1"/>
        <v>44198</v>
      </c>
    </row>
    <row r="14" spans="1:69" ht="24" x14ac:dyDescent="0.3">
      <c r="A14" s="5" t="s">
        <v>216</v>
      </c>
      <c r="B14" s="16" t="s">
        <v>326</v>
      </c>
      <c r="C14" s="16">
        <v>485979</v>
      </c>
      <c r="D14" s="17"/>
      <c r="E14" s="16" t="s">
        <v>16</v>
      </c>
      <c r="F14" s="16" t="s">
        <v>59</v>
      </c>
      <c r="G14" s="16" t="s">
        <v>23</v>
      </c>
      <c r="H14" s="18" t="s">
        <v>7</v>
      </c>
      <c r="I14" s="18" t="s">
        <v>327</v>
      </c>
      <c r="J14" s="18">
        <v>0</v>
      </c>
      <c r="K14" s="18">
        <v>0</v>
      </c>
      <c r="L14" s="18">
        <v>0</v>
      </c>
      <c r="M14" s="18">
        <v>0</v>
      </c>
      <c r="N14" s="18">
        <v>0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0</v>
      </c>
      <c r="Z14" s="18">
        <v>0</v>
      </c>
      <c r="AA14" s="18">
        <v>0</v>
      </c>
      <c r="AB14" s="18">
        <v>0</v>
      </c>
      <c r="AC14" s="18">
        <v>0</v>
      </c>
      <c r="AD14" s="18">
        <v>0</v>
      </c>
      <c r="AE14" s="18">
        <v>6</v>
      </c>
      <c r="AF14" s="19">
        <v>9600</v>
      </c>
      <c r="AG14" s="19">
        <v>9000</v>
      </c>
      <c r="AH14" s="18">
        <v>0</v>
      </c>
      <c r="AI14" s="18">
        <v>0</v>
      </c>
      <c r="AJ14" s="18">
        <v>0</v>
      </c>
      <c r="AK14" s="18">
        <v>0</v>
      </c>
      <c r="AL14" s="18">
        <v>0</v>
      </c>
      <c r="AM14" s="18">
        <v>0</v>
      </c>
      <c r="AN14" s="18">
        <v>0</v>
      </c>
      <c r="AO14" s="18">
        <v>0</v>
      </c>
      <c r="AP14" s="18">
        <v>0</v>
      </c>
      <c r="AQ14" s="18">
        <v>1</v>
      </c>
      <c r="AR14" s="19">
        <v>3000</v>
      </c>
      <c r="AS14" s="18">
        <v>0</v>
      </c>
      <c r="AT14" s="18">
        <v>0</v>
      </c>
      <c r="AU14" s="18">
        <v>0</v>
      </c>
      <c r="AV14" s="18">
        <v>0</v>
      </c>
      <c r="AW14" s="18">
        <v>1</v>
      </c>
      <c r="AX14" s="19">
        <v>3600</v>
      </c>
      <c r="AY14" s="18">
        <v>0</v>
      </c>
      <c r="AZ14" s="18">
        <v>0</v>
      </c>
      <c r="BA14" s="18">
        <v>0</v>
      </c>
      <c r="BB14" s="18">
        <v>0</v>
      </c>
      <c r="BC14" s="18">
        <v>10</v>
      </c>
      <c r="BD14" s="19">
        <v>36000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20">
        <v>2520</v>
      </c>
      <c r="BM14" s="21">
        <v>61200</v>
      </c>
      <c r="BN14" s="14">
        <f t="shared" si="0"/>
        <v>58680</v>
      </c>
      <c r="BO14" s="14">
        <f t="shared" si="1"/>
        <v>41076</v>
      </c>
    </row>
    <row r="15" spans="1:69" ht="24" x14ac:dyDescent="0.3">
      <c r="A15" s="5" t="s">
        <v>217</v>
      </c>
      <c r="B15" s="16" t="s">
        <v>33</v>
      </c>
      <c r="C15" s="16">
        <v>395341</v>
      </c>
      <c r="D15" s="17"/>
      <c r="E15" s="16" t="s">
        <v>16</v>
      </c>
      <c r="F15" s="16" t="s">
        <v>34</v>
      </c>
      <c r="G15" s="16" t="s">
        <v>35</v>
      </c>
      <c r="H15" s="18" t="s">
        <v>8</v>
      </c>
      <c r="I15" s="18" t="s">
        <v>36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0</v>
      </c>
      <c r="AE15" s="18">
        <v>177</v>
      </c>
      <c r="AF15" s="19">
        <v>11200</v>
      </c>
      <c r="AG15" s="19">
        <v>6500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72</v>
      </c>
      <c r="AR15" s="19">
        <v>7000</v>
      </c>
      <c r="AS15" s="18">
        <v>200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261</v>
      </c>
      <c r="BD15" s="19">
        <v>31320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20">
        <v>1879.2</v>
      </c>
      <c r="BM15" s="21">
        <v>56220</v>
      </c>
      <c r="BN15" s="14">
        <f t="shared" si="0"/>
        <v>54340.800000000003</v>
      </c>
      <c r="BO15" s="14">
        <f t="shared" si="1"/>
        <v>38038.559999999998</v>
      </c>
    </row>
    <row r="16" spans="1:69" ht="24" x14ac:dyDescent="0.3">
      <c r="A16" s="5" t="s">
        <v>222</v>
      </c>
      <c r="B16" s="16" t="s">
        <v>77</v>
      </c>
      <c r="C16" s="16">
        <v>379289</v>
      </c>
      <c r="D16" s="17"/>
      <c r="E16" s="16" t="s">
        <v>16</v>
      </c>
      <c r="F16" s="16" t="s">
        <v>52</v>
      </c>
      <c r="G16" s="16" t="s">
        <v>18</v>
      </c>
      <c r="H16" s="18" t="s">
        <v>7</v>
      </c>
      <c r="I16" s="18" t="s">
        <v>78</v>
      </c>
      <c r="J16" s="18">
        <v>0</v>
      </c>
      <c r="K16" s="18">
        <v>2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5</v>
      </c>
      <c r="AC16" s="19">
        <v>4320</v>
      </c>
      <c r="AD16" s="18">
        <v>200</v>
      </c>
      <c r="AE16" s="18">
        <v>4</v>
      </c>
      <c r="AF16" s="19">
        <v>10000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8</v>
      </c>
      <c r="AO16" s="19">
        <v>7000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31</v>
      </c>
      <c r="BA16" s="19">
        <v>33480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20">
        <v>2008.8</v>
      </c>
      <c r="BM16" s="21">
        <v>55000</v>
      </c>
      <c r="BN16" s="14">
        <f t="shared" si="0"/>
        <v>52991.199999999997</v>
      </c>
      <c r="BO16" s="14">
        <f t="shared" si="1"/>
        <v>37093.839999999997</v>
      </c>
    </row>
    <row r="17" spans="1:67" ht="24" x14ac:dyDescent="0.3">
      <c r="A17" s="5" t="s">
        <v>216</v>
      </c>
      <c r="B17" s="16" t="s">
        <v>43</v>
      </c>
      <c r="C17" s="16">
        <v>372841</v>
      </c>
      <c r="D17" s="17"/>
      <c r="E17" s="16" t="s">
        <v>16</v>
      </c>
      <c r="F17" s="16" t="s">
        <v>44</v>
      </c>
      <c r="G17" s="16" t="s">
        <v>45</v>
      </c>
      <c r="H17" s="18" t="s">
        <v>8</v>
      </c>
      <c r="I17" s="18" t="s">
        <v>46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228</v>
      </c>
      <c r="AF17" s="19">
        <v>24600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182</v>
      </c>
      <c r="BD17" s="19">
        <v>21840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20">
        <v>1310.4000000000001</v>
      </c>
      <c r="BM17" s="21">
        <v>46440</v>
      </c>
      <c r="BN17" s="14">
        <f t="shared" si="0"/>
        <v>45129.599999999999</v>
      </c>
      <c r="BO17" s="14">
        <f t="shared" si="1"/>
        <v>31590.719999999998</v>
      </c>
    </row>
    <row r="18" spans="1:67" ht="24" x14ac:dyDescent="0.3">
      <c r="A18" s="5" t="s">
        <v>216</v>
      </c>
      <c r="B18" s="16" t="s">
        <v>58</v>
      </c>
      <c r="C18" s="16">
        <v>468582</v>
      </c>
      <c r="D18" s="17"/>
      <c r="E18" s="16" t="s">
        <v>16</v>
      </c>
      <c r="F18" s="16" t="s">
        <v>59</v>
      </c>
      <c r="G18" s="16" t="s">
        <v>23</v>
      </c>
      <c r="H18" s="18" t="s">
        <v>10</v>
      </c>
      <c r="I18" s="18" t="s">
        <v>60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4</v>
      </c>
      <c r="AF18" s="19">
        <v>1200</v>
      </c>
      <c r="AG18" s="19">
        <v>8800</v>
      </c>
      <c r="AH18" s="18">
        <v>0</v>
      </c>
      <c r="AI18" s="18">
        <v>0</v>
      </c>
      <c r="AJ18" s="18">
        <v>0</v>
      </c>
      <c r="AK18" s="18">
        <v>1</v>
      </c>
      <c r="AL18" s="19">
        <v>3000</v>
      </c>
      <c r="AM18" s="18">
        <v>0</v>
      </c>
      <c r="AN18" s="18">
        <v>0</v>
      </c>
      <c r="AO18" s="18">
        <v>0</v>
      </c>
      <c r="AP18" s="18">
        <v>0</v>
      </c>
      <c r="AQ18" s="18">
        <v>2</v>
      </c>
      <c r="AR18" s="19">
        <v>5000</v>
      </c>
      <c r="AS18" s="18">
        <v>0</v>
      </c>
      <c r="AT18" s="18">
        <v>0</v>
      </c>
      <c r="AU18" s="18">
        <v>0</v>
      </c>
      <c r="AV18" s="18">
        <v>0</v>
      </c>
      <c r="AW18" s="18">
        <v>2</v>
      </c>
      <c r="AX18" s="19">
        <v>6000</v>
      </c>
      <c r="AY18" s="18">
        <v>0</v>
      </c>
      <c r="AZ18" s="18">
        <v>0</v>
      </c>
      <c r="BA18" s="18">
        <v>0</v>
      </c>
      <c r="BB18" s="18">
        <v>0</v>
      </c>
      <c r="BC18" s="18">
        <v>7</v>
      </c>
      <c r="BD18" s="19">
        <v>21000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20">
        <v>2760</v>
      </c>
      <c r="BM18" s="21">
        <v>45000</v>
      </c>
      <c r="BN18" s="14">
        <f t="shared" si="0"/>
        <v>42240</v>
      </c>
      <c r="BO18" s="14">
        <f t="shared" si="1"/>
        <v>29567.999999999996</v>
      </c>
    </row>
    <row r="19" spans="1:67" ht="24" x14ac:dyDescent="0.3">
      <c r="A19" s="5" t="s">
        <v>216</v>
      </c>
      <c r="B19" s="16" t="s">
        <v>37</v>
      </c>
      <c r="C19" s="16">
        <v>354950</v>
      </c>
      <c r="D19" s="17" t="s">
        <v>38</v>
      </c>
      <c r="E19" s="16" t="s">
        <v>16</v>
      </c>
      <c r="F19" s="16" t="s">
        <v>17</v>
      </c>
      <c r="G19" s="16" t="s">
        <v>18</v>
      </c>
      <c r="H19" s="18" t="s">
        <v>7</v>
      </c>
      <c r="I19" s="18" t="s">
        <v>39</v>
      </c>
      <c r="J19" s="18">
        <v>0</v>
      </c>
      <c r="K19" s="18">
        <v>26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23</v>
      </c>
      <c r="T19" s="18">
        <v>51</v>
      </c>
      <c r="U19" s="18">
        <v>0</v>
      </c>
      <c r="V19" s="18">
        <v>0</v>
      </c>
      <c r="W19" s="19">
        <v>2300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242</v>
      </c>
      <c r="AR19" s="19">
        <v>22800</v>
      </c>
      <c r="AS19" s="19">
        <v>1400</v>
      </c>
      <c r="AT19" s="18">
        <v>0</v>
      </c>
      <c r="AU19" s="18">
        <v>0</v>
      </c>
      <c r="AV19" s="18">
        <v>0</v>
      </c>
      <c r="AW19" s="18">
        <v>68</v>
      </c>
      <c r="AX19" s="19">
        <v>8160</v>
      </c>
      <c r="AY19" s="18">
        <v>0</v>
      </c>
      <c r="AZ19" s="18">
        <v>0</v>
      </c>
      <c r="BA19" s="18">
        <v>0</v>
      </c>
      <c r="BB19" s="18">
        <v>0</v>
      </c>
      <c r="BC19" s="18">
        <v>34</v>
      </c>
      <c r="BD19" s="19">
        <v>4080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20">
        <v>1060.8</v>
      </c>
      <c r="BM19" s="21">
        <v>38740</v>
      </c>
      <c r="BN19" s="14">
        <f t="shared" si="0"/>
        <v>37679.199999999997</v>
      </c>
      <c r="BO19" s="14">
        <f t="shared" si="1"/>
        <v>26375.439999999995</v>
      </c>
    </row>
    <row r="20" spans="1:67" ht="24" x14ac:dyDescent="0.3">
      <c r="A20" s="5" t="s">
        <v>216</v>
      </c>
      <c r="B20" s="16" t="s">
        <v>29</v>
      </c>
      <c r="C20" s="16">
        <v>368432</v>
      </c>
      <c r="D20" s="17"/>
      <c r="E20" s="16" t="s">
        <v>16</v>
      </c>
      <c r="F20" s="16" t="s">
        <v>30</v>
      </c>
      <c r="G20" s="16" t="s">
        <v>31</v>
      </c>
      <c r="H20" s="18" t="s">
        <v>8</v>
      </c>
      <c r="I20" s="18" t="s">
        <v>32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88</v>
      </c>
      <c r="AF20" s="19">
        <v>4900</v>
      </c>
      <c r="AG20" s="19">
        <v>4000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23</v>
      </c>
      <c r="AR20" s="19">
        <v>2100</v>
      </c>
      <c r="AS20" s="18">
        <v>200</v>
      </c>
      <c r="AT20" s="18">
        <v>0</v>
      </c>
      <c r="AU20" s="18">
        <v>0</v>
      </c>
      <c r="AV20" s="18">
        <v>0</v>
      </c>
      <c r="AW20" s="18">
        <v>13</v>
      </c>
      <c r="AX20" s="19">
        <v>1560</v>
      </c>
      <c r="AY20" s="18">
        <v>0</v>
      </c>
      <c r="AZ20" s="18">
        <v>0</v>
      </c>
      <c r="BA20" s="18">
        <v>0</v>
      </c>
      <c r="BB20" s="18">
        <v>0</v>
      </c>
      <c r="BC20" s="18">
        <v>181</v>
      </c>
      <c r="BD20" s="19">
        <v>21720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20">
        <v>1459.2</v>
      </c>
      <c r="BM20" s="21">
        <v>34480</v>
      </c>
      <c r="BN20" s="14">
        <f t="shared" si="0"/>
        <v>33020.800000000003</v>
      </c>
      <c r="BO20" s="14">
        <f t="shared" si="1"/>
        <v>23114.560000000001</v>
      </c>
    </row>
    <row r="21" spans="1:67" ht="24" x14ac:dyDescent="0.3">
      <c r="A21" s="5" t="s">
        <v>216</v>
      </c>
      <c r="B21" s="16" t="s">
        <v>236</v>
      </c>
      <c r="C21" s="16">
        <v>445954</v>
      </c>
      <c r="D21" s="17"/>
      <c r="E21" s="16" t="s">
        <v>16</v>
      </c>
      <c r="F21" s="16" t="s">
        <v>108</v>
      </c>
      <c r="G21" s="16" t="s">
        <v>56</v>
      </c>
      <c r="H21" s="18" t="s">
        <v>8</v>
      </c>
      <c r="I21" s="18" t="s">
        <v>237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61</v>
      </c>
      <c r="AF21" s="18">
        <v>400</v>
      </c>
      <c r="AG21" s="19">
        <v>5700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2</v>
      </c>
      <c r="AR21" s="18">
        <v>200</v>
      </c>
      <c r="AS21" s="18">
        <v>0</v>
      </c>
      <c r="AT21" s="18">
        <v>0</v>
      </c>
      <c r="AU21" s="18">
        <v>0</v>
      </c>
      <c r="AV21" s="18">
        <v>0</v>
      </c>
      <c r="AW21" s="18">
        <v>38</v>
      </c>
      <c r="AX21" s="19">
        <v>4560</v>
      </c>
      <c r="AY21" s="18">
        <v>0</v>
      </c>
      <c r="AZ21" s="18">
        <v>0</v>
      </c>
      <c r="BA21" s="18">
        <v>0</v>
      </c>
      <c r="BB21" s="18">
        <v>0</v>
      </c>
      <c r="BC21" s="18">
        <v>161</v>
      </c>
      <c r="BD21" s="19">
        <v>19320</v>
      </c>
      <c r="BE21" s="18">
        <v>0</v>
      </c>
      <c r="BF21" s="18">
        <v>0</v>
      </c>
      <c r="BG21" s="18">
        <v>0</v>
      </c>
      <c r="BH21" s="18">
        <v>0</v>
      </c>
      <c r="BI21" s="18">
        <v>0</v>
      </c>
      <c r="BJ21" s="18">
        <v>0</v>
      </c>
      <c r="BK21" s="18">
        <v>0</v>
      </c>
      <c r="BL21" s="20">
        <v>1615.2</v>
      </c>
      <c r="BM21" s="21">
        <v>30180</v>
      </c>
      <c r="BN21" s="14">
        <f t="shared" si="0"/>
        <v>28564.799999999999</v>
      </c>
      <c r="BO21" s="14">
        <f t="shared" si="1"/>
        <v>19995.359999999997</v>
      </c>
    </row>
    <row r="22" spans="1:67" ht="24" x14ac:dyDescent="0.3">
      <c r="A22" s="5" t="s">
        <v>216</v>
      </c>
      <c r="B22" s="16" t="s">
        <v>223</v>
      </c>
      <c r="C22" s="16">
        <v>477493</v>
      </c>
      <c r="D22" s="17"/>
      <c r="E22" s="16" t="s">
        <v>16</v>
      </c>
      <c r="F22" s="16" t="s">
        <v>75</v>
      </c>
      <c r="G22" s="16" t="s">
        <v>23</v>
      </c>
      <c r="H22" s="18" t="s">
        <v>7</v>
      </c>
      <c r="I22" s="18" t="s">
        <v>224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1</v>
      </c>
      <c r="AF22" s="18">
        <v>0</v>
      </c>
      <c r="AG22" s="19">
        <v>2000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1</v>
      </c>
      <c r="AR22" s="19">
        <v>2000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10</v>
      </c>
      <c r="BD22" s="19">
        <v>24000</v>
      </c>
      <c r="BE22" s="18">
        <v>0</v>
      </c>
      <c r="BF22" s="18">
        <v>0</v>
      </c>
      <c r="BG22" s="18">
        <v>0</v>
      </c>
      <c r="BH22" s="18">
        <v>0</v>
      </c>
      <c r="BI22" s="18">
        <v>0</v>
      </c>
      <c r="BJ22" s="18">
        <v>0</v>
      </c>
      <c r="BK22" s="18">
        <v>0</v>
      </c>
      <c r="BL22" s="20">
        <v>1440</v>
      </c>
      <c r="BM22" s="21">
        <v>28000</v>
      </c>
      <c r="BN22" s="14">
        <f t="shared" si="0"/>
        <v>26560</v>
      </c>
      <c r="BO22" s="14">
        <f t="shared" si="1"/>
        <v>18592</v>
      </c>
    </row>
    <row r="23" spans="1:67" ht="24" x14ac:dyDescent="0.3">
      <c r="A23" s="5" t="s">
        <v>217</v>
      </c>
      <c r="B23" s="16" t="s">
        <v>40</v>
      </c>
      <c r="C23" s="16">
        <v>461432</v>
      </c>
      <c r="D23" s="17"/>
      <c r="E23" s="16" t="s">
        <v>16</v>
      </c>
      <c r="F23" s="16" t="s">
        <v>17</v>
      </c>
      <c r="G23" s="16" t="s">
        <v>18</v>
      </c>
      <c r="H23" s="18" t="s">
        <v>10</v>
      </c>
      <c r="I23" s="18" t="s">
        <v>41</v>
      </c>
      <c r="J23" s="18">
        <v>0</v>
      </c>
      <c r="K23" s="18">
        <v>0</v>
      </c>
      <c r="L23" s="18">
        <v>0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268</v>
      </c>
      <c r="AR23" s="19">
        <v>25900</v>
      </c>
      <c r="AS23" s="18">
        <v>900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21">
        <v>26800</v>
      </c>
      <c r="BN23" s="14">
        <f t="shared" si="0"/>
        <v>26800</v>
      </c>
      <c r="BO23" s="14">
        <f t="shared" si="1"/>
        <v>18760</v>
      </c>
    </row>
    <row r="24" spans="1:67" ht="24" x14ac:dyDescent="0.3">
      <c r="A24" s="5" t="s">
        <v>216</v>
      </c>
      <c r="B24" s="16" t="s">
        <v>218</v>
      </c>
      <c r="C24" s="16">
        <v>453656</v>
      </c>
      <c r="D24" s="17"/>
      <c r="E24" s="16" t="s">
        <v>16</v>
      </c>
      <c r="F24" s="16" t="s">
        <v>17</v>
      </c>
      <c r="G24" s="16" t="s">
        <v>18</v>
      </c>
      <c r="H24" s="18" t="s">
        <v>7</v>
      </c>
      <c r="I24" s="18" t="s">
        <v>219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6</v>
      </c>
      <c r="AC24" s="19">
        <v>6120</v>
      </c>
      <c r="AD24" s="18">
        <v>0</v>
      </c>
      <c r="AE24" s="18">
        <v>1</v>
      </c>
      <c r="AF24" s="19">
        <v>2000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17</v>
      </c>
      <c r="AO24" s="19">
        <v>15300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2</v>
      </c>
      <c r="BA24" s="19">
        <v>2160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129.6</v>
      </c>
      <c r="BM24" s="21">
        <v>25580</v>
      </c>
      <c r="BN24" s="14">
        <f t="shared" si="0"/>
        <v>25450.400000000001</v>
      </c>
      <c r="BO24" s="14">
        <f t="shared" si="1"/>
        <v>17815.28</v>
      </c>
    </row>
    <row r="25" spans="1:67" ht="24" x14ac:dyDescent="0.3">
      <c r="A25" s="5" t="s">
        <v>217</v>
      </c>
      <c r="B25" s="16" t="s">
        <v>113</v>
      </c>
      <c r="C25" s="16">
        <v>401407</v>
      </c>
      <c r="D25" s="17"/>
      <c r="E25" s="16" t="s">
        <v>16</v>
      </c>
      <c r="F25" s="16" t="s">
        <v>44</v>
      </c>
      <c r="G25" s="16" t="s">
        <v>35</v>
      </c>
      <c r="H25" s="18" t="s">
        <v>8</v>
      </c>
      <c r="I25" s="18" t="s">
        <v>114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166</v>
      </c>
      <c r="AF25" s="19">
        <v>12800</v>
      </c>
      <c r="AG25" s="19">
        <v>3800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44</v>
      </c>
      <c r="AX25" s="19">
        <v>5280</v>
      </c>
      <c r="AY25" s="18">
        <v>0</v>
      </c>
      <c r="AZ25" s="18">
        <v>0</v>
      </c>
      <c r="BA25" s="18">
        <v>0</v>
      </c>
      <c r="BB25" s="18">
        <v>0</v>
      </c>
      <c r="BC25" s="18">
        <v>1</v>
      </c>
      <c r="BD25" s="18">
        <v>120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535.20000000000005</v>
      </c>
      <c r="BM25" s="21">
        <v>22000</v>
      </c>
      <c r="BN25" s="14">
        <f t="shared" si="0"/>
        <v>21464.799999999999</v>
      </c>
      <c r="BO25" s="14">
        <f t="shared" si="1"/>
        <v>15025.359999999999</v>
      </c>
    </row>
    <row r="26" spans="1:67" ht="24" x14ac:dyDescent="0.3">
      <c r="A26" s="5" t="s">
        <v>216</v>
      </c>
      <c r="B26" s="16" t="s">
        <v>255</v>
      </c>
      <c r="C26" s="16">
        <v>397687</v>
      </c>
      <c r="D26" s="17"/>
      <c r="E26" s="16" t="s">
        <v>16</v>
      </c>
      <c r="F26" s="16" t="s">
        <v>52</v>
      </c>
      <c r="G26" s="16" t="s">
        <v>18</v>
      </c>
      <c r="H26" s="18" t="s">
        <v>7</v>
      </c>
      <c r="I26" s="18" t="s">
        <v>256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7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71</v>
      </c>
      <c r="AR26" s="19">
        <v>7100</v>
      </c>
      <c r="AS26" s="18">
        <v>0</v>
      </c>
      <c r="AT26" s="18">
        <v>0</v>
      </c>
      <c r="AU26" s="18">
        <v>0</v>
      </c>
      <c r="AV26" s="18">
        <v>0</v>
      </c>
      <c r="AW26" s="18">
        <v>19</v>
      </c>
      <c r="AX26" s="19">
        <v>2280</v>
      </c>
      <c r="AY26" s="18">
        <v>0</v>
      </c>
      <c r="AZ26" s="18">
        <v>0</v>
      </c>
      <c r="BA26" s="18">
        <v>0</v>
      </c>
      <c r="BB26" s="18">
        <v>0</v>
      </c>
      <c r="BC26" s="18">
        <v>77</v>
      </c>
      <c r="BD26" s="19">
        <v>9240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782.4</v>
      </c>
      <c r="BM26" s="21">
        <v>18620</v>
      </c>
      <c r="BN26" s="14">
        <f t="shared" si="0"/>
        <v>17837.599999999999</v>
      </c>
      <c r="BO26" s="14">
        <f t="shared" si="1"/>
        <v>12486.319999999998</v>
      </c>
    </row>
    <row r="27" spans="1:67" ht="24" x14ac:dyDescent="0.3">
      <c r="A27" s="5" t="s">
        <v>217</v>
      </c>
      <c r="B27" s="16" t="s">
        <v>101</v>
      </c>
      <c r="C27" s="16">
        <v>408833</v>
      </c>
      <c r="D27" s="17"/>
      <c r="E27" s="16" t="s">
        <v>16</v>
      </c>
      <c r="F27" s="16" t="s">
        <v>52</v>
      </c>
      <c r="G27" s="16" t="s">
        <v>18</v>
      </c>
      <c r="H27" s="18" t="s">
        <v>7</v>
      </c>
      <c r="I27" s="18" t="s">
        <v>102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7</v>
      </c>
      <c r="AC27" s="19">
        <v>7560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8</v>
      </c>
      <c r="BA27" s="19">
        <v>8640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518.4</v>
      </c>
      <c r="BM27" s="21">
        <v>16200</v>
      </c>
      <c r="BN27" s="14">
        <f t="shared" si="0"/>
        <v>15681.6</v>
      </c>
      <c r="BO27" s="14">
        <f t="shared" si="1"/>
        <v>10977.119999999999</v>
      </c>
    </row>
    <row r="28" spans="1:67" ht="24" x14ac:dyDescent="0.3">
      <c r="A28" s="5" t="s">
        <v>216</v>
      </c>
      <c r="B28" s="16" t="s">
        <v>123</v>
      </c>
      <c r="C28" s="16">
        <v>424315</v>
      </c>
      <c r="D28" s="17"/>
      <c r="E28" s="16" t="s">
        <v>16</v>
      </c>
      <c r="F28" s="16" t="s">
        <v>52</v>
      </c>
      <c r="G28" s="16" t="s">
        <v>18</v>
      </c>
      <c r="H28" s="18" t="s">
        <v>7</v>
      </c>
      <c r="I28" s="18" t="s">
        <v>124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1</v>
      </c>
      <c r="AC28" s="18">
        <v>0</v>
      </c>
      <c r="AD28" s="18">
        <v>400</v>
      </c>
      <c r="AE28" s="18">
        <v>1</v>
      </c>
      <c r="AF28" s="19">
        <v>3840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7</v>
      </c>
      <c r="BA28" s="19">
        <v>7080</v>
      </c>
      <c r="BB28" s="18">
        <v>0</v>
      </c>
      <c r="BC28" s="18">
        <v>1</v>
      </c>
      <c r="BD28" s="19">
        <v>3840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655.20000000000005</v>
      </c>
      <c r="BM28" s="21">
        <v>15160</v>
      </c>
      <c r="BN28" s="14">
        <f t="shared" si="0"/>
        <v>14504.8</v>
      </c>
      <c r="BO28" s="14">
        <f t="shared" si="1"/>
        <v>10153.359999999999</v>
      </c>
    </row>
    <row r="29" spans="1:67" ht="24" x14ac:dyDescent="0.3">
      <c r="A29" s="5" t="s">
        <v>216</v>
      </c>
      <c r="B29" s="16" t="s">
        <v>277</v>
      </c>
      <c r="C29" s="16">
        <v>468589</v>
      </c>
      <c r="D29" s="17"/>
      <c r="E29" s="16" t="s">
        <v>16</v>
      </c>
      <c r="F29" s="16" t="s">
        <v>278</v>
      </c>
      <c r="G29" s="16" t="s">
        <v>23</v>
      </c>
      <c r="H29" s="18" t="s">
        <v>10</v>
      </c>
      <c r="I29" s="18" t="s">
        <v>279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3</v>
      </c>
      <c r="AF29" s="19">
        <v>2500</v>
      </c>
      <c r="AG29" s="19">
        <v>5000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1</v>
      </c>
      <c r="AR29" s="19">
        <v>2300</v>
      </c>
      <c r="AS29" s="18">
        <v>200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1</v>
      </c>
      <c r="BD29" s="19">
        <v>3000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180</v>
      </c>
      <c r="BM29" s="21">
        <v>13000</v>
      </c>
      <c r="BN29" s="14">
        <f t="shared" si="0"/>
        <v>12820</v>
      </c>
      <c r="BO29" s="14">
        <f t="shared" si="1"/>
        <v>8974</v>
      </c>
    </row>
    <row r="30" spans="1:67" ht="24" x14ac:dyDescent="0.3">
      <c r="A30" s="5" t="s">
        <v>217</v>
      </c>
      <c r="B30" s="16" t="s">
        <v>65</v>
      </c>
      <c r="C30" s="16">
        <v>453445</v>
      </c>
      <c r="D30" s="17"/>
      <c r="E30" s="16" t="s">
        <v>16</v>
      </c>
      <c r="F30" s="16" t="s">
        <v>17</v>
      </c>
      <c r="G30" s="16" t="s">
        <v>18</v>
      </c>
      <c r="H30" s="18" t="s">
        <v>8</v>
      </c>
      <c r="I30" s="18" t="s">
        <v>66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12</v>
      </c>
      <c r="AC30" s="19">
        <v>12960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21">
        <v>12960</v>
      </c>
      <c r="BN30" s="14">
        <f t="shared" si="0"/>
        <v>12960</v>
      </c>
      <c r="BO30" s="14">
        <f t="shared" si="1"/>
        <v>9072</v>
      </c>
    </row>
    <row r="31" spans="1:67" ht="24" x14ac:dyDescent="0.3">
      <c r="A31" s="5" t="s">
        <v>216</v>
      </c>
      <c r="B31" s="16" t="s">
        <v>328</v>
      </c>
      <c r="C31" s="16">
        <v>418030</v>
      </c>
      <c r="D31" s="17"/>
      <c r="E31" s="16" t="s">
        <v>16</v>
      </c>
      <c r="F31" s="16" t="s">
        <v>30</v>
      </c>
      <c r="G31" s="16" t="s">
        <v>56</v>
      </c>
      <c r="H31" s="18" t="s">
        <v>8</v>
      </c>
      <c r="I31" s="18" t="s">
        <v>329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38</v>
      </c>
      <c r="AF31" s="19">
        <v>3800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13</v>
      </c>
      <c r="AR31" s="19">
        <v>1300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57</v>
      </c>
      <c r="BD31" s="19">
        <v>6840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410.4</v>
      </c>
      <c r="BM31" s="21">
        <v>11940</v>
      </c>
      <c r="BN31" s="14">
        <f t="shared" si="0"/>
        <v>11529.6</v>
      </c>
      <c r="BO31" s="14">
        <f t="shared" si="1"/>
        <v>8070.7199999999993</v>
      </c>
    </row>
    <row r="32" spans="1:67" ht="24" x14ac:dyDescent="0.3">
      <c r="A32" s="5" t="s">
        <v>216</v>
      </c>
      <c r="B32" s="16" t="s">
        <v>104</v>
      </c>
      <c r="C32" s="16">
        <v>445220</v>
      </c>
      <c r="D32" s="17"/>
      <c r="E32" s="16" t="s">
        <v>16</v>
      </c>
      <c r="F32" s="16" t="s">
        <v>105</v>
      </c>
      <c r="G32" s="16" t="s">
        <v>35</v>
      </c>
      <c r="H32" s="18" t="s">
        <v>8</v>
      </c>
      <c r="I32" s="18" t="s">
        <v>106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93</v>
      </c>
      <c r="AF32" s="18">
        <v>0</v>
      </c>
      <c r="AG32" s="19">
        <v>9300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21</v>
      </c>
      <c r="BD32" s="19">
        <v>2520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151.19999999999999</v>
      </c>
      <c r="BM32" s="21">
        <v>11820</v>
      </c>
      <c r="BN32" s="14">
        <f t="shared" si="0"/>
        <v>11668.8</v>
      </c>
      <c r="BO32" s="14">
        <f t="shared" si="1"/>
        <v>8168.1599999999989</v>
      </c>
    </row>
    <row r="33" spans="1:67" ht="24" x14ac:dyDescent="0.3">
      <c r="A33" s="5" t="s">
        <v>216</v>
      </c>
      <c r="B33" s="16" t="s">
        <v>330</v>
      </c>
      <c r="C33" s="16">
        <v>453397</v>
      </c>
      <c r="D33" s="17"/>
      <c r="E33" s="16" t="s">
        <v>16</v>
      </c>
      <c r="F33" s="16" t="s">
        <v>17</v>
      </c>
      <c r="G33" s="16" t="s">
        <v>18</v>
      </c>
      <c r="H33" s="18" t="s">
        <v>8</v>
      </c>
      <c r="I33" s="18" t="s">
        <v>66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107</v>
      </c>
      <c r="AF33" s="19">
        <v>11400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21">
        <v>11400</v>
      </c>
      <c r="BN33" s="14">
        <f t="shared" si="0"/>
        <v>11400</v>
      </c>
      <c r="BO33" s="14">
        <f t="shared" si="1"/>
        <v>7979.9999999999991</v>
      </c>
    </row>
    <row r="34" spans="1:67" ht="24" x14ac:dyDescent="0.3">
      <c r="A34" s="5" t="s">
        <v>216</v>
      </c>
      <c r="B34" s="16" t="s">
        <v>243</v>
      </c>
      <c r="C34" s="16">
        <v>408834</v>
      </c>
      <c r="D34" s="17"/>
      <c r="E34" s="16" t="s">
        <v>16</v>
      </c>
      <c r="F34" s="16" t="s">
        <v>52</v>
      </c>
      <c r="G34" s="16" t="s">
        <v>18</v>
      </c>
      <c r="H34" s="18" t="s">
        <v>7</v>
      </c>
      <c r="I34" s="18" t="s">
        <v>73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2</v>
      </c>
      <c r="AC34" s="18">
        <v>0</v>
      </c>
      <c r="AD34" s="18">
        <v>600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12</v>
      </c>
      <c r="AO34" s="19">
        <v>10200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21">
        <v>10800</v>
      </c>
      <c r="BN34" s="14">
        <f t="shared" si="0"/>
        <v>10800</v>
      </c>
      <c r="BO34" s="14">
        <f t="shared" si="1"/>
        <v>7559.9999999999991</v>
      </c>
    </row>
    <row r="35" spans="1:67" ht="24" x14ac:dyDescent="0.3">
      <c r="A35" s="5" t="s">
        <v>216</v>
      </c>
      <c r="B35" s="16" t="s">
        <v>80</v>
      </c>
      <c r="C35" s="16">
        <v>395231</v>
      </c>
      <c r="D35" s="17"/>
      <c r="E35" s="16" t="s">
        <v>16</v>
      </c>
      <c r="F35" s="16" t="s">
        <v>34</v>
      </c>
      <c r="G35" s="16" t="s">
        <v>35</v>
      </c>
      <c r="H35" s="18" t="s">
        <v>27</v>
      </c>
      <c r="I35" s="18" t="s">
        <v>81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2</v>
      </c>
      <c r="AF35" s="19">
        <v>7000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1</v>
      </c>
      <c r="AR35" s="19">
        <v>3300</v>
      </c>
      <c r="AS35" s="18">
        <v>200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21">
        <v>10500</v>
      </c>
      <c r="BN35" s="14">
        <f t="shared" si="0"/>
        <v>10500</v>
      </c>
      <c r="BO35" s="14">
        <f t="shared" si="1"/>
        <v>7349.9999999999991</v>
      </c>
    </row>
    <row r="36" spans="1:67" ht="24" x14ac:dyDescent="0.3">
      <c r="A36" s="5" t="s">
        <v>216</v>
      </c>
      <c r="B36" s="16" t="s">
        <v>51</v>
      </c>
      <c r="C36" s="16">
        <v>361185</v>
      </c>
      <c r="D36" s="17"/>
      <c r="E36" s="16" t="s">
        <v>16</v>
      </c>
      <c r="F36" s="16" t="s">
        <v>52</v>
      </c>
      <c r="G36" s="16" t="s">
        <v>18</v>
      </c>
      <c r="H36" s="18" t="s">
        <v>7</v>
      </c>
      <c r="I36" s="18" t="s">
        <v>53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2</v>
      </c>
      <c r="AF36" s="18">
        <v>0</v>
      </c>
      <c r="AG36" s="18">
        <v>200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76</v>
      </c>
      <c r="AX36" s="19">
        <v>9120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912</v>
      </c>
      <c r="BM36" s="21">
        <v>9320</v>
      </c>
      <c r="BN36" s="14">
        <f t="shared" si="0"/>
        <v>8408</v>
      </c>
      <c r="BO36" s="14">
        <f t="shared" si="1"/>
        <v>5885.5999999999995</v>
      </c>
    </row>
    <row r="37" spans="1:67" ht="24" x14ac:dyDescent="0.3">
      <c r="A37" s="5" t="s">
        <v>217</v>
      </c>
      <c r="B37" s="16" t="s">
        <v>92</v>
      </c>
      <c r="C37" s="16">
        <v>465771</v>
      </c>
      <c r="D37" s="17"/>
      <c r="E37" s="16" t="s">
        <v>16</v>
      </c>
      <c r="F37" s="16" t="s">
        <v>93</v>
      </c>
      <c r="G37" s="16" t="s">
        <v>23</v>
      </c>
      <c r="H37" s="18" t="s">
        <v>10</v>
      </c>
      <c r="I37" s="18" t="s">
        <v>94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2</v>
      </c>
      <c r="AF37" s="19">
        <v>2400</v>
      </c>
      <c r="AG37" s="19">
        <v>2000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2</v>
      </c>
      <c r="BD37" s="19">
        <v>4800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288</v>
      </c>
      <c r="BM37" s="21">
        <v>9200</v>
      </c>
      <c r="BN37" s="14">
        <f t="shared" si="0"/>
        <v>8912</v>
      </c>
      <c r="BO37" s="14">
        <f t="shared" si="1"/>
        <v>6238.4</v>
      </c>
    </row>
    <row r="38" spans="1:67" ht="24" x14ac:dyDescent="0.3">
      <c r="A38" s="5" t="s">
        <v>217</v>
      </c>
      <c r="B38" s="16" t="s">
        <v>99</v>
      </c>
      <c r="C38" s="16">
        <v>354768</v>
      </c>
      <c r="D38" s="17"/>
      <c r="E38" s="16" t="s">
        <v>16</v>
      </c>
      <c r="F38" s="16" t="s">
        <v>30</v>
      </c>
      <c r="G38" s="16" t="s">
        <v>31</v>
      </c>
      <c r="H38" s="18" t="s">
        <v>8</v>
      </c>
      <c r="I38" s="18" t="s">
        <v>100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76</v>
      </c>
      <c r="BD38" s="19">
        <v>9120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547.20000000000005</v>
      </c>
      <c r="BM38" s="21">
        <v>9120</v>
      </c>
      <c r="BN38" s="14">
        <f t="shared" si="0"/>
        <v>8572.7999999999993</v>
      </c>
      <c r="BO38" s="14">
        <f t="shared" si="1"/>
        <v>6000.9599999999991</v>
      </c>
    </row>
    <row r="39" spans="1:67" ht="24" x14ac:dyDescent="0.3">
      <c r="A39" s="5" t="s">
        <v>216</v>
      </c>
      <c r="B39" s="16" t="s">
        <v>282</v>
      </c>
      <c r="C39" s="16">
        <v>409304</v>
      </c>
      <c r="D39" s="17"/>
      <c r="E39" s="16" t="s">
        <v>16</v>
      </c>
      <c r="F39" s="16" t="s">
        <v>52</v>
      </c>
      <c r="G39" s="16" t="s">
        <v>18</v>
      </c>
      <c r="H39" s="18" t="s">
        <v>7</v>
      </c>
      <c r="I39" s="18" t="s">
        <v>283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8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3</v>
      </c>
      <c r="AF39" s="18">
        <v>0</v>
      </c>
      <c r="AG39" s="18">
        <v>300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87</v>
      </c>
      <c r="AR39" s="19">
        <v>8500</v>
      </c>
      <c r="AS39" s="18">
        <v>200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21">
        <v>9000</v>
      </c>
      <c r="BN39" s="14">
        <f t="shared" si="0"/>
        <v>9000</v>
      </c>
      <c r="BO39" s="14">
        <f t="shared" si="1"/>
        <v>6300</v>
      </c>
    </row>
    <row r="40" spans="1:67" ht="24" x14ac:dyDescent="0.3">
      <c r="A40" s="5" t="s">
        <v>216</v>
      </c>
      <c r="B40" s="16" t="s">
        <v>63</v>
      </c>
      <c r="C40" s="16">
        <v>372422</v>
      </c>
      <c r="D40" s="17"/>
      <c r="E40" s="16" t="s">
        <v>16</v>
      </c>
      <c r="F40" s="16" t="s">
        <v>44</v>
      </c>
      <c r="G40" s="16" t="s">
        <v>45</v>
      </c>
      <c r="H40" s="18" t="s">
        <v>8</v>
      </c>
      <c r="I40" s="18" t="s">
        <v>64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53</v>
      </c>
      <c r="AF40" s="19">
        <v>5300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1</v>
      </c>
      <c r="AX40" s="18">
        <v>120</v>
      </c>
      <c r="AY40" s="18">
        <v>0</v>
      </c>
      <c r="AZ40" s="18">
        <v>0</v>
      </c>
      <c r="BA40" s="18">
        <v>0</v>
      </c>
      <c r="BB40" s="18">
        <v>0</v>
      </c>
      <c r="BC40" s="18">
        <v>29</v>
      </c>
      <c r="BD40" s="19">
        <v>3480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220.8</v>
      </c>
      <c r="BM40" s="21">
        <v>8900</v>
      </c>
      <c r="BN40" s="14">
        <f t="shared" si="0"/>
        <v>8679.2000000000007</v>
      </c>
      <c r="BO40" s="14">
        <f t="shared" si="1"/>
        <v>6075.4400000000005</v>
      </c>
    </row>
    <row r="41" spans="1:67" ht="24" x14ac:dyDescent="0.3">
      <c r="A41" s="5" t="s">
        <v>217</v>
      </c>
      <c r="B41" s="16" t="s">
        <v>67</v>
      </c>
      <c r="C41" s="16">
        <v>440710</v>
      </c>
      <c r="D41" s="17"/>
      <c r="E41" s="16" t="s">
        <v>16</v>
      </c>
      <c r="F41" s="16" t="s">
        <v>68</v>
      </c>
      <c r="G41" s="16" t="s">
        <v>69</v>
      </c>
      <c r="H41" s="18" t="s">
        <v>7</v>
      </c>
      <c r="I41" s="18" t="s">
        <v>70</v>
      </c>
      <c r="J41" s="18">
        <v>3</v>
      </c>
      <c r="K41" s="18">
        <v>0</v>
      </c>
      <c r="L41" s="18">
        <v>300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8">
        <v>0</v>
      </c>
      <c r="AD41" s="18">
        <v>0</v>
      </c>
      <c r="AE41" s="18">
        <v>3</v>
      </c>
      <c r="AF41" s="18">
        <v>100</v>
      </c>
      <c r="AG41" s="18">
        <v>200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65</v>
      </c>
      <c r="AX41" s="19">
        <v>7800</v>
      </c>
      <c r="AY41" s="18">
        <v>0</v>
      </c>
      <c r="AZ41" s="18">
        <v>0</v>
      </c>
      <c r="BA41" s="18">
        <v>0</v>
      </c>
      <c r="BB41" s="18">
        <v>0</v>
      </c>
      <c r="BC41" s="18">
        <v>1</v>
      </c>
      <c r="BD41" s="18">
        <v>120</v>
      </c>
      <c r="BE41" s="18">
        <v>0</v>
      </c>
      <c r="BF41" s="18">
        <v>0</v>
      </c>
      <c r="BG41" s="18">
        <v>0</v>
      </c>
      <c r="BH41" s="18">
        <v>0</v>
      </c>
      <c r="BI41" s="18">
        <v>0</v>
      </c>
      <c r="BJ41" s="18">
        <v>0</v>
      </c>
      <c r="BK41" s="18">
        <v>0</v>
      </c>
      <c r="BL41" s="18">
        <v>787.2</v>
      </c>
      <c r="BM41" s="21">
        <v>8520</v>
      </c>
      <c r="BN41" s="14">
        <f t="shared" si="0"/>
        <v>7732.8</v>
      </c>
      <c r="BO41" s="14">
        <f t="shared" si="1"/>
        <v>5412.96</v>
      </c>
    </row>
    <row r="42" spans="1:67" ht="24" x14ac:dyDescent="0.3">
      <c r="A42" s="5" t="s">
        <v>216</v>
      </c>
      <c r="B42" s="16" t="s">
        <v>227</v>
      </c>
      <c r="C42" s="16">
        <v>443543</v>
      </c>
      <c r="D42" s="17"/>
      <c r="E42" s="16" t="s">
        <v>16</v>
      </c>
      <c r="F42" s="16" t="s">
        <v>44</v>
      </c>
      <c r="G42" s="16" t="s">
        <v>35</v>
      </c>
      <c r="H42" s="18" t="s">
        <v>8</v>
      </c>
      <c r="I42" s="18" t="s">
        <v>103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14</v>
      </c>
      <c r="AX42" s="19">
        <v>1638</v>
      </c>
      <c r="AY42" s="18">
        <v>0</v>
      </c>
      <c r="AZ42" s="18">
        <v>0</v>
      </c>
      <c r="BA42" s="18">
        <v>0</v>
      </c>
      <c r="BB42" s="18">
        <v>0</v>
      </c>
      <c r="BC42" s="18">
        <v>56</v>
      </c>
      <c r="BD42" s="19">
        <v>6720</v>
      </c>
      <c r="BE42" s="18">
        <v>0</v>
      </c>
      <c r="BF42" s="18">
        <v>0</v>
      </c>
      <c r="BG42" s="18">
        <v>0</v>
      </c>
      <c r="BH42" s="18">
        <v>0</v>
      </c>
      <c r="BI42" s="18">
        <v>0</v>
      </c>
      <c r="BJ42" s="18">
        <v>0</v>
      </c>
      <c r="BK42" s="18">
        <v>0</v>
      </c>
      <c r="BL42" s="18">
        <v>567</v>
      </c>
      <c r="BM42" s="21">
        <v>8358</v>
      </c>
      <c r="BN42" s="14">
        <f t="shared" si="0"/>
        <v>7791</v>
      </c>
      <c r="BO42" s="14">
        <f t="shared" si="1"/>
        <v>5453.7</v>
      </c>
    </row>
    <row r="43" spans="1:67" ht="24" x14ac:dyDescent="0.3">
      <c r="A43" s="5" t="s">
        <v>216</v>
      </c>
      <c r="B43" s="16" t="s">
        <v>331</v>
      </c>
      <c r="C43" s="16">
        <v>485980</v>
      </c>
      <c r="D43" s="17"/>
      <c r="E43" s="16" t="s">
        <v>16</v>
      </c>
      <c r="F43" s="16" t="s">
        <v>266</v>
      </c>
      <c r="G43" s="16" t="s">
        <v>23</v>
      </c>
      <c r="H43" s="18" t="s">
        <v>10</v>
      </c>
      <c r="I43" s="18" t="s">
        <v>332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1</v>
      </c>
      <c r="AF43" s="19">
        <v>2000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2</v>
      </c>
      <c r="BD43" s="19">
        <v>4800</v>
      </c>
      <c r="BE43" s="18">
        <v>0</v>
      </c>
      <c r="BF43" s="18">
        <v>0</v>
      </c>
      <c r="BG43" s="18">
        <v>0</v>
      </c>
      <c r="BH43" s="18">
        <v>0</v>
      </c>
      <c r="BI43" s="18">
        <v>0</v>
      </c>
      <c r="BJ43" s="18">
        <v>0</v>
      </c>
      <c r="BK43" s="18">
        <v>0</v>
      </c>
      <c r="BL43" s="18">
        <v>288</v>
      </c>
      <c r="BM43" s="21">
        <v>6800</v>
      </c>
      <c r="BN43" s="14">
        <f t="shared" si="0"/>
        <v>6512</v>
      </c>
      <c r="BO43" s="14">
        <f t="shared" si="1"/>
        <v>4558.3999999999996</v>
      </c>
    </row>
    <row r="44" spans="1:67" ht="24" x14ac:dyDescent="0.3">
      <c r="A44" s="5" t="s">
        <v>225</v>
      </c>
      <c r="B44" s="16" t="s">
        <v>333</v>
      </c>
      <c r="C44" s="16">
        <v>360498</v>
      </c>
      <c r="D44" s="17"/>
      <c r="E44" s="16" t="s">
        <v>16</v>
      </c>
      <c r="F44" s="16" t="s">
        <v>44</v>
      </c>
      <c r="G44" s="16" t="s">
        <v>45</v>
      </c>
      <c r="H44" s="18" t="s">
        <v>27</v>
      </c>
      <c r="I44" s="18" t="s">
        <v>334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2</v>
      </c>
      <c r="AF44" s="19">
        <v>2900</v>
      </c>
      <c r="AG44" s="19">
        <v>3500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21">
        <v>6400</v>
      </c>
      <c r="BN44" s="14">
        <f t="shared" si="0"/>
        <v>6400</v>
      </c>
      <c r="BO44" s="14">
        <f t="shared" si="1"/>
        <v>4480</v>
      </c>
    </row>
    <row r="45" spans="1:67" ht="24" x14ac:dyDescent="0.3">
      <c r="A45" s="5" t="s">
        <v>217</v>
      </c>
      <c r="B45" s="16" t="s">
        <v>110</v>
      </c>
      <c r="C45" s="16">
        <v>365225</v>
      </c>
      <c r="D45" s="17"/>
      <c r="E45" s="16" t="s">
        <v>16</v>
      </c>
      <c r="F45" s="16" t="s">
        <v>52</v>
      </c>
      <c r="G45" s="16" t="s">
        <v>18</v>
      </c>
      <c r="H45" s="18" t="s">
        <v>7</v>
      </c>
      <c r="I45" s="18" t="s">
        <v>111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6</v>
      </c>
      <c r="AC45" s="19">
        <v>6300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21">
        <v>6300</v>
      </c>
      <c r="BN45" s="14">
        <f t="shared" si="0"/>
        <v>6300</v>
      </c>
      <c r="BO45" s="14">
        <f t="shared" si="1"/>
        <v>4410</v>
      </c>
    </row>
    <row r="46" spans="1:67" ht="24" x14ac:dyDescent="0.3">
      <c r="A46" s="5" t="s">
        <v>217</v>
      </c>
      <c r="B46" s="16" t="s">
        <v>250</v>
      </c>
      <c r="C46" s="16">
        <v>443531</v>
      </c>
      <c r="D46" s="17"/>
      <c r="E46" s="16" t="s">
        <v>16</v>
      </c>
      <c r="F46" s="16" t="s">
        <v>91</v>
      </c>
      <c r="G46" s="16" t="s">
        <v>35</v>
      </c>
      <c r="H46" s="18" t="s">
        <v>8</v>
      </c>
      <c r="I46" s="18" t="s">
        <v>103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19</v>
      </c>
      <c r="AF46" s="19">
        <v>1080</v>
      </c>
      <c r="AG46" s="19">
        <v>1000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30</v>
      </c>
      <c r="BD46" s="19">
        <v>3600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216</v>
      </c>
      <c r="BM46" s="21">
        <v>5680</v>
      </c>
      <c r="BN46" s="14">
        <f t="shared" si="0"/>
        <v>5464</v>
      </c>
      <c r="BO46" s="14">
        <f t="shared" si="1"/>
        <v>3824.7999999999997</v>
      </c>
    </row>
    <row r="47" spans="1:67" ht="24" x14ac:dyDescent="0.3">
      <c r="A47" s="5" t="s">
        <v>216</v>
      </c>
      <c r="B47" s="16" t="s">
        <v>152</v>
      </c>
      <c r="C47" s="16">
        <v>408303</v>
      </c>
      <c r="D47" s="17"/>
      <c r="E47" s="16" t="s">
        <v>16</v>
      </c>
      <c r="F47" s="16" t="s">
        <v>52</v>
      </c>
      <c r="G47" s="16" t="s">
        <v>18</v>
      </c>
      <c r="H47" s="18" t="s">
        <v>7</v>
      </c>
      <c r="I47" s="18" t="s">
        <v>153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5</v>
      </c>
      <c r="BA47" s="19">
        <v>5400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324</v>
      </c>
      <c r="BM47" s="21">
        <v>5400</v>
      </c>
      <c r="BN47" s="14">
        <f t="shared" si="0"/>
        <v>5076</v>
      </c>
      <c r="BO47" s="14">
        <f t="shared" si="1"/>
        <v>3553.2</v>
      </c>
    </row>
    <row r="48" spans="1:67" ht="24" x14ac:dyDescent="0.3">
      <c r="A48" s="5" t="s">
        <v>217</v>
      </c>
      <c r="B48" s="16" t="s">
        <v>54</v>
      </c>
      <c r="C48" s="16">
        <v>456187</v>
      </c>
      <c r="D48" s="17"/>
      <c r="E48" s="16" t="s">
        <v>16</v>
      </c>
      <c r="F48" s="16" t="s">
        <v>55</v>
      </c>
      <c r="G48" s="16" t="s">
        <v>56</v>
      </c>
      <c r="H48" s="18" t="s">
        <v>8</v>
      </c>
      <c r="I48" s="18" t="s">
        <v>57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10</v>
      </c>
      <c r="AX48" s="19">
        <v>1200</v>
      </c>
      <c r="AY48" s="18">
        <v>0</v>
      </c>
      <c r="AZ48" s="18">
        <v>0</v>
      </c>
      <c r="BA48" s="18">
        <v>0</v>
      </c>
      <c r="BB48" s="18">
        <v>0</v>
      </c>
      <c r="BC48" s="18">
        <v>34</v>
      </c>
      <c r="BD48" s="19">
        <v>4080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364.8</v>
      </c>
      <c r="BM48" s="21">
        <v>5280</v>
      </c>
      <c r="BN48" s="14">
        <f t="shared" si="0"/>
        <v>4915.2</v>
      </c>
      <c r="BO48" s="14">
        <f t="shared" si="1"/>
        <v>3440.64</v>
      </c>
    </row>
    <row r="49" spans="1:67" ht="24" x14ac:dyDescent="0.3">
      <c r="A49" s="5" t="s">
        <v>217</v>
      </c>
      <c r="B49" s="16" t="s">
        <v>95</v>
      </c>
      <c r="C49" s="16">
        <v>317429</v>
      </c>
      <c r="D49" s="17"/>
      <c r="E49" s="16" t="s">
        <v>16</v>
      </c>
      <c r="F49" s="16" t="s">
        <v>34</v>
      </c>
      <c r="G49" s="16" t="s">
        <v>35</v>
      </c>
      <c r="H49" s="18" t="s">
        <v>8</v>
      </c>
      <c r="I49" s="18" t="s">
        <v>96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1</v>
      </c>
      <c r="BD49" s="19">
        <v>5280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316.8</v>
      </c>
      <c r="BM49" s="21">
        <v>5280</v>
      </c>
      <c r="BN49" s="14">
        <f t="shared" si="0"/>
        <v>4963.2</v>
      </c>
      <c r="BO49" s="14">
        <f t="shared" si="1"/>
        <v>3474.24</v>
      </c>
    </row>
    <row r="50" spans="1:67" ht="24" x14ac:dyDescent="0.3">
      <c r="A50" s="5" t="s">
        <v>217</v>
      </c>
      <c r="B50" s="16" t="s">
        <v>139</v>
      </c>
      <c r="C50" s="16">
        <v>396049</v>
      </c>
      <c r="D50" s="17"/>
      <c r="E50" s="16" t="s">
        <v>16</v>
      </c>
      <c r="F50" s="16" t="s">
        <v>91</v>
      </c>
      <c r="G50" s="16" t="s">
        <v>35</v>
      </c>
      <c r="H50" s="18" t="s">
        <v>8</v>
      </c>
      <c r="I50" s="18" t="s">
        <v>140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45</v>
      </c>
      <c r="AF50" s="18">
        <v>0</v>
      </c>
      <c r="AG50" s="19">
        <v>4500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21">
        <v>4500</v>
      </c>
      <c r="BN50" s="14">
        <f t="shared" si="0"/>
        <v>4500</v>
      </c>
      <c r="BO50" s="14">
        <f t="shared" si="1"/>
        <v>3150</v>
      </c>
    </row>
    <row r="51" spans="1:67" ht="24" x14ac:dyDescent="0.3">
      <c r="A51" s="5" t="s">
        <v>217</v>
      </c>
      <c r="B51" s="16" t="s">
        <v>220</v>
      </c>
      <c r="C51" s="16">
        <v>453478</v>
      </c>
      <c r="D51" s="17"/>
      <c r="E51" s="16" t="s">
        <v>16</v>
      </c>
      <c r="F51" s="16" t="s">
        <v>17</v>
      </c>
      <c r="G51" s="16" t="s">
        <v>18</v>
      </c>
      <c r="H51" s="18" t="s">
        <v>7</v>
      </c>
      <c r="I51" s="18" t="s">
        <v>221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11</v>
      </c>
      <c r="AF51" s="18">
        <v>0</v>
      </c>
      <c r="AG51" s="19">
        <v>1100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25</v>
      </c>
      <c r="AR51" s="19">
        <v>2500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7</v>
      </c>
      <c r="BD51" s="18">
        <v>840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50.4</v>
      </c>
      <c r="BM51" s="21">
        <v>4440</v>
      </c>
      <c r="BN51" s="14">
        <f t="shared" si="0"/>
        <v>4389.6000000000004</v>
      </c>
      <c r="BO51" s="14">
        <f t="shared" si="1"/>
        <v>3072.7200000000003</v>
      </c>
    </row>
    <row r="52" spans="1:67" ht="24" x14ac:dyDescent="0.3">
      <c r="A52" s="5" t="s">
        <v>217</v>
      </c>
      <c r="B52" s="16" t="s">
        <v>134</v>
      </c>
      <c r="C52" s="16">
        <v>472519</v>
      </c>
      <c r="D52" s="17"/>
      <c r="E52" s="16" t="s">
        <v>16</v>
      </c>
      <c r="F52" s="16" t="s">
        <v>135</v>
      </c>
      <c r="G52" s="16" t="s">
        <v>23</v>
      </c>
      <c r="H52" s="18" t="s">
        <v>7</v>
      </c>
      <c r="I52" s="18" t="s">
        <v>136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1</v>
      </c>
      <c r="BD52" s="19">
        <v>4320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259.2</v>
      </c>
      <c r="BM52" s="21">
        <v>4320</v>
      </c>
      <c r="BN52" s="14">
        <f t="shared" si="0"/>
        <v>4060.8</v>
      </c>
      <c r="BO52" s="14">
        <f t="shared" si="1"/>
        <v>2842.56</v>
      </c>
    </row>
    <row r="53" spans="1:67" ht="24" x14ac:dyDescent="0.3">
      <c r="A53" s="5" t="s">
        <v>217</v>
      </c>
      <c r="B53" s="16" t="s">
        <v>335</v>
      </c>
      <c r="C53" s="16">
        <v>382098</v>
      </c>
      <c r="D53" s="17"/>
      <c r="E53" s="16" t="s">
        <v>16</v>
      </c>
      <c r="F53" s="16" t="s">
        <v>17</v>
      </c>
      <c r="G53" s="16" t="s">
        <v>18</v>
      </c>
      <c r="H53" s="18" t="s">
        <v>7</v>
      </c>
      <c r="I53" s="18" t="s">
        <v>336</v>
      </c>
      <c r="J53" s="18">
        <v>0</v>
      </c>
      <c r="K53" s="18">
        <v>0</v>
      </c>
      <c r="L53" s="18">
        <v>0</v>
      </c>
      <c r="M53" s="18">
        <v>0</v>
      </c>
      <c r="N53" s="18">
        <v>0</v>
      </c>
      <c r="O53" s="18">
        <v>0</v>
      </c>
      <c r="P53" s="18">
        <v>0</v>
      </c>
      <c r="Q53" s="18">
        <v>0</v>
      </c>
      <c r="R53" s="18">
        <v>0</v>
      </c>
      <c r="S53" s="18">
        <v>0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8">
        <v>0</v>
      </c>
      <c r="Z53" s="18">
        <v>0</v>
      </c>
      <c r="AA53" s="18">
        <v>0</v>
      </c>
      <c r="AB53" s="18">
        <v>0</v>
      </c>
      <c r="AC53" s="18">
        <v>0</v>
      </c>
      <c r="AD53" s="18">
        <v>0</v>
      </c>
      <c r="AE53" s="18">
        <v>0</v>
      </c>
      <c r="AF53" s="18">
        <v>0</v>
      </c>
      <c r="AG53" s="18">
        <v>0</v>
      </c>
      <c r="AH53" s="18">
        <v>0</v>
      </c>
      <c r="AI53" s="18">
        <v>0</v>
      </c>
      <c r="AJ53" s="18">
        <v>0</v>
      </c>
      <c r="AK53" s="18">
        <v>0</v>
      </c>
      <c r="AL53" s="18">
        <v>0</v>
      </c>
      <c r="AM53" s="18">
        <v>0</v>
      </c>
      <c r="AN53" s="18">
        <v>0</v>
      </c>
      <c r="AO53" s="18">
        <v>0</v>
      </c>
      <c r="AP53" s="18">
        <v>0</v>
      </c>
      <c r="AQ53" s="18">
        <v>0</v>
      </c>
      <c r="AR53" s="18">
        <v>0</v>
      </c>
      <c r="AS53" s="18">
        <v>0</v>
      </c>
      <c r="AT53" s="18">
        <v>3</v>
      </c>
      <c r="AU53" s="19">
        <v>3240</v>
      </c>
      <c r="AV53" s="18">
        <v>0</v>
      </c>
      <c r="AW53" s="18">
        <v>0</v>
      </c>
      <c r="AX53" s="18">
        <v>0</v>
      </c>
      <c r="AY53" s="18">
        <v>0</v>
      </c>
      <c r="AZ53" s="18">
        <v>0</v>
      </c>
      <c r="BA53" s="18">
        <v>0</v>
      </c>
      <c r="BB53" s="18">
        <v>0</v>
      </c>
      <c r="BC53" s="18">
        <v>0</v>
      </c>
      <c r="BD53" s="18">
        <v>0</v>
      </c>
      <c r="BE53" s="18">
        <v>0</v>
      </c>
      <c r="BF53" s="18">
        <v>0</v>
      </c>
      <c r="BG53" s="18">
        <v>0</v>
      </c>
      <c r="BH53" s="18">
        <v>0</v>
      </c>
      <c r="BI53" s="18">
        <v>0</v>
      </c>
      <c r="BJ53" s="18">
        <v>0</v>
      </c>
      <c r="BK53" s="18">
        <v>0</v>
      </c>
      <c r="BL53" s="18">
        <v>324</v>
      </c>
      <c r="BM53" s="21">
        <v>3240</v>
      </c>
      <c r="BN53" s="14">
        <f t="shared" si="0"/>
        <v>2916</v>
      </c>
      <c r="BO53" s="14">
        <f t="shared" si="1"/>
        <v>2041.1999999999998</v>
      </c>
    </row>
    <row r="54" spans="1:67" ht="24" x14ac:dyDescent="0.3">
      <c r="A54" s="5" t="s">
        <v>217</v>
      </c>
      <c r="B54" s="16" t="s">
        <v>264</v>
      </c>
      <c r="C54" s="16">
        <v>442667</v>
      </c>
      <c r="D54" s="17"/>
      <c r="E54" s="16" t="s">
        <v>16</v>
      </c>
      <c r="F54" s="16" t="s">
        <v>85</v>
      </c>
      <c r="G54" s="16" t="s">
        <v>35</v>
      </c>
      <c r="H54" s="18" t="s">
        <v>27</v>
      </c>
      <c r="I54" s="18" t="s">
        <v>265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1</v>
      </c>
      <c r="AF54" s="18">
        <v>0</v>
      </c>
      <c r="AG54" s="19">
        <v>3000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  <c r="AY54" s="18">
        <v>0</v>
      </c>
      <c r="AZ54" s="18">
        <v>0</v>
      </c>
      <c r="BA54" s="18">
        <v>0</v>
      </c>
      <c r="BB54" s="18">
        <v>0</v>
      </c>
      <c r="BC54" s="18">
        <v>0</v>
      </c>
      <c r="BD54" s="18">
        <v>0</v>
      </c>
      <c r="BE54" s="18">
        <v>0</v>
      </c>
      <c r="BF54" s="18">
        <v>0</v>
      </c>
      <c r="BG54" s="18">
        <v>0</v>
      </c>
      <c r="BH54" s="18">
        <v>0</v>
      </c>
      <c r="BI54" s="18">
        <v>0</v>
      </c>
      <c r="BJ54" s="18">
        <v>0</v>
      </c>
      <c r="BK54" s="18">
        <v>0</v>
      </c>
      <c r="BL54" s="18">
        <v>0</v>
      </c>
      <c r="BM54" s="21">
        <v>3000</v>
      </c>
      <c r="BN54" s="14">
        <f t="shared" si="0"/>
        <v>3000</v>
      </c>
      <c r="BO54" s="14">
        <f t="shared" si="1"/>
        <v>2100</v>
      </c>
    </row>
    <row r="55" spans="1:67" ht="24" x14ac:dyDescent="0.3">
      <c r="A55" s="5" t="s">
        <v>216</v>
      </c>
      <c r="B55" s="16" t="s">
        <v>337</v>
      </c>
      <c r="C55" s="16">
        <v>275218</v>
      </c>
      <c r="D55" s="17"/>
      <c r="E55" s="16" t="s">
        <v>16</v>
      </c>
      <c r="F55" s="16" t="s">
        <v>338</v>
      </c>
      <c r="G55" s="16" t="s">
        <v>56</v>
      </c>
      <c r="H55" s="18" t="s">
        <v>10</v>
      </c>
      <c r="I55" s="18" t="s">
        <v>339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0</v>
      </c>
      <c r="S55" s="18">
        <v>0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0</v>
      </c>
      <c r="Z55" s="18">
        <v>0</v>
      </c>
      <c r="AA55" s="18">
        <v>0</v>
      </c>
      <c r="AB55" s="18">
        <v>0</v>
      </c>
      <c r="AC55" s="18">
        <v>0</v>
      </c>
      <c r="AD55" s="18">
        <v>0</v>
      </c>
      <c r="AE55" s="18">
        <v>0</v>
      </c>
      <c r="AF55" s="18">
        <v>0</v>
      </c>
      <c r="AG55" s="18">
        <v>0</v>
      </c>
      <c r="AH55" s="18">
        <v>0</v>
      </c>
      <c r="AI55" s="18">
        <v>0</v>
      </c>
      <c r="AJ55" s="18">
        <v>0</v>
      </c>
      <c r="AK55" s="18">
        <v>0</v>
      </c>
      <c r="AL55" s="18">
        <v>0</v>
      </c>
      <c r="AM55" s="18">
        <v>0</v>
      </c>
      <c r="AN55" s="18">
        <v>0</v>
      </c>
      <c r="AO55" s="18">
        <v>0</v>
      </c>
      <c r="AP55" s="18">
        <v>0</v>
      </c>
      <c r="AQ55" s="18">
        <v>0</v>
      </c>
      <c r="AR55" s="18">
        <v>0</v>
      </c>
      <c r="AS55" s="18">
        <v>0</v>
      </c>
      <c r="AT55" s="18">
        <v>0</v>
      </c>
      <c r="AU55" s="18">
        <v>0</v>
      </c>
      <c r="AV55" s="18">
        <v>0</v>
      </c>
      <c r="AW55" s="18">
        <v>0</v>
      </c>
      <c r="AX55" s="18">
        <v>0</v>
      </c>
      <c r="AY55" s="18">
        <v>0</v>
      </c>
      <c r="AZ55" s="18">
        <v>0</v>
      </c>
      <c r="BA55" s="18">
        <v>0</v>
      </c>
      <c r="BB55" s="18">
        <v>0</v>
      </c>
      <c r="BC55" s="18">
        <v>1</v>
      </c>
      <c r="BD55" s="19">
        <v>3000</v>
      </c>
      <c r="BE55" s="18">
        <v>0</v>
      </c>
      <c r="BF55" s="18">
        <v>0</v>
      </c>
      <c r="BG55" s="18">
        <v>0</v>
      </c>
      <c r="BH55" s="18">
        <v>0</v>
      </c>
      <c r="BI55" s="18">
        <v>0</v>
      </c>
      <c r="BJ55" s="18">
        <v>0</v>
      </c>
      <c r="BK55" s="18">
        <v>0</v>
      </c>
      <c r="BL55" s="18">
        <v>180</v>
      </c>
      <c r="BM55" s="21">
        <v>3000</v>
      </c>
      <c r="BN55" s="14">
        <f t="shared" si="0"/>
        <v>2820</v>
      </c>
      <c r="BO55" s="14">
        <f t="shared" si="1"/>
        <v>1973.9999999999998</v>
      </c>
    </row>
    <row r="56" spans="1:67" ht="24" x14ac:dyDescent="0.3">
      <c r="A56" s="5" t="s">
        <v>217</v>
      </c>
      <c r="B56" s="16" t="s">
        <v>112</v>
      </c>
      <c r="C56" s="16">
        <v>455900</v>
      </c>
      <c r="D56" s="17"/>
      <c r="E56" s="16" t="s">
        <v>16</v>
      </c>
      <c r="F56" s="16" t="s">
        <v>17</v>
      </c>
      <c r="G56" s="16" t="s">
        <v>18</v>
      </c>
      <c r="H56" s="18" t="s">
        <v>7</v>
      </c>
      <c r="I56" s="18" t="s">
        <v>83</v>
      </c>
      <c r="J56" s="18">
        <v>0</v>
      </c>
      <c r="K56" s="18">
        <v>0</v>
      </c>
      <c r="L56" s="18">
        <v>0</v>
      </c>
      <c r="M56" s="18">
        <v>0</v>
      </c>
      <c r="N56" s="18">
        <v>0</v>
      </c>
      <c r="O56" s="18">
        <v>0</v>
      </c>
      <c r="P56" s="18">
        <v>0</v>
      </c>
      <c r="Q56" s="18">
        <v>0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0</v>
      </c>
      <c r="X56" s="18">
        <v>0</v>
      </c>
      <c r="Y56" s="18">
        <v>0</v>
      </c>
      <c r="Z56" s="18">
        <v>0</v>
      </c>
      <c r="AA56" s="18">
        <v>0</v>
      </c>
      <c r="AB56" s="18">
        <v>3</v>
      </c>
      <c r="AC56" s="19">
        <v>2700</v>
      </c>
      <c r="AD56" s="18">
        <v>0</v>
      </c>
      <c r="AE56" s="18">
        <v>0</v>
      </c>
      <c r="AF56" s="18">
        <v>0</v>
      </c>
      <c r="AG56" s="18">
        <v>0</v>
      </c>
      <c r="AH56" s="18">
        <v>0</v>
      </c>
      <c r="AI56" s="18">
        <v>0</v>
      </c>
      <c r="AJ56" s="18">
        <v>0</v>
      </c>
      <c r="AK56" s="18">
        <v>0</v>
      </c>
      <c r="AL56" s="18">
        <v>0</v>
      </c>
      <c r="AM56" s="18">
        <v>0</v>
      </c>
      <c r="AN56" s="18">
        <v>0</v>
      </c>
      <c r="AO56" s="18">
        <v>0</v>
      </c>
      <c r="AP56" s="18">
        <v>0</v>
      </c>
      <c r="AQ56" s="18">
        <v>0</v>
      </c>
      <c r="AR56" s="18">
        <v>0</v>
      </c>
      <c r="AS56" s="18">
        <v>0</v>
      </c>
      <c r="AT56" s="18">
        <v>0</v>
      </c>
      <c r="AU56" s="18">
        <v>0</v>
      </c>
      <c r="AV56" s="18">
        <v>0</v>
      </c>
      <c r="AW56" s="18">
        <v>0</v>
      </c>
      <c r="AX56" s="18">
        <v>0</v>
      </c>
      <c r="AY56" s="18">
        <v>0</v>
      </c>
      <c r="AZ56" s="18">
        <v>0</v>
      </c>
      <c r="BA56" s="18">
        <v>0</v>
      </c>
      <c r="BB56" s="18">
        <v>0</v>
      </c>
      <c r="BC56" s="18">
        <v>0</v>
      </c>
      <c r="BD56" s="18">
        <v>0</v>
      </c>
      <c r="BE56" s="18">
        <v>0</v>
      </c>
      <c r="BF56" s="18">
        <v>0</v>
      </c>
      <c r="BG56" s="18">
        <v>0</v>
      </c>
      <c r="BH56" s="18">
        <v>0</v>
      </c>
      <c r="BI56" s="18">
        <v>0</v>
      </c>
      <c r="BJ56" s="18">
        <v>0</v>
      </c>
      <c r="BK56" s="18">
        <v>0</v>
      </c>
      <c r="BL56" s="18">
        <v>0</v>
      </c>
      <c r="BM56" s="21">
        <v>2700</v>
      </c>
      <c r="BN56" s="14">
        <f t="shared" si="0"/>
        <v>2700</v>
      </c>
      <c r="BO56" s="14">
        <f t="shared" si="1"/>
        <v>1889.9999999999998</v>
      </c>
    </row>
    <row r="57" spans="1:67" ht="24" x14ac:dyDescent="0.3">
      <c r="A57" s="5" t="s">
        <v>217</v>
      </c>
      <c r="B57" s="16" t="s">
        <v>125</v>
      </c>
      <c r="C57" s="16">
        <v>356315</v>
      </c>
      <c r="D57" s="17"/>
      <c r="E57" s="16" t="s">
        <v>16</v>
      </c>
      <c r="F57" s="16" t="s">
        <v>30</v>
      </c>
      <c r="G57" s="16" t="s">
        <v>31</v>
      </c>
      <c r="H57" s="18" t="s">
        <v>8</v>
      </c>
      <c r="I57" s="18" t="s">
        <v>126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  <c r="AY57" s="18">
        <v>0</v>
      </c>
      <c r="AZ57" s="18">
        <v>0</v>
      </c>
      <c r="BA57" s="18">
        <v>0</v>
      </c>
      <c r="BB57" s="18">
        <v>0</v>
      </c>
      <c r="BC57" s="18">
        <v>22</v>
      </c>
      <c r="BD57" s="19">
        <v>2640</v>
      </c>
      <c r="BE57" s="18">
        <v>0</v>
      </c>
      <c r="BF57" s="18">
        <v>0</v>
      </c>
      <c r="BG57" s="18">
        <v>0</v>
      </c>
      <c r="BH57" s="18">
        <v>0</v>
      </c>
      <c r="BI57" s="18">
        <v>0</v>
      </c>
      <c r="BJ57" s="18">
        <v>0</v>
      </c>
      <c r="BK57" s="18">
        <v>0</v>
      </c>
      <c r="BL57" s="18">
        <v>158.4</v>
      </c>
      <c r="BM57" s="21">
        <v>2640</v>
      </c>
      <c r="BN57" s="14">
        <f t="shared" si="0"/>
        <v>2481.6</v>
      </c>
      <c r="BO57" s="14">
        <f t="shared" si="1"/>
        <v>1737.12</v>
      </c>
    </row>
    <row r="58" spans="1:67" ht="24" x14ac:dyDescent="0.3">
      <c r="A58" s="5" t="s">
        <v>217</v>
      </c>
      <c r="B58" s="16" t="s">
        <v>271</v>
      </c>
      <c r="C58" s="16">
        <v>483771</v>
      </c>
      <c r="D58" s="17"/>
      <c r="E58" s="16" t="s">
        <v>16</v>
      </c>
      <c r="F58" s="16" t="s">
        <v>117</v>
      </c>
      <c r="G58" s="16" t="s">
        <v>23</v>
      </c>
      <c r="H58" s="18" t="s">
        <v>10</v>
      </c>
      <c r="I58" s="18" t="s">
        <v>272</v>
      </c>
      <c r="J58" s="18">
        <v>0</v>
      </c>
      <c r="K58" s="18">
        <v>0</v>
      </c>
      <c r="L58" s="18">
        <v>0</v>
      </c>
      <c r="M58" s="18">
        <v>0</v>
      </c>
      <c r="N58" s="18">
        <v>0</v>
      </c>
      <c r="O58" s="18">
        <v>0</v>
      </c>
      <c r="P58" s="18">
        <v>0</v>
      </c>
      <c r="Q58" s="18">
        <v>0</v>
      </c>
      <c r="R58" s="18">
        <v>0</v>
      </c>
      <c r="S58" s="18">
        <v>0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8">
        <v>0</v>
      </c>
      <c r="Z58" s="18">
        <v>0</v>
      </c>
      <c r="AA58" s="18">
        <v>0</v>
      </c>
      <c r="AB58" s="18">
        <v>0</v>
      </c>
      <c r="AC58" s="18">
        <v>0</v>
      </c>
      <c r="AD58" s="18">
        <v>0</v>
      </c>
      <c r="AE58" s="18">
        <v>1</v>
      </c>
      <c r="AF58" s="18">
        <v>0</v>
      </c>
      <c r="AG58" s="19">
        <v>2500</v>
      </c>
      <c r="AH58" s="18">
        <v>0</v>
      </c>
      <c r="AI58" s="18">
        <v>0</v>
      </c>
      <c r="AJ58" s="18">
        <v>0</v>
      </c>
      <c r="AK58" s="18">
        <v>0</v>
      </c>
      <c r="AL58" s="18">
        <v>0</v>
      </c>
      <c r="AM58" s="18">
        <v>0</v>
      </c>
      <c r="AN58" s="18">
        <v>0</v>
      </c>
      <c r="AO58" s="18">
        <v>0</v>
      </c>
      <c r="AP58" s="18">
        <v>0</v>
      </c>
      <c r="AQ58" s="18">
        <v>0</v>
      </c>
      <c r="AR58" s="18">
        <v>0</v>
      </c>
      <c r="AS58" s="18">
        <v>0</v>
      </c>
      <c r="AT58" s="18">
        <v>0</v>
      </c>
      <c r="AU58" s="18">
        <v>0</v>
      </c>
      <c r="AV58" s="18">
        <v>0</v>
      </c>
      <c r="AW58" s="18">
        <v>0</v>
      </c>
      <c r="AX58" s="18">
        <v>0</v>
      </c>
      <c r="AY58" s="18">
        <v>0</v>
      </c>
      <c r="AZ58" s="18">
        <v>0</v>
      </c>
      <c r="BA58" s="18">
        <v>0</v>
      </c>
      <c r="BB58" s="18">
        <v>0</v>
      </c>
      <c r="BC58" s="18">
        <v>0</v>
      </c>
      <c r="BD58" s="18">
        <v>0</v>
      </c>
      <c r="BE58" s="18">
        <v>0</v>
      </c>
      <c r="BF58" s="18">
        <v>0</v>
      </c>
      <c r="BG58" s="18">
        <v>0</v>
      </c>
      <c r="BH58" s="18">
        <v>0</v>
      </c>
      <c r="BI58" s="18">
        <v>0</v>
      </c>
      <c r="BJ58" s="18">
        <v>0</v>
      </c>
      <c r="BK58" s="18">
        <v>0</v>
      </c>
      <c r="BL58" s="18">
        <v>0</v>
      </c>
      <c r="BM58" s="21">
        <v>2500</v>
      </c>
      <c r="BN58" s="14">
        <f t="shared" si="0"/>
        <v>2500</v>
      </c>
      <c r="BO58" s="14">
        <f t="shared" si="1"/>
        <v>1750</v>
      </c>
    </row>
    <row r="59" spans="1:67" ht="24" x14ac:dyDescent="0.3">
      <c r="A59" s="5" t="s">
        <v>217</v>
      </c>
      <c r="B59" s="16" t="s">
        <v>137</v>
      </c>
      <c r="C59" s="16">
        <v>470433</v>
      </c>
      <c r="D59" s="17"/>
      <c r="E59" s="16" t="s">
        <v>16</v>
      </c>
      <c r="F59" s="16" t="s">
        <v>84</v>
      </c>
      <c r="G59" s="16" t="s">
        <v>23</v>
      </c>
      <c r="H59" s="18" t="s">
        <v>7</v>
      </c>
      <c r="I59" s="18" t="s">
        <v>138</v>
      </c>
      <c r="J59" s="18">
        <v>0</v>
      </c>
      <c r="K59" s="18">
        <v>0</v>
      </c>
      <c r="L59" s="18">
        <v>0</v>
      </c>
      <c r="M59" s="18">
        <v>0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8">
        <v>0</v>
      </c>
      <c r="Z59" s="18">
        <v>0</v>
      </c>
      <c r="AA59" s="18">
        <v>0</v>
      </c>
      <c r="AB59" s="18">
        <v>0</v>
      </c>
      <c r="AC59" s="18">
        <v>0</v>
      </c>
      <c r="AD59" s="18">
        <v>0</v>
      </c>
      <c r="AE59" s="18">
        <v>0</v>
      </c>
      <c r="AF59" s="18">
        <v>0</v>
      </c>
      <c r="AG59" s="18">
        <v>0</v>
      </c>
      <c r="AH59" s="18">
        <v>0</v>
      </c>
      <c r="AI59" s="18">
        <v>0</v>
      </c>
      <c r="AJ59" s="18">
        <v>0</v>
      </c>
      <c r="AK59" s="18">
        <v>0</v>
      </c>
      <c r="AL59" s="18">
        <v>0</v>
      </c>
      <c r="AM59" s="18">
        <v>0</v>
      </c>
      <c r="AN59" s="18">
        <v>0</v>
      </c>
      <c r="AO59" s="18">
        <v>0</v>
      </c>
      <c r="AP59" s="18">
        <v>0</v>
      </c>
      <c r="AQ59" s="18">
        <v>1</v>
      </c>
      <c r="AR59" s="18">
        <v>900</v>
      </c>
      <c r="AS59" s="19">
        <v>1600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  <c r="AY59" s="18">
        <v>0</v>
      </c>
      <c r="AZ59" s="18">
        <v>0</v>
      </c>
      <c r="BA59" s="18">
        <v>0</v>
      </c>
      <c r="BB59" s="18">
        <v>0</v>
      </c>
      <c r="BC59" s="18">
        <v>0</v>
      </c>
      <c r="BD59" s="18">
        <v>0</v>
      </c>
      <c r="BE59" s="18">
        <v>0</v>
      </c>
      <c r="BF59" s="18">
        <v>0</v>
      </c>
      <c r="BG59" s="18">
        <v>0</v>
      </c>
      <c r="BH59" s="18">
        <v>0</v>
      </c>
      <c r="BI59" s="18">
        <v>0</v>
      </c>
      <c r="BJ59" s="18">
        <v>0</v>
      </c>
      <c r="BK59" s="18">
        <v>0</v>
      </c>
      <c r="BL59" s="18">
        <v>0</v>
      </c>
      <c r="BM59" s="21">
        <v>2500</v>
      </c>
      <c r="BN59" s="14">
        <f t="shared" si="0"/>
        <v>2500</v>
      </c>
      <c r="BO59" s="14">
        <f t="shared" si="1"/>
        <v>1750</v>
      </c>
    </row>
    <row r="60" spans="1:67" ht="24" x14ac:dyDescent="0.3">
      <c r="A60" s="5" t="s">
        <v>217</v>
      </c>
      <c r="B60" s="16" t="s">
        <v>291</v>
      </c>
      <c r="C60" s="16">
        <v>461353</v>
      </c>
      <c r="D60" s="17"/>
      <c r="E60" s="16" t="s">
        <v>16</v>
      </c>
      <c r="F60" s="16" t="s">
        <v>143</v>
      </c>
      <c r="G60" s="16" t="s">
        <v>23</v>
      </c>
      <c r="H60" s="18" t="s">
        <v>27</v>
      </c>
      <c r="I60" s="18" t="s">
        <v>286</v>
      </c>
      <c r="J60" s="18">
        <v>0</v>
      </c>
      <c r="K60" s="18">
        <v>0</v>
      </c>
      <c r="L60" s="18">
        <v>0</v>
      </c>
      <c r="M60" s="18">
        <v>0</v>
      </c>
      <c r="N60" s="18">
        <v>0</v>
      </c>
      <c r="O60" s="18">
        <v>0</v>
      </c>
      <c r="P60" s="18">
        <v>0</v>
      </c>
      <c r="Q60" s="18">
        <v>0</v>
      </c>
      <c r="R60" s="18">
        <v>0</v>
      </c>
      <c r="S60" s="18">
        <v>0</v>
      </c>
      <c r="T60" s="18">
        <v>0</v>
      </c>
      <c r="U60" s="18">
        <v>0</v>
      </c>
      <c r="V60" s="18">
        <v>0</v>
      </c>
      <c r="W60" s="18">
        <v>0</v>
      </c>
      <c r="X60" s="18">
        <v>0</v>
      </c>
      <c r="Y60" s="18">
        <v>0</v>
      </c>
      <c r="Z60" s="18">
        <v>0</v>
      </c>
      <c r="AA60" s="18">
        <v>0</v>
      </c>
      <c r="AB60" s="18">
        <v>0</v>
      </c>
      <c r="AC60" s="18">
        <v>0</v>
      </c>
      <c r="AD60" s="18">
        <v>0</v>
      </c>
      <c r="AE60" s="18">
        <v>0</v>
      </c>
      <c r="AF60" s="18">
        <v>0</v>
      </c>
      <c r="AG60" s="18">
        <v>0</v>
      </c>
      <c r="AH60" s="18">
        <v>0</v>
      </c>
      <c r="AI60" s="18">
        <v>0</v>
      </c>
      <c r="AJ60" s="18">
        <v>0</v>
      </c>
      <c r="AK60" s="18">
        <v>0</v>
      </c>
      <c r="AL60" s="18">
        <v>0</v>
      </c>
      <c r="AM60" s="18">
        <v>0</v>
      </c>
      <c r="AN60" s="18">
        <v>0</v>
      </c>
      <c r="AO60" s="18">
        <v>0</v>
      </c>
      <c r="AP60" s="18">
        <v>0</v>
      </c>
      <c r="AQ60" s="18">
        <v>0</v>
      </c>
      <c r="AR60" s="18">
        <v>0</v>
      </c>
      <c r="AS60" s="18">
        <v>0</v>
      </c>
      <c r="AT60" s="18">
        <v>0</v>
      </c>
      <c r="AU60" s="18">
        <v>0</v>
      </c>
      <c r="AV60" s="18">
        <v>0</v>
      </c>
      <c r="AW60" s="18">
        <v>0</v>
      </c>
      <c r="AX60" s="18">
        <v>0</v>
      </c>
      <c r="AY60" s="18">
        <v>0</v>
      </c>
      <c r="AZ60" s="18">
        <v>0</v>
      </c>
      <c r="BA60" s="18">
        <v>0</v>
      </c>
      <c r="BB60" s="18">
        <v>0</v>
      </c>
      <c r="BC60" s="18">
        <v>1</v>
      </c>
      <c r="BD60" s="19">
        <v>2400</v>
      </c>
      <c r="BE60" s="18">
        <v>0</v>
      </c>
      <c r="BF60" s="18">
        <v>0</v>
      </c>
      <c r="BG60" s="18">
        <v>0</v>
      </c>
      <c r="BH60" s="18">
        <v>0</v>
      </c>
      <c r="BI60" s="18">
        <v>0</v>
      </c>
      <c r="BJ60" s="18">
        <v>0</v>
      </c>
      <c r="BK60" s="18">
        <v>0</v>
      </c>
      <c r="BL60" s="18">
        <v>144</v>
      </c>
      <c r="BM60" s="21">
        <v>2400</v>
      </c>
      <c r="BN60" s="14">
        <f t="shared" si="0"/>
        <v>2256</v>
      </c>
      <c r="BO60" s="14">
        <f t="shared" si="1"/>
        <v>1579.1999999999998</v>
      </c>
    </row>
    <row r="61" spans="1:67" ht="24" x14ac:dyDescent="0.3">
      <c r="A61" s="5" t="s">
        <v>217</v>
      </c>
      <c r="B61" s="16" t="s">
        <v>258</v>
      </c>
      <c r="C61" s="16">
        <v>480605</v>
      </c>
      <c r="D61" s="17"/>
      <c r="E61" s="16" t="s">
        <v>16</v>
      </c>
      <c r="F61" s="16" t="s">
        <v>259</v>
      </c>
      <c r="G61" s="16" t="s">
        <v>23</v>
      </c>
      <c r="H61" s="18" t="s">
        <v>27</v>
      </c>
      <c r="I61" s="18" t="s">
        <v>260</v>
      </c>
      <c r="J61" s="18">
        <v>0</v>
      </c>
      <c r="K61" s="18">
        <v>0</v>
      </c>
      <c r="L61" s="18">
        <v>0</v>
      </c>
      <c r="M61" s="18">
        <v>0</v>
      </c>
      <c r="N61" s="18">
        <v>0</v>
      </c>
      <c r="O61" s="18">
        <v>0</v>
      </c>
      <c r="P61" s="18">
        <v>0</v>
      </c>
      <c r="Q61" s="18">
        <v>0</v>
      </c>
      <c r="R61" s="18">
        <v>0</v>
      </c>
      <c r="S61" s="18">
        <v>0</v>
      </c>
      <c r="T61" s="18">
        <v>0</v>
      </c>
      <c r="U61" s="18">
        <v>0</v>
      </c>
      <c r="V61" s="18">
        <v>0</v>
      </c>
      <c r="W61" s="18">
        <v>0</v>
      </c>
      <c r="X61" s="18">
        <v>0</v>
      </c>
      <c r="Y61" s="18">
        <v>0</v>
      </c>
      <c r="Z61" s="18">
        <v>0</v>
      </c>
      <c r="AA61" s="18">
        <v>0</v>
      </c>
      <c r="AB61" s="18">
        <v>0</v>
      </c>
      <c r="AC61" s="18">
        <v>0</v>
      </c>
      <c r="AD61" s="18">
        <v>0</v>
      </c>
      <c r="AE61" s="18">
        <v>1</v>
      </c>
      <c r="AF61" s="19">
        <v>2000</v>
      </c>
      <c r="AG61" s="18">
        <v>0</v>
      </c>
      <c r="AH61" s="18">
        <v>0</v>
      </c>
      <c r="AI61" s="18">
        <v>0</v>
      </c>
      <c r="AJ61" s="18">
        <v>0</v>
      </c>
      <c r="AK61" s="18">
        <v>0</v>
      </c>
      <c r="AL61" s="18">
        <v>0</v>
      </c>
      <c r="AM61" s="18">
        <v>0</v>
      </c>
      <c r="AN61" s="18">
        <v>0</v>
      </c>
      <c r="AO61" s="18">
        <v>0</v>
      </c>
      <c r="AP61" s="18">
        <v>0</v>
      </c>
      <c r="AQ61" s="18">
        <v>0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  <c r="AY61" s="18">
        <v>0</v>
      </c>
      <c r="AZ61" s="18">
        <v>0</v>
      </c>
      <c r="BA61" s="18">
        <v>0</v>
      </c>
      <c r="BB61" s="18">
        <v>0</v>
      </c>
      <c r="BC61" s="18">
        <v>0</v>
      </c>
      <c r="BD61" s="18">
        <v>0</v>
      </c>
      <c r="BE61" s="18">
        <v>0</v>
      </c>
      <c r="BF61" s="18">
        <v>0</v>
      </c>
      <c r="BG61" s="18">
        <v>0</v>
      </c>
      <c r="BH61" s="18">
        <v>0</v>
      </c>
      <c r="BI61" s="18">
        <v>0</v>
      </c>
      <c r="BJ61" s="18">
        <v>0</v>
      </c>
      <c r="BK61" s="18">
        <v>0</v>
      </c>
      <c r="BL61" s="18">
        <v>0</v>
      </c>
      <c r="BM61" s="21">
        <v>2000</v>
      </c>
      <c r="BN61" s="14">
        <f t="shared" si="0"/>
        <v>2000</v>
      </c>
      <c r="BO61" s="14">
        <f t="shared" si="1"/>
        <v>1400</v>
      </c>
    </row>
    <row r="62" spans="1:67" ht="24" x14ac:dyDescent="0.3">
      <c r="A62" s="5" t="s">
        <v>217</v>
      </c>
      <c r="B62" s="16" t="s">
        <v>284</v>
      </c>
      <c r="C62" s="16">
        <v>457677</v>
      </c>
      <c r="D62" s="17"/>
      <c r="E62" s="16" t="s">
        <v>16</v>
      </c>
      <c r="F62" s="16" t="s">
        <v>285</v>
      </c>
      <c r="G62" s="16" t="s">
        <v>23</v>
      </c>
      <c r="H62" s="18" t="s">
        <v>27</v>
      </c>
      <c r="I62" s="18" t="s">
        <v>286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1</v>
      </c>
      <c r="AF62" s="18">
        <v>0</v>
      </c>
      <c r="AG62" s="19">
        <v>2000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8">
        <v>0</v>
      </c>
      <c r="BA62" s="18">
        <v>0</v>
      </c>
      <c r="BB62" s="18">
        <v>0</v>
      </c>
      <c r="BC62" s="18">
        <v>0</v>
      </c>
      <c r="BD62" s="18">
        <v>0</v>
      </c>
      <c r="BE62" s="18">
        <v>0</v>
      </c>
      <c r="BF62" s="18">
        <v>0</v>
      </c>
      <c r="BG62" s="18">
        <v>0</v>
      </c>
      <c r="BH62" s="18">
        <v>0</v>
      </c>
      <c r="BI62" s="18">
        <v>0</v>
      </c>
      <c r="BJ62" s="18">
        <v>0</v>
      </c>
      <c r="BK62" s="18">
        <v>0</v>
      </c>
      <c r="BL62" s="18">
        <v>0</v>
      </c>
      <c r="BM62" s="21">
        <v>2000</v>
      </c>
      <c r="BN62" s="14">
        <f t="shared" si="0"/>
        <v>2000</v>
      </c>
      <c r="BO62" s="14">
        <f t="shared" si="1"/>
        <v>1400</v>
      </c>
    </row>
    <row r="63" spans="1:67" ht="24" x14ac:dyDescent="0.3">
      <c r="A63" s="5" t="s">
        <v>217</v>
      </c>
      <c r="B63" s="16" t="s">
        <v>248</v>
      </c>
      <c r="C63" s="16">
        <v>454228</v>
      </c>
      <c r="D63" s="17"/>
      <c r="E63" s="16" t="s">
        <v>16</v>
      </c>
      <c r="F63" s="16" t="s">
        <v>17</v>
      </c>
      <c r="G63" s="16" t="s">
        <v>18</v>
      </c>
      <c r="H63" s="18" t="s">
        <v>7</v>
      </c>
      <c r="I63" s="18" t="s">
        <v>249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2</v>
      </c>
      <c r="AC63" s="18">
        <v>0</v>
      </c>
      <c r="AD63" s="19">
        <v>1200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1</v>
      </c>
      <c r="AO63" s="18">
        <v>600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  <c r="AY63" s="18">
        <v>0</v>
      </c>
      <c r="AZ63" s="18">
        <v>0</v>
      </c>
      <c r="BA63" s="18">
        <v>0</v>
      </c>
      <c r="BB63" s="18">
        <v>0</v>
      </c>
      <c r="BC63" s="18">
        <v>0</v>
      </c>
      <c r="BD63" s="18">
        <v>0</v>
      </c>
      <c r="BE63" s="18">
        <v>0</v>
      </c>
      <c r="BF63" s="18">
        <v>0</v>
      </c>
      <c r="BG63" s="18">
        <v>0</v>
      </c>
      <c r="BH63" s="18">
        <v>0</v>
      </c>
      <c r="BI63" s="18">
        <v>0</v>
      </c>
      <c r="BJ63" s="18">
        <v>0</v>
      </c>
      <c r="BK63" s="18">
        <v>0</v>
      </c>
      <c r="BL63" s="18">
        <v>0</v>
      </c>
      <c r="BM63" s="21">
        <v>1800</v>
      </c>
      <c r="BN63" s="14">
        <f t="shared" si="0"/>
        <v>1800</v>
      </c>
      <c r="BO63" s="14">
        <f t="shared" si="1"/>
        <v>1260</v>
      </c>
    </row>
    <row r="64" spans="1:67" ht="24" x14ac:dyDescent="0.3">
      <c r="A64" s="5" t="s">
        <v>217</v>
      </c>
      <c r="B64" s="16" t="s">
        <v>340</v>
      </c>
      <c r="C64" s="16">
        <v>443969</v>
      </c>
      <c r="D64" s="17"/>
      <c r="E64" s="16" t="s">
        <v>16</v>
      </c>
      <c r="F64" s="16" t="s">
        <v>55</v>
      </c>
      <c r="G64" s="16" t="s">
        <v>56</v>
      </c>
      <c r="H64" s="18" t="s">
        <v>8</v>
      </c>
      <c r="I64" s="18" t="s">
        <v>115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  <c r="AY64" s="18">
        <v>0</v>
      </c>
      <c r="AZ64" s="18">
        <v>0</v>
      </c>
      <c r="BA64" s="18">
        <v>0</v>
      </c>
      <c r="BB64" s="18">
        <v>0</v>
      </c>
      <c r="BC64" s="18">
        <v>12</v>
      </c>
      <c r="BD64" s="19">
        <v>1440</v>
      </c>
      <c r="BE64" s="18">
        <v>0</v>
      </c>
      <c r="BF64" s="18">
        <v>0</v>
      </c>
      <c r="BG64" s="18">
        <v>0</v>
      </c>
      <c r="BH64" s="18">
        <v>0</v>
      </c>
      <c r="BI64" s="18">
        <v>0</v>
      </c>
      <c r="BJ64" s="18">
        <v>0</v>
      </c>
      <c r="BK64" s="18">
        <v>0</v>
      </c>
      <c r="BL64" s="18">
        <v>86.4</v>
      </c>
      <c r="BM64" s="21">
        <v>1440</v>
      </c>
      <c r="BN64" s="14">
        <f t="shared" si="0"/>
        <v>1353.6</v>
      </c>
      <c r="BO64" s="14">
        <f t="shared" si="1"/>
        <v>947.51999999999987</v>
      </c>
    </row>
    <row r="65" spans="1:67" ht="24" x14ac:dyDescent="0.3">
      <c r="A65" s="5" t="s">
        <v>217</v>
      </c>
      <c r="B65" s="16" t="s">
        <v>341</v>
      </c>
      <c r="C65" s="16">
        <v>425542</v>
      </c>
      <c r="D65" s="17"/>
      <c r="E65" s="16" t="s">
        <v>16</v>
      </c>
      <c r="F65" s="16" t="s">
        <v>342</v>
      </c>
      <c r="G65" s="16" t="s">
        <v>56</v>
      </c>
      <c r="H65" s="18" t="s">
        <v>8</v>
      </c>
      <c r="I65" s="18" t="s">
        <v>343</v>
      </c>
      <c r="J65" s="18">
        <v>0</v>
      </c>
      <c r="K65" s="18">
        <v>0</v>
      </c>
      <c r="L65" s="18">
        <v>0</v>
      </c>
      <c r="M65" s="18">
        <v>0</v>
      </c>
      <c r="N65" s="18">
        <v>0</v>
      </c>
      <c r="O65" s="18">
        <v>0</v>
      </c>
      <c r="P65" s="18">
        <v>0</v>
      </c>
      <c r="Q65" s="18">
        <v>0</v>
      </c>
      <c r="R65" s="18">
        <v>0</v>
      </c>
      <c r="S65" s="18">
        <v>0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8">
        <v>0</v>
      </c>
      <c r="Z65" s="18">
        <v>0</v>
      </c>
      <c r="AA65" s="18">
        <v>0</v>
      </c>
      <c r="AB65" s="18">
        <v>0</v>
      </c>
      <c r="AC65" s="18">
        <v>0</v>
      </c>
      <c r="AD65" s="18">
        <v>0</v>
      </c>
      <c r="AE65" s="18">
        <v>0</v>
      </c>
      <c r="AF65" s="18">
        <v>0</v>
      </c>
      <c r="AG65" s="18">
        <v>0</v>
      </c>
      <c r="AH65" s="18">
        <v>0</v>
      </c>
      <c r="AI65" s="18">
        <v>0</v>
      </c>
      <c r="AJ65" s="18">
        <v>0</v>
      </c>
      <c r="AK65" s="18">
        <v>0</v>
      </c>
      <c r="AL65" s="18">
        <v>0</v>
      </c>
      <c r="AM65" s="18">
        <v>0</v>
      </c>
      <c r="AN65" s="18">
        <v>0</v>
      </c>
      <c r="AO65" s="18">
        <v>0</v>
      </c>
      <c r="AP65" s="18">
        <v>0</v>
      </c>
      <c r="AQ65" s="18">
        <v>0</v>
      </c>
      <c r="AR65" s="18">
        <v>0</v>
      </c>
      <c r="AS65" s="18">
        <v>0</v>
      </c>
      <c r="AT65" s="18">
        <v>0</v>
      </c>
      <c r="AU65" s="18">
        <v>0</v>
      </c>
      <c r="AV65" s="18">
        <v>0</v>
      </c>
      <c r="AW65" s="18">
        <v>0</v>
      </c>
      <c r="AX65" s="18">
        <v>0</v>
      </c>
      <c r="AY65" s="18">
        <v>0</v>
      </c>
      <c r="AZ65" s="18">
        <v>0</v>
      </c>
      <c r="BA65" s="18">
        <v>0</v>
      </c>
      <c r="BB65" s="18">
        <v>0</v>
      </c>
      <c r="BC65" s="18">
        <v>11</v>
      </c>
      <c r="BD65" s="19">
        <v>1320</v>
      </c>
      <c r="BE65" s="18">
        <v>0</v>
      </c>
      <c r="BF65" s="18">
        <v>0</v>
      </c>
      <c r="BG65" s="18">
        <v>0</v>
      </c>
      <c r="BH65" s="18">
        <v>0</v>
      </c>
      <c r="BI65" s="18">
        <v>0</v>
      </c>
      <c r="BJ65" s="18">
        <v>0</v>
      </c>
      <c r="BK65" s="18">
        <v>0</v>
      </c>
      <c r="BL65" s="18">
        <v>79.2</v>
      </c>
      <c r="BM65" s="21">
        <v>1320</v>
      </c>
      <c r="BN65" s="14">
        <f t="shared" si="0"/>
        <v>1240.8</v>
      </c>
      <c r="BO65" s="14">
        <f t="shared" si="1"/>
        <v>868.56</v>
      </c>
    </row>
    <row r="66" spans="1:67" ht="24" x14ac:dyDescent="0.3">
      <c r="A66" s="5" t="s">
        <v>217</v>
      </c>
      <c r="B66" s="16" t="s">
        <v>155</v>
      </c>
      <c r="C66" s="16">
        <v>445598</v>
      </c>
      <c r="D66" s="17"/>
      <c r="E66" s="16" t="s">
        <v>16</v>
      </c>
      <c r="F66" s="16" t="s">
        <v>17</v>
      </c>
      <c r="G66" s="16" t="s">
        <v>18</v>
      </c>
      <c r="H66" s="18" t="s">
        <v>7</v>
      </c>
      <c r="I66" s="18" t="s">
        <v>89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9</v>
      </c>
      <c r="AF66" s="18">
        <v>0</v>
      </c>
      <c r="AG66" s="18">
        <v>900</v>
      </c>
      <c r="AH66" s="18">
        <v>0</v>
      </c>
      <c r="AI66" s="18">
        <v>0</v>
      </c>
      <c r="AJ66" s="18">
        <v>0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8">
        <v>0</v>
      </c>
      <c r="BA66" s="18">
        <v>0</v>
      </c>
      <c r="BB66" s="18">
        <v>0</v>
      </c>
      <c r="BC66" s="18">
        <v>0</v>
      </c>
      <c r="BD66" s="18">
        <v>0</v>
      </c>
      <c r="BE66" s="18">
        <v>0</v>
      </c>
      <c r="BF66" s="18">
        <v>0</v>
      </c>
      <c r="BG66" s="18">
        <v>0</v>
      </c>
      <c r="BH66" s="18">
        <v>0</v>
      </c>
      <c r="BI66" s="18">
        <v>0</v>
      </c>
      <c r="BJ66" s="18">
        <v>0</v>
      </c>
      <c r="BK66" s="18">
        <v>0</v>
      </c>
      <c r="BL66" s="18">
        <v>0</v>
      </c>
      <c r="BM66" s="22">
        <v>900</v>
      </c>
      <c r="BN66" s="14">
        <f t="shared" si="0"/>
        <v>900</v>
      </c>
      <c r="BO66" s="14">
        <f t="shared" si="1"/>
        <v>630</v>
      </c>
    </row>
    <row r="67" spans="1:67" ht="24" x14ac:dyDescent="0.3">
      <c r="A67" s="5" t="s">
        <v>217</v>
      </c>
      <c r="B67" s="16" t="s">
        <v>257</v>
      </c>
      <c r="C67" s="16">
        <v>442342</v>
      </c>
      <c r="D67" s="17"/>
      <c r="E67" s="16" t="s">
        <v>16</v>
      </c>
      <c r="F67" s="16" t="s">
        <v>97</v>
      </c>
      <c r="G67" s="16" t="s">
        <v>69</v>
      </c>
      <c r="H67" s="18" t="s">
        <v>7</v>
      </c>
      <c r="I67" s="18" t="s">
        <v>98</v>
      </c>
      <c r="J67" s="18">
        <v>6</v>
      </c>
      <c r="K67" s="18">
        <v>0</v>
      </c>
      <c r="L67" s="18">
        <v>600</v>
      </c>
      <c r="M67" s="18">
        <v>0</v>
      </c>
      <c r="N67" s="18">
        <v>0</v>
      </c>
      <c r="O67" s="18">
        <v>0</v>
      </c>
      <c r="P67" s="18">
        <v>0</v>
      </c>
      <c r="Q67" s="18">
        <v>0</v>
      </c>
      <c r="R67" s="18">
        <v>0</v>
      </c>
      <c r="S67" s="18">
        <v>0</v>
      </c>
      <c r="T67" s="18">
        <v>0</v>
      </c>
      <c r="U67" s="18">
        <v>0</v>
      </c>
      <c r="V67" s="18">
        <v>0</v>
      </c>
      <c r="W67" s="18">
        <v>0</v>
      </c>
      <c r="X67" s="18">
        <v>0</v>
      </c>
      <c r="Y67" s="18">
        <v>0</v>
      </c>
      <c r="Z67" s="18">
        <v>0</v>
      </c>
      <c r="AA67" s="18">
        <v>0</v>
      </c>
      <c r="AB67" s="18">
        <v>0</v>
      </c>
      <c r="AC67" s="18">
        <v>0</v>
      </c>
      <c r="AD67" s="18">
        <v>0</v>
      </c>
      <c r="AE67" s="18">
        <v>0</v>
      </c>
      <c r="AF67" s="18">
        <v>0</v>
      </c>
      <c r="AG67" s="18">
        <v>0</v>
      </c>
      <c r="AH67" s="18">
        <v>0</v>
      </c>
      <c r="AI67" s="18">
        <v>0</v>
      </c>
      <c r="AJ67" s="18">
        <v>0</v>
      </c>
      <c r="AK67" s="18">
        <v>0</v>
      </c>
      <c r="AL67" s="18">
        <v>0</v>
      </c>
      <c r="AM67" s="18">
        <v>0</v>
      </c>
      <c r="AN67" s="18">
        <v>0</v>
      </c>
      <c r="AO67" s="18">
        <v>0</v>
      </c>
      <c r="AP67" s="18">
        <v>0</v>
      </c>
      <c r="AQ67" s="18">
        <v>0</v>
      </c>
      <c r="AR67" s="18">
        <v>0</v>
      </c>
      <c r="AS67" s="18">
        <v>0</v>
      </c>
      <c r="AT67" s="18">
        <v>0</v>
      </c>
      <c r="AU67" s="18">
        <v>0</v>
      </c>
      <c r="AV67" s="18">
        <v>0</v>
      </c>
      <c r="AW67" s="18">
        <v>0</v>
      </c>
      <c r="AX67" s="18">
        <v>0</v>
      </c>
      <c r="AY67" s="18">
        <v>0</v>
      </c>
      <c r="AZ67" s="18">
        <v>0</v>
      </c>
      <c r="BA67" s="18">
        <v>0</v>
      </c>
      <c r="BB67" s="18">
        <v>0</v>
      </c>
      <c r="BC67" s="18">
        <v>0</v>
      </c>
      <c r="BD67" s="18">
        <v>0</v>
      </c>
      <c r="BE67" s="18">
        <v>0</v>
      </c>
      <c r="BF67" s="18">
        <v>0</v>
      </c>
      <c r="BG67" s="18">
        <v>0</v>
      </c>
      <c r="BH67" s="18">
        <v>0</v>
      </c>
      <c r="BI67" s="18">
        <v>0</v>
      </c>
      <c r="BJ67" s="18">
        <v>0</v>
      </c>
      <c r="BK67" s="18">
        <v>0</v>
      </c>
      <c r="BL67" s="18">
        <v>0</v>
      </c>
      <c r="BM67" s="22">
        <v>600</v>
      </c>
      <c r="BN67" s="14">
        <f t="shared" ref="BN67:BN71" si="2">BM67-BL67</f>
        <v>600</v>
      </c>
      <c r="BO67" s="14">
        <f t="shared" ref="BO67:BO71" si="3">BN67*0.7</f>
        <v>420</v>
      </c>
    </row>
    <row r="68" spans="1:67" ht="24" x14ac:dyDescent="0.3">
      <c r="A68" s="5" t="s">
        <v>217</v>
      </c>
      <c r="B68" s="16" t="s">
        <v>290</v>
      </c>
      <c r="C68" s="16">
        <v>451947</v>
      </c>
      <c r="D68" s="17"/>
      <c r="E68" s="16" t="s">
        <v>16</v>
      </c>
      <c r="F68" s="16" t="s">
        <v>17</v>
      </c>
      <c r="G68" s="16" t="s">
        <v>18</v>
      </c>
      <c r="H68" s="18" t="s">
        <v>7</v>
      </c>
      <c r="I68" s="18" t="s">
        <v>66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6</v>
      </c>
      <c r="AF68" s="18">
        <v>600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  <c r="AY68" s="18">
        <v>0</v>
      </c>
      <c r="AZ68" s="18">
        <v>0</v>
      </c>
      <c r="BA68" s="18">
        <v>0</v>
      </c>
      <c r="BB68" s="18">
        <v>0</v>
      </c>
      <c r="BC68" s="18">
        <v>0</v>
      </c>
      <c r="BD68" s="18">
        <v>0</v>
      </c>
      <c r="BE68" s="18">
        <v>0</v>
      </c>
      <c r="BF68" s="18">
        <v>0</v>
      </c>
      <c r="BG68" s="18">
        <v>0</v>
      </c>
      <c r="BH68" s="18">
        <v>0</v>
      </c>
      <c r="BI68" s="18">
        <v>0</v>
      </c>
      <c r="BJ68" s="18">
        <v>0</v>
      </c>
      <c r="BK68" s="18">
        <v>0</v>
      </c>
      <c r="BL68" s="18">
        <v>0</v>
      </c>
      <c r="BM68" s="22">
        <v>600</v>
      </c>
      <c r="BN68" s="14">
        <f t="shared" si="2"/>
        <v>600</v>
      </c>
      <c r="BO68" s="14">
        <f t="shared" si="3"/>
        <v>420</v>
      </c>
    </row>
    <row r="69" spans="1:67" ht="24" x14ac:dyDescent="0.3">
      <c r="A69" s="5" t="s">
        <v>217</v>
      </c>
      <c r="B69" s="16" t="s">
        <v>254</v>
      </c>
      <c r="C69" s="16">
        <v>443816</v>
      </c>
      <c r="D69" s="17"/>
      <c r="E69" s="16" t="s">
        <v>16</v>
      </c>
      <c r="F69" s="16" t="s">
        <v>121</v>
      </c>
      <c r="G69" s="16" t="s">
        <v>35</v>
      </c>
      <c r="H69" s="18" t="s">
        <v>8</v>
      </c>
      <c r="I69" s="18" t="s">
        <v>79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2</v>
      </c>
      <c r="AX69" s="18">
        <v>240</v>
      </c>
      <c r="AY69" s="18">
        <v>0</v>
      </c>
      <c r="AZ69" s="18">
        <v>0</v>
      </c>
      <c r="BA69" s="18">
        <v>0</v>
      </c>
      <c r="BB69" s="18">
        <v>0</v>
      </c>
      <c r="BC69" s="18">
        <v>0</v>
      </c>
      <c r="BD69" s="18">
        <v>0</v>
      </c>
      <c r="BE69" s="18">
        <v>0</v>
      </c>
      <c r="BF69" s="18">
        <v>0</v>
      </c>
      <c r="BG69" s="18">
        <v>0</v>
      </c>
      <c r="BH69" s="18">
        <v>0</v>
      </c>
      <c r="BI69" s="18">
        <v>0</v>
      </c>
      <c r="BJ69" s="18">
        <v>0</v>
      </c>
      <c r="BK69" s="18">
        <v>0</v>
      </c>
      <c r="BL69" s="18">
        <v>24</v>
      </c>
      <c r="BM69" s="22">
        <v>240</v>
      </c>
      <c r="BN69" s="14">
        <f t="shared" si="2"/>
        <v>216</v>
      </c>
      <c r="BO69" s="14">
        <f t="shared" si="3"/>
        <v>151.19999999999999</v>
      </c>
    </row>
    <row r="70" spans="1:67" ht="24" x14ac:dyDescent="0.3">
      <c r="A70" s="5" t="s">
        <v>217</v>
      </c>
      <c r="B70" s="16" t="s">
        <v>344</v>
      </c>
      <c r="C70" s="16">
        <v>405099</v>
      </c>
      <c r="D70" s="17"/>
      <c r="E70" s="16" t="s">
        <v>16</v>
      </c>
      <c r="F70" s="16" t="s">
        <v>345</v>
      </c>
      <c r="G70" s="16" t="s">
        <v>35</v>
      </c>
      <c r="H70" s="18" t="s">
        <v>8</v>
      </c>
      <c r="I70" s="18" t="s">
        <v>346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2</v>
      </c>
      <c r="AF70" s="18">
        <v>200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  <c r="AY70" s="18">
        <v>0</v>
      </c>
      <c r="AZ70" s="18">
        <v>0</v>
      </c>
      <c r="BA70" s="18">
        <v>0</v>
      </c>
      <c r="BB70" s="18">
        <v>0</v>
      </c>
      <c r="BC70" s="18">
        <v>0</v>
      </c>
      <c r="BD70" s="18">
        <v>0</v>
      </c>
      <c r="BE70" s="18">
        <v>0</v>
      </c>
      <c r="BF70" s="18">
        <v>0</v>
      </c>
      <c r="BG70" s="18">
        <v>0</v>
      </c>
      <c r="BH70" s="18">
        <v>0</v>
      </c>
      <c r="BI70" s="18">
        <v>0</v>
      </c>
      <c r="BJ70" s="18">
        <v>0</v>
      </c>
      <c r="BK70" s="18">
        <v>0</v>
      </c>
      <c r="BL70" s="18">
        <v>0</v>
      </c>
      <c r="BM70" s="22">
        <v>200</v>
      </c>
      <c r="BN70" s="14">
        <f t="shared" si="2"/>
        <v>200</v>
      </c>
      <c r="BO70" s="14">
        <f t="shared" si="3"/>
        <v>140</v>
      </c>
    </row>
    <row r="71" spans="1:67" ht="24" x14ac:dyDescent="0.3">
      <c r="A71" s="5" t="s">
        <v>217</v>
      </c>
      <c r="B71" s="16" t="s">
        <v>347</v>
      </c>
      <c r="C71" s="16">
        <v>425161</v>
      </c>
      <c r="D71" s="17"/>
      <c r="E71" s="16" t="s">
        <v>16</v>
      </c>
      <c r="F71" s="16" t="s">
        <v>348</v>
      </c>
      <c r="G71" s="16" t="s">
        <v>56</v>
      </c>
      <c r="H71" s="18" t="s">
        <v>8</v>
      </c>
      <c r="I71" s="18" t="s">
        <v>349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2</v>
      </c>
      <c r="AF71" s="18">
        <v>0</v>
      </c>
      <c r="AG71" s="18">
        <v>200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  <c r="AY71" s="18">
        <v>0</v>
      </c>
      <c r="AZ71" s="18">
        <v>0</v>
      </c>
      <c r="BA71" s="18">
        <v>0</v>
      </c>
      <c r="BB71" s="18">
        <v>0</v>
      </c>
      <c r="BC71" s="18">
        <v>0</v>
      </c>
      <c r="BD71" s="18">
        <v>0</v>
      </c>
      <c r="BE71" s="18">
        <v>0</v>
      </c>
      <c r="BF71" s="18">
        <v>0</v>
      </c>
      <c r="BG71" s="18">
        <v>0</v>
      </c>
      <c r="BH71" s="18">
        <v>0</v>
      </c>
      <c r="BI71" s="18">
        <v>0</v>
      </c>
      <c r="BJ71" s="18">
        <v>0</v>
      </c>
      <c r="BK71" s="18">
        <v>0</v>
      </c>
      <c r="BL71" s="18">
        <v>0</v>
      </c>
      <c r="BM71" s="22">
        <v>200</v>
      </c>
      <c r="BN71" s="14">
        <f t="shared" si="2"/>
        <v>200</v>
      </c>
      <c r="BO71" s="14">
        <f t="shared" si="3"/>
        <v>140</v>
      </c>
    </row>
    <row r="72" spans="1:67" ht="24" x14ac:dyDescent="0.3">
      <c r="A72" s="5" t="s">
        <v>217</v>
      </c>
      <c r="B72" s="16" t="s">
        <v>350</v>
      </c>
      <c r="C72" s="16">
        <v>443833</v>
      </c>
      <c r="D72" s="17"/>
      <c r="E72" s="16" t="s">
        <v>16</v>
      </c>
      <c r="F72" s="16" t="s">
        <v>351</v>
      </c>
      <c r="G72" s="16" t="s">
        <v>35</v>
      </c>
      <c r="H72" s="18" t="s">
        <v>8</v>
      </c>
      <c r="I72" s="18" t="s">
        <v>79</v>
      </c>
      <c r="J72" s="18">
        <v>0</v>
      </c>
      <c r="K72" s="18">
        <v>0</v>
      </c>
      <c r="L72" s="18">
        <v>0</v>
      </c>
      <c r="M72" s="18">
        <v>0</v>
      </c>
      <c r="N72" s="18">
        <v>0</v>
      </c>
      <c r="O72" s="18">
        <v>0</v>
      </c>
      <c r="P72" s="18">
        <v>0</v>
      </c>
      <c r="Q72" s="18">
        <v>0</v>
      </c>
      <c r="R72" s="18">
        <v>0</v>
      </c>
      <c r="S72" s="18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8">
        <v>0</v>
      </c>
      <c r="Z72" s="18">
        <v>0</v>
      </c>
      <c r="AA72" s="18">
        <v>0</v>
      </c>
      <c r="AB72" s="18">
        <v>0</v>
      </c>
      <c r="AC72" s="18">
        <v>0</v>
      </c>
      <c r="AD72" s="18">
        <v>0</v>
      </c>
      <c r="AE72" s="18">
        <v>0</v>
      </c>
      <c r="AF72" s="18">
        <v>0</v>
      </c>
      <c r="AG72" s="18">
        <v>0</v>
      </c>
      <c r="AH72" s="18">
        <v>0</v>
      </c>
      <c r="AI72" s="18">
        <v>0</v>
      </c>
      <c r="AJ72" s="18">
        <v>0</v>
      </c>
      <c r="AK72" s="18">
        <v>0</v>
      </c>
      <c r="AL72" s="18">
        <v>0</v>
      </c>
      <c r="AM72" s="18">
        <v>0</v>
      </c>
      <c r="AN72" s="18">
        <v>0</v>
      </c>
      <c r="AO72" s="18">
        <v>0</v>
      </c>
      <c r="AP72" s="18">
        <v>0</v>
      </c>
      <c r="AQ72" s="18">
        <v>0</v>
      </c>
      <c r="AR72" s="18">
        <v>0</v>
      </c>
      <c r="AS72" s="18">
        <v>0</v>
      </c>
      <c r="AT72" s="18">
        <v>0</v>
      </c>
      <c r="AU72" s="18">
        <v>0</v>
      </c>
      <c r="AV72" s="18">
        <v>0</v>
      </c>
      <c r="AW72" s="18">
        <v>0</v>
      </c>
      <c r="AX72" s="18">
        <v>0</v>
      </c>
      <c r="AY72" s="18">
        <v>0</v>
      </c>
      <c r="AZ72" s="18">
        <v>0</v>
      </c>
      <c r="BA72" s="18">
        <v>0</v>
      </c>
      <c r="BB72" s="18">
        <v>0</v>
      </c>
      <c r="BC72" s="18">
        <v>1</v>
      </c>
      <c r="BD72" s="18">
        <v>120</v>
      </c>
      <c r="BE72" s="18">
        <v>0</v>
      </c>
      <c r="BF72" s="18">
        <v>0</v>
      </c>
      <c r="BG72" s="18">
        <v>0</v>
      </c>
      <c r="BH72" s="18">
        <v>0</v>
      </c>
      <c r="BI72" s="18">
        <v>0</v>
      </c>
      <c r="BJ72" s="18">
        <v>0</v>
      </c>
      <c r="BK72" s="18">
        <v>0</v>
      </c>
      <c r="BL72" s="18">
        <v>7.2</v>
      </c>
      <c r="BM72" s="22">
        <v>120</v>
      </c>
      <c r="BN72" s="14">
        <f t="shared" ref="BN72:BN134" si="4">BM72-BL72</f>
        <v>112.8</v>
      </c>
      <c r="BO72" s="14">
        <f t="shared" ref="BO72:BO134" si="5">BN72*0.7</f>
        <v>78.959999999999994</v>
      </c>
    </row>
    <row r="73" spans="1:67" ht="24" x14ac:dyDescent="0.3">
      <c r="A73" s="5" t="s">
        <v>217</v>
      </c>
      <c r="B73" s="16" t="s">
        <v>352</v>
      </c>
      <c r="C73" s="16">
        <v>443847</v>
      </c>
      <c r="D73" s="17"/>
      <c r="E73" s="16" t="s">
        <v>16</v>
      </c>
      <c r="F73" s="16" t="s">
        <v>55</v>
      </c>
      <c r="G73" s="16" t="s">
        <v>56</v>
      </c>
      <c r="H73" s="18" t="s">
        <v>8</v>
      </c>
      <c r="I73" s="18" t="s">
        <v>79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8">
        <v>0</v>
      </c>
      <c r="Z73" s="18">
        <v>0</v>
      </c>
      <c r="AA73" s="18">
        <v>0</v>
      </c>
      <c r="AB73" s="18">
        <v>0</v>
      </c>
      <c r="AC73" s="18">
        <v>0</v>
      </c>
      <c r="AD73" s="18">
        <v>0</v>
      </c>
      <c r="AE73" s="18">
        <v>1</v>
      </c>
      <c r="AF73" s="18">
        <v>0</v>
      </c>
      <c r="AG73" s="18">
        <v>100</v>
      </c>
      <c r="AH73" s="18">
        <v>0</v>
      </c>
      <c r="AI73" s="18">
        <v>0</v>
      </c>
      <c r="AJ73" s="18">
        <v>0</v>
      </c>
      <c r="AK73" s="18">
        <v>0</v>
      </c>
      <c r="AL73" s="18">
        <v>0</v>
      </c>
      <c r="AM73" s="18">
        <v>0</v>
      </c>
      <c r="AN73" s="18">
        <v>0</v>
      </c>
      <c r="AO73" s="18">
        <v>0</v>
      </c>
      <c r="AP73" s="18">
        <v>0</v>
      </c>
      <c r="AQ73" s="18">
        <v>0</v>
      </c>
      <c r="AR73" s="18">
        <v>0</v>
      </c>
      <c r="AS73" s="18">
        <v>0</v>
      </c>
      <c r="AT73" s="18">
        <v>0</v>
      </c>
      <c r="AU73" s="18">
        <v>0</v>
      </c>
      <c r="AV73" s="18">
        <v>0</v>
      </c>
      <c r="AW73" s="18">
        <v>0</v>
      </c>
      <c r="AX73" s="18">
        <v>0</v>
      </c>
      <c r="AY73" s="18">
        <v>0</v>
      </c>
      <c r="AZ73" s="18">
        <v>0</v>
      </c>
      <c r="BA73" s="18">
        <v>0</v>
      </c>
      <c r="BB73" s="18">
        <v>0</v>
      </c>
      <c r="BC73" s="18">
        <v>0</v>
      </c>
      <c r="BD73" s="18">
        <v>0</v>
      </c>
      <c r="BE73" s="18">
        <v>0</v>
      </c>
      <c r="BF73" s="18">
        <v>0</v>
      </c>
      <c r="BG73" s="18">
        <v>0</v>
      </c>
      <c r="BH73" s="18">
        <v>0</v>
      </c>
      <c r="BI73" s="18">
        <v>0</v>
      </c>
      <c r="BJ73" s="18">
        <v>0</v>
      </c>
      <c r="BK73" s="18">
        <v>0</v>
      </c>
      <c r="BL73" s="18">
        <v>0</v>
      </c>
      <c r="BM73" s="22">
        <v>100</v>
      </c>
      <c r="BN73" s="14">
        <f t="shared" si="4"/>
        <v>100</v>
      </c>
      <c r="BO73" s="14">
        <f t="shared" si="5"/>
        <v>70</v>
      </c>
    </row>
    <row r="74" spans="1:67" ht="24" x14ac:dyDescent="0.3">
      <c r="A74" s="5" t="s">
        <v>217</v>
      </c>
      <c r="B74" s="16" t="s">
        <v>289</v>
      </c>
      <c r="C74" s="16">
        <v>468590</v>
      </c>
      <c r="D74" s="17"/>
      <c r="E74" s="16" t="s">
        <v>16</v>
      </c>
      <c r="F74" s="16" t="s">
        <v>285</v>
      </c>
      <c r="G74" s="16" t="s">
        <v>23</v>
      </c>
      <c r="H74" s="18" t="s">
        <v>27</v>
      </c>
      <c r="I74" s="18" t="s">
        <v>279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-1</v>
      </c>
      <c r="AF74" s="18">
        <v>0</v>
      </c>
      <c r="AG74" s="19">
        <v>-2000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  <c r="AY74" s="18">
        <v>0</v>
      </c>
      <c r="AZ74" s="18">
        <v>0</v>
      </c>
      <c r="BA74" s="18">
        <v>0</v>
      </c>
      <c r="BB74" s="18">
        <v>0</v>
      </c>
      <c r="BC74" s="18">
        <v>0</v>
      </c>
      <c r="BD74" s="18">
        <v>0</v>
      </c>
      <c r="BE74" s="18">
        <v>0</v>
      </c>
      <c r="BF74" s="18">
        <v>0</v>
      </c>
      <c r="BG74" s="18">
        <v>0</v>
      </c>
      <c r="BH74" s="18">
        <v>0</v>
      </c>
      <c r="BI74" s="18">
        <v>0</v>
      </c>
      <c r="BJ74" s="18">
        <v>0</v>
      </c>
      <c r="BK74" s="18">
        <v>0</v>
      </c>
      <c r="BL74" s="18">
        <v>0</v>
      </c>
      <c r="BM74" s="21">
        <v>-2000</v>
      </c>
      <c r="BN74" s="14">
        <f t="shared" si="4"/>
        <v>-2000</v>
      </c>
      <c r="BO74" s="14">
        <f t="shared" si="5"/>
        <v>-1400</v>
      </c>
    </row>
    <row r="75" spans="1:67" ht="24" x14ac:dyDescent="0.3">
      <c r="A75" s="5" t="s">
        <v>228</v>
      </c>
      <c r="B75" s="16" t="s">
        <v>20</v>
      </c>
      <c r="C75" s="16">
        <v>451051</v>
      </c>
      <c r="D75" s="17"/>
      <c r="E75" s="16" t="s">
        <v>16</v>
      </c>
      <c r="F75" s="16" t="s">
        <v>17</v>
      </c>
      <c r="G75" s="16" t="s">
        <v>18</v>
      </c>
      <c r="H75" s="18" t="s">
        <v>10</v>
      </c>
      <c r="I75" s="18" t="s">
        <v>14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666</v>
      </c>
      <c r="AF75" s="19">
        <v>78900</v>
      </c>
      <c r="AG75" s="18">
        <v>700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2</v>
      </c>
      <c r="AR75" s="18">
        <v>200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  <c r="AY75" s="18">
        <v>0</v>
      </c>
      <c r="AZ75" s="18">
        <v>0</v>
      </c>
      <c r="BA75" s="18">
        <v>0</v>
      </c>
      <c r="BB75" s="18">
        <v>0</v>
      </c>
      <c r="BC75" s="18">
        <v>0</v>
      </c>
      <c r="BD75" s="18">
        <v>0</v>
      </c>
      <c r="BE75" s="18">
        <v>0</v>
      </c>
      <c r="BF75" s="18">
        <v>0</v>
      </c>
      <c r="BG75" s="18">
        <v>0</v>
      </c>
      <c r="BH75" s="18">
        <v>0</v>
      </c>
      <c r="BI75" s="19">
        <v>1346</v>
      </c>
      <c r="BJ75" s="19">
        <v>161520</v>
      </c>
      <c r="BK75" s="18">
        <v>0</v>
      </c>
      <c r="BL75" s="20">
        <v>8076</v>
      </c>
      <c r="BM75" s="21">
        <v>241320</v>
      </c>
      <c r="BN75" s="14">
        <f t="shared" si="4"/>
        <v>233244</v>
      </c>
      <c r="BO75" s="14">
        <f t="shared" si="5"/>
        <v>163270.79999999999</v>
      </c>
    </row>
    <row r="76" spans="1:67" ht="24" x14ac:dyDescent="0.3">
      <c r="A76" s="5" t="s">
        <v>228</v>
      </c>
      <c r="B76" s="16" t="s">
        <v>142</v>
      </c>
      <c r="C76" s="16">
        <v>470383</v>
      </c>
      <c r="D76" s="17"/>
      <c r="E76" s="16" t="s">
        <v>16</v>
      </c>
      <c r="F76" s="16" t="s">
        <v>143</v>
      </c>
      <c r="G76" s="16" t="s">
        <v>23</v>
      </c>
      <c r="H76" s="18" t="s">
        <v>27</v>
      </c>
      <c r="I76" s="18" t="s">
        <v>144</v>
      </c>
      <c r="J76" s="18">
        <v>0</v>
      </c>
      <c r="K76" s="18">
        <v>0</v>
      </c>
      <c r="L76" s="18">
        <v>0</v>
      </c>
      <c r="M76" s="18">
        <v>0</v>
      </c>
      <c r="N76" s="18">
        <v>0</v>
      </c>
      <c r="O76" s="18">
        <v>0</v>
      </c>
      <c r="P76" s="18">
        <v>0</v>
      </c>
      <c r="Q76" s="18">
        <v>0</v>
      </c>
      <c r="R76" s="18">
        <v>0</v>
      </c>
      <c r="S76" s="18">
        <v>0</v>
      </c>
      <c r="T76" s="18">
        <v>0</v>
      </c>
      <c r="U76" s="18">
        <v>0</v>
      </c>
      <c r="V76" s="18">
        <v>0</v>
      </c>
      <c r="W76" s="18">
        <v>0</v>
      </c>
      <c r="X76" s="18">
        <v>0</v>
      </c>
      <c r="Y76" s="18">
        <v>0</v>
      </c>
      <c r="Z76" s="18">
        <v>0</v>
      </c>
      <c r="AA76" s="18">
        <v>0</v>
      </c>
      <c r="AB76" s="18">
        <v>0</v>
      </c>
      <c r="AC76" s="18">
        <v>0</v>
      </c>
      <c r="AD76" s="18">
        <v>0</v>
      </c>
      <c r="AE76" s="18">
        <v>45</v>
      </c>
      <c r="AF76" s="19">
        <v>39100</v>
      </c>
      <c r="AG76" s="19">
        <v>52100</v>
      </c>
      <c r="AH76" s="18">
        <v>0</v>
      </c>
      <c r="AI76" s="18">
        <v>0</v>
      </c>
      <c r="AJ76" s="18">
        <v>0</v>
      </c>
      <c r="AK76" s="18">
        <v>0</v>
      </c>
      <c r="AL76" s="18">
        <v>0</v>
      </c>
      <c r="AM76" s="18">
        <v>0</v>
      </c>
      <c r="AN76" s="18">
        <v>0</v>
      </c>
      <c r="AO76" s="18">
        <v>0</v>
      </c>
      <c r="AP76" s="18">
        <v>0</v>
      </c>
      <c r="AQ76" s="18">
        <v>7</v>
      </c>
      <c r="AR76" s="19">
        <v>13600</v>
      </c>
      <c r="AS76" s="18">
        <v>0</v>
      </c>
      <c r="AT76" s="18">
        <v>0</v>
      </c>
      <c r="AU76" s="18">
        <v>0</v>
      </c>
      <c r="AV76" s="18">
        <v>0</v>
      </c>
      <c r="AW76" s="18">
        <v>0</v>
      </c>
      <c r="AX76" s="18">
        <v>0</v>
      </c>
      <c r="AY76" s="18">
        <v>0</v>
      </c>
      <c r="AZ76" s="18">
        <v>0</v>
      </c>
      <c r="BA76" s="18">
        <v>0</v>
      </c>
      <c r="BB76" s="18">
        <v>0</v>
      </c>
      <c r="BC76" s="18">
        <v>0</v>
      </c>
      <c r="BD76" s="18">
        <v>0</v>
      </c>
      <c r="BE76" s="18">
        <v>0</v>
      </c>
      <c r="BF76" s="18">
        <v>0</v>
      </c>
      <c r="BG76" s="18">
        <v>0</v>
      </c>
      <c r="BH76" s="18">
        <v>0</v>
      </c>
      <c r="BI76" s="18">
        <v>12</v>
      </c>
      <c r="BJ76" s="19">
        <v>28800</v>
      </c>
      <c r="BK76" s="18">
        <v>0</v>
      </c>
      <c r="BL76" s="20">
        <v>1440</v>
      </c>
      <c r="BM76" s="21">
        <v>133600</v>
      </c>
      <c r="BN76" s="14">
        <f t="shared" si="4"/>
        <v>132160</v>
      </c>
      <c r="BO76" s="14">
        <f t="shared" si="5"/>
        <v>92512</v>
      </c>
    </row>
    <row r="77" spans="1:67" ht="24" x14ac:dyDescent="0.3">
      <c r="A77" s="5" t="s">
        <v>228</v>
      </c>
      <c r="B77" s="16" t="s">
        <v>291</v>
      </c>
      <c r="C77" s="16">
        <v>461353</v>
      </c>
      <c r="D77" s="17"/>
      <c r="E77" s="16" t="s">
        <v>16</v>
      </c>
      <c r="F77" s="16" t="s">
        <v>143</v>
      </c>
      <c r="G77" s="16" t="s">
        <v>23</v>
      </c>
      <c r="H77" s="18" t="s">
        <v>27</v>
      </c>
      <c r="I77" s="18" t="s">
        <v>286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37</v>
      </c>
      <c r="AF77" s="19">
        <v>25760</v>
      </c>
      <c r="AG77" s="19">
        <v>49100</v>
      </c>
      <c r="AH77" s="18">
        <v>0</v>
      </c>
      <c r="AI77" s="18">
        <v>0</v>
      </c>
      <c r="AJ77" s="18">
        <v>0</v>
      </c>
      <c r="AK77" s="18">
        <v>1</v>
      </c>
      <c r="AL77" s="18">
        <v>0</v>
      </c>
      <c r="AM77" s="19">
        <v>2000</v>
      </c>
      <c r="AN77" s="18">
        <v>0</v>
      </c>
      <c r="AO77" s="18">
        <v>0</v>
      </c>
      <c r="AP77" s="18">
        <v>0</v>
      </c>
      <c r="AQ77" s="18">
        <v>10</v>
      </c>
      <c r="AR77" s="19">
        <v>19800</v>
      </c>
      <c r="AS77" s="18">
        <v>200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  <c r="AY77" s="18">
        <v>0</v>
      </c>
      <c r="AZ77" s="18">
        <v>0</v>
      </c>
      <c r="BA77" s="18">
        <v>0</v>
      </c>
      <c r="BB77" s="18">
        <v>0</v>
      </c>
      <c r="BC77" s="18">
        <v>2</v>
      </c>
      <c r="BD77" s="19">
        <v>3960</v>
      </c>
      <c r="BE77" s="18">
        <v>0</v>
      </c>
      <c r="BF77" s="18">
        <v>0</v>
      </c>
      <c r="BG77" s="18">
        <v>0</v>
      </c>
      <c r="BH77" s="18">
        <v>0</v>
      </c>
      <c r="BI77" s="18">
        <v>11</v>
      </c>
      <c r="BJ77" s="19">
        <v>26160</v>
      </c>
      <c r="BK77" s="18">
        <v>0</v>
      </c>
      <c r="BL77" s="20">
        <v>1545.6</v>
      </c>
      <c r="BM77" s="21">
        <v>126980</v>
      </c>
      <c r="BN77" s="14">
        <f t="shared" si="4"/>
        <v>125434.4</v>
      </c>
      <c r="BO77" s="14">
        <f t="shared" si="5"/>
        <v>87804.079999999987</v>
      </c>
    </row>
    <row r="78" spans="1:67" ht="24" x14ac:dyDescent="0.3">
      <c r="A78" s="5" t="s">
        <v>228</v>
      </c>
      <c r="B78" s="16" t="s">
        <v>326</v>
      </c>
      <c r="C78" s="16">
        <v>485979</v>
      </c>
      <c r="D78" s="17"/>
      <c r="E78" s="16" t="s">
        <v>16</v>
      </c>
      <c r="F78" s="16" t="s">
        <v>59</v>
      </c>
      <c r="G78" s="16" t="s">
        <v>23</v>
      </c>
      <c r="H78" s="18" t="s">
        <v>7</v>
      </c>
      <c r="I78" s="18" t="s">
        <v>327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19</v>
      </c>
      <c r="AF78" s="19">
        <v>27380</v>
      </c>
      <c r="AG78" s="19">
        <v>33000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3</v>
      </c>
      <c r="AR78" s="19">
        <v>9000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  <c r="AY78" s="18">
        <v>0</v>
      </c>
      <c r="AZ78" s="18">
        <v>0</v>
      </c>
      <c r="BA78" s="18">
        <v>0</v>
      </c>
      <c r="BB78" s="18">
        <v>0</v>
      </c>
      <c r="BC78" s="18">
        <v>0</v>
      </c>
      <c r="BD78" s="18">
        <v>0</v>
      </c>
      <c r="BE78" s="18">
        <v>0</v>
      </c>
      <c r="BF78" s="18">
        <v>0</v>
      </c>
      <c r="BG78" s="18">
        <v>0</v>
      </c>
      <c r="BH78" s="18">
        <v>0</v>
      </c>
      <c r="BI78" s="18">
        <v>9</v>
      </c>
      <c r="BJ78" s="19">
        <v>32400</v>
      </c>
      <c r="BK78" s="18">
        <v>0</v>
      </c>
      <c r="BL78" s="20">
        <v>1620</v>
      </c>
      <c r="BM78" s="21">
        <v>101780</v>
      </c>
      <c r="BN78" s="14">
        <f t="shared" si="4"/>
        <v>100160</v>
      </c>
      <c r="BO78" s="14">
        <f t="shared" si="5"/>
        <v>70112</v>
      </c>
    </row>
    <row r="79" spans="1:67" ht="24" x14ac:dyDescent="0.3">
      <c r="A79" s="5" t="s">
        <v>228</v>
      </c>
      <c r="B79" s="16" t="s">
        <v>289</v>
      </c>
      <c r="C79" s="16">
        <v>468590</v>
      </c>
      <c r="D79" s="17"/>
      <c r="E79" s="16" t="s">
        <v>16</v>
      </c>
      <c r="F79" s="16" t="s">
        <v>285</v>
      </c>
      <c r="G79" s="16" t="s">
        <v>23</v>
      </c>
      <c r="H79" s="18" t="s">
        <v>27</v>
      </c>
      <c r="I79" s="18" t="s">
        <v>279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32</v>
      </c>
      <c r="AF79" s="19">
        <v>18800</v>
      </c>
      <c r="AG79" s="19">
        <v>48000</v>
      </c>
      <c r="AH79" s="18">
        <v>0</v>
      </c>
      <c r="AI79" s="18">
        <v>0</v>
      </c>
      <c r="AJ79" s="18">
        <v>0</v>
      </c>
      <c r="AK79" s="18">
        <v>1</v>
      </c>
      <c r="AL79" s="18">
        <v>0</v>
      </c>
      <c r="AM79" s="19">
        <v>2000</v>
      </c>
      <c r="AN79" s="18">
        <v>0</v>
      </c>
      <c r="AO79" s="18">
        <v>0</v>
      </c>
      <c r="AP79" s="18">
        <v>0</v>
      </c>
      <c r="AQ79" s="18">
        <v>2</v>
      </c>
      <c r="AR79" s="19">
        <v>2200</v>
      </c>
      <c r="AS79" s="18">
        <v>200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  <c r="AY79" s="18">
        <v>0</v>
      </c>
      <c r="AZ79" s="18">
        <v>0</v>
      </c>
      <c r="BA79" s="18">
        <v>0</v>
      </c>
      <c r="BB79" s="18">
        <v>0</v>
      </c>
      <c r="BC79" s="18">
        <v>0</v>
      </c>
      <c r="BD79" s="18">
        <v>0</v>
      </c>
      <c r="BE79" s="18">
        <v>0</v>
      </c>
      <c r="BF79" s="18">
        <v>0</v>
      </c>
      <c r="BG79" s="18">
        <v>0</v>
      </c>
      <c r="BH79" s="18">
        <v>0</v>
      </c>
      <c r="BI79" s="18">
        <v>8</v>
      </c>
      <c r="BJ79" s="19">
        <v>18720</v>
      </c>
      <c r="BK79" s="18">
        <v>0</v>
      </c>
      <c r="BL79" s="18">
        <v>936</v>
      </c>
      <c r="BM79" s="21">
        <v>89920</v>
      </c>
      <c r="BN79" s="14">
        <f t="shared" si="4"/>
        <v>88984</v>
      </c>
      <c r="BO79" s="14">
        <f t="shared" si="5"/>
        <v>62288.799999999996</v>
      </c>
    </row>
    <row r="80" spans="1:67" ht="24" x14ac:dyDescent="0.3">
      <c r="A80" s="5" t="s">
        <v>229</v>
      </c>
      <c r="B80" s="16" t="s">
        <v>129</v>
      </c>
      <c r="C80" s="16">
        <v>408838</v>
      </c>
      <c r="D80" s="17"/>
      <c r="E80" s="16" t="s">
        <v>16</v>
      </c>
      <c r="F80" s="16" t="s">
        <v>52</v>
      </c>
      <c r="G80" s="16" t="s">
        <v>18</v>
      </c>
      <c r="H80" s="18" t="s">
        <v>7</v>
      </c>
      <c r="I80" s="18" t="s">
        <v>267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7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358</v>
      </c>
      <c r="AF80" s="19">
        <v>40960</v>
      </c>
      <c r="AG80" s="18">
        <v>0</v>
      </c>
      <c r="AH80" s="18">
        <v>0</v>
      </c>
      <c r="AI80" s="18">
        <v>0</v>
      </c>
      <c r="AJ80" s="18">
        <v>0</v>
      </c>
      <c r="AK80" s="18">
        <v>3</v>
      </c>
      <c r="AL80" s="18">
        <v>360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  <c r="AY80" s="18">
        <v>0</v>
      </c>
      <c r="AZ80" s="18">
        <v>0</v>
      </c>
      <c r="BA80" s="18">
        <v>0</v>
      </c>
      <c r="BB80" s="18">
        <v>0</v>
      </c>
      <c r="BC80" s="18">
        <v>0</v>
      </c>
      <c r="BD80" s="18">
        <v>0</v>
      </c>
      <c r="BE80" s="18">
        <v>0</v>
      </c>
      <c r="BF80" s="18">
        <v>0</v>
      </c>
      <c r="BG80" s="18">
        <v>0</v>
      </c>
      <c r="BH80" s="18">
        <v>0</v>
      </c>
      <c r="BI80" s="18">
        <v>331</v>
      </c>
      <c r="BJ80" s="19">
        <v>39720</v>
      </c>
      <c r="BK80" s="18">
        <v>0</v>
      </c>
      <c r="BL80" s="20">
        <v>2094</v>
      </c>
      <c r="BM80" s="21">
        <v>81040</v>
      </c>
      <c r="BN80" s="14">
        <f t="shared" si="4"/>
        <v>78946</v>
      </c>
      <c r="BO80" s="14">
        <f t="shared" si="5"/>
        <v>55262.2</v>
      </c>
    </row>
    <row r="81" spans="1:67" ht="24" x14ac:dyDescent="0.3">
      <c r="A81" s="5" t="s">
        <v>229</v>
      </c>
      <c r="B81" s="16" t="s">
        <v>15</v>
      </c>
      <c r="C81" s="16">
        <v>465998</v>
      </c>
      <c r="D81" s="17"/>
      <c r="E81" s="16" t="s">
        <v>16</v>
      </c>
      <c r="F81" s="16" t="s">
        <v>17</v>
      </c>
      <c r="G81" s="16" t="s">
        <v>18</v>
      </c>
      <c r="H81" s="18" t="s">
        <v>10</v>
      </c>
      <c r="I81" s="18" t="s">
        <v>19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42</v>
      </c>
      <c r="AC81" s="19">
        <v>34020</v>
      </c>
      <c r="AD81" s="19">
        <v>5400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1</v>
      </c>
      <c r="AO81" s="18">
        <v>900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  <c r="AY81" s="18">
        <v>0</v>
      </c>
      <c r="AZ81" s="18">
        <v>0</v>
      </c>
      <c r="BA81" s="18">
        <v>0</v>
      </c>
      <c r="BB81" s="18">
        <v>0</v>
      </c>
      <c r="BC81" s="18">
        <v>0</v>
      </c>
      <c r="BD81" s="18">
        <v>0</v>
      </c>
      <c r="BE81" s="18">
        <v>0</v>
      </c>
      <c r="BF81" s="18">
        <v>23</v>
      </c>
      <c r="BG81" s="19">
        <v>24840</v>
      </c>
      <c r="BH81" s="18">
        <v>0</v>
      </c>
      <c r="BI81" s="18">
        <v>0</v>
      </c>
      <c r="BJ81" s="18">
        <v>0</v>
      </c>
      <c r="BK81" s="18">
        <v>0</v>
      </c>
      <c r="BL81" s="20">
        <v>1242</v>
      </c>
      <c r="BM81" s="21">
        <v>65160</v>
      </c>
      <c r="BN81" s="14">
        <f t="shared" si="4"/>
        <v>63918</v>
      </c>
      <c r="BO81" s="14">
        <f t="shared" si="5"/>
        <v>44742.6</v>
      </c>
    </row>
    <row r="82" spans="1:67" ht="24" x14ac:dyDescent="0.3">
      <c r="A82" s="5" t="s">
        <v>229</v>
      </c>
      <c r="B82" s="16" t="s">
        <v>21</v>
      </c>
      <c r="C82" s="16">
        <v>464786</v>
      </c>
      <c r="D82" s="17"/>
      <c r="E82" s="16" t="s">
        <v>16</v>
      </c>
      <c r="F82" s="16" t="s">
        <v>22</v>
      </c>
      <c r="G82" s="16" t="s">
        <v>23</v>
      </c>
      <c r="H82" s="18" t="s">
        <v>10</v>
      </c>
      <c r="I82" s="18" t="s">
        <v>24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12</v>
      </c>
      <c r="AF82" s="19">
        <v>25000</v>
      </c>
      <c r="AG82" s="19">
        <v>5100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4</v>
      </c>
      <c r="AR82" s="19">
        <v>9900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  <c r="AY82" s="18">
        <v>0</v>
      </c>
      <c r="AZ82" s="18">
        <v>0</v>
      </c>
      <c r="BA82" s="18">
        <v>0</v>
      </c>
      <c r="BB82" s="18">
        <v>0</v>
      </c>
      <c r="BC82" s="18">
        <v>0</v>
      </c>
      <c r="BD82" s="18">
        <v>0</v>
      </c>
      <c r="BE82" s="18">
        <v>0</v>
      </c>
      <c r="BF82" s="18">
        <v>0</v>
      </c>
      <c r="BG82" s="18">
        <v>0</v>
      </c>
      <c r="BH82" s="18">
        <v>0</v>
      </c>
      <c r="BI82" s="18">
        <v>4</v>
      </c>
      <c r="BJ82" s="19">
        <v>10800</v>
      </c>
      <c r="BK82" s="19">
        <v>1000</v>
      </c>
      <c r="BL82" s="18">
        <v>540</v>
      </c>
      <c r="BM82" s="21">
        <v>51800</v>
      </c>
      <c r="BN82" s="14">
        <f t="shared" si="4"/>
        <v>51260</v>
      </c>
      <c r="BO82" s="14">
        <f t="shared" si="5"/>
        <v>35882</v>
      </c>
    </row>
    <row r="83" spans="1:67" ht="24" x14ac:dyDescent="0.3">
      <c r="A83" s="5" t="s">
        <v>229</v>
      </c>
      <c r="B83" s="16" t="s">
        <v>284</v>
      </c>
      <c r="C83" s="16">
        <v>457677</v>
      </c>
      <c r="D83" s="17"/>
      <c r="E83" s="16" t="s">
        <v>16</v>
      </c>
      <c r="F83" s="16" t="s">
        <v>285</v>
      </c>
      <c r="G83" s="16" t="s">
        <v>23</v>
      </c>
      <c r="H83" s="18" t="s">
        <v>27</v>
      </c>
      <c r="I83" s="18" t="s">
        <v>286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15</v>
      </c>
      <c r="AF83" s="19">
        <v>16000</v>
      </c>
      <c r="AG83" s="19">
        <v>16000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1</v>
      </c>
      <c r="AR83" s="19">
        <v>2000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  <c r="AY83" s="18">
        <v>0</v>
      </c>
      <c r="AZ83" s="18">
        <v>0</v>
      </c>
      <c r="BA83" s="18">
        <v>0</v>
      </c>
      <c r="BB83" s="18">
        <v>0</v>
      </c>
      <c r="BC83" s="18">
        <v>1</v>
      </c>
      <c r="BD83" s="19">
        <v>2400</v>
      </c>
      <c r="BE83" s="18">
        <v>0</v>
      </c>
      <c r="BF83" s="18">
        <v>0</v>
      </c>
      <c r="BG83" s="18">
        <v>0</v>
      </c>
      <c r="BH83" s="18">
        <v>0</v>
      </c>
      <c r="BI83" s="18">
        <v>6</v>
      </c>
      <c r="BJ83" s="19">
        <v>14400</v>
      </c>
      <c r="BK83" s="18">
        <v>0</v>
      </c>
      <c r="BL83" s="18">
        <v>864</v>
      </c>
      <c r="BM83" s="21">
        <v>50800</v>
      </c>
      <c r="BN83" s="14">
        <f t="shared" si="4"/>
        <v>49936</v>
      </c>
      <c r="BO83" s="14">
        <f t="shared" si="5"/>
        <v>34955.199999999997</v>
      </c>
    </row>
    <row r="84" spans="1:67" ht="24" x14ac:dyDescent="0.3">
      <c r="A84" s="5" t="s">
        <v>229</v>
      </c>
      <c r="B84" s="16" t="s">
        <v>58</v>
      </c>
      <c r="C84" s="16">
        <v>468582</v>
      </c>
      <c r="D84" s="17"/>
      <c r="E84" s="16" t="s">
        <v>16</v>
      </c>
      <c r="F84" s="16" t="s">
        <v>59</v>
      </c>
      <c r="G84" s="16" t="s">
        <v>23</v>
      </c>
      <c r="H84" s="18" t="s">
        <v>10</v>
      </c>
      <c r="I84" s="18" t="s">
        <v>60</v>
      </c>
      <c r="J84" s="18">
        <v>0</v>
      </c>
      <c r="K84" s="18">
        <v>0</v>
      </c>
      <c r="L84" s="18">
        <v>0</v>
      </c>
      <c r="M84" s="18">
        <v>0</v>
      </c>
      <c r="N84" s="18">
        <v>0</v>
      </c>
      <c r="O84" s="18">
        <v>0</v>
      </c>
      <c r="P84" s="18">
        <v>0</v>
      </c>
      <c r="Q84" s="18">
        <v>0</v>
      </c>
      <c r="R84" s="18">
        <v>0</v>
      </c>
      <c r="S84" s="18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8">
        <v>0</v>
      </c>
      <c r="Z84" s="18">
        <v>0</v>
      </c>
      <c r="AA84" s="18">
        <v>0</v>
      </c>
      <c r="AB84" s="18">
        <v>0</v>
      </c>
      <c r="AC84" s="18">
        <v>0</v>
      </c>
      <c r="AD84" s="18">
        <v>0</v>
      </c>
      <c r="AE84" s="18">
        <v>10</v>
      </c>
      <c r="AF84" s="19">
        <v>11660</v>
      </c>
      <c r="AG84" s="19">
        <v>13100</v>
      </c>
      <c r="AH84" s="18">
        <v>0</v>
      </c>
      <c r="AI84" s="18">
        <v>0</v>
      </c>
      <c r="AJ84" s="18">
        <v>0</v>
      </c>
      <c r="AK84" s="18">
        <v>0</v>
      </c>
      <c r="AL84" s="18">
        <v>0</v>
      </c>
      <c r="AM84" s="18">
        <v>0</v>
      </c>
      <c r="AN84" s="18">
        <v>0</v>
      </c>
      <c r="AO84" s="18">
        <v>0</v>
      </c>
      <c r="AP84" s="18">
        <v>0</v>
      </c>
      <c r="AQ84" s="18">
        <v>2</v>
      </c>
      <c r="AR84" s="19">
        <v>1800</v>
      </c>
      <c r="AS84" s="18">
        <v>900</v>
      </c>
      <c r="AT84" s="18">
        <v>0</v>
      </c>
      <c r="AU84" s="18">
        <v>0</v>
      </c>
      <c r="AV84" s="18">
        <v>0</v>
      </c>
      <c r="AW84" s="18">
        <v>0</v>
      </c>
      <c r="AX84" s="18">
        <v>0</v>
      </c>
      <c r="AY84" s="18">
        <v>0</v>
      </c>
      <c r="AZ84" s="18">
        <v>0</v>
      </c>
      <c r="BA84" s="18">
        <v>0</v>
      </c>
      <c r="BB84" s="18">
        <v>0</v>
      </c>
      <c r="BC84" s="18">
        <v>1</v>
      </c>
      <c r="BD84" s="19">
        <v>3000</v>
      </c>
      <c r="BE84" s="18">
        <v>0</v>
      </c>
      <c r="BF84" s="18">
        <v>0</v>
      </c>
      <c r="BG84" s="18">
        <v>0</v>
      </c>
      <c r="BH84" s="18">
        <v>0</v>
      </c>
      <c r="BI84" s="18">
        <v>7</v>
      </c>
      <c r="BJ84" s="19">
        <v>20040</v>
      </c>
      <c r="BK84" s="18">
        <v>0</v>
      </c>
      <c r="BL84" s="20">
        <v>1182</v>
      </c>
      <c r="BM84" s="21">
        <v>50500</v>
      </c>
      <c r="BN84" s="14">
        <f t="shared" si="4"/>
        <v>49318</v>
      </c>
      <c r="BO84" s="14">
        <f t="shared" si="5"/>
        <v>34522.6</v>
      </c>
    </row>
    <row r="85" spans="1:67" ht="24" x14ac:dyDescent="0.3">
      <c r="A85" s="5" t="s">
        <v>229</v>
      </c>
      <c r="B85" s="16" t="s">
        <v>287</v>
      </c>
      <c r="C85" s="16">
        <v>464780</v>
      </c>
      <c r="D85" s="17"/>
      <c r="E85" s="16" t="s">
        <v>16</v>
      </c>
      <c r="F85" s="16" t="s">
        <v>288</v>
      </c>
      <c r="G85" s="16" t="s">
        <v>23</v>
      </c>
      <c r="H85" s="18" t="s">
        <v>27</v>
      </c>
      <c r="I85" s="18" t="s">
        <v>286</v>
      </c>
      <c r="J85" s="18">
        <v>0</v>
      </c>
      <c r="K85" s="18">
        <v>0</v>
      </c>
      <c r="L85" s="18">
        <v>0</v>
      </c>
      <c r="M85" s="18">
        <v>0</v>
      </c>
      <c r="N85" s="18">
        <v>0</v>
      </c>
      <c r="O85" s="18">
        <v>0</v>
      </c>
      <c r="P85" s="18">
        <v>0</v>
      </c>
      <c r="Q85" s="18">
        <v>0</v>
      </c>
      <c r="R85" s="18">
        <v>0</v>
      </c>
      <c r="S85" s="18">
        <v>0</v>
      </c>
      <c r="T85" s="18">
        <v>0</v>
      </c>
      <c r="U85" s="18">
        <v>0</v>
      </c>
      <c r="V85" s="18">
        <v>0</v>
      </c>
      <c r="W85" s="18">
        <v>0</v>
      </c>
      <c r="X85" s="18">
        <v>0</v>
      </c>
      <c r="Y85" s="18">
        <v>0</v>
      </c>
      <c r="Z85" s="18">
        <v>0</v>
      </c>
      <c r="AA85" s="18">
        <v>0</v>
      </c>
      <c r="AB85" s="18">
        <v>0</v>
      </c>
      <c r="AC85" s="18">
        <v>0</v>
      </c>
      <c r="AD85" s="18">
        <v>0</v>
      </c>
      <c r="AE85" s="18">
        <v>18</v>
      </c>
      <c r="AF85" s="19">
        <v>16000</v>
      </c>
      <c r="AG85" s="19">
        <v>22000</v>
      </c>
      <c r="AH85" s="18">
        <v>0</v>
      </c>
      <c r="AI85" s="18">
        <v>0</v>
      </c>
      <c r="AJ85" s="18">
        <v>0</v>
      </c>
      <c r="AK85" s="18">
        <v>1</v>
      </c>
      <c r="AL85" s="18">
        <v>0</v>
      </c>
      <c r="AM85" s="19">
        <v>2000</v>
      </c>
      <c r="AN85" s="18">
        <v>0</v>
      </c>
      <c r="AO85" s="18">
        <v>0</v>
      </c>
      <c r="AP85" s="18">
        <v>0</v>
      </c>
      <c r="AQ85" s="18">
        <v>1</v>
      </c>
      <c r="AR85" s="19">
        <v>2000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  <c r="AY85" s="18">
        <v>0</v>
      </c>
      <c r="AZ85" s="18">
        <v>0</v>
      </c>
      <c r="BA85" s="18">
        <v>0</v>
      </c>
      <c r="BB85" s="18">
        <v>0</v>
      </c>
      <c r="BC85" s="18">
        <v>0</v>
      </c>
      <c r="BD85" s="18">
        <v>0</v>
      </c>
      <c r="BE85" s="18">
        <v>0</v>
      </c>
      <c r="BF85" s="18">
        <v>0</v>
      </c>
      <c r="BG85" s="18">
        <v>0</v>
      </c>
      <c r="BH85" s="18">
        <v>0</v>
      </c>
      <c r="BI85" s="18">
        <v>2</v>
      </c>
      <c r="BJ85" s="19">
        <v>4800</v>
      </c>
      <c r="BK85" s="18">
        <v>0</v>
      </c>
      <c r="BL85" s="18">
        <v>240</v>
      </c>
      <c r="BM85" s="21">
        <v>46800</v>
      </c>
      <c r="BN85" s="14">
        <f t="shared" si="4"/>
        <v>46560</v>
      </c>
      <c r="BO85" s="14">
        <f t="shared" si="5"/>
        <v>32591.999999999996</v>
      </c>
    </row>
    <row r="86" spans="1:67" ht="24" x14ac:dyDescent="0.3">
      <c r="A86" s="5" t="s">
        <v>229</v>
      </c>
      <c r="B86" s="16" t="s">
        <v>230</v>
      </c>
      <c r="C86" s="16">
        <v>474768</v>
      </c>
      <c r="D86" s="17"/>
      <c r="E86" s="16" t="s">
        <v>16</v>
      </c>
      <c r="F86" s="16" t="s">
        <v>26</v>
      </c>
      <c r="G86" s="16" t="s">
        <v>23</v>
      </c>
      <c r="H86" s="18" t="s">
        <v>27</v>
      </c>
      <c r="I86" s="18" t="s">
        <v>231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8</v>
      </c>
      <c r="AF86" s="19">
        <v>24840</v>
      </c>
      <c r="AG86" s="19">
        <v>7200</v>
      </c>
      <c r="AH86" s="18">
        <v>0</v>
      </c>
      <c r="AI86" s="18">
        <v>0</v>
      </c>
      <c r="AJ86" s="18">
        <v>0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1</v>
      </c>
      <c r="AR86" s="18">
        <v>100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8">
        <v>0</v>
      </c>
      <c r="BA86" s="18">
        <v>0</v>
      </c>
      <c r="BB86" s="18">
        <v>0</v>
      </c>
      <c r="BC86" s="18">
        <v>0</v>
      </c>
      <c r="BD86" s="18">
        <v>0</v>
      </c>
      <c r="BE86" s="18">
        <v>0</v>
      </c>
      <c r="BF86" s="18">
        <v>0</v>
      </c>
      <c r="BG86" s="18">
        <v>0</v>
      </c>
      <c r="BH86" s="18">
        <v>0</v>
      </c>
      <c r="BI86" s="18">
        <v>3</v>
      </c>
      <c r="BJ86" s="19">
        <v>12600</v>
      </c>
      <c r="BK86" s="18">
        <v>0</v>
      </c>
      <c r="BL86" s="18">
        <v>630</v>
      </c>
      <c r="BM86" s="21">
        <v>44740</v>
      </c>
      <c r="BN86" s="14">
        <f t="shared" si="4"/>
        <v>44110</v>
      </c>
      <c r="BO86" s="14">
        <f t="shared" si="5"/>
        <v>30876.999999999996</v>
      </c>
    </row>
    <row r="87" spans="1:67" ht="24" x14ac:dyDescent="0.3">
      <c r="A87" s="5" t="s">
        <v>229</v>
      </c>
      <c r="B87" s="16" t="s">
        <v>292</v>
      </c>
      <c r="C87" s="16">
        <v>467565</v>
      </c>
      <c r="D87" s="17"/>
      <c r="E87" s="16" t="s">
        <v>16</v>
      </c>
      <c r="F87" s="16" t="s">
        <v>293</v>
      </c>
      <c r="G87" s="16" t="s">
        <v>23</v>
      </c>
      <c r="H87" s="18" t="s">
        <v>27</v>
      </c>
      <c r="I87" s="18" t="s">
        <v>294</v>
      </c>
      <c r="J87" s="18">
        <v>0</v>
      </c>
      <c r="K87" s="18">
        <v>0</v>
      </c>
      <c r="L87" s="18">
        <v>0</v>
      </c>
      <c r="M87" s="18">
        <v>0</v>
      </c>
      <c r="N87" s="18">
        <v>0</v>
      </c>
      <c r="O87" s="18">
        <v>0</v>
      </c>
      <c r="P87" s="18">
        <v>0</v>
      </c>
      <c r="Q87" s="18">
        <v>0</v>
      </c>
      <c r="R87" s="18">
        <v>0</v>
      </c>
      <c r="S87" s="18">
        <v>0</v>
      </c>
      <c r="T87" s="18">
        <v>0</v>
      </c>
      <c r="U87" s="18">
        <v>0</v>
      </c>
      <c r="V87" s="18">
        <v>0</v>
      </c>
      <c r="W87" s="18">
        <v>0</v>
      </c>
      <c r="X87" s="18">
        <v>0</v>
      </c>
      <c r="Y87" s="18">
        <v>0</v>
      </c>
      <c r="Z87" s="18">
        <v>0</v>
      </c>
      <c r="AA87" s="18">
        <v>0</v>
      </c>
      <c r="AB87" s="18">
        <v>0</v>
      </c>
      <c r="AC87" s="18">
        <v>0</v>
      </c>
      <c r="AD87" s="18">
        <v>0</v>
      </c>
      <c r="AE87" s="18">
        <v>12</v>
      </c>
      <c r="AF87" s="19">
        <v>4560</v>
      </c>
      <c r="AG87" s="19">
        <v>20200</v>
      </c>
      <c r="AH87" s="18">
        <v>0</v>
      </c>
      <c r="AI87" s="18">
        <v>0</v>
      </c>
      <c r="AJ87" s="18">
        <v>0</v>
      </c>
      <c r="AK87" s="18">
        <v>0</v>
      </c>
      <c r="AL87" s="18">
        <v>0</v>
      </c>
      <c r="AM87" s="18">
        <v>0</v>
      </c>
      <c r="AN87" s="18">
        <v>0</v>
      </c>
      <c r="AO87" s="18">
        <v>0</v>
      </c>
      <c r="AP87" s="18">
        <v>0</v>
      </c>
      <c r="AQ87" s="18">
        <v>4</v>
      </c>
      <c r="AR87" s="19">
        <v>7800</v>
      </c>
      <c r="AS87" s="18">
        <v>200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  <c r="AY87" s="18">
        <v>0</v>
      </c>
      <c r="AZ87" s="18">
        <v>0</v>
      </c>
      <c r="BA87" s="18">
        <v>0</v>
      </c>
      <c r="BB87" s="18">
        <v>0</v>
      </c>
      <c r="BC87" s="18">
        <v>0</v>
      </c>
      <c r="BD87" s="18">
        <v>0</v>
      </c>
      <c r="BE87" s="18">
        <v>0</v>
      </c>
      <c r="BF87" s="18">
        <v>0</v>
      </c>
      <c r="BG87" s="18">
        <v>0</v>
      </c>
      <c r="BH87" s="18">
        <v>0</v>
      </c>
      <c r="BI87" s="18">
        <v>3</v>
      </c>
      <c r="BJ87" s="19">
        <v>7200</v>
      </c>
      <c r="BK87" s="18">
        <v>0</v>
      </c>
      <c r="BL87" s="18">
        <v>360</v>
      </c>
      <c r="BM87" s="21">
        <v>39960</v>
      </c>
      <c r="BN87" s="14">
        <f t="shared" si="4"/>
        <v>39600</v>
      </c>
      <c r="BO87" s="14">
        <f t="shared" si="5"/>
        <v>27720</v>
      </c>
    </row>
    <row r="88" spans="1:67" ht="24" x14ac:dyDescent="0.3">
      <c r="A88" s="5" t="s">
        <v>229</v>
      </c>
      <c r="B88" s="16" t="s">
        <v>25</v>
      </c>
      <c r="C88" s="16">
        <v>459229</v>
      </c>
      <c r="D88" s="17"/>
      <c r="E88" s="16" t="s">
        <v>16</v>
      </c>
      <c r="F88" s="16" t="s">
        <v>26</v>
      </c>
      <c r="G88" s="16" t="s">
        <v>23</v>
      </c>
      <c r="H88" s="18" t="s">
        <v>27</v>
      </c>
      <c r="I88" s="18" t="s">
        <v>28</v>
      </c>
      <c r="J88" s="18">
        <v>0</v>
      </c>
      <c r="K88" s="18">
        <v>0</v>
      </c>
      <c r="L88" s="18">
        <v>0</v>
      </c>
      <c r="M88" s="18">
        <v>0</v>
      </c>
      <c r="N88" s="18">
        <v>0</v>
      </c>
      <c r="O88" s="18">
        <v>0</v>
      </c>
      <c r="P88" s="18">
        <v>0</v>
      </c>
      <c r="Q88" s="18">
        <v>0</v>
      </c>
      <c r="R88" s="18">
        <v>0</v>
      </c>
      <c r="S88" s="18">
        <v>0</v>
      </c>
      <c r="T88" s="18">
        <v>0</v>
      </c>
      <c r="U88" s="18">
        <v>0</v>
      </c>
      <c r="V88" s="18">
        <v>0</v>
      </c>
      <c r="W88" s="18">
        <v>0</v>
      </c>
      <c r="X88" s="18">
        <v>0</v>
      </c>
      <c r="Y88" s="18">
        <v>0</v>
      </c>
      <c r="Z88" s="18">
        <v>0</v>
      </c>
      <c r="AA88" s="18">
        <v>0</v>
      </c>
      <c r="AB88" s="18">
        <v>0</v>
      </c>
      <c r="AC88" s="18">
        <v>0</v>
      </c>
      <c r="AD88" s="18">
        <v>0</v>
      </c>
      <c r="AE88" s="18">
        <v>5</v>
      </c>
      <c r="AF88" s="19">
        <v>11000</v>
      </c>
      <c r="AG88" s="19">
        <v>3000</v>
      </c>
      <c r="AH88" s="18">
        <v>0</v>
      </c>
      <c r="AI88" s="18">
        <v>0</v>
      </c>
      <c r="AJ88" s="18">
        <v>0</v>
      </c>
      <c r="AK88" s="18">
        <v>0</v>
      </c>
      <c r="AL88" s="18">
        <v>0</v>
      </c>
      <c r="AM88" s="18">
        <v>0</v>
      </c>
      <c r="AN88" s="18">
        <v>0</v>
      </c>
      <c r="AO88" s="18">
        <v>0</v>
      </c>
      <c r="AP88" s="18">
        <v>0</v>
      </c>
      <c r="AQ88" s="18">
        <v>0</v>
      </c>
      <c r="AR88" s="18">
        <v>0</v>
      </c>
      <c r="AS88" s="18">
        <v>0</v>
      </c>
      <c r="AT88" s="18">
        <v>0</v>
      </c>
      <c r="AU88" s="18">
        <v>0</v>
      </c>
      <c r="AV88" s="18">
        <v>0</v>
      </c>
      <c r="AW88" s="18">
        <v>0</v>
      </c>
      <c r="AX88" s="18">
        <v>0</v>
      </c>
      <c r="AY88" s="18">
        <v>0</v>
      </c>
      <c r="AZ88" s="18">
        <v>0</v>
      </c>
      <c r="BA88" s="18">
        <v>0</v>
      </c>
      <c r="BB88" s="18">
        <v>0</v>
      </c>
      <c r="BC88" s="18">
        <v>0</v>
      </c>
      <c r="BD88" s="18">
        <v>0</v>
      </c>
      <c r="BE88" s="18">
        <v>0</v>
      </c>
      <c r="BF88" s="18">
        <v>0</v>
      </c>
      <c r="BG88" s="18">
        <v>0</v>
      </c>
      <c r="BH88" s="18">
        <v>0</v>
      </c>
      <c r="BI88" s="18">
        <v>6</v>
      </c>
      <c r="BJ88" s="19">
        <v>20640</v>
      </c>
      <c r="BK88" s="18">
        <v>0</v>
      </c>
      <c r="BL88" s="20">
        <v>1032</v>
      </c>
      <c r="BM88" s="21">
        <v>34640</v>
      </c>
      <c r="BN88" s="14">
        <f t="shared" si="4"/>
        <v>33608</v>
      </c>
      <c r="BO88" s="14">
        <f t="shared" si="5"/>
        <v>23525.599999999999</v>
      </c>
    </row>
    <row r="89" spans="1:67" ht="24" x14ac:dyDescent="0.3">
      <c r="A89" s="5" t="s">
        <v>229</v>
      </c>
      <c r="B89" s="16" t="s">
        <v>268</v>
      </c>
      <c r="C89" s="16">
        <v>483769</v>
      </c>
      <c r="D89" s="17"/>
      <c r="E89" s="16" t="s">
        <v>16</v>
      </c>
      <c r="F89" s="16" t="s">
        <v>269</v>
      </c>
      <c r="G89" s="16" t="s">
        <v>23</v>
      </c>
      <c r="H89" s="18" t="s">
        <v>8</v>
      </c>
      <c r="I89" s="18" t="s">
        <v>270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7</v>
      </c>
      <c r="AF89" s="19">
        <v>6000</v>
      </c>
      <c r="AG89" s="19">
        <v>10500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2</v>
      </c>
      <c r="AR89" s="19">
        <v>4800</v>
      </c>
      <c r="AS89" s="18">
        <v>200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  <c r="AY89" s="18">
        <v>0</v>
      </c>
      <c r="AZ89" s="18">
        <v>0</v>
      </c>
      <c r="BA89" s="18">
        <v>0</v>
      </c>
      <c r="BB89" s="18">
        <v>0</v>
      </c>
      <c r="BC89" s="18">
        <v>0</v>
      </c>
      <c r="BD89" s="18">
        <v>0</v>
      </c>
      <c r="BE89" s="18">
        <v>0</v>
      </c>
      <c r="BF89" s="18">
        <v>0</v>
      </c>
      <c r="BG89" s="18">
        <v>0</v>
      </c>
      <c r="BH89" s="18">
        <v>0</v>
      </c>
      <c r="BI89" s="18">
        <v>3</v>
      </c>
      <c r="BJ89" s="19">
        <v>8400</v>
      </c>
      <c r="BK89" s="18">
        <v>0</v>
      </c>
      <c r="BL89" s="18">
        <v>420</v>
      </c>
      <c r="BM89" s="21">
        <v>29900</v>
      </c>
      <c r="BN89" s="14">
        <f t="shared" si="4"/>
        <v>29480</v>
      </c>
      <c r="BO89" s="14">
        <f t="shared" si="5"/>
        <v>20636</v>
      </c>
    </row>
    <row r="90" spans="1:67" ht="24" x14ac:dyDescent="0.3">
      <c r="A90" s="5" t="s">
        <v>228</v>
      </c>
      <c r="B90" s="16" t="s">
        <v>80</v>
      </c>
      <c r="C90" s="16">
        <v>395231</v>
      </c>
      <c r="D90" s="17"/>
      <c r="E90" s="16" t="s">
        <v>16</v>
      </c>
      <c r="F90" s="16" t="s">
        <v>34</v>
      </c>
      <c r="G90" s="16" t="s">
        <v>35</v>
      </c>
      <c r="H90" s="18" t="s">
        <v>27</v>
      </c>
      <c r="I90" s="18" t="s">
        <v>81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7</v>
      </c>
      <c r="AF90" s="19">
        <v>19600</v>
      </c>
      <c r="AG90" s="19">
        <v>7000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  <c r="AY90" s="18">
        <v>0</v>
      </c>
      <c r="AZ90" s="18">
        <v>0</v>
      </c>
      <c r="BA90" s="18">
        <v>0</v>
      </c>
      <c r="BB90" s="18">
        <v>0</v>
      </c>
      <c r="BC90" s="18">
        <v>0</v>
      </c>
      <c r="BD90" s="18">
        <v>0</v>
      </c>
      <c r="BE90" s="18">
        <v>0</v>
      </c>
      <c r="BF90" s="18">
        <v>0</v>
      </c>
      <c r="BG90" s="18">
        <v>0</v>
      </c>
      <c r="BH90" s="18">
        <v>0</v>
      </c>
      <c r="BI90" s="18">
        <v>0</v>
      </c>
      <c r="BJ90" s="18">
        <v>0</v>
      </c>
      <c r="BK90" s="18">
        <v>0</v>
      </c>
      <c r="BL90" s="18">
        <v>0</v>
      </c>
      <c r="BM90" s="21">
        <v>26600</v>
      </c>
      <c r="BN90" s="14">
        <f t="shared" si="4"/>
        <v>26600</v>
      </c>
      <c r="BO90" s="14">
        <f t="shared" si="5"/>
        <v>18620</v>
      </c>
    </row>
    <row r="91" spans="1:67" ht="24" x14ac:dyDescent="0.3">
      <c r="A91" s="5" t="s">
        <v>229</v>
      </c>
      <c r="B91" s="16" t="s">
        <v>296</v>
      </c>
      <c r="C91" s="16">
        <v>464790</v>
      </c>
      <c r="D91" s="17"/>
      <c r="E91" s="16" t="s">
        <v>16</v>
      </c>
      <c r="F91" s="16" t="s">
        <v>297</v>
      </c>
      <c r="G91" s="16" t="s">
        <v>23</v>
      </c>
      <c r="H91" s="18" t="s">
        <v>27</v>
      </c>
      <c r="I91" s="18" t="s">
        <v>286</v>
      </c>
      <c r="J91" s="18">
        <v>0</v>
      </c>
      <c r="K91" s="18">
        <v>0</v>
      </c>
      <c r="L91" s="18">
        <v>0</v>
      </c>
      <c r="M91" s="18">
        <v>0</v>
      </c>
      <c r="N91" s="18">
        <v>0</v>
      </c>
      <c r="O91" s="18">
        <v>0</v>
      </c>
      <c r="P91" s="18">
        <v>0</v>
      </c>
      <c r="Q91" s="18">
        <v>0</v>
      </c>
      <c r="R91" s="18">
        <v>0</v>
      </c>
      <c r="S91" s="18">
        <v>0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8">
        <v>0</v>
      </c>
      <c r="Z91" s="18">
        <v>0</v>
      </c>
      <c r="AA91" s="18">
        <v>0</v>
      </c>
      <c r="AB91" s="18">
        <v>0</v>
      </c>
      <c r="AC91" s="18">
        <v>0</v>
      </c>
      <c r="AD91" s="18">
        <v>0</v>
      </c>
      <c r="AE91" s="18">
        <v>6</v>
      </c>
      <c r="AF91" s="19">
        <v>14400</v>
      </c>
      <c r="AG91" s="18">
        <v>0</v>
      </c>
      <c r="AH91" s="18">
        <v>0</v>
      </c>
      <c r="AI91" s="18">
        <v>0</v>
      </c>
      <c r="AJ91" s="18">
        <v>0</v>
      </c>
      <c r="AK91" s="18">
        <v>0</v>
      </c>
      <c r="AL91" s="18">
        <v>0</v>
      </c>
      <c r="AM91" s="18">
        <v>0</v>
      </c>
      <c r="AN91" s="18">
        <v>0</v>
      </c>
      <c r="AO91" s="18">
        <v>0</v>
      </c>
      <c r="AP91" s="18">
        <v>0</v>
      </c>
      <c r="AQ91" s="18">
        <v>1</v>
      </c>
      <c r="AR91" s="19">
        <v>2000</v>
      </c>
      <c r="AS91" s="18">
        <v>0</v>
      </c>
      <c r="AT91" s="18">
        <v>0</v>
      </c>
      <c r="AU91" s="18">
        <v>0</v>
      </c>
      <c r="AV91" s="18">
        <v>0</v>
      </c>
      <c r="AW91" s="18">
        <v>0</v>
      </c>
      <c r="AX91" s="18">
        <v>0</v>
      </c>
      <c r="AY91" s="18">
        <v>0</v>
      </c>
      <c r="AZ91" s="18">
        <v>0</v>
      </c>
      <c r="BA91" s="18">
        <v>0</v>
      </c>
      <c r="BB91" s="18">
        <v>0</v>
      </c>
      <c r="BC91" s="18">
        <v>0</v>
      </c>
      <c r="BD91" s="18">
        <v>0</v>
      </c>
      <c r="BE91" s="18">
        <v>0</v>
      </c>
      <c r="BF91" s="18">
        <v>0</v>
      </c>
      <c r="BG91" s="18">
        <v>0</v>
      </c>
      <c r="BH91" s="18">
        <v>0</v>
      </c>
      <c r="BI91" s="18">
        <v>2</v>
      </c>
      <c r="BJ91" s="19">
        <v>4800</v>
      </c>
      <c r="BK91" s="18">
        <v>0</v>
      </c>
      <c r="BL91" s="18">
        <v>240</v>
      </c>
      <c r="BM91" s="21">
        <v>21200</v>
      </c>
      <c r="BN91" s="14">
        <f t="shared" si="4"/>
        <v>20960</v>
      </c>
      <c r="BO91" s="14">
        <f t="shared" si="5"/>
        <v>14671.999999999998</v>
      </c>
    </row>
    <row r="92" spans="1:67" ht="24" x14ac:dyDescent="0.3">
      <c r="A92" s="5" t="s">
        <v>229</v>
      </c>
      <c r="B92" s="16" t="s">
        <v>264</v>
      </c>
      <c r="C92" s="16">
        <v>442667</v>
      </c>
      <c r="D92" s="17"/>
      <c r="E92" s="16" t="s">
        <v>16</v>
      </c>
      <c r="F92" s="16" t="s">
        <v>85</v>
      </c>
      <c r="G92" s="16" t="s">
        <v>35</v>
      </c>
      <c r="H92" s="18" t="s">
        <v>27</v>
      </c>
      <c r="I92" s="18" t="s">
        <v>265</v>
      </c>
      <c r="J92" s="18">
        <v>0</v>
      </c>
      <c r="K92" s="18">
        <v>0</v>
      </c>
      <c r="L92" s="18">
        <v>0</v>
      </c>
      <c r="M92" s="18">
        <v>0</v>
      </c>
      <c r="N92" s="18">
        <v>0</v>
      </c>
      <c r="O92" s="18">
        <v>0</v>
      </c>
      <c r="P92" s="18">
        <v>0</v>
      </c>
      <c r="Q92" s="18">
        <v>0</v>
      </c>
      <c r="R92" s="18">
        <v>0</v>
      </c>
      <c r="S92" s="18">
        <v>0</v>
      </c>
      <c r="T92" s="18">
        <v>0</v>
      </c>
      <c r="U92" s="18">
        <v>0</v>
      </c>
      <c r="V92" s="18">
        <v>0</v>
      </c>
      <c r="W92" s="18">
        <v>0</v>
      </c>
      <c r="X92" s="18">
        <v>0</v>
      </c>
      <c r="Y92" s="18">
        <v>0</v>
      </c>
      <c r="Z92" s="18">
        <v>0</v>
      </c>
      <c r="AA92" s="18">
        <v>0</v>
      </c>
      <c r="AB92" s="18">
        <v>0</v>
      </c>
      <c r="AC92" s="18">
        <v>0</v>
      </c>
      <c r="AD92" s="18">
        <v>0</v>
      </c>
      <c r="AE92" s="18">
        <v>7</v>
      </c>
      <c r="AF92" s="18">
        <v>0</v>
      </c>
      <c r="AG92" s="19">
        <v>21000</v>
      </c>
      <c r="AH92" s="18">
        <v>0</v>
      </c>
      <c r="AI92" s="18">
        <v>0</v>
      </c>
      <c r="AJ92" s="18">
        <v>0</v>
      </c>
      <c r="AK92" s="18">
        <v>0</v>
      </c>
      <c r="AL92" s="18">
        <v>0</v>
      </c>
      <c r="AM92" s="18">
        <v>0</v>
      </c>
      <c r="AN92" s="18">
        <v>0</v>
      </c>
      <c r="AO92" s="18">
        <v>0</v>
      </c>
      <c r="AP92" s="18">
        <v>0</v>
      </c>
      <c r="AQ92" s="18">
        <v>0</v>
      </c>
      <c r="AR92" s="18">
        <v>0</v>
      </c>
      <c r="AS92" s="18">
        <v>0</v>
      </c>
      <c r="AT92" s="18">
        <v>0</v>
      </c>
      <c r="AU92" s="18">
        <v>0</v>
      </c>
      <c r="AV92" s="18">
        <v>0</v>
      </c>
      <c r="AW92" s="18">
        <v>0</v>
      </c>
      <c r="AX92" s="18">
        <v>0</v>
      </c>
      <c r="AY92" s="18">
        <v>0</v>
      </c>
      <c r="AZ92" s="18">
        <v>0</v>
      </c>
      <c r="BA92" s="18">
        <v>0</v>
      </c>
      <c r="BB92" s="18">
        <v>0</v>
      </c>
      <c r="BC92" s="18">
        <v>0</v>
      </c>
      <c r="BD92" s="18">
        <v>0</v>
      </c>
      <c r="BE92" s="18">
        <v>0</v>
      </c>
      <c r="BF92" s="18">
        <v>0</v>
      </c>
      <c r="BG92" s="18">
        <v>0</v>
      </c>
      <c r="BH92" s="18">
        <v>0</v>
      </c>
      <c r="BI92" s="18">
        <v>0</v>
      </c>
      <c r="BJ92" s="18">
        <v>0</v>
      </c>
      <c r="BK92" s="18">
        <v>0</v>
      </c>
      <c r="BL92" s="18">
        <v>0</v>
      </c>
      <c r="BM92" s="21">
        <v>21000</v>
      </c>
      <c r="BN92" s="14">
        <f t="shared" si="4"/>
        <v>21000</v>
      </c>
      <c r="BO92" s="14">
        <f t="shared" si="5"/>
        <v>14699.999999999998</v>
      </c>
    </row>
    <row r="93" spans="1:67" ht="24" x14ac:dyDescent="0.3">
      <c r="A93" s="5" t="s">
        <v>229</v>
      </c>
      <c r="B93" s="16" t="s">
        <v>107</v>
      </c>
      <c r="C93" s="16">
        <v>448030</v>
      </c>
      <c r="D93" s="17"/>
      <c r="E93" s="16" t="s">
        <v>16</v>
      </c>
      <c r="F93" s="16" t="s">
        <v>108</v>
      </c>
      <c r="G93" s="16" t="s">
        <v>56</v>
      </c>
      <c r="H93" s="18" t="s">
        <v>8</v>
      </c>
      <c r="I93" s="18" t="s">
        <v>109</v>
      </c>
      <c r="J93" s="18">
        <v>0</v>
      </c>
      <c r="K93" s="18">
        <v>421</v>
      </c>
      <c r="L93" s="18">
        <v>0</v>
      </c>
      <c r="M93" s="18">
        <v>0</v>
      </c>
      <c r="N93" s="18">
        <v>0</v>
      </c>
      <c r="O93" s="18">
        <v>0</v>
      </c>
      <c r="P93" s="18">
        <v>0</v>
      </c>
      <c r="Q93" s="18">
        <v>0</v>
      </c>
      <c r="R93" s="18">
        <v>0</v>
      </c>
      <c r="S93" s="18">
        <v>0</v>
      </c>
      <c r="T93" s="18">
        <v>0</v>
      </c>
      <c r="U93" s="18">
        <v>0</v>
      </c>
      <c r="V93" s="18">
        <v>0</v>
      </c>
      <c r="W93" s="18">
        <v>0</v>
      </c>
      <c r="X93" s="18">
        <v>0</v>
      </c>
      <c r="Y93" s="18">
        <v>0</v>
      </c>
      <c r="Z93" s="18">
        <v>0</v>
      </c>
      <c r="AA93" s="18">
        <v>0</v>
      </c>
      <c r="AB93" s="18">
        <v>0</v>
      </c>
      <c r="AC93" s="18">
        <v>0</v>
      </c>
      <c r="AD93" s="18">
        <v>0</v>
      </c>
      <c r="AE93" s="18">
        <v>99</v>
      </c>
      <c r="AF93" s="19">
        <v>10680</v>
      </c>
      <c r="AG93" s="19">
        <v>1000</v>
      </c>
      <c r="AH93" s="18">
        <v>0</v>
      </c>
      <c r="AI93" s="18">
        <v>0</v>
      </c>
      <c r="AJ93" s="18">
        <v>0</v>
      </c>
      <c r="AK93" s="18">
        <v>0</v>
      </c>
      <c r="AL93" s="18">
        <v>0</v>
      </c>
      <c r="AM93" s="18">
        <v>0</v>
      </c>
      <c r="AN93" s="18">
        <v>0</v>
      </c>
      <c r="AO93" s="18">
        <v>0</v>
      </c>
      <c r="AP93" s="18">
        <v>0</v>
      </c>
      <c r="AQ93" s="18">
        <v>65</v>
      </c>
      <c r="AR93" s="19">
        <v>6300</v>
      </c>
      <c r="AS93" s="18">
        <v>200</v>
      </c>
      <c r="AT93" s="18">
        <v>0</v>
      </c>
      <c r="AU93" s="18">
        <v>0</v>
      </c>
      <c r="AV93" s="18">
        <v>0</v>
      </c>
      <c r="AW93" s="18">
        <v>0</v>
      </c>
      <c r="AX93" s="18">
        <v>0</v>
      </c>
      <c r="AY93" s="18">
        <v>0</v>
      </c>
      <c r="AZ93" s="18">
        <v>0</v>
      </c>
      <c r="BA93" s="18">
        <v>0</v>
      </c>
      <c r="BB93" s="18">
        <v>0</v>
      </c>
      <c r="BC93" s="18">
        <v>0</v>
      </c>
      <c r="BD93" s="18">
        <v>0</v>
      </c>
      <c r="BE93" s="18">
        <v>0</v>
      </c>
      <c r="BF93" s="18">
        <v>0</v>
      </c>
      <c r="BG93" s="18">
        <v>0</v>
      </c>
      <c r="BH93" s="18">
        <v>0</v>
      </c>
      <c r="BI93" s="18">
        <v>15</v>
      </c>
      <c r="BJ93" s="19">
        <v>1800</v>
      </c>
      <c r="BK93" s="18">
        <v>0</v>
      </c>
      <c r="BL93" s="18">
        <v>90</v>
      </c>
      <c r="BM93" s="21">
        <v>19980</v>
      </c>
      <c r="BN93" s="14">
        <f t="shared" si="4"/>
        <v>19890</v>
      </c>
      <c r="BO93" s="14">
        <f t="shared" si="5"/>
        <v>13923</v>
      </c>
    </row>
    <row r="94" spans="1:67" ht="24" x14ac:dyDescent="0.3">
      <c r="A94" s="5" t="s">
        <v>229</v>
      </c>
      <c r="B94" s="16" t="s">
        <v>295</v>
      </c>
      <c r="C94" s="16">
        <v>457674</v>
      </c>
      <c r="D94" s="17"/>
      <c r="E94" s="16" t="s">
        <v>16</v>
      </c>
      <c r="F94" s="16" t="s">
        <v>93</v>
      </c>
      <c r="G94" s="16" t="s">
        <v>23</v>
      </c>
      <c r="H94" s="18" t="s">
        <v>27</v>
      </c>
      <c r="I94" s="18" t="s">
        <v>286</v>
      </c>
      <c r="J94" s="18">
        <v>0</v>
      </c>
      <c r="K94" s="18">
        <v>0</v>
      </c>
      <c r="L94" s="18">
        <v>0</v>
      </c>
      <c r="M94" s="18">
        <v>0</v>
      </c>
      <c r="N94" s="18">
        <v>0</v>
      </c>
      <c r="O94" s="18">
        <v>0</v>
      </c>
      <c r="P94" s="18">
        <v>0</v>
      </c>
      <c r="Q94" s="18">
        <v>0</v>
      </c>
      <c r="R94" s="18">
        <v>0</v>
      </c>
      <c r="S94" s="18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8">
        <v>0</v>
      </c>
      <c r="Z94" s="18">
        <v>0</v>
      </c>
      <c r="AA94" s="18">
        <v>0</v>
      </c>
      <c r="AB94" s="18">
        <v>0</v>
      </c>
      <c r="AC94" s="18">
        <v>0</v>
      </c>
      <c r="AD94" s="18">
        <v>0</v>
      </c>
      <c r="AE94" s="18">
        <v>5</v>
      </c>
      <c r="AF94" s="19">
        <v>11600</v>
      </c>
      <c r="AG94" s="18">
        <v>0</v>
      </c>
      <c r="AH94" s="18">
        <v>0</v>
      </c>
      <c r="AI94" s="18">
        <v>0</v>
      </c>
      <c r="AJ94" s="18">
        <v>0</v>
      </c>
      <c r="AK94" s="18">
        <v>0</v>
      </c>
      <c r="AL94" s="18">
        <v>0</v>
      </c>
      <c r="AM94" s="18">
        <v>0</v>
      </c>
      <c r="AN94" s="18">
        <v>0</v>
      </c>
      <c r="AO94" s="18">
        <v>0</v>
      </c>
      <c r="AP94" s="18">
        <v>0</v>
      </c>
      <c r="AQ94" s="18">
        <v>1</v>
      </c>
      <c r="AR94" s="19">
        <v>2000</v>
      </c>
      <c r="AS94" s="18">
        <v>0</v>
      </c>
      <c r="AT94" s="18">
        <v>0</v>
      </c>
      <c r="AU94" s="18">
        <v>0</v>
      </c>
      <c r="AV94" s="18">
        <v>0</v>
      </c>
      <c r="AW94" s="18">
        <v>0</v>
      </c>
      <c r="AX94" s="18">
        <v>0</v>
      </c>
      <c r="AY94" s="18">
        <v>0</v>
      </c>
      <c r="AZ94" s="18">
        <v>0</v>
      </c>
      <c r="BA94" s="18">
        <v>0</v>
      </c>
      <c r="BB94" s="18">
        <v>0</v>
      </c>
      <c r="BC94" s="18">
        <v>0</v>
      </c>
      <c r="BD94" s="18">
        <v>0</v>
      </c>
      <c r="BE94" s="18">
        <v>0</v>
      </c>
      <c r="BF94" s="18">
        <v>0</v>
      </c>
      <c r="BG94" s="18">
        <v>0</v>
      </c>
      <c r="BH94" s="18">
        <v>0</v>
      </c>
      <c r="BI94" s="18">
        <v>1</v>
      </c>
      <c r="BJ94" s="19">
        <v>2400</v>
      </c>
      <c r="BK94" s="18">
        <v>0</v>
      </c>
      <c r="BL94" s="18">
        <v>120</v>
      </c>
      <c r="BM94" s="21">
        <v>16000</v>
      </c>
      <c r="BN94" s="14">
        <f t="shared" si="4"/>
        <v>15880</v>
      </c>
      <c r="BO94" s="14">
        <f t="shared" si="5"/>
        <v>11116</v>
      </c>
    </row>
    <row r="95" spans="1:67" ht="24" x14ac:dyDescent="0.3">
      <c r="A95" s="5" t="s">
        <v>229</v>
      </c>
      <c r="B95" s="16" t="s">
        <v>77</v>
      </c>
      <c r="C95" s="16">
        <v>379289</v>
      </c>
      <c r="D95" s="17"/>
      <c r="E95" s="16" t="s">
        <v>16</v>
      </c>
      <c r="F95" s="16" t="s">
        <v>52</v>
      </c>
      <c r="G95" s="16" t="s">
        <v>18</v>
      </c>
      <c r="H95" s="18" t="s">
        <v>7</v>
      </c>
      <c r="I95" s="18" t="s">
        <v>78</v>
      </c>
      <c r="J95" s="18">
        <v>0</v>
      </c>
      <c r="K95" s="18">
        <v>2</v>
      </c>
      <c r="L95" s="18">
        <v>0</v>
      </c>
      <c r="M95" s="18">
        <v>0</v>
      </c>
      <c r="N95" s="18">
        <v>0</v>
      </c>
      <c r="O95" s="18">
        <v>0</v>
      </c>
      <c r="P95" s="18">
        <v>0</v>
      </c>
      <c r="Q95" s="18">
        <v>0</v>
      </c>
      <c r="R95" s="18">
        <v>0</v>
      </c>
      <c r="S95" s="18">
        <v>0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8">
        <v>0</v>
      </c>
      <c r="Z95" s="18">
        <v>0</v>
      </c>
      <c r="AA95" s="18">
        <v>0</v>
      </c>
      <c r="AB95" s="18">
        <v>0</v>
      </c>
      <c r="AC95" s="18">
        <v>0</v>
      </c>
      <c r="AD95" s="18">
        <v>0</v>
      </c>
      <c r="AE95" s="18">
        <v>0</v>
      </c>
      <c r="AF95" s="18">
        <v>0</v>
      </c>
      <c r="AG95" s="18">
        <v>0</v>
      </c>
      <c r="AH95" s="18">
        <v>0</v>
      </c>
      <c r="AI95" s="18">
        <v>0</v>
      </c>
      <c r="AJ95" s="18">
        <v>0</v>
      </c>
      <c r="AK95" s="18">
        <v>0</v>
      </c>
      <c r="AL95" s="18">
        <v>0</v>
      </c>
      <c r="AM95" s="18">
        <v>0</v>
      </c>
      <c r="AN95" s="18">
        <v>2</v>
      </c>
      <c r="AO95" s="19">
        <v>1800</v>
      </c>
      <c r="AP95" s="18">
        <v>0</v>
      </c>
      <c r="AQ95" s="18">
        <v>0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  <c r="AY95" s="18">
        <v>0</v>
      </c>
      <c r="AZ95" s="18">
        <v>0</v>
      </c>
      <c r="BA95" s="18">
        <v>0</v>
      </c>
      <c r="BB95" s="18">
        <v>0</v>
      </c>
      <c r="BC95" s="18">
        <v>0</v>
      </c>
      <c r="BD95" s="18">
        <v>0</v>
      </c>
      <c r="BE95" s="18">
        <v>0</v>
      </c>
      <c r="BF95" s="18">
        <v>10</v>
      </c>
      <c r="BG95" s="19">
        <v>10800</v>
      </c>
      <c r="BH95" s="18">
        <v>0</v>
      </c>
      <c r="BI95" s="18">
        <v>0</v>
      </c>
      <c r="BJ95" s="18">
        <v>0</v>
      </c>
      <c r="BK95" s="18">
        <v>0</v>
      </c>
      <c r="BL95" s="18">
        <v>540</v>
      </c>
      <c r="BM95" s="21">
        <v>12600</v>
      </c>
      <c r="BN95" s="14">
        <f t="shared" si="4"/>
        <v>12060</v>
      </c>
      <c r="BO95" s="14">
        <f t="shared" si="5"/>
        <v>8442</v>
      </c>
    </row>
    <row r="96" spans="1:67" ht="24" x14ac:dyDescent="0.3">
      <c r="A96" s="5" t="s">
        <v>229</v>
      </c>
      <c r="B96" s="16" t="s">
        <v>151</v>
      </c>
      <c r="C96" s="16">
        <v>469971</v>
      </c>
      <c r="D96" s="17"/>
      <c r="E96" s="16" t="s">
        <v>16</v>
      </c>
      <c r="F96" s="16" t="s">
        <v>141</v>
      </c>
      <c r="G96" s="16" t="s">
        <v>69</v>
      </c>
      <c r="H96" s="18" t="s">
        <v>7</v>
      </c>
      <c r="I96" s="18" t="s">
        <v>325</v>
      </c>
      <c r="J96" s="18">
        <v>0</v>
      </c>
      <c r="K96" s="18">
        <v>310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>
        <v>94</v>
      </c>
      <c r="AF96" s="19">
        <v>9260</v>
      </c>
      <c r="AG96" s="19">
        <v>1100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22</v>
      </c>
      <c r="AR96" s="19">
        <v>2200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  <c r="AY96" s="18">
        <v>0</v>
      </c>
      <c r="AZ96" s="18">
        <v>0</v>
      </c>
      <c r="BA96" s="18">
        <v>0</v>
      </c>
      <c r="BB96" s="18">
        <v>0</v>
      </c>
      <c r="BC96" s="18">
        <v>0</v>
      </c>
      <c r="BD96" s="18">
        <v>0</v>
      </c>
      <c r="BE96" s="18">
        <v>0</v>
      </c>
      <c r="BF96" s="18">
        <v>0</v>
      </c>
      <c r="BG96" s="18">
        <v>0</v>
      </c>
      <c r="BH96" s="18">
        <v>0</v>
      </c>
      <c r="BI96" s="18">
        <v>0</v>
      </c>
      <c r="BJ96" s="18">
        <v>0</v>
      </c>
      <c r="BK96" s="18">
        <v>0</v>
      </c>
      <c r="BL96" s="18">
        <v>0</v>
      </c>
      <c r="BM96" s="21">
        <v>12560</v>
      </c>
      <c r="BN96" s="14">
        <f t="shared" si="4"/>
        <v>12560</v>
      </c>
      <c r="BO96" s="14">
        <f t="shared" si="5"/>
        <v>8792</v>
      </c>
    </row>
    <row r="97" spans="1:67" ht="24" x14ac:dyDescent="0.3">
      <c r="A97" s="5" t="s">
        <v>229</v>
      </c>
      <c r="B97" s="16" t="s">
        <v>251</v>
      </c>
      <c r="C97" s="16">
        <v>480607</v>
      </c>
      <c r="D97" s="17"/>
      <c r="E97" s="16" t="s">
        <v>16</v>
      </c>
      <c r="F97" s="16" t="s">
        <v>252</v>
      </c>
      <c r="G97" s="16" t="s">
        <v>23</v>
      </c>
      <c r="H97" s="18" t="s">
        <v>27</v>
      </c>
      <c r="I97" s="18" t="s">
        <v>253</v>
      </c>
      <c r="J97" s="18">
        <v>0</v>
      </c>
      <c r="K97" s="18">
        <v>0</v>
      </c>
      <c r="L97" s="18">
        <v>0</v>
      </c>
      <c r="M97" s="18">
        <v>0</v>
      </c>
      <c r="N97" s="18">
        <v>0</v>
      </c>
      <c r="O97" s="18">
        <v>0</v>
      </c>
      <c r="P97" s="18">
        <v>0</v>
      </c>
      <c r="Q97" s="18">
        <v>0</v>
      </c>
      <c r="R97" s="18">
        <v>0</v>
      </c>
      <c r="S97" s="18">
        <v>0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8">
        <v>0</v>
      </c>
      <c r="Z97" s="18">
        <v>0</v>
      </c>
      <c r="AA97" s="18">
        <v>0</v>
      </c>
      <c r="AB97" s="18">
        <v>0</v>
      </c>
      <c r="AC97" s="18">
        <v>0</v>
      </c>
      <c r="AD97" s="18">
        <v>0</v>
      </c>
      <c r="AE97" s="18">
        <v>2</v>
      </c>
      <c r="AF97" s="18">
        <v>0</v>
      </c>
      <c r="AG97" s="19">
        <v>2800</v>
      </c>
      <c r="AH97" s="18">
        <v>0</v>
      </c>
      <c r="AI97" s="18">
        <v>0</v>
      </c>
      <c r="AJ97" s="18">
        <v>0</v>
      </c>
      <c r="AK97" s="18">
        <v>0</v>
      </c>
      <c r="AL97" s="18">
        <v>0</v>
      </c>
      <c r="AM97" s="18">
        <v>0</v>
      </c>
      <c r="AN97" s="18">
        <v>0</v>
      </c>
      <c r="AO97" s="18">
        <v>0</v>
      </c>
      <c r="AP97" s="18">
        <v>0</v>
      </c>
      <c r="AQ97" s="18">
        <v>0</v>
      </c>
      <c r="AR97" s="18">
        <v>0</v>
      </c>
      <c r="AS97" s="18">
        <v>0</v>
      </c>
      <c r="AT97" s="18">
        <v>0</v>
      </c>
      <c r="AU97" s="18">
        <v>0</v>
      </c>
      <c r="AV97" s="18">
        <v>0</v>
      </c>
      <c r="AW97" s="18">
        <v>0</v>
      </c>
      <c r="AX97" s="18">
        <v>0</v>
      </c>
      <c r="AY97" s="18">
        <v>0</v>
      </c>
      <c r="AZ97" s="18">
        <v>0</v>
      </c>
      <c r="BA97" s="18">
        <v>0</v>
      </c>
      <c r="BB97" s="18">
        <v>0</v>
      </c>
      <c r="BC97" s="18">
        <v>0</v>
      </c>
      <c r="BD97" s="18">
        <v>0</v>
      </c>
      <c r="BE97" s="18">
        <v>0</v>
      </c>
      <c r="BF97" s="18">
        <v>0</v>
      </c>
      <c r="BG97" s="18">
        <v>0</v>
      </c>
      <c r="BH97" s="18">
        <v>0</v>
      </c>
      <c r="BI97" s="18">
        <v>3</v>
      </c>
      <c r="BJ97" s="19">
        <v>8640</v>
      </c>
      <c r="BK97" s="18">
        <v>0</v>
      </c>
      <c r="BL97" s="18">
        <v>432</v>
      </c>
      <c r="BM97" s="21">
        <v>11440</v>
      </c>
      <c r="BN97" s="14">
        <f t="shared" si="4"/>
        <v>11008</v>
      </c>
      <c r="BO97" s="14">
        <f t="shared" si="5"/>
        <v>7705.5999999999995</v>
      </c>
    </row>
    <row r="98" spans="1:67" ht="24" x14ac:dyDescent="0.3">
      <c r="A98" s="5" t="s">
        <v>228</v>
      </c>
      <c r="B98" s="16" t="s">
        <v>299</v>
      </c>
      <c r="C98" s="16">
        <v>464785</v>
      </c>
      <c r="D98" s="17"/>
      <c r="E98" s="16" t="s">
        <v>16</v>
      </c>
      <c r="F98" s="16" t="s">
        <v>156</v>
      </c>
      <c r="G98" s="16" t="s">
        <v>23</v>
      </c>
      <c r="H98" s="18" t="s">
        <v>27</v>
      </c>
      <c r="I98" s="18" t="s">
        <v>286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4</v>
      </c>
      <c r="AF98" s="19">
        <v>8500</v>
      </c>
      <c r="AG98" s="19">
        <v>2500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  <c r="AY98" s="18">
        <v>0</v>
      </c>
      <c r="AZ98" s="18">
        <v>0</v>
      </c>
      <c r="BA98" s="18">
        <v>0</v>
      </c>
      <c r="BB98" s="18">
        <v>0</v>
      </c>
      <c r="BC98" s="18">
        <v>0</v>
      </c>
      <c r="BD98" s="18">
        <v>0</v>
      </c>
      <c r="BE98" s="18">
        <v>0</v>
      </c>
      <c r="BF98" s="18">
        <v>0</v>
      </c>
      <c r="BG98" s="18">
        <v>0</v>
      </c>
      <c r="BH98" s="18">
        <v>0</v>
      </c>
      <c r="BI98" s="18">
        <v>0</v>
      </c>
      <c r="BJ98" s="18">
        <v>0</v>
      </c>
      <c r="BK98" s="18">
        <v>0</v>
      </c>
      <c r="BL98" s="18">
        <v>0</v>
      </c>
      <c r="BM98" s="21">
        <v>11000</v>
      </c>
      <c r="BN98" s="14">
        <f t="shared" si="4"/>
        <v>11000</v>
      </c>
      <c r="BO98" s="14">
        <f t="shared" si="5"/>
        <v>7699.9999999999991</v>
      </c>
    </row>
    <row r="99" spans="1:67" ht="24" x14ac:dyDescent="0.3">
      <c r="A99" s="5" t="s">
        <v>229</v>
      </c>
      <c r="B99" s="16" t="s">
        <v>33</v>
      </c>
      <c r="C99" s="16">
        <v>395341</v>
      </c>
      <c r="D99" s="17"/>
      <c r="E99" s="16" t="s">
        <v>16</v>
      </c>
      <c r="F99" s="16" t="s">
        <v>34</v>
      </c>
      <c r="G99" s="16" t="s">
        <v>35</v>
      </c>
      <c r="H99" s="18" t="s">
        <v>8</v>
      </c>
      <c r="I99" s="18" t="s">
        <v>36</v>
      </c>
      <c r="J99" s="18">
        <v>0</v>
      </c>
      <c r="K99" s="18">
        <v>0</v>
      </c>
      <c r="L99" s="18">
        <v>0</v>
      </c>
      <c r="M99" s="18">
        <v>0</v>
      </c>
      <c r="N99" s="18">
        <v>0</v>
      </c>
      <c r="O99" s="18">
        <v>0</v>
      </c>
      <c r="P99" s="18">
        <v>0</v>
      </c>
      <c r="Q99" s="18">
        <v>0</v>
      </c>
      <c r="R99" s="18">
        <v>0</v>
      </c>
      <c r="S99" s="18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8">
        <v>0</v>
      </c>
      <c r="Z99" s="18">
        <v>0</v>
      </c>
      <c r="AA99" s="18">
        <v>0</v>
      </c>
      <c r="AB99" s="18">
        <v>0</v>
      </c>
      <c r="AC99" s="18">
        <v>0</v>
      </c>
      <c r="AD99" s="18">
        <v>0</v>
      </c>
      <c r="AE99" s="18">
        <v>0</v>
      </c>
      <c r="AF99" s="18">
        <v>0</v>
      </c>
      <c r="AG99" s="18">
        <v>0</v>
      </c>
      <c r="AH99" s="18">
        <v>0</v>
      </c>
      <c r="AI99" s="18">
        <v>0</v>
      </c>
      <c r="AJ99" s="18">
        <v>0</v>
      </c>
      <c r="AK99" s="18">
        <v>0</v>
      </c>
      <c r="AL99" s="18">
        <v>0</v>
      </c>
      <c r="AM99" s="18">
        <v>0</v>
      </c>
      <c r="AN99" s="18">
        <v>0</v>
      </c>
      <c r="AO99" s="18">
        <v>0</v>
      </c>
      <c r="AP99" s="18">
        <v>0</v>
      </c>
      <c r="AQ99" s="18">
        <v>0</v>
      </c>
      <c r="AR99" s="18">
        <v>0</v>
      </c>
      <c r="AS99" s="18">
        <v>0</v>
      </c>
      <c r="AT99" s="18">
        <v>0</v>
      </c>
      <c r="AU99" s="18">
        <v>0</v>
      </c>
      <c r="AV99" s="18">
        <v>0</v>
      </c>
      <c r="AW99" s="18">
        <v>0</v>
      </c>
      <c r="AX99" s="18">
        <v>0</v>
      </c>
      <c r="AY99" s="18">
        <v>0</v>
      </c>
      <c r="AZ99" s="18">
        <v>0</v>
      </c>
      <c r="BA99" s="18">
        <v>0</v>
      </c>
      <c r="BB99" s="18">
        <v>0</v>
      </c>
      <c r="BC99" s="18">
        <v>0</v>
      </c>
      <c r="BD99" s="18">
        <v>0</v>
      </c>
      <c r="BE99" s="18">
        <v>0</v>
      </c>
      <c r="BF99" s="18">
        <v>0</v>
      </c>
      <c r="BG99" s="18">
        <v>0</v>
      </c>
      <c r="BH99" s="18">
        <v>0</v>
      </c>
      <c r="BI99" s="18">
        <v>90</v>
      </c>
      <c r="BJ99" s="19">
        <v>10800</v>
      </c>
      <c r="BK99" s="18">
        <v>0</v>
      </c>
      <c r="BL99" s="18">
        <v>540</v>
      </c>
      <c r="BM99" s="21">
        <v>10800</v>
      </c>
      <c r="BN99" s="14">
        <f t="shared" si="4"/>
        <v>10260</v>
      </c>
      <c r="BO99" s="14">
        <f t="shared" si="5"/>
        <v>7181.9999999999991</v>
      </c>
    </row>
    <row r="100" spans="1:67" ht="24" x14ac:dyDescent="0.3">
      <c r="A100" s="5" t="s">
        <v>229</v>
      </c>
      <c r="B100" s="16" t="s">
        <v>37</v>
      </c>
      <c r="C100" s="16">
        <v>354950</v>
      </c>
      <c r="D100" s="17" t="s">
        <v>38</v>
      </c>
      <c r="E100" s="16" t="s">
        <v>16</v>
      </c>
      <c r="F100" s="16" t="s">
        <v>17</v>
      </c>
      <c r="G100" s="16" t="s">
        <v>18</v>
      </c>
      <c r="H100" s="18" t="s">
        <v>7</v>
      </c>
      <c r="I100" s="18" t="s">
        <v>39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13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52</v>
      </c>
      <c r="AF100" s="18">
        <v>0</v>
      </c>
      <c r="AG100" s="19">
        <v>5200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55</v>
      </c>
      <c r="AR100" s="19">
        <v>5300</v>
      </c>
      <c r="AS100" s="18">
        <v>200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  <c r="AY100" s="18">
        <v>0</v>
      </c>
      <c r="AZ100" s="18">
        <v>0</v>
      </c>
      <c r="BA100" s="18">
        <v>0</v>
      </c>
      <c r="BB100" s="18">
        <v>0</v>
      </c>
      <c r="BC100" s="18">
        <v>0</v>
      </c>
      <c r="BD100" s="18">
        <v>0</v>
      </c>
      <c r="BE100" s="18">
        <v>0</v>
      </c>
      <c r="BF100" s="18">
        <v>0</v>
      </c>
      <c r="BG100" s="18">
        <v>0</v>
      </c>
      <c r="BH100" s="18">
        <v>0</v>
      </c>
      <c r="BI100" s="18">
        <v>0</v>
      </c>
      <c r="BJ100" s="18">
        <v>0</v>
      </c>
      <c r="BK100" s="18">
        <v>0</v>
      </c>
      <c r="BL100" s="18">
        <v>0</v>
      </c>
      <c r="BM100" s="21">
        <v>10700</v>
      </c>
      <c r="BN100" s="14">
        <f t="shared" si="4"/>
        <v>10700</v>
      </c>
      <c r="BO100" s="14">
        <f t="shared" si="5"/>
        <v>7489.9999999999991</v>
      </c>
    </row>
    <row r="101" spans="1:67" ht="24" x14ac:dyDescent="0.3">
      <c r="A101" s="5" t="s">
        <v>229</v>
      </c>
      <c r="B101" s="16" t="s">
        <v>130</v>
      </c>
      <c r="C101" s="16">
        <v>408836</v>
      </c>
      <c r="D101" s="17"/>
      <c r="E101" s="16" t="s">
        <v>16</v>
      </c>
      <c r="F101" s="16" t="s">
        <v>52</v>
      </c>
      <c r="G101" s="16" t="s">
        <v>18</v>
      </c>
      <c r="H101" s="18" t="s">
        <v>7</v>
      </c>
      <c r="I101" s="18" t="s">
        <v>131</v>
      </c>
      <c r="J101" s="18">
        <v>0</v>
      </c>
      <c r="K101" s="18">
        <v>0</v>
      </c>
      <c r="L101" s="18">
        <v>0</v>
      </c>
      <c r="M101" s="18">
        <v>0</v>
      </c>
      <c r="N101" s="18">
        <v>0</v>
      </c>
      <c r="O101" s="18">
        <v>0</v>
      </c>
      <c r="P101" s="18">
        <v>0</v>
      </c>
      <c r="Q101" s="18">
        <v>0</v>
      </c>
      <c r="R101" s="18">
        <v>0</v>
      </c>
      <c r="S101" s="18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8">
        <v>0</v>
      </c>
      <c r="Z101" s="18">
        <v>0</v>
      </c>
      <c r="AA101" s="18">
        <v>0</v>
      </c>
      <c r="AB101" s="18">
        <v>2</v>
      </c>
      <c r="AC101" s="19">
        <v>1680</v>
      </c>
      <c r="AD101" s="18">
        <v>0</v>
      </c>
      <c r="AE101" s="18">
        <v>0</v>
      </c>
      <c r="AF101" s="18">
        <v>0</v>
      </c>
      <c r="AG101" s="18">
        <v>0</v>
      </c>
      <c r="AH101" s="18">
        <v>0</v>
      </c>
      <c r="AI101" s="18">
        <v>0</v>
      </c>
      <c r="AJ101" s="18">
        <v>0</v>
      </c>
      <c r="AK101" s="18">
        <v>0</v>
      </c>
      <c r="AL101" s="18">
        <v>0</v>
      </c>
      <c r="AM101" s="18">
        <v>0</v>
      </c>
      <c r="AN101" s="18">
        <v>11</v>
      </c>
      <c r="AO101" s="19">
        <v>7700</v>
      </c>
      <c r="AP101" s="18">
        <v>0</v>
      </c>
      <c r="AQ101" s="18">
        <v>0</v>
      </c>
      <c r="AR101" s="18">
        <v>0</v>
      </c>
      <c r="AS101" s="18">
        <v>0</v>
      </c>
      <c r="AT101" s="18">
        <v>0</v>
      </c>
      <c r="AU101" s="18">
        <v>0</v>
      </c>
      <c r="AV101" s="18">
        <v>0</v>
      </c>
      <c r="AW101" s="18">
        <v>0</v>
      </c>
      <c r="AX101" s="18">
        <v>0</v>
      </c>
      <c r="AY101" s="18">
        <v>0</v>
      </c>
      <c r="AZ101" s="18">
        <v>0</v>
      </c>
      <c r="BA101" s="18">
        <v>0</v>
      </c>
      <c r="BB101" s="18">
        <v>0</v>
      </c>
      <c r="BC101" s="18">
        <v>0</v>
      </c>
      <c r="BD101" s="18">
        <v>0</v>
      </c>
      <c r="BE101" s="18">
        <v>0</v>
      </c>
      <c r="BF101" s="18">
        <v>0</v>
      </c>
      <c r="BG101" s="18">
        <v>0</v>
      </c>
      <c r="BH101" s="18">
        <v>0</v>
      </c>
      <c r="BI101" s="18">
        <v>0</v>
      </c>
      <c r="BJ101" s="18">
        <v>0</v>
      </c>
      <c r="BK101" s="18">
        <v>0</v>
      </c>
      <c r="BL101" s="18">
        <v>0</v>
      </c>
      <c r="BM101" s="21">
        <v>9380</v>
      </c>
      <c r="BN101" s="14">
        <f t="shared" si="4"/>
        <v>9380</v>
      </c>
      <c r="BO101" s="14">
        <f t="shared" si="5"/>
        <v>6566</v>
      </c>
    </row>
    <row r="102" spans="1:67" ht="24" x14ac:dyDescent="0.3">
      <c r="A102" s="5" t="s">
        <v>229</v>
      </c>
      <c r="B102" s="16" t="s">
        <v>307</v>
      </c>
      <c r="C102" s="16">
        <v>483770</v>
      </c>
      <c r="D102" s="17"/>
      <c r="E102" s="16" t="s">
        <v>16</v>
      </c>
      <c r="F102" s="16" t="s">
        <v>87</v>
      </c>
      <c r="G102" s="16" t="s">
        <v>23</v>
      </c>
      <c r="H102" s="18" t="s">
        <v>27</v>
      </c>
      <c r="I102" s="18" t="s">
        <v>308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4</v>
      </c>
      <c r="AF102" s="19">
        <v>9200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  <c r="AY102" s="18">
        <v>0</v>
      </c>
      <c r="AZ102" s="18">
        <v>0</v>
      </c>
      <c r="BA102" s="18">
        <v>0</v>
      </c>
      <c r="BB102" s="18">
        <v>0</v>
      </c>
      <c r="BC102" s="18">
        <v>0</v>
      </c>
      <c r="BD102" s="18">
        <v>0</v>
      </c>
      <c r="BE102" s="18">
        <v>0</v>
      </c>
      <c r="BF102" s="18">
        <v>0</v>
      </c>
      <c r="BG102" s="18">
        <v>0</v>
      </c>
      <c r="BH102" s="18">
        <v>0</v>
      </c>
      <c r="BI102" s="18">
        <v>0</v>
      </c>
      <c r="BJ102" s="18">
        <v>0</v>
      </c>
      <c r="BK102" s="18">
        <v>0</v>
      </c>
      <c r="BL102" s="18">
        <v>0</v>
      </c>
      <c r="BM102" s="21">
        <v>9200</v>
      </c>
      <c r="BN102" s="14">
        <f t="shared" si="4"/>
        <v>9200</v>
      </c>
      <c r="BO102" s="14">
        <f t="shared" si="5"/>
        <v>6440</v>
      </c>
    </row>
    <row r="103" spans="1:67" ht="24" x14ac:dyDescent="0.3">
      <c r="A103" s="5" t="s">
        <v>229</v>
      </c>
      <c r="B103" s="16" t="s">
        <v>223</v>
      </c>
      <c r="C103" s="16">
        <v>477493</v>
      </c>
      <c r="D103" s="17"/>
      <c r="E103" s="16" t="s">
        <v>16</v>
      </c>
      <c r="F103" s="16" t="s">
        <v>75</v>
      </c>
      <c r="G103" s="16" t="s">
        <v>23</v>
      </c>
      <c r="H103" s="18" t="s">
        <v>7</v>
      </c>
      <c r="I103" s="18" t="s">
        <v>224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>
        <v>3</v>
      </c>
      <c r="AF103" s="19">
        <v>4800</v>
      </c>
      <c r="AG103" s="19">
        <v>2000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  <c r="AY103" s="18">
        <v>0</v>
      </c>
      <c r="AZ103" s="18">
        <v>0</v>
      </c>
      <c r="BA103" s="18">
        <v>0</v>
      </c>
      <c r="BB103" s="18">
        <v>0</v>
      </c>
      <c r="BC103" s="18">
        <v>0</v>
      </c>
      <c r="BD103" s="18">
        <v>0</v>
      </c>
      <c r="BE103" s="18">
        <v>0</v>
      </c>
      <c r="BF103" s="18">
        <v>0</v>
      </c>
      <c r="BG103" s="18">
        <v>0</v>
      </c>
      <c r="BH103" s="18">
        <v>0</v>
      </c>
      <c r="BI103" s="18">
        <v>1</v>
      </c>
      <c r="BJ103" s="19">
        <v>2400</v>
      </c>
      <c r="BK103" s="18">
        <v>0</v>
      </c>
      <c r="BL103" s="18">
        <v>120</v>
      </c>
      <c r="BM103" s="21">
        <v>9200</v>
      </c>
      <c r="BN103" s="14">
        <f t="shared" si="4"/>
        <v>9080</v>
      </c>
      <c r="BO103" s="14">
        <f t="shared" si="5"/>
        <v>6356</v>
      </c>
    </row>
    <row r="104" spans="1:67" ht="24" x14ac:dyDescent="0.3">
      <c r="A104" s="5" t="s">
        <v>229</v>
      </c>
      <c r="B104" s="16" t="s">
        <v>63</v>
      </c>
      <c r="C104" s="16">
        <v>372422</v>
      </c>
      <c r="D104" s="17"/>
      <c r="E104" s="16" t="s">
        <v>16</v>
      </c>
      <c r="F104" s="16" t="s">
        <v>44</v>
      </c>
      <c r="G104" s="16" t="s">
        <v>45</v>
      </c>
      <c r="H104" s="18" t="s">
        <v>8</v>
      </c>
      <c r="I104" s="18" t="s">
        <v>64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56</v>
      </c>
      <c r="AR104" s="19">
        <v>4700</v>
      </c>
      <c r="AS104" s="18">
        <v>900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  <c r="AY104" s="18">
        <v>0</v>
      </c>
      <c r="AZ104" s="18">
        <v>0</v>
      </c>
      <c r="BA104" s="18">
        <v>0</v>
      </c>
      <c r="BB104" s="18">
        <v>0</v>
      </c>
      <c r="BC104" s="18">
        <v>2</v>
      </c>
      <c r="BD104" s="18">
        <v>240</v>
      </c>
      <c r="BE104" s="18">
        <v>0</v>
      </c>
      <c r="BF104" s="18">
        <v>0</v>
      </c>
      <c r="BG104" s="18">
        <v>0</v>
      </c>
      <c r="BH104" s="18">
        <v>0</v>
      </c>
      <c r="BI104" s="18">
        <v>27</v>
      </c>
      <c r="BJ104" s="19">
        <v>3240</v>
      </c>
      <c r="BK104" s="18">
        <v>0</v>
      </c>
      <c r="BL104" s="18">
        <v>176.4</v>
      </c>
      <c r="BM104" s="21">
        <v>9080</v>
      </c>
      <c r="BN104" s="14">
        <f t="shared" si="4"/>
        <v>8903.6</v>
      </c>
      <c r="BO104" s="14">
        <f t="shared" si="5"/>
        <v>6232.5199999999995</v>
      </c>
    </row>
    <row r="105" spans="1:67" ht="24" x14ac:dyDescent="0.3">
      <c r="A105" s="5" t="s">
        <v>229</v>
      </c>
      <c r="B105" s="16" t="s">
        <v>353</v>
      </c>
      <c r="C105" s="16">
        <v>414514</v>
      </c>
      <c r="D105" s="17"/>
      <c r="E105" s="16" t="s">
        <v>16</v>
      </c>
      <c r="F105" s="16" t="s">
        <v>354</v>
      </c>
      <c r="G105" s="16" t="s">
        <v>35</v>
      </c>
      <c r="H105" s="18" t="s">
        <v>27</v>
      </c>
      <c r="I105" s="18" t="s">
        <v>355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0</v>
      </c>
      <c r="AA105" s="18">
        <v>0</v>
      </c>
      <c r="AB105" s="18">
        <v>0</v>
      </c>
      <c r="AC105" s="18">
        <v>0</v>
      </c>
      <c r="AD105" s="18">
        <v>0</v>
      </c>
      <c r="AE105" s="18">
        <v>3</v>
      </c>
      <c r="AF105" s="18">
        <v>0</v>
      </c>
      <c r="AG105" s="19">
        <v>9000</v>
      </c>
      <c r="AH105" s="18">
        <v>0</v>
      </c>
      <c r="AI105" s="18">
        <v>0</v>
      </c>
      <c r="AJ105" s="18">
        <v>0</v>
      </c>
      <c r="AK105" s="18">
        <v>0</v>
      </c>
      <c r="AL105" s="18">
        <v>0</v>
      </c>
      <c r="AM105" s="18">
        <v>0</v>
      </c>
      <c r="AN105" s="18">
        <v>0</v>
      </c>
      <c r="AO105" s="18">
        <v>0</v>
      </c>
      <c r="AP105" s="18">
        <v>0</v>
      </c>
      <c r="AQ105" s="18">
        <v>0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  <c r="AY105" s="18">
        <v>0</v>
      </c>
      <c r="AZ105" s="18">
        <v>0</v>
      </c>
      <c r="BA105" s="18">
        <v>0</v>
      </c>
      <c r="BB105" s="18">
        <v>0</v>
      </c>
      <c r="BC105" s="18">
        <v>0</v>
      </c>
      <c r="BD105" s="18">
        <v>0</v>
      </c>
      <c r="BE105" s="18">
        <v>0</v>
      </c>
      <c r="BF105" s="18">
        <v>0</v>
      </c>
      <c r="BG105" s="18">
        <v>0</v>
      </c>
      <c r="BH105" s="18">
        <v>0</v>
      </c>
      <c r="BI105" s="18">
        <v>0</v>
      </c>
      <c r="BJ105" s="18">
        <v>0</v>
      </c>
      <c r="BK105" s="18">
        <v>0</v>
      </c>
      <c r="BL105" s="18">
        <v>0</v>
      </c>
      <c r="BM105" s="21">
        <v>9000</v>
      </c>
      <c r="BN105" s="14">
        <f t="shared" si="4"/>
        <v>9000</v>
      </c>
      <c r="BO105" s="14">
        <f t="shared" si="5"/>
        <v>6300</v>
      </c>
    </row>
    <row r="106" spans="1:67" ht="24" x14ac:dyDescent="0.3">
      <c r="A106" s="5" t="s">
        <v>228</v>
      </c>
      <c r="B106" s="16" t="s">
        <v>356</v>
      </c>
      <c r="C106" s="16">
        <v>470423</v>
      </c>
      <c r="D106" s="17"/>
      <c r="E106" s="16" t="s">
        <v>16</v>
      </c>
      <c r="F106" s="16" t="s">
        <v>87</v>
      </c>
      <c r="G106" s="16" t="s">
        <v>23</v>
      </c>
      <c r="H106" s="18" t="s">
        <v>27</v>
      </c>
      <c r="I106" s="18" t="s">
        <v>357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3</v>
      </c>
      <c r="AF106" s="19">
        <v>2400</v>
      </c>
      <c r="AG106" s="19">
        <v>4000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  <c r="AY106" s="18">
        <v>0</v>
      </c>
      <c r="AZ106" s="18">
        <v>0</v>
      </c>
      <c r="BA106" s="18">
        <v>0</v>
      </c>
      <c r="BB106" s="18">
        <v>0</v>
      </c>
      <c r="BC106" s="18">
        <v>0</v>
      </c>
      <c r="BD106" s="18">
        <v>0</v>
      </c>
      <c r="BE106" s="18">
        <v>0</v>
      </c>
      <c r="BF106" s="18">
        <v>0</v>
      </c>
      <c r="BG106" s="18">
        <v>0</v>
      </c>
      <c r="BH106" s="18">
        <v>0</v>
      </c>
      <c r="BI106" s="18">
        <v>1</v>
      </c>
      <c r="BJ106" s="19">
        <v>2400</v>
      </c>
      <c r="BK106" s="18">
        <v>0</v>
      </c>
      <c r="BL106" s="18">
        <v>120</v>
      </c>
      <c r="BM106" s="21">
        <v>8800</v>
      </c>
      <c r="BN106" s="14">
        <f t="shared" si="4"/>
        <v>8680</v>
      </c>
      <c r="BO106" s="14">
        <f t="shared" si="5"/>
        <v>6076</v>
      </c>
    </row>
    <row r="107" spans="1:67" ht="24" x14ac:dyDescent="0.3">
      <c r="A107" s="5" t="s">
        <v>229</v>
      </c>
      <c r="B107" s="16" t="s">
        <v>305</v>
      </c>
      <c r="C107" s="16">
        <v>461359</v>
      </c>
      <c r="D107" s="17"/>
      <c r="E107" s="16" t="s">
        <v>16</v>
      </c>
      <c r="F107" s="16" t="s">
        <v>306</v>
      </c>
      <c r="G107" s="16" t="s">
        <v>23</v>
      </c>
      <c r="H107" s="18" t="s">
        <v>27</v>
      </c>
      <c r="I107" s="18" t="s">
        <v>286</v>
      </c>
      <c r="J107" s="18">
        <v>0</v>
      </c>
      <c r="K107" s="18">
        <v>0</v>
      </c>
      <c r="L107" s="18">
        <v>0</v>
      </c>
      <c r="M107" s="18">
        <v>0</v>
      </c>
      <c r="N107" s="18">
        <v>0</v>
      </c>
      <c r="O107" s="18">
        <v>0</v>
      </c>
      <c r="P107" s="18">
        <v>0</v>
      </c>
      <c r="Q107" s="18">
        <v>0</v>
      </c>
      <c r="R107" s="18">
        <v>0</v>
      </c>
      <c r="S107" s="18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0</v>
      </c>
      <c r="AA107" s="18">
        <v>0</v>
      </c>
      <c r="AB107" s="18">
        <v>0</v>
      </c>
      <c r="AC107" s="18">
        <v>0</v>
      </c>
      <c r="AD107" s="18">
        <v>0</v>
      </c>
      <c r="AE107" s="18">
        <v>3</v>
      </c>
      <c r="AF107" s="19">
        <v>2400</v>
      </c>
      <c r="AG107" s="19">
        <v>2500</v>
      </c>
      <c r="AH107" s="18">
        <v>0</v>
      </c>
      <c r="AI107" s="18">
        <v>0</v>
      </c>
      <c r="AJ107" s="18">
        <v>0</v>
      </c>
      <c r="AK107" s="18">
        <v>0</v>
      </c>
      <c r="AL107" s="18">
        <v>0</v>
      </c>
      <c r="AM107" s="18">
        <v>0</v>
      </c>
      <c r="AN107" s="18">
        <v>0</v>
      </c>
      <c r="AO107" s="18">
        <v>0</v>
      </c>
      <c r="AP107" s="18">
        <v>0</v>
      </c>
      <c r="AQ107" s="18">
        <v>1</v>
      </c>
      <c r="AR107" s="19">
        <v>2000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  <c r="AY107" s="18">
        <v>0</v>
      </c>
      <c r="AZ107" s="18">
        <v>0</v>
      </c>
      <c r="BA107" s="18">
        <v>0</v>
      </c>
      <c r="BB107" s="18">
        <v>0</v>
      </c>
      <c r="BC107" s="18">
        <v>0</v>
      </c>
      <c r="BD107" s="18">
        <v>0</v>
      </c>
      <c r="BE107" s="18">
        <v>0</v>
      </c>
      <c r="BF107" s="18">
        <v>0</v>
      </c>
      <c r="BG107" s="18">
        <v>0</v>
      </c>
      <c r="BH107" s="18">
        <v>0</v>
      </c>
      <c r="BI107" s="18">
        <v>1</v>
      </c>
      <c r="BJ107" s="19">
        <v>1800</v>
      </c>
      <c r="BK107" s="18">
        <v>0</v>
      </c>
      <c r="BL107" s="18">
        <v>90</v>
      </c>
      <c r="BM107" s="21">
        <v>8700</v>
      </c>
      <c r="BN107" s="14">
        <f t="shared" si="4"/>
        <v>8610</v>
      </c>
      <c r="BO107" s="14">
        <f t="shared" si="5"/>
        <v>6027</v>
      </c>
    </row>
    <row r="108" spans="1:67" ht="24" x14ac:dyDescent="0.3">
      <c r="A108" s="5" t="s">
        <v>229</v>
      </c>
      <c r="B108" s="16" t="s">
        <v>125</v>
      </c>
      <c r="C108" s="16">
        <v>356315</v>
      </c>
      <c r="D108" s="17"/>
      <c r="E108" s="16" t="s">
        <v>16</v>
      </c>
      <c r="F108" s="16" t="s">
        <v>30</v>
      </c>
      <c r="G108" s="16" t="s">
        <v>31</v>
      </c>
      <c r="H108" s="18" t="s">
        <v>8</v>
      </c>
      <c r="I108" s="18" t="s">
        <v>126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36</v>
      </c>
      <c r="AF108" s="19">
        <v>4320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  <c r="AY108" s="18">
        <v>0</v>
      </c>
      <c r="AZ108" s="18">
        <v>0</v>
      </c>
      <c r="BA108" s="18">
        <v>0</v>
      </c>
      <c r="BB108" s="18">
        <v>0</v>
      </c>
      <c r="BC108" s="18">
        <v>0</v>
      </c>
      <c r="BD108" s="18">
        <v>0</v>
      </c>
      <c r="BE108" s="18">
        <v>0</v>
      </c>
      <c r="BF108" s="18">
        <v>0</v>
      </c>
      <c r="BG108" s="18">
        <v>0</v>
      </c>
      <c r="BH108" s="18">
        <v>0</v>
      </c>
      <c r="BI108" s="18">
        <v>36</v>
      </c>
      <c r="BJ108" s="19">
        <v>4320</v>
      </c>
      <c r="BK108" s="18">
        <v>0</v>
      </c>
      <c r="BL108" s="18">
        <v>216</v>
      </c>
      <c r="BM108" s="21">
        <v>8640</v>
      </c>
      <c r="BN108" s="14">
        <f t="shared" si="4"/>
        <v>8424</v>
      </c>
      <c r="BO108" s="14">
        <f t="shared" si="5"/>
        <v>5896.7999999999993</v>
      </c>
    </row>
    <row r="109" spans="1:67" ht="24" x14ac:dyDescent="0.3">
      <c r="A109" s="5" t="s">
        <v>228</v>
      </c>
      <c r="B109" s="16" t="s">
        <v>261</v>
      </c>
      <c r="C109" s="16">
        <v>457068</v>
      </c>
      <c r="D109" s="17"/>
      <c r="E109" s="16" t="s">
        <v>16</v>
      </c>
      <c r="F109" s="16" t="s">
        <v>262</v>
      </c>
      <c r="G109" s="16" t="s">
        <v>23</v>
      </c>
      <c r="H109" s="18" t="s">
        <v>27</v>
      </c>
      <c r="I109" s="18" t="s">
        <v>263</v>
      </c>
      <c r="J109" s="18">
        <v>0</v>
      </c>
      <c r="K109" s="18">
        <v>0</v>
      </c>
      <c r="L109" s="18">
        <v>0</v>
      </c>
      <c r="M109" s="18">
        <v>0</v>
      </c>
      <c r="N109" s="18">
        <v>0</v>
      </c>
      <c r="O109" s="18">
        <v>0</v>
      </c>
      <c r="P109" s="18">
        <v>0</v>
      </c>
      <c r="Q109" s="18">
        <v>0</v>
      </c>
      <c r="R109" s="18">
        <v>0</v>
      </c>
      <c r="S109" s="18">
        <v>0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8">
        <v>0</v>
      </c>
      <c r="Z109" s="18">
        <v>0</v>
      </c>
      <c r="AA109" s="18">
        <v>0</v>
      </c>
      <c r="AB109" s="18">
        <v>0</v>
      </c>
      <c r="AC109" s="18">
        <v>0</v>
      </c>
      <c r="AD109" s="18">
        <v>0</v>
      </c>
      <c r="AE109" s="18">
        <v>1</v>
      </c>
      <c r="AF109" s="19">
        <v>3000</v>
      </c>
      <c r="AG109" s="18">
        <v>0</v>
      </c>
      <c r="AH109" s="18">
        <v>0</v>
      </c>
      <c r="AI109" s="18">
        <v>0</v>
      </c>
      <c r="AJ109" s="18">
        <v>0</v>
      </c>
      <c r="AK109" s="18">
        <v>0</v>
      </c>
      <c r="AL109" s="18">
        <v>0</v>
      </c>
      <c r="AM109" s="18">
        <v>0</v>
      </c>
      <c r="AN109" s="18">
        <v>0</v>
      </c>
      <c r="AO109" s="18">
        <v>0</v>
      </c>
      <c r="AP109" s="18">
        <v>0</v>
      </c>
      <c r="AQ109" s="18">
        <v>1</v>
      </c>
      <c r="AR109" s="19">
        <v>2500</v>
      </c>
      <c r="AS109" s="18">
        <v>0</v>
      </c>
      <c r="AT109" s="18">
        <v>0</v>
      </c>
      <c r="AU109" s="18">
        <v>0</v>
      </c>
      <c r="AV109" s="18">
        <v>0</v>
      </c>
      <c r="AW109" s="18">
        <v>0</v>
      </c>
      <c r="AX109" s="18">
        <v>0</v>
      </c>
      <c r="AY109" s="18">
        <v>0</v>
      </c>
      <c r="AZ109" s="18">
        <v>0</v>
      </c>
      <c r="BA109" s="18">
        <v>0</v>
      </c>
      <c r="BB109" s="18">
        <v>0</v>
      </c>
      <c r="BC109" s="18">
        <v>0</v>
      </c>
      <c r="BD109" s="18">
        <v>0</v>
      </c>
      <c r="BE109" s="18">
        <v>0</v>
      </c>
      <c r="BF109" s="18">
        <v>0</v>
      </c>
      <c r="BG109" s="18">
        <v>0</v>
      </c>
      <c r="BH109" s="18">
        <v>0</v>
      </c>
      <c r="BI109" s="18">
        <v>1</v>
      </c>
      <c r="BJ109" s="19">
        <v>3000</v>
      </c>
      <c r="BK109" s="18">
        <v>0</v>
      </c>
      <c r="BL109" s="18">
        <v>150</v>
      </c>
      <c r="BM109" s="21">
        <v>8500</v>
      </c>
      <c r="BN109" s="14">
        <f t="shared" si="4"/>
        <v>8350</v>
      </c>
      <c r="BO109" s="14">
        <f t="shared" si="5"/>
        <v>5845</v>
      </c>
    </row>
    <row r="110" spans="1:67" ht="24" x14ac:dyDescent="0.3">
      <c r="A110" s="5" t="s">
        <v>229</v>
      </c>
      <c r="B110" s="16" t="s">
        <v>300</v>
      </c>
      <c r="C110" s="16">
        <v>467563</v>
      </c>
      <c r="D110" s="17"/>
      <c r="E110" s="16" t="s">
        <v>16</v>
      </c>
      <c r="F110" s="16" t="s">
        <v>301</v>
      </c>
      <c r="G110" s="16" t="s">
        <v>23</v>
      </c>
      <c r="H110" s="18" t="s">
        <v>27</v>
      </c>
      <c r="I110" s="18" t="s">
        <v>302</v>
      </c>
      <c r="J110" s="18">
        <v>0</v>
      </c>
      <c r="K110" s="18">
        <v>0</v>
      </c>
      <c r="L110" s="18">
        <v>0</v>
      </c>
      <c r="M110" s="18">
        <v>0</v>
      </c>
      <c r="N110" s="18">
        <v>0</v>
      </c>
      <c r="O110" s="18">
        <v>0</v>
      </c>
      <c r="P110" s="18">
        <v>0</v>
      </c>
      <c r="Q110" s="18">
        <v>0</v>
      </c>
      <c r="R110" s="18">
        <v>0</v>
      </c>
      <c r="S110" s="18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8">
        <v>0</v>
      </c>
      <c r="Z110" s="18">
        <v>0</v>
      </c>
      <c r="AA110" s="18">
        <v>0</v>
      </c>
      <c r="AB110" s="18">
        <v>0</v>
      </c>
      <c r="AC110" s="18">
        <v>0</v>
      </c>
      <c r="AD110" s="18">
        <v>0</v>
      </c>
      <c r="AE110" s="18">
        <v>3</v>
      </c>
      <c r="AF110" s="19">
        <v>2400</v>
      </c>
      <c r="AG110" s="19">
        <v>4000</v>
      </c>
      <c r="AH110" s="18">
        <v>0</v>
      </c>
      <c r="AI110" s="18">
        <v>0</v>
      </c>
      <c r="AJ110" s="18">
        <v>0</v>
      </c>
      <c r="AK110" s="18">
        <v>0</v>
      </c>
      <c r="AL110" s="18">
        <v>0</v>
      </c>
      <c r="AM110" s="18">
        <v>0</v>
      </c>
      <c r="AN110" s="18">
        <v>0</v>
      </c>
      <c r="AO110" s="18">
        <v>0</v>
      </c>
      <c r="AP110" s="18">
        <v>0</v>
      </c>
      <c r="AQ110" s="18">
        <v>1</v>
      </c>
      <c r="AR110" s="19">
        <v>2000</v>
      </c>
      <c r="AS110" s="18">
        <v>0</v>
      </c>
      <c r="AT110" s="18">
        <v>0</v>
      </c>
      <c r="AU110" s="18">
        <v>0</v>
      </c>
      <c r="AV110" s="18">
        <v>0</v>
      </c>
      <c r="AW110" s="18">
        <v>0</v>
      </c>
      <c r="AX110" s="18">
        <v>0</v>
      </c>
      <c r="AY110" s="18">
        <v>0</v>
      </c>
      <c r="AZ110" s="18">
        <v>0</v>
      </c>
      <c r="BA110" s="18">
        <v>0</v>
      </c>
      <c r="BB110" s="18">
        <v>0</v>
      </c>
      <c r="BC110" s="18">
        <v>0</v>
      </c>
      <c r="BD110" s="18">
        <v>0</v>
      </c>
      <c r="BE110" s="18">
        <v>0</v>
      </c>
      <c r="BF110" s="18">
        <v>0</v>
      </c>
      <c r="BG110" s="18">
        <v>0</v>
      </c>
      <c r="BH110" s="18">
        <v>0</v>
      </c>
      <c r="BI110" s="18">
        <v>0</v>
      </c>
      <c r="BJ110" s="18">
        <v>0</v>
      </c>
      <c r="BK110" s="18">
        <v>0</v>
      </c>
      <c r="BL110" s="18">
        <v>0</v>
      </c>
      <c r="BM110" s="21">
        <v>8400</v>
      </c>
      <c r="BN110" s="14">
        <f t="shared" si="4"/>
        <v>8400</v>
      </c>
      <c r="BO110" s="14">
        <f t="shared" si="5"/>
        <v>5880</v>
      </c>
    </row>
    <row r="111" spans="1:67" ht="24" x14ac:dyDescent="0.3">
      <c r="A111" s="5" t="s">
        <v>229</v>
      </c>
      <c r="B111" s="16" t="s">
        <v>277</v>
      </c>
      <c r="C111" s="16">
        <v>468589</v>
      </c>
      <c r="D111" s="17"/>
      <c r="E111" s="16" t="s">
        <v>16</v>
      </c>
      <c r="F111" s="16" t="s">
        <v>278</v>
      </c>
      <c r="G111" s="16" t="s">
        <v>23</v>
      </c>
      <c r="H111" s="18" t="s">
        <v>10</v>
      </c>
      <c r="I111" s="18" t="s">
        <v>279</v>
      </c>
      <c r="J111" s="18">
        <v>0</v>
      </c>
      <c r="K111" s="18">
        <v>0</v>
      </c>
      <c r="L111" s="18">
        <v>0</v>
      </c>
      <c r="M111" s="18">
        <v>0</v>
      </c>
      <c r="N111" s="18">
        <v>0</v>
      </c>
      <c r="O111" s="18">
        <v>0</v>
      </c>
      <c r="P111" s="18">
        <v>0</v>
      </c>
      <c r="Q111" s="18">
        <v>0</v>
      </c>
      <c r="R111" s="18">
        <v>0</v>
      </c>
      <c r="S111" s="18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8">
        <v>0</v>
      </c>
      <c r="Z111" s="18">
        <v>0</v>
      </c>
      <c r="AA111" s="18">
        <v>0</v>
      </c>
      <c r="AB111" s="18">
        <v>0</v>
      </c>
      <c r="AC111" s="18">
        <v>0</v>
      </c>
      <c r="AD111" s="18">
        <v>0</v>
      </c>
      <c r="AE111" s="18">
        <v>2</v>
      </c>
      <c r="AF111" s="19">
        <v>2500</v>
      </c>
      <c r="AG111" s="19">
        <v>2500</v>
      </c>
      <c r="AH111" s="18">
        <v>0</v>
      </c>
      <c r="AI111" s="18">
        <v>0</v>
      </c>
      <c r="AJ111" s="18">
        <v>0</v>
      </c>
      <c r="AK111" s="18">
        <v>0</v>
      </c>
      <c r="AL111" s="18">
        <v>0</v>
      </c>
      <c r="AM111" s="18">
        <v>0</v>
      </c>
      <c r="AN111" s="18">
        <v>0</v>
      </c>
      <c r="AO111" s="18">
        <v>0</v>
      </c>
      <c r="AP111" s="18">
        <v>0</v>
      </c>
      <c r="AQ111" s="18">
        <v>0</v>
      </c>
      <c r="AR111" s="18">
        <v>0</v>
      </c>
      <c r="AS111" s="18">
        <v>0</v>
      </c>
      <c r="AT111" s="18">
        <v>0</v>
      </c>
      <c r="AU111" s="18">
        <v>0</v>
      </c>
      <c r="AV111" s="18">
        <v>0</v>
      </c>
      <c r="AW111" s="18">
        <v>0</v>
      </c>
      <c r="AX111" s="18">
        <v>0</v>
      </c>
      <c r="AY111" s="18">
        <v>0</v>
      </c>
      <c r="AZ111" s="18">
        <v>0</v>
      </c>
      <c r="BA111" s="18">
        <v>0</v>
      </c>
      <c r="BB111" s="18">
        <v>0</v>
      </c>
      <c r="BC111" s="18">
        <v>0</v>
      </c>
      <c r="BD111" s="18">
        <v>0</v>
      </c>
      <c r="BE111" s="18">
        <v>0</v>
      </c>
      <c r="BF111" s="18">
        <v>0</v>
      </c>
      <c r="BG111" s="18">
        <v>0</v>
      </c>
      <c r="BH111" s="18">
        <v>0</v>
      </c>
      <c r="BI111" s="18">
        <v>1</v>
      </c>
      <c r="BJ111" s="19">
        <v>3000</v>
      </c>
      <c r="BK111" s="18">
        <v>0</v>
      </c>
      <c r="BL111" s="18">
        <v>150</v>
      </c>
      <c r="BM111" s="21">
        <v>8000</v>
      </c>
      <c r="BN111" s="14">
        <f t="shared" si="4"/>
        <v>7850</v>
      </c>
      <c r="BO111" s="14">
        <f t="shared" si="5"/>
        <v>5495</v>
      </c>
    </row>
    <row r="112" spans="1:67" ht="24" x14ac:dyDescent="0.3">
      <c r="A112" s="5" t="s">
        <v>229</v>
      </c>
      <c r="B112" s="16" t="s">
        <v>333</v>
      </c>
      <c r="C112" s="16">
        <v>360498</v>
      </c>
      <c r="D112" s="17"/>
      <c r="E112" s="16" t="s">
        <v>16</v>
      </c>
      <c r="F112" s="16" t="s">
        <v>44</v>
      </c>
      <c r="G112" s="16" t="s">
        <v>45</v>
      </c>
      <c r="H112" s="18" t="s">
        <v>27</v>
      </c>
      <c r="I112" s="18" t="s">
        <v>334</v>
      </c>
      <c r="J112" s="18">
        <v>0</v>
      </c>
      <c r="K112" s="18">
        <v>0</v>
      </c>
      <c r="L112" s="18">
        <v>0</v>
      </c>
      <c r="M112" s="18">
        <v>0</v>
      </c>
      <c r="N112" s="18">
        <v>0</v>
      </c>
      <c r="O112" s="18">
        <v>0</v>
      </c>
      <c r="P112" s="18">
        <v>0</v>
      </c>
      <c r="Q112" s="18">
        <v>0</v>
      </c>
      <c r="R112" s="18">
        <v>0</v>
      </c>
      <c r="S112" s="18">
        <v>0</v>
      </c>
      <c r="T112" s="18">
        <v>0</v>
      </c>
      <c r="U112" s="18">
        <v>0</v>
      </c>
      <c r="V112" s="18">
        <v>0</v>
      </c>
      <c r="W112" s="18">
        <v>0</v>
      </c>
      <c r="X112" s="18">
        <v>0</v>
      </c>
      <c r="Y112" s="18">
        <v>0</v>
      </c>
      <c r="Z112" s="18">
        <v>0</v>
      </c>
      <c r="AA112" s="18">
        <v>0</v>
      </c>
      <c r="AB112" s="18">
        <v>0</v>
      </c>
      <c r="AC112" s="18">
        <v>0</v>
      </c>
      <c r="AD112" s="18">
        <v>0</v>
      </c>
      <c r="AE112" s="18">
        <v>2</v>
      </c>
      <c r="AF112" s="19">
        <v>7680</v>
      </c>
      <c r="AG112" s="18">
        <v>0</v>
      </c>
      <c r="AH112" s="18">
        <v>0</v>
      </c>
      <c r="AI112" s="18">
        <v>0</v>
      </c>
      <c r="AJ112" s="18">
        <v>0</v>
      </c>
      <c r="AK112" s="18">
        <v>0</v>
      </c>
      <c r="AL112" s="18">
        <v>0</v>
      </c>
      <c r="AM112" s="18">
        <v>0</v>
      </c>
      <c r="AN112" s="18">
        <v>0</v>
      </c>
      <c r="AO112" s="18">
        <v>0</v>
      </c>
      <c r="AP112" s="18">
        <v>0</v>
      </c>
      <c r="AQ112" s="18">
        <v>0</v>
      </c>
      <c r="AR112" s="18">
        <v>0</v>
      </c>
      <c r="AS112" s="18">
        <v>0</v>
      </c>
      <c r="AT112" s="18">
        <v>0</v>
      </c>
      <c r="AU112" s="18">
        <v>0</v>
      </c>
      <c r="AV112" s="18">
        <v>0</v>
      </c>
      <c r="AW112" s="18">
        <v>0</v>
      </c>
      <c r="AX112" s="18">
        <v>0</v>
      </c>
      <c r="AY112" s="18">
        <v>0</v>
      </c>
      <c r="AZ112" s="18">
        <v>0</v>
      </c>
      <c r="BA112" s="18">
        <v>0</v>
      </c>
      <c r="BB112" s="18">
        <v>0</v>
      </c>
      <c r="BC112" s="18">
        <v>0</v>
      </c>
      <c r="BD112" s="18">
        <v>0</v>
      </c>
      <c r="BE112" s="18">
        <v>0</v>
      </c>
      <c r="BF112" s="18">
        <v>0</v>
      </c>
      <c r="BG112" s="18">
        <v>0</v>
      </c>
      <c r="BH112" s="18">
        <v>0</v>
      </c>
      <c r="BI112" s="18">
        <v>0</v>
      </c>
      <c r="BJ112" s="18">
        <v>0</v>
      </c>
      <c r="BK112" s="18">
        <v>0</v>
      </c>
      <c r="BL112" s="18">
        <v>0</v>
      </c>
      <c r="BM112" s="21">
        <v>7680</v>
      </c>
      <c r="BN112" s="14">
        <f t="shared" si="4"/>
        <v>7680</v>
      </c>
      <c r="BO112" s="14">
        <f t="shared" si="5"/>
        <v>5376</v>
      </c>
    </row>
    <row r="113" spans="1:67" ht="24" x14ac:dyDescent="0.3">
      <c r="A113" s="5" t="s">
        <v>229</v>
      </c>
      <c r="B113" s="16" t="s">
        <v>116</v>
      </c>
      <c r="C113" s="16">
        <v>459224</v>
      </c>
      <c r="D113" s="17"/>
      <c r="E113" s="16" t="s">
        <v>16</v>
      </c>
      <c r="F113" s="16" t="s">
        <v>117</v>
      </c>
      <c r="G113" s="16" t="s">
        <v>23</v>
      </c>
      <c r="H113" s="18" t="s">
        <v>7</v>
      </c>
      <c r="I113" s="18" t="s">
        <v>118</v>
      </c>
      <c r="J113" s="18">
        <v>0</v>
      </c>
      <c r="K113" s="18">
        <v>0</v>
      </c>
      <c r="L113" s="18">
        <v>0</v>
      </c>
      <c r="M113" s="18">
        <v>0</v>
      </c>
      <c r="N113" s="18">
        <v>0</v>
      </c>
      <c r="O113" s="18">
        <v>0</v>
      </c>
      <c r="P113" s="18">
        <v>0</v>
      </c>
      <c r="Q113" s="18">
        <v>0</v>
      </c>
      <c r="R113" s="18">
        <v>0</v>
      </c>
      <c r="S113" s="18">
        <v>0</v>
      </c>
      <c r="T113" s="18">
        <v>0</v>
      </c>
      <c r="U113" s="18">
        <v>0</v>
      </c>
      <c r="V113" s="18">
        <v>0</v>
      </c>
      <c r="W113" s="18">
        <v>0</v>
      </c>
      <c r="X113" s="18">
        <v>0</v>
      </c>
      <c r="Y113" s="18">
        <v>0</v>
      </c>
      <c r="Z113" s="18">
        <v>0</v>
      </c>
      <c r="AA113" s="18">
        <v>0</v>
      </c>
      <c r="AB113" s="18">
        <v>0</v>
      </c>
      <c r="AC113" s="18">
        <v>0</v>
      </c>
      <c r="AD113" s="18">
        <v>0</v>
      </c>
      <c r="AE113" s="18">
        <v>2</v>
      </c>
      <c r="AF113" s="19">
        <v>2400</v>
      </c>
      <c r="AG113" s="19">
        <v>2000</v>
      </c>
      <c r="AH113" s="18">
        <v>0</v>
      </c>
      <c r="AI113" s="18">
        <v>0</v>
      </c>
      <c r="AJ113" s="18">
        <v>0</v>
      </c>
      <c r="AK113" s="18">
        <v>0</v>
      </c>
      <c r="AL113" s="18">
        <v>0</v>
      </c>
      <c r="AM113" s="18">
        <v>0</v>
      </c>
      <c r="AN113" s="18">
        <v>0</v>
      </c>
      <c r="AO113" s="18">
        <v>0</v>
      </c>
      <c r="AP113" s="18">
        <v>0</v>
      </c>
      <c r="AQ113" s="18">
        <v>0</v>
      </c>
      <c r="AR113" s="18">
        <v>0</v>
      </c>
      <c r="AS113" s="18">
        <v>0</v>
      </c>
      <c r="AT113" s="18">
        <v>0</v>
      </c>
      <c r="AU113" s="18">
        <v>0</v>
      </c>
      <c r="AV113" s="18">
        <v>0</v>
      </c>
      <c r="AW113" s="18">
        <v>0</v>
      </c>
      <c r="AX113" s="18">
        <v>0</v>
      </c>
      <c r="AY113" s="18">
        <v>0</v>
      </c>
      <c r="AZ113" s="18">
        <v>0</v>
      </c>
      <c r="BA113" s="18">
        <v>0</v>
      </c>
      <c r="BB113" s="18">
        <v>0</v>
      </c>
      <c r="BC113" s="18">
        <v>0</v>
      </c>
      <c r="BD113" s="18">
        <v>0</v>
      </c>
      <c r="BE113" s="18">
        <v>0</v>
      </c>
      <c r="BF113" s="18">
        <v>0</v>
      </c>
      <c r="BG113" s="18">
        <v>0</v>
      </c>
      <c r="BH113" s="18">
        <v>0</v>
      </c>
      <c r="BI113" s="18">
        <v>1</v>
      </c>
      <c r="BJ113" s="19">
        <v>2400</v>
      </c>
      <c r="BK113" s="18">
        <v>0</v>
      </c>
      <c r="BL113" s="18">
        <v>120</v>
      </c>
      <c r="BM113" s="21">
        <v>6800</v>
      </c>
      <c r="BN113" s="14">
        <f t="shared" si="4"/>
        <v>6680</v>
      </c>
      <c r="BO113" s="14">
        <f t="shared" si="5"/>
        <v>4676</v>
      </c>
    </row>
    <row r="114" spans="1:67" ht="24" x14ac:dyDescent="0.3">
      <c r="A114" s="5" t="s">
        <v>228</v>
      </c>
      <c r="B114" s="16" t="s">
        <v>314</v>
      </c>
      <c r="C114" s="16">
        <v>467557</v>
      </c>
      <c r="D114" s="17"/>
      <c r="E114" s="16" t="s">
        <v>16</v>
      </c>
      <c r="F114" s="16" t="s">
        <v>315</v>
      </c>
      <c r="G114" s="16" t="s">
        <v>23</v>
      </c>
      <c r="H114" s="18" t="s">
        <v>27</v>
      </c>
      <c r="I114" s="18" t="s">
        <v>302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8">
        <v>2</v>
      </c>
      <c r="AF114" s="19">
        <v>4400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  <c r="AY114" s="18">
        <v>0</v>
      </c>
      <c r="AZ114" s="18">
        <v>0</v>
      </c>
      <c r="BA114" s="18">
        <v>0</v>
      </c>
      <c r="BB114" s="18">
        <v>0</v>
      </c>
      <c r="BC114" s="18">
        <v>0</v>
      </c>
      <c r="BD114" s="18">
        <v>0</v>
      </c>
      <c r="BE114" s="18">
        <v>0</v>
      </c>
      <c r="BF114" s="18">
        <v>0</v>
      </c>
      <c r="BG114" s="18">
        <v>0</v>
      </c>
      <c r="BH114" s="18">
        <v>0</v>
      </c>
      <c r="BI114" s="18">
        <v>1</v>
      </c>
      <c r="BJ114" s="19">
        <v>2400</v>
      </c>
      <c r="BK114" s="18">
        <v>0</v>
      </c>
      <c r="BL114" s="18">
        <v>120</v>
      </c>
      <c r="BM114" s="21">
        <v>6800</v>
      </c>
      <c r="BN114" s="14">
        <f t="shared" si="4"/>
        <v>6680</v>
      </c>
      <c r="BO114" s="14">
        <f t="shared" si="5"/>
        <v>4676</v>
      </c>
    </row>
    <row r="115" spans="1:67" ht="24" x14ac:dyDescent="0.3">
      <c r="A115" s="5" t="s">
        <v>229</v>
      </c>
      <c r="B115" s="16" t="s">
        <v>86</v>
      </c>
      <c r="C115" s="16">
        <v>457534</v>
      </c>
      <c r="D115" s="17"/>
      <c r="E115" s="16" t="s">
        <v>16</v>
      </c>
      <c r="F115" s="16" t="s">
        <v>87</v>
      </c>
      <c r="G115" s="16" t="s">
        <v>23</v>
      </c>
      <c r="H115" s="18" t="s">
        <v>27</v>
      </c>
      <c r="I115" s="18" t="s">
        <v>88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8">
        <v>0</v>
      </c>
      <c r="Z115" s="18">
        <v>0</v>
      </c>
      <c r="AA115" s="18">
        <v>0</v>
      </c>
      <c r="AB115" s="18">
        <v>0</v>
      </c>
      <c r="AC115" s="18">
        <v>0</v>
      </c>
      <c r="AD115" s="18">
        <v>0</v>
      </c>
      <c r="AE115" s="18">
        <v>1</v>
      </c>
      <c r="AF115" s="19">
        <v>2000</v>
      </c>
      <c r="AG115" s="18">
        <v>0</v>
      </c>
      <c r="AH115" s="18">
        <v>0</v>
      </c>
      <c r="AI115" s="18">
        <v>0</v>
      </c>
      <c r="AJ115" s="18">
        <v>0</v>
      </c>
      <c r="AK115" s="18">
        <v>0</v>
      </c>
      <c r="AL115" s="18">
        <v>0</v>
      </c>
      <c r="AM115" s="18">
        <v>0</v>
      </c>
      <c r="AN115" s="18">
        <v>0</v>
      </c>
      <c r="AO115" s="18">
        <v>0</v>
      </c>
      <c r="AP115" s="18">
        <v>0</v>
      </c>
      <c r="AQ115" s="18">
        <v>0</v>
      </c>
      <c r="AR115" s="18">
        <v>0</v>
      </c>
      <c r="AS115" s="18">
        <v>0</v>
      </c>
      <c r="AT115" s="18">
        <v>0</v>
      </c>
      <c r="AU115" s="18">
        <v>0</v>
      </c>
      <c r="AV115" s="18">
        <v>0</v>
      </c>
      <c r="AW115" s="18">
        <v>0</v>
      </c>
      <c r="AX115" s="18">
        <v>0</v>
      </c>
      <c r="AY115" s="18">
        <v>0</v>
      </c>
      <c r="AZ115" s="18">
        <v>0</v>
      </c>
      <c r="BA115" s="18">
        <v>0</v>
      </c>
      <c r="BB115" s="18">
        <v>0</v>
      </c>
      <c r="BC115" s="18">
        <v>0</v>
      </c>
      <c r="BD115" s="18">
        <v>0</v>
      </c>
      <c r="BE115" s="18">
        <v>0</v>
      </c>
      <c r="BF115" s="18">
        <v>0</v>
      </c>
      <c r="BG115" s="18">
        <v>0</v>
      </c>
      <c r="BH115" s="18">
        <v>0</v>
      </c>
      <c r="BI115" s="18">
        <v>2</v>
      </c>
      <c r="BJ115" s="19">
        <v>4800</v>
      </c>
      <c r="BK115" s="18">
        <v>0</v>
      </c>
      <c r="BL115" s="18">
        <v>240</v>
      </c>
      <c r="BM115" s="21">
        <v>6800</v>
      </c>
      <c r="BN115" s="14">
        <f t="shared" si="4"/>
        <v>6560</v>
      </c>
      <c r="BO115" s="14">
        <f t="shared" si="5"/>
        <v>4592</v>
      </c>
    </row>
    <row r="116" spans="1:67" ht="24" x14ac:dyDescent="0.3">
      <c r="A116" s="5" t="s">
        <v>229</v>
      </c>
      <c r="B116" s="16" t="s">
        <v>280</v>
      </c>
      <c r="C116" s="16">
        <v>312154</v>
      </c>
      <c r="D116" s="17"/>
      <c r="E116" s="16" t="s">
        <v>16</v>
      </c>
      <c r="F116" s="16" t="s">
        <v>44</v>
      </c>
      <c r="G116" s="16" t="s">
        <v>35</v>
      </c>
      <c r="H116" s="18" t="s">
        <v>10</v>
      </c>
      <c r="I116" s="18" t="s">
        <v>281</v>
      </c>
      <c r="J116" s="18">
        <v>0</v>
      </c>
      <c r="K116" s="18">
        <v>0</v>
      </c>
      <c r="L116" s="18">
        <v>0</v>
      </c>
      <c r="M116" s="18">
        <v>0</v>
      </c>
      <c r="N116" s="18">
        <v>0</v>
      </c>
      <c r="O116" s="18">
        <v>0</v>
      </c>
      <c r="P116" s="18">
        <v>0</v>
      </c>
      <c r="Q116" s="18">
        <v>0</v>
      </c>
      <c r="R116" s="18">
        <v>0</v>
      </c>
      <c r="S116" s="18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8">
        <v>0</v>
      </c>
      <c r="Z116" s="18">
        <v>0</v>
      </c>
      <c r="AA116" s="18">
        <v>0</v>
      </c>
      <c r="AB116" s="18">
        <v>0</v>
      </c>
      <c r="AC116" s="18">
        <v>0</v>
      </c>
      <c r="AD116" s="18">
        <v>0</v>
      </c>
      <c r="AE116" s="18">
        <v>2</v>
      </c>
      <c r="AF116" s="19">
        <v>6720</v>
      </c>
      <c r="AG116" s="18">
        <v>0</v>
      </c>
      <c r="AH116" s="18">
        <v>0</v>
      </c>
      <c r="AI116" s="18">
        <v>0</v>
      </c>
      <c r="AJ116" s="18">
        <v>0</v>
      </c>
      <c r="AK116" s="18">
        <v>0</v>
      </c>
      <c r="AL116" s="18">
        <v>0</v>
      </c>
      <c r="AM116" s="18">
        <v>0</v>
      </c>
      <c r="AN116" s="18">
        <v>0</v>
      </c>
      <c r="AO116" s="18">
        <v>0</v>
      </c>
      <c r="AP116" s="18">
        <v>0</v>
      </c>
      <c r="AQ116" s="18">
        <v>0</v>
      </c>
      <c r="AR116" s="18">
        <v>0</v>
      </c>
      <c r="AS116" s="18">
        <v>0</v>
      </c>
      <c r="AT116" s="18">
        <v>0</v>
      </c>
      <c r="AU116" s="18">
        <v>0</v>
      </c>
      <c r="AV116" s="18">
        <v>0</v>
      </c>
      <c r="AW116" s="18">
        <v>0</v>
      </c>
      <c r="AX116" s="18">
        <v>0</v>
      </c>
      <c r="AY116" s="18">
        <v>0</v>
      </c>
      <c r="AZ116" s="18">
        <v>0</v>
      </c>
      <c r="BA116" s="18">
        <v>0</v>
      </c>
      <c r="BB116" s="18">
        <v>0</v>
      </c>
      <c r="BC116" s="18">
        <v>0</v>
      </c>
      <c r="BD116" s="18">
        <v>0</v>
      </c>
      <c r="BE116" s="18">
        <v>0</v>
      </c>
      <c r="BF116" s="18">
        <v>0</v>
      </c>
      <c r="BG116" s="18">
        <v>0</v>
      </c>
      <c r="BH116" s="18">
        <v>0</v>
      </c>
      <c r="BI116" s="18">
        <v>0</v>
      </c>
      <c r="BJ116" s="18">
        <v>0</v>
      </c>
      <c r="BK116" s="18">
        <v>0</v>
      </c>
      <c r="BL116" s="18">
        <v>0</v>
      </c>
      <c r="BM116" s="21">
        <v>6720</v>
      </c>
      <c r="BN116" s="14">
        <f t="shared" si="4"/>
        <v>6720</v>
      </c>
      <c r="BO116" s="14">
        <f t="shared" si="5"/>
        <v>4704</v>
      </c>
    </row>
    <row r="117" spans="1:67" ht="24" x14ac:dyDescent="0.3">
      <c r="A117" s="5" t="s">
        <v>229</v>
      </c>
      <c r="B117" s="16" t="s">
        <v>236</v>
      </c>
      <c r="C117" s="16">
        <v>445954</v>
      </c>
      <c r="D117" s="17"/>
      <c r="E117" s="16" t="s">
        <v>16</v>
      </c>
      <c r="F117" s="16" t="s">
        <v>108</v>
      </c>
      <c r="G117" s="16" t="s">
        <v>56</v>
      </c>
      <c r="H117" s="18" t="s">
        <v>8</v>
      </c>
      <c r="I117" s="18" t="s">
        <v>237</v>
      </c>
      <c r="J117" s="18">
        <v>0</v>
      </c>
      <c r="K117" s="18">
        <v>0</v>
      </c>
      <c r="L117" s="18">
        <v>0</v>
      </c>
      <c r="M117" s="18">
        <v>0</v>
      </c>
      <c r="N117" s="18">
        <v>0</v>
      </c>
      <c r="O117" s="18">
        <v>0</v>
      </c>
      <c r="P117" s="18">
        <v>0</v>
      </c>
      <c r="Q117" s="18">
        <v>0</v>
      </c>
      <c r="R117" s="18">
        <v>0</v>
      </c>
      <c r="S117" s="18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8">
        <v>0</v>
      </c>
      <c r="Z117" s="18">
        <v>0</v>
      </c>
      <c r="AA117" s="18">
        <v>0</v>
      </c>
      <c r="AB117" s="18">
        <v>0</v>
      </c>
      <c r="AC117" s="18">
        <v>0</v>
      </c>
      <c r="AD117" s="18">
        <v>0</v>
      </c>
      <c r="AE117" s="18">
        <v>5</v>
      </c>
      <c r="AF117" s="18">
        <v>600</v>
      </c>
      <c r="AG117" s="18">
        <v>0</v>
      </c>
      <c r="AH117" s="18">
        <v>0</v>
      </c>
      <c r="AI117" s="18">
        <v>0</v>
      </c>
      <c r="AJ117" s="18">
        <v>0</v>
      </c>
      <c r="AK117" s="18">
        <v>0</v>
      </c>
      <c r="AL117" s="18">
        <v>0</v>
      </c>
      <c r="AM117" s="18">
        <v>0</v>
      </c>
      <c r="AN117" s="18">
        <v>0</v>
      </c>
      <c r="AO117" s="18">
        <v>0</v>
      </c>
      <c r="AP117" s="18">
        <v>0</v>
      </c>
      <c r="AQ117" s="18">
        <v>24</v>
      </c>
      <c r="AR117" s="19">
        <v>2400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  <c r="AY117" s="18">
        <v>0</v>
      </c>
      <c r="AZ117" s="18">
        <v>0</v>
      </c>
      <c r="BA117" s="18">
        <v>0</v>
      </c>
      <c r="BB117" s="18">
        <v>0</v>
      </c>
      <c r="BC117" s="18">
        <v>0</v>
      </c>
      <c r="BD117" s="18">
        <v>0</v>
      </c>
      <c r="BE117" s="18">
        <v>0</v>
      </c>
      <c r="BF117" s="18">
        <v>0</v>
      </c>
      <c r="BG117" s="18">
        <v>0</v>
      </c>
      <c r="BH117" s="18">
        <v>0</v>
      </c>
      <c r="BI117" s="18">
        <v>30</v>
      </c>
      <c r="BJ117" s="19">
        <v>3600</v>
      </c>
      <c r="BK117" s="18">
        <v>0</v>
      </c>
      <c r="BL117" s="18">
        <v>180</v>
      </c>
      <c r="BM117" s="21">
        <v>6600</v>
      </c>
      <c r="BN117" s="14">
        <f t="shared" si="4"/>
        <v>6420</v>
      </c>
      <c r="BO117" s="14">
        <f t="shared" si="5"/>
        <v>4494</v>
      </c>
    </row>
    <row r="118" spans="1:67" ht="24" x14ac:dyDescent="0.3">
      <c r="A118" s="5" t="s">
        <v>229</v>
      </c>
      <c r="B118" s="16" t="s">
        <v>92</v>
      </c>
      <c r="C118" s="16">
        <v>465771</v>
      </c>
      <c r="D118" s="17"/>
      <c r="E118" s="16" t="s">
        <v>16</v>
      </c>
      <c r="F118" s="16" t="s">
        <v>93</v>
      </c>
      <c r="G118" s="16" t="s">
        <v>23</v>
      </c>
      <c r="H118" s="18" t="s">
        <v>10</v>
      </c>
      <c r="I118" s="18" t="s">
        <v>94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3</v>
      </c>
      <c r="AF118" s="19">
        <v>2400</v>
      </c>
      <c r="AG118" s="19">
        <v>4000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  <c r="AY118" s="18">
        <v>0</v>
      </c>
      <c r="AZ118" s="18">
        <v>0</v>
      </c>
      <c r="BA118" s="18">
        <v>0</v>
      </c>
      <c r="BB118" s="18">
        <v>0</v>
      </c>
      <c r="BC118" s="18">
        <v>0</v>
      </c>
      <c r="BD118" s="18">
        <v>0</v>
      </c>
      <c r="BE118" s="18">
        <v>0</v>
      </c>
      <c r="BF118" s="18">
        <v>0</v>
      </c>
      <c r="BG118" s="18">
        <v>0</v>
      </c>
      <c r="BH118" s="18">
        <v>0</v>
      </c>
      <c r="BI118" s="18">
        <v>0</v>
      </c>
      <c r="BJ118" s="18">
        <v>0</v>
      </c>
      <c r="BK118" s="18">
        <v>0</v>
      </c>
      <c r="BL118" s="18">
        <v>0</v>
      </c>
      <c r="BM118" s="21">
        <v>6400</v>
      </c>
      <c r="BN118" s="14">
        <f t="shared" si="4"/>
        <v>6400</v>
      </c>
      <c r="BO118" s="14">
        <f t="shared" si="5"/>
        <v>4480</v>
      </c>
    </row>
    <row r="119" spans="1:67" ht="24" x14ac:dyDescent="0.3">
      <c r="A119" s="5" t="s">
        <v>229</v>
      </c>
      <c r="B119" s="16" t="s">
        <v>74</v>
      </c>
      <c r="C119" s="16">
        <v>457533</v>
      </c>
      <c r="D119" s="17"/>
      <c r="E119" s="16" t="s">
        <v>16</v>
      </c>
      <c r="F119" s="16" t="s">
        <v>75</v>
      </c>
      <c r="G119" s="16" t="s">
        <v>23</v>
      </c>
      <c r="H119" s="18" t="s">
        <v>27</v>
      </c>
      <c r="I119" s="18" t="s">
        <v>76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2</v>
      </c>
      <c r="AF119" s="19">
        <v>6000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  <c r="AY119" s="18">
        <v>0</v>
      </c>
      <c r="AZ119" s="18">
        <v>0</v>
      </c>
      <c r="BA119" s="18">
        <v>0</v>
      </c>
      <c r="BB119" s="18">
        <v>0</v>
      </c>
      <c r="BC119" s="18">
        <v>0</v>
      </c>
      <c r="BD119" s="18">
        <v>0</v>
      </c>
      <c r="BE119" s="18">
        <v>0</v>
      </c>
      <c r="BF119" s="18">
        <v>0</v>
      </c>
      <c r="BG119" s="18">
        <v>0</v>
      </c>
      <c r="BH119" s="18">
        <v>0</v>
      </c>
      <c r="BI119" s="18">
        <v>0</v>
      </c>
      <c r="BJ119" s="18">
        <v>0</v>
      </c>
      <c r="BK119" s="18">
        <v>0</v>
      </c>
      <c r="BL119" s="18">
        <v>0</v>
      </c>
      <c r="BM119" s="21">
        <v>6000</v>
      </c>
      <c r="BN119" s="14">
        <f t="shared" si="4"/>
        <v>6000</v>
      </c>
      <c r="BO119" s="14">
        <f t="shared" si="5"/>
        <v>4200</v>
      </c>
    </row>
    <row r="120" spans="1:67" ht="24" x14ac:dyDescent="0.3">
      <c r="A120" s="5" t="s">
        <v>229</v>
      </c>
      <c r="B120" s="16" t="s">
        <v>298</v>
      </c>
      <c r="C120" s="16">
        <v>468580</v>
      </c>
      <c r="D120" s="17"/>
      <c r="E120" s="16" t="s">
        <v>16</v>
      </c>
      <c r="F120" s="16" t="s">
        <v>262</v>
      </c>
      <c r="G120" s="16" t="s">
        <v>23</v>
      </c>
      <c r="H120" s="18" t="s">
        <v>27</v>
      </c>
      <c r="I120" s="18" t="s">
        <v>294</v>
      </c>
      <c r="J120" s="18">
        <v>0</v>
      </c>
      <c r="K120" s="18">
        <v>0</v>
      </c>
      <c r="L120" s="18">
        <v>0</v>
      </c>
      <c r="M120" s="18">
        <v>0</v>
      </c>
      <c r="N120" s="18">
        <v>0</v>
      </c>
      <c r="O120" s="18">
        <v>0</v>
      </c>
      <c r="P120" s="18">
        <v>0</v>
      </c>
      <c r="Q120" s="18">
        <v>0</v>
      </c>
      <c r="R120" s="18">
        <v>0</v>
      </c>
      <c r="S120" s="18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8">
        <v>0</v>
      </c>
      <c r="Z120" s="18">
        <v>0</v>
      </c>
      <c r="AA120" s="18">
        <v>0</v>
      </c>
      <c r="AB120" s="18">
        <v>0</v>
      </c>
      <c r="AC120" s="18">
        <v>0</v>
      </c>
      <c r="AD120" s="18">
        <v>0</v>
      </c>
      <c r="AE120" s="18">
        <v>1</v>
      </c>
      <c r="AF120" s="18">
        <v>0</v>
      </c>
      <c r="AG120" s="19">
        <v>2500</v>
      </c>
      <c r="AH120" s="18">
        <v>0</v>
      </c>
      <c r="AI120" s="18">
        <v>0</v>
      </c>
      <c r="AJ120" s="18">
        <v>0</v>
      </c>
      <c r="AK120" s="18">
        <v>0</v>
      </c>
      <c r="AL120" s="18">
        <v>0</v>
      </c>
      <c r="AM120" s="18">
        <v>0</v>
      </c>
      <c r="AN120" s="18">
        <v>0</v>
      </c>
      <c r="AO120" s="18">
        <v>0</v>
      </c>
      <c r="AP120" s="18">
        <v>0</v>
      </c>
      <c r="AQ120" s="18">
        <v>0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  <c r="AY120" s="18">
        <v>0</v>
      </c>
      <c r="AZ120" s="18">
        <v>0</v>
      </c>
      <c r="BA120" s="18">
        <v>0</v>
      </c>
      <c r="BB120" s="18">
        <v>0</v>
      </c>
      <c r="BC120" s="18">
        <v>0</v>
      </c>
      <c r="BD120" s="18">
        <v>0</v>
      </c>
      <c r="BE120" s="18">
        <v>0</v>
      </c>
      <c r="BF120" s="18">
        <v>0</v>
      </c>
      <c r="BG120" s="18">
        <v>0</v>
      </c>
      <c r="BH120" s="18">
        <v>0</v>
      </c>
      <c r="BI120" s="18">
        <v>1</v>
      </c>
      <c r="BJ120" s="19">
        <v>3000</v>
      </c>
      <c r="BK120" s="18">
        <v>0</v>
      </c>
      <c r="BL120" s="18">
        <v>150</v>
      </c>
      <c r="BM120" s="21">
        <v>5500</v>
      </c>
      <c r="BN120" s="14">
        <f t="shared" si="4"/>
        <v>5350</v>
      </c>
      <c r="BO120" s="14">
        <f t="shared" si="5"/>
        <v>3744.9999999999995</v>
      </c>
    </row>
    <row r="121" spans="1:67" ht="24" x14ac:dyDescent="0.3">
      <c r="A121" s="5" t="s">
        <v>229</v>
      </c>
      <c r="B121" s="16" t="s">
        <v>157</v>
      </c>
      <c r="C121" s="16">
        <v>474766</v>
      </c>
      <c r="D121" s="17"/>
      <c r="E121" s="16" t="s">
        <v>16</v>
      </c>
      <c r="F121" s="16" t="s">
        <v>158</v>
      </c>
      <c r="G121" s="16" t="s">
        <v>23</v>
      </c>
      <c r="H121" s="18" t="s">
        <v>27</v>
      </c>
      <c r="I121" s="18" t="s">
        <v>159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8">
        <v>0</v>
      </c>
      <c r="AE121" s="18">
        <v>1</v>
      </c>
      <c r="AF121" s="18">
        <v>0</v>
      </c>
      <c r="AG121" s="19">
        <v>1600</v>
      </c>
      <c r="AH121" s="18">
        <v>0</v>
      </c>
      <c r="AI121" s="18">
        <v>0</v>
      </c>
      <c r="AJ121" s="18">
        <v>0</v>
      </c>
      <c r="AK121" s="18">
        <v>1</v>
      </c>
      <c r="AL121" s="18">
        <v>0</v>
      </c>
      <c r="AM121" s="18">
        <v>900</v>
      </c>
      <c r="AN121" s="18">
        <v>0</v>
      </c>
      <c r="AO121" s="18">
        <v>0</v>
      </c>
      <c r="AP121" s="18">
        <v>0</v>
      </c>
      <c r="AQ121" s="18">
        <v>1</v>
      </c>
      <c r="AR121" s="19">
        <v>1800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  <c r="AY121" s="18">
        <v>0</v>
      </c>
      <c r="AZ121" s="18">
        <v>0</v>
      </c>
      <c r="BA121" s="18">
        <v>0</v>
      </c>
      <c r="BB121" s="18">
        <v>0</v>
      </c>
      <c r="BC121" s="18">
        <v>0</v>
      </c>
      <c r="BD121" s="18">
        <v>0</v>
      </c>
      <c r="BE121" s="18">
        <v>0</v>
      </c>
      <c r="BF121" s="18">
        <v>0</v>
      </c>
      <c r="BG121" s="18">
        <v>0</v>
      </c>
      <c r="BH121" s="18">
        <v>0</v>
      </c>
      <c r="BI121" s="18">
        <v>1</v>
      </c>
      <c r="BJ121" s="18">
        <v>0</v>
      </c>
      <c r="BK121" s="18">
        <v>700</v>
      </c>
      <c r="BL121" s="18">
        <v>0</v>
      </c>
      <c r="BM121" s="21">
        <v>5000</v>
      </c>
      <c r="BN121" s="14">
        <f t="shared" si="4"/>
        <v>5000</v>
      </c>
      <c r="BO121" s="14">
        <f t="shared" si="5"/>
        <v>3500</v>
      </c>
    </row>
    <row r="122" spans="1:67" ht="24" x14ac:dyDescent="0.3">
      <c r="A122" s="5" t="s">
        <v>229</v>
      </c>
      <c r="B122" s="16" t="s">
        <v>99</v>
      </c>
      <c r="C122" s="16">
        <v>354768</v>
      </c>
      <c r="D122" s="17"/>
      <c r="E122" s="16" t="s">
        <v>16</v>
      </c>
      <c r="F122" s="16" t="s">
        <v>30</v>
      </c>
      <c r="G122" s="16" t="s">
        <v>31</v>
      </c>
      <c r="H122" s="18" t="s">
        <v>8</v>
      </c>
      <c r="I122" s="18" t="s">
        <v>100</v>
      </c>
      <c r="J122" s="18">
        <v>0</v>
      </c>
      <c r="K122" s="18">
        <v>0</v>
      </c>
      <c r="L122" s="18">
        <v>0</v>
      </c>
      <c r="M122" s="18">
        <v>0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8">
        <v>0</v>
      </c>
      <c r="Z122" s="18">
        <v>0</v>
      </c>
      <c r="AA122" s="18">
        <v>0</v>
      </c>
      <c r="AB122" s="18">
        <v>0</v>
      </c>
      <c r="AC122" s="18">
        <v>0</v>
      </c>
      <c r="AD122" s="18">
        <v>0</v>
      </c>
      <c r="AE122" s="18">
        <v>1</v>
      </c>
      <c r="AF122" s="18">
        <v>100</v>
      </c>
      <c r="AG122" s="18">
        <v>0</v>
      </c>
      <c r="AH122" s="18">
        <v>0</v>
      </c>
      <c r="AI122" s="18">
        <v>0</v>
      </c>
      <c r="AJ122" s="18">
        <v>0</v>
      </c>
      <c r="AK122" s="18">
        <v>0</v>
      </c>
      <c r="AL122" s="18">
        <v>0</v>
      </c>
      <c r="AM122" s="18">
        <v>0</v>
      </c>
      <c r="AN122" s="18">
        <v>0</v>
      </c>
      <c r="AO122" s="18">
        <v>0</v>
      </c>
      <c r="AP122" s="18">
        <v>0</v>
      </c>
      <c r="AQ122" s="18">
        <v>0</v>
      </c>
      <c r="AR122" s="18">
        <v>0</v>
      </c>
      <c r="AS122" s="18">
        <v>0</v>
      </c>
      <c r="AT122" s="18">
        <v>0</v>
      </c>
      <c r="AU122" s="18">
        <v>0</v>
      </c>
      <c r="AV122" s="18">
        <v>0</v>
      </c>
      <c r="AW122" s="18">
        <v>0</v>
      </c>
      <c r="AX122" s="18">
        <v>0</v>
      </c>
      <c r="AY122" s="18">
        <v>0</v>
      </c>
      <c r="AZ122" s="18">
        <v>0</v>
      </c>
      <c r="BA122" s="18">
        <v>0</v>
      </c>
      <c r="BB122" s="18">
        <v>0</v>
      </c>
      <c r="BC122" s="18">
        <v>0</v>
      </c>
      <c r="BD122" s="18">
        <v>0</v>
      </c>
      <c r="BE122" s="18">
        <v>0</v>
      </c>
      <c r="BF122" s="18">
        <v>0</v>
      </c>
      <c r="BG122" s="18">
        <v>0</v>
      </c>
      <c r="BH122" s="18">
        <v>0</v>
      </c>
      <c r="BI122" s="18">
        <v>38</v>
      </c>
      <c r="BJ122" s="19">
        <v>4560</v>
      </c>
      <c r="BK122" s="18">
        <v>0</v>
      </c>
      <c r="BL122" s="18">
        <v>228</v>
      </c>
      <c r="BM122" s="21">
        <v>4660</v>
      </c>
      <c r="BN122" s="14">
        <f t="shared" si="4"/>
        <v>4432</v>
      </c>
      <c r="BO122" s="14">
        <f t="shared" si="5"/>
        <v>3102.3999999999996</v>
      </c>
    </row>
    <row r="123" spans="1:67" ht="24" x14ac:dyDescent="0.3">
      <c r="A123" s="5" t="s">
        <v>228</v>
      </c>
      <c r="B123" s="16" t="s">
        <v>323</v>
      </c>
      <c r="C123" s="16">
        <v>443978</v>
      </c>
      <c r="D123" s="17"/>
      <c r="E123" s="16" t="s">
        <v>16</v>
      </c>
      <c r="F123" s="16" t="s">
        <v>85</v>
      </c>
      <c r="G123" s="16" t="s">
        <v>35</v>
      </c>
      <c r="H123" s="18" t="s">
        <v>8</v>
      </c>
      <c r="I123" s="18" t="s">
        <v>115</v>
      </c>
      <c r="J123" s="18">
        <v>0</v>
      </c>
      <c r="K123" s="18">
        <v>0</v>
      </c>
      <c r="L123" s="18">
        <v>0</v>
      </c>
      <c r="M123" s="18">
        <v>0</v>
      </c>
      <c r="N123" s="18">
        <v>0</v>
      </c>
      <c r="O123" s="18">
        <v>0</v>
      </c>
      <c r="P123" s="18">
        <v>0</v>
      </c>
      <c r="Q123" s="18">
        <v>0</v>
      </c>
      <c r="R123" s="18">
        <v>0</v>
      </c>
      <c r="S123" s="18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8">
        <v>0</v>
      </c>
      <c r="Z123" s="18">
        <v>0</v>
      </c>
      <c r="AA123" s="18">
        <v>0</v>
      </c>
      <c r="AB123" s="18">
        <v>0</v>
      </c>
      <c r="AC123" s="18">
        <v>0</v>
      </c>
      <c r="AD123" s="18">
        <v>0</v>
      </c>
      <c r="AE123" s="18">
        <v>45</v>
      </c>
      <c r="AF123" s="18">
        <v>0</v>
      </c>
      <c r="AG123" s="19">
        <v>4500</v>
      </c>
      <c r="AH123" s="18">
        <v>0</v>
      </c>
      <c r="AI123" s="18">
        <v>0</v>
      </c>
      <c r="AJ123" s="18">
        <v>0</v>
      </c>
      <c r="AK123" s="18">
        <v>0</v>
      </c>
      <c r="AL123" s="18">
        <v>0</v>
      </c>
      <c r="AM123" s="18">
        <v>0</v>
      </c>
      <c r="AN123" s="18">
        <v>0</v>
      </c>
      <c r="AO123" s="18">
        <v>0</v>
      </c>
      <c r="AP123" s="18">
        <v>0</v>
      </c>
      <c r="AQ123" s="18">
        <v>0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  <c r="AY123" s="18">
        <v>0</v>
      </c>
      <c r="AZ123" s="18">
        <v>0</v>
      </c>
      <c r="BA123" s="18">
        <v>0</v>
      </c>
      <c r="BB123" s="18">
        <v>0</v>
      </c>
      <c r="BC123" s="18">
        <v>0</v>
      </c>
      <c r="BD123" s="18">
        <v>0</v>
      </c>
      <c r="BE123" s="18">
        <v>0</v>
      </c>
      <c r="BF123" s="18">
        <v>0</v>
      </c>
      <c r="BG123" s="18">
        <v>0</v>
      </c>
      <c r="BH123" s="18">
        <v>0</v>
      </c>
      <c r="BI123" s="18">
        <v>0</v>
      </c>
      <c r="BJ123" s="18">
        <v>0</v>
      </c>
      <c r="BK123" s="18">
        <v>0</v>
      </c>
      <c r="BL123" s="18">
        <v>0</v>
      </c>
      <c r="BM123" s="21">
        <v>4500</v>
      </c>
      <c r="BN123" s="14">
        <f t="shared" si="4"/>
        <v>4500</v>
      </c>
      <c r="BO123" s="14">
        <f t="shared" si="5"/>
        <v>3150</v>
      </c>
    </row>
    <row r="124" spans="1:67" ht="24" x14ac:dyDescent="0.3">
      <c r="A124" s="5" t="s">
        <v>229</v>
      </c>
      <c r="B124" s="16" t="s">
        <v>331</v>
      </c>
      <c r="C124" s="16">
        <v>485980</v>
      </c>
      <c r="D124" s="17"/>
      <c r="E124" s="16" t="s">
        <v>16</v>
      </c>
      <c r="F124" s="16" t="s">
        <v>266</v>
      </c>
      <c r="G124" s="16" t="s">
        <v>23</v>
      </c>
      <c r="H124" s="18" t="s">
        <v>10</v>
      </c>
      <c r="I124" s="18" t="s">
        <v>332</v>
      </c>
      <c r="J124" s="18">
        <v>0</v>
      </c>
      <c r="K124" s="18">
        <v>0</v>
      </c>
      <c r="L124" s="18">
        <v>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0</v>
      </c>
      <c r="S124" s="18">
        <v>0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8">
        <v>0</v>
      </c>
      <c r="Z124" s="18">
        <v>0</v>
      </c>
      <c r="AA124" s="18">
        <v>0</v>
      </c>
      <c r="AB124" s="18">
        <v>0</v>
      </c>
      <c r="AC124" s="18">
        <v>0</v>
      </c>
      <c r="AD124" s="18">
        <v>0</v>
      </c>
      <c r="AE124" s="18">
        <v>1</v>
      </c>
      <c r="AF124" s="18">
        <v>0</v>
      </c>
      <c r="AG124" s="19">
        <v>2000</v>
      </c>
      <c r="AH124" s="18">
        <v>0</v>
      </c>
      <c r="AI124" s="18">
        <v>0</v>
      </c>
      <c r="AJ124" s="18">
        <v>0</v>
      </c>
      <c r="AK124" s="18">
        <v>0</v>
      </c>
      <c r="AL124" s="18">
        <v>0</v>
      </c>
      <c r="AM124" s="18">
        <v>0</v>
      </c>
      <c r="AN124" s="18">
        <v>0</v>
      </c>
      <c r="AO124" s="18">
        <v>0</v>
      </c>
      <c r="AP124" s="18">
        <v>0</v>
      </c>
      <c r="AQ124" s="18">
        <v>0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  <c r="AY124" s="18">
        <v>0</v>
      </c>
      <c r="AZ124" s="18">
        <v>0</v>
      </c>
      <c r="BA124" s="18">
        <v>0</v>
      </c>
      <c r="BB124" s="18">
        <v>0</v>
      </c>
      <c r="BC124" s="18">
        <v>0</v>
      </c>
      <c r="BD124" s="18">
        <v>0</v>
      </c>
      <c r="BE124" s="18">
        <v>0</v>
      </c>
      <c r="BF124" s="18">
        <v>0</v>
      </c>
      <c r="BG124" s="18">
        <v>0</v>
      </c>
      <c r="BH124" s="18">
        <v>0</v>
      </c>
      <c r="BI124" s="18">
        <v>1</v>
      </c>
      <c r="BJ124" s="19">
        <v>2400</v>
      </c>
      <c r="BK124" s="18">
        <v>0</v>
      </c>
      <c r="BL124" s="18">
        <v>120</v>
      </c>
      <c r="BM124" s="21">
        <v>4400</v>
      </c>
      <c r="BN124" s="14">
        <f t="shared" si="4"/>
        <v>4280</v>
      </c>
      <c r="BO124" s="14">
        <f t="shared" si="5"/>
        <v>2996</v>
      </c>
    </row>
    <row r="125" spans="1:67" ht="24" x14ac:dyDescent="0.3">
      <c r="A125" s="5" t="s">
        <v>229</v>
      </c>
      <c r="B125" s="16" t="s">
        <v>95</v>
      </c>
      <c r="C125" s="16">
        <v>317429</v>
      </c>
      <c r="D125" s="17"/>
      <c r="E125" s="16" t="s">
        <v>16</v>
      </c>
      <c r="F125" s="16" t="s">
        <v>34</v>
      </c>
      <c r="G125" s="16" t="s">
        <v>35</v>
      </c>
      <c r="H125" s="18" t="s">
        <v>8</v>
      </c>
      <c r="I125" s="18" t="s">
        <v>96</v>
      </c>
      <c r="J125" s="18">
        <v>0</v>
      </c>
      <c r="K125" s="18">
        <v>0</v>
      </c>
      <c r="L125" s="18">
        <v>0</v>
      </c>
      <c r="M125" s="18">
        <v>0</v>
      </c>
      <c r="N125" s="18">
        <v>0</v>
      </c>
      <c r="O125" s="18">
        <v>0</v>
      </c>
      <c r="P125" s="18">
        <v>0</v>
      </c>
      <c r="Q125" s="18">
        <v>0</v>
      </c>
      <c r="R125" s="18">
        <v>0</v>
      </c>
      <c r="S125" s="18">
        <v>0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8">
        <v>0</v>
      </c>
      <c r="Z125" s="18">
        <v>0</v>
      </c>
      <c r="AA125" s="18">
        <v>0</v>
      </c>
      <c r="AB125" s="18">
        <v>0</v>
      </c>
      <c r="AC125" s="18">
        <v>0</v>
      </c>
      <c r="AD125" s="18">
        <v>0</v>
      </c>
      <c r="AE125" s="18">
        <v>0</v>
      </c>
      <c r="AF125" s="18">
        <v>0</v>
      </c>
      <c r="AG125" s="18">
        <v>0</v>
      </c>
      <c r="AH125" s="18">
        <v>0</v>
      </c>
      <c r="AI125" s="18">
        <v>0</v>
      </c>
      <c r="AJ125" s="18">
        <v>0</v>
      </c>
      <c r="AK125" s="18">
        <v>0</v>
      </c>
      <c r="AL125" s="18">
        <v>0</v>
      </c>
      <c r="AM125" s="18">
        <v>0</v>
      </c>
      <c r="AN125" s="18">
        <v>0</v>
      </c>
      <c r="AO125" s="18">
        <v>0</v>
      </c>
      <c r="AP125" s="18">
        <v>0</v>
      </c>
      <c r="AQ125" s="18">
        <v>1</v>
      </c>
      <c r="AR125" s="19">
        <v>4400</v>
      </c>
      <c r="AS125" s="18">
        <v>0</v>
      </c>
      <c r="AT125" s="18">
        <v>0</v>
      </c>
      <c r="AU125" s="18">
        <v>0</v>
      </c>
      <c r="AV125" s="18">
        <v>0</v>
      </c>
      <c r="AW125" s="18">
        <v>0</v>
      </c>
      <c r="AX125" s="18">
        <v>0</v>
      </c>
      <c r="AY125" s="18">
        <v>0</v>
      </c>
      <c r="AZ125" s="18">
        <v>0</v>
      </c>
      <c r="BA125" s="18">
        <v>0</v>
      </c>
      <c r="BB125" s="18">
        <v>0</v>
      </c>
      <c r="BC125" s="18">
        <v>0</v>
      </c>
      <c r="BD125" s="18">
        <v>0</v>
      </c>
      <c r="BE125" s="18">
        <v>0</v>
      </c>
      <c r="BF125" s="18">
        <v>0</v>
      </c>
      <c r="BG125" s="18">
        <v>0</v>
      </c>
      <c r="BH125" s="18">
        <v>0</v>
      </c>
      <c r="BI125" s="18">
        <v>0</v>
      </c>
      <c r="BJ125" s="18">
        <v>0</v>
      </c>
      <c r="BK125" s="18">
        <v>0</v>
      </c>
      <c r="BL125" s="18">
        <v>0</v>
      </c>
      <c r="BM125" s="21">
        <v>4400</v>
      </c>
      <c r="BN125" s="14">
        <f t="shared" si="4"/>
        <v>4400</v>
      </c>
      <c r="BO125" s="14">
        <f t="shared" si="5"/>
        <v>3080</v>
      </c>
    </row>
    <row r="126" spans="1:67" ht="24" x14ac:dyDescent="0.3">
      <c r="A126" s="5" t="s">
        <v>228</v>
      </c>
      <c r="B126" s="16" t="s">
        <v>303</v>
      </c>
      <c r="C126" s="16">
        <v>459231</v>
      </c>
      <c r="D126" s="17"/>
      <c r="E126" s="16" t="s">
        <v>16</v>
      </c>
      <c r="F126" s="16" t="s">
        <v>304</v>
      </c>
      <c r="G126" s="16" t="s">
        <v>23</v>
      </c>
      <c r="H126" s="18" t="s">
        <v>27</v>
      </c>
      <c r="I126" s="18" t="s">
        <v>286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1</v>
      </c>
      <c r="AF126" s="18">
        <v>0</v>
      </c>
      <c r="AG126" s="19">
        <v>2000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  <c r="AY126" s="18">
        <v>0</v>
      </c>
      <c r="AZ126" s="18">
        <v>0</v>
      </c>
      <c r="BA126" s="18">
        <v>0</v>
      </c>
      <c r="BB126" s="18">
        <v>0</v>
      </c>
      <c r="BC126" s="18">
        <v>0</v>
      </c>
      <c r="BD126" s="18">
        <v>0</v>
      </c>
      <c r="BE126" s="18">
        <v>0</v>
      </c>
      <c r="BF126" s="18">
        <v>0</v>
      </c>
      <c r="BG126" s="18">
        <v>0</v>
      </c>
      <c r="BH126" s="18">
        <v>0</v>
      </c>
      <c r="BI126" s="18">
        <v>1</v>
      </c>
      <c r="BJ126" s="19">
        <v>2400</v>
      </c>
      <c r="BK126" s="18">
        <v>0</v>
      </c>
      <c r="BL126" s="18">
        <v>120</v>
      </c>
      <c r="BM126" s="21">
        <v>4400</v>
      </c>
      <c r="BN126" s="14">
        <f t="shared" si="4"/>
        <v>4280</v>
      </c>
      <c r="BO126" s="14">
        <f t="shared" si="5"/>
        <v>2996</v>
      </c>
    </row>
    <row r="127" spans="1:67" ht="24" x14ac:dyDescent="0.3">
      <c r="A127" s="5" t="s">
        <v>229</v>
      </c>
      <c r="B127" s="16" t="s">
        <v>358</v>
      </c>
      <c r="C127" s="16">
        <v>381424</v>
      </c>
      <c r="D127" s="17"/>
      <c r="E127" s="16" t="s">
        <v>16</v>
      </c>
      <c r="F127" s="16" t="s">
        <v>34</v>
      </c>
      <c r="G127" s="16" t="s">
        <v>35</v>
      </c>
      <c r="H127" s="18" t="s">
        <v>27</v>
      </c>
      <c r="I127" s="18" t="s">
        <v>359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1</v>
      </c>
      <c r="AF127" s="19">
        <v>4200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  <c r="AY127" s="18">
        <v>0</v>
      </c>
      <c r="AZ127" s="18">
        <v>0</v>
      </c>
      <c r="BA127" s="18">
        <v>0</v>
      </c>
      <c r="BB127" s="18">
        <v>0</v>
      </c>
      <c r="BC127" s="18">
        <v>0</v>
      </c>
      <c r="BD127" s="18">
        <v>0</v>
      </c>
      <c r="BE127" s="18">
        <v>0</v>
      </c>
      <c r="BF127" s="18">
        <v>0</v>
      </c>
      <c r="BG127" s="18">
        <v>0</v>
      </c>
      <c r="BH127" s="18">
        <v>0</v>
      </c>
      <c r="BI127" s="18">
        <v>0</v>
      </c>
      <c r="BJ127" s="18">
        <v>0</v>
      </c>
      <c r="BK127" s="18">
        <v>0</v>
      </c>
      <c r="BL127" s="18">
        <v>0</v>
      </c>
      <c r="BM127" s="21">
        <v>4200</v>
      </c>
      <c r="BN127" s="14">
        <f t="shared" si="4"/>
        <v>4200</v>
      </c>
      <c r="BO127" s="14">
        <f t="shared" si="5"/>
        <v>2940</v>
      </c>
    </row>
    <row r="128" spans="1:67" ht="24" x14ac:dyDescent="0.3">
      <c r="A128" s="5" t="s">
        <v>229</v>
      </c>
      <c r="B128" s="16" t="s">
        <v>317</v>
      </c>
      <c r="C128" s="16">
        <v>414543</v>
      </c>
      <c r="D128" s="17"/>
      <c r="E128" s="16" t="s">
        <v>16</v>
      </c>
      <c r="F128" s="16" t="s">
        <v>55</v>
      </c>
      <c r="G128" s="16" t="s">
        <v>56</v>
      </c>
      <c r="H128" s="18" t="s">
        <v>27</v>
      </c>
      <c r="I128" s="18" t="s">
        <v>318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D128" s="18">
        <v>0</v>
      </c>
      <c r="AE128" s="18">
        <v>1</v>
      </c>
      <c r="AF128" s="19">
        <v>4080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  <c r="AY128" s="18">
        <v>0</v>
      </c>
      <c r="AZ128" s="18">
        <v>0</v>
      </c>
      <c r="BA128" s="18">
        <v>0</v>
      </c>
      <c r="BB128" s="18">
        <v>0</v>
      </c>
      <c r="BC128" s="18">
        <v>0</v>
      </c>
      <c r="BD128" s="18">
        <v>0</v>
      </c>
      <c r="BE128" s="18">
        <v>0</v>
      </c>
      <c r="BF128" s="18">
        <v>0</v>
      </c>
      <c r="BG128" s="18">
        <v>0</v>
      </c>
      <c r="BH128" s="18">
        <v>0</v>
      </c>
      <c r="BI128" s="18">
        <v>0</v>
      </c>
      <c r="BJ128" s="18">
        <v>0</v>
      </c>
      <c r="BK128" s="18">
        <v>0</v>
      </c>
      <c r="BL128" s="18">
        <v>0</v>
      </c>
      <c r="BM128" s="21">
        <v>4080</v>
      </c>
      <c r="BN128" s="14">
        <f t="shared" si="4"/>
        <v>4080</v>
      </c>
      <c r="BO128" s="14">
        <f t="shared" si="5"/>
        <v>2856</v>
      </c>
    </row>
    <row r="129" spans="1:67" ht="24" x14ac:dyDescent="0.3">
      <c r="A129" s="5" t="s">
        <v>228</v>
      </c>
      <c r="B129" s="16" t="s">
        <v>71</v>
      </c>
      <c r="C129" s="16">
        <v>461347</v>
      </c>
      <c r="D129" s="17"/>
      <c r="E129" s="16" t="s">
        <v>16</v>
      </c>
      <c r="F129" s="16" t="s">
        <v>47</v>
      </c>
      <c r="G129" s="16" t="s">
        <v>23</v>
      </c>
      <c r="H129" s="18" t="s">
        <v>27</v>
      </c>
      <c r="I129" s="18" t="s">
        <v>72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8">
        <v>0</v>
      </c>
      <c r="Z129" s="18">
        <v>0</v>
      </c>
      <c r="AA129" s="18">
        <v>0</v>
      </c>
      <c r="AB129" s="18">
        <v>0</v>
      </c>
      <c r="AC129" s="18">
        <v>0</v>
      </c>
      <c r="AD129" s="18">
        <v>0</v>
      </c>
      <c r="AE129" s="18">
        <v>0</v>
      </c>
      <c r="AF129" s="18">
        <v>0</v>
      </c>
      <c r="AG129" s="18">
        <v>0</v>
      </c>
      <c r="AH129" s="18">
        <v>0</v>
      </c>
      <c r="AI129" s="18">
        <v>0</v>
      </c>
      <c r="AJ129" s="18">
        <v>0</v>
      </c>
      <c r="AK129" s="18">
        <v>0</v>
      </c>
      <c r="AL129" s="18">
        <v>0</v>
      </c>
      <c r="AM129" s="18">
        <v>0</v>
      </c>
      <c r="AN129" s="18">
        <v>0</v>
      </c>
      <c r="AO129" s="18">
        <v>0</v>
      </c>
      <c r="AP129" s="18">
        <v>0</v>
      </c>
      <c r="AQ129" s="18">
        <v>2</v>
      </c>
      <c r="AR129" s="19">
        <v>4000</v>
      </c>
      <c r="AS129" s="18">
        <v>0</v>
      </c>
      <c r="AT129" s="18">
        <v>0</v>
      </c>
      <c r="AU129" s="18">
        <v>0</v>
      </c>
      <c r="AV129" s="18">
        <v>0</v>
      </c>
      <c r="AW129" s="18">
        <v>0</v>
      </c>
      <c r="AX129" s="18">
        <v>0</v>
      </c>
      <c r="AY129" s="18">
        <v>0</v>
      </c>
      <c r="AZ129" s="18">
        <v>0</v>
      </c>
      <c r="BA129" s="18">
        <v>0</v>
      </c>
      <c r="BB129" s="18">
        <v>0</v>
      </c>
      <c r="BC129" s="18">
        <v>0</v>
      </c>
      <c r="BD129" s="18">
        <v>0</v>
      </c>
      <c r="BE129" s="18">
        <v>0</v>
      </c>
      <c r="BF129" s="18">
        <v>0</v>
      </c>
      <c r="BG129" s="18">
        <v>0</v>
      </c>
      <c r="BH129" s="18">
        <v>0</v>
      </c>
      <c r="BI129" s="18">
        <v>0</v>
      </c>
      <c r="BJ129" s="18">
        <v>0</v>
      </c>
      <c r="BK129" s="18">
        <v>0</v>
      </c>
      <c r="BL129" s="18">
        <v>0</v>
      </c>
      <c r="BM129" s="21">
        <v>4000</v>
      </c>
      <c r="BN129" s="14">
        <f t="shared" si="4"/>
        <v>4000</v>
      </c>
      <c r="BO129" s="14">
        <f t="shared" si="5"/>
        <v>2800</v>
      </c>
    </row>
    <row r="130" spans="1:67" ht="24" x14ac:dyDescent="0.3">
      <c r="A130" s="5" t="s">
        <v>234</v>
      </c>
      <c r="B130" s="16" t="s">
        <v>310</v>
      </c>
      <c r="C130" s="16">
        <v>468591</v>
      </c>
      <c r="D130" s="17"/>
      <c r="E130" s="16" t="s">
        <v>16</v>
      </c>
      <c r="F130" s="16" t="s">
        <v>311</v>
      </c>
      <c r="G130" s="16" t="s">
        <v>23</v>
      </c>
      <c r="H130" s="18" t="s">
        <v>27</v>
      </c>
      <c r="I130" s="18" t="s">
        <v>279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2</v>
      </c>
      <c r="AF130" s="18">
        <v>0</v>
      </c>
      <c r="AG130" s="19">
        <v>4000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  <c r="AY130" s="18">
        <v>0</v>
      </c>
      <c r="AZ130" s="18">
        <v>0</v>
      </c>
      <c r="BA130" s="18">
        <v>0</v>
      </c>
      <c r="BB130" s="18">
        <v>0</v>
      </c>
      <c r="BC130" s="18">
        <v>0</v>
      </c>
      <c r="BD130" s="18">
        <v>0</v>
      </c>
      <c r="BE130" s="18">
        <v>0</v>
      </c>
      <c r="BF130" s="18">
        <v>0</v>
      </c>
      <c r="BG130" s="18">
        <v>0</v>
      </c>
      <c r="BH130" s="18">
        <v>0</v>
      </c>
      <c r="BI130" s="18">
        <v>0</v>
      </c>
      <c r="BJ130" s="18">
        <v>0</v>
      </c>
      <c r="BK130" s="18">
        <v>0</v>
      </c>
      <c r="BL130" s="18">
        <v>0</v>
      </c>
      <c r="BM130" s="21">
        <v>4000</v>
      </c>
      <c r="BN130" s="14">
        <f t="shared" si="4"/>
        <v>4000</v>
      </c>
      <c r="BO130" s="14">
        <f t="shared" si="5"/>
        <v>2800</v>
      </c>
    </row>
    <row r="131" spans="1:67" ht="24" x14ac:dyDescent="0.3">
      <c r="A131" s="5" t="s">
        <v>229</v>
      </c>
      <c r="B131" s="16" t="s">
        <v>258</v>
      </c>
      <c r="C131" s="16">
        <v>480605</v>
      </c>
      <c r="D131" s="17"/>
      <c r="E131" s="16" t="s">
        <v>16</v>
      </c>
      <c r="F131" s="16" t="s">
        <v>259</v>
      </c>
      <c r="G131" s="16" t="s">
        <v>23</v>
      </c>
      <c r="H131" s="18" t="s">
        <v>27</v>
      </c>
      <c r="I131" s="18" t="s">
        <v>260</v>
      </c>
      <c r="J131" s="18">
        <v>0</v>
      </c>
      <c r="K131" s="18">
        <v>0</v>
      </c>
      <c r="L131" s="18">
        <v>0</v>
      </c>
      <c r="M131" s="18">
        <v>0</v>
      </c>
      <c r="N131" s="18">
        <v>0</v>
      </c>
      <c r="O131" s="18">
        <v>0</v>
      </c>
      <c r="P131" s="18">
        <v>0</v>
      </c>
      <c r="Q131" s="18">
        <v>0</v>
      </c>
      <c r="R131" s="18">
        <v>0</v>
      </c>
      <c r="S131" s="18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8">
        <v>0</v>
      </c>
      <c r="Z131" s="18">
        <v>0</v>
      </c>
      <c r="AA131" s="18">
        <v>0</v>
      </c>
      <c r="AB131" s="18">
        <v>0</v>
      </c>
      <c r="AC131" s="18">
        <v>0</v>
      </c>
      <c r="AD131" s="18">
        <v>0</v>
      </c>
      <c r="AE131" s="18">
        <v>2</v>
      </c>
      <c r="AF131" s="18">
        <v>0</v>
      </c>
      <c r="AG131" s="19">
        <v>3200</v>
      </c>
      <c r="AH131" s="18">
        <v>0</v>
      </c>
      <c r="AI131" s="18">
        <v>0</v>
      </c>
      <c r="AJ131" s="18">
        <v>0</v>
      </c>
      <c r="AK131" s="18">
        <v>0</v>
      </c>
      <c r="AL131" s="18">
        <v>0</v>
      </c>
      <c r="AM131" s="18">
        <v>0</v>
      </c>
      <c r="AN131" s="18">
        <v>0</v>
      </c>
      <c r="AO131" s="18">
        <v>0</v>
      </c>
      <c r="AP131" s="18">
        <v>0</v>
      </c>
      <c r="AQ131" s="18">
        <v>1</v>
      </c>
      <c r="AR131" s="18">
        <v>800</v>
      </c>
      <c r="AS131" s="18">
        <v>0</v>
      </c>
      <c r="AT131" s="18">
        <v>0</v>
      </c>
      <c r="AU131" s="18">
        <v>0</v>
      </c>
      <c r="AV131" s="18">
        <v>0</v>
      </c>
      <c r="AW131" s="18">
        <v>0</v>
      </c>
      <c r="AX131" s="18">
        <v>0</v>
      </c>
      <c r="AY131" s="18">
        <v>0</v>
      </c>
      <c r="AZ131" s="18">
        <v>0</v>
      </c>
      <c r="BA131" s="18">
        <v>0</v>
      </c>
      <c r="BB131" s="18">
        <v>0</v>
      </c>
      <c r="BC131" s="18">
        <v>0</v>
      </c>
      <c r="BD131" s="18">
        <v>0</v>
      </c>
      <c r="BE131" s="18">
        <v>0</v>
      </c>
      <c r="BF131" s="18">
        <v>0</v>
      </c>
      <c r="BG131" s="18">
        <v>0</v>
      </c>
      <c r="BH131" s="18">
        <v>0</v>
      </c>
      <c r="BI131" s="18">
        <v>0</v>
      </c>
      <c r="BJ131" s="18">
        <v>0</v>
      </c>
      <c r="BK131" s="18">
        <v>0</v>
      </c>
      <c r="BL131" s="18">
        <v>0</v>
      </c>
      <c r="BM131" s="21">
        <v>4000</v>
      </c>
      <c r="BN131" s="14">
        <f t="shared" si="4"/>
        <v>4000</v>
      </c>
      <c r="BO131" s="14">
        <f t="shared" si="5"/>
        <v>2800</v>
      </c>
    </row>
    <row r="132" spans="1:67" ht="24" x14ac:dyDescent="0.3">
      <c r="A132" s="5" t="s">
        <v>229</v>
      </c>
      <c r="B132" s="16" t="s">
        <v>360</v>
      </c>
      <c r="C132" s="16">
        <v>361632</v>
      </c>
      <c r="D132" s="17"/>
      <c r="E132" s="16" t="s">
        <v>16</v>
      </c>
      <c r="F132" s="16" t="s">
        <v>122</v>
      </c>
      <c r="G132" s="16" t="s">
        <v>31</v>
      </c>
      <c r="H132" s="18" t="s">
        <v>27</v>
      </c>
      <c r="I132" s="18" t="s">
        <v>361</v>
      </c>
      <c r="J132" s="18">
        <v>0</v>
      </c>
      <c r="K132" s="18">
        <v>0</v>
      </c>
      <c r="L132" s="18">
        <v>0</v>
      </c>
      <c r="M132" s="18">
        <v>0</v>
      </c>
      <c r="N132" s="18">
        <v>0</v>
      </c>
      <c r="O132" s="18">
        <v>0</v>
      </c>
      <c r="P132" s="18">
        <v>0</v>
      </c>
      <c r="Q132" s="18">
        <v>0</v>
      </c>
      <c r="R132" s="18">
        <v>0</v>
      </c>
      <c r="S132" s="18">
        <v>0</v>
      </c>
      <c r="T132" s="18">
        <v>0</v>
      </c>
      <c r="U132" s="18">
        <v>0</v>
      </c>
      <c r="V132" s="18">
        <v>0</v>
      </c>
      <c r="W132" s="18">
        <v>0</v>
      </c>
      <c r="X132" s="18">
        <v>0</v>
      </c>
      <c r="Y132" s="18">
        <v>0</v>
      </c>
      <c r="Z132" s="18">
        <v>0</v>
      </c>
      <c r="AA132" s="18">
        <v>0</v>
      </c>
      <c r="AB132" s="18">
        <v>0</v>
      </c>
      <c r="AC132" s="18">
        <v>0</v>
      </c>
      <c r="AD132" s="18">
        <v>0</v>
      </c>
      <c r="AE132" s="18">
        <v>1</v>
      </c>
      <c r="AF132" s="19">
        <v>3840</v>
      </c>
      <c r="AG132" s="18">
        <v>0</v>
      </c>
      <c r="AH132" s="18">
        <v>0</v>
      </c>
      <c r="AI132" s="18">
        <v>0</v>
      </c>
      <c r="AJ132" s="18">
        <v>0</v>
      </c>
      <c r="AK132" s="18">
        <v>0</v>
      </c>
      <c r="AL132" s="18">
        <v>0</v>
      </c>
      <c r="AM132" s="18">
        <v>0</v>
      </c>
      <c r="AN132" s="18">
        <v>0</v>
      </c>
      <c r="AO132" s="18">
        <v>0</v>
      </c>
      <c r="AP132" s="18">
        <v>0</v>
      </c>
      <c r="AQ132" s="18">
        <v>0</v>
      </c>
      <c r="AR132" s="18">
        <v>0</v>
      </c>
      <c r="AS132" s="18">
        <v>0</v>
      </c>
      <c r="AT132" s="18">
        <v>0</v>
      </c>
      <c r="AU132" s="18">
        <v>0</v>
      </c>
      <c r="AV132" s="18">
        <v>0</v>
      </c>
      <c r="AW132" s="18">
        <v>0</v>
      </c>
      <c r="AX132" s="18">
        <v>0</v>
      </c>
      <c r="AY132" s="18">
        <v>0</v>
      </c>
      <c r="AZ132" s="18">
        <v>0</v>
      </c>
      <c r="BA132" s="18">
        <v>0</v>
      </c>
      <c r="BB132" s="18">
        <v>0</v>
      </c>
      <c r="BC132" s="18">
        <v>0</v>
      </c>
      <c r="BD132" s="18">
        <v>0</v>
      </c>
      <c r="BE132" s="18">
        <v>0</v>
      </c>
      <c r="BF132" s="18">
        <v>0</v>
      </c>
      <c r="BG132" s="18">
        <v>0</v>
      </c>
      <c r="BH132" s="18">
        <v>0</v>
      </c>
      <c r="BI132" s="18">
        <v>0</v>
      </c>
      <c r="BJ132" s="18">
        <v>0</v>
      </c>
      <c r="BK132" s="18">
        <v>0</v>
      </c>
      <c r="BL132" s="18">
        <v>0</v>
      </c>
      <c r="BM132" s="21">
        <v>3840</v>
      </c>
      <c r="BN132" s="14">
        <f t="shared" si="4"/>
        <v>3840</v>
      </c>
      <c r="BO132" s="14">
        <f t="shared" si="5"/>
        <v>2688</v>
      </c>
    </row>
    <row r="133" spans="1:67" ht="24" x14ac:dyDescent="0.3">
      <c r="A133" s="5" t="s">
        <v>229</v>
      </c>
      <c r="B133" s="16" t="s">
        <v>362</v>
      </c>
      <c r="C133" s="16">
        <v>326776</v>
      </c>
      <c r="D133" s="17"/>
      <c r="E133" s="16" t="s">
        <v>16</v>
      </c>
      <c r="F133" s="16" t="s">
        <v>90</v>
      </c>
      <c r="G133" s="16" t="s">
        <v>56</v>
      </c>
      <c r="H133" s="18" t="s">
        <v>27</v>
      </c>
      <c r="I133" s="18" t="s">
        <v>363</v>
      </c>
      <c r="J133" s="18">
        <v>0</v>
      </c>
      <c r="K133" s="18">
        <v>0</v>
      </c>
      <c r="L133" s="18">
        <v>0</v>
      </c>
      <c r="M133" s="18">
        <v>0</v>
      </c>
      <c r="N133" s="18">
        <v>0</v>
      </c>
      <c r="O133" s="18">
        <v>0</v>
      </c>
      <c r="P133" s="18">
        <v>0</v>
      </c>
      <c r="Q133" s="18">
        <v>0</v>
      </c>
      <c r="R133" s="18">
        <v>0</v>
      </c>
      <c r="S133" s="18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8">
        <v>0</v>
      </c>
      <c r="Z133" s="18">
        <v>0</v>
      </c>
      <c r="AA133" s="18">
        <v>0</v>
      </c>
      <c r="AB133" s="18">
        <v>0</v>
      </c>
      <c r="AC133" s="18">
        <v>0</v>
      </c>
      <c r="AD133" s="18">
        <v>0</v>
      </c>
      <c r="AE133" s="18">
        <v>1</v>
      </c>
      <c r="AF133" s="19">
        <v>3800</v>
      </c>
      <c r="AG133" s="18">
        <v>0</v>
      </c>
      <c r="AH133" s="18">
        <v>0</v>
      </c>
      <c r="AI133" s="18">
        <v>0</v>
      </c>
      <c r="AJ133" s="18">
        <v>0</v>
      </c>
      <c r="AK133" s="18">
        <v>0</v>
      </c>
      <c r="AL133" s="18">
        <v>0</v>
      </c>
      <c r="AM133" s="18">
        <v>0</v>
      </c>
      <c r="AN133" s="18">
        <v>0</v>
      </c>
      <c r="AO133" s="18">
        <v>0</v>
      </c>
      <c r="AP133" s="18">
        <v>0</v>
      </c>
      <c r="AQ133" s="18">
        <v>0</v>
      </c>
      <c r="AR133" s="18">
        <v>0</v>
      </c>
      <c r="AS133" s="18">
        <v>0</v>
      </c>
      <c r="AT133" s="18">
        <v>0</v>
      </c>
      <c r="AU133" s="18">
        <v>0</v>
      </c>
      <c r="AV133" s="18">
        <v>0</v>
      </c>
      <c r="AW133" s="18">
        <v>0</v>
      </c>
      <c r="AX133" s="18">
        <v>0</v>
      </c>
      <c r="AY133" s="18">
        <v>0</v>
      </c>
      <c r="AZ133" s="18">
        <v>0</v>
      </c>
      <c r="BA133" s="18">
        <v>0</v>
      </c>
      <c r="BB133" s="18">
        <v>0</v>
      </c>
      <c r="BC133" s="18">
        <v>0</v>
      </c>
      <c r="BD133" s="18">
        <v>0</v>
      </c>
      <c r="BE133" s="18">
        <v>0</v>
      </c>
      <c r="BF133" s="18">
        <v>0</v>
      </c>
      <c r="BG133" s="18">
        <v>0</v>
      </c>
      <c r="BH133" s="18">
        <v>0</v>
      </c>
      <c r="BI133" s="18">
        <v>0</v>
      </c>
      <c r="BJ133" s="18">
        <v>0</v>
      </c>
      <c r="BK133" s="18">
        <v>0</v>
      </c>
      <c r="BL133" s="18">
        <v>0</v>
      </c>
      <c r="BM133" s="21">
        <v>3800</v>
      </c>
      <c r="BN133" s="14">
        <f t="shared" si="4"/>
        <v>3800</v>
      </c>
      <c r="BO133" s="14">
        <f t="shared" si="5"/>
        <v>2660</v>
      </c>
    </row>
    <row r="134" spans="1:67" ht="24" x14ac:dyDescent="0.3">
      <c r="A134" s="5" t="s">
        <v>229</v>
      </c>
      <c r="B134" s="16" t="s">
        <v>123</v>
      </c>
      <c r="C134" s="16">
        <v>424315</v>
      </c>
      <c r="D134" s="17"/>
      <c r="E134" s="16" t="s">
        <v>16</v>
      </c>
      <c r="F134" s="16" t="s">
        <v>52</v>
      </c>
      <c r="G134" s="16" t="s">
        <v>18</v>
      </c>
      <c r="H134" s="18" t="s">
        <v>7</v>
      </c>
      <c r="I134" s="18" t="s">
        <v>124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4</v>
      </c>
      <c r="AO134" s="19">
        <v>2700</v>
      </c>
      <c r="AP134" s="18">
        <v>900</v>
      </c>
      <c r="AQ134" s="18">
        <v>0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  <c r="AY134" s="18">
        <v>0</v>
      </c>
      <c r="AZ134" s="18">
        <v>0</v>
      </c>
      <c r="BA134" s="18">
        <v>0</v>
      </c>
      <c r="BB134" s="18">
        <v>0</v>
      </c>
      <c r="BC134" s="18">
        <v>0</v>
      </c>
      <c r="BD134" s="18">
        <v>0</v>
      </c>
      <c r="BE134" s="18">
        <v>0</v>
      </c>
      <c r="BF134" s="18">
        <v>0</v>
      </c>
      <c r="BG134" s="18">
        <v>0</v>
      </c>
      <c r="BH134" s="18">
        <v>0</v>
      </c>
      <c r="BI134" s="18">
        <v>0</v>
      </c>
      <c r="BJ134" s="18">
        <v>0</v>
      </c>
      <c r="BK134" s="18">
        <v>0</v>
      </c>
      <c r="BL134" s="18">
        <v>0</v>
      </c>
      <c r="BM134" s="21">
        <v>3600</v>
      </c>
      <c r="BN134" s="14">
        <f t="shared" si="4"/>
        <v>3600</v>
      </c>
      <c r="BO134" s="14">
        <f t="shared" si="5"/>
        <v>2520</v>
      </c>
    </row>
    <row r="135" spans="1:67" ht="24" x14ac:dyDescent="0.3">
      <c r="A135" s="5" t="s">
        <v>229</v>
      </c>
      <c r="B135" s="16" t="s">
        <v>364</v>
      </c>
      <c r="C135" s="16">
        <v>395762</v>
      </c>
      <c r="D135" s="17"/>
      <c r="E135" s="16" t="s">
        <v>16</v>
      </c>
      <c r="F135" s="16" t="s">
        <v>91</v>
      </c>
      <c r="G135" s="16" t="s">
        <v>35</v>
      </c>
      <c r="H135" s="18" t="s">
        <v>27</v>
      </c>
      <c r="I135" s="18" t="s">
        <v>365</v>
      </c>
      <c r="J135" s="18">
        <v>0</v>
      </c>
      <c r="K135" s="18">
        <v>0</v>
      </c>
      <c r="L135" s="18">
        <v>0</v>
      </c>
      <c r="M135" s="18">
        <v>0</v>
      </c>
      <c r="N135" s="18">
        <v>0</v>
      </c>
      <c r="O135" s="18">
        <v>0</v>
      </c>
      <c r="P135" s="18">
        <v>0</v>
      </c>
      <c r="Q135" s="18">
        <v>0</v>
      </c>
      <c r="R135" s="18">
        <v>0</v>
      </c>
      <c r="S135" s="18">
        <v>0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8">
        <v>0</v>
      </c>
      <c r="Z135" s="18">
        <v>0</v>
      </c>
      <c r="AA135" s="18">
        <v>0</v>
      </c>
      <c r="AB135" s="18">
        <v>0</v>
      </c>
      <c r="AC135" s="18">
        <v>0</v>
      </c>
      <c r="AD135" s="18">
        <v>0</v>
      </c>
      <c r="AE135" s="18">
        <v>1</v>
      </c>
      <c r="AF135" s="19">
        <v>3600</v>
      </c>
      <c r="AG135" s="18">
        <v>0</v>
      </c>
      <c r="AH135" s="18">
        <v>0</v>
      </c>
      <c r="AI135" s="18">
        <v>0</v>
      </c>
      <c r="AJ135" s="18">
        <v>0</v>
      </c>
      <c r="AK135" s="18">
        <v>0</v>
      </c>
      <c r="AL135" s="18">
        <v>0</v>
      </c>
      <c r="AM135" s="18">
        <v>0</v>
      </c>
      <c r="AN135" s="18">
        <v>0</v>
      </c>
      <c r="AO135" s="18">
        <v>0</v>
      </c>
      <c r="AP135" s="18">
        <v>0</v>
      </c>
      <c r="AQ135" s="18">
        <v>0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  <c r="AY135" s="18">
        <v>0</v>
      </c>
      <c r="AZ135" s="18">
        <v>0</v>
      </c>
      <c r="BA135" s="18">
        <v>0</v>
      </c>
      <c r="BB135" s="18">
        <v>0</v>
      </c>
      <c r="BC135" s="18">
        <v>0</v>
      </c>
      <c r="BD135" s="18">
        <v>0</v>
      </c>
      <c r="BE135" s="18">
        <v>0</v>
      </c>
      <c r="BF135" s="18">
        <v>0</v>
      </c>
      <c r="BG135" s="18">
        <v>0</v>
      </c>
      <c r="BH135" s="18">
        <v>0</v>
      </c>
      <c r="BI135" s="18">
        <v>0</v>
      </c>
      <c r="BJ135" s="18">
        <v>0</v>
      </c>
      <c r="BK135" s="18">
        <v>0</v>
      </c>
      <c r="BL135" s="18">
        <v>0</v>
      </c>
      <c r="BM135" s="21">
        <v>3600</v>
      </c>
      <c r="BN135" s="14">
        <f t="shared" ref="BN135:BN198" si="6">BM135-BL135</f>
        <v>3600</v>
      </c>
      <c r="BO135" s="14">
        <f t="shared" ref="BO135:BO198" si="7">BN135*0.7</f>
        <v>2520</v>
      </c>
    </row>
    <row r="136" spans="1:67" ht="24" x14ac:dyDescent="0.3">
      <c r="A136" s="5" t="s">
        <v>229</v>
      </c>
      <c r="B136" s="16" t="s">
        <v>134</v>
      </c>
      <c r="C136" s="16">
        <v>472519</v>
      </c>
      <c r="D136" s="17"/>
      <c r="E136" s="16" t="s">
        <v>16</v>
      </c>
      <c r="F136" s="16" t="s">
        <v>135</v>
      </c>
      <c r="G136" s="16" t="s">
        <v>23</v>
      </c>
      <c r="H136" s="18" t="s">
        <v>7</v>
      </c>
      <c r="I136" s="18" t="s">
        <v>136</v>
      </c>
      <c r="J136" s="18">
        <v>0</v>
      </c>
      <c r="K136" s="18">
        <v>0</v>
      </c>
      <c r="L136" s="18">
        <v>0</v>
      </c>
      <c r="M136" s="18">
        <v>0</v>
      </c>
      <c r="N136" s="18">
        <v>0</v>
      </c>
      <c r="O136" s="18">
        <v>0</v>
      </c>
      <c r="P136" s="18">
        <v>0</v>
      </c>
      <c r="Q136" s="18">
        <v>0</v>
      </c>
      <c r="R136" s="18">
        <v>0</v>
      </c>
      <c r="S136" s="18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0</v>
      </c>
      <c r="Y136" s="18">
        <v>0</v>
      </c>
      <c r="Z136" s="18">
        <v>0</v>
      </c>
      <c r="AA136" s="18">
        <v>0</v>
      </c>
      <c r="AB136" s="18">
        <v>0</v>
      </c>
      <c r="AC136" s="18">
        <v>0</v>
      </c>
      <c r="AD136" s="18">
        <v>0</v>
      </c>
      <c r="AE136" s="18">
        <v>1</v>
      </c>
      <c r="AF136" s="18">
        <v>0</v>
      </c>
      <c r="AG136" s="19">
        <v>2100</v>
      </c>
      <c r="AH136" s="18">
        <v>0</v>
      </c>
      <c r="AI136" s="18">
        <v>0</v>
      </c>
      <c r="AJ136" s="18">
        <v>0</v>
      </c>
      <c r="AK136" s="18">
        <v>1</v>
      </c>
      <c r="AL136" s="18">
        <v>0</v>
      </c>
      <c r="AM136" s="19">
        <v>1500</v>
      </c>
      <c r="AN136" s="18">
        <v>0</v>
      </c>
      <c r="AO136" s="18">
        <v>0</v>
      </c>
      <c r="AP136" s="18">
        <v>0</v>
      </c>
      <c r="AQ136" s="18">
        <v>0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  <c r="AY136" s="18">
        <v>0</v>
      </c>
      <c r="AZ136" s="18">
        <v>0</v>
      </c>
      <c r="BA136" s="18">
        <v>0</v>
      </c>
      <c r="BB136" s="18">
        <v>0</v>
      </c>
      <c r="BC136" s="18">
        <v>0</v>
      </c>
      <c r="BD136" s="18">
        <v>0</v>
      </c>
      <c r="BE136" s="18">
        <v>0</v>
      </c>
      <c r="BF136" s="18">
        <v>0</v>
      </c>
      <c r="BG136" s="18">
        <v>0</v>
      </c>
      <c r="BH136" s="18">
        <v>0</v>
      </c>
      <c r="BI136" s="18">
        <v>0</v>
      </c>
      <c r="BJ136" s="18">
        <v>0</v>
      </c>
      <c r="BK136" s="18">
        <v>0</v>
      </c>
      <c r="BL136" s="18">
        <v>0</v>
      </c>
      <c r="BM136" s="21">
        <v>3600</v>
      </c>
      <c r="BN136" s="14">
        <f t="shared" si="6"/>
        <v>3600</v>
      </c>
      <c r="BO136" s="14">
        <f t="shared" si="7"/>
        <v>2520</v>
      </c>
    </row>
    <row r="137" spans="1:67" ht="24" x14ac:dyDescent="0.3">
      <c r="A137" s="5" t="s">
        <v>229</v>
      </c>
      <c r="B137" s="16" t="s">
        <v>366</v>
      </c>
      <c r="C137" s="16">
        <v>423998</v>
      </c>
      <c r="D137" s="17"/>
      <c r="E137" s="16" t="s">
        <v>16</v>
      </c>
      <c r="F137" s="16" t="s">
        <v>44</v>
      </c>
      <c r="G137" s="16" t="s">
        <v>35</v>
      </c>
      <c r="H137" s="18" t="s">
        <v>27</v>
      </c>
      <c r="I137" s="18" t="s">
        <v>367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1</v>
      </c>
      <c r="AR137" s="19">
        <v>3500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  <c r="AY137" s="18">
        <v>0</v>
      </c>
      <c r="AZ137" s="18">
        <v>0</v>
      </c>
      <c r="BA137" s="18">
        <v>0</v>
      </c>
      <c r="BB137" s="18">
        <v>0</v>
      </c>
      <c r="BC137" s="18">
        <v>0</v>
      </c>
      <c r="BD137" s="18">
        <v>0</v>
      </c>
      <c r="BE137" s="18">
        <v>0</v>
      </c>
      <c r="BF137" s="18">
        <v>0</v>
      </c>
      <c r="BG137" s="18">
        <v>0</v>
      </c>
      <c r="BH137" s="18">
        <v>0</v>
      </c>
      <c r="BI137" s="18">
        <v>0</v>
      </c>
      <c r="BJ137" s="18">
        <v>0</v>
      </c>
      <c r="BK137" s="18">
        <v>0</v>
      </c>
      <c r="BL137" s="18">
        <v>0</v>
      </c>
      <c r="BM137" s="21">
        <v>3500</v>
      </c>
      <c r="BN137" s="14">
        <f t="shared" si="6"/>
        <v>3500</v>
      </c>
      <c r="BO137" s="14">
        <f t="shared" si="7"/>
        <v>2450</v>
      </c>
    </row>
    <row r="138" spans="1:67" ht="24" x14ac:dyDescent="0.3">
      <c r="A138" s="5" t="s">
        <v>229</v>
      </c>
      <c r="B138" s="16" t="s">
        <v>368</v>
      </c>
      <c r="C138" s="16">
        <v>416187</v>
      </c>
      <c r="D138" s="17"/>
      <c r="E138" s="16" t="s">
        <v>16</v>
      </c>
      <c r="F138" s="16" t="s">
        <v>44</v>
      </c>
      <c r="G138" s="16" t="s">
        <v>35</v>
      </c>
      <c r="H138" s="18" t="s">
        <v>27</v>
      </c>
      <c r="I138" s="18" t="s">
        <v>369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D138" s="18">
        <v>0</v>
      </c>
      <c r="AE138" s="18">
        <v>1</v>
      </c>
      <c r="AF138" s="18">
        <v>0</v>
      </c>
      <c r="AG138" s="19">
        <v>3500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  <c r="AY138" s="18">
        <v>0</v>
      </c>
      <c r="AZ138" s="18">
        <v>0</v>
      </c>
      <c r="BA138" s="18">
        <v>0</v>
      </c>
      <c r="BB138" s="18">
        <v>0</v>
      </c>
      <c r="BC138" s="18">
        <v>0</v>
      </c>
      <c r="BD138" s="18">
        <v>0</v>
      </c>
      <c r="BE138" s="18">
        <v>0</v>
      </c>
      <c r="BF138" s="18">
        <v>0</v>
      </c>
      <c r="BG138" s="18">
        <v>0</v>
      </c>
      <c r="BH138" s="18">
        <v>0</v>
      </c>
      <c r="BI138" s="18">
        <v>0</v>
      </c>
      <c r="BJ138" s="18">
        <v>0</v>
      </c>
      <c r="BK138" s="18">
        <v>0</v>
      </c>
      <c r="BL138" s="18">
        <v>0</v>
      </c>
      <c r="BM138" s="21">
        <v>3500</v>
      </c>
      <c r="BN138" s="14">
        <f t="shared" si="6"/>
        <v>3500</v>
      </c>
      <c r="BO138" s="14">
        <f t="shared" si="7"/>
        <v>2450</v>
      </c>
    </row>
    <row r="139" spans="1:67" ht="24" x14ac:dyDescent="0.3">
      <c r="A139" s="5" t="s">
        <v>229</v>
      </c>
      <c r="B139" s="16" t="s">
        <v>370</v>
      </c>
      <c r="C139" s="16">
        <v>485984</v>
      </c>
      <c r="D139" s="17"/>
      <c r="E139" s="16" t="s">
        <v>16</v>
      </c>
      <c r="F139" s="16" t="s">
        <v>319</v>
      </c>
      <c r="G139" s="16" t="s">
        <v>23</v>
      </c>
      <c r="H139" s="18" t="s">
        <v>27</v>
      </c>
      <c r="I139" s="18" t="s">
        <v>371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1</v>
      </c>
      <c r="AF139" s="19">
        <v>3200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  <c r="AY139" s="18">
        <v>0</v>
      </c>
      <c r="AZ139" s="18">
        <v>0</v>
      </c>
      <c r="BA139" s="18">
        <v>0</v>
      </c>
      <c r="BB139" s="18">
        <v>0</v>
      </c>
      <c r="BC139" s="18">
        <v>0</v>
      </c>
      <c r="BD139" s="18">
        <v>0</v>
      </c>
      <c r="BE139" s="18">
        <v>0</v>
      </c>
      <c r="BF139" s="18">
        <v>0</v>
      </c>
      <c r="BG139" s="18">
        <v>0</v>
      </c>
      <c r="BH139" s="18">
        <v>0</v>
      </c>
      <c r="BI139" s="18">
        <v>0</v>
      </c>
      <c r="BJ139" s="18">
        <v>0</v>
      </c>
      <c r="BK139" s="18">
        <v>0</v>
      </c>
      <c r="BL139" s="18">
        <v>0</v>
      </c>
      <c r="BM139" s="21">
        <v>3200</v>
      </c>
      <c r="BN139" s="14">
        <f t="shared" si="6"/>
        <v>3200</v>
      </c>
      <c r="BO139" s="14">
        <f t="shared" si="7"/>
        <v>2240</v>
      </c>
    </row>
    <row r="140" spans="1:67" ht="24" x14ac:dyDescent="0.3">
      <c r="A140" s="5" t="s">
        <v>228</v>
      </c>
      <c r="B140" s="16" t="s">
        <v>372</v>
      </c>
      <c r="C140" s="16">
        <v>470426</v>
      </c>
      <c r="D140" s="17"/>
      <c r="E140" s="16" t="s">
        <v>16</v>
      </c>
      <c r="F140" s="16" t="s">
        <v>373</v>
      </c>
      <c r="G140" s="16" t="s">
        <v>23</v>
      </c>
      <c r="H140" s="18" t="s">
        <v>27</v>
      </c>
      <c r="I140" s="18" t="s">
        <v>374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1</v>
      </c>
      <c r="AF140" s="19">
        <v>3000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  <c r="AY140" s="18">
        <v>0</v>
      </c>
      <c r="AZ140" s="18">
        <v>0</v>
      </c>
      <c r="BA140" s="18">
        <v>0</v>
      </c>
      <c r="BB140" s="18">
        <v>0</v>
      </c>
      <c r="BC140" s="18">
        <v>0</v>
      </c>
      <c r="BD140" s="18">
        <v>0</v>
      </c>
      <c r="BE140" s="18">
        <v>0</v>
      </c>
      <c r="BF140" s="18">
        <v>0</v>
      </c>
      <c r="BG140" s="18">
        <v>0</v>
      </c>
      <c r="BH140" s="18">
        <v>0</v>
      </c>
      <c r="BI140" s="18">
        <v>0</v>
      </c>
      <c r="BJ140" s="18">
        <v>0</v>
      </c>
      <c r="BK140" s="18">
        <v>0</v>
      </c>
      <c r="BL140" s="18">
        <v>0</v>
      </c>
      <c r="BM140" s="21">
        <v>3000</v>
      </c>
      <c r="BN140" s="14">
        <f t="shared" si="6"/>
        <v>3000</v>
      </c>
      <c r="BO140" s="14">
        <f t="shared" si="7"/>
        <v>2100</v>
      </c>
    </row>
    <row r="141" spans="1:67" ht="24" x14ac:dyDescent="0.3">
      <c r="A141" s="5" t="s">
        <v>228</v>
      </c>
      <c r="B141" s="16" t="s">
        <v>271</v>
      </c>
      <c r="C141" s="16">
        <v>483771</v>
      </c>
      <c r="D141" s="17"/>
      <c r="E141" s="16" t="s">
        <v>16</v>
      </c>
      <c r="F141" s="16" t="s">
        <v>117</v>
      </c>
      <c r="G141" s="16" t="s">
        <v>23</v>
      </c>
      <c r="H141" s="18" t="s">
        <v>10</v>
      </c>
      <c r="I141" s="18" t="s">
        <v>272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1</v>
      </c>
      <c r="AF141" s="19">
        <v>3000</v>
      </c>
      <c r="AG141" s="18">
        <v>0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  <c r="AY141" s="18">
        <v>0</v>
      </c>
      <c r="AZ141" s="18">
        <v>0</v>
      </c>
      <c r="BA141" s="18">
        <v>0</v>
      </c>
      <c r="BB141" s="18">
        <v>0</v>
      </c>
      <c r="BC141" s="18">
        <v>0</v>
      </c>
      <c r="BD141" s="18">
        <v>0</v>
      </c>
      <c r="BE141" s="18">
        <v>0</v>
      </c>
      <c r="BF141" s="18">
        <v>0</v>
      </c>
      <c r="BG141" s="18">
        <v>0</v>
      </c>
      <c r="BH141" s="18">
        <v>0</v>
      </c>
      <c r="BI141" s="18">
        <v>0</v>
      </c>
      <c r="BJ141" s="18">
        <v>0</v>
      </c>
      <c r="BK141" s="18">
        <v>0</v>
      </c>
      <c r="BL141" s="18">
        <v>0</v>
      </c>
      <c r="BM141" s="21">
        <v>3000</v>
      </c>
      <c r="BN141" s="14">
        <f t="shared" si="6"/>
        <v>3000</v>
      </c>
      <c r="BO141" s="14">
        <f t="shared" si="7"/>
        <v>2100</v>
      </c>
    </row>
    <row r="142" spans="1:67" ht="24" x14ac:dyDescent="0.3">
      <c r="A142" s="5" t="s">
        <v>228</v>
      </c>
      <c r="B142" s="16" t="s">
        <v>375</v>
      </c>
      <c r="C142" s="16">
        <v>472520</v>
      </c>
      <c r="D142" s="17"/>
      <c r="E142" s="16" t="s">
        <v>16</v>
      </c>
      <c r="F142" s="16" t="s">
        <v>156</v>
      </c>
      <c r="G142" s="16" t="s">
        <v>23</v>
      </c>
      <c r="H142" s="18" t="s">
        <v>27</v>
      </c>
      <c r="I142" s="18" t="s">
        <v>376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1</v>
      </c>
      <c r="AR142" s="19">
        <v>3000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  <c r="AY142" s="18">
        <v>0</v>
      </c>
      <c r="AZ142" s="18">
        <v>0</v>
      </c>
      <c r="BA142" s="18">
        <v>0</v>
      </c>
      <c r="BB142" s="18">
        <v>0</v>
      </c>
      <c r="BC142" s="18">
        <v>0</v>
      </c>
      <c r="BD142" s="18">
        <v>0</v>
      </c>
      <c r="BE142" s="18">
        <v>0</v>
      </c>
      <c r="BF142" s="18">
        <v>0</v>
      </c>
      <c r="BG142" s="18">
        <v>0</v>
      </c>
      <c r="BH142" s="18">
        <v>0</v>
      </c>
      <c r="BI142" s="18">
        <v>0</v>
      </c>
      <c r="BJ142" s="18">
        <v>0</v>
      </c>
      <c r="BK142" s="18">
        <v>0</v>
      </c>
      <c r="BL142" s="18">
        <v>0</v>
      </c>
      <c r="BM142" s="21">
        <v>3000</v>
      </c>
      <c r="BN142" s="14">
        <f t="shared" si="6"/>
        <v>3000</v>
      </c>
      <c r="BO142" s="14">
        <f t="shared" si="7"/>
        <v>2100</v>
      </c>
    </row>
    <row r="143" spans="1:67" ht="24" x14ac:dyDescent="0.3">
      <c r="A143" s="5" t="s">
        <v>228</v>
      </c>
      <c r="B143" s="16" t="s">
        <v>145</v>
      </c>
      <c r="C143" s="16">
        <v>472517</v>
      </c>
      <c r="D143" s="17"/>
      <c r="E143" s="16" t="s">
        <v>16</v>
      </c>
      <c r="F143" s="16" t="s">
        <v>146</v>
      </c>
      <c r="G143" s="16" t="s">
        <v>23</v>
      </c>
      <c r="H143" s="18" t="s">
        <v>27</v>
      </c>
      <c r="I143" s="18" t="s">
        <v>147</v>
      </c>
      <c r="J143" s="18">
        <v>0</v>
      </c>
      <c r="K143" s="18">
        <v>0</v>
      </c>
      <c r="L143" s="18">
        <v>0</v>
      </c>
      <c r="M143" s="18">
        <v>0</v>
      </c>
      <c r="N143" s="18">
        <v>0</v>
      </c>
      <c r="O143" s="18">
        <v>0</v>
      </c>
      <c r="P143" s="18">
        <v>0</v>
      </c>
      <c r="Q143" s="18">
        <v>0</v>
      </c>
      <c r="R143" s="18">
        <v>0</v>
      </c>
      <c r="S143" s="18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0</v>
      </c>
      <c r="Y143" s="18">
        <v>0</v>
      </c>
      <c r="Z143" s="18">
        <v>0</v>
      </c>
      <c r="AA143" s="18">
        <v>0</v>
      </c>
      <c r="AB143" s="18">
        <v>0</v>
      </c>
      <c r="AC143" s="18">
        <v>0</v>
      </c>
      <c r="AD143" s="18">
        <v>0</v>
      </c>
      <c r="AE143" s="18">
        <v>0</v>
      </c>
      <c r="AF143" s="18">
        <v>0</v>
      </c>
      <c r="AG143" s="18">
        <v>0</v>
      </c>
      <c r="AH143" s="18">
        <v>0</v>
      </c>
      <c r="AI143" s="18">
        <v>0</v>
      </c>
      <c r="AJ143" s="18">
        <v>0</v>
      </c>
      <c r="AK143" s="18">
        <v>0</v>
      </c>
      <c r="AL143" s="18">
        <v>0</v>
      </c>
      <c r="AM143" s="18">
        <v>0</v>
      </c>
      <c r="AN143" s="18">
        <v>0</v>
      </c>
      <c r="AO143" s="18">
        <v>0</v>
      </c>
      <c r="AP143" s="18">
        <v>0</v>
      </c>
      <c r="AQ143" s="18">
        <v>0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  <c r="AY143" s="18">
        <v>0</v>
      </c>
      <c r="AZ143" s="18">
        <v>0</v>
      </c>
      <c r="BA143" s="18">
        <v>0</v>
      </c>
      <c r="BB143" s="18">
        <v>0</v>
      </c>
      <c r="BC143" s="18">
        <v>0</v>
      </c>
      <c r="BD143" s="18">
        <v>0</v>
      </c>
      <c r="BE143" s="18">
        <v>0</v>
      </c>
      <c r="BF143" s="18">
        <v>0</v>
      </c>
      <c r="BG143" s="18">
        <v>0</v>
      </c>
      <c r="BH143" s="18">
        <v>0</v>
      </c>
      <c r="BI143" s="18">
        <v>1</v>
      </c>
      <c r="BJ143" s="19">
        <v>3000</v>
      </c>
      <c r="BK143" s="18">
        <v>0</v>
      </c>
      <c r="BL143" s="18">
        <v>150</v>
      </c>
      <c r="BM143" s="21">
        <v>3000</v>
      </c>
      <c r="BN143" s="14">
        <f t="shared" si="6"/>
        <v>2850</v>
      </c>
      <c r="BO143" s="14">
        <f t="shared" si="7"/>
        <v>1994.9999999999998</v>
      </c>
    </row>
    <row r="144" spans="1:67" ht="24" x14ac:dyDescent="0.3">
      <c r="A144" s="5" t="s">
        <v>228</v>
      </c>
      <c r="B144" s="16" t="s">
        <v>29</v>
      </c>
      <c r="C144" s="16">
        <v>368432</v>
      </c>
      <c r="D144" s="17"/>
      <c r="E144" s="16" t="s">
        <v>16</v>
      </c>
      <c r="F144" s="16" t="s">
        <v>30</v>
      </c>
      <c r="G144" s="16" t="s">
        <v>31</v>
      </c>
      <c r="H144" s="18" t="s">
        <v>8</v>
      </c>
      <c r="I144" s="18" t="s">
        <v>32</v>
      </c>
      <c r="J144" s="18">
        <v>0</v>
      </c>
      <c r="K144" s="18">
        <v>0</v>
      </c>
      <c r="L144" s="18">
        <v>0</v>
      </c>
      <c r="M144" s="18">
        <v>0</v>
      </c>
      <c r="N144" s="18">
        <v>0</v>
      </c>
      <c r="O144" s="18">
        <v>0</v>
      </c>
      <c r="P144" s="18">
        <v>0</v>
      </c>
      <c r="Q144" s="18">
        <v>0</v>
      </c>
      <c r="R144" s="18">
        <v>0</v>
      </c>
      <c r="S144" s="18">
        <v>0</v>
      </c>
      <c r="T144" s="18">
        <v>0</v>
      </c>
      <c r="U144" s="18">
        <v>0</v>
      </c>
      <c r="V144" s="18">
        <v>0</v>
      </c>
      <c r="W144" s="18">
        <v>0</v>
      </c>
      <c r="X144" s="18">
        <v>0</v>
      </c>
      <c r="Y144" s="18">
        <v>0</v>
      </c>
      <c r="Z144" s="18">
        <v>0</v>
      </c>
      <c r="AA144" s="18">
        <v>0</v>
      </c>
      <c r="AB144" s="18">
        <v>0</v>
      </c>
      <c r="AC144" s="18">
        <v>0</v>
      </c>
      <c r="AD144" s="18">
        <v>0</v>
      </c>
      <c r="AE144" s="18">
        <v>18</v>
      </c>
      <c r="AF144" s="19">
        <v>2060</v>
      </c>
      <c r="AG144" s="18">
        <v>0</v>
      </c>
      <c r="AH144" s="18">
        <v>0</v>
      </c>
      <c r="AI144" s="18">
        <v>0</v>
      </c>
      <c r="AJ144" s="18">
        <v>0</v>
      </c>
      <c r="AK144" s="18">
        <v>0</v>
      </c>
      <c r="AL144" s="18">
        <v>0</v>
      </c>
      <c r="AM144" s="18">
        <v>0</v>
      </c>
      <c r="AN144" s="18">
        <v>0</v>
      </c>
      <c r="AO144" s="18">
        <v>0</v>
      </c>
      <c r="AP144" s="18">
        <v>0</v>
      </c>
      <c r="AQ144" s="18">
        <v>0</v>
      </c>
      <c r="AR144" s="18">
        <v>0</v>
      </c>
      <c r="AS144" s="18">
        <v>0</v>
      </c>
      <c r="AT144" s="18">
        <v>0</v>
      </c>
      <c r="AU144" s="18">
        <v>0</v>
      </c>
      <c r="AV144" s="18">
        <v>0</v>
      </c>
      <c r="AW144" s="18">
        <v>0</v>
      </c>
      <c r="AX144" s="18">
        <v>0</v>
      </c>
      <c r="AY144" s="18">
        <v>0</v>
      </c>
      <c r="AZ144" s="18">
        <v>0</v>
      </c>
      <c r="BA144" s="18">
        <v>0</v>
      </c>
      <c r="BB144" s="18">
        <v>0</v>
      </c>
      <c r="BC144" s="18">
        <v>0</v>
      </c>
      <c r="BD144" s="18">
        <v>0</v>
      </c>
      <c r="BE144" s="18">
        <v>0</v>
      </c>
      <c r="BF144" s="18">
        <v>0</v>
      </c>
      <c r="BG144" s="18">
        <v>0</v>
      </c>
      <c r="BH144" s="18">
        <v>0</v>
      </c>
      <c r="BI144" s="18">
        <v>6</v>
      </c>
      <c r="BJ144" s="18">
        <v>720</v>
      </c>
      <c r="BK144" s="18">
        <v>0</v>
      </c>
      <c r="BL144" s="18">
        <v>36</v>
      </c>
      <c r="BM144" s="21">
        <v>2780</v>
      </c>
      <c r="BN144" s="14">
        <f t="shared" si="6"/>
        <v>2744</v>
      </c>
      <c r="BO144" s="14">
        <f t="shared" si="7"/>
        <v>1920.8</v>
      </c>
    </row>
    <row r="145" spans="1:67" ht="24" x14ac:dyDescent="0.3">
      <c r="A145" s="5" t="s">
        <v>228</v>
      </c>
      <c r="B145" s="16" t="s">
        <v>61</v>
      </c>
      <c r="C145" s="16">
        <v>369060</v>
      </c>
      <c r="D145" s="17"/>
      <c r="E145" s="16" t="s">
        <v>16</v>
      </c>
      <c r="F145" s="16" t="s">
        <v>49</v>
      </c>
      <c r="G145" s="16" t="s">
        <v>18</v>
      </c>
      <c r="H145" s="18" t="s">
        <v>7</v>
      </c>
      <c r="I145" s="18" t="s">
        <v>62</v>
      </c>
      <c r="J145" s="18">
        <v>0</v>
      </c>
      <c r="K145" s="18">
        <v>0</v>
      </c>
      <c r="L145" s="18">
        <v>0</v>
      </c>
      <c r="M145" s="18">
        <v>0</v>
      </c>
      <c r="N145" s="18">
        <v>0</v>
      </c>
      <c r="O145" s="18">
        <v>0</v>
      </c>
      <c r="P145" s="18">
        <v>0</v>
      </c>
      <c r="Q145" s="18">
        <v>0</v>
      </c>
      <c r="R145" s="18">
        <v>0</v>
      </c>
      <c r="S145" s="18">
        <v>0</v>
      </c>
      <c r="T145" s="18">
        <v>0</v>
      </c>
      <c r="U145" s="18">
        <v>0</v>
      </c>
      <c r="V145" s="18">
        <v>0</v>
      </c>
      <c r="W145" s="18">
        <v>0</v>
      </c>
      <c r="X145" s="18">
        <v>0</v>
      </c>
      <c r="Y145" s="18">
        <v>0</v>
      </c>
      <c r="Z145" s="18">
        <v>0</v>
      </c>
      <c r="AA145" s="18">
        <v>0</v>
      </c>
      <c r="AB145" s="18">
        <v>0</v>
      </c>
      <c r="AC145" s="18">
        <v>0</v>
      </c>
      <c r="AD145" s="18">
        <v>0</v>
      </c>
      <c r="AE145" s="18">
        <v>0</v>
      </c>
      <c r="AF145" s="18">
        <v>0</v>
      </c>
      <c r="AG145" s="18">
        <v>0</v>
      </c>
      <c r="AH145" s="18">
        <v>0</v>
      </c>
      <c r="AI145" s="18">
        <v>0</v>
      </c>
      <c r="AJ145" s="18">
        <v>0</v>
      </c>
      <c r="AK145" s="18">
        <v>0</v>
      </c>
      <c r="AL145" s="18">
        <v>0</v>
      </c>
      <c r="AM145" s="18">
        <v>0</v>
      </c>
      <c r="AN145" s="18">
        <v>0</v>
      </c>
      <c r="AO145" s="18">
        <v>0</v>
      </c>
      <c r="AP145" s="18">
        <v>0</v>
      </c>
      <c r="AQ145" s="18">
        <v>0</v>
      </c>
      <c r="AR145" s="18">
        <v>0</v>
      </c>
      <c r="AS145" s="18">
        <v>0</v>
      </c>
      <c r="AT145" s="18">
        <v>0</v>
      </c>
      <c r="AU145" s="18">
        <v>0</v>
      </c>
      <c r="AV145" s="18">
        <v>0</v>
      </c>
      <c r="AW145" s="18">
        <v>22</v>
      </c>
      <c r="AX145" s="19">
        <v>2640</v>
      </c>
      <c r="AY145" s="18">
        <v>0</v>
      </c>
      <c r="AZ145" s="18">
        <v>0</v>
      </c>
      <c r="BA145" s="18">
        <v>0</v>
      </c>
      <c r="BB145" s="18">
        <v>0</v>
      </c>
      <c r="BC145" s="18">
        <v>0</v>
      </c>
      <c r="BD145" s="18">
        <v>0</v>
      </c>
      <c r="BE145" s="18">
        <v>0</v>
      </c>
      <c r="BF145" s="18">
        <v>0</v>
      </c>
      <c r="BG145" s="18">
        <v>0</v>
      </c>
      <c r="BH145" s="18">
        <v>0</v>
      </c>
      <c r="BI145" s="18">
        <v>0</v>
      </c>
      <c r="BJ145" s="18">
        <v>0</v>
      </c>
      <c r="BK145" s="18">
        <v>0</v>
      </c>
      <c r="BL145" s="18">
        <v>264</v>
      </c>
      <c r="BM145" s="21">
        <v>2640</v>
      </c>
      <c r="BN145" s="14">
        <f t="shared" si="6"/>
        <v>2376</v>
      </c>
      <c r="BO145" s="14">
        <f t="shared" si="7"/>
        <v>1663.1999999999998</v>
      </c>
    </row>
    <row r="146" spans="1:67" ht="24" x14ac:dyDescent="0.3">
      <c r="A146" s="5" t="s">
        <v>228</v>
      </c>
      <c r="B146" s="16" t="s">
        <v>309</v>
      </c>
      <c r="C146" s="16">
        <v>465768</v>
      </c>
      <c r="D146" s="17"/>
      <c r="E146" s="16" t="s">
        <v>16</v>
      </c>
      <c r="F146" s="16" t="s">
        <v>158</v>
      </c>
      <c r="G146" s="16" t="s">
        <v>23</v>
      </c>
      <c r="H146" s="18" t="s">
        <v>27</v>
      </c>
      <c r="I146" s="18" t="s">
        <v>267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1</v>
      </c>
      <c r="AF146" s="18">
        <v>0</v>
      </c>
      <c r="AG146" s="19">
        <v>2500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  <c r="AY146" s="18">
        <v>0</v>
      </c>
      <c r="AZ146" s="18">
        <v>0</v>
      </c>
      <c r="BA146" s="18">
        <v>0</v>
      </c>
      <c r="BB146" s="18">
        <v>0</v>
      </c>
      <c r="BC146" s="18">
        <v>0</v>
      </c>
      <c r="BD146" s="18">
        <v>0</v>
      </c>
      <c r="BE146" s="18">
        <v>0</v>
      </c>
      <c r="BF146" s="18">
        <v>0</v>
      </c>
      <c r="BG146" s="18">
        <v>0</v>
      </c>
      <c r="BH146" s="18">
        <v>0</v>
      </c>
      <c r="BI146" s="18">
        <v>0</v>
      </c>
      <c r="BJ146" s="18">
        <v>0</v>
      </c>
      <c r="BK146" s="18">
        <v>0</v>
      </c>
      <c r="BL146" s="18">
        <v>0</v>
      </c>
      <c r="BM146" s="21">
        <v>2500</v>
      </c>
      <c r="BN146" s="14">
        <f t="shared" si="6"/>
        <v>2500</v>
      </c>
      <c r="BO146" s="14">
        <f t="shared" si="7"/>
        <v>1750</v>
      </c>
    </row>
    <row r="147" spans="1:67" ht="24" x14ac:dyDescent="0.3">
      <c r="A147" s="5" t="s">
        <v>228</v>
      </c>
      <c r="B147" s="16" t="s">
        <v>377</v>
      </c>
      <c r="C147" s="16">
        <v>474767</v>
      </c>
      <c r="D147" s="17"/>
      <c r="E147" s="16" t="s">
        <v>16</v>
      </c>
      <c r="F147" s="16" t="s">
        <v>378</v>
      </c>
      <c r="G147" s="16" t="s">
        <v>23</v>
      </c>
      <c r="H147" s="18" t="s">
        <v>27</v>
      </c>
      <c r="I147" s="18" t="s">
        <v>379</v>
      </c>
      <c r="J147" s="18">
        <v>0</v>
      </c>
      <c r="K147" s="18">
        <v>0</v>
      </c>
      <c r="L147" s="18">
        <v>0</v>
      </c>
      <c r="M147" s="18">
        <v>0</v>
      </c>
      <c r="N147" s="18">
        <v>0</v>
      </c>
      <c r="O147" s="18">
        <v>0</v>
      </c>
      <c r="P147" s="18">
        <v>0</v>
      </c>
      <c r="Q147" s="18">
        <v>0</v>
      </c>
      <c r="R147" s="18">
        <v>0</v>
      </c>
      <c r="S147" s="18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8">
        <v>0</v>
      </c>
      <c r="Z147" s="18">
        <v>0</v>
      </c>
      <c r="AA147" s="18">
        <v>0</v>
      </c>
      <c r="AB147" s="18">
        <v>0</v>
      </c>
      <c r="AC147" s="18">
        <v>0</v>
      </c>
      <c r="AD147" s="18">
        <v>0</v>
      </c>
      <c r="AE147" s="18">
        <v>1</v>
      </c>
      <c r="AF147" s="19">
        <v>2500</v>
      </c>
      <c r="AG147" s="18">
        <v>0</v>
      </c>
      <c r="AH147" s="18">
        <v>0</v>
      </c>
      <c r="AI147" s="18">
        <v>0</v>
      </c>
      <c r="AJ147" s="18">
        <v>0</v>
      </c>
      <c r="AK147" s="18">
        <v>0</v>
      </c>
      <c r="AL147" s="18">
        <v>0</v>
      </c>
      <c r="AM147" s="18">
        <v>0</v>
      </c>
      <c r="AN147" s="18">
        <v>0</v>
      </c>
      <c r="AO147" s="18">
        <v>0</v>
      </c>
      <c r="AP147" s="18">
        <v>0</v>
      </c>
      <c r="AQ147" s="18">
        <v>0</v>
      </c>
      <c r="AR147" s="18">
        <v>0</v>
      </c>
      <c r="AS147" s="18">
        <v>0</v>
      </c>
      <c r="AT147" s="18">
        <v>0</v>
      </c>
      <c r="AU147" s="18">
        <v>0</v>
      </c>
      <c r="AV147" s="18">
        <v>0</v>
      </c>
      <c r="AW147" s="18">
        <v>0</v>
      </c>
      <c r="AX147" s="18">
        <v>0</v>
      </c>
      <c r="AY147" s="18">
        <v>0</v>
      </c>
      <c r="AZ147" s="18">
        <v>0</v>
      </c>
      <c r="BA147" s="18">
        <v>0</v>
      </c>
      <c r="BB147" s="18">
        <v>0</v>
      </c>
      <c r="BC147" s="18">
        <v>0</v>
      </c>
      <c r="BD147" s="18">
        <v>0</v>
      </c>
      <c r="BE147" s="18">
        <v>0</v>
      </c>
      <c r="BF147" s="18">
        <v>0</v>
      </c>
      <c r="BG147" s="18">
        <v>0</v>
      </c>
      <c r="BH147" s="18">
        <v>0</v>
      </c>
      <c r="BI147" s="18">
        <v>0</v>
      </c>
      <c r="BJ147" s="18">
        <v>0</v>
      </c>
      <c r="BK147" s="18">
        <v>0</v>
      </c>
      <c r="BL147" s="18">
        <v>0</v>
      </c>
      <c r="BM147" s="21">
        <v>2500</v>
      </c>
      <c r="BN147" s="14">
        <f t="shared" si="6"/>
        <v>2500</v>
      </c>
      <c r="BO147" s="14">
        <f t="shared" si="7"/>
        <v>1750</v>
      </c>
    </row>
    <row r="148" spans="1:67" ht="24" x14ac:dyDescent="0.3">
      <c r="A148" s="5" t="s">
        <v>228</v>
      </c>
      <c r="B148" s="16" t="s">
        <v>320</v>
      </c>
      <c r="C148" s="16">
        <v>464792</v>
      </c>
      <c r="D148" s="17"/>
      <c r="E148" s="16" t="s">
        <v>16</v>
      </c>
      <c r="F148" s="16" t="s">
        <v>269</v>
      </c>
      <c r="G148" s="16" t="s">
        <v>23</v>
      </c>
      <c r="H148" s="18" t="s">
        <v>27</v>
      </c>
      <c r="I148" s="18" t="s">
        <v>321</v>
      </c>
      <c r="J148" s="18">
        <v>0</v>
      </c>
      <c r="K148" s="18">
        <v>0</v>
      </c>
      <c r="L148" s="18">
        <v>0</v>
      </c>
      <c r="M148" s="18">
        <v>0</v>
      </c>
      <c r="N148" s="18">
        <v>0</v>
      </c>
      <c r="O148" s="18">
        <v>0</v>
      </c>
      <c r="P148" s="18">
        <v>0</v>
      </c>
      <c r="Q148" s="18">
        <v>0</v>
      </c>
      <c r="R148" s="18">
        <v>0</v>
      </c>
      <c r="S148" s="18">
        <v>0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8">
        <v>0</v>
      </c>
      <c r="Z148" s="18">
        <v>0</v>
      </c>
      <c r="AA148" s="18">
        <v>0</v>
      </c>
      <c r="AB148" s="18">
        <v>0</v>
      </c>
      <c r="AC148" s="18">
        <v>0</v>
      </c>
      <c r="AD148" s="18">
        <v>0</v>
      </c>
      <c r="AE148" s="18">
        <v>1</v>
      </c>
      <c r="AF148" s="18">
        <v>0</v>
      </c>
      <c r="AG148" s="18">
        <v>500</v>
      </c>
      <c r="AH148" s="18">
        <v>0</v>
      </c>
      <c r="AI148" s="18">
        <v>0</v>
      </c>
      <c r="AJ148" s="18">
        <v>0</v>
      </c>
      <c r="AK148" s="18">
        <v>0</v>
      </c>
      <c r="AL148" s="18">
        <v>0</v>
      </c>
      <c r="AM148" s="18">
        <v>0</v>
      </c>
      <c r="AN148" s="18">
        <v>0</v>
      </c>
      <c r="AO148" s="18">
        <v>0</v>
      </c>
      <c r="AP148" s="18">
        <v>0</v>
      </c>
      <c r="AQ148" s="18">
        <v>1</v>
      </c>
      <c r="AR148" s="19">
        <v>2000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  <c r="AY148" s="18">
        <v>0</v>
      </c>
      <c r="AZ148" s="18">
        <v>0</v>
      </c>
      <c r="BA148" s="18">
        <v>0</v>
      </c>
      <c r="BB148" s="18">
        <v>0</v>
      </c>
      <c r="BC148" s="18">
        <v>0</v>
      </c>
      <c r="BD148" s="18">
        <v>0</v>
      </c>
      <c r="BE148" s="18">
        <v>0</v>
      </c>
      <c r="BF148" s="18">
        <v>0</v>
      </c>
      <c r="BG148" s="18">
        <v>0</v>
      </c>
      <c r="BH148" s="18">
        <v>0</v>
      </c>
      <c r="BI148" s="18">
        <v>0</v>
      </c>
      <c r="BJ148" s="18">
        <v>0</v>
      </c>
      <c r="BK148" s="18">
        <v>0</v>
      </c>
      <c r="BL148" s="18">
        <v>0</v>
      </c>
      <c r="BM148" s="21">
        <v>2500</v>
      </c>
      <c r="BN148" s="14">
        <f t="shared" si="6"/>
        <v>2500</v>
      </c>
      <c r="BO148" s="14">
        <f t="shared" si="7"/>
        <v>1750</v>
      </c>
    </row>
    <row r="149" spans="1:67" ht="24" x14ac:dyDescent="0.3">
      <c r="A149" s="5" t="s">
        <v>228</v>
      </c>
      <c r="B149" s="16" t="s">
        <v>148</v>
      </c>
      <c r="C149" s="16">
        <v>472518</v>
      </c>
      <c r="D149" s="17"/>
      <c r="E149" s="16" t="s">
        <v>16</v>
      </c>
      <c r="F149" s="16" t="s">
        <v>149</v>
      </c>
      <c r="G149" s="16" t="s">
        <v>23</v>
      </c>
      <c r="H149" s="18" t="s">
        <v>27</v>
      </c>
      <c r="I149" s="18" t="s">
        <v>150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1</v>
      </c>
      <c r="AF149" s="18">
        <v>0</v>
      </c>
      <c r="AG149" s="19">
        <v>2500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  <c r="AY149" s="18">
        <v>0</v>
      </c>
      <c r="AZ149" s="18">
        <v>0</v>
      </c>
      <c r="BA149" s="18">
        <v>0</v>
      </c>
      <c r="BB149" s="18">
        <v>0</v>
      </c>
      <c r="BC149" s="18">
        <v>0</v>
      </c>
      <c r="BD149" s="18">
        <v>0</v>
      </c>
      <c r="BE149" s="18">
        <v>0</v>
      </c>
      <c r="BF149" s="18">
        <v>0</v>
      </c>
      <c r="BG149" s="18">
        <v>0</v>
      </c>
      <c r="BH149" s="18">
        <v>0</v>
      </c>
      <c r="BI149" s="18">
        <v>0</v>
      </c>
      <c r="BJ149" s="18">
        <v>0</v>
      </c>
      <c r="BK149" s="18">
        <v>0</v>
      </c>
      <c r="BL149" s="18">
        <v>0</v>
      </c>
      <c r="BM149" s="21">
        <v>2500</v>
      </c>
      <c r="BN149" s="14">
        <f t="shared" si="6"/>
        <v>2500</v>
      </c>
      <c r="BO149" s="14">
        <f t="shared" si="7"/>
        <v>1750</v>
      </c>
    </row>
    <row r="150" spans="1:67" ht="24" x14ac:dyDescent="0.3">
      <c r="A150" s="5" t="s">
        <v>228</v>
      </c>
      <c r="B150" s="16" t="s">
        <v>380</v>
      </c>
      <c r="C150" s="16">
        <v>457239</v>
      </c>
      <c r="D150" s="17"/>
      <c r="E150" s="16" t="s">
        <v>16</v>
      </c>
      <c r="F150" s="16" t="s">
        <v>381</v>
      </c>
      <c r="G150" s="16" t="s">
        <v>23</v>
      </c>
      <c r="H150" s="18" t="s">
        <v>27</v>
      </c>
      <c r="I150" s="18" t="s">
        <v>382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0</v>
      </c>
      <c r="AE150" s="18">
        <v>1</v>
      </c>
      <c r="AF150" s="19">
        <v>2400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  <c r="AY150" s="18">
        <v>0</v>
      </c>
      <c r="AZ150" s="18">
        <v>0</v>
      </c>
      <c r="BA150" s="18">
        <v>0</v>
      </c>
      <c r="BB150" s="18">
        <v>0</v>
      </c>
      <c r="BC150" s="18">
        <v>0</v>
      </c>
      <c r="BD150" s="18">
        <v>0</v>
      </c>
      <c r="BE150" s="18">
        <v>0</v>
      </c>
      <c r="BF150" s="18">
        <v>0</v>
      </c>
      <c r="BG150" s="18">
        <v>0</v>
      </c>
      <c r="BH150" s="18">
        <v>0</v>
      </c>
      <c r="BI150" s="18">
        <v>0</v>
      </c>
      <c r="BJ150" s="18">
        <v>0</v>
      </c>
      <c r="BK150" s="18">
        <v>0</v>
      </c>
      <c r="BL150" s="18">
        <v>0</v>
      </c>
      <c r="BM150" s="21">
        <v>2400</v>
      </c>
      <c r="BN150" s="14">
        <f t="shared" si="6"/>
        <v>2400</v>
      </c>
      <c r="BO150" s="14">
        <f t="shared" si="7"/>
        <v>1680</v>
      </c>
    </row>
    <row r="151" spans="1:67" ht="24" x14ac:dyDescent="0.3">
      <c r="A151" s="5" t="s">
        <v>228</v>
      </c>
      <c r="B151" s="16" t="s">
        <v>383</v>
      </c>
      <c r="C151" s="16">
        <v>474765</v>
      </c>
      <c r="D151" s="17"/>
      <c r="E151" s="16" t="s">
        <v>16</v>
      </c>
      <c r="F151" s="16" t="s">
        <v>381</v>
      </c>
      <c r="G151" s="16" t="s">
        <v>23</v>
      </c>
      <c r="H151" s="18" t="s">
        <v>27</v>
      </c>
      <c r="I151" s="18" t="s">
        <v>384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1</v>
      </c>
      <c r="AF151" s="19">
        <v>2400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  <c r="AY151" s="18">
        <v>0</v>
      </c>
      <c r="AZ151" s="18">
        <v>0</v>
      </c>
      <c r="BA151" s="18">
        <v>0</v>
      </c>
      <c r="BB151" s="18">
        <v>0</v>
      </c>
      <c r="BC151" s="18">
        <v>0</v>
      </c>
      <c r="BD151" s="18">
        <v>0</v>
      </c>
      <c r="BE151" s="18">
        <v>0</v>
      </c>
      <c r="BF151" s="18">
        <v>0</v>
      </c>
      <c r="BG151" s="18">
        <v>0</v>
      </c>
      <c r="BH151" s="18">
        <v>0</v>
      </c>
      <c r="BI151" s="18">
        <v>0</v>
      </c>
      <c r="BJ151" s="18">
        <v>0</v>
      </c>
      <c r="BK151" s="18">
        <v>0</v>
      </c>
      <c r="BL151" s="18">
        <v>0</v>
      </c>
      <c r="BM151" s="21">
        <v>2400</v>
      </c>
      <c r="BN151" s="14">
        <f t="shared" si="6"/>
        <v>2400</v>
      </c>
      <c r="BO151" s="14">
        <f t="shared" si="7"/>
        <v>1680</v>
      </c>
    </row>
    <row r="152" spans="1:67" ht="24" x14ac:dyDescent="0.3">
      <c r="A152" s="5" t="s">
        <v>228</v>
      </c>
      <c r="B152" s="16" t="s">
        <v>312</v>
      </c>
      <c r="C152" s="16">
        <v>467564</v>
      </c>
      <c r="D152" s="17"/>
      <c r="E152" s="16" t="s">
        <v>16</v>
      </c>
      <c r="F152" s="16" t="s">
        <v>42</v>
      </c>
      <c r="G152" s="16" t="s">
        <v>23</v>
      </c>
      <c r="H152" s="18" t="s">
        <v>27</v>
      </c>
      <c r="I152" s="18" t="s">
        <v>313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1</v>
      </c>
      <c r="AR152" s="19">
        <v>2000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  <c r="AY152" s="18">
        <v>0</v>
      </c>
      <c r="AZ152" s="18">
        <v>0</v>
      </c>
      <c r="BA152" s="18">
        <v>0</v>
      </c>
      <c r="BB152" s="18">
        <v>0</v>
      </c>
      <c r="BC152" s="18">
        <v>0</v>
      </c>
      <c r="BD152" s="18">
        <v>0</v>
      </c>
      <c r="BE152" s="18">
        <v>0</v>
      </c>
      <c r="BF152" s="18">
        <v>0</v>
      </c>
      <c r="BG152" s="18">
        <v>0</v>
      </c>
      <c r="BH152" s="18">
        <v>0</v>
      </c>
      <c r="BI152" s="18">
        <v>0</v>
      </c>
      <c r="BJ152" s="18">
        <v>0</v>
      </c>
      <c r="BK152" s="18">
        <v>0</v>
      </c>
      <c r="BL152" s="18">
        <v>0</v>
      </c>
      <c r="BM152" s="21">
        <v>2000</v>
      </c>
      <c r="BN152" s="14">
        <f t="shared" si="6"/>
        <v>2000</v>
      </c>
      <c r="BO152" s="14">
        <f t="shared" si="7"/>
        <v>1400</v>
      </c>
    </row>
    <row r="153" spans="1:67" ht="24" x14ac:dyDescent="0.3">
      <c r="A153" s="5" t="s">
        <v>228</v>
      </c>
      <c r="B153" s="16" t="s">
        <v>322</v>
      </c>
      <c r="C153" s="16">
        <v>459226</v>
      </c>
      <c r="D153" s="17"/>
      <c r="E153" s="16" t="s">
        <v>16</v>
      </c>
      <c r="F153" s="16" t="s">
        <v>226</v>
      </c>
      <c r="G153" s="16" t="s">
        <v>23</v>
      </c>
      <c r="H153" s="18" t="s">
        <v>27</v>
      </c>
      <c r="I153" s="18" t="s">
        <v>286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1</v>
      </c>
      <c r="AF153" s="18">
        <v>0</v>
      </c>
      <c r="AG153" s="19">
        <v>2000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  <c r="AY153" s="18">
        <v>0</v>
      </c>
      <c r="AZ153" s="18">
        <v>0</v>
      </c>
      <c r="BA153" s="18">
        <v>0</v>
      </c>
      <c r="BB153" s="18">
        <v>0</v>
      </c>
      <c r="BC153" s="18">
        <v>0</v>
      </c>
      <c r="BD153" s="18">
        <v>0</v>
      </c>
      <c r="BE153" s="18">
        <v>0</v>
      </c>
      <c r="BF153" s="18">
        <v>0</v>
      </c>
      <c r="BG153" s="18">
        <v>0</v>
      </c>
      <c r="BH153" s="18">
        <v>0</v>
      </c>
      <c r="BI153" s="18">
        <v>0</v>
      </c>
      <c r="BJ153" s="18">
        <v>0</v>
      </c>
      <c r="BK153" s="18">
        <v>0</v>
      </c>
      <c r="BL153" s="18">
        <v>0</v>
      </c>
      <c r="BM153" s="21">
        <v>2000</v>
      </c>
      <c r="BN153" s="14">
        <f t="shared" si="6"/>
        <v>2000</v>
      </c>
      <c r="BO153" s="14">
        <f t="shared" si="7"/>
        <v>1400</v>
      </c>
    </row>
    <row r="154" spans="1:67" ht="24" x14ac:dyDescent="0.3">
      <c r="A154" s="5" t="s">
        <v>228</v>
      </c>
      <c r="B154" s="16" t="s">
        <v>246</v>
      </c>
      <c r="C154" s="16">
        <v>467559</v>
      </c>
      <c r="D154" s="17"/>
      <c r="E154" s="16" t="s">
        <v>16</v>
      </c>
      <c r="F154" s="16" t="s">
        <v>47</v>
      </c>
      <c r="G154" s="16" t="s">
        <v>23</v>
      </c>
      <c r="H154" s="18" t="s">
        <v>7</v>
      </c>
      <c r="I154" s="18" t="s">
        <v>247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0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8">
        <v>0</v>
      </c>
      <c r="Z154" s="18">
        <v>0</v>
      </c>
      <c r="AA154" s="18">
        <v>0</v>
      </c>
      <c r="AB154" s="18">
        <v>0</v>
      </c>
      <c r="AC154" s="18">
        <v>0</v>
      </c>
      <c r="AD154" s="18">
        <v>0</v>
      </c>
      <c r="AE154" s="18">
        <v>1</v>
      </c>
      <c r="AF154" s="19">
        <v>2000</v>
      </c>
      <c r="AG154" s="18">
        <v>0</v>
      </c>
      <c r="AH154" s="18">
        <v>0</v>
      </c>
      <c r="AI154" s="18">
        <v>0</v>
      </c>
      <c r="AJ154" s="18">
        <v>0</v>
      </c>
      <c r="AK154" s="18">
        <v>0</v>
      </c>
      <c r="AL154" s="18">
        <v>0</v>
      </c>
      <c r="AM154" s="18">
        <v>0</v>
      </c>
      <c r="AN154" s="18">
        <v>0</v>
      </c>
      <c r="AO154" s="18">
        <v>0</v>
      </c>
      <c r="AP154" s="18">
        <v>0</v>
      </c>
      <c r="AQ154" s="18">
        <v>0</v>
      </c>
      <c r="AR154" s="18">
        <v>0</v>
      </c>
      <c r="AS154" s="18">
        <v>0</v>
      </c>
      <c r="AT154" s="18">
        <v>0</v>
      </c>
      <c r="AU154" s="18">
        <v>0</v>
      </c>
      <c r="AV154" s="18">
        <v>0</v>
      </c>
      <c r="AW154" s="18">
        <v>0</v>
      </c>
      <c r="AX154" s="18">
        <v>0</v>
      </c>
      <c r="AY154" s="18">
        <v>0</v>
      </c>
      <c r="AZ154" s="18">
        <v>0</v>
      </c>
      <c r="BA154" s="18">
        <v>0</v>
      </c>
      <c r="BB154" s="18">
        <v>0</v>
      </c>
      <c r="BC154" s="18">
        <v>0</v>
      </c>
      <c r="BD154" s="18">
        <v>0</v>
      </c>
      <c r="BE154" s="18">
        <v>0</v>
      </c>
      <c r="BF154" s="18">
        <v>0</v>
      </c>
      <c r="BG154" s="18">
        <v>0</v>
      </c>
      <c r="BH154" s="18">
        <v>0</v>
      </c>
      <c r="BI154" s="18">
        <v>0</v>
      </c>
      <c r="BJ154" s="18">
        <v>0</v>
      </c>
      <c r="BK154" s="18">
        <v>0</v>
      </c>
      <c r="BL154" s="18">
        <v>0</v>
      </c>
      <c r="BM154" s="21">
        <v>2000</v>
      </c>
      <c r="BN154" s="14">
        <f t="shared" si="6"/>
        <v>2000</v>
      </c>
      <c r="BO154" s="14">
        <f t="shared" si="7"/>
        <v>1400</v>
      </c>
    </row>
    <row r="155" spans="1:67" ht="24" x14ac:dyDescent="0.3">
      <c r="A155" s="5" t="s">
        <v>228</v>
      </c>
      <c r="B155" s="16" t="s">
        <v>127</v>
      </c>
      <c r="C155" s="16">
        <v>331754</v>
      </c>
      <c r="D155" s="17"/>
      <c r="E155" s="16" t="s">
        <v>16</v>
      </c>
      <c r="F155" s="16" t="s">
        <v>90</v>
      </c>
      <c r="G155" s="16" t="s">
        <v>56</v>
      </c>
      <c r="H155" s="18" t="s">
        <v>27</v>
      </c>
      <c r="I155" s="18" t="s">
        <v>128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2</v>
      </c>
      <c r="AF155" s="18">
        <v>720</v>
      </c>
      <c r="AG155" s="18">
        <v>600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  <c r="AY155" s="18">
        <v>0</v>
      </c>
      <c r="AZ155" s="18">
        <v>0</v>
      </c>
      <c r="BA155" s="18">
        <v>0</v>
      </c>
      <c r="BB155" s="18">
        <v>0</v>
      </c>
      <c r="BC155" s="18">
        <v>0</v>
      </c>
      <c r="BD155" s="18">
        <v>0</v>
      </c>
      <c r="BE155" s="18">
        <v>0</v>
      </c>
      <c r="BF155" s="18">
        <v>0</v>
      </c>
      <c r="BG155" s="18">
        <v>0</v>
      </c>
      <c r="BH155" s="18">
        <v>0</v>
      </c>
      <c r="BI155" s="18">
        <v>0</v>
      </c>
      <c r="BJ155" s="18">
        <v>0</v>
      </c>
      <c r="BK155" s="18">
        <v>0</v>
      </c>
      <c r="BL155" s="18">
        <v>0</v>
      </c>
      <c r="BM155" s="21">
        <v>1320</v>
      </c>
      <c r="BN155" s="14">
        <f t="shared" si="6"/>
        <v>1320</v>
      </c>
      <c r="BO155" s="14">
        <f t="shared" si="7"/>
        <v>923.99999999999989</v>
      </c>
    </row>
    <row r="156" spans="1:67" ht="24" x14ac:dyDescent="0.3">
      <c r="A156" s="5" t="s">
        <v>228</v>
      </c>
      <c r="B156" s="16" t="s">
        <v>43</v>
      </c>
      <c r="C156" s="16">
        <v>372841</v>
      </c>
      <c r="D156" s="17"/>
      <c r="E156" s="16" t="s">
        <v>16</v>
      </c>
      <c r="F156" s="16" t="s">
        <v>44</v>
      </c>
      <c r="G156" s="16" t="s">
        <v>45</v>
      </c>
      <c r="H156" s="18" t="s">
        <v>8</v>
      </c>
      <c r="I156" s="18" t="s">
        <v>46</v>
      </c>
      <c r="J156" s="18">
        <v>0</v>
      </c>
      <c r="K156" s="18">
        <v>0</v>
      </c>
      <c r="L156" s="18">
        <v>0</v>
      </c>
      <c r="M156" s="18">
        <v>0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8">
        <v>0</v>
      </c>
      <c r="Z156" s="18">
        <v>0</v>
      </c>
      <c r="AA156" s="18">
        <v>0</v>
      </c>
      <c r="AB156" s="18">
        <v>0</v>
      </c>
      <c r="AC156" s="18">
        <v>0</v>
      </c>
      <c r="AD156" s="18">
        <v>0</v>
      </c>
      <c r="AE156" s="18">
        <v>0</v>
      </c>
      <c r="AF156" s="18">
        <v>0</v>
      </c>
      <c r="AG156" s="18">
        <v>0</v>
      </c>
      <c r="AH156" s="18">
        <v>0</v>
      </c>
      <c r="AI156" s="18">
        <v>0</v>
      </c>
      <c r="AJ156" s="18">
        <v>0</v>
      </c>
      <c r="AK156" s="18">
        <v>0</v>
      </c>
      <c r="AL156" s="18">
        <v>0</v>
      </c>
      <c r="AM156" s="18">
        <v>0</v>
      </c>
      <c r="AN156" s="18">
        <v>0</v>
      </c>
      <c r="AO156" s="18">
        <v>0</v>
      </c>
      <c r="AP156" s="18">
        <v>0</v>
      </c>
      <c r="AQ156" s="18">
        <v>0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  <c r="AY156" s="18">
        <v>0</v>
      </c>
      <c r="AZ156" s="18">
        <v>0</v>
      </c>
      <c r="BA156" s="18">
        <v>0</v>
      </c>
      <c r="BB156" s="18">
        <v>0</v>
      </c>
      <c r="BC156" s="18">
        <v>0</v>
      </c>
      <c r="BD156" s="18">
        <v>0</v>
      </c>
      <c r="BE156" s="18">
        <v>0</v>
      </c>
      <c r="BF156" s="18">
        <v>0</v>
      </c>
      <c r="BG156" s="18">
        <v>0</v>
      </c>
      <c r="BH156" s="18">
        <v>0</v>
      </c>
      <c r="BI156" s="18">
        <v>9</v>
      </c>
      <c r="BJ156" s="19">
        <v>1080</v>
      </c>
      <c r="BK156" s="18">
        <v>0</v>
      </c>
      <c r="BL156" s="18">
        <v>54</v>
      </c>
      <c r="BM156" s="21">
        <v>1080</v>
      </c>
      <c r="BN156" s="14">
        <f t="shared" si="6"/>
        <v>1026</v>
      </c>
      <c r="BO156" s="14">
        <f t="shared" si="7"/>
        <v>718.19999999999993</v>
      </c>
    </row>
    <row r="157" spans="1:67" ht="24" x14ac:dyDescent="0.3">
      <c r="A157" s="5" t="s">
        <v>228</v>
      </c>
      <c r="B157" s="16" t="s">
        <v>110</v>
      </c>
      <c r="C157" s="16">
        <v>365225</v>
      </c>
      <c r="D157" s="17"/>
      <c r="E157" s="16" t="s">
        <v>16</v>
      </c>
      <c r="F157" s="16" t="s">
        <v>52</v>
      </c>
      <c r="G157" s="16" t="s">
        <v>18</v>
      </c>
      <c r="H157" s="18" t="s">
        <v>7</v>
      </c>
      <c r="I157" s="18" t="s">
        <v>111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0</v>
      </c>
      <c r="T157" s="18">
        <v>0</v>
      </c>
      <c r="U157" s="18">
        <v>0</v>
      </c>
      <c r="V157" s="18">
        <v>0</v>
      </c>
      <c r="W157" s="18">
        <v>0</v>
      </c>
      <c r="X157" s="18">
        <v>0</v>
      </c>
      <c r="Y157" s="18">
        <v>0</v>
      </c>
      <c r="Z157" s="18">
        <v>0</v>
      </c>
      <c r="AA157" s="18">
        <v>0</v>
      </c>
      <c r="AB157" s="18">
        <v>1</v>
      </c>
      <c r="AC157" s="18">
        <v>900</v>
      </c>
      <c r="AD157" s="18">
        <v>0</v>
      </c>
      <c r="AE157" s="18">
        <v>0</v>
      </c>
      <c r="AF157" s="18">
        <v>0</v>
      </c>
      <c r="AG157" s="18">
        <v>0</v>
      </c>
      <c r="AH157" s="18">
        <v>0</v>
      </c>
      <c r="AI157" s="18">
        <v>0</v>
      </c>
      <c r="AJ157" s="18">
        <v>0</v>
      </c>
      <c r="AK157" s="18">
        <v>0</v>
      </c>
      <c r="AL157" s="18">
        <v>0</v>
      </c>
      <c r="AM157" s="18">
        <v>0</v>
      </c>
      <c r="AN157" s="18">
        <v>0</v>
      </c>
      <c r="AO157" s="18">
        <v>0</v>
      </c>
      <c r="AP157" s="18">
        <v>0</v>
      </c>
      <c r="AQ157" s="18">
        <v>0</v>
      </c>
      <c r="AR157" s="18">
        <v>0</v>
      </c>
      <c r="AS157" s="18">
        <v>0</v>
      </c>
      <c r="AT157" s="18">
        <v>0</v>
      </c>
      <c r="AU157" s="18">
        <v>0</v>
      </c>
      <c r="AV157" s="18">
        <v>0</v>
      </c>
      <c r="AW157" s="18">
        <v>0</v>
      </c>
      <c r="AX157" s="18">
        <v>0</v>
      </c>
      <c r="AY157" s="18">
        <v>0</v>
      </c>
      <c r="AZ157" s="18">
        <v>0</v>
      </c>
      <c r="BA157" s="18">
        <v>0</v>
      </c>
      <c r="BB157" s="18">
        <v>0</v>
      </c>
      <c r="BC157" s="18">
        <v>0</v>
      </c>
      <c r="BD157" s="18">
        <v>0</v>
      </c>
      <c r="BE157" s="18">
        <v>0</v>
      </c>
      <c r="BF157" s="18">
        <v>0</v>
      </c>
      <c r="BG157" s="18">
        <v>0</v>
      </c>
      <c r="BH157" s="18">
        <v>0</v>
      </c>
      <c r="BI157" s="18">
        <v>0</v>
      </c>
      <c r="BJ157" s="18">
        <v>0</v>
      </c>
      <c r="BK157" s="18">
        <v>0</v>
      </c>
      <c r="BL157" s="18">
        <v>0</v>
      </c>
      <c r="BM157" s="22">
        <v>900</v>
      </c>
      <c r="BN157" s="14">
        <f t="shared" si="6"/>
        <v>900</v>
      </c>
      <c r="BO157" s="14">
        <f t="shared" si="7"/>
        <v>630</v>
      </c>
    </row>
    <row r="158" spans="1:67" ht="24" x14ac:dyDescent="0.3">
      <c r="A158" s="5" t="s">
        <v>228</v>
      </c>
      <c r="B158" s="16" t="s">
        <v>112</v>
      </c>
      <c r="C158" s="16">
        <v>455900</v>
      </c>
      <c r="D158" s="17"/>
      <c r="E158" s="16" t="s">
        <v>16</v>
      </c>
      <c r="F158" s="16" t="s">
        <v>17</v>
      </c>
      <c r="G158" s="16" t="s">
        <v>18</v>
      </c>
      <c r="H158" s="18" t="s">
        <v>7</v>
      </c>
      <c r="I158" s="18" t="s">
        <v>83</v>
      </c>
      <c r="J158" s="18">
        <v>0</v>
      </c>
      <c r="K158" s="18">
        <v>0</v>
      </c>
      <c r="L158" s="18">
        <v>0</v>
      </c>
      <c r="M158" s="18">
        <v>0</v>
      </c>
      <c r="N158" s="18">
        <v>0</v>
      </c>
      <c r="O158" s="18">
        <v>0</v>
      </c>
      <c r="P158" s="18">
        <v>0</v>
      </c>
      <c r="Q158" s="18">
        <v>0</v>
      </c>
      <c r="R158" s="18">
        <v>0</v>
      </c>
      <c r="S158" s="18">
        <v>0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8">
        <v>0</v>
      </c>
      <c r="Z158" s="18">
        <v>0</v>
      </c>
      <c r="AA158" s="18">
        <v>0</v>
      </c>
      <c r="AB158" s="18">
        <v>1</v>
      </c>
      <c r="AC158" s="18">
        <v>900</v>
      </c>
      <c r="AD158" s="18">
        <v>0</v>
      </c>
      <c r="AE158" s="18">
        <v>0</v>
      </c>
      <c r="AF158" s="18">
        <v>0</v>
      </c>
      <c r="AG158" s="18">
        <v>0</v>
      </c>
      <c r="AH158" s="18">
        <v>0</v>
      </c>
      <c r="AI158" s="18">
        <v>0</v>
      </c>
      <c r="AJ158" s="18">
        <v>0</v>
      </c>
      <c r="AK158" s="18">
        <v>0</v>
      </c>
      <c r="AL158" s="18">
        <v>0</v>
      </c>
      <c r="AM158" s="18">
        <v>0</v>
      </c>
      <c r="AN158" s="18">
        <v>0</v>
      </c>
      <c r="AO158" s="18">
        <v>0</v>
      </c>
      <c r="AP158" s="18">
        <v>0</v>
      </c>
      <c r="AQ158" s="18">
        <v>0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  <c r="AY158" s="18">
        <v>0</v>
      </c>
      <c r="AZ158" s="18">
        <v>0</v>
      </c>
      <c r="BA158" s="18">
        <v>0</v>
      </c>
      <c r="BB158" s="18">
        <v>0</v>
      </c>
      <c r="BC158" s="18">
        <v>0</v>
      </c>
      <c r="BD158" s="18">
        <v>0</v>
      </c>
      <c r="BE158" s="18">
        <v>0</v>
      </c>
      <c r="BF158" s="18">
        <v>0</v>
      </c>
      <c r="BG158" s="18">
        <v>0</v>
      </c>
      <c r="BH158" s="18">
        <v>0</v>
      </c>
      <c r="BI158" s="18">
        <v>0</v>
      </c>
      <c r="BJ158" s="18">
        <v>0</v>
      </c>
      <c r="BK158" s="18">
        <v>0</v>
      </c>
      <c r="BL158" s="18">
        <v>0</v>
      </c>
      <c r="BM158" s="22">
        <v>900</v>
      </c>
      <c r="BN158" s="14">
        <f t="shared" si="6"/>
        <v>900</v>
      </c>
      <c r="BO158" s="14">
        <f t="shared" si="7"/>
        <v>630</v>
      </c>
    </row>
    <row r="159" spans="1:67" ht="24" x14ac:dyDescent="0.3">
      <c r="A159" s="5" t="s">
        <v>228</v>
      </c>
      <c r="B159" s="16" t="s">
        <v>385</v>
      </c>
      <c r="C159" s="16">
        <v>414515</v>
      </c>
      <c r="D159" s="17"/>
      <c r="E159" s="16" t="s">
        <v>16</v>
      </c>
      <c r="F159" s="16" t="s">
        <v>354</v>
      </c>
      <c r="G159" s="16" t="s">
        <v>35</v>
      </c>
      <c r="H159" s="18" t="s">
        <v>27</v>
      </c>
      <c r="I159" s="18" t="s">
        <v>355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1</v>
      </c>
      <c r="AF159" s="18">
        <v>0</v>
      </c>
      <c r="AG159" s="18">
        <v>800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  <c r="AY159" s="18">
        <v>0</v>
      </c>
      <c r="AZ159" s="18">
        <v>0</v>
      </c>
      <c r="BA159" s="18">
        <v>0</v>
      </c>
      <c r="BB159" s="18">
        <v>0</v>
      </c>
      <c r="BC159" s="18">
        <v>0</v>
      </c>
      <c r="BD159" s="18">
        <v>0</v>
      </c>
      <c r="BE159" s="18">
        <v>0</v>
      </c>
      <c r="BF159" s="18">
        <v>0</v>
      </c>
      <c r="BG159" s="18">
        <v>0</v>
      </c>
      <c r="BH159" s="18">
        <v>0</v>
      </c>
      <c r="BI159" s="18">
        <v>0</v>
      </c>
      <c r="BJ159" s="18">
        <v>0</v>
      </c>
      <c r="BK159" s="18">
        <v>0</v>
      </c>
      <c r="BL159" s="18">
        <v>0</v>
      </c>
      <c r="BM159" s="22">
        <v>800</v>
      </c>
      <c r="BN159" s="14">
        <f t="shared" si="6"/>
        <v>800</v>
      </c>
      <c r="BO159" s="14">
        <f t="shared" si="7"/>
        <v>560</v>
      </c>
    </row>
    <row r="160" spans="1:67" ht="24" x14ac:dyDescent="0.3">
      <c r="A160" s="5" t="s">
        <v>228</v>
      </c>
      <c r="B160" s="16" t="s">
        <v>113</v>
      </c>
      <c r="C160" s="16">
        <v>401407</v>
      </c>
      <c r="D160" s="17"/>
      <c r="E160" s="16" t="s">
        <v>16</v>
      </c>
      <c r="F160" s="16" t="s">
        <v>44</v>
      </c>
      <c r="G160" s="16" t="s">
        <v>35</v>
      </c>
      <c r="H160" s="18" t="s">
        <v>8</v>
      </c>
      <c r="I160" s="18" t="s">
        <v>114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  <c r="AY160" s="18">
        <v>0</v>
      </c>
      <c r="AZ160" s="18">
        <v>0</v>
      </c>
      <c r="BA160" s="18">
        <v>0</v>
      </c>
      <c r="BB160" s="18">
        <v>0</v>
      </c>
      <c r="BC160" s="18">
        <v>6</v>
      </c>
      <c r="BD160" s="18">
        <v>720</v>
      </c>
      <c r="BE160" s="18">
        <v>0</v>
      </c>
      <c r="BF160" s="18">
        <v>0</v>
      </c>
      <c r="BG160" s="18">
        <v>0</v>
      </c>
      <c r="BH160" s="18">
        <v>0</v>
      </c>
      <c r="BI160" s="18">
        <v>0</v>
      </c>
      <c r="BJ160" s="18">
        <v>0</v>
      </c>
      <c r="BK160" s="18">
        <v>0</v>
      </c>
      <c r="BL160" s="18">
        <v>43.2</v>
      </c>
      <c r="BM160" s="22">
        <v>720</v>
      </c>
      <c r="BN160" s="14">
        <f t="shared" si="6"/>
        <v>676.8</v>
      </c>
      <c r="BO160" s="14">
        <f t="shared" si="7"/>
        <v>473.75999999999993</v>
      </c>
    </row>
    <row r="161" spans="1:67" ht="24" x14ac:dyDescent="0.3">
      <c r="A161" s="5" t="s">
        <v>228</v>
      </c>
      <c r="B161" s="16" t="s">
        <v>227</v>
      </c>
      <c r="C161" s="16">
        <v>443543</v>
      </c>
      <c r="D161" s="17"/>
      <c r="E161" s="16" t="s">
        <v>16</v>
      </c>
      <c r="F161" s="16" t="s">
        <v>44</v>
      </c>
      <c r="G161" s="16" t="s">
        <v>35</v>
      </c>
      <c r="H161" s="18" t="s">
        <v>8</v>
      </c>
      <c r="I161" s="18" t="s">
        <v>103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3</v>
      </c>
      <c r="AF161" s="18">
        <v>360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  <c r="AY161" s="18">
        <v>0</v>
      </c>
      <c r="AZ161" s="18">
        <v>0</v>
      </c>
      <c r="BA161" s="18">
        <v>0</v>
      </c>
      <c r="BB161" s="18">
        <v>0</v>
      </c>
      <c r="BC161" s="18">
        <v>0</v>
      </c>
      <c r="BD161" s="18">
        <v>0</v>
      </c>
      <c r="BE161" s="18">
        <v>0</v>
      </c>
      <c r="BF161" s="18">
        <v>0</v>
      </c>
      <c r="BG161" s="18">
        <v>0</v>
      </c>
      <c r="BH161" s="18">
        <v>0</v>
      </c>
      <c r="BI161" s="18">
        <v>0</v>
      </c>
      <c r="BJ161" s="18">
        <v>0</v>
      </c>
      <c r="BK161" s="18">
        <v>0</v>
      </c>
      <c r="BL161" s="18">
        <v>0</v>
      </c>
      <c r="BM161" s="22">
        <v>360</v>
      </c>
      <c r="BN161" s="14">
        <f t="shared" si="6"/>
        <v>360</v>
      </c>
      <c r="BO161" s="14">
        <f t="shared" si="7"/>
        <v>251.99999999999997</v>
      </c>
    </row>
    <row r="162" spans="1:67" ht="24" x14ac:dyDescent="0.3">
      <c r="A162" s="5" t="s">
        <v>228</v>
      </c>
      <c r="B162" s="16" t="s">
        <v>132</v>
      </c>
      <c r="C162" s="16">
        <v>366373</v>
      </c>
      <c r="D162" s="17"/>
      <c r="E162" s="16" t="s">
        <v>16</v>
      </c>
      <c r="F162" s="16" t="s">
        <v>122</v>
      </c>
      <c r="G162" s="16" t="s">
        <v>31</v>
      </c>
      <c r="H162" s="18" t="s">
        <v>8</v>
      </c>
      <c r="I162" s="18" t="s">
        <v>133</v>
      </c>
      <c r="J162" s="18">
        <v>0</v>
      </c>
      <c r="K162" s="18">
        <v>0</v>
      </c>
      <c r="L162" s="18">
        <v>0</v>
      </c>
      <c r="M162" s="18">
        <v>0</v>
      </c>
      <c r="N162" s="18">
        <v>0</v>
      </c>
      <c r="O162" s="18">
        <v>0</v>
      </c>
      <c r="P162" s="18">
        <v>0</v>
      </c>
      <c r="Q162" s="18">
        <v>0</v>
      </c>
      <c r="R162" s="18">
        <v>0</v>
      </c>
      <c r="S162" s="18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8">
        <v>0</v>
      </c>
      <c r="Z162" s="18">
        <v>0</v>
      </c>
      <c r="AA162" s="18">
        <v>0</v>
      </c>
      <c r="AB162" s="18">
        <v>0</v>
      </c>
      <c r="AC162" s="18">
        <v>0</v>
      </c>
      <c r="AD162" s="18">
        <v>0</v>
      </c>
      <c r="AE162" s="18">
        <v>3</v>
      </c>
      <c r="AF162" s="18">
        <v>360</v>
      </c>
      <c r="AG162" s="18">
        <v>0</v>
      </c>
      <c r="AH162" s="18">
        <v>0</v>
      </c>
      <c r="AI162" s="18">
        <v>0</v>
      </c>
      <c r="AJ162" s="18">
        <v>0</v>
      </c>
      <c r="AK162" s="18">
        <v>0</v>
      </c>
      <c r="AL162" s="18">
        <v>0</v>
      </c>
      <c r="AM162" s="18">
        <v>0</v>
      </c>
      <c r="AN162" s="18">
        <v>0</v>
      </c>
      <c r="AO162" s="18">
        <v>0</v>
      </c>
      <c r="AP162" s="18">
        <v>0</v>
      </c>
      <c r="AQ162" s="18">
        <v>0</v>
      </c>
      <c r="AR162" s="18">
        <v>0</v>
      </c>
      <c r="AS162" s="18">
        <v>0</v>
      </c>
      <c r="AT162" s="18">
        <v>0</v>
      </c>
      <c r="AU162" s="18">
        <v>0</v>
      </c>
      <c r="AV162" s="18">
        <v>0</v>
      </c>
      <c r="AW162" s="18">
        <v>0</v>
      </c>
      <c r="AX162" s="18">
        <v>0</v>
      </c>
      <c r="AY162" s="18">
        <v>0</v>
      </c>
      <c r="AZ162" s="18">
        <v>0</v>
      </c>
      <c r="BA162" s="18">
        <v>0</v>
      </c>
      <c r="BB162" s="18">
        <v>0</v>
      </c>
      <c r="BC162" s="18">
        <v>0</v>
      </c>
      <c r="BD162" s="18">
        <v>0</v>
      </c>
      <c r="BE162" s="18">
        <v>0</v>
      </c>
      <c r="BF162" s="18">
        <v>0</v>
      </c>
      <c r="BG162" s="18">
        <v>0</v>
      </c>
      <c r="BH162" s="18">
        <v>0</v>
      </c>
      <c r="BI162" s="18">
        <v>0</v>
      </c>
      <c r="BJ162" s="18">
        <v>0</v>
      </c>
      <c r="BK162" s="18">
        <v>0</v>
      </c>
      <c r="BL162" s="18">
        <v>0</v>
      </c>
      <c r="BM162" s="22">
        <v>360</v>
      </c>
      <c r="BN162" s="14">
        <f t="shared" si="6"/>
        <v>360</v>
      </c>
      <c r="BO162" s="14">
        <f t="shared" si="7"/>
        <v>251.99999999999997</v>
      </c>
    </row>
    <row r="163" spans="1:67" ht="24" x14ac:dyDescent="0.3">
      <c r="A163" s="5" t="s">
        <v>228</v>
      </c>
      <c r="B163" s="16" t="s">
        <v>324</v>
      </c>
      <c r="C163" s="16">
        <v>415999</v>
      </c>
      <c r="D163" s="17"/>
      <c r="E163" s="16" t="s">
        <v>16</v>
      </c>
      <c r="F163" s="16" t="s">
        <v>108</v>
      </c>
      <c r="G163" s="16" t="s">
        <v>56</v>
      </c>
      <c r="H163" s="18" t="s">
        <v>27</v>
      </c>
      <c r="I163" s="18" t="s">
        <v>316</v>
      </c>
      <c r="J163" s="18">
        <v>0</v>
      </c>
      <c r="K163" s="18">
        <v>0</v>
      </c>
      <c r="L163" s="18">
        <v>0</v>
      </c>
      <c r="M163" s="18">
        <v>0</v>
      </c>
      <c r="N163" s="18">
        <v>0</v>
      </c>
      <c r="O163" s="18">
        <v>0</v>
      </c>
      <c r="P163" s="18">
        <v>0</v>
      </c>
      <c r="Q163" s="18">
        <v>0</v>
      </c>
      <c r="R163" s="18">
        <v>0</v>
      </c>
      <c r="S163" s="18">
        <v>0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8">
        <v>0</v>
      </c>
      <c r="Z163" s="18">
        <v>0</v>
      </c>
      <c r="AA163" s="18">
        <v>0</v>
      </c>
      <c r="AB163" s="18">
        <v>0</v>
      </c>
      <c r="AC163" s="18">
        <v>0</v>
      </c>
      <c r="AD163" s="18">
        <v>0</v>
      </c>
      <c r="AE163" s="18">
        <v>1</v>
      </c>
      <c r="AF163" s="18">
        <v>240</v>
      </c>
      <c r="AG163" s="18">
        <v>0</v>
      </c>
      <c r="AH163" s="18">
        <v>0</v>
      </c>
      <c r="AI163" s="18">
        <v>0</v>
      </c>
      <c r="AJ163" s="18">
        <v>0</v>
      </c>
      <c r="AK163" s="18">
        <v>0</v>
      </c>
      <c r="AL163" s="18">
        <v>0</v>
      </c>
      <c r="AM163" s="18">
        <v>0</v>
      </c>
      <c r="AN163" s="18">
        <v>0</v>
      </c>
      <c r="AO163" s="18">
        <v>0</v>
      </c>
      <c r="AP163" s="18">
        <v>0</v>
      </c>
      <c r="AQ163" s="18">
        <v>0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  <c r="AY163" s="18">
        <v>0</v>
      </c>
      <c r="AZ163" s="18">
        <v>0</v>
      </c>
      <c r="BA163" s="18">
        <v>0</v>
      </c>
      <c r="BB163" s="18">
        <v>0</v>
      </c>
      <c r="BC163" s="18">
        <v>0</v>
      </c>
      <c r="BD163" s="18">
        <v>0</v>
      </c>
      <c r="BE163" s="18">
        <v>0</v>
      </c>
      <c r="BF163" s="18">
        <v>0</v>
      </c>
      <c r="BG163" s="18">
        <v>0</v>
      </c>
      <c r="BH163" s="18">
        <v>0</v>
      </c>
      <c r="BI163" s="18">
        <v>0</v>
      </c>
      <c r="BJ163" s="18">
        <v>0</v>
      </c>
      <c r="BK163" s="18">
        <v>0</v>
      </c>
      <c r="BL163" s="18">
        <v>0</v>
      </c>
      <c r="BM163" s="22">
        <v>240</v>
      </c>
      <c r="BN163" s="14">
        <f t="shared" si="6"/>
        <v>240</v>
      </c>
      <c r="BO163" s="14">
        <f t="shared" si="7"/>
        <v>168</v>
      </c>
    </row>
    <row r="164" spans="1:67" ht="24" x14ac:dyDescent="0.3">
      <c r="A164" s="5" t="s">
        <v>228</v>
      </c>
      <c r="B164" s="16" t="s">
        <v>340</v>
      </c>
      <c r="C164" s="16">
        <v>443969</v>
      </c>
      <c r="D164" s="17"/>
      <c r="E164" s="16" t="s">
        <v>16</v>
      </c>
      <c r="F164" s="16" t="s">
        <v>55</v>
      </c>
      <c r="G164" s="16" t="s">
        <v>56</v>
      </c>
      <c r="H164" s="18" t="s">
        <v>8</v>
      </c>
      <c r="I164" s="18" t="s">
        <v>115</v>
      </c>
      <c r="J164" s="18">
        <v>0</v>
      </c>
      <c r="K164" s="18">
        <v>0</v>
      </c>
      <c r="L164" s="18">
        <v>0</v>
      </c>
      <c r="M164" s="18">
        <v>0</v>
      </c>
      <c r="N164" s="18">
        <v>0</v>
      </c>
      <c r="O164" s="18">
        <v>0</v>
      </c>
      <c r="P164" s="18">
        <v>0</v>
      </c>
      <c r="Q164" s="18">
        <v>0</v>
      </c>
      <c r="R164" s="18">
        <v>0</v>
      </c>
      <c r="S164" s="18">
        <v>0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8">
        <v>0</v>
      </c>
      <c r="Z164" s="18">
        <v>0</v>
      </c>
      <c r="AA164" s="18">
        <v>0</v>
      </c>
      <c r="AB164" s="18">
        <v>0</v>
      </c>
      <c r="AC164" s="18">
        <v>0</v>
      </c>
      <c r="AD164" s="18">
        <v>0</v>
      </c>
      <c r="AE164" s="18">
        <v>2</v>
      </c>
      <c r="AF164" s="18">
        <v>200</v>
      </c>
      <c r="AG164" s="18">
        <v>0</v>
      </c>
      <c r="AH164" s="18">
        <v>0</v>
      </c>
      <c r="AI164" s="18">
        <v>0</v>
      </c>
      <c r="AJ164" s="18">
        <v>0</v>
      </c>
      <c r="AK164" s="18">
        <v>0</v>
      </c>
      <c r="AL164" s="18">
        <v>0</v>
      </c>
      <c r="AM164" s="18">
        <v>0</v>
      </c>
      <c r="AN164" s="18">
        <v>0</v>
      </c>
      <c r="AO164" s="18">
        <v>0</v>
      </c>
      <c r="AP164" s="18">
        <v>0</v>
      </c>
      <c r="AQ164" s="18">
        <v>0</v>
      </c>
      <c r="AR164" s="18">
        <v>0</v>
      </c>
      <c r="AS164" s="18">
        <v>0</v>
      </c>
      <c r="AT164" s="18">
        <v>0</v>
      </c>
      <c r="AU164" s="18">
        <v>0</v>
      </c>
      <c r="AV164" s="18">
        <v>0</v>
      </c>
      <c r="AW164" s="18">
        <v>0</v>
      </c>
      <c r="AX164" s="18">
        <v>0</v>
      </c>
      <c r="AY164" s="18">
        <v>0</v>
      </c>
      <c r="AZ164" s="18">
        <v>0</v>
      </c>
      <c r="BA164" s="18">
        <v>0</v>
      </c>
      <c r="BB164" s="18">
        <v>0</v>
      </c>
      <c r="BC164" s="18">
        <v>0</v>
      </c>
      <c r="BD164" s="18">
        <v>0</v>
      </c>
      <c r="BE164" s="18">
        <v>0</v>
      </c>
      <c r="BF164" s="18">
        <v>0</v>
      </c>
      <c r="BG164" s="18">
        <v>0</v>
      </c>
      <c r="BH164" s="18">
        <v>0</v>
      </c>
      <c r="BI164" s="18">
        <v>0</v>
      </c>
      <c r="BJ164" s="18">
        <v>0</v>
      </c>
      <c r="BK164" s="18">
        <v>0</v>
      </c>
      <c r="BL164" s="18">
        <v>0</v>
      </c>
      <c r="BM164" s="22">
        <v>200</v>
      </c>
      <c r="BN164" s="14">
        <f t="shared" si="6"/>
        <v>200</v>
      </c>
      <c r="BO164" s="14">
        <f t="shared" si="7"/>
        <v>140</v>
      </c>
    </row>
    <row r="165" spans="1:67" ht="24" x14ac:dyDescent="0.3">
      <c r="A165" s="5" t="s">
        <v>228</v>
      </c>
      <c r="B165" s="16" t="s">
        <v>235</v>
      </c>
      <c r="C165" s="16">
        <v>395237</v>
      </c>
      <c r="D165" s="17"/>
      <c r="E165" s="16" t="s">
        <v>16</v>
      </c>
      <c r="F165" s="16" t="s">
        <v>34</v>
      </c>
      <c r="G165" s="16" t="s">
        <v>35</v>
      </c>
      <c r="H165" s="18" t="s">
        <v>27</v>
      </c>
      <c r="I165" s="18" t="s">
        <v>81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1</v>
      </c>
      <c r="AF165" s="18">
        <v>0</v>
      </c>
      <c r="AG165" s="18">
        <v>200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  <c r="AY165" s="18">
        <v>0</v>
      </c>
      <c r="AZ165" s="18">
        <v>0</v>
      </c>
      <c r="BA165" s="18">
        <v>0</v>
      </c>
      <c r="BB165" s="18">
        <v>0</v>
      </c>
      <c r="BC165" s="18">
        <v>0</v>
      </c>
      <c r="BD165" s="18">
        <v>0</v>
      </c>
      <c r="BE165" s="18">
        <v>0</v>
      </c>
      <c r="BF165" s="18">
        <v>0</v>
      </c>
      <c r="BG165" s="18">
        <v>0</v>
      </c>
      <c r="BH165" s="18">
        <v>0</v>
      </c>
      <c r="BI165" s="18">
        <v>0</v>
      </c>
      <c r="BJ165" s="18">
        <v>0</v>
      </c>
      <c r="BK165" s="18">
        <v>0</v>
      </c>
      <c r="BL165" s="18">
        <v>0</v>
      </c>
      <c r="BM165" s="22">
        <v>200</v>
      </c>
      <c r="BN165" s="14">
        <f t="shared" si="6"/>
        <v>200</v>
      </c>
      <c r="BO165" s="14">
        <f t="shared" si="7"/>
        <v>140</v>
      </c>
    </row>
    <row r="166" spans="1:67" ht="24" x14ac:dyDescent="0.3">
      <c r="A166" s="5" t="s">
        <v>240</v>
      </c>
      <c r="B166" s="16" t="s">
        <v>20</v>
      </c>
      <c r="C166" s="16">
        <v>451051</v>
      </c>
      <c r="D166" s="17"/>
      <c r="E166" s="16" t="s">
        <v>16</v>
      </c>
      <c r="F166" s="16" t="s">
        <v>17</v>
      </c>
      <c r="G166" s="16" t="s">
        <v>18</v>
      </c>
      <c r="H166" s="18" t="s">
        <v>10</v>
      </c>
      <c r="I166" s="18" t="s">
        <v>14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8">
        <v>539</v>
      </c>
      <c r="AF166" s="19">
        <v>53900</v>
      </c>
      <c r="AG166" s="18">
        <v>0</v>
      </c>
      <c r="AH166" s="18">
        <v>0</v>
      </c>
      <c r="AI166" s="18">
        <v>0</v>
      </c>
      <c r="AJ166" s="18">
        <v>0</v>
      </c>
      <c r="AK166" s="19">
        <v>1294</v>
      </c>
      <c r="AL166" s="19">
        <v>149280</v>
      </c>
      <c r="AM166" s="19">
        <v>5000</v>
      </c>
      <c r="AN166" s="18">
        <v>0</v>
      </c>
      <c r="AO166" s="18">
        <v>0</v>
      </c>
      <c r="AP166" s="18">
        <v>0</v>
      </c>
      <c r="AQ166" s="19">
        <v>1163</v>
      </c>
      <c r="AR166" s="19">
        <v>113000</v>
      </c>
      <c r="AS166" s="19">
        <v>3300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  <c r="AY166" s="18">
        <v>0</v>
      </c>
      <c r="AZ166" s="18">
        <v>0</v>
      </c>
      <c r="BA166" s="18">
        <v>0</v>
      </c>
      <c r="BB166" s="18">
        <v>0</v>
      </c>
      <c r="BC166" s="18">
        <v>22</v>
      </c>
      <c r="BD166" s="19">
        <v>2640</v>
      </c>
      <c r="BE166" s="18">
        <v>0</v>
      </c>
      <c r="BF166" s="18">
        <v>0</v>
      </c>
      <c r="BG166" s="18">
        <v>0</v>
      </c>
      <c r="BH166" s="18">
        <v>0</v>
      </c>
      <c r="BI166" s="18">
        <v>0</v>
      </c>
      <c r="BJ166" s="18">
        <v>0</v>
      </c>
      <c r="BK166" s="18">
        <v>0</v>
      </c>
      <c r="BL166" s="20">
        <v>44942.400000000001</v>
      </c>
      <c r="BM166" s="21">
        <v>327120</v>
      </c>
      <c r="BN166" s="14">
        <f t="shared" si="6"/>
        <v>282177.59999999998</v>
      </c>
      <c r="BO166" s="14">
        <f t="shared" si="7"/>
        <v>197524.31999999998</v>
      </c>
    </row>
    <row r="167" spans="1:67" ht="24" x14ac:dyDescent="0.3">
      <c r="A167" s="5" t="s">
        <v>239</v>
      </c>
      <c r="B167" s="16" t="s">
        <v>151</v>
      </c>
      <c r="C167" s="16">
        <v>469971</v>
      </c>
      <c r="D167" s="17"/>
      <c r="E167" s="16" t="s">
        <v>16</v>
      </c>
      <c r="F167" s="16" t="s">
        <v>141</v>
      </c>
      <c r="G167" s="16" t="s">
        <v>69</v>
      </c>
      <c r="H167" s="18" t="s">
        <v>7</v>
      </c>
      <c r="I167" s="18" t="s">
        <v>325</v>
      </c>
      <c r="J167" s="18">
        <v>0</v>
      </c>
      <c r="K167" s="18">
        <v>205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138</v>
      </c>
      <c r="AF167" s="19">
        <v>12000</v>
      </c>
      <c r="AG167" s="19">
        <v>1800</v>
      </c>
      <c r="AH167" s="18">
        <v>0</v>
      </c>
      <c r="AI167" s="18">
        <v>0</v>
      </c>
      <c r="AJ167" s="18">
        <v>0</v>
      </c>
      <c r="AK167" s="18">
        <v>186</v>
      </c>
      <c r="AL167" s="19">
        <v>18720</v>
      </c>
      <c r="AM167" s="19">
        <v>3000</v>
      </c>
      <c r="AN167" s="18">
        <v>0</v>
      </c>
      <c r="AO167" s="18">
        <v>0</v>
      </c>
      <c r="AP167" s="18">
        <v>0</v>
      </c>
      <c r="AQ167" s="18">
        <v>107</v>
      </c>
      <c r="AR167" s="19">
        <v>10600</v>
      </c>
      <c r="AS167" s="18">
        <v>100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  <c r="AY167" s="18">
        <v>0</v>
      </c>
      <c r="AZ167" s="18">
        <v>0</v>
      </c>
      <c r="BA167" s="18">
        <v>0</v>
      </c>
      <c r="BB167" s="18">
        <v>0</v>
      </c>
      <c r="BC167" s="18">
        <v>0</v>
      </c>
      <c r="BD167" s="18">
        <v>0</v>
      </c>
      <c r="BE167" s="18">
        <v>0</v>
      </c>
      <c r="BF167" s="18">
        <v>0</v>
      </c>
      <c r="BG167" s="18">
        <v>0</v>
      </c>
      <c r="BH167" s="18">
        <v>0</v>
      </c>
      <c r="BI167" s="18">
        <v>0</v>
      </c>
      <c r="BJ167" s="18">
        <v>0</v>
      </c>
      <c r="BK167" s="18">
        <v>0</v>
      </c>
      <c r="BL167" s="20">
        <v>5616</v>
      </c>
      <c r="BM167" s="21">
        <v>46220</v>
      </c>
      <c r="BN167" s="14">
        <f t="shared" si="6"/>
        <v>40604</v>
      </c>
      <c r="BO167" s="14">
        <f t="shared" si="7"/>
        <v>28422.799999999999</v>
      </c>
    </row>
    <row r="168" spans="1:67" ht="24" x14ac:dyDescent="0.3">
      <c r="A168" s="5" t="s">
        <v>239</v>
      </c>
      <c r="B168" s="16" t="s">
        <v>129</v>
      </c>
      <c r="C168" s="16">
        <v>408838</v>
      </c>
      <c r="D168" s="17"/>
      <c r="E168" s="16" t="s">
        <v>16</v>
      </c>
      <c r="F168" s="16" t="s">
        <v>52</v>
      </c>
      <c r="G168" s="16" t="s">
        <v>18</v>
      </c>
      <c r="H168" s="18" t="s">
        <v>7</v>
      </c>
      <c r="I168" s="18" t="s">
        <v>267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8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D168" s="18">
        <v>0</v>
      </c>
      <c r="AE168" s="18">
        <v>43</v>
      </c>
      <c r="AF168" s="18">
        <v>800</v>
      </c>
      <c r="AG168" s="19">
        <v>3500</v>
      </c>
      <c r="AH168" s="18">
        <v>0</v>
      </c>
      <c r="AI168" s="18">
        <v>0</v>
      </c>
      <c r="AJ168" s="18">
        <v>0</v>
      </c>
      <c r="AK168" s="18">
        <v>108</v>
      </c>
      <c r="AL168" s="19">
        <v>2520</v>
      </c>
      <c r="AM168" s="19">
        <v>8700</v>
      </c>
      <c r="AN168" s="18">
        <v>0</v>
      </c>
      <c r="AO168" s="18">
        <v>0</v>
      </c>
      <c r="AP168" s="18">
        <v>0</v>
      </c>
      <c r="AQ168" s="18">
        <v>167</v>
      </c>
      <c r="AR168" s="19">
        <v>16300</v>
      </c>
      <c r="AS168" s="18">
        <v>400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  <c r="AY168" s="18">
        <v>0</v>
      </c>
      <c r="AZ168" s="18">
        <v>0</v>
      </c>
      <c r="BA168" s="18">
        <v>0</v>
      </c>
      <c r="BB168" s="18">
        <v>0</v>
      </c>
      <c r="BC168" s="18">
        <v>30</v>
      </c>
      <c r="BD168" s="19">
        <v>3600</v>
      </c>
      <c r="BE168" s="18">
        <v>0</v>
      </c>
      <c r="BF168" s="18">
        <v>0</v>
      </c>
      <c r="BG168" s="18">
        <v>0</v>
      </c>
      <c r="BH168" s="18">
        <v>0</v>
      </c>
      <c r="BI168" s="18">
        <v>0</v>
      </c>
      <c r="BJ168" s="18">
        <v>0</v>
      </c>
      <c r="BK168" s="18">
        <v>0</v>
      </c>
      <c r="BL168" s="18">
        <v>972</v>
      </c>
      <c r="BM168" s="21">
        <v>35820</v>
      </c>
      <c r="BN168" s="14">
        <f t="shared" si="6"/>
        <v>34848</v>
      </c>
      <c r="BO168" s="14">
        <f t="shared" si="7"/>
        <v>24393.599999999999</v>
      </c>
    </row>
    <row r="169" spans="1:67" ht="24" x14ac:dyDescent="0.3">
      <c r="A169" s="5" t="s">
        <v>239</v>
      </c>
      <c r="B169" s="16" t="s">
        <v>15</v>
      </c>
      <c r="C169" s="16">
        <v>465998</v>
      </c>
      <c r="D169" s="17"/>
      <c r="E169" s="16" t="s">
        <v>16</v>
      </c>
      <c r="F169" s="16" t="s">
        <v>17</v>
      </c>
      <c r="G169" s="16" t="s">
        <v>18</v>
      </c>
      <c r="H169" s="18" t="s">
        <v>10</v>
      </c>
      <c r="I169" s="18" t="s">
        <v>19</v>
      </c>
      <c r="J169" s="18">
        <v>0</v>
      </c>
      <c r="K169" s="18">
        <v>0</v>
      </c>
      <c r="L169" s="18">
        <v>0</v>
      </c>
      <c r="M169" s="18">
        <v>0</v>
      </c>
      <c r="N169" s="18">
        <v>0</v>
      </c>
      <c r="O169" s="18">
        <v>0</v>
      </c>
      <c r="P169" s="18">
        <v>0</v>
      </c>
      <c r="Q169" s="18">
        <v>0</v>
      </c>
      <c r="R169" s="18">
        <v>0</v>
      </c>
      <c r="S169" s="18">
        <v>0</v>
      </c>
      <c r="T169" s="18">
        <v>0</v>
      </c>
      <c r="U169" s="18">
        <v>0</v>
      </c>
      <c r="V169" s="18">
        <v>0</v>
      </c>
      <c r="W169" s="18">
        <v>0</v>
      </c>
      <c r="X169" s="18">
        <v>0</v>
      </c>
      <c r="Y169" s="18">
        <v>0</v>
      </c>
      <c r="Z169" s="18">
        <v>0</v>
      </c>
      <c r="AA169" s="18">
        <v>0</v>
      </c>
      <c r="AB169" s="18">
        <v>12</v>
      </c>
      <c r="AC169" s="19">
        <v>2700</v>
      </c>
      <c r="AD169" s="19">
        <v>8100</v>
      </c>
      <c r="AE169" s="18">
        <v>0</v>
      </c>
      <c r="AF169" s="18">
        <v>0</v>
      </c>
      <c r="AG169" s="18">
        <v>0</v>
      </c>
      <c r="AH169" s="18">
        <v>18</v>
      </c>
      <c r="AI169" s="19">
        <v>19440</v>
      </c>
      <c r="AJ169" s="18">
        <v>0</v>
      </c>
      <c r="AK169" s="18">
        <v>0</v>
      </c>
      <c r="AL169" s="18">
        <v>0</v>
      </c>
      <c r="AM169" s="18">
        <v>0</v>
      </c>
      <c r="AN169" s="18">
        <v>0</v>
      </c>
      <c r="AO169" s="18">
        <v>0</v>
      </c>
      <c r="AP169" s="18">
        <v>0</v>
      </c>
      <c r="AQ169" s="18">
        <v>0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  <c r="AY169" s="18">
        <v>0</v>
      </c>
      <c r="AZ169" s="18">
        <v>0</v>
      </c>
      <c r="BA169" s="18">
        <v>0</v>
      </c>
      <c r="BB169" s="18">
        <v>0</v>
      </c>
      <c r="BC169" s="18">
        <v>0</v>
      </c>
      <c r="BD169" s="18">
        <v>0</v>
      </c>
      <c r="BE169" s="18">
        <v>0</v>
      </c>
      <c r="BF169" s="18">
        <v>0</v>
      </c>
      <c r="BG169" s="18">
        <v>0</v>
      </c>
      <c r="BH169" s="18">
        <v>0</v>
      </c>
      <c r="BI169" s="18">
        <v>0</v>
      </c>
      <c r="BJ169" s="18">
        <v>0</v>
      </c>
      <c r="BK169" s="18">
        <v>0</v>
      </c>
      <c r="BL169" s="20">
        <v>5832</v>
      </c>
      <c r="BM169" s="21">
        <v>30240</v>
      </c>
      <c r="BN169" s="14">
        <f t="shared" si="6"/>
        <v>24408</v>
      </c>
      <c r="BO169" s="14">
        <f t="shared" si="7"/>
        <v>17085.599999999999</v>
      </c>
    </row>
    <row r="170" spans="1:67" ht="24" x14ac:dyDescent="0.3">
      <c r="A170" s="5" t="s">
        <v>239</v>
      </c>
      <c r="B170" s="16" t="s">
        <v>43</v>
      </c>
      <c r="C170" s="16">
        <v>372841</v>
      </c>
      <c r="D170" s="17"/>
      <c r="E170" s="16" t="s">
        <v>16</v>
      </c>
      <c r="F170" s="16" t="s">
        <v>44</v>
      </c>
      <c r="G170" s="16" t="s">
        <v>45</v>
      </c>
      <c r="H170" s="18" t="s">
        <v>8</v>
      </c>
      <c r="I170" s="18" t="s">
        <v>46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8">
        <v>86</v>
      </c>
      <c r="AF170" s="19">
        <v>8500</v>
      </c>
      <c r="AG170" s="18">
        <v>100</v>
      </c>
      <c r="AH170" s="18">
        <v>0</v>
      </c>
      <c r="AI170" s="18">
        <v>0</v>
      </c>
      <c r="AJ170" s="18">
        <v>0</v>
      </c>
      <c r="AK170" s="18">
        <v>130</v>
      </c>
      <c r="AL170" s="18">
        <v>0</v>
      </c>
      <c r="AM170" s="19">
        <v>13000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  <c r="AY170" s="18">
        <v>0</v>
      </c>
      <c r="AZ170" s="18">
        <v>0</v>
      </c>
      <c r="BA170" s="18">
        <v>0</v>
      </c>
      <c r="BB170" s="18">
        <v>0</v>
      </c>
      <c r="BC170" s="18">
        <v>0</v>
      </c>
      <c r="BD170" s="18">
        <v>0</v>
      </c>
      <c r="BE170" s="18">
        <v>0</v>
      </c>
      <c r="BF170" s="18">
        <v>0</v>
      </c>
      <c r="BG170" s="18">
        <v>0</v>
      </c>
      <c r="BH170" s="18">
        <v>0</v>
      </c>
      <c r="BI170" s="18">
        <v>0</v>
      </c>
      <c r="BJ170" s="18">
        <v>0</v>
      </c>
      <c r="BK170" s="18">
        <v>0</v>
      </c>
      <c r="BL170" s="18">
        <v>0</v>
      </c>
      <c r="BM170" s="21">
        <v>21600</v>
      </c>
      <c r="BN170" s="14">
        <f t="shared" si="6"/>
        <v>21600</v>
      </c>
      <c r="BO170" s="14">
        <f t="shared" si="7"/>
        <v>15119.999999999998</v>
      </c>
    </row>
    <row r="171" spans="1:67" ht="24" x14ac:dyDescent="0.3">
      <c r="A171" s="5" t="s">
        <v>239</v>
      </c>
      <c r="B171" s="16" t="s">
        <v>21</v>
      </c>
      <c r="C171" s="16">
        <v>464786</v>
      </c>
      <c r="D171" s="17"/>
      <c r="E171" s="16" t="s">
        <v>16</v>
      </c>
      <c r="F171" s="16" t="s">
        <v>22</v>
      </c>
      <c r="G171" s="16" t="s">
        <v>23</v>
      </c>
      <c r="H171" s="18" t="s">
        <v>10</v>
      </c>
      <c r="I171" s="18" t="s">
        <v>24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3</v>
      </c>
      <c r="AF171" s="19">
        <v>5500</v>
      </c>
      <c r="AG171" s="19">
        <v>2000</v>
      </c>
      <c r="AH171" s="18">
        <v>0</v>
      </c>
      <c r="AI171" s="18">
        <v>0</v>
      </c>
      <c r="AJ171" s="18">
        <v>0</v>
      </c>
      <c r="AK171" s="18">
        <v>5</v>
      </c>
      <c r="AL171" s="19">
        <v>9000</v>
      </c>
      <c r="AM171" s="19">
        <v>5000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  <c r="AY171" s="18">
        <v>0</v>
      </c>
      <c r="AZ171" s="18">
        <v>0</v>
      </c>
      <c r="BA171" s="18">
        <v>0</v>
      </c>
      <c r="BB171" s="18">
        <v>0</v>
      </c>
      <c r="BC171" s="18">
        <v>0</v>
      </c>
      <c r="BD171" s="18">
        <v>0</v>
      </c>
      <c r="BE171" s="18">
        <v>0</v>
      </c>
      <c r="BF171" s="18">
        <v>0</v>
      </c>
      <c r="BG171" s="18">
        <v>0</v>
      </c>
      <c r="BH171" s="18">
        <v>0</v>
      </c>
      <c r="BI171" s="18">
        <v>0</v>
      </c>
      <c r="BJ171" s="18">
        <v>0</v>
      </c>
      <c r="BK171" s="18">
        <v>0</v>
      </c>
      <c r="BL171" s="20">
        <v>2700</v>
      </c>
      <c r="BM171" s="21">
        <v>21500</v>
      </c>
      <c r="BN171" s="14">
        <f t="shared" si="6"/>
        <v>18800</v>
      </c>
      <c r="BO171" s="14">
        <f t="shared" si="7"/>
        <v>13160</v>
      </c>
    </row>
    <row r="172" spans="1:67" ht="24" x14ac:dyDescent="0.3">
      <c r="A172" s="5" t="s">
        <v>239</v>
      </c>
      <c r="B172" s="16" t="s">
        <v>33</v>
      </c>
      <c r="C172" s="16">
        <v>395341</v>
      </c>
      <c r="D172" s="17"/>
      <c r="E172" s="16" t="s">
        <v>16</v>
      </c>
      <c r="F172" s="16" t="s">
        <v>34</v>
      </c>
      <c r="G172" s="16" t="s">
        <v>35</v>
      </c>
      <c r="H172" s="18" t="s">
        <v>8</v>
      </c>
      <c r="I172" s="18" t="s">
        <v>36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76</v>
      </c>
      <c r="AF172" s="19">
        <v>6700</v>
      </c>
      <c r="AG172" s="18">
        <v>900</v>
      </c>
      <c r="AH172" s="18">
        <v>0</v>
      </c>
      <c r="AI172" s="18">
        <v>0</v>
      </c>
      <c r="AJ172" s="18">
        <v>0</v>
      </c>
      <c r="AK172" s="18">
        <v>79</v>
      </c>
      <c r="AL172" s="19">
        <v>9076</v>
      </c>
      <c r="AM172" s="18">
        <v>300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  <c r="AY172" s="18">
        <v>0</v>
      </c>
      <c r="AZ172" s="18">
        <v>0</v>
      </c>
      <c r="BA172" s="18">
        <v>0</v>
      </c>
      <c r="BB172" s="18">
        <v>0</v>
      </c>
      <c r="BC172" s="18">
        <v>0</v>
      </c>
      <c r="BD172" s="18">
        <v>0</v>
      </c>
      <c r="BE172" s="18">
        <v>0</v>
      </c>
      <c r="BF172" s="18">
        <v>0</v>
      </c>
      <c r="BG172" s="18">
        <v>0</v>
      </c>
      <c r="BH172" s="18">
        <v>0</v>
      </c>
      <c r="BI172" s="18">
        <v>0</v>
      </c>
      <c r="BJ172" s="18">
        <v>0</v>
      </c>
      <c r="BK172" s="18">
        <v>0</v>
      </c>
      <c r="BL172" s="20">
        <v>2722.8</v>
      </c>
      <c r="BM172" s="21">
        <v>16976</v>
      </c>
      <c r="BN172" s="14">
        <f t="shared" si="6"/>
        <v>14253.2</v>
      </c>
      <c r="BO172" s="14">
        <f t="shared" si="7"/>
        <v>9977.24</v>
      </c>
    </row>
    <row r="173" spans="1:67" ht="24" x14ac:dyDescent="0.3">
      <c r="A173" s="5" t="s">
        <v>239</v>
      </c>
      <c r="B173" s="16" t="s">
        <v>130</v>
      </c>
      <c r="C173" s="16">
        <v>408836</v>
      </c>
      <c r="D173" s="17"/>
      <c r="E173" s="16" t="s">
        <v>16</v>
      </c>
      <c r="F173" s="16" t="s">
        <v>52</v>
      </c>
      <c r="G173" s="16" t="s">
        <v>18</v>
      </c>
      <c r="H173" s="18" t="s">
        <v>7</v>
      </c>
      <c r="I173" s="18" t="s">
        <v>131</v>
      </c>
      <c r="J173" s="18">
        <v>0</v>
      </c>
      <c r="K173" s="18">
        <v>0</v>
      </c>
      <c r="L173" s="18">
        <v>0</v>
      </c>
      <c r="M173" s="18">
        <v>0</v>
      </c>
      <c r="N173" s="18">
        <v>0</v>
      </c>
      <c r="O173" s="18">
        <v>0</v>
      </c>
      <c r="P173" s="18">
        <v>0</v>
      </c>
      <c r="Q173" s="18">
        <v>0</v>
      </c>
      <c r="R173" s="18">
        <v>0</v>
      </c>
      <c r="S173" s="18">
        <v>0</v>
      </c>
      <c r="T173" s="18">
        <v>0</v>
      </c>
      <c r="U173" s="18">
        <v>0</v>
      </c>
      <c r="V173" s="18">
        <v>0</v>
      </c>
      <c r="W173" s="18">
        <v>0</v>
      </c>
      <c r="X173" s="18">
        <v>0</v>
      </c>
      <c r="Y173" s="18">
        <v>0</v>
      </c>
      <c r="Z173" s="18">
        <v>0</v>
      </c>
      <c r="AA173" s="18">
        <v>0</v>
      </c>
      <c r="AB173" s="18">
        <v>5</v>
      </c>
      <c r="AC173" s="19">
        <v>3500</v>
      </c>
      <c r="AD173" s="18">
        <v>0</v>
      </c>
      <c r="AE173" s="18">
        <v>0</v>
      </c>
      <c r="AF173" s="18">
        <v>0</v>
      </c>
      <c r="AG173" s="18">
        <v>0</v>
      </c>
      <c r="AH173" s="18">
        <v>8</v>
      </c>
      <c r="AI173" s="19">
        <v>6720</v>
      </c>
      <c r="AJ173" s="18">
        <v>0</v>
      </c>
      <c r="AK173" s="18">
        <v>0</v>
      </c>
      <c r="AL173" s="18">
        <v>0</v>
      </c>
      <c r="AM173" s="18">
        <v>0</v>
      </c>
      <c r="AN173" s="18">
        <v>0</v>
      </c>
      <c r="AO173" s="18">
        <v>0</v>
      </c>
      <c r="AP173" s="18">
        <v>0</v>
      </c>
      <c r="AQ173" s="18">
        <v>0</v>
      </c>
      <c r="AR173" s="18">
        <v>0</v>
      </c>
      <c r="AS173" s="18">
        <v>0</v>
      </c>
      <c r="AT173" s="18">
        <v>0</v>
      </c>
      <c r="AU173" s="18">
        <v>0</v>
      </c>
      <c r="AV173" s="18">
        <v>0</v>
      </c>
      <c r="AW173" s="18">
        <v>0</v>
      </c>
      <c r="AX173" s="18">
        <v>0</v>
      </c>
      <c r="AY173" s="18">
        <v>0</v>
      </c>
      <c r="AZ173" s="18">
        <v>7</v>
      </c>
      <c r="BA173" s="19">
        <v>5880</v>
      </c>
      <c r="BB173" s="18">
        <v>0</v>
      </c>
      <c r="BC173" s="18">
        <v>0</v>
      </c>
      <c r="BD173" s="18">
        <v>0</v>
      </c>
      <c r="BE173" s="18">
        <v>0</v>
      </c>
      <c r="BF173" s="18">
        <v>0</v>
      </c>
      <c r="BG173" s="18">
        <v>0</v>
      </c>
      <c r="BH173" s="18">
        <v>0</v>
      </c>
      <c r="BI173" s="18">
        <v>0</v>
      </c>
      <c r="BJ173" s="18">
        <v>0</v>
      </c>
      <c r="BK173" s="18">
        <v>0</v>
      </c>
      <c r="BL173" s="20">
        <v>2368.8000000000002</v>
      </c>
      <c r="BM173" s="21">
        <v>16100</v>
      </c>
      <c r="BN173" s="14">
        <f t="shared" si="6"/>
        <v>13731.2</v>
      </c>
      <c r="BO173" s="14">
        <f t="shared" si="7"/>
        <v>9611.84</v>
      </c>
    </row>
    <row r="174" spans="1:67" ht="24" x14ac:dyDescent="0.3">
      <c r="A174" s="5" t="s">
        <v>238</v>
      </c>
      <c r="B174" s="16" t="s">
        <v>268</v>
      </c>
      <c r="C174" s="16">
        <v>483769</v>
      </c>
      <c r="D174" s="17"/>
      <c r="E174" s="16" t="s">
        <v>16</v>
      </c>
      <c r="F174" s="16" t="s">
        <v>269</v>
      </c>
      <c r="G174" s="16" t="s">
        <v>23</v>
      </c>
      <c r="H174" s="18" t="s">
        <v>8</v>
      </c>
      <c r="I174" s="18" t="s">
        <v>270</v>
      </c>
      <c r="J174" s="18">
        <v>0</v>
      </c>
      <c r="K174" s="18">
        <v>0</v>
      </c>
      <c r="L174" s="18">
        <v>0</v>
      </c>
      <c r="M174" s="18">
        <v>0</v>
      </c>
      <c r="N174" s="18">
        <v>0</v>
      </c>
      <c r="O174" s="18">
        <v>0</v>
      </c>
      <c r="P174" s="18">
        <v>0</v>
      </c>
      <c r="Q174" s="18">
        <v>0</v>
      </c>
      <c r="R174" s="18">
        <v>0</v>
      </c>
      <c r="S174" s="18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8">
        <v>0</v>
      </c>
      <c r="Z174" s="18">
        <v>0</v>
      </c>
      <c r="AA174" s="18">
        <v>0</v>
      </c>
      <c r="AB174" s="18">
        <v>0</v>
      </c>
      <c r="AC174" s="18">
        <v>0</v>
      </c>
      <c r="AD174" s="18">
        <v>0</v>
      </c>
      <c r="AE174" s="18">
        <v>3</v>
      </c>
      <c r="AF174" s="19">
        <v>4600</v>
      </c>
      <c r="AG174" s="18">
        <v>800</v>
      </c>
      <c r="AH174" s="18">
        <v>0</v>
      </c>
      <c r="AI174" s="18">
        <v>0</v>
      </c>
      <c r="AJ174" s="18">
        <v>0</v>
      </c>
      <c r="AK174" s="18">
        <v>4</v>
      </c>
      <c r="AL174" s="19">
        <v>3000</v>
      </c>
      <c r="AM174" s="19">
        <v>7100</v>
      </c>
      <c r="AN174" s="18">
        <v>0</v>
      </c>
      <c r="AO174" s="18">
        <v>0</v>
      </c>
      <c r="AP174" s="18">
        <v>0</v>
      </c>
      <c r="AQ174" s="18">
        <v>0</v>
      </c>
      <c r="AR174" s="18">
        <v>0</v>
      </c>
      <c r="AS174" s="18">
        <v>0</v>
      </c>
      <c r="AT174" s="18">
        <v>0</v>
      </c>
      <c r="AU174" s="18">
        <v>0</v>
      </c>
      <c r="AV174" s="18">
        <v>0</v>
      </c>
      <c r="AW174" s="18">
        <v>0</v>
      </c>
      <c r="AX174" s="18">
        <v>0</v>
      </c>
      <c r="AY174" s="18">
        <v>0</v>
      </c>
      <c r="AZ174" s="18">
        <v>0</v>
      </c>
      <c r="BA174" s="18">
        <v>0</v>
      </c>
      <c r="BB174" s="18">
        <v>0</v>
      </c>
      <c r="BC174" s="18">
        <v>0</v>
      </c>
      <c r="BD174" s="18">
        <v>0</v>
      </c>
      <c r="BE174" s="18">
        <v>0</v>
      </c>
      <c r="BF174" s="18">
        <v>0</v>
      </c>
      <c r="BG174" s="18">
        <v>0</v>
      </c>
      <c r="BH174" s="18">
        <v>0</v>
      </c>
      <c r="BI174" s="18">
        <v>0</v>
      </c>
      <c r="BJ174" s="18">
        <v>0</v>
      </c>
      <c r="BK174" s="18">
        <v>0</v>
      </c>
      <c r="BL174" s="18">
        <v>900</v>
      </c>
      <c r="BM174" s="21">
        <v>15500</v>
      </c>
      <c r="BN174" s="14">
        <f t="shared" si="6"/>
        <v>14600</v>
      </c>
      <c r="BO174" s="14">
        <f t="shared" si="7"/>
        <v>10220</v>
      </c>
    </row>
    <row r="175" spans="1:67" ht="24" x14ac:dyDescent="0.3">
      <c r="A175" s="5" t="s">
        <v>239</v>
      </c>
      <c r="B175" s="16" t="s">
        <v>48</v>
      </c>
      <c r="C175" s="16">
        <v>380954</v>
      </c>
      <c r="D175" s="17"/>
      <c r="E175" s="16" t="s">
        <v>16</v>
      </c>
      <c r="F175" s="16" t="s">
        <v>49</v>
      </c>
      <c r="G175" s="16" t="s">
        <v>18</v>
      </c>
      <c r="H175" s="18" t="s">
        <v>7</v>
      </c>
      <c r="I175" s="18" t="s">
        <v>50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  <c r="AY175" s="18">
        <v>0</v>
      </c>
      <c r="AZ175" s="18">
        <v>14</v>
      </c>
      <c r="BA175" s="19">
        <v>15120</v>
      </c>
      <c r="BB175" s="18">
        <v>0</v>
      </c>
      <c r="BC175" s="18">
        <v>0</v>
      </c>
      <c r="BD175" s="18">
        <v>0</v>
      </c>
      <c r="BE175" s="18">
        <v>0</v>
      </c>
      <c r="BF175" s="18">
        <v>0</v>
      </c>
      <c r="BG175" s="18">
        <v>0</v>
      </c>
      <c r="BH175" s="18">
        <v>0</v>
      </c>
      <c r="BI175" s="18">
        <v>0</v>
      </c>
      <c r="BJ175" s="18">
        <v>0</v>
      </c>
      <c r="BK175" s="18">
        <v>0</v>
      </c>
      <c r="BL175" s="18">
        <v>907.2</v>
      </c>
      <c r="BM175" s="21">
        <v>15120</v>
      </c>
      <c r="BN175" s="14">
        <f t="shared" si="6"/>
        <v>14212.8</v>
      </c>
      <c r="BO175" s="14">
        <f t="shared" si="7"/>
        <v>9948.9599999999991</v>
      </c>
    </row>
    <row r="176" spans="1:67" ht="24" x14ac:dyDescent="0.3">
      <c r="A176" s="5" t="s">
        <v>239</v>
      </c>
      <c r="B176" s="16" t="s">
        <v>104</v>
      </c>
      <c r="C176" s="16">
        <v>445220</v>
      </c>
      <c r="D176" s="17"/>
      <c r="E176" s="16" t="s">
        <v>16</v>
      </c>
      <c r="F176" s="16" t="s">
        <v>105</v>
      </c>
      <c r="G176" s="16" t="s">
        <v>35</v>
      </c>
      <c r="H176" s="18" t="s">
        <v>8</v>
      </c>
      <c r="I176" s="18" t="s">
        <v>106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0</v>
      </c>
      <c r="AF176" s="18">
        <v>0</v>
      </c>
      <c r="AG176" s="18">
        <v>0</v>
      </c>
      <c r="AH176" s="18">
        <v>0</v>
      </c>
      <c r="AI176" s="18">
        <v>0</v>
      </c>
      <c r="AJ176" s="18">
        <v>0</v>
      </c>
      <c r="AK176" s="18">
        <v>3</v>
      </c>
      <c r="AL176" s="18">
        <v>0</v>
      </c>
      <c r="AM176" s="18">
        <v>300</v>
      </c>
      <c r="AN176" s="18">
        <v>0</v>
      </c>
      <c r="AO176" s="18">
        <v>0</v>
      </c>
      <c r="AP176" s="18">
        <v>0</v>
      </c>
      <c r="AQ176" s="18">
        <v>105</v>
      </c>
      <c r="AR176" s="19">
        <v>9600</v>
      </c>
      <c r="AS176" s="18">
        <v>900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  <c r="AY176" s="18">
        <v>0</v>
      </c>
      <c r="AZ176" s="18">
        <v>0</v>
      </c>
      <c r="BA176" s="18">
        <v>0</v>
      </c>
      <c r="BB176" s="18">
        <v>0</v>
      </c>
      <c r="BC176" s="18">
        <v>0</v>
      </c>
      <c r="BD176" s="18">
        <v>0</v>
      </c>
      <c r="BE176" s="18">
        <v>0</v>
      </c>
      <c r="BF176" s="18">
        <v>0</v>
      </c>
      <c r="BG176" s="18">
        <v>0</v>
      </c>
      <c r="BH176" s="18">
        <v>0</v>
      </c>
      <c r="BI176" s="18">
        <v>0</v>
      </c>
      <c r="BJ176" s="18">
        <v>0</v>
      </c>
      <c r="BK176" s="18">
        <v>0</v>
      </c>
      <c r="BL176" s="18">
        <v>0</v>
      </c>
      <c r="BM176" s="21">
        <v>10800</v>
      </c>
      <c r="BN176" s="14">
        <f t="shared" si="6"/>
        <v>10800</v>
      </c>
      <c r="BO176" s="14">
        <f t="shared" si="7"/>
        <v>7559.9999999999991</v>
      </c>
    </row>
    <row r="177" spans="1:67" ht="24" x14ac:dyDescent="0.3">
      <c r="A177" s="5" t="s">
        <v>238</v>
      </c>
      <c r="B177" s="16" t="s">
        <v>58</v>
      </c>
      <c r="C177" s="16">
        <v>468582</v>
      </c>
      <c r="D177" s="17"/>
      <c r="E177" s="16" t="s">
        <v>16</v>
      </c>
      <c r="F177" s="16" t="s">
        <v>59</v>
      </c>
      <c r="G177" s="16" t="s">
        <v>23</v>
      </c>
      <c r="H177" s="18" t="s">
        <v>10</v>
      </c>
      <c r="I177" s="18" t="s">
        <v>60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4</v>
      </c>
      <c r="AF177" s="19">
        <v>7600</v>
      </c>
      <c r="AG177" s="18">
        <v>0</v>
      </c>
      <c r="AH177" s="18">
        <v>0</v>
      </c>
      <c r="AI177" s="18">
        <v>0</v>
      </c>
      <c r="AJ177" s="18">
        <v>0</v>
      </c>
      <c r="AK177" s="18">
        <v>1</v>
      </c>
      <c r="AL177" s="18">
        <v>0</v>
      </c>
      <c r="AM177" s="19">
        <v>2400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  <c r="AY177" s="18">
        <v>0</v>
      </c>
      <c r="AZ177" s="18">
        <v>0</v>
      </c>
      <c r="BA177" s="18">
        <v>0</v>
      </c>
      <c r="BB177" s="18">
        <v>0</v>
      </c>
      <c r="BC177" s="18">
        <v>0</v>
      </c>
      <c r="BD177" s="18">
        <v>0</v>
      </c>
      <c r="BE177" s="18">
        <v>0</v>
      </c>
      <c r="BF177" s="18">
        <v>0</v>
      </c>
      <c r="BG177" s="18">
        <v>0</v>
      </c>
      <c r="BH177" s="18">
        <v>0</v>
      </c>
      <c r="BI177" s="18">
        <v>0</v>
      </c>
      <c r="BJ177" s="18">
        <v>0</v>
      </c>
      <c r="BK177" s="18">
        <v>0</v>
      </c>
      <c r="BL177" s="18">
        <v>0</v>
      </c>
      <c r="BM177" s="21">
        <v>10000</v>
      </c>
      <c r="BN177" s="14">
        <f t="shared" si="6"/>
        <v>10000</v>
      </c>
      <c r="BO177" s="14">
        <f t="shared" si="7"/>
        <v>7000</v>
      </c>
    </row>
    <row r="178" spans="1:67" ht="24" x14ac:dyDescent="0.3">
      <c r="A178" s="5" t="s">
        <v>238</v>
      </c>
      <c r="B178" s="16" t="s">
        <v>326</v>
      </c>
      <c r="C178" s="16">
        <v>485979</v>
      </c>
      <c r="D178" s="17"/>
      <c r="E178" s="16" t="s">
        <v>16</v>
      </c>
      <c r="F178" s="16" t="s">
        <v>59</v>
      </c>
      <c r="G178" s="16" t="s">
        <v>23</v>
      </c>
      <c r="H178" s="18" t="s">
        <v>7</v>
      </c>
      <c r="I178" s="18" t="s">
        <v>327</v>
      </c>
      <c r="J178" s="18">
        <v>0</v>
      </c>
      <c r="K178" s="18">
        <v>0</v>
      </c>
      <c r="L178" s="18">
        <v>0</v>
      </c>
      <c r="M178" s="18">
        <v>0</v>
      </c>
      <c r="N178" s="18">
        <v>0</v>
      </c>
      <c r="O178" s="18">
        <v>0</v>
      </c>
      <c r="P178" s="18">
        <v>0</v>
      </c>
      <c r="Q178" s="18">
        <v>0</v>
      </c>
      <c r="R178" s="18">
        <v>0</v>
      </c>
      <c r="S178" s="18">
        <v>0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8">
        <v>0</v>
      </c>
      <c r="Z178" s="18">
        <v>0</v>
      </c>
      <c r="AA178" s="18">
        <v>0</v>
      </c>
      <c r="AB178" s="18">
        <v>0</v>
      </c>
      <c r="AC178" s="18">
        <v>0</v>
      </c>
      <c r="AD178" s="18">
        <v>0</v>
      </c>
      <c r="AE178" s="18">
        <v>1</v>
      </c>
      <c r="AF178" s="19">
        <v>3000</v>
      </c>
      <c r="AG178" s="18">
        <v>0</v>
      </c>
      <c r="AH178" s="18">
        <v>0</v>
      </c>
      <c r="AI178" s="18">
        <v>0</v>
      </c>
      <c r="AJ178" s="18">
        <v>0</v>
      </c>
      <c r="AK178" s="18">
        <v>2</v>
      </c>
      <c r="AL178" s="19">
        <v>3480</v>
      </c>
      <c r="AM178" s="19">
        <v>3000</v>
      </c>
      <c r="AN178" s="18">
        <v>0</v>
      </c>
      <c r="AO178" s="18">
        <v>0</v>
      </c>
      <c r="AP178" s="18">
        <v>0</v>
      </c>
      <c r="AQ178" s="18">
        <v>0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  <c r="AY178" s="18">
        <v>0</v>
      </c>
      <c r="AZ178" s="18">
        <v>0</v>
      </c>
      <c r="BA178" s="18">
        <v>0</v>
      </c>
      <c r="BB178" s="18">
        <v>0</v>
      </c>
      <c r="BC178" s="18">
        <v>0</v>
      </c>
      <c r="BD178" s="18">
        <v>0</v>
      </c>
      <c r="BE178" s="18">
        <v>0</v>
      </c>
      <c r="BF178" s="18">
        <v>0</v>
      </c>
      <c r="BG178" s="18">
        <v>0</v>
      </c>
      <c r="BH178" s="18">
        <v>0</v>
      </c>
      <c r="BI178" s="18">
        <v>0</v>
      </c>
      <c r="BJ178" s="18">
        <v>0</v>
      </c>
      <c r="BK178" s="18">
        <v>0</v>
      </c>
      <c r="BL178" s="20">
        <v>1044</v>
      </c>
      <c r="BM178" s="21">
        <v>9480</v>
      </c>
      <c r="BN178" s="14">
        <f t="shared" si="6"/>
        <v>8436</v>
      </c>
      <c r="BO178" s="14">
        <f t="shared" si="7"/>
        <v>5905.2</v>
      </c>
    </row>
    <row r="179" spans="1:67" ht="24" x14ac:dyDescent="0.3">
      <c r="A179" s="5" t="s">
        <v>238</v>
      </c>
      <c r="B179" s="16" t="s">
        <v>74</v>
      </c>
      <c r="C179" s="16">
        <v>457533</v>
      </c>
      <c r="D179" s="17"/>
      <c r="E179" s="16" t="s">
        <v>16</v>
      </c>
      <c r="F179" s="16" t="s">
        <v>75</v>
      </c>
      <c r="G179" s="16" t="s">
        <v>23</v>
      </c>
      <c r="H179" s="18" t="s">
        <v>27</v>
      </c>
      <c r="I179" s="18" t="s">
        <v>76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2</v>
      </c>
      <c r="AF179" s="19">
        <v>5000</v>
      </c>
      <c r="AG179" s="18">
        <v>0</v>
      </c>
      <c r="AH179" s="18">
        <v>0</v>
      </c>
      <c r="AI179" s="18">
        <v>0</v>
      </c>
      <c r="AJ179" s="18">
        <v>0</v>
      </c>
      <c r="AK179" s="18">
        <v>1</v>
      </c>
      <c r="AL179" s="19">
        <v>3000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  <c r="AY179" s="18">
        <v>0</v>
      </c>
      <c r="AZ179" s="18">
        <v>0</v>
      </c>
      <c r="BA179" s="18">
        <v>0</v>
      </c>
      <c r="BB179" s="18">
        <v>0</v>
      </c>
      <c r="BC179" s="18">
        <v>0</v>
      </c>
      <c r="BD179" s="18">
        <v>0</v>
      </c>
      <c r="BE179" s="18">
        <v>0</v>
      </c>
      <c r="BF179" s="18">
        <v>0</v>
      </c>
      <c r="BG179" s="18">
        <v>0</v>
      </c>
      <c r="BH179" s="18">
        <v>0</v>
      </c>
      <c r="BI179" s="18">
        <v>0</v>
      </c>
      <c r="BJ179" s="18">
        <v>0</v>
      </c>
      <c r="BK179" s="18">
        <v>0</v>
      </c>
      <c r="BL179" s="18">
        <v>900</v>
      </c>
      <c r="BM179" s="21">
        <v>8000</v>
      </c>
      <c r="BN179" s="14">
        <f t="shared" si="6"/>
        <v>7100</v>
      </c>
      <c r="BO179" s="14">
        <f t="shared" si="7"/>
        <v>4970</v>
      </c>
    </row>
    <row r="180" spans="1:67" ht="24" x14ac:dyDescent="0.3">
      <c r="A180" s="5" t="s">
        <v>238</v>
      </c>
      <c r="B180" s="16" t="s">
        <v>54</v>
      </c>
      <c r="C180" s="16">
        <v>456187</v>
      </c>
      <c r="D180" s="17"/>
      <c r="E180" s="16" t="s">
        <v>16</v>
      </c>
      <c r="F180" s="16" t="s">
        <v>55</v>
      </c>
      <c r="G180" s="16" t="s">
        <v>56</v>
      </c>
      <c r="H180" s="18" t="s">
        <v>8</v>
      </c>
      <c r="I180" s="18" t="s">
        <v>57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0</v>
      </c>
      <c r="AF180" s="18">
        <v>0</v>
      </c>
      <c r="AG180" s="18">
        <v>0</v>
      </c>
      <c r="AH180" s="18">
        <v>0</v>
      </c>
      <c r="AI180" s="18">
        <v>0</v>
      </c>
      <c r="AJ180" s="18">
        <v>0</v>
      </c>
      <c r="AK180" s="18">
        <v>61</v>
      </c>
      <c r="AL180" s="19">
        <v>7320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  <c r="AY180" s="18">
        <v>0</v>
      </c>
      <c r="AZ180" s="18">
        <v>0</v>
      </c>
      <c r="BA180" s="18">
        <v>0</v>
      </c>
      <c r="BB180" s="18">
        <v>0</v>
      </c>
      <c r="BC180" s="18">
        <v>0</v>
      </c>
      <c r="BD180" s="18">
        <v>0</v>
      </c>
      <c r="BE180" s="18">
        <v>0</v>
      </c>
      <c r="BF180" s="18">
        <v>0</v>
      </c>
      <c r="BG180" s="18">
        <v>0</v>
      </c>
      <c r="BH180" s="18">
        <v>0</v>
      </c>
      <c r="BI180" s="18">
        <v>0</v>
      </c>
      <c r="BJ180" s="18">
        <v>0</v>
      </c>
      <c r="BK180" s="18">
        <v>0</v>
      </c>
      <c r="BL180" s="20">
        <v>2196</v>
      </c>
      <c r="BM180" s="21">
        <v>7320</v>
      </c>
      <c r="BN180" s="14">
        <f t="shared" si="6"/>
        <v>5124</v>
      </c>
      <c r="BO180" s="14">
        <f t="shared" si="7"/>
        <v>3586.7999999999997</v>
      </c>
    </row>
    <row r="181" spans="1:67" ht="24" x14ac:dyDescent="0.3">
      <c r="A181" s="5" t="s">
        <v>238</v>
      </c>
      <c r="B181" s="16" t="s">
        <v>99</v>
      </c>
      <c r="C181" s="16">
        <v>354768</v>
      </c>
      <c r="D181" s="17"/>
      <c r="E181" s="16" t="s">
        <v>16</v>
      </c>
      <c r="F181" s="16" t="s">
        <v>30</v>
      </c>
      <c r="G181" s="16" t="s">
        <v>31</v>
      </c>
      <c r="H181" s="18" t="s">
        <v>8</v>
      </c>
      <c r="I181" s="18" t="s">
        <v>100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0</v>
      </c>
      <c r="AE181" s="18">
        <v>70</v>
      </c>
      <c r="AF181" s="19">
        <v>7000</v>
      </c>
      <c r="AG181" s="18">
        <v>0</v>
      </c>
      <c r="AH181" s="18">
        <v>0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  <c r="AY181" s="18">
        <v>0</v>
      </c>
      <c r="AZ181" s="18">
        <v>0</v>
      </c>
      <c r="BA181" s="18">
        <v>0</v>
      </c>
      <c r="BB181" s="18">
        <v>0</v>
      </c>
      <c r="BC181" s="18">
        <v>0</v>
      </c>
      <c r="BD181" s="18">
        <v>0</v>
      </c>
      <c r="BE181" s="18">
        <v>0</v>
      </c>
      <c r="BF181" s="18">
        <v>0</v>
      </c>
      <c r="BG181" s="18">
        <v>0</v>
      </c>
      <c r="BH181" s="18">
        <v>0</v>
      </c>
      <c r="BI181" s="18">
        <v>0</v>
      </c>
      <c r="BJ181" s="18">
        <v>0</v>
      </c>
      <c r="BK181" s="18">
        <v>0</v>
      </c>
      <c r="BL181" s="18">
        <v>0</v>
      </c>
      <c r="BM181" s="21">
        <v>7000</v>
      </c>
      <c r="BN181" s="14">
        <f t="shared" si="6"/>
        <v>7000</v>
      </c>
      <c r="BO181" s="14">
        <f t="shared" si="7"/>
        <v>4900</v>
      </c>
    </row>
    <row r="182" spans="1:67" ht="24" x14ac:dyDescent="0.3">
      <c r="A182" s="5" t="s">
        <v>238</v>
      </c>
      <c r="B182" s="16" t="s">
        <v>273</v>
      </c>
      <c r="C182" s="16">
        <v>315388</v>
      </c>
      <c r="D182" s="17"/>
      <c r="E182" s="16" t="s">
        <v>16</v>
      </c>
      <c r="F182" s="16" t="s">
        <v>274</v>
      </c>
      <c r="G182" s="16" t="s">
        <v>275</v>
      </c>
      <c r="H182" s="18" t="s">
        <v>8</v>
      </c>
      <c r="I182" s="18" t="s">
        <v>276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2</v>
      </c>
      <c r="AF182" s="19">
        <v>6400</v>
      </c>
      <c r="AG182" s="18">
        <v>0</v>
      </c>
      <c r="AH182" s="18">
        <v>0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  <c r="AY182" s="18">
        <v>0</v>
      </c>
      <c r="AZ182" s="18">
        <v>0</v>
      </c>
      <c r="BA182" s="18">
        <v>0</v>
      </c>
      <c r="BB182" s="18">
        <v>0</v>
      </c>
      <c r="BC182" s="18">
        <v>0</v>
      </c>
      <c r="BD182" s="18">
        <v>0</v>
      </c>
      <c r="BE182" s="18">
        <v>0</v>
      </c>
      <c r="BF182" s="18">
        <v>0</v>
      </c>
      <c r="BG182" s="18">
        <v>0</v>
      </c>
      <c r="BH182" s="18">
        <v>0</v>
      </c>
      <c r="BI182" s="18">
        <v>0</v>
      </c>
      <c r="BJ182" s="18">
        <v>0</v>
      </c>
      <c r="BK182" s="18">
        <v>0</v>
      </c>
      <c r="BL182" s="18">
        <v>0</v>
      </c>
      <c r="BM182" s="21">
        <v>6400</v>
      </c>
      <c r="BN182" s="14">
        <f t="shared" si="6"/>
        <v>6400</v>
      </c>
      <c r="BO182" s="14">
        <f t="shared" si="7"/>
        <v>4480</v>
      </c>
    </row>
    <row r="183" spans="1:67" ht="24" x14ac:dyDescent="0.3">
      <c r="A183" s="5" t="s">
        <v>238</v>
      </c>
      <c r="B183" s="16" t="s">
        <v>264</v>
      </c>
      <c r="C183" s="16">
        <v>442667</v>
      </c>
      <c r="D183" s="17"/>
      <c r="E183" s="16" t="s">
        <v>16</v>
      </c>
      <c r="F183" s="16" t="s">
        <v>85</v>
      </c>
      <c r="G183" s="16" t="s">
        <v>35</v>
      </c>
      <c r="H183" s="18" t="s">
        <v>27</v>
      </c>
      <c r="I183" s="18" t="s">
        <v>265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1</v>
      </c>
      <c r="AF183" s="18">
        <v>0</v>
      </c>
      <c r="AG183" s="18">
        <v>700</v>
      </c>
      <c r="AH183" s="18">
        <v>0</v>
      </c>
      <c r="AI183" s="18">
        <v>0</v>
      </c>
      <c r="AJ183" s="18">
        <v>0</v>
      </c>
      <c r="AK183" s="18">
        <v>2</v>
      </c>
      <c r="AL183" s="18">
        <v>0</v>
      </c>
      <c r="AM183" s="19">
        <v>5300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  <c r="AY183" s="18">
        <v>0</v>
      </c>
      <c r="AZ183" s="18">
        <v>0</v>
      </c>
      <c r="BA183" s="18">
        <v>0</v>
      </c>
      <c r="BB183" s="18">
        <v>0</v>
      </c>
      <c r="BC183" s="18">
        <v>0</v>
      </c>
      <c r="BD183" s="18">
        <v>0</v>
      </c>
      <c r="BE183" s="18">
        <v>0</v>
      </c>
      <c r="BF183" s="18">
        <v>0</v>
      </c>
      <c r="BG183" s="18">
        <v>0</v>
      </c>
      <c r="BH183" s="18">
        <v>0</v>
      </c>
      <c r="BI183" s="18">
        <v>0</v>
      </c>
      <c r="BJ183" s="18">
        <v>0</v>
      </c>
      <c r="BK183" s="18">
        <v>0</v>
      </c>
      <c r="BL183" s="18">
        <v>0</v>
      </c>
      <c r="BM183" s="21">
        <v>6000</v>
      </c>
      <c r="BN183" s="14">
        <f t="shared" si="6"/>
        <v>6000</v>
      </c>
      <c r="BO183" s="14">
        <f t="shared" si="7"/>
        <v>4200</v>
      </c>
    </row>
    <row r="184" spans="1:67" ht="24" x14ac:dyDescent="0.3">
      <c r="A184" s="5" t="s">
        <v>238</v>
      </c>
      <c r="B184" s="16" t="s">
        <v>220</v>
      </c>
      <c r="C184" s="16">
        <v>453478</v>
      </c>
      <c r="D184" s="17"/>
      <c r="E184" s="16" t="s">
        <v>16</v>
      </c>
      <c r="F184" s="16" t="s">
        <v>17</v>
      </c>
      <c r="G184" s="16" t="s">
        <v>18</v>
      </c>
      <c r="H184" s="18" t="s">
        <v>7</v>
      </c>
      <c r="I184" s="18" t="s">
        <v>221</v>
      </c>
      <c r="J184" s="18">
        <v>0</v>
      </c>
      <c r="K184" s="18">
        <v>0</v>
      </c>
      <c r="L184" s="18">
        <v>0</v>
      </c>
      <c r="M184" s="18">
        <v>0</v>
      </c>
      <c r="N184" s="18">
        <v>0</v>
      </c>
      <c r="O184" s="18">
        <v>0</v>
      </c>
      <c r="P184" s="18">
        <v>0</v>
      </c>
      <c r="Q184" s="18">
        <v>0</v>
      </c>
      <c r="R184" s="18">
        <v>0</v>
      </c>
      <c r="S184" s="18">
        <v>0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8">
        <v>0</v>
      </c>
      <c r="Z184" s="18">
        <v>0</v>
      </c>
      <c r="AA184" s="18">
        <v>0</v>
      </c>
      <c r="AB184" s="18">
        <v>0</v>
      </c>
      <c r="AC184" s="18">
        <v>0</v>
      </c>
      <c r="AD184" s="18">
        <v>0</v>
      </c>
      <c r="AE184" s="18">
        <v>51</v>
      </c>
      <c r="AF184" s="19">
        <v>5000</v>
      </c>
      <c r="AG184" s="18">
        <v>100</v>
      </c>
      <c r="AH184" s="18">
        <v>0</v>
      </c>
      <c r="AI184" s="18">
        <v>0</v>
      </c>
      <c r="AJ184" s="18">
        <v>0</v>
      </c>
      <c r="AK184" s="18">
        <v>0</v>
      </c>
      <c r="AL184" s="18">
        <v>0</v>
      </c>
      <c r="AM184" s="18">
        <v>0</v>
      </c>
      <c r="AN184" s="18">
        <v>0</v>
      </c>
      <c r="AO184" s="18">
        <v>0</v>
      </c>
      <c r="AP184" s="18">
        <v>0</v>
      </c>
      <c r="AQ184" s="18">
        <v>0</v>
      </c>
      <c r="AR184" s="18">
        <v>0</v>
      </c>
      <c r="AS184" s="18">
        <v>0</v>
      </c>
      <c r="AT184" s="18">
        <v>0</v>
      </c>
      <c r="AU184" s="18">
        <v>0</v>
      </c>
      <c r="AV184" s="18">
        <v>0</v>
      </c>
      <c r="AW184" s="18">
        <v>0</v>
      </c>
      <c r="AX184" s="18">
        <v>0</v>
      </c>
      <c r="AY184" s="18">
        <v>0</v>
      </c>
      <c r="AZ184" s="18">
        <v>0</v>
      </c>
      <c r="BA184" s="18">
        <v>0</v>
      </c>
      <c r="BB184" s="18">
        <v>0</v>
      </c>
      <c r="BC184" s="18">
        <v>0</v>
      </c>
      <c r="BD184" s="18">
        <v>0</v>
      </c>
      <c r="BE184" s="18">
        <v>0</v>
      </c>
      <c r="BF184" s="18">
        <v>0</v>
      </c>
      <c r="BG184" s="18">
        <v>0</v>
      </c>
      <c r="BH184" s="18">
        <v>0</v>
      </c>
      <c r="BI184" s="18">
        <v>0</v>
      </c>
      <c r="BJ184" s="18">
        <v>0</v>
      </c>
      <c r="BK184" s="18">
        <v>0</v>
      </c>
      <c r="BL184" s="18">
        <v>0</v>
      </c>
      <c r="BM184" s="21">
        <v>5100</v>
      </c>
      <c r="BN184" s="14">
        <f t="shared" si="6"/>
        <v>5100</v>
      </c>
      <c r="BO184" s="14">
        <f t="shared" si="7"/>
        <v>3570</v>
      </c>
    </row>
    <row r="185" spans="1:67" ht="24" x14ac:dyDescent="0.3">
      <c r="A185" s="5" t="s">
        <v>238</v>
      </c>
      <c r="B185" s="16" t="s">
        <v>29</v>
      </c>
      <c r="C185" s="16">
        <v>368432</v>
      </c>
      <c r="D185" s="17"/>
      <c r="E185" s="16" t="s">
        <v>16</v>
      </c>
      <c r="F185" s="16" t="s">
        <v>30</v>
      </c>
      <c r="G185" s="16" t="s">
        <v>31</v>
      </c>
      <c r="H185" s="18" t="s">
        <v>8</v>
      </c>
      <c r="I185" s="18" t="s">
        <v>32</v>
      </c>
      <c r="J185" s="18">
        <v>0</v>
      </c>
      <c r="K185" s="18">
        <v>0</v>
      </c>
      <c r="L185" s="18">
        <v>0</v>
      </c>
      <c r="M185" s="18">
        <v>0</v>
      </c>
      <c r="N185" s="18">
        <v>0</v>
      </c>
      <c r="O185" s="18">
        <v>0</v>
      </c>
      <c r="P185" s="18">
        <v>0</v>
      </c>
      <c r="Q185" s="18">
        <v>0</v>
      </c>
      <c r="R185" s="18">
        <v>0</v>
      </c>
      <c r="S185" s="18">
        <v>0</v>
      </c>
      <c r="T185" s="18">
        <v>0</v>
      </c>
      <c r="U185" s="18">
        <v>0</v>
      </c>
      <c r="V185" s="18">
        <v>0</v>
      </c>
      <c r="W185" s="18">
        <v>0</v>
      </c>
      <c r="X185" s="18">
        <v>0</v>
      </c>
      <c r="Y185" s="18">
        <v>0</v>
      </c>
      <c r="Z185" s="18">
        <v>0</v>
      </c>
      <c r="AA185" s="18">
        <v>0</v>
      </c>
      <c r="AB185" s="18">
        <v>0</v>
      </c>
      <c r="AC185" s="18">
        <v>0</v>
      </c>
      <c r="AD185" s="18">
        <v>0</v>
      </c>
      <c r="AE185" s="18">
        <v>47</v>
      </c>
      <c r="AF185" s="19">
        <v>4700</v>
      </c>
      <c r="AG185" s="18">
        <v>0</v>
      </c>
      <c r="AH185" s="18">
        <v>0</v>
      </c>
      <c r="AI185" s="18">
        <v>0</v>
      </c>
      <c r="AJ185" s="18">
        <v>0</v>
      </c>
      <c r="AK185" s="18">
        <v>1</v>
      </c>
      <c r="AL185" s="18">
        <v>120</v>
      </c>
      <c r="AM185" s="18">
        <v>0</v>
      </c>
      <c r="AN185" s="18">
        <v>0</v>
      </c>
      <c r="AO185" s="18">
        <v>0</v>
      </c>
      <c r="AP185" s="18">
        <v>0</v>
      </c>
      <c r="AQ185" s="18">
        <v>0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  <c r="AY185" s="18">
        <v>0</v>
      </c>
      <c r="AZ185" s="18">
        <v>0</v>
      </c>
      <c r="BA185" s="18">
        <v>0</v>
      </c>
      <c r="BB185" s="18">
        <v>0</v>
      </c>
      <c r="BC185" s="18">
        <v>0</v>
      </c>
      <c r="BD185" s="18">
        <v>0</v>
      </c>
      <c r="BE185" s="18">
        <v>0</v>
      </c>
      <c r="BF185" s="18">
        <v>0</v>
      </c>
      <c r="BG185" s="18">
        <v>0</v>
      </c>
      <c r="BH185" s="18">
        <v>0</v>
      </c>
      <c r="BI185" s="18">
        <v>0</v>
      </c>
      <c r="BJ185" s="18">
        <v>0</v>
      </c>
      <c r="BK185" s="18">
        <v>0</v>
      </c>
      <c r="BL185" s="18">
        <v>36</v>
      </c>
      <c r="BM185" s="21">
        <v>4820</v>
      </c>
      <c r="BN185" s="14">
        <f t="shared" si="6"/>
        <v>4784</v>
      </c>
      <c r="BO185" s="14">
        <f t="shared" si="7"/>
        <v>3348.7999999999997</v>
      </c>
    </row>
    <row r="186" spans="1:67" ht="24" x14ac:dyDescent="0.3">
      <c r="A186" s="5" t="s">
        <v>238</v>
      </c>
      <c r="B186" s="16" t="s">
        <v>223</v>
      </c>
      <c r="C186" s="16">
        <v>477493</v>
      </c>
      <c r="D186" s="17"/>
      <c r="E186" s="16" t="s">
        <v>16</v>
      </c>
      <c r="F186" s="16" t="s">
        <v>75</v>
      </c>
      <c r="G186" s="16" t="s">
        <v>23</v>
      </c>
      <c r="H186" s="18" t="s">
        <v>7</v>
      </c>
      <c r="I186" s="18" t="s">
        <v>224</v>
      </c>
      <c r="J186" s="18">
        <v>0</v>
      </c>
      <c r="K186" s="18">
        <v>0</v>
      </c>
      <c r="L186" s="18">
        <v>0</v>
      </c>
      <c r="M186" s="18">
        <v>0</v>
      </c>
      <c r="N186" s="18">
        <v>0</v>
      </c>
      <c r="O186" s="18">
        <v>0</v>
      </c>
      <c r="P186" s="18">
        <v>0</v>
      </c>
      <c r="Q186" s="18">
        <v>0</v>
      </c>
      <c r="R186" s="18">
        <v>0</v>
      </c>
      <c r="S186" s="18">
        <v>0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8">
        <v>0</v>
      </c>
      <c r="Z186" s="18">
        <v>0</v>
      </c>
      <c r="AA186" s="18">
        <v>0</v>
      </c>
      <c r="AB186" s="18">
        <v>0</v>
      </c>
      <c r="AC186" s="18">
        <v>0</v>
      </c>
      <c r="AD186" s="18">
        <v>0</v>
      </c>
      <c r="AE186" s="18">
        <v>0</v>
      </c>
      <c r="AF186" s="18">
        <v>0</v>
      </c>
      <c r="AG186" s="18">
        <v>0</v>
      </c>
      <c r="AH186" s="18">
        <v>0</v>
      </c>
      <c r="AI186" s="18">
        <v>0</v>
      </c>
      <c r="AJ186" s="18">
        <v>0</v>
      </c>
      <c r="AK186" s="18">
        <v>2</v>
      </c>
      <c r="AL186" s="19">
        <v>4660</v>
      </c>
      <c r="AM186" s="18">
        <v>0</v>
      </c>
      <c r="AN186" s="18">
        <v>0</v>
      </c>
      <c r="AO186" s="18">
        <v>0</v>
      </c>
      <c r="AP186" s="18">
        <v>0</v>
      </c>
      <c r="AQ186" s="18">
        <v>0</v>
      </c>
      <c r="AR186" s="18">
        <v>0</v>
      </c>
      <c r="AS186" s="18">
        <v>0</v>
      </c>
      <c r="AT186" s="18">
        <v>0</v>
      </c>
      <c r="AU186" s="18">
        <v>0</v>
      </c>
      <c r="AV186" s="18">
        <v>0</v>
      </c>
      <c r="AW186" s="18">
        <v>0</v>
      </c>
      <c r="AX186" s="18">
        <v>0</v>
      </c>
      <c r="AY186" s="18">
        <v>0</v>
      </c>
      <c r="AZ186" s="18">
        <v>0</v>
      </c>
      <c r="BA186" s="18">
        <v>0</v>
      </c>
      <c r="BB186" s="18">
        <v>0</v>
      </c>
      <c r="BC186" s="18">
        <v>0</v>
      </c>
      <c r="BD186" s="18">
        <v>0</v>
      </c>
      <c r="BE186" s="18">
        <v>0</v>
      </c>
      <c r="BF186" s="18">
        <v>0</v>
      </c>
      <c r="BG186" s="18">
        <v>0</v>
      </c>
      <c r="BH186" s="18">
        <v>0</v>
      </c>
      <c r="BI186" s="18">
        <v>0</v>
      </c>
      <c r="BJ186" s="18">
        <v>0</v>
      </c>
      <c r="BK186" s="18">
        <v>0</v>
      </c>
      <c r="BL186" s="20">
        <v>1398</v>
      </c>
      <c r="BM186" s="21">
        <v>4660</v>
      </c>
      <c r="BN186" s="14">
        <f t="shared" si="6"/>
        <v>3262</v>
      </c>
      <c r="BO186" s="14">
        <f t="shared" si="7"/>
        <v>2283.3999999999996</v>
      </c>
    </row>
    <row r="187" spans="1:67" ht="24" x14ac:dyDescent="0.3">
      <c r="A187" s="5" t="s">
        <v>238</v>
      </c>
      <c r="B187" s="16" t="s">
        <v>291</v>
      </c>
      <c r="C187" s="16">
        <v>461353</v>
      </c>
      <c r="D187" s="17"/>
      <c r="E187" s="16" t="s">
        <v>16</v>
      </c>
      <c r="F187" s="16" t="s">
        <v>143</v>
      </c>
      <c r="G187" s="16" t="s">
        <v>23</v>
      </c>
      <c r="H187" s="18" t="s">
        <v>27</v>
      </c>
      <c r="I187" s="18" t="s">
        <v>286</v>
      </c>
      <c r="J187" s="18">
        <v>0</v>
      </c>
      <c r="K187" s="18">
        <v>0</v>
      </c>
      <c r="L187" s="18">
        <v>0</v>
      </c>
      <c r="M187" s="18">
        <v>0</v>
      </c>
      <c r="N187" s="18">
        <v>0</v>
      </c>
      <c r="O187" s="18">
        <v>0</v>
      </c>
      <c r="P187" s="18">
        <v>0</v>
      </c>
      <c r="Q187" s="18">
        <v>0</v>
      </c>
      <c r="R187" s="18">
        <v>0</v>
      </c>
      <c r="S187" s="18">
        <v>0</v>
      </c>
      <c r="T187" s="18">
        <v>0</v>
      </c>
      <c r="U187" s="18">
        <v>0</v>
      </c>
      <c r="V187" s="18">
        <v>0</v>
      </c>
      <c r="W187" s="18">
        <v>0</v>
      </c>
      <c r="X187" s="18">
        <v>0</v>
      </c>
      <c r="Y187" s="18">
        <v>0</v>
      </c>
      <c r="Z187" s="18">
        <v>0</v>
      </c>
      <c r="AA187" s="18">
        <v>0</v>
      </c>
      <c r="AB187" s="18">
        <v>0</v>
      </c>
      <c r="AC187" s="18">
        <v>0</v>
      </c>
      <c r="AD187" s="18">
        <v>0</v>
      </c>
      <c r="AE187" s="18">
        <v>1</v>
      </c>
      <c r="AF187" s="19">
        <v>1500</v>
      </c>
      <c r="AG187" s="18">
        <v>0</v>
      </c>
      <c r="AH187" s="18">
        <v>0</v>
      </c>
      <c r="AI187" s="18">
        <v>0</v>
      </c>
      <c r="AJ187" s="18">
        <v>0</v>
      </c>
      <c r="AK187" s="18">
        <v>2</v>
      </c>
      <c r="AL187" s="19">
        <v>3000</v>
      </c>
      <c r="AM187" s="18">
        <v>0</v>
      </c>
      <c r="AN187" s="18">
        <v>0</v>
      </c>
      <c r="AO187" s="18">
        <v>0</v>
      </c>
      <c r="AP187" s="18">
        <v>0</v>
      </c>
      <c r="AQ187" s="18">
        <v>0</v>
      </c>
      <c r="AR187" s="18">
        <v>0</v>
      </c>
      <c r="AS187" s="18">
        <v>0</v>
      </c>
      <c r="AT187" s="18">
        <v>0</v>
      </c>
      <c r="AU187" s="18">
        <v>0</v>
      </c>
      <c r="AV187" s="18">
        <v>0</v>
      </c>
      <c r="AW187" s="18">
        <v>0</v>
      </c>
      <c r="AX187" s="18">
        <v>0</v>
      </c>
      <c r="AY187" s="18">
        <v>0</v>
      </c>
      <c r="AZ187" s="18">
        <v>0</v>
      </c>
      <c r="BA187" s="18">
        <v>0</v>
      </c>
      <c r="BB187" s="18">
        <v>0</v>
      </c>
      <c r="BC187" s="18">
        <v>0</v>
      </c>
      <c r="BD187" s="18">
        <v>0</v>
      </c>
      <c r="BE187" s="18">
        <v>0</v>
      </c>
      <c r="BF187" s="18">
        <v>0</v>
      </c>
      <c r="BG187" s="18">
        <v>0</v>
      </c>
      <c r="BH187" s="18">
        <v>0</v>
      </c>
      <c r="BI187" s="18">
        <v>0</v>
      </c>
      <c r="BJ187" s="18">
        <v>0</v>
      </c>
      <c r="BK187" s="18">
        <v>0</v>
      </c>
      <c r="BL187" s="18">
        <v>900</v>
      </c>
      <c r="BM187" s="21">
        <v>4500</v>
      </c>
      <c r="BN187" s="14">
        <f t="shared" si="6"/>
        <v>3600</v>
      </c>
      <c r="BO187" s="14">
        <f t="shared" si="7"/>
        <v>2520</v>
      </c>
    </row>
    <row r="188" spans="1:67" ht="24" x14ac:dyDescent="0.3">
      <c r="A188" s="5" t="s">
        <v>238</v>
      </c>
      <c r="B188" s="16" t="s">
        <v>284</v>
      </c>
      <c r="C188" s="16">
        <v>457677</v>
      </c>
      <c r="D188" s="17"/>
      <c r="E188" s="16" t="s">
        <v>16</v>
      </c>
      <c r="F188" s="16" t="s">
        <v>285</v>
      </c>
      <c r="G188" s="16" t="s">
        <v>23</v>
      </c>
      <c r="H188" s="18" t="s">
        <v>27</v>
      </c>
      <c r="I188" s="18" t="s">
        <v>286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</v>
      </c>
      <c r="AG188" s="18">
        <v>0</v>
      </c>
      <c r="AH188" s="18">
        <v>0</v>
      </c>
      <c r="AI188" s="18">
        <v>0</v>
      </c>
      <c r="AJ188" s="18">
        <v>0</v>
      </c>
      <c r="AK188" s="18">
        <v>2</v>
      </c>
      <c r="AL188" s="19">
        <v>2400</v>
      </c>
      <c r="AM188" s="19">
        <v>2000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  <c r="AY188" s="18">
        <v>0</v>
      </c>
      <c r="AZ188" s="18">
        <v>0</v>
      </c>
      <c r="BA188" s="18">
        <v>0</v>
      </c>
      <c r="BB188" s="18">
        <v>0</v>
      </c>
      <c r="BC188" s="18">
        <v>0</v>
      </c>
      <c r="BD188" s="18">
        <v>0</v>
      </c>
      <c r="BE188" s="18">
        <v>0</v>
      </c>
      <c r="BF188" s="18">
        <v>0</v>
      </c>
      <c r="BG188" s="18">
        <v>0</v>
      </c>
      <c r="BH188" s="18">
        <v>0</v>
      </c>
      <c r="BI188" s="18">
        <v>0</v>
      </c>
      <c r="BJ188" s="18">
        <v>0</v>
      </c>
      <c r="BK188" s="18">
        <v>0</v>
      </c>
      <c r="BL188" s="18">
        <v>720</v>
      </c>
      <c r="BM188" s="21">
        <v>4400</v>
      </c>
      <c r="BN188" s="14">
        <f t="shared" si="6"/>
        <v>3680</v>
      </c>
      <c r="BO188" s="14">
        <f t="shared" si="7"/>
        <v>2576</v>
      </c>
    </row>
    <row r="189" spans="1:67" ht="24" x14ac:dyDescent="0.3">
      <c r="A189" s="5" t="s">
        <v>238</v>
      </c>
      <c r="B189" s="16" t="s">
        <v>328</v>
      </c>
      <c r="C189" s="16">
        <v>418030</v>
      </c>
      <c r="D189" s="17"/>
      <c r="E189" s="16" t="s">
        <v>16</v>
      </c>
      <c r="F189" s="16" t="s">
        <v>30</v>
      </c>
      <c r="G189" s="16" t="s">
        <v>56</v>
      </c>
      <c r="H189" s="18" t="s">
        <v>8</v>
      </c>
      <c r="I189" s="18" t="s">
        <v>329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8">
        <v>31</v>
      </c>
      <c r="AF189" s="19">
        <v>3100</v>
      </c>
      <c r="AG189" s="18">
        <v>0</v>
      </c>
      <c r="AH189" s="18">
        <v>0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  <c r="AY189" s="18">
        <v>0</v>
      </c>
      <c r="AZ189" s="18">
        <v>0</v>
      </c>
      <c r="BA189" s="18">
        <v>0</v>
      </c>
      <c r="BB189" s="18">
        <v>0</v>
      </c>
      <c r="BC189" s="18">
        <v>0</v>
      </c>
      <c r="BD189" s="18">
        <v>0</v>
      </c>
      <c r="BE189" s="18">
        <v>0</v>
      </c>
      <c r="BF189" s="18">
        <v>0</v>
      </c>
      <c r="BG189" s="18">
        <v>0</v>
      </c>
      <c r="BH189" s="18">
        <v>0</v>
      </c>
      <c r="BI189" s="18">
        <v>0</v>
      </c>
      <c r="BJ189" s="18">
        <v>0</v>
      </c>
      <c r="BK189" s="18">
        <v>0</v>
      </c>
      <c r="BL189" s="18">
        <v>0</v>
      </c>
      <c r="BM189" s="21">
        <v>3100</v>
      </c>
      <c r="BN189" s="14">
        <f t="shared" si="6"/>
        <v>3100</v>
      </c>
      <c r="BO189" s="14">
        <f t="shared" si="7"/>
        <v>2170</v>
      </c>
    </row>
    <row r="190" spans="1:67" ht="24" x14ac:dyDescent="0.3">
      <c r="A190" s="5" t="s">
        <v>238</v>
      </c>
      <c r="B190" s="16" t="s">
        <v>107</v>
      </c>
      <c r="C190" s="16">
        <v>448030</v>
      </c>
      <c r="D190" s="17"/>
      <c r="E190" s="16" t="s">
        <v>16</v>
      </c>
      <c r="F190" s="16" t="s">
        <v>108</v>
      </c>
      <c r="G190" s="16" t="s">
        <v>56</v>
      </c>
      <c r="H190" s="18" t="s">
        <v>8</v>
      </c>
      <c r="I190" s="18" t="s">
        <v>109</v>
      </c>
      <c r="J190" s="18">
        <v>0</v>
      </c>
      <c r="K190" s="18">
        <v>252</v>
      </c>
      <c r="L190" s="18">
        <v>0</v>
      </c>
      <c r="M190" s="18">
        <v>0</v>
      </c>
      <c r="N190" s="18">
        <v>0</v>
      </c>
      <c r="O190" s="18">
        <v>0</v>
      </c>
      <c r="P190" s="18">
        <v>0</v>
      </c>
      <c r="Q190" s="18">
        <v>0</v>
      </c>
      <c r="R190" s="18">
        <v>0</v>
      </c>
      <c r="S190" s="18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8">
        <v>0</v>
      </c>
      <c r="AB190" s="18">
        <v>0</v>
      </c>
      <c r="AC190" s="18">
        <v>0</v>
      </c>
      <c r="AD190" s="18">
        <v>0</v>
      </c>
      <c r="AE190" s="18">
        <v>21</v>
      </c>
      <c r="AF190" s="18">
        <v>0</v>
      </c>
      <c r="AG190" s="19">
        <v>2100</v>
      </c>
      <c r="AH190" s="18">
        <v>0</v>
      </c>
      <c r="AI190" s="18">
        <v>0</v>
      </c>
      <c r="AJ190" s="18">
        <v>0</v>
      </c>
      <c r="AK190" s="18">
        <v>0</v>
      </c>
      <c r="AL190" s="18">
        <v>0</v>
      </c>
      <c r="AM190" s="18">
        <v>0</v>
      </c>
      <c r="AN190" s="18">
        <v>0</v>
      </c>
      <c r="AO190" s="18">
        <v>0</v>
      </c>
      <c r="AP190" s="18">
        <v>0</v>
      </c>
      <c r="AQ190" s="18">
        <v>10</v>
      </c>
      <c r="AR190" s="19">
        <v>1000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  <c r="AY190" s="18">
        <v>0</v>
      </c>
      <c r="AZ190" s="18">
        <v>0</v>
      </c>
      <c r="BA190" s="18">
        <v>0</v>
      </c>
      <c r="BB190" s="18">
        <v>0</v>
      </c>
      <c r="BC190" s="18">
        <v>0</v>
      </c>
      <c r="BD190" s="18">
        <v>0</v>
      </c>
      <c r="BE190" s="18">
        <v>0</v>
      </c>
      <c r="BF190" s="18">
        <v>0</v>
      </c>
      <c r="BG190" s="18">
        <v>0</v>
      </c>
      <c r="BH190" s="18">
        <v>0</v>
      </c>
      <c r="BI190" s="18">
        <v>0</v>
      </c>
      <c r="BJ190" s="18">
        <v>0</v>
      </c>
      <c r="BK190" s="18">
        <v>0</v>
      </c>
      <c r="BL190" s="18">
        <v>0</v>
      </c>
      <c r="BM190" s="21">
        <v>3100</v>
      </c>
      <c r="BN190" s="14">
        <f t="shared" si="6"/>
        <v>3100</v>
      </c>
      <c r="BO190" s="14">
        <f t="shared" si="7"/>
        <v>2170</v>
      </c>
    </row>
    <row r="191" spans="1:67" ht="24" x14ac:dyDescent="0.3">
      <c r="A191" s="5" t="s">
        <v>238</v>
      </c>
      <c r="B191" s="16" t="s">
        <v>51</v>
      </c>
      <c r="C191" s="16">
        <v>361185</v>
      </c>
      <c r="D191" s="17"/>
      <c r="E191" s="16" t="s">
        <v>16</v>
      </c>
      <c r="F191" s="16" t="s">
        <v>52</v>
      </c>
      <c r="G191" s="16" t="s">
        <v>18</v>
      </c>
      <c r="H191" s="18" t="s">
        <v>7</v>
      </c>
      <c r="I191" s="18" t="s">
        <v>53</v>
      </c>
      <c r="J191" s="18">
        <v>0</v>
      </c>
      <c r="K191" s="18">
        <v>0</v>
      </c>
      <c r="L191" s="18">
        <v>0</v>
      </c>
      <c r="M191" s="18">
        <v>0</v>
      </c>
      <c r="N191" s="18">
        <v>0</v>
      </c>
      <c r="O191" s="18">
        <v>0</v>
      </c>
      <c r="P191" s="18">
        <v>0</v>
      </c>
      <c r="Q191" s="18">
        <v>0</v>
      </c>
      <c r="R191" s="18">
        <v>0</v>
      </c>
      <c r="S191" s="18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0</v>
      </c>
      <c r="Y191" s="18">
        <v>0</v>
      </c>
      <c r="Z191" s="18">
        <v>0</v>
      </c>
      <c r="AA191" s="18">
        <v>0</v>
      </c>
      <c r="AB191" s="18">
        <v>0</v>
      </c>
      <c r="AC191" s="18">
        <v>0</v>
      </c>
      <c r="AD191" s="18">
        <v>0</v>
      </c>
      <c r="AE191" s="18">
        <v>0</v>
      </c>
      <c r="AF191" s="18">
        <v>0</v>
      </c>
      <c r="AG191" s="18">
        <v>0</v>
      </c>
      <c r="AH191" s="18">
        <v>0</v>
      </c>
      <c r="AI191" s="18">
        <v>0</v>
      </c>
      <c r="AJ191" s="18">
        <v>0</v>
      </c>
      <c r="AK191" s="18">
        <v>18</v>
      </c>
      <c r="AL191" s="19">
        <v>2160</v>
      </c>
      <c r="AM191" s="18">
        <v>0</v>
      </c>
      <c r="AN191" s="18">
        <v>0</v>
      </c>
      <c r="AO191" s="18">
        <v>0</v>
      </c>
      <c r="AP191" s="18">
        <v>0</v>
      </c>
      <c r="AQ191" s="18">
        <v>0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  <c r="AY191" s="18">
        <v>0</v>
      </c>
      <c r="AZ191" s="18">
        <v>0</v>
      </c>
      <c r="BA191" s="18">
        <v>0</v>
      </c>
      <c r="BB191" s="18">
        <v>0</v>
      </c>
      <c r="BC191" s="18">
        <v>0</v>
      </c>
      <c r="BD191" s="18">
        <v>0</v>
      </c>
      <c r="BE191" s="18">
        <v>0</v>
      </c>
      <c r="BF191" s="18">
        <v>0</v>
      </c>
      <c r="BG191" s="18">
        <v>0</v>
      </c>
      <c r="BH191" s="18">
        <v>0</v>
      </c>
      <c r="BI191" s="18">
        <v>0</v>
      </c>
      <c r="BJ191" s="18">
        <v>0</v>
      </c>
      <c r="BK191" s="18">
        <v>0</v>
      </c>
      <c r="BL191" s="18">
        <v>648</v>
      </c>
      <c r="BM191" s="21">
        <v>2160</v>
      </c>
      <c r="BN191" s="14">
        <f t="shared" si="6"/>
        <v>1512</v>
      </c>
      <c r="BO191" s="14">
        <f t="shared" si="7"/>
        <v>1058.3999999999999</v>
      </c>
    </row>
    <row r="192" spans="1:67" ht="24" x14ac:dyDescent="0.3">
      <c r="A192" s="5" t="s">
        <v>238</v>
      </c>
      <c r="B192" s="16" t="s">
        <v>236</v>
      </c>
      <c r="C192" s="16">
        <v>445954</v>
      </c>
      <c r="D192" s="17"/>
      <c r="E192" s="16" t="s">
        <v>16</v>
      </c>
      <c r="F192" s="16" t="s">
        <v>108</v>
      </c>
      <c r="G192" s="16" t="s">
        <v>56</v>
      </c>
      <c r="H192" s="18" t="s">
        <v>8</v>
      </c>
      <c r="I192" s="18" t="s">
        <v>237</v>
      </c>
      <c r="J192" s="18">
        <v>0</v>
      </c>
      <c r="K192" s="18">
        <v>0</v>
      </c>
      <c r="L192" s="18">
        <v>0</v>
      </c>
      <c r="M192" s="18">
        <v>0</v>
      </c>
      <c r="N192" s="18">
        <v>0</v>
      </c>
      <c r="O192" s="18">
        <v>0</v>
      </c>
      <c r="P192" s="18">
        <v>0</v>
      </c>
      <c r="Q192" s="18">
        <v>0</v>
      </c>
      <c r="R192" s="18">
        <v>0</v>
      </c>
      <c r="S192" s="18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8">
        <v>0</v>
      </c>
      <c r="AB192" s="18">
        <v>0</v>
      </c>
      <c r="AC192" s="18">
        <v>0</v>
      </c>
      <c r="AD192" s="18">
        <v>0</v>
      </c>
      <c r="AE192" s="18">
        <v>11</v>
      </c>
      <c r="AF192" s="19">
        <v>1100</v>
      </c>
      <c r="AG192" s="18">
        <v>0</v>
      </c>
      <c r="AH192" s="18">
        <v>0</v>
      </c>
      <c r="AI192" s="18">
        <v>0</v>
      </c>
      <c r="AJ192" s="18">
        <v>0</v>
      </c>
      <c r="AK192" s="18">
        <v>9</v>
      </c>
      <c r="AL192" s="19">
        <v>1014</v>
      </c>
      <c r="AM192" s="18">
        <v>0</v>
      </c>
      <c r="AN192" s="18">
        <v>0</v>
      </c>
      <c r="AO192" s="18">
        <v>0</v>
      </c>
      <c r="AP192" s="18">
        <v>0</v>
      </c>
      <c r="AQ192" s="18">
        <v>0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  <c r="AY192" s="18">
        <v>0</v>
      </c>
      <c r="AZ192" s="18">
        <v>0</v>
      </c>
      <c r="BA192" s="18">
        <v>0</v>
      </c>
      <c r="BB192" s="18">
        <v>0</v>
      </c>
      <c r="BC192" s="18">
        <v>0</v>
      </c>
      <c r="BD192" s="18">
        <v>0</v>
      </c>
      <c r="BE192" s="18">
        <v>0</v>
      </c>
      <c r="BF192" s="18">
        <v>0</v>
      </c>
      <c r="BG192" s="18">
        <v>0</v>
      </c>
      <c r="BH192" s="18">
        <v>0</v>
      </c>
      <c r="BI192" s="18">
        <v>0</v>
      </c>
      <c r="BJ192" s="18">
        <v>0</v>
      </c>
      <c r="BK192" s="18">
        <v>0</v>
      </c>
      <c r="BL192" s="18">
        <v>304.2</v>
      </c>
      <c r="BM192" s="21">
        <v>2114</v>
      </c>
      <c r="BN192" s="14">
        <f t="shared" si="6"/>
        <v>1809.8</v>
      </c>
      <c r="BO192" s="14">
        <f t="shared" si="7"/>
        <v>1266.8599999999999</v>
      </c>
    </row>
    <row r="193" spans="1:67" ht="24" x14ac:dyDescent="0.3">
      <c r="A193" s="5" t="s">
        <v>238</v>
      </c>
      <c r="B193" s="16" t="s">
        <v>92</v>
      </c>
      <c r="C193" s="16">
        <v>465771</v>
      </c>
      <c r="D193" s="17"/>
      <c r="E193" s="16" t="s">
        <v>16</v>
      </c>
      <c r="F193" s="16" t="s">
        <v>93</v>
      </c>
      <c r="G193" s="16" t="s">
        <v>23</v>
      </c>
      <c r="H193" s="18" t="s">
        <v>10</v>
      </c>
      <c r="I193" s="18" t="s">
        <v>94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8">
        <v>0</v>
      </c>
      <c r="AE193" s="18">
        <v>0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1</v>
      </c>
      <c r="AR193" s="19">
        <v>2000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  <c r="AY193" s="18">
        <v>0</v>
      </c>
      <c r="AZ193" s="18">
        <v>0</v>
      </c>
      <c r="BA193" s="18">
        <v>0</v>
      </c>
      <c r="BB193" s="18">
        <v>0</v>
      </c>
      <c r="BC193" s="18">
        <v>0</v>
      </c>
      <c r="BD193" s="18">
        <v>0</v>
      </c>
      <c r="BE193" s="18">
        <v>0</v>
      </c>
      <c r="BF193" s="18">
        <v>0</v>
      </c>
      <c r="BG193" s="18">
        <v>0</v>
      </c>
      <c r="BH193" s="18">
        <v>0</v>
      </c>
      <c r="BI193" s="18">
        <v>0</v>
      </c>
      <c r="BJ193" s="18">
        <v>0</v>
      </c>
      <c r="BK193" s="18">
        <v>0</v>
      </c>
      <c r="BL193" s="18">
        <v>0</v>
      </c>
      <c r="BM193" s="21">
        <v>2000</v>
      </c>
      <c r="BN193" s="14">
        <f t="shared" si="6"/>
        <v>2000</v>
      </c>
      <c r="BO193" s="14">
        <f t="shared" si="7"/>
        <v>1400</v>
      </c>
    </row>
    <row r="194" spans="1:67" ht="24" x14ac:dyDescent="0.3">
      <c r="A194" s="5" t="s">
        <v>238</v>
      </c>
      <c r="B194" s="16" t="s">
        <v>232</v>
      </c>
      <c r="C194" s="16">
        <v>477489</v>
      </c>
      <c r="D194" s="17"/>
      <c r="E194" s="16" t="s">
        <v>16</v>
      </c>
      <c r="F194" s="16" t="s">
        <v>233</v>
      </c>
      <c r="G194" s="16" t="s">
        <v>23</v>
      </c>
      <c r="H194" s="18" t="s">
        <v>27</v>
      </c>
      <c r="I194" s="18" t="s">
        <v>221</v>
      </c>
      <c r="J194" s="18">
        <v>0</v>
      </c>
      <c r="K194" s="18">
        <v>0</v>
      </c>
      <c r="L194" s="18">
        <v>0</v>
      </c>
      <c r="M194" s="18">
        <v>0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8">
        <v>0</v>
      </c>
      <c r="AE194" s="18">
        <v>0</v>
      </c>
      <c r="AF194" s="18">
        <v>0</v>
      </c>
      <c r="AG194" s="18">
        <v>0</v>
      </c>
      <c r="AH194" s="18">
        <v>0</v>
      </c>
      <c r="AI194" s="18">
        <v>0</v>
      </c>
      <c r="AJ194" s="18">
        <v>0</v>
      </c>
      <c r="AK194" s="18">
        <v>1</v>
      </c>
      <c r="AL194" s="18">
        <v>0</v>
      </c>
      <c r="AM194" s="19">
        <v>2000</v>
      </c>
      <c r="AN194" s="18">
        <v>0</v>
      </c>
      <c r="AO194" s="18">
        <v>0</v>
      </c>
      <c r="AP194" s="18">
        <v>0</v>
      </c>
      <c r="AQ194" s="18">
        <v>0</v>
      </c>
      <c r="AR194" s="18">
        <v>0</v>
      </c>
      <c r="AS194" s="18">
        <v>0</v>
      </c>
      <c r="AT194" s="18">
        <v>0</v>
      </c>
      <c r="AU194" s="18">
        <v>0</v>
      </c>
      <c r="AV194" s="18">
        <v>0</v>
      </c>
      <c r="AW194" s="18">
        <v>0</v>
      </c>
      <c r="AX194" s="18">
        <v>0</v>
      </c>
      <c r="AY194" s="18">
        <v>0</v>
      </c>
      <c r="AZ194" s="18">
        <v>0</v>
      </c>
      <c r="BA194" s="18">
        <v>0</v>
      </c>
      <c r="BB194" s="18">
        <v>0</v>
      </c>
      <c r="BC194" s="18">
        <v>0</v>
      </c>
      <c r="BD194" s="18">
        <v>0</v>
      </c>
      <c r="BE194" s="18">
        <v>0</v>
      </c>
      <c r="BF194" s="18">
        <v>0</v>
      </c>
      <c r="BG194" s="18">
        <v>0</v>
      </c>
      <c r="BH194" s="18">
        <v>0</v>
      </c>
      <c r="BI194" s="18">
        <v>0</v>
      </c>
      <c r="BJ194" s="18">
        <v>0</v>
      </c>
      <c r="BK194" s="18">
        <v>0</v>
      </c>
      <c r="BL194" s="18">
        <v>0</v>
      </c>
      <c r="BM194" s="21">
        <v>2000</v>
      </c>
      <c r="BN194" s="14">
        <f t="shared" si="6"/>
        <v>2000</v>
      </c>
      <c r="BO194" s="14">
        <f t="shared" si="7"/>
        <v>1400</v>
      </c>
    </row>
    <row r="195" spans="1:67" ht="24" x14ac:dyDescent="0.3">
      <c r="A195" s="5" t="s">
        <v>238</v>
      </c>
      <c r="B195" s="16" t="s">
        <v>125</v>
      </c>
      <c r="C195" s="16">
        <v>356315</v>
      </c>
      <c r="D195" s="17"/>
      <c r="E195" s="16" t="s">
        <v>16</v>
      </c>
      <c r="F195" s="16" t="s">
        <v>30</v>
      </c>
      <c r="G195" s="16" t="s">
        <v>31</v>
      </c>
      <c r="H195" s="18" t="s">
        <v>8</v>
      </c>
      <c r="I195" s="18" t="s">
        <v>126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19</v>
      </c>
      <c r="AF195" s="19">
        <v>1900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  <c r="AY195" s="18">
        <v>0</v>
      </c>
      <c r="AZ195" s="18">
        <v>0</v>
      </c>
      <c r="BA195" s="18">
        <v>0</v>
      </c>
      <c r="BB195" s="18">
        <v>0</v>
      </c>
      <c r="BC195" s="18">
        <v>0</v>
      </c>
      <c r="BD195" s="18">
        <v>0</v>
      </c>
      <c r="BE195" s="18">
        <v>0</v>
      </c>
      <c r="BF195" s="18">
        <v>0</v>
      </c>
      <c r="BG195" s="18">
        <v>0</v>
      </c>
      <c r="BH195" s="18">
        <v>0</v>
      </c>
      <c r="BI195" s="18">
        <v>0</v>
      </c>
      <c r="BJ195" s="18">
        <v>0</v>
      </c>
      <c r="BK195" s="18">
        <v>0</v>
      </c>
      <c r="BL195" s="18">
        <v>0</v>
      </c>
      <c r="BM195" s="21">
        <v>1900</v>
      </c>
      <c r="BN195" s="14">
        <f t="shared" si="6"/>
        <v>1900</v>
      </c>
      <c r="BO195" s="14">
        <f t="shared" si="7"/>
        <v>1330</v>
      </c>
    </row>
    <row r="196" spans="1:67" ht="24" x14ac:dyDescent="0.3">
      <c r="A196" s="5" t="s">
        <v>238</v>
      </c>
      <c r="B196" s="16" t="s">
        <v>227</v>
      </c>
      <c r="C196" s="16">
        <v>443543</v>
      </c>
      <c r="D196" s="17"/>
      <c r="E196" s="16" t="s">
        <v>16</v>
      </c>
      <c r="F196" s="16" t="s">
        <v>44</v>
      </c>
      <c r="G196" s="16" t="s">
        <v>35</v>
      </c>
      <c r="H196" s="18" t="s">
        <v>8</v>
      </c>
      <c r="I196" s="18" t="s">
        <v>103</v>
      </c>
      <c r="J196" s="18">
        <v>0</v>
      </c>
      <c r="K196" s="18">
        <v>0</v>
      </c>
      <c r="L196" s="18">
        <v>0</v>
      </c>
      <c r="M196" s="18">
        <v>0</v>
      </c>
      <c r="N196" s="18">
        <v>0</v>
      </c>
      <c r="O196" s="18">
        <v>0</v>
      </c>
      <c r="P196" s="18">
        <v>0</v>
      </c>
      <c r="Q196" s="18">
        <v>0</v>
      </c>
      <c r="R196" s="18">
        <v>0</v>
      </c>
      <c r="S196" s="18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8">
        <v>0</v>
      </c>
      <c r="Z196" s="18">
        <v>0</v>
      </c>
      <c r="AA196" s="18">
        <v>0</v>
      </c>
      <c r="AB196" s="18">
        <v>0</v>
      </c>
      <c r="AC196" s="18">
        <v>0</v>
      </c>
      <c r="AD196" s="18">
        <v>0</v>
      </c>
      <c r="AE196" s="18">
        <v>17</v>
      </c>
      <c r="AF196" s="19">
        <v>1700</v>
      </c>
      <c r="AG196" s="18">
        <v>0</v>
      </c>
      <c r="AH196" s="18">
        <v>0</v>
      </c>
      <c r="AI196" s="18">
        <v>0</v>
      </c>
      <c r="AJ196" s="18">
        <v>0</v>
      </c>
      <c r="AK196" s="18">
        <v>0</v>
      </c>
      <c r="AL196" s="18">
        <v>0</v>
      </c>
      <c r="AM196" s="18">
        <v>0</v>
      </c>
      <c r="AN196" s="18">
        <v>0</v>
      </c>
      <c r="AO196" s="18">
        <v>0</v>
      </c>
      <c r="AP196" s="18">
        <v>0</v>
      </c>
      <c r="AQ196" s="18">
        <v>0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  <c r="AY196" s="18">
        <v>0</v>
      </c>
      <c r="AZ196" s="18">
        <v>0</v>
      </c>
      <c r="BA196" s="18">
        <v>0</v>
      </c>
      <c r="BB196" s="18">
        <v>0</v>
      </c>
      <c r="BC196" s="18">
        <v>0</v>
      </c>
      <c r="BD196" s="18">
        <v>0</v>
      </c>
      <c r="BE196" s="18">
        <v>0</v>
      </c>
      <c r="BF196" s="18">
        <v>0</v>
      </c>
      <c r="BG196" s="18">
        <v>0</v>
      </c>
      <c r="BH196" s="18">
        <v>0</v>
      </c>
      <c r="BI196" s="18">
        <v>0</v>
      </c>
      <c r="BJ196" s="18">
        <v>0</v>
      </c>
      <c r="BK196" s="18">
        <v>0</v>
      </c>
      <c r="BL196" s="18">
        <v>0</v>
      </c>
      <c r="BM196" s="21">
        <v>1700</v>
      </c>
      <c r="BN196" s="14">
        <f t="shared" si="6"/>
        <v>1700</v>
      </c>
      <c r="BO196" s="14">
        <f t="shared" si="7"/>
        <v>1190</v>
      </c>
    </row>
    <row r="197" spans="1:67" ht="24" x14ac:dyDescent="0.3">
      <c r="A197" s="5" t="s">
        <v>238</v>
      </c>
      <c r="B197" s="16" t="s">
        <v>119</v>
      </c>
      <c r="C197" s="16">
        <v>367415</v>
      </c>
      <c r="D197" s="17"/>
      <c r="E197" s="16" t="s">
        <v>16</v>
      </c>
      <c r="F197" s="16" t="s">
        <v>49</v>
      </c>
      <c r="G197" s="16" t="s">
        <v>18</v>
      </c>
      <c r="H197" s="18" t="s">
        <v>7</v>
      </c>
      <c r="I197" s="18" t="s">
        <v>120</v>
      </c>
      <c r="J197" s="18">
        <v>0</v>
      </c>
      <c r="K197" s="18">
        <v>0</v>
      </c>
      <c r="L197" s="18">
        <v>0</v>
      </c>
      <c r="M197" s="18">
        <v>0</v>
      </c>
      <c r="N197" s="18">
        <v>0</v>
      </c>
      <c r="O197" s="18">
        <v>0</v>
      </c>
      <c r="P197" s="18">
        <v>0</v>
      </c>
      <c r="Q197" s="18">
        <v>0</v>
      </c>
      <c r="R197" s="18">
        <v>0</v>
      </c>
      <c r="S197" s="18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8">
        <v>0</v>
      </c>
      <c r="Z197" s="18">
        <v>0</v>
      </c>
      <c r="AA197" s="18">
        <v>0</v>
      </c>
      <c r="AB197" s="18">
        <v>0</v>
      </c>
      <c r="AC197" s="18">
        <v>0</v>
      </c>
      <c r="AD197" s="18">
        <v>0</v>
      </c>
      <c r="AE197" s="18">
        <v>0</v>
      </c>
      <c r="AF197" s="18">
        <v>0</v>
      </c>
      <c r="AG197" s="18">
        <v>0</v>
      </c>
      <c r="AH197" s="18">
        <v>0</v>
      </c>
      <c r="AI197" s="18">
        <v>0</v>
      </c>
      <c r="AJ197" s="18">
        <v>0</v>
      </c>
      <c r="AK197" s="18">
        <v>0</v>
      </c>
      <c r="AL197" s="18">
        <v>0</v>
      </c>
      <c r="AM197" s="18">
        <v>0</v>
      </c>
      <c r="AN197" s="18">
        <v>0</v>
      </c>
      <c r="AO197" s="18">
        <v>0</v>
      </c>
      <c r="AP197" s="18">
        <v>0</v>
      </c>
      <c r="AQ197" s="18">
        <v>0</v>
      </c>
      <c r="AR197" s="18">
        <v>0</v>
      </c>
      <c r="AS197" s="18">
        <v>0</v>
      </c>
      <c r="AT197" s="18">
        <v>0</v>
      </c>
      <c r="AU197" s="18">
        <v>0</v>
      </c>
      <c r="AV197" s="18">
        <v>0</v>
      </c>
      <c r="AW197" s="18">
        <v>0</v>
      </c>
      <c r="AX197" s="18">
        <v>0</v>
      </c>
      <c r="AY197" s="18">
        <v>0</v>
      </c>
      <c r="AZ197" s="18">
        <v>0</v>
      </c>
      <c r="BA197" s="18">
        <v>0</v>
      </c>
      <c r="BB197" s="18">
        <v>0</v>
      </c>
      <c r="BC197" s="18">
        <v>7</v>
      </c>
      <c r="BD197" s="18">
        <v>840</v>
      </c>
      <c r="BE197" s="18">
        <v>0</v>
      </c>
      <c r="BF197" s="18">
        <v>0</v>
      </c>
      <c r="BG197" s="18">
        <v>0</v>
      </c>
      <c r="BH197" s="18">
        <v>0</v>
      </c>
      <c r="BI197" s="18">
        <v>0</v>
      </c>
      <c r="BJ197" s="18">
        <v>0</v>
      </c>
      <c r="BK197" s="18">
        <v>0</v>
      </c>
      <c r="BL197" s="18">
        <v>50.4</v>
      </c>
      <c r="BM197" s="22">
        <v>840</v>
      </c>
      <c r="BN197" s="14">
        <f t="shared" si="6"/>
        <v>789.6</v>
      </c>
      <c r="BO197" s="14">
        <f t="shared" si="7"/>
        <v>552.72</v>
      </c>
    </row>
    <row r="198" spans="1:67" ht="24" x14ac:dyDescent="0.3">
      <c r="A198" s="5" t="s">
        <v>238</v>
      </c>
      <c r="B198" s="16" t="s">
        <v>82</v>
      </c>
      <c r="C198" s="16">
        <v>455896</v>
      </c>
      <c r="D198" s="17"/>
      <c r="E198" s="16" t="s">
        <v>16</v>
      </c>
      <c r="F198" s="16" t="s">
        <v>17</v>
      </c>
      <c r="G198" s="16" t="s">
        <v>18</v>
      </c>
      <c r="H198" s="18" t="s">
        <v>7</v>
      </c>
      <c r="I198" s="18" t="s">
        <v>83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0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8">
        <v>0</v>
      </c>
      <c r="Z198" s="18">
        <v>0</v>
      </c>
      <c r="AA198" s="18">
        <v>0</v>
      </c>
      <c r="AB198" s="18">
        <v>0</v>
      </c>
      <c r="AC198" s="18">
        <v>0</v>
      </c>
      <c r="AD198" s="18">
        <v>0</v>
      </c>
      <c r="AE198" s="18">
        <v>0</v>
      </c>
      <c r="AF198" s="18">
        <v>0</v>
      </c>
      <c r="AG198" s="18">
        <v>0</v>
      </c>
      <c r="AH198" s="18">
        <v>0</v>
      </c>
      <c r="AI198" s="18">
        <v>0</v>
      </c>
      <c r="AJ198" s="18">
        <v>0</v>
      </c>
      <c r="AK198" s="18">
        <v>4</v>
      </c>
      <c r="AL198" s="18">
        <v>480</v>
      </c>
      <c r="AM198" s="18">
        <v>0</v>
      </c>
      <c r="AN198" s="18">
        <v>0</v>
      </c>
      <c r="AO198" s="18">
        <v>0</v>
      </c>
      <c r="AP198" s="18">
        <v>0</v>
      </c>
      <c r="AQ198" s="18">
        <v>3</v>
      </c>
      <c r="AR198" s="18">
        <v>300</v>
      </c>
      <c r="AS198" s="18">
        <v>0</v>
      </c>
      <c r="AT198" s="18">
        <v>0</v>
      </c>
      <c r="AU198" s="18">
        <v>0</v>
      </c>
      <c r="AV198" s="18">
        <v>0</v>
      </c>
      <c r="AW198" s="18">
        <v>0</v>
      </c>
      <c r="AX198" s="18">
        <v>0</v>
      </c>
      <c r="AY198" s="18">
        <v>0</v>
      </c>
      <c r="AZ198" s="18">
        <v>0</v>
      </c>
      <c r="BA198" s="18">
        <v>0</v>
      </c>
      <c r="BB198" s="18">
        <v>0</v>
      </c>
      <c r="BC198" s="18">
        <v>0</v>
      </c>
      <c r="BD198" s="18">
        <v>0</v>
      </c>
      <c r="BE198" s="18">
        <v>0</v>
      </c>
      <c r="BF198" s="18">
        <v>0</v>
      </c>
      <c r="BG198" s="18">
        <v>0</v>
      </c>
      <c r="BH198" s="18">
        <v>0</v>
      </c>
      <c r="BI198" s="18">
        <v>0</v>
      </c>
      <c r="BJ198" s="18">
        <v>0</v>
      </c>
      <c r="BK198" s="18">
        <v>0</v>
      </c>
      <c r="BL198" s="18">
        <v>144</v>
      </c>
      <c r="BM198" s="22">
        <v>780</v>
      </c>
      <c r="BN198" s="14">
        <f t="shared" si="6"/>
        <v>636</v>
      </c>
      <c r="BO198" s="14">
        <f t="shared" si="7"/>
        <v>445.2</v>
      </c>
    </row>
    <row r="199" spans="1:67" ht="24" x14ac:dyDescent="0.3">
      <c r="A199" s="5" t="s">
        <v>238</v>
      </c>
      <c r="B199" s="16" t="s">
        <v>37</v>
      </c>
      <c r="C199" s="16">
        <v>354950</v>
      </c>
      <c r="D199" s="17" t="s">
        <v>38</v>
      </c>
      <c r="E199" s="16" t="s">
        <v>16</v>
      </c>
      <c r="F199" s="16" t="s">
        <v>17</v>
      </c>
      <c r="G199" s="16" t="s">
        <v>18</v>
      </c>
      <c r="H199" s="18" t="s">
        <v>7</v>
      </c>
      <c r="I199" s="18" t="s">
        <v>39</v>
      </c>
      <c r="J199" s="18">
        <v>0</v>
      </c>
      <c r="K199" s="18">
        <v>0</v>
      </c>
      <c r="L199" s="18">
        <v>0</v>
      </c>
      <c r="M199" s="18">
        <v>0</v>
      </c>
      <c r="N199" s="18">
        <v>0</v>
      </c>
      <c r="O199" s="18">
        <v>0</v>
      </c>
      <c r="P199" s="18">
        <v>0</v>
      </c>
      <c r="Q199" s="18">
        <v>0</v>
      </c>
      <c r="R199" s="18">
        <v>0</v>
      </c>
      <c r="S199" s="18">
        <v>0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8">
        <v>0</v>
      </c>
      <c r="Z199" s="18">
        <v>0</v>
      </c>
      <c r="AA199" s="18">
        <v>0</v>
      </c>
      <c r="AB199" s="18">
        <v>0</v>
      </c>
      <c r="AC199" s="18">
        <v>0</v>
      </c>
      <c r="AD199" s="18">
        <v>0</v>
      </c>
      <c r="AE199" s="18">
        <v>6</v>
      </c>
      <c r="AF199" s="18">
        <v>600</v>
      </c>
      <c r="AG199" s="18">
        <v>0</v>
      </c>
      <c r="AH199" s="18">
        <v>0</v>
      </c>
      <c r="AI199" s="18">
        <v>0</v>
      </c>
      <c r="AJ199" s="18">
        <v>0</v>
      </c>
      <c r="AK199" s="18">
        <v>0</v>
      </c>
      <c r="AL199" s="18">
        <v>0</v>
      </c>
      <c r="AM199" s="18">
        <v>0</v>
      </c>
      <c r="AN199" s="18">
        <v>0</v>
      </c>
      <c r="AO199" s="18">
        <v>0</v>
      </c>
      <c r="AP199" s="18">
        <v>0</v>
      </c>
      <c r="AQ199" s="18">
        <v>0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  <c r="AY199" s="18">
        <v>0</v>
      </c>
      <c r="AZ199" s="18">
        <v>0</v>
      </c>
      <c r="BA199" s="18">
        <v>0</v>
      </c>
      <c r="BB199" s="18">
        <v>0</v>
      </c>
      <c r="BC199" s="18">
        <v>0</v>
      </c>
      <c r="BD199" s="18">
        <v>0</v>
      </c>
      <c r="BE199" s="18">
        <v>0</v>
      </c>
      <c r="BF199" s="18">
        <v>0</v>
      </c>
      <c r="BG199" s="18">
        <v>0</v>
      </c>
      <c r="BH199" s="18">
        <v>0</v>
      </c>
      <c r="BI199" s="18">
        <v>0</v>
      </c>
      <c r="BJ199" s="18">
        <v>0</v>
      </c>
      <c r="BK199" s="18">
        <v>0</v>
      </c>
      <c r="BL199" s="18">
        <v>0</v>
      </c>
      <c r="BM199" s="22">
        <v>600</v>
      </c>
      <c r="BN199" s="14">
        <f t="shared" ref="BN199:BN201" si="8">BM199-BL199</f>
        <v>600</v>
      </c>
      <c r="BO199" s="14">
        <f t="shared" ref="BO199:BO201" si="9">BN199*0.7</f>
        <v>420</v>
      </c>
    </row>
    <row r="200" spans="1:67" ht="24" x14ac:dyDescent="0.3">
      <c r="A200" s="5" t="s">
        <v>238</v>
      </c>
      <c r="B200" s="16" t="s">
        <v>257</v>
      </c>
      <c r="C200" s="16">
        <v>442342</v>
      </c>
      <c r="D200" s="17"/>
      <c r="E200" s="16" t="s">
        <v>16</v>
      </c>
      <c r="F200" s="16" t="s">
        <v>97</v>
      </c>
      <c r="G200" s="16" t="s">
        <v>69</v>
      </c>
      <c r="H200" s="18" t="s">
        <v>7</v>
      </c>
      <c r="I200" s="18" t="s">
        <v>98</v>
      </c>
      <c r="J200" s="18">
        <v>3</v>
      </c>
      <c r="K200" s="18">
        <v>0</v>
      </c>
      <c r="L200" s="18">
        <v>300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D200" s="18">
        <v>0</v>
      </c>
      <c r="AE200" s="18">
        <v>0</v>
      </c>
      <c r="AF200" s="18">
        <v>0</v>
      </c>
      <c r="AG200" s="18">
        <v>0</v>
      </c>
      <c r="AH200" s="18">
        <v>0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  <c r="AY200" s="18">
        <v>0</v>
      </c>
      <c r="AZ200" s="18">
        <v>0</v>
      </c>
      <c r="BA200" s="18">
        <v>0</v>
      </c>
      <c r="BB200" s="18">
        <v>0</v>
      </c>
      <c r="BC200" s="18">
        <v>0</v>
      </c>
      <c r="BD200" s="18">
        <v>0</v>
      </c>
      <c r="BE200" s="18">
        <v>0</v>
      </c>
      <c r="BF200" s="18">
        <v>0</v>
      </c>
      <c r="BG200" s="18">
        <v>0</v>
      </c>
      <c r="BH200" s="18">
        <v>0</v>
      </c>
      <c r="BI200" s="18">
        <v>0</v>
      </c>
      <c r="BJ200" s="18">
        <v>0</v>
      </c>
      <c r="BK200" s="18">
        <v>0</v>
      </c>
      <c r="BL200" s="18">
        <v>0</v>
      </c>
      <c r="BM200" s="22">
        <v>300</v>
      </c>
      <c r="BN200" s="14">
        <f t="shared" si="8"/>
        <v>300</v>
      </c>
      <c r="BO200" s="14">
        <f t="shared" si="9"/>
        <v>210</v>
      </c>
    </row>
    <row r="201" spans="1:67" ht="24" x14ac:dyDescent="0.3">
      <c r="A201" s="5" t="s">
        <v>238</v>
      </c>
      <c r="B201" s="16" t="s">
        <v>386</v>
      </c>
      <c r="C201" s="16">
        <v>379820</v>
      </c>
      <c r="D201" s="17"/>
      <c r="E201" s="16" t="s">
        <v>16</v>
      </c>
      <c r="F201" s="16" t="s">
        <v>154</v>
      </c>
      <c r="G201" s="16" t="s">
        <v>31</v>
      </c>
      <c r="H201" s="18" t="s">
        <v>8</v>
      </c>
      <c r="I201" s="18" t="s">
        <v>387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8">
        <v>0</v>
      </c>
      <c r="AH201" s="18">
        <v>0</v>
      </c>
      <c r="AI201" s="18">
        <v>0</v>
      </c>
      <c r="AJ201" s="18">
        <v>0</v>
      </c>
      <c r="AK201" s="18">
        <v>1</v>
      </c>
      <c r="AL201" s="18">
        <v>0</v>
      </c>
      <c r="AM201" s="18">
        <v>100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  <c r="AY201" s="18">
        <v>0</v>
      </c>
      <c r="AZ201" s="18">
        <v>0</v>
      </c>
      <c r="BA201" s="18">
        <v>0</v>
      </c>
      <c r="BB201" s="18">
        <v>0</v>
      </c>
      <c r="BC201" s="18">
        <v>0</v>
      </c>
      <c r="BD201" s="18">
        <v>0</v>
      </c>
      <c r="BE201" s="18">
        <v>0</v>
      </c>
      <c r="BF201" s="18">
        <v>0</v>
      </c>
      <c r="BG201" s="18">
        <v>0</v>
      </c>
      <c r="BH201" s="18">
        <v>0</v>
      </c>
      <c r="BI201" s="18">
        <v>0</v>
      </c>
      <c r="BJ201" s="18">
        <v>0</v>
      </c>
      <c r="BK201" s="18">
        <v>0</v>
      </c>
      <c r="BL201" s="18">
        <v>0</v>
      </c>
      <c r="BM201" s="22">
        <v>100</v>
      </c>
      <c r="BN201" s="14">
        <f t="shared" si="8"/>
        <v>100</v>
      </c>
      <c r="BO201" s="14">
        <f t="shared" si="9"/>
        <v>70</v>
      </c>
    </row>
    <row r="202" spans="1:67" x14ac:dyDescent="0.3">
      <c r="A202" s="5"/>
      <c r="B202" s="5"/>
      <c r="C202" s="5"/>
      <c r="D202" s="6"/>
      <c r="E202" s="5"/>
      <c r="F202" s="5"/>
      <c r="G202" s="5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8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9"/>
      <c r="BO202" s="15">
        <f>SUM(BO2:BO201)</f>
        <v>4632668.6700000009</v>
      </c>
    </row>
    <row r="203" spans="1:67" x14ac:dyDescent="0.3">
      <c r="A203" s="5"/>
      <c r="B203" s="5"/>
      <c r="C203" s="5"/>
      <c r="D203" s="6"/>
      <c r="E203" s="5"/>
      <c r="F203" s="5"/>
      <c r="G203" s="5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8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9"/>
    </row>
    <row r="204" spans="1:67" x14ac:dyDescent="0.3">
      <c r="A204" s="5"/>
      <c r="B204" s="5"/>
      <c r="C204" s="5"/>
      <c r="D204" s="6"/>
      <c r="E204" s="5"/>
      <c r="F204" s="5"/>
      <c r="G204" s="5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8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9"/>
    </row>
    <row r="205" spans="1:67" x14ac:dyDescent="0.3">
      <c r="A205" s="5"/>
      <c r="B205" s="5"/>
      <c r="C205" s="5"/>
      <c r="D205" s="6"/>
      <c r="E205" s="5"/>
      <c r="F205" s="5"/>
      <c r="G205" s="5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8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9"/>
    </row>
    <row r="206" spans="1:67" x14ac:dyDescent="0.3">
      <c r="A206" s="5"/>
      <c r="B206" s="5"/>
      <c r="C206" s="5"/>
      <c r="D206" s="6"/>
      <c r="E206" s="5"/>
      <c r="F206" s="5"/>
      <c r="G206" s="5"/>
      <c r="H206" s="7"/>
      <c r="I206" s="7"/>
      <c r="J206" s="7"/>
      <c r="K206" s="7"/>
      <c r="L206" s="8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9"/>
    </row>
    <row r="207" spans="1:67" x14ac:dyDescent="0.3">
      <c r="A207" s="5"/>
      <c r="B207" s="5"/>
      <c r="C207" s="5"/>
      <c r="D207" s="6"/>
      <c r="E207" s="5"/>
      <c r="F207" s="5"/>
      <c r="G207" s="5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8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9"/>
    </row>
    <row r="208" spans="1:67" x14ac:dyDescent="0.3">
      <c r="A208" s="5"/>
      <c r="B208" s="5"/>
      <c r="C208" s="5"/>
      <c r="D208" s="6"/>
      <c r="E208" s="5"/>
      <c r="F208" s="5"/>
      <c r="G208" s="5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9"/>
    </row>
    <row r="209" spans="1:65" x14ac:dyDescent="0.3">
      <c r="A209" s="5"/>
      <c r="B209" s="5"/>
      <c r="C209" s="5"/>
      <c r="D209" s="6"/>
      <c r="E209" s="5"/>
      <c r="F209" s="5"/>
      <c r="G209" s="5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8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9"/>
    </row>
    <row r="210" spans="1:65" x14ac:dyDescent="0.3">
      <c r="A210" s="5"/>
      <c r="B210" s="5"/>
      <c r="C210" s="5"/>
      <c r="D210" s="6"/>
      <c r="E210" s="5"/>
      <c r="F210" s="5"/>
      <c r="G210" s="5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8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9"/>
    </row>
    <row r="211" spans="1:65" x14ac:dyDescent="0.3">
      <c r="A211" s="5"/>
      <c r="B211" s="5"/>
      <c r="C211" s="5"/>
      <c r="D211" s="6"/>
      <c r="E211" s="5"/>
      <c r="F211" s="5"/>
      <c r="G211" s="5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8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9"/>
    </row>
    <row r="212" spans="1:65" x14ac:dyDescent="0.3">
      <c r="A212" s="5"/>
      <c r="B212" s="5"/>
      <c r="C212" s="5"/>
      <c r="D212" s="6"/>
      <c r="E212" s="5"/>
      <c r="F212" s="5"/>
      <c r="G212" s="5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10"/>
    </row>
    <row r="213" spans="1:65" x14ac:dyDescent="0.3">
      <c r="A213" s="5"/>
      <c r="B213" s="5"/>
      <c r="C213" s="5"/>
      <c r="D213" s="6"/>
      <c r="E213" s="5"/>
      <c r="F213" s="5"/>
      <c r="G213" s="5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10"/>
    </row>
    <row r="214" spans="1:65" x14ac:dyDescent="0.3">
      <c r="A214" s="5"/>
      <c r="B214" s="5"/>
      <c r="C214" s="5"/>
      <c r="D214" s="6"/>
      <c r="E214" s="5"/>
      <c r="F214" s="5"/>
      <c r="G214" s="5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10"/>
    </row>
    <row r="215" spans="1:65" x14ac:dyDescent="0.3">
      <c r="A215" s="5"/>
      <c r="B215" s="5"/>
      <c r="C215" s="5"/>
      <c r="D215" s="6"/>
      <c r="E215" s="5"/>
      <c r="F215" s="5"/>
      <c r="G215" s="5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10"/>
    </row>
    <row r="216" spans="1:65" x14ac:dyDescent="0.3">
      <c r="A216" s="5"/>
      <c r="B216" s="5"/>
      <c r="C216" s="5"/>
      <c r="D216" s="6"/>
      <c r="E216" s="5"/>
      <c r="F216" s="5"/>
      <c r="G216" s="5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10"/>
    </row>
    <row r="217" spans="1:65" x14ac:dyDescent="0.3">
      <c r="A217" s="5"/>
      <c r="B217" s="5"/>
      <c r="C217" s="5"/>
      <c r="D217" s="6"/>
      <c r="E217" s="5"/>
      <c r="F217" s="5"/>
      <c r="G217" s="5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10"/>
    </row>
    <row r="218" spans="1:65" x14ac:dyDescent="0.3">
      <c r="A218" s="5"/>
      <c r="B218" s="5"/>
      <c r="C218" s="5"/>
      <c r="D218" s="6"/>
      <c r="E218" s="5"/>
      <c r="F218" s="5"/>
      <c r="G218" s="5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10"/>
    </row>
    <row r="219" spans="1:65" x14ac:dyDescent="0.3">
      <c r="A219" s="5"/>
      <c r="B219" s="5"/>
      <c r="C219" s="5"/>
      <c r="D219" s="6"/>
      <c r="E219" s="5"/>
      <c r="F219" s="5"/>
      <c r="G219" s="5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10"/>
    </row>
    <row r="220" spans="1:65" x14ac:dyDescent="0.3">
      <c r="A220" s="5"/>
      <c r="B220" s="5"/>
      <c r="C220" s="5"/>
      <c r="D220" s="6"/>
      <c r="E220" s="5"/>
      <c r="F220" s="5"/>
      <c r="G220" s="5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10"/>
    </row>
    <row r="221" spans="1:65" x14ac:dyDescent="0.3">
      <c r="A221" s="5"/>
      <c r="B221" s="5"/>
      <c r="C221" s="5"/>
      <c r="D221" s="6"/>
      <c r="E221" s="5"/>
      <c r="F221" s="5"/>
      <c r="G221" s="5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10"/>
    </row>
    <row r="222" spans="1:65" x14ac:dyDescent="0.3">
      <c r="A222" s="5"/>
      <c r="B222" s="5"/>
      <c r="C222" s="5"/>
      <c r="D222" s="6"/>
      <c r="E222" s="5"/>
      <c r="F222" s="5"/>
      <c r="G222" s="5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10"/>
    </row>
    <row r="223" spans="1:65" x14ac:dyDescent="0.3">
      <c r="A223" s="5"/>
      <c r="B223" s="5"/>
      <c r="C223" s="5"/>
      <c r="D223" s="6"/>
      <c r="E223" s="5"/>
      <c r="F223" s="5"/>
      <c r="G223" s="5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10"/>
    </row>
    <row r="224" spans="1:65" x14ac:dyDescent="0.3">
      <c r="A224" s="5"/>
      <c r="B224" s="5"/>
      <c r="C224" s="5"/>
      <c r="D224" s="6"/>
      <c r="E224" s="5"/>
      <c r="F224" s="5"/>
      <c r="G224" s="5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10"/>
    </row>
    <row r="225" spans="1:65" x14ac:dyDescent="0.3">
      <c r="A225" s="5"/>
      <c r="B225" s="5"/>
      <c r="C225" s="5"/>
      <c r="D225" s="6"/>
      <c r="E225" s="5"/>
      <c r="F225" s="5"/>
      <c r="G225" s="5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10"/>
    </row>
    <row r="226" spans="1:65" x14ac:dyDescent="0.3">
      <c r="A226" s="5"/>
      <c r="B226" s="5"/>
      <c r="C226" s="5"/>
      <c r="D226" s="6"/>
      <c r="E226" s="5"/>
      <c r="F226" s="5"/>
      <c r="G226" s="5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10"/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2022-12-02T06:09:33Z</dcterms:modified>
</cp:coreProperties>
</file>