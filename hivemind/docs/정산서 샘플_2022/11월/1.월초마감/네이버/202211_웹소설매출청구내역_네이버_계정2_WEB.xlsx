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2" r:id="rId1"/>
  </sheets>
  <definedNames>
    <definedName name="_xlnm._FilterDatabase" localSheetId="0" hidden="1">'합계(11)'!$A$1:$BQ$42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O181" i="412" l="1"/>
  <c r="BN180" i="412" l="1"/>
  <c r="BO180" i="412" s="1"/>
  <c r="BN179" i="412"/>
  <c r="BO179" i="412" s="1"/>
  <c r="BN178" i="412"/>
  <c r="BO178" i="412" s="1"/>
  <c r="BN177" i="412"/>
  <c r="BO177" i="412" s="1"/>
  <c r="BN176" i="412"/>
  <c r="BO176" i="412" s="1"/>
  <c r="BN175" i="412"/>
  <c r="BO175" i="412" s="1"/>
  <c r="BN174" i="412"/>
  <c r="BO174" i="412" s="1"/>
  <c r="BN173" i="412"/>
  <c r="BO173" i="412" s="1"/>
  <c r="BN172" i="412"/>
  <c r="BO172" i="412" s="1"/>
  <c r="BN171" i="412"/>
  <c r="BO171" i="412" s="1"/>
  <c r="BN170" i="412"/>
  <c r="BO170" i="412" s="1"/>
  <c r="BN131" i="412" l="1"/>
  <c r="BO131" i="412" s="1"/>
  <c r="BN132" i="412"/>
  <c r="BO132" i="412" s="1"/>
  <c r="BN133" i="412"/>
  <c r="BO133" i="412" s="1"/>
  <c r="BN134" i="412"/>
  <c r="BO134" i="412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43" i="412" l="1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" i="412"/>
  <c r="BO2" i="412" l="1"/>
</calcChain>
</file>

<file path=xl/sharedStrings.xml><?xml version="1.0" encoding="utf-8"?>
<sst xmlns="http://schemas.openxmlformats.org/spreadsheetml/2006/main" count="1322" uniqueCount="324">
  <si>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</si>
  <si>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</si>
  <si>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</si>
  <si>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</si>
  <si>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</si>
  <si>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</si>
  <si>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</si>
  <si>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</si>
  <si>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</si>
  <si>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</si>
  <si>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</si>
  <si>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</si>
  <si>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</si>
  <si>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합계</t>
  </si>
  <si>
    <t>앱마켓수수료</t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</si>
  <si>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</si>
  <si>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</si>
  <si>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</si>
  <si>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</si>
  <si>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</si>
  <si>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</si>
  <si>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</si>
  <si>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바나바다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</si>
  <si>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</si>
  <si>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</si>
  <si>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</si>
  <si>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</si>
  <si>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</si>
  <si>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</si>
  <si>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</si>
  <si>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</si>
  <si>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</si>
  <si>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</si>
  <si>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</si>
  <si>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</si>
  <si>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</si>
  <si>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</si>
  <si>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</si>
  <si>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</si>
  <si>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</si>
  <si>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</si>
  <si>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</si>
  <si>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</si>
  <si>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</si>
  <si>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</si>
  <si>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</si>
  <si>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밈스</t>
  </si>
  <si>
    <t>BJ소드마스터 [독점]</t>
  </si>
  <si>
    <t>이동열</t>
  </si>
  <si>
    <t>2020.07.24</t>
  </si>
  <si>
    <t>위험한 신혼부부 [독점]</t>
  </si>
  <si>
    <t>박수정(방울마마)</t>
  </si>
  <si>
    <t>2016.07.20</t>
  </si>
  <si>
    <t>구유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</si>
  <si>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</si>
  <si>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</si>
  <si>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</si>
  <si>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</si>
  <si>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</si>
  <si>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</si>
  <si>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2020.01.31</t>
  </si>
  <si>
    <t>빵양이</t>
  </si>
  <si>
    <t>2022.01.27</t>
  </si>
  <si>
    <t>스내치</t>
  </si>
  <si>
    <t>19세 이상 이용가능</t>
  </si>
  <si>
    <t>N스토어(MW)</t>
    <phoneticPr fontId="20" type="noConversion"/>
  </si>
  <si>
    <t>이혼 후 로또 1등 감독님</t>
  </si>
  <si>
    <t>로드 오브 머니 [단행본]</t>
  </si>
  <si>
    <t>2019.08.05</t>
  </si>
  <si>
    <t>슈퍼스타의 비밀 어플</t>
  </si>
  <si>
    <t>2022.03.11</t>
  </si>
  <si>
    <t>N스토어(PC)</t>
    <phoneticPr fontId="20" type="noConversion"/>
  </si>
  <si>
    <t>2022.07.20</t>
  </si>
  <si>
    <t>최종 보스 : 빛을 향해 달리는 그림자 [단행본]</t>
  </si>
  <si>
    <t>2022.08.02</t>
  </si>
  <si>
    <t>도폐풍운록 [단행본]</t>
  </si>
  <si>
    <t>블레슈(Blesshuu)</t>
  </si>
  <si>
    <t>모르는 남자와 결혼했다</t>
  </si>
  <si>
    <t>정요화</t>
  </si>
  <si>
    <t>부도덕한 재회</t>
  </si>
  <si>
    <t>이리안</t>
  </si>
  <si>
    <t>2022.07.27</t>
  </si>
  <si>
    <t>PC 뷰어(PC)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</si>
  <si>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</si>
  <si>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</si>
  <si>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</si>
  <si>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</si>
  <si>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</si>
  <si>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</si>
  <si>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</si>
  <si>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</si>
  <si>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</si>
  <si>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</si>
  <si>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</si>
  <si>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</si>
  <si>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</si>
  <si>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</si>
  <si>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</si>
  <si>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</si>
  <si>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</si>
  <si>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</si>
  <si>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</si>
  <si>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</si>
  <si>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</si>
  <si>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</si>
  <si>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</si>
  <si>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</si>
  <si>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</si>
  <si>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</si>
  <si>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</si>
  <si>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</si>
  <si>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</si>
  <si>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</si>
  <si>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</si>
  <si>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</si>
  <si>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</si>
  <si>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</si>
  <si>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</si>
  <si>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</si>
  <si>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</si>
  <si>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</si>
  <si>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</si>
  <si>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</si>
  <si>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</si>
  <si>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</si>
  <si>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</si>
  <si>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</si>
  <si>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</si>
  <si>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</si>
  <si>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</si>
  <si>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</si>
  <si>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</si>
  <si>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</si>
  <si>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</si>
  <si>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</si>
  <si>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</si>
  <si>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</si>
  <si>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</si>
  <si>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</si>
  <si>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</si>
  <si>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갓 오브 블랙필드 [개정판][단행본]</t>
  </si>
  <si>
    <t>2020.06.24</t>
  </si>
  <si>
    <t>2022.08.22</t>
  </si>
  <si>
    <t>지금, 덮치러 갑니다</t>
  </si>
  <si>
    <t>먼나무</t>
  </si>
  <si>
    <t>2022.08.12</t>
  </si>
  <si>
    <t>함선으로 귀환해서 이세계 최강 [독점]</t>
  </si>
  <si>
    <t>밥앤라면</t>
  </si>
  <si>
    <t>mollen</t>
  </si>
  <si>
    <t>SSS급 마왕의 귀환</t>
  </si>
  <si>
    <t>2019.06.14</t>
  </si>
  <si>
    <t>던전 공략 LIVE</t>
  </si>
  <si>
    <t>2018.06.20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</si>
  <si>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</si>
  <si>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</si>
  <si>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2022.09.05</t>
  </si>
  <si>
    <t>망나니 [단행본]</t>
  </si>
  <si>
    <t>마뇽</t>
  </si>
  <si>
    <t>2022.09.13</t>
  </si>
  <si>
    <t>아내 구속 [독점]</t>
  </si>
  <si>
    <t>상태창빨로 천재 재벌</t>
  </si>
  <si>
    <t>리얼탄산</t>
  </si>
  <si>
    <t>막상막하 [BL]</t>
  </si>
  <si>
    <t>2022.09.23</t>
  </si>
  <si>
    <t>욕과 정이 깨어날 때</t>
  </si>
  <si>
    <t>김너울</t>
  </si>
  <si>
    <t>2019.12.27</t>
  </si>
  <si>
    <t>천하제일인은 딸바보 [독점]</t>
  </si>
  <si>
    <t>해비베어</t>
  </si>
  <si>
    <t>2022.09.30</t>
  </si>
  <si>
    <t>야쿠자가 사랑을 한다면 2 [개정판][BL][단행본]</t>
  </si>
  <si>
    <t>2022.01.28</t>
  </si>
  <si>
    <t>羽宸寰(Uchenhu), 林珮瑜(Lin Peiyu)</t>
  </si>
  <si>
    <t>블 루 스 카 이</t>
  </si>
  <si>
    <t>2020.09.28</t>
  </si>
  <si>
    <t>내 이름을 불러 [BL][단행본]</t>
  </si>
  <si>
    <t>2022.10.21</t>
  </si>
  <si>
    <t>2022.11.01</t>
  </si>
  <si>
    <t>친구의 고백 [단행본]</t>
  </si>
  <si>
    <t>뜨거운 항해 [단행본]</t>
  </si>
  <si>
    <t>너에게 닿는 순간 [외전증보판][단행본]</t>
  </si>
  <si>
    <t>에피</t>
  </si>
  <si>
    <t>상간녀에게 빙의되었습니다</t>
  </si>
  <si>
    <t>엘비디</t>
  </si>
  <si>
    <t>오빠는 말이야 [단행본]</t>
  </si>
  <si>
    <t>고은영</t>
  </si>
  <si>
    <t>2022.10.26</t>
  </si>
  <si>
    <t>찬란한 덫 [외전증보판][단행본]</t>
  </si>
  <si>
    <t>전여린</t>
  </si>
  <si>
    <t>아빠는 마교대장</t>
  </si>
  <si>
    <t>구땡</t>
  </si>
  <si>
    <t>2022.10.07</t>
  </si>
  <si>
    <t>야한 남자 vs 야한 여자 [단행본]</t>
  </si>
  <si>
    <t>내 이름을 불러 외전 [BL][단행본]</t>
  </si>
  <si>
    <t>주이서</t>
  </si>
  <si>
    <t>올마스터가 된 비전서고 [독점]</t>
  </si>
  <si>
    <t>글면증</t>
  </si>
  <si>
    <t>2021.11.18</t>
  </si>
  <si>
    <t>구애</t>
  </si>
  <si>
    <t>2022.07.04</t>
  </si>
  <si>
    <t>문스톤</t>
  </si>
  <si>
    <t>형사의 게임</t>
  </si>
  <si>
    <t>2017.04.11</t>
  </si>
  <si>
    <t>화산검제 [은천검제 2부 연재]</t>
  </si>
  <si>
    <t>2020.03.24</t>
  </si>
  <si>
    <t>검사님 출세하신다!</t>
  </si>
  <si>
    <t>2019.11.20</t>
  </si>
  <si>
    <t>2021.01.04</t>
  </si>
  <si>
    <t>천재 배우의 다이어리 [단행본]</t>
  </si>
  <si>
    <t>2022.10.24</t>
  </si>
  <si>
    <t>사랑도 없이 결혼</t>
  </si>
  <si>
    <t>트리거 [외전증보판][BL][단행본]</t>
  </si>
  <si>
    <t>환영합니다 마이클 본부장님 [BL][단행본]</t>
  </si>
  <si>
    <t>퍼리딩딩</t>
  </si>
  <si>
    <t>월급 주는 남편 [단행본]</t>
  </si>
  <si>
    <t>빨강뽀뽀</t>
  </si>
  <si>
    <t>야한 남자 vs 야한 여자 외전 [단행본]</t>
  </si>
  <si>
    <t>로맨틱 크러시 [BL][단행본]</t>
  </si>
  <si>
    <t>망나니개</t>
  </si>
  <si>
    <t>2022.10.27</t>
  </si>
  <si>
    <t>위층 아이 아빠 [BL][단행본]</t>
  </si>
  <si>
    <t>환영합니다 마이클 본부장님 외전 [BL][단행본]</t>
  </si>
  <si>
    <t>뜨거운 항해 외전 [단행본]</t>
  </si>
  <si>
    <t>야쿠자가 사랑을 한다면 외전 [개정판][BL][단행본]</t>
  </si>
  <si>
    <t>BitterSweet</t>
  </si>
  <si>
    <t>위층 아이 아빠 외전 [BL][단행본]</t>
  </si>
  <si>
    <t>영원한 1위 &amp; 2위의 역습 [BL]</t>
  </si>
  <si>
    <t>2022.05.19</t>
  </si>
  <si>
    <t>로맨틱 크러시 외전 [BL][단행본]</t>
  </si>
  <si>
    <t>온서</t>
  </si>
  <si>
    <t>N스토어(MW)</t>
    <phoneticPr fontId="20" type="noConversion"/>
  </si>
  <si>
    <t>N스토어(MW)</t>
    <phoneticPr fontId="20" type="noConversion"/>
  </si>
  <si>
    <t>2022.12.02</t>
  </si>
  <si>
    <t>전남편의 놀잇감 [단행본]</t>
  </si>
  <si>
    <t>2022.11.07</t>
  </si>
  <si>
    <t>악연의 고리 [BL][단행본]</t>
  </si>
  <si>
    <t>설봄향</t>
  </si>
  <si>
    <t>앰퍼샌드B</t>
  </si>
  <si>
    <t>2022.11.03</t>
  </si>
  <si>
    <t>내가 진짜인 줄 알았는데 [외전 선공개]</t>
  </si>
  <si>
    <t>매드럼</t>
  </si>
  <si>
    <t>너는 내 숨결이니까 [단행본]</t>
  </si>
  <si>
    <t>2021.04.09</t>
  </si>
  <si>
    <t>상태창빨로 천재 재벌 [단행본]</t>
  </si>
  <si>
    <t>선유문주 [단행본]</t>
  </si>
  <si>
    <t>악당의 죽은 자식 [독점]</t>
  </si>
  <si>
    <t>탄E</t>
  </si>
  <si>
    <t>지극히 신사적인 [외전 선공개]</t>
  </si>
  <si>
    <t>아이리스</t>
  </si>
  <si>
    <t>덫에 걸린 결혼</t>
  </si>
  <si>
    <t>한채린</t>
  </si>
  <si>
    <t>2022.11.11</t>
  </si>
  <si>
    <t>그라운드의 지배자</t>
  </si>
  <si>
    <t>2016.05.30</t>
  </si>
  <si>
    <t>네가 뭔데 그러세요 [BL]</t>
  </si>
  <si>
    <t>2021.01.13</t>
  </si>
  <si>
    <t>친절하기는 얼어 죽을</t>
  </si>
  <si>
    <t>솜목화</t>
  </si>
  <si>
    <t>너는 내 숨결이니까</t>
  </si>
  <si>
    <t>2022.11.04</t>
  </si>
  <si>
    <t>문답무용 - 삼국지 유비의 모사가 되었다</t>
  </si>
  <si>
    <t>청빙</t>
  </si>
  <si>
    <t>2021.02.24</t>
  </si>
  <si>
    <t>다정할수록 불순한 [외전 선공개]</t>
  </si>
  <si>
    <t>은지유</t>
  </si>
  <si>
    <t>2022.04.04</t>
  </si>
  <si>
    <t>간신이 나라를 살림</t>
  </si>
  <si>
    <t>루이세</t>
  </si>
  <si>
    <t>2020.01.22</t>
  </si>
  <si>
    <t>호랑이 신을 길들여 버렸다</t>
  </si>
  <si>
    <t>부엉이콩</t>
  </si>
  <si>
    <t>2021.11.19</t>
  </si>
  <si>
    <t>칵테일로 레벨업 [독점]</t>
  </si>
  <si>
    <t>서강후</t>
  </si>
  <si>
    <t>2021.11.01</t>
  </si>
  <si>
    <t>위대한 가문의 망나니가 되다 [독점]</t>
  </si>
  <si>
    <t>2022.04.17</t>
  </si>
  <si>
    <t>기사가문 망나니는 10클래스</t>
  </si>
  <si>
    <t>예로나</t>
  </si>
  <si>
    <t>2020.03.11</t>
  </si>
  <si>
    <t>2022.11.29</t>
  </si>
  <si>
    <t>어쩌다 계약 아내 [단행본]</t>
  </si>
  <si>
    <t>2021.09.17</t>
  </si>
  <si>
    <t>돌아온 막내 영애님을 조심하세요</t>
  </si>
  <si>
    <t>윈델</t>
  </si>
  <si>
    <t>2022.05.13</t>
  </si>
  <si>
    <t>나 혼자만 일일 보상</t>
  </si>
  <si>
    <t>2018.12.20</t>
  </si>
  <si>
    <t>선유문주</t>
  </si>
  <si>
    <t>사랑, 흘러간다 [BL]</t>
  </si>
  <si>
    <t>2019.04.01</t>
  </si>
  <si>
    <t>그 알파 내 오메가 만들기 [개정판][BL][단행본]</t>
  </si>
  <si>
    <t>2018.10.30</t>
  </si>
  <si>
    <t>컬러 러쉬 [BL][단행본]</t>
  </si>
  <si>
    <t>세상</t>
  </si>
  <si>
    <t>2021.04.13</t>
  </si>
  <si>
    <t>완벽한 계략 남편 [단행본]</t>
  </si>
  <si>
    <t>숨결을 삼키다 [외전증보판][단행본]</t>
  </si>
  <si>
    <t>2021.05.12</t>
  </si>
  <si>
    <t>독한 것이 나타났다 [BL][단행본]</t>
  </si>
  <si>
    <t>2020.05.07</t>
  </si>
  <si>
    <t>SOTUS [BL][단행본]</t>
  </si>
  <si>
    <t>완벽한 계략 남편 외전 [단행본]</t>
  </si>
  <si>
    <t>썸원(Someone) [단행본]</t>
  </si>
  <si>
    <t>2020.11.23</t>
  </si>
  <si>
    <t>쉿, 그놈을 부탁해 [단행본]</t>
  </si>
  <si>
    <t>2021.08.19</t>
  </si>
  <si>
    <t>너는 내 숨결이니까 외전 [단행본]</t>
  </si>
  <si>
    <t>대표님께 매우 진심인 편 [단행본]</t>
  </si>
  <si>
    <t>블루문</t>
  </si>
  <si>
    <t>Only you [BL][단행본]</t>
  </si>
  <si>
    <t>2021.09.09</t>
  </si>
  <si>
    <t>임신부터 할까요?</t>
  </si>
  <si>
    <t>2021.03.26</t>
  </si>
  <si>
    <t>아프오 안 아프오 나는 [BL]</t>
  </si>
  <si>
    <t>컬러 러쉬 [BL]</t>
  </si>
  <si>
    <t>2021.04.07</t>
  </si>
  <si>
    <t>라지에르의 서</t>
  </si>
  <si>
    <t>공든탑</t>
  </si>
  <si>
    <t>2017.07.03</t>
  </si>
  <si>
    <t>숨결을 삼키다</t>
  </si>
  <si>
    <t>2020.08.17</t>
  </si>
  <si>
    <t>와그작 [BL]</t>
  </si>
  <si>
    <t>2021.06.02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</si>
</sst>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41" fontId="22" fillId="0" borderId="0" xfId="42" applyFont="1">
      <alignment vertical="center"/>
    </xf>
    <xf numFmtId="0" fontId="24" fillId="0" borderId="0" xfId="0" applyFont="1" applyAlignment="1">
      <alignment horizontal="left" vertical="center" wrapText="1"/>
    </xf>
    <xf numFmtId="49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vertical="center" wrapText="1"/>
    </xf>
    <xf numFmtId="4" fontId="24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181"/>
  <sheetViews>
    <sheetView tabSelected="1" topLeftCell="AS174" zoomScaleNormal="100" workbookViewId="0">
      <selection activeCell="BO181" sqref="BO181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4" max="64" width="9.25" bestFit="1" customWidth="1"/>
    <col min="65" max="65" width="13.5" bestFit="1" customWidth="1"/>
    <col min="66" max="66" width="13.625" bestFit="1" customWidth="1"/>
    <col min="67" max="67" width="13.375" style="6" customWidth="1"/>
  </cols>
  <sheetData>
    <row r="1" spans="1:69" ht="27" customHeight="1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83</v>
      </c>
      <c r="I1" s="7" t="s">
        <v>6</v>
      </c>
      <c r="J1" s="5" t="s">
        <v>84</v>
      </c>
      <c r="K1" s="5" t="s">
        <v>85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  <c r="R1" s="5" t="s">
        <v>92</v>
      </c>
      <c r="S1" s="5" t="s">
        <v>93</v>
      </c>
      <c r="T1" s="5" t="s">
        <v>94</v>
      </c>
      <c r="U1" s="5" t="s">
        <v>95</v>
      </c>
      <c r="V1" s="5" t="s">
        <v>96</v>
      </c>
      <c r="W1" s="5" t="s">
        <v>97</v>
      </c>
      <c r="X1" s="5" t="s">
        <v>98</v>
      </c>
      <c r="Y1" s="5" t="s">
        <v>99</v>
      </c>
      <c r="Z1" s="5" t="s">
        <v>100</v>
      </c>
      <c r="AA1" s="5" t="s">
        <v>101</v>
      </c>
      <c r="AB1" s="5" t="s">
        <v>102</v>
      </c>
      <c r="AC1" s="5" t="s">
        <v>103</v>
      </c>
      <c r="AD1" s="5" t="s">
        <v>104</v>
      </c>
      <c r="AE1" s="5" t="s">
        <v>105</v>
      </c>
      <c r="AF1" s="5" t="s">
        <v>106</v>
      </c>
      <c r="AG1" s="5" t="s">
        <v>107</v>
      </c>
      <c r="AH1" s="5" t="s">
        <v>108</v>
      </c>
      <c r="AI1" s="5" t="s">
        <v>109</v>
      </c>
      <c r="AJ1" s="5" t="s">
        <v>110</v>
      </c>
      <c r="AK1" s="5" t="s">
        <v>111</v>
      </c>
      <c r="AL1" s="5" t="s">
        <v>112</v>
      </c>
      <c r="AM1" s="5" t="s">
        <v>113</v>
      </c>
      <c r="AN1" s="5" t="s">
        <v>114</v>
      </c>
      <c r="AO1" s="5" t="s">
        <v>115</v>
      </c>
      <c r="AP1" s="5" t="s">
        <v>116</v>
      </c>
      <c r="AQ1" s="5" t="s">
        <v>117</v>
      </c>
      <c r="AR1" s="5" t="s">
        <v>118</v>
      </c>
      <c r="AS1" s="5" t="s">
        <v>119</v>
      </c>
      <c r="AT1" s="5" t="s">
        <v>120</v>
      </c>
      <c r="AU1" s="5" t="s">
        <v>121</v>
      </c>
      <c r="AV1" s="5" t="s">
        <v>122</v>
      </c>
      <c r="AW1" s="5" t="s">
        <v>123</v>
      </c>
      <c r="AX1" s="5" t="s">
        <v>124</v>
      </c>
      <c r="AY1" s="5" t="s">
        <v>125</v>
      </c>
      <c r="AZ1" s="5" t="s">
        <v>126</v>
      </c>
      <c r="BA1" s="5" t="s">
        <v>127</v>
      </c>
      <c r="BB1" s="5" t="s">
        <v>128</v>
      </c>
      <c r="BC1" s="5" t="s">
        <v>129</v>
      </c>
      <c r="BD1" s="5" t="s">
        <v>130</v>
      </c>
      <c r="BE1" s="5" t="s">
        <v>131</v>
      </c>
      <c r="BF1" s="5" t="s">
        <v>132</v>
      </c>
      <c r="BG1" s="5" t="s">
        <v>133</v>
      </c>
      <c r="BH1" s="5" t="s">
        <v>134</v>
      </c>
      <c r="BI1" s="5" t="s">
        <v>135</v>
      </c>
      <c r="BJ1" s="5" t="s">
        <v>136</v>
      </c>
      <c r="BK1" s="5" t="s">
        <v>137</v>
      </c>
      <c r="BL1" s="5" t="s">
        <v>14</v>
      </c>
      <c r="BM1" s="5" t="s">
        <v>13</v>
      </c>
      <c r="BN1" s="5" t="s">
        <v>138</v>
      </c>
      <c r="BO1" s="5" t="s">
        <v>139</v>
      </c>
      <c r="BP1" s="5" t="s">
        <v>153</v>
      </c>
      <c r="BQ1" s="5" t="s">
        <v>154</v>
      </c>
    </row>
    <row r="2" spans="1:69" ht="24" x14ac:dyDescent="0.3">
      <c r="A2" s="8" t="s">
        <v>71</v>
      </c>
      <c r="B2" s="10" t="s">
        <v>140</v>
      </c>
      <c r="C2" s="10">
        <v>324335</v>
      </c>
      <c r="D2" s="11"/>
      <c r="E2" s="10" t="s">
        <v>16</v>
      </c>
      <c r="F2" s="10" t="s">
        <v>28</v>
      </c>
      <c r="G2" s="10" t="s">
        <v>11</v>
      </c>
      <c r="H2" s="12" t="s">
        <v>10</v>
      </c>
      <c r="I2" s="12" t="s">
        <v>141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6</v>
      </c>
      <c r="AF2" s="13">
        <v>19200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2</v>
      </c>
      <c r="AR2" s="13">
        <v>6400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4">
        <v>25600</v>
      </c>
      <c r="BN2" s="9">
        <f>BM2-BL2</f>
        <v>25600</v>
      </c>
      <c r="BO2" s="9">
        <f>BN2*70%</f>
        <v>17920</v>
      </c>
    </row>
    <row r="3" spans="1:69" ht="24" x14ac:dyDescent="0.3">
      <c r="A3" s="8" t="s">
        <v>71</v>
      </c>
      <c r="B3" s="10" t="s">
        <v>66</v>
      </c>
      <c r="C3" s="10">
        <v>472512</v>
      </c>
      <c r="D3" s="11"/>
      <c r="E3" s="10" t="s">
        <v>16</v>
      </c>
      <c r="F3" s="10" t="s">
        <v>36</v>
      </c>
      <c r="G3" s="10" t="s">
        <v>11</v>
      </c>
      <c r="H3" s="12" t="s">
        <v>7</v>
      </c>
      <c r="I3" s="12" t="s">
        <v>232</v>
      </c>
      <c r="J3" s="12">
        <v>0</v>
      </c>
      <c r="K3" s="12">
        <v>115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113</v>
      </c>
      <c r="AF3" s="13">
        <v>8740</v>
      </c>
      <c r="AG3" s="13">
        <v>2700</v>
      </c>
      <c r="AH3" s="12">
        <v>0</v>
      </c>
      <c r="AI3" s="12">
        <v>0</v>
      </c>
      <c r="AJ3" s="12">
        <v>0</v>
      </c>
      <c r="AK3" s="12">
        <v>1</v>
      </c>
      <c r="AL3" s="12">
        <v>120</v>
      </c>
      <c r="AM3" s="12">
        <v>0</v>
      </c>
      <c r="AN3" s="12">
        <v>0</v>
      </c>
      <c r="AO3" s="12">
        <v>0</v>
      </c>
      <c r="AP3" s="12">
        <v>0</v>
      </c>
      <c r="AQ3" s="12">
        <v>47</v>
      </c>
      <c r="AR3" s="13">
        <v>4600</v>
      </c>
      <c r="AS3" s="12">
        <v>100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36</v>
      </c>
      <c r="BM3" s="14">
        <v>16260</v>
      </c>
      <c r="BN3" s="9">
        <f t="shared" ref="BN3:BN42" si="0">BM3-BL3</f>
        <v>16224</v>
      </c>
      <c r="BO3" s="9">
        <f t="shared" ref="BO3:BO42" si="1">BN3*70%</f>
        <v>11356.8</v>
      </c>
    </row>
    <row r="4" spans="1:69" ht="24" x14ac:dyDescent="0.3">
      <c r="A4" s="8" t="s">
        <v>71</v>
      </c>
      <c r="B4" s="10" t="s">
        <v>233</v>
      </c>
      <c r="C4" s="10">
        <v>486821</v>
      </c>
      <c r="D4" s="11"/>
      <c r="E4" s="10" t="s">
        <v>16</v>
      </c>
      <c r="F4" s="10" t="s">
        <v>157</v>
      </c>
      <c r="G4" s="10" t="s">
        <v>31</v>
      </c>
      <c r="H4" s="12" t="s">
        <v>64</v>
      </c>
      <c r="I4" s="12" t="s">
        <v>234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6</v>
      </c>
      <c r="AF4" s="13">
        <v>12200</v>
      </c>
      <c r="AG4" s="13">
        <v>1000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4">
        <v>13200</v>
      </c>
      <c r="BN4" s="9">
        <f t="shared" si="0"/>
        <v>13200</v>
      </c>
      <c r="BO4" s="9">
        <f t="shared" si="1"/>
        <v>9240</v>
      </c>
    </row>
    <row r="5" spans="1:69" ht="24" x14ac:dyDescent="0.3">
      <c r="A5" s="8" t="s">
        <v>71</v>
      </c>
      <c r="B5" s="10" t="s">
        <v>235</v>
      </c>
      <c r="C5" s="10">
        <v>486817</v>
      </c>
      <c r="D5" s="11"/>
      <c r="E5" s="10" t="s">
        <v>16</v>
      </c>
      <c r="F5" s="10" t="s">
        <v>236</v>
      </c>
      <c r="G5" s="10" t="s">
        <v>237</v>
      </c>
      <c r="H5" s="12" t="s">
        <v>64</v>
      </c>
      <c r="I5" s="12" t="s">
        <v>238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2</v>
      </c>
      <c r="AF5" s="13">
        <v>3000</v>
      </c>
      <c r="AG5" s="12">
        <v>800</v>
      </c>
      <c r="AH5" s="12">
        <v>0</v>
      </c>
      <c r="AI5" s="12">
        <v>0</v>
      </c>
      <c r="AJ5" s="12">
        <v>0</v>
      </c>
      <c r="AK5" s="12">
        <v>1</v>
      </c>
      <c r="AL5" s="12">
        <v>0</v>
      </c>
      <c r="AM5" s="12">
        <v>800</v>
      </c>
      <c r="AN5" s="12">
        <v>0</v>
      </c>
      <c r="AO5" s="12">
        <v>0</v>
      </c>
      <c r="AP5" s="12">
        <v>0</v>
      </c>
      <c r="AQ5" s="12">
        <v>1</v>
      </c>
      <c r="AR5" s="13">
        <v>1400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1</v>
      </c>
      <c r="BD5" s="13">
        <v>3600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216</v>
      </c>
      <c r="BM5" s="14">
        <v>9600</v>
      </c>
      <c r="BN5" s="9">
        <f t="shared" si="0"/>
        <v>9384</v>
      </c>
      <c r="BO5" s="9">
        <f t="shared" si="1"/>
        <v>6568.7999999999993</v>
      </c>
    </row>
    <row r="6" spans="1:69" ht="24" x14ac:dyDescent="0.3">
      <c r="A6" s="8" t="s">
        <v>71</v>
      </c>
      <c r="B6" s="10" t="s">
        <v>239</v>
      </c>
      <c r="C6" s="10">
        <v>486613</v>
      </c>
      <c r="D6" s="11"/>
      <c r="E6" s="10" t="s">
        <v>16</v>
      </c>
      <c r="F6" s="10" t="s">
        <v>240</v>
      </c>
      <c r="G6" s="10" t="s">
        <v>76</v>
      </c>
      <c r="H6" s="12" t="s">
        <v>10</v>
      </c>
      <c r="I6" s="12" t="s">
        <v>177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64</v>
      </c>
      <c r="AF6" s="13">
        <v>6100</v>
      </c>
      <c r="AG6" s="12">
        <v>300</v>
      </c>
      <c r="AH6" s="12">
        <v>0</v>
      </c>
      <c r="AI6" s="12">
        <v>0</v>
      </c>
      <c r="AJ6" s="12">
        <v>0</v>
      </c>
      <c r="AK6" s="12">
        <v>1</v>
      </c>
      <c r="AL6" s="12">
        <v>120</v>
      </c>
      <c r="AM6" s="12">
        <v>0</v>
      </c>
      <c r="AN6" s="12">
        <v>0</v>
      </c>
      <c r="AO6" s="12">
        <v>0</v>
      </c>
      <c r="AP6" s="12">
        <v>0</v>
      </c>
      <c r="AQ6" s="12">
        <v>5</v>
      </c>
      <c r="AR6" s="12">
        <v>500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10</v>
      </c>
      <c r="BD6" s="13">
        <v>1200</v>
      </c>
      <c r="BE6" s="12">
        <v>0</v>
      </c>
      <c r="BF6" s="12">
        <v>0</v>
      </c>
      <c r="BG6" s="12">
        <v>0</v>
      </c>
      <c r="BH6" s="12">
        <v>0</v>
      </c>
      <c r="BI6" s="12">
        <v>3</v>
      </c>
      <c r="BJ6" s="12">
        <v>360</v>
      </c>
      <c r="BK6" s="12">
        <v>0</v>
      </c>
      <c r="BL6" s="12">
        <v>126</v>
      </c>
      <c r="BM6" s="14">
        <v>8580</v>
      </c>
      <c r="BN6" s="9">
        <f t="shared" si="0"/>
        <v>8454</v>
      </c>
      <c r="BO6" s="9">
        <f t="shared" si="1"/>
        <v>5917.7999999999993</v>
      </c>
    </row>
    <row r="7" spans="1:69" ht="24" x14ac:dyDescent="0.3">
      <c r="A7" s="8" t="s">
        <v>71</v>
      </c>
      <c r="B7" s="10" t="s">
        <v>241</v>
      </c>
      <c r="C7" s="10">
        <v>428126</v>
      </c>
      <c r="D7" s="11"/>
      <c r="E7" s="10" t="s">
        <v>16</v>
      </c>
      <c r="F7" s="10" t="s">
        <v>42</v>
      </c>
      <c r="G7" s="10" t="s">
        <v>31</v>
      </c>
      <c r="H7" s="12" t="s">
        <v>64</v>
      </c>
      <c r="I7" s="12" t="s">
        <v>242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2</v>
      </c>
      <c r="AF7" s="13">
        <v>7000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4">
        <v>7000</v>
      </c>
      <c r="BN7" s="9">
        <f t="shared" si="0"/>
        <v>7000</v>
      </c>
      <c r="BO7" s="9">
        <f t="shared" si="1"/>
        <v>4900</v>
      </c>
    </row>
    <row r="8" spans="1:69" ht="24" x14ac:dyDescent="0.3">
      <c r="A8" s="8" t="s">
        <v>71</v>
      </c>
      <c r="B8" s="10" t="s">
        <v>73</v>
      </c>
      <c r="C8" s="10">
        <v>476003</v>
      </c>
      <c r="D8" s="11"/>
      <c r="E8" s="10" t="s">
        <v>16</v>
      </c>
      <c r="F8" s="10" t="s">
        <v>28</v>
      </c>
      <c r="G8" s="10" t="s">
        <v>11</v>
      </c>
      <c r="H8" s="12" t="s">
        <v>8</v>
      </c>
      <c r="I8" s="12" t="s">
        <v>72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3">
        <v>3200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1</v>
      </c>
      <c r="AR8" s="13">
        <v>3200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4">
        <v>6400</v>
      </c>
      <c r="BN8" s="9">
        <f t="shared" si="0"/>
        <v>6400</v>
      </c>
      <c r="BO8" s="9">
        <f t="shared" si="1"/>
        <v>4480</v>
      </c>
    </row>
    <row r="9" spans="1:69" ht="24" x14ac:dyDescent="0.3">
      <c r="A9" s="8" t="s">
        <v>71</v>
      </c>
      <c r="B9" s="10" t="s">
        <v>217</v>
      </c>
      <c r="C9" s="10">
        <v>426278</v>
      </c>
      <c r="D9" s="11"/>
      <c r="E9" s="10" t="s">
        <v>16</v>
      </c>
      <c r="F9" s="10" t="s">
        <v>218</v>
      </c>
      <c r="G9" s="10" t="s">
        <v>31</v>
      </c>
      <c r="H9" s="12" t="s">
        <v>64</v>
      </c>
      <c r="I9" s="12" t="s">
        <v>219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2</v>
      </c>
      <c r="AF9" s="13">
        <v>6400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4">
        <v>6400</v>
      </c>
      <c r="BN9" s="9">
        <f t="shared" si="0"/>
        <v>6400</v>
      </c>
      <c r="BO9" s="9">
        <f t="shared" si="1"/>
        <v>4480</v>
      </c>
    </row>
    <row r="10" spans="1:69" ht="24" x14ac:dyDescent="0.3">
      <c r="A10" s="8" t="s">
        <v>71</v>
      </c>
      <c r="B10" s="10" t="s">
        <v>26</v>
      </c>
      <c r="C10" s="10">
        <v>414278</v>
      </c>
      <c r="D10" s="11"/>
      <c r="E10" s="10" t="s">
        <v>16</v>
      </c>
      <c r="F10" s="10" t="s">
        <v>12</v>
      </c>
      <c r="G10" s="10" t="s">
        <v>11</v>
      </c>
      <c r="H10" s="12" t="s">
        <v>8</v>
      </c>
      <c r="I10" s="12" t="s">
        <v>72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3">
        <v>3200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1</v>
      </c>
      <c r="AR10" s="13">
        <v>3200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4">
        <v>6400</v>
      </c>
      <c r="BN10" s="9">
        <f t="shared" si="0"/>
        <v>6400</v>
      </c>
      <c r="BO10" s="9">
        <f t="shared" si="1"/>
        <v>4480</v>
      </c>
    </row>
    <row r="11" spans="1:69" ht="24" x14ac:dyDescent="0.3">
      <c r="A11" s="8" t="s">
        <v>71</v>
      </c>
      <c r="B11" s="10" t="s">
        <v>192</v>
      </c>
      <c r="C11" s="10">
        <v>444220</v>
      </c>
      <c r="D11" s="11"/>
      <c r="E11" s="10" t="s">
        <v>16</v>
      </c>
      <c r="F11" s="10" t="s">
        <v>173</v>
      </c>
      <c r="G11" s="10" t="s">
        <v>31</v>
      </c>
      <c r="H11" s="12" t="s">
        <v>64</v>
      </c>
      <c r="I11" s="12" t="s">
        <v>176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2</v>
      </c>
      <c r="AF11" s="13">
        <v>5600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4">
        <v>5600</v>
      </c>
      <c r="BN11" s="9">
        <f t="shared" si="0"/>
        <v>5600</v>
      </c>
      <c r="BO11" s="9">
        <f t="shared" si="1"/>
        <v>3919.9999999999995</v>
      </c>
    </row>
    <row r="12" spans="1:69" ht="24" x14ac:dyDescent="0.3">
      <c r="A12" s="8" t="s">
        <v>71</v>
      </c>
      <c r="B12" s="10" t="s">
        <v>212</v>
      </c>
      <c r="C12" s="10">
        <v>397371</v>
      </c>
      <c r="D12" s="11"/>
      <c r="E12" s="10" t="s">
        <v>16</v>
      </c>
      <c r="F12" s="10" t="s">
        <v>213</v>
      </c>
      <c r="G12" s="10" t="s">
        <v>31</v>
      </c>
      <c r="H12" s="12" t="s">
        <v>64</v>
      </c>
      <c r="I12" s="12" t="s">
        <v>186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2</v>
      </c>
      <c r="AF12" s="13">
        <v>5200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4">
        <v>5200</v>
      </c>
      <c r="BN12" s="9">
        <f t="shared" si="0"/>
        <v>5200</v>
      </c>
      <c r="BO12" s="9">
        <f t="shared" si="1"/>
        <v>3639.9999999999995</v>
      </c>
    </row>
    <row r="13" spans="1:69" ht="24" x14ac:dyDescent="0.3">
      <c r="A13" s="8" t="s">
        <v>71</v>
      </c>
      <c r="B13" s="10" t="s">
        <v>178</v>
      </c>
      <c r="C13" s="10">
        <v>387975</v>
      </c>
      <c r="D13" s="11"/>
      <c r="E13" s="10" t="s">
        <v>16</v>
      </c>
      <c r="F13" s="10" t="s">
        <v>61</v>
      </c>
      <c r="G13" s="10" t="s">
        <v>31</v>
      </c>
      <c r="H13" s="12" t="s">
        <v>64</v>
      </c>
      <c r="I13" s="12" t="s">
        <v>60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3">
        <v>4200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4">
        <v>4200</v>
      </c>
      <c r="BN13" s="9">
        <f t="shared" si="0"/>
        <v>4200</v>
      </c>
      <c r="BO13" s="9">
        <f t="shared" si="1"/>
        <v>2940</v>
      </c>
    </row>
    <row r="14" spans="1:69" ht="24" x14ac:dyDescent="0.3">
      <c r="A14" s="8" t="s">
        <v>71</v>
      </c>
      <c r="B14" s="10" t="s">
        <v>67</v>
      </c>
      <c r="C14" s="10">
        <v>370935</v>
      </c>
      <c r="D14" s="11"/>
      <c r="E14" s="10" t="s">
        <v>16</v>
      </c>
      <c r="F14" s="10" t="s">
        <v>28</v>
      </c>
      <c r="G14" s="10" t="s">
        <v>11</v>
      </c>
      <c r="H14" s="12" t="s">
        <v>7</v>
      </c>
      <c r="I14" s="12" t="s">
        <v>68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1</v>
      </c>
      <c r="BD14" s="13">
        <v>3840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230.4</v>
      </c>
      <c r="BM14" s="14">
        <v>3840</v>
      </c>
      <c r="BN14" s="9">
        <f t="shared" si="0"/>
        <v>3609.6</v>
      </c>
      <c r="BO14" s="9">
        <f t="shared" si="1"/>
        <v>2526.7199999999998</v>
      </c>
    </row>
    <row r="15" spans="1:69" ht="24" x14ac:dyDescent="0.3">
      <c r="A15" s="8" t="s">
        <v>71</v>
      </c>
      <c r="B15" s="10" t="s">
        <v>175</v>
      </c>
      <c r="C15" s="10">
        <v>485660</v>
      </c>
      <c r="D15" s="11"/>
      <c r="E15" s="10" t="s">
        <v>16</v>
      </c>
      <c r="F15" s="10" t="s">
        <v>57</v>
      </c>
      <c r="G15" s="10" t="s">
        <v>31</v>
      </c>
      <c r="H15" s="12" t="s">
        <v>64</v>
      </c>
      <c r="I15" s="12" t="s">
        <v>176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1</v>
      </c>
      <c r="AL15" s="13">
        <v>3360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5">
        <v>1008</v>
      </c>
      <c r="BM15" s="14">
        <v>3360</v>
      </c>
      <c r="BN15" s="9">
        <f t="shared" si="0"/>
        <v>2352</v>
      </c>
      <c r="BO15" s="9">
        <f t="shared" si="1"/>
        <v>1646.3999999999999</v>
      </c>
    </row>
    <row r="16" spans="1:69" ht="24" x14ac:dyDescent="0.3">
      <c r="A16" s="8" t="s">
        <v>71</v>
      </c>
      <c r="B16" s="10" t="s">
        <v>75</v>
      </c>
      <c r="C16" s="10">
        <v>458568</v>
      </c>
      <c r="D16" s="11"/>
      <c r="E16" s="10" t="s">
        <v>16</v>
      </c>
      <c r="F16" s="10" t="s">
        <v>28</v>
      </c>
      <c r="G16" s="10" t="s">
        <v>11</v>
      </c>
      <c r="H16" s="12" t="s">
        <v>7</v>
      </c>
      <c r="I16" s="12" t="s">
        <v>62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3">
        <v>1300</v>
      </c>
      <c r="AG16" s="13">
        <v>1900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4">
        <v>3200</v>
      </c>
      <c r="BN16" s="9">
        <f t="shared" si="0"/>
        <v>3200</v>
      </c>
      <c r="BO16" s="9">
        <f t="shared" si="1"/>
        <v>2240</v>
      </c>
    </row>
    <row r="17" spans="1:67" ht="24" x14ac:dyDescent="0.3">
      <c r="A17" s="8" t="s">
        <v>71</v>
      </c>
      <c r="B17" s="10" t="s">
        <v>243</v>
      </c>
      <c r="C17" s="10">
        <v>485989</v>
      </c>
      <c r="D17" s="11"/>
      <c r="E17" s="10" t="s">
        <v>16</v>
      </c>
      <c r="F17" s="10" t="s">
        <v>161</v>
      </c>
      <c r="G17" s="10" t="s">
        <v>11</v>
      </c>
      <c r="H17" s="12" t="s">
        <v>7</v>
      </c>
      <c r="I17" s="12" t="s">
        <v>177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3">
        <v>3200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4">
        <v>3200</v>
      </c>
      <c r="BN17" s="9">
        <f t="shared" si="0"/>
        <v>3200</v>
      </c>
      <c r="BO17" s="9">
        <f t="shared" si="1"/>
        <v>2240</v>
      </c>
    </row>
    <row r="18" spans="1:67" ht="24" x14ac:dyDescent="0.3">
      <c r="A18" s="8" t="s">
        <v>71</v>
      </c>
      <c r="B18" s="10" t="s">
        <v>244</v>
      </c>
      <c r="C18" s="10">
        <v>458566</v>
      </c>
      <c r="D18" s="11"/>
      <c r="E18" s="10" t="s">
        <v>16</v>
      </c>
      <c r="F18" s="10" t="s">
        <v>28</v>
      </c>
      <c r="G18" s="10" t="s">
        <v>11</v>
      </c>
      <c r="H18" s="12" t="s">
        <v>7</v>
      </c>
      <c r="I18" s="12" t="s">
        <v>62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3">
        <v>3200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4">
        <v>3200</v>
      </c>
      <c r="BN18" s="9">
        <f t="shared" si="0"/>
        <v>3200</v>
      </c>
      <c r="BO18" s="9">
        <f t="shared" si="1"/>
        <v>2240</v>
      </c>
    </row>
    <row r="19" spans="1:67" ht="24" x14ac:dyDescent="0.3">
      <c r="A19" s="8" t="s">
        <v>71</v>
      </c>
      <c r="B19" s="10" t="s">
        <v>50</v>
      </c>
      <c r="C19" s="10">
        <v>219203</v>
      </c>
      <c r="D19" s="11"/>
      <c r="E19" s="10" t="s">
        <v>16</v>
      </c>
      <c r="F19" s="10" t="s">
        <v>51</v>
      </c>
      <c r="G19" s="10" t="s">
        <v>11</v>
      </c>
      <c r="H19" s="12" t="s">
        <v>7</v>
      </c>
      <c r="I19" s="12" t="s">
        <v>52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12</v>
      </c>
      <c r="AC19" s="13">
        <v>1200</v>
      </c>
      <c r="AD19" s="12">
        <v>0</v>
      </c>
      <c r="AE19" s="12">
        <v>6</v>
      </c>
      <c r="AF19" s="12">
        <v>0</v>
      </c>
      <c r="AG19" s="13">
        <v>1800</v>
      </c>
      <c r="AH19" s="12">
        <v>1</v>
      </c>
      <c r="AI19" s="12">
        <v>120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36</v>
      </c>
      <c r="BM19" s="14">
        <v>3120</v>
      </c>
      <c r="BN19" s="9">
        <f t="shared" si="0"/>
        <v>3084</v>
      </c>
      <c r="BO19" s="9">
        <f t="shared" si="1"/>
        <v>2158.7999999999997</v>
      </c>
    </row>
    <row r="20" spans="1:67" ht="24" x14ac:dyDescent="0.3">
      <c r="A20" s="8" t="s">
        <v>71</v>
      </c>
      <c r="B20" s="10" t="s">
        <v>245</v>
      </c>
      <c r="C20" s="10">
        <v>479547</v>
      </c>
      <c r="D20" s="11"/>
      <c r="E20" s="10" t="s">
        <v>16</v>
      </c>
      <c r="F20" s="10" t="s">
        <v>246</v>
      </c>
      <c r="G20" s="10" t="s">
        <v>11</v>
      </c>
      <c r="H20" s="12" t="s">
        <v>7</v>
      </c>
      <c r="I20" s="12" t="s">
        <v>232</v>
      </c>
      <c r="J20" s="12">
        <v>0</v>
      </c>
      <c r="K20" s="12">
        <v>116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17</v>
      </c>
      <c r="AF20" s="13">
        <v>1500</v>
      </c>
      <c r="AG20" s="12">
        <v>200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11</v>
      </c>
      <c r="AR20" s="13">
        <v>1100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1</v>
      </c>
      <c r="BD20" s="12">
        <v>120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7.2</v>
      </c>
      <c r="BM20" s="14">
        <v>2920</v>
      </c>
      <c r="BN20" s="9">
        <f t="shared" si="0"/>
        <v>2912.8</v>
      </c>
      <c r="BO20" s="9">
        <f t="shared" si="1"/>
        <v>2038.96</v>
      </c>
    </row>
    <row r="21" spans="1:67" ht="24" x14ac:dyDescent="0.3">
      <c r="A21" s="8" t="s">
        <v>71</v>
      </c>
      <c r="B21" s="10" t="s">
        <v>179</v>
      </c>
      <c r="C21" s="10">
        <v>441789</v>
      </c>
      <c r="D21" s="11"/>
      <c r="E21" s="10" t="s">
        <v>16</v>
      </c>
      <c r="F21" s="10" t="s">
        <v>46</v>
      </c>
      <c r="G21" s="10" t="s">
        <v>31</v>
      </c>
      <c r="H21" s="12" t="s">
        <v>64</v>
      </c>
      <c r="I21" s="12" t="s">
        <v>176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1</v>
      </c>
      <c r="AR21" s="13">
        <v>2500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4">
        <v>2500</v>
      </c>
      <c r="BN21" s="9">
        <f t="shared" si="0"/>
        <v>2500</v>
      </c>
      <c r="BO21" s="9">
        <f t="shared" si="1"/>
        <v>1750</v>
      </c>
    </row>
    <row r="22" spans="1:67" ht="24" x14ac:dyDescent="0.3">
      <c r="A22" s="8" t="s">
        <v>71</v>
      </c>
      <c r="B22" s="10" t="s">
        <v>33</v>
      </c>
      <c r="C22" s="10">
        <v>178856</v>
      </c>
      <c r="D22" s="11"/>
      <c r="E22" s="10" t="s">
        <v>16</v>
      </c>
      <c r="F22" s="10" t="s">
        <v>28</v>
      </c>
      <c r="G22" s="10" t="s">
        <v>11</v>
      </c>
      <c r="H22" s="12" t="s">
        <v>10</v>
      </c>
      <c r="I22" s="12" t="s">
        <v>34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13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7</v>
      </c>
      <c r="AF22" s="12">
        <v>700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9</v>
      </c>
      <c r="BD22" s="13">
        <v>1080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64.8</v>
      </c>
      <c r="BM22" s="14">
        <v>1780</v>
      </c>
      <c r="BN22" s="9">
        <f t="shared" si="0"/>
        <v>1715.2</v>
      </c>
      <c r="BO22" s="9">
        <f t="shared" si="1"/>
        <v>1200.6399999999999</v>
      </c>
    </row>
    <row r="23" spans="1:67" ht="24" x14ac:dyDescent="0.3">
      <c r="A23" s="8" t="s">
        <v>71</v>
      </c>
      <c r="B23" s="10" t="s">
        <v>189</v>
      </c>
      <c r="C23" s="10">
        <v>484300</v>
      </c>
      <c r="D23" s="11"/>
      <c r="E23" s="10" t="s">
        <v>16</v>
      </c>
      <c r="F23" s="10" t="s">
        <v>190</v>
      </c>
      <c r="G23" s="10" t="s">
        <v>11</v>
      </c>
      <c r="H23" s="12" t="s">
        <v>7</v>
      </c>
      <c r="I23" s="12" t="s">
        <v>191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3</v>
      </c>
      <c r="AF23" s="12">
        <v>300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13</v>
      </c>
      <c r="AR23" s="13">
        <v>1300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4">
        <v>1600</v>
      </c>
      <c r="BN23" s="9">
        <f t="shared" si="0"/>
        <v>1600</v>
      </c>
      <c r="BO23" s="9">
        <f t="shared" si="1"/>
        <v>1120</v>
      </c>
    </row>
    <row r="24" spans="1:67" ht="24" x14ac:dyDescent="0.3">
      <c r="A24" s="8" t="s">
        <v>71</v>
      </c>
      <c r="B24" s="10" t="s">
        <v>146</v>
      </c>
      <c r="C24" s="10">
        <v>473533</v>
      </c>
      <c r="D24" s="11"/>
      <c r="E24" s="10" t="s">
        <v>16</v>
      </c>
      <c r="F24" s="10" t="s">
        <v>147</v>
      </c>
      <c r="G24" s="10" t="s">
        <v>11</v>
      </c>
      <c r="H24" s="12" t="s">
        <v>7</v>
      </c>
      <c r="I24" s="12" t="s">
        <v>232</v>
      </c>
      <c r="J24" s="12">
        <v>0</v>
      </c>
      <c r="K24" s="12">
        <v>24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16</v>
      </c>
      <c r="AF24" s="13">
        <v>1600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4">
        <v>1600</v>
      </c>
      <c r="BN24" s="9">
        <f t="shared" si="0"/>
        <v>1600</v>
      </c>
      <c r="BO24" s="9">
        <f t="shared" si="1"/>
        <v>1120</v>
      </c>
    </row>
    <row r="25" spans="1:67" ht="24" x14ac:dyDescent="0.3">
      <c r="A25" s="8" t="s">
        <v>71</v>
      </c>
      <c r="B25" s="10" t="s">
        <v>247</v>
      </c>
      <c r="C25" s="10">
        <v>486624</v>
      </c>
      <c r="D25" s="11"/>
      <c r="E25" s="10" t="s">
        <v>16</v>
      </c>
      <c r="F25" s="10" t="s">
        <v>248</v>
      </c>
      <c r="G25" s="10" t="s">
        <v>31</v>
      </c>
      <c r="H25" s="12" t="s">
        <v>8</v>
      </c>
      <c r="I25" s="12" t="s">
        <v>177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14</v>
      </c>
      <c r="AF25" s="13">
        <v>1400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4">
        <v>1400</v>
      </c>
      <c r="BN25" s="9">
        <f t="shared" si="0"/>
        <v>1400</v>
      </c>
      <c r="BO25" s="9">
        <f t="shared" si="1"/>
        <v>979.99999999999989</v>
      </c>
    </row>
    <row r="26" spans="1:67" ht="24" x14ac:dyDescent="0.3">
      <c r="A26" s="8" t="s">
        <v>71</v>
      </c>
      <c r="B26" s="10" t="s">
        <v>249</v>
      </c>
      <c r="C26" s="10">
        <v>487308</v>
      </c>
      <c r="D26" s="11"/>
      <c r="E26" s="10" t="s">
        <v>16</v>
      </c>
      <c r="F26" s="10" t="s">
        <v>250</v>
      </c>
      <c r="G26" s="10" t="s">
        <v>76</v>
      </c>
      <c r="H26" s="12" t="s">
        <v>8</v>
      </c>
      <c r="I26" s="12" t="s">
        <v>251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9</v>
      </c>
      <c r="AF26" s="12">
        <v>900</v>
      </c>
      <c r="AG26" s="12">
        <v>0</v>
      </c>
      <c r="AH26" s="12">
        <v>0</v>
      </c>
      <c r="AI26" s="12">
        <v>0</v>
      </c>
      <c r="AJ26" s="12">
        <v>0</v>
      </c>
      <c r="AK26" s="12">
        <v>1</v>
      </c>
      <c r="AL26" s="12">
        <v>120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1</v>
      </c>
      <c r="BD26" s="12">
        <v>120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43.2</v>
      </c>
      <c r="BM26" s="14">
        <v>1140</v>
      </c>
      <c r="BN26" s="9">
        <f t="shared" si="0"/>
        <v>1096.8</v>
      </c>
      <c r="BO26" s="9">
        <f t="shared" si="1"/>
        <v>767.75999999999988</v>
      </c>
    </row>
    <row r="27" spans="1:67" ht="24" x14ac:dyDescent="0.3">
      <c r="A27" s="8" t="s">
        <v>71</v>
      </c>
      <c r="B27" s="10" t="s">
        <v>221</v>
      </c>
      <c r="C27" s="10">
        <v>397381</v>
      </c>
      <c r="D27" s="11"/>
      <c r="E27" s="10" t="s">
        <v>16</v>
      </c>
      <c r="F27" s="10" t="s">
        <v>213</v>
      </c>
      <c r="G27" s="10" t="s">
        <v>31</v>
      </c>
      <c r="H27" s="12" t="s">
        <v>64</v>
      </c>
      <c r="I27" s="12" t="s">
        <v>186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1</v>
      </c>
      <c r="AF27" s="13">
        <v>1000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4">
        <v>1000</v>
      </c>
      <c r="BN27" s="9">
        <f t="shared" si="0"/>
        <v>1000</v>
      </c>
      <c r="BO27" s="9">
        <f t="shared" si="1"/>
        <v>700</v>
      </c>
    </row>
    <row r="28" spans="1:67" ht="24" x14ac:dyDescent="0.3">
      <c r="A28" s="8" t="s">
        <v>71</v>
      </c>
      <c r="B28" s="10" t="s">
        <v>222</v>
      </c>
      <c r="C28" s="10">
        <v>441791</v>
      </c>
      <c r="D28" s="11"/>
      <c r="E28" s="10" t="s">
        <v>16</v>
      </c>
      <c r="F28" s="10" t="s">
        <v>46</v>
      </c>
      <c r="G28" s="10" t="s">
        <v>31</v>
      </c>
      <c r="H28" s="12" t="s">
        <v>64</v>
      </c>
      <c r="I28" s="12" t="s">
        <v>176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1</v>
      </c>
      <c r="AR28" s="13">
        <v>1000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4">
        <v>1000</v>
      </c>
      <c r="BN28" s="9">
        <f t="shared" si="0"/>
        <v>1000</v>
      </c>
      <c r="BO28" s="9">
        <f t="shared" si="1"/>
        <v>700</v>
      </c>
    </row>
    <row r="29" spans="1:67" ht="24" x14ac:dyDescent="0.3">
      <c r="A29" s="8" t="s">
        <v>71</v>
      </c>
      <c r="B29" s="10" t="s">
        <v>167</v>
      </c>
      <c r="C29" s="10">
        <v>478744</v>
      </c>
      <c r="D29" s="11"/>
      <c r="E29" s="10" t="s">
        <v>16</v>
      </c>
      <c r="F29" s="10" t="s">
        <v>168</v>
      </c>
      <c r="G29" s="10" t="s">
        <v>11</v>
      </c>
      <c r="H29" s="12" t="s">
        <v>7</v>
      </c>
      <c r="I29" s="12" t="s">
        <v>232</v>
      </c>
      <c r="J29" s="12">
        <v>0</v>
      </c>
      <c r="K29" s="12">
        <v>71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9</v>
      </c>
      <c r="AF29" s="12">
        <v>700</v>
      </c>
      <c r="AG29" s="12">
        <v>200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1</v>
      </c>
      <c r="AR29" s="12">
        <v>100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4">
        <v>1000</v>
      </c>
      <c r="BN29" s="9">
        <f t="shared" si="0"/>
        <v>1000</v>
      </c>
      <c r="BO29" s="9">
        <f t="shared" si="1"/>
        <v>700</v>
      </c>
    </row>
    <row r="30" spans="1:67" ht="24" x14ac:dyDescent="0.3">
      <c r="A30" s="8" t="s">
        <v>71</v>
      </c>
      <c r="B30" s="10" t="s">
        <v>252</v>
      </c>
      <c r="C30" s="10">
        <v>211158</v>
      </c>
      <c r="D30" s="11"/>
      <c r="E30" s="10" t="s">
        <v>16</v>
      </c>
      <c r="F30" s="10" t="s">
        <v>28</v>
      </c>
      <c r="G30" s="10" t="s">
        <v>11</v>
      </c>
      <c r="H30" s="12" t="s">
        <v>7</v>
      </c>
      <c r="I30" s="12" t="s">
        <v>253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7</v>
      </c>
      <c r="AF30" s="12">
        <v>700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6">
        <v>700</v>
      </c>
      <c r="BN30" s="9">
        <f t="shared" si="0"/>
        <v>700</v>
      </c>
      <c r="BO30" s="9">
        <f t="shared" si="1"/>
        <v>489.99999999999994</v>
      </c>
    </row>
    <row r="31" spans="1:67" ht="24" x14ac:dyDescent="0.3">
      <c r="A31" s="8" t="s">
        <v>71</v>
      </c>
      <c r="B31" s="10" t="s">
        <v>182</v>
      </c>
      <c r="C31" s="10">
        <v>484142</v>
      </c>
      <c r="D31" s="11"/>
      <c r="E31" s="10" t="s">
        <v>16</v>
      </c>
      <c r="F31" s="10" t="s">
        <v>183</v>
      </c>
      <c r="G31" s="10" t="s">
        <v>76</v>
      </c>
      <c r="H31" s="12" t="s">
        <v>8</v>
      </c>
      <c r="I31" s="12" t="s">
        <v>169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5</v>
      </c>
      <c r="AF31" s="12">
        <v>340</v>
      </c>
      <c r="AG31" s="12">
        <v>200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6">
        <v>540</v>
      </c>
      <c r="BN31" s="9">
        <f t="shared" si="0"/>
        <v>540</v>
      </c>
      <c r="BO31" s="9">
        <f t="shared" si="1"/>
        <v>378</v>
      </c>
    </row>
    <row r="32" spans="1:67" ht="24" x14ac:dyDescent="0.3">
      <c r="A32" s="8" t="s">
        <v>71</v>
      </c>
      <c r="B32" s="10" t="s">
        <v>159</v>
      </c>
      <c r="C32" s="10">
        <v>482098</v>
      </c>
      <c r="D32" s="11"/>
      <c r="E32" s="10" t="s">
        <v>16</v>
      </c>
      <c r="F32" s="10" t="s">
        <v>38</v>
      </c>
      <c r="G32" s="10" t="s">
        <v>76</v>
      </c>
      <c r="H32" s="12" t="s">
        <v>8</v>
      </c>
      <c r="I32" s="12" t="s">
        <v>176</v>
      </c>
      <c r="J32" s="12">
        <v>0</v>
      </c>
      <c r="K32" s="12">
        <v>121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4</v>
      </c>
      <c r="AF32" s="12">
        <v>400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1</v>
      </c>
      <c r="BD32" s="12">
        <v>120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7.2</v>
      </c>
      <c r="BM32" s="16">
        <v>520</v>
      </c>
      <c r="BN32" s="9">
        <f t="shared" si="0"/>
        <v>512.79999999999995</v>
      </c>
      <c r="BO32" s="9">
        <f t="shared" si="1"/>
        <v>358.95999999999992</v>
      </c>
    </row>
    <row r="33" spans="1:67" ht="24" x14ac:dyDescent="0.3">
      <c r="A33" s="8" t="s">
        <v>71</v>
      </c>
      <c r="B33" s="10" t="s">
        <v>254</v>
      </c>
      <c r="C33" s="10">
        <v>421661</v>
      </c>
      <c r="D33" s="11"/>
      <c r="E33" s="10" t="s">
        <v>16</v>
      </c>
      <c r="F33" s="10" t="s">
        <v>194</v>
      </c>
      <c r="G33" s="10" t="s">
        <v>31</v>
      </c>
      <c r="H33" s="12" t="s">
        <v>8</v>
      </c>
      <c r="I33" s="12" t="s">
        <v>255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5</v>
      </c>
      <c r="AF33" s="12">
        <v>400</v>
      </c>
      <c r="AG33" s="12">
        <v>100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6">
        <v>500</v>
      </c>
      <c r="BN33" s="9">
        <f t="shared" si="0"/>
        <v>500</v>
      </c>
      <c r="BO33" s="9">
        <f t="shared" si="1"/>
        <v>350</v>
      </c>
    </row>
    <row r="34" spans="1:67" ht="24" x14ac:dyDescent="0.3">
      <c r="A34" s="8" t="s">
        <v>71</v>
      </c>
      <c r="B34" s="10" t="s">
        <v>39</v>
      </c>
      <c r="C34" s="10">
        <v>321812</v>
      </c>
      <c r="D34" s="11"/>
      <c r="E34" s="10" t="s">
        <v>16</v>
      </c>
      <c r="F34" s="10" t="s">
        <v>28</v>
      </c>
      <c r="G34" s="10" t="s">
        <v>11</v>
      </c>
      <c r="H34" s="12" t="s">
        <v>7</v>
      </c>
      <c r="I34" s="12" t="s">
        <v>40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3</v>
      </c>
      <c r="AF34" s="12">
        <v>100</v>
      </c>
      <c r="AG34" s="12">
        <v>200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1</v>
      </c>
      <c r="BD34" s="12">
        <v>120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7.2</v>
      </c>
      <c r="BM34" s="16">
        <v>420</v>
      </c>
      <c r="BN34" s="9">
        <f t="shared" si="0"/>
        <v>412.8</v>
      </c>
      <c r="BO34" s="9">
        <f t="shared" si="1"/>
        <v>288.95999999999998</v>
      </c>
    </row>
    <row r="35" spans="1:67" ht="24" x14ac:dyDescent="0.3">
      <c r="A35" s="8" t="s">
        <v>71</v>
      </c>
      <c r="B35" s="10" t="s">
        <v>35</v>
      </c>
      <c r="C35" s="10">
        <v>454534</v>
      </c>
      <c r="D35" s="11"/>
      <c r="E35" s="10" t="s">
        <v>16</v>
      </c>
      <c r="F35" s="10" t="s">
        <v>36</v>
      </c>
      <c r="G35" s="10" t="s">
        <v>11</v>
      </c>
      <c r="H35" s="12" t="s">
        <v>7</v>
      </c>
      <c r="I35" s="12" t="s">
        <v>142</v>
      </c>
      <c r="J35" s="12">
        <v>0</v>
      </c>
      <c r="K35" s="12">
        <v>20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2</v>
      </c>
      <c r="AF35" s="12">
        <v>200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2</v>
      </c>
      <c r="AR35" s="12">
        <v>200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6">
        <v>400</v>
      </c>
      <c r="BN35" s="9">
        <f t="shared" si="0"/>
        <v>400</v>
      </c>
      <c r="BO35" s="9">
        <f t="shared" si="1"/>
        <v>280</v>
      </c>
    </row>
    <row r="36" spans="1:67" ht="24" x14ac:dyDescent="0.3">
      <c r="A36" s="8" t="s">
        <v>71</v>
      </c>
      <c r="B36" s="10" t="s">
        <v>15</v>
      </c>
      <c r="C36" s="10">
        <v>465248</v>
      </c>
      <c r="D36" s="11"/>
      <c r="E36" s="10" t="s">
        <v>16</v>
      </c>
      <c r="F36" s="10" t="s">
        <v>17</v>
      </c>
      <c r="G36" s="10" t="s">
        <v>76</v>
      </c>
      <c r="H36" s="12" t="s">
        <v>10</v>
      </c>
      <c r="I36" s="12" t="s">
        <v>18</v>
      </c>
      <c r="J36" s="12">
        <v>0</v>
      </c>
      <c r="K36" s="12">
        <v>266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3</v>
      </c>
      <c r="AL36" s="12">
        <v>360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108</v>
      </c>
      <c r="BM36" s="16">
        <v>360</v>
      </c>
      <c r="BN36" s="9">
        <f t="shared" si="0"/>
        <v>252</v>
      </c>
      <c r="BO36" s="9">
        <f t="shared" si="1"/>
        <v>176.39999999999998</v>
      </c>
    </row>
    <row r="37" spans="1:67" ht="24" x14ac:dyDescent="0.3">
      <c r="A37" s="8" t="s">
        <v>71</v>
      </c>
      <c r="B37" s="10" t="s">
        <v>27</v>
      </c>
      <c r="C37" s="10">
        <v>369220</v>
      </c>
      <c r="D37" s="11"/>
      <c r="E37" s="10" t="s">
        <v>16</v>
      </c>
      <c r="F37" s="10" t="s">
        <v>28</v>
      </c>
      <c r="G37" s="10" t="s">
        <v>11</v>
      </c>
      <c r="H37" s="12" t="s">
        <v>7</v>
      </c>
      <c r="I37" s="12" t="s">
        <v>29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2</v>
      </c>
      <c r="AF37" s="12">
        <v>200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1</v>
      </c>
      <c r="BD37" s="12">
        <v>120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7.2</v>
      </c>
      <c r="BM37" s="16">
        <v>320</v>
      </c>
      <c r="BN37" s="9">
        <f t="shared" si="0"/>
        <v>312.8</v>
      </c>
      <c r="BO37" s="9">
        <f t="shared" si="1"/>
        <v>218.96</v>
      </c>
    </row>
    <row r="38" spans="1:67" ht="24" x14ac:dyDescent="0.3">
      <c r="A38" s="8" t="s">
        <v>71</v>
      </c>
      <c r="B38" s="10" t="s">
        <v>37</v>
      </c>
      <c r="C38" s="10">
        <v>457807</v>
      </c>
      <c r="D38" s="11"/>
      <c r="E38" s="10" t="s">
        <v>16</v>
      </c>
      <c r="F38" s="10" t="s">
        <v>38</v>
      </c>
      <c r="G38" s="10" t="s">
        <v>31</v>
      </c>
      <c r="H38" s="12" t="s">
        <v>8</v>
      </c>
      <c r="I38" s="12" t="s">
        <v>74</v>
      </c>
      <c r="J38" s="12">
        <v>3</v>
      </c>
      <c r="K38" s="12">
        <v>0</v>
      </c>
      <c r="L38" s="12">
        <v>300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6">
        <v>300</v>
      </c>
      <c r="BN38" s="9">
        <f t="shared" si="0"/>
        <v>300</v>
      </c>
      <c r="BO38" s="9">
        <f t="shared" si="1"/>
        <v>210</v>
      </c>
    </row>
    <row r="39" spans="1:67" ht="24" x14ac:dyDescent="0.3">
      <c r="A39" s="8" t="s">
        <v>71</v>
      </c>
      <c r="B39" s="10" t="s">
        <v>256</v>
      </c>
      <c r="C39" s="10">
        <v>486824</v>
      </c>
      <c r="D39" s="11"/>
      <c r="E39" s="10" t="s">
        <v>16</v>
      </c>
      <c r="F39" s="10" t="s">
        <v>257</v>
      </c>
      <c r="G39" s="10" t="s">
        <v>76</v>
      </c>
      <c r="H39" s="12" t="s">
        <v>8</v>
      </c>
      <c r="I39" s="12" t="s">
        <v>251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3</v>
      </c>
      <c r="AF39" s="12">
        <v>300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6">
        <v>300</v>
      </c>
      <c r="BN39" s="9">
        <f t="shared" si="0"/>
        <v>300</v>
      </c>
      <c r="BO39" s="9">
        <f t="shared" si="1"/>
        <v>210</v>
      </c>
    </row>
    <row r="40" spans="1:67" ht="24" x14ac:dyDescent="0.3">
      <c r="A40" s="8" t="s">
        <v>71</v>
      </c>
      <c r="B40" s="10" t="s">
        <v>228</v>
      </c>
      <c r="C40" s="10">
        <v>426280</v>
      </c>
      <c r="D40" s="11"/>
      <c r="E40" s="10" t="s">
        <v>16</v>
      </c>
      <c r="F40" s="10" t="s">
        <v>218</v>
      </c>
      <c r="G40" s="10" t="s">
        <v>31</v>
      </c>
      <c r="H40" s="12" t="s">
        <v>64</v>
      </c>
      <c r="I40" s="12" t="s">
        <v>219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300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6">
        <v>300</v>
      </c>
      <c r="BN40" s="9">
        <f t="shared" si="0"/>
        <v>300</v>
      </c>
      <c r="BO40" s="9">
        <f t="shared" si="1"/>
        <v>210</v>
      </c>
    </row>
    <row r="41" spans="1:67" ht="24" x14ac:dyDescent="0.3">
      <c r="A41" s="8" t="s">
        <v>71</v>
      </c>
      <c r="B41" s="10" t="s">
        <v>203</v>
      </c>
      <c r="C41" s="10">
        <v>379813</v>
      </c>
      <c r="D41" s="11"/>
      <c r="E41" s="10" t="s">
        <v>16</v>
      </c>
      <c r="F41" s="10" t="s">
        <v>28</v>
      </c>
      <c r="G41" s="10" t="s">
        <v>11</v>
      </c>
      <c r="H41" s="12" t="s">
        <v>7</v>
      </c>
      <c r="I41" s="12" t="s">
        <v>204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2</v>
      </c>
      <c r="AF41" s="12">
        <v>0</v>
      </c>
      <c r="AG41" s="12">
        <v>200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6">
        <v>200</v>
      </c>
      <c r="BN41" s="9">
        <f t="shared" si="0"/>
        <v>200</v>
      </c>
      <c r="BO41" s="9">
        <f t="shared" si="1"/>
        <v>140</v>
      </c>
    </row>
    <row r="42" spans="1:67" ht="24" x14ac:dyDescent="0.3">
      <c r="A42" s="8" t="s">
        <v>71</v>
      </c>
      <c r="B42" s="10" t="s">
        <v>258</v>
      </c>
      <c r="C42" s="10">
        <v>376361</v>
      </c>
      <c r="D42" s="11"/>
      <c r="E42" s="10" t="s">
        <v>16</v>
      </c>
      <c r="F42" s="10" t="s">
        <v>42</v>
      </c>
      <c r="G42" s="10" t="s">
        <v>31</v>
      </c>
      <c r="H42" s="12" t="s">
        <v>8</v>
      </c>
      <c r="I42" s="12" t="s">
        <v>259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2</v>
      </c>
      <c r="AF42" s="12">
        <v>200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6">
        <v>200</v>
      </c>
      <c r="BN42" s="9">
        <f t="shared" si="0"/>
        <v>200</v>
      </c>
      <c r="BO42" s="9">
        <f t="shared" si="1"/>
        <v>140</v>
      </c>
    </row>
    <row r="43" spans="1:67" ht="24" x14ac:dyDescent="0.3">
      <c r="A43" s="8" t="s">
        <v>71</v>
      </c>
      <c r="B43" s="10" t="s">
        <v>198</v>
      </c>
      <c r="C43" s="10">
        <v>359912</v>
      </c>
      <c r="D43" s="11"/>
      <c r="E43" s="10" t="s">
        <v>16</v>
      </c>
      <c r="F43" s="10" t="s">
        <v>59</v>
      </c>
      <c r="G43" s="10" t="s">
        <v>31</v>
      </c>
      <c r="H43" s="12" t="s">
        <v>8</v>
      </c>
      <c r="I43" s="12" t="s">
        <v>199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2</v>
      </c>
      <c r="AF43" s="12">
        <v>200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6">
        <v>200</v>
      </c>
      <c r="BN43" s="9">
        <f t="shared" ref="BN43:BN105" si="2">BM43-BL43</f>
        <v>200</v>
      </c>
      <c r="BO43" s="9">
        <f t="shared" ref="BO43:BO105" si="3">BN43*70%</f>
        <v>140</v>
      </c>
    </row>
    <row r="44" spans="1:67" ht="24" x14ac:dyDescent="0.3">
      <c r="A44" s="8" t="s">
        <v>71</v>
      </c>
      <c r="B44" s="10" t="s">
        <v>260</v>
      </c>
      <c r="C44" s="10">
        <v>425289</v>
      </c>
      <c r="D44" s="11"/>
      <c r="E44" s="10" t="s">
        <v>16</v>
      </c>
      <c r="F44" s="10" t="s">
        <v>261</v>
      </c>
      <c r="G44" s="10" t="s">
        <v>11</v>
      </c>
      <c r="H44" s="12" t="s">
        <v>7</v>
      </c>
      <c r="I44" s="12" t="s">
        <v>262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2</v>
      </c>
      <c r="AF44" s="12">
        <v>200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6">
        <v>200</v>
      </c>
      <c r="BN44" s="9">
        <f t="shared" si="2"/>
        <v>200</v>
      </c>
      <c r="BO44" s="9">
        <f t="shared" si="3"/>
        <v>140</v>
      </c>
    </row>
    <row r="45" spans="1:67" ht="24" x14ac:dyDescent="0.3">
      <c r="A45" s="8" t="s">
        <v>71</v>
      </c>
      <c r="B45" s="10" t="s">
        <v>263</v>
      </c>
      <c r="C45" s="10">
        <v>464776</v>
      </c>
      <c r="D45" s="11"/>
      <c r="E45" s="10" t="s">
        <v>16</v>
      </c>
      <c r="F45" s="10" t="s">
        <v>264</v>
      </c>
      <c r="G45" s="10" t="s">
        <v>76</v>
      </c>
      <c r="H45" s="12" t="s">
        <v>10</v>
      </c>
      <c r="I45" s="12" t="s">
        <v>265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2</v>
      </c>
      <c r="AF45" s="12">
        <v>200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6">
        <v>200</v>
      </c>
      <c r="BN45" s="9">
        <f t="shared" si="2"/>
        <v>200</v>
      </c>
      <c r="BO45" s="9">
        <f t="shared" si="3"/>
        <v>140</v>
      </c>
    </row>
    <row r="46" spans="1:67" ht="24" x14ac:dyDescent="0.3">
      <c r="A46" s="8" t="s">
        <v>71</v>
      </c>
      <c r="B46" s="10" t="s">
        <v>164</v>
      </c>
      <c r="C46" s="10">
        <v>355320</v>
      </c>
      <c r="D46" s="11"/>
      <c r="E46" s="10" t="s">
        <v>16</v>
      </c>
      <c r="F46" s="10" t="s">
        <v>165</v>
      </c>
      <c r="G46" s="10" t="s">
        <v>31</v>
      </c>
      <c r="H46" s="12" t="s">
        <v>8</v>
      </c>
      <c r="I46" s="12" t="s">
        <v>166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2</v>
      </c>
      <c r="AF46" s="12">
        <v>200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6">
        <v>200</v>
      </c>
      <c r="BN46" s="9">
        <f t="shared" si="2"/>
        <v>200</v>
      </c>
      <c r="BO46" s="9">
        <f t="shared" si="3"/>
        <v>140</v>
      </c>
    </row>
    <row r="47" spans="1:67" ht="24" x14ac:dyDescent="0.3">
      <c r="A47" s="8" t="s">
        <v>71</v>
      </c>
      <c r="B47" s="10" t="s">
        <v>266</v>
      </c>
      <c r="C47" s="10">
        <v>386960</v>
      </c>
      <c r="D47" s="11"/>
      <c r="E47" s="10" t="s">
        <v>16</v>
      </c>
      <c r="F47" s="10" t="s">
        <v>267</v>
      </c>
      <c r="G47" s="10" t="s">
        <v>11</v>
      </c>
      <c r="H47" s="12" t="s">
        <v>7</v>
      </c>
      <c r="I47" s="12" t="s">
        <v>268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2</v>
      </c>
      <c r="AF47" s="12">
        <v>200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6">
        <v>200</v>
      </c>
      <c r="BN47" s="9">
        <f t="shared" si="2"/>
        <v>200</v>
      </c>
      <c r="BO47" s="9">
        <f t="shared" si="3"/>
        <v>140</v>
      </c>
    </row>
    <row r="48" spans="1:67" ht="24" x14ac:dyDescent="0.3">
      <c r="A48" s="8" t="s">
        <v>71</v>
      </c>
      <c r="B48" s="10" t="s">
        <v>269</v>
      </c>
      <c r="C48" s="10">
        <v>440303</v>
      </c>
      <c r="D48" s="11"/>
      <c r="E48" s="10" t="s">
        <v>16</v>
      </c>
      <c r="F48" s="10" t="s">
        <v>270</v>
      </c>
      <c r="G48" s="10" t="s">
        <v>76</v>
      </c>
      <c r="H48" s="12" t="s">
        <v>7</v>
      </c>
      <c r="I48" s="12" t="s">
        <v>271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2</v>
      </c>
      <c r="AF48" s="12">
        <v>200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6">
        <v>200</v>
      </c>
      <c r="BN48" s="9">
        <f t="shared" si="2"/>
        <v>200</v>
      </c>
      <c r="BO48" s="9">
        <f t="shared" si="3"/>
        <v>140</v>
      </c>
    </row>
    <row r="49" spans="1:67" ht="24" x14ac:dyDescent="0.3">
      <c r="A49" s="8" t="s">
        <v>71</v>
      </c>
      <c r="B49" s="10" t="s">
        <v>201</v>
      </c>
      <c r="C49" s="10">
        <v>245889</v>
      </c>
      <c r="D49" s="11"/>
      <c r="E49" s="10" t="s">
        <v>16</v>
      </c>
      <c r="F49" s="10" t="s">
        <v>28</v>
      </c>
      <c r="G49" s="10" t="s">
        <v>11</v>
      </c>
      <c r="H49" s="12" t="s">
        <v>7</v>
      </c>
      <c r="I49" s="12" t="s">
        <v>202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1</v>
      </c>
      <c r="AF49" s="12">
        <v>100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6">
        <v>100</v>
      </c>
      <c r="BN49" s="9">
        <f t="shared" si="2"/>
        <v>100</v>
      </c>
      <c r="BO49" s="9">
        <f t="shared" si="3"/>
        <v>70</v>
      </c>
    </row>
    <row r="50" spans="1:67" ht="24" x14ac:dyDescent="0.3">
      <c r="A50" s="8" t="s">
        <v>71</v>
      </c>
      <c r="B50" s="10" t="s">
        <v>272</v>
      </c>
      <c r="C50" s="10">
        <v>433508</v>
      </c>
      <c r="D50" s="11"/>
      <c r="E50" s="10" t="s">
        <v>16</v>
      </c>
      <c r="F50" s="10" t="s">
        <v>273</v>
      </c>
      <c r="G50" s="10" t="s">
        <v>11</v>
      </c>
      <c r="H50" s="12" t="s">
        <v>7</v>
      </c>
      <c r="I50" s="12" t="s">
        <v>274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1</v>
      </c>
      <c r="AF50" s="12">
        <v>100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6">
        <v>100</v>
      </c>
      <c r="BN50" s="9">
        <f t="shared" si="2"/>
        <v>100</v>
      </c>
      <c r="BO50" s="9">
        <f t="shared" si="3"/>
        <v>70</v>
      </c>
    </row>
    <row r="51" spans="1:67" ht="24" x14ac:dyDescent="0.3">
      <c r="A51" s="8" t="s">
        <v>71</v>
      </c>
      <c r="B51" s="10" t="s">
        <v>210</v>
      </c>
      <c r="C51" s="10">
        <v>395270</v>
      </c>
      <c r="D51" s="11"/>
      <c r="E51" s="10" t="s">
        <v>16</v>
      </c>
      <c r="F51" s="10" t="s">
        <v>30</v>
      </c>
      <c r="G51" s="10" t="s">
        <v>31</v>
      </c>
      <c r="H51" s="12" t="s">
        <v>8</v>
      </c>
      <c r="I51" s="12" t="s">
        <v>32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1</v>
      </c>
      <c r="AF51" s="12">
        <v>100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6">
        <v>100</v>
      </c>
      <c r="BN51" s="9">
        <f t="shared" si="2"/>
        <v>100</v>
      </c>
      <c r="BO51" s="9">
        <f t="shared" si="3"/>
        <v>70</v>
      </c>
    </row>
    <row r="52" spans="1:67" ht="24" x14ac:dyDescent="0.3">
      <c r="A52" s="8" t="s">
        <v>71</v>
      </c>
      <c r="B52" s="10" t="s">
        <v>275</v>
      </c>
      <c r="C52" s="10">
        <v>445688</v>
      </c>
      <c r="D52" s="11"/>
      <c r="E52" s="10" t="s">
        <v>16</v>
      </c>
      <c r="F52" s="10" t="s">
        <v>22</v>
      </c>
      <c r="G52" s="10" t="s">
        <v>11</v>
      </c>
      <c r="H52" s="12" t="s">
        <v>7</v>
      </c>
      <c r="I52" s="12" t="s">
        <v>276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1</v>
      </c>
      <c r="AF52" s="12">
        <v>100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6">
        <v>100</v>
      </c>
      <c r="BN52" s="9">
        <f t="shared" si="2"/>
        <v>100</v>
      </c>
      <c r="BO52" s="9">
        <f t="shared" si="3"/>
        <v>70</v>
      </c>
    </row>
    <row r="53" spans="1:67" ht="24" x14ac:dyDescent="0.3">
      <c r="A53" s="8" t="s">
        <v>71</v>
      </c>
      <c r="B53" s="10" t="s">
        <v>160</v>
      </c>
      <c r="C53" s="10">
        <v>481322</v>
      </c>
      <c r="D53" s="11"/>
      <c r="E53" s="10" t="s">
        <v>16</v>
      </c>
      <c r="F53" s="10" t="s">
        <v>161</v>
      </c>
      <c r="G53" s="10" t="s">
        <v>11</v>
      </c>
      <c r="H53" s="12" t="s">
        <v>7</v>
      </c>
      <c r="I53" s="12" t="s">
        <v>155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1</v>
      </c>
      <c r="AR53" s="12">
        <v>100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6">
        <v>100</v>
      </c>
      <c r="BN53" s="9">
        <f t="shared" si="2"/>
        <v>100</v>
      </c>
      <c r="BO53" s="9">
        <f t="shared" si="3"/>
        <v>70</v>
      </c>
    </row>
    <row r="54" spans="1:67" ht="24" x14ac:dyDescent="0.3">
      <c r="A54" s="8" t="s">
        <v>71</v>
      </c>
      <c r="B54" s="10" t="s">
        <v>277</v>
      </c>
      <c r="C54" s="10">
        <v>387942</v>
      </c>
      <c r="D54" s="11"/>
      <c r="E54" s="10" t="s">
        <v>16</v>
      </c>
      <c r="F54" s="10" t="s">
        <v>278</v>
      </c>
      <c r="G54" s="10" t="s">
        <v>11</v>
      </c>
      <c r="H54" s="12" t="s">
        <v>7</v>
      </c>
      <c r="I54" s="12" t="s">
        <v>279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1</v>
      </c>
      <c r="AR54" s="12">
        <v>100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6">
        <v>100</v>
      </c>
      <c r="BN54" s="9">
        <f t="shared" si="2"/>
        <v>100</v>
      </c>
      <c r="BO54" s="9">
        <f t="shared" si="3"/>
        <v>70</v>
      </c>
    </row>
    <row r="55" spans="1:67" ht="24" x14ac:dyDescent="0.3">
      <c r="A55" s="8" t="s">
        <v>71</v>
      </c>
      <c r="B55" s="10" t="s">
        <v>47</v>
      </c>
      <c r="C55" s="10">
        <v>387417</v>
      </c>
      <c r="D55" s="11"/>
      <c r="E55" s="10" t="s">
        <v>16</v>
      </c>
      <c r="F55" s="10" t="s">
        <v>48</v>
      </c>
      <c r="G55" s="10" t="s">
        <v>11</v>
      </c>
      <c r="H55" s="12" t="s">
        <v>7</v>
      </c>
      <c r="I55" s="12" t="s">
        <v>49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1</v>
      </c>
      <c r="AF55" s="12">
        <v>100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6">
        <v>100</v>
      </c>
      <c r="BN55" s="9">
        <f t="shared" si="2"/>
        <v>100</v>
      </c>
      <c r="BO55" s="9">
        <f t="shared" si="3"/>
        <v>70</v>
      </c>
    </row>
    <row r="56" spans="1:67" ht="24" x14ac:dyDescent="0.3">
      <c r="A56" s="8" t="s">
        <v>71</v>
      </c>
      <c r="B56" s="10" t="s">
        <v>44</v>
      </c>
      <c r="C56" s="10">
        <v>459997</v>
      </c>
      <c r="D56" s="11"/>
      <c r="E56" s="10" t="s">
        <v>16</v>
      </c>
      <c r="F56" s="10" t="s">
        <v>45</v>
      </c>
      <c r="G56" s="10" t="s">
        <v>11</v>
      </c>
      <c r="H56" s="12" t="s">
        <v>7</v>
      </c>
      <c r="I56" s="12" t="s">
        <v>280</v>
      </c>
      <c r="J56" s="12">
        <v>0</v>
      </c>
      <c r="K56" s="12">
        <v>7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1</v>
      </c>
      <c r="AF56" s="12">
        <v>100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6">
        <v>100</v>
      </c>
      <c r="BN56" s="9">
        <f t="shared" si="2"/>
        <v>100</v>
      </c>
      <c r="BO56" s="9">
        <f t="shared" si="3"/>
        <v>70</v>
      </c>
    </row>
    <row r="57" spans="1:67" ht="24" x14ac:dyDescent="0.3">
      <c r="A57" s="8" t="s">
        <v>71</v>
      </c>
      <c r="B57" s="10" t="s">
        <v>205</v>
      </c>
      <c r="C57" s="10">
        <v>381176</v>
      </c>
      <c r="D57" s="11"/>
      <c r="E57" s="10" t="s">
        <v>16</v>
      </c>
      <c r="F57" s="10" t="s">
        <v>36</v>
      </c>
      <c r="G57" s="10" t="s">
        <v>11</v>
      </c>
      <c r="H57" s="12" t="s">
        <v>7</v>
      </c>
      <c r="I57" s="12" t="s">
        <v>206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1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1</v>
      </c>
      <c r="AF57" s="12">
        <v>100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6">
        <v>100</v>
      </c>
      <c r="BN57" s="9">
        <f t="shared" si="2"/>
        <v>100</v>
      </c>
      <c r="BO57" s="9">
        <f t="shared" si="3"/>
        <v>70</v>
      </c>
    </row>
    <row r="58" spans="1:67" ht="24" x14ac:dyDescent="0.3">
      <c r="A58" s="8" t="s">
        <v>71</v>
      </c>
      <c r="B58" s="10" t="s">
        <v>195</v>
      </c>
      <c r="C58" s="10">
        <v>434558</v>
      </c>
      <c r="D58" s="11"/>
      <c r="E58" s="10" t="s">
        <v>16</v>
      </c>
      <c r="F58" s="10" t="s">
        <v>196</v>
      </c>
      <c r="G58" s="10" t="s">
        <v>11</v>
      </c>
      <c r="H58" s="12" t="s">
        <v>7</v>
      </c>
      <c r="I58" s="12" t="s">
        <v>197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1</v>
      </c>
      <c r="AF58" s="12">
        <v>100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6">
        <v>100</v>
      </c>
      <c r="BN58" s="9">
        <f t="shared" si="2"/>
        <v>100</v>
      </c>
      <c r="BO58" s="9">
        <f t="shared" si="3"/>
        <v>70</v>
      </c>
    </row>
    <row r="59" spans="1:67" ht="24" x14ac:dyDescent="0.3">
      <c r="A59" s="8" t="s">
        <v>71</v>
      </c>
      <c r="B59" s="10" t="s">
        <v>77</v>
      </c>
      <c r="C59" s="10">
        <v>476035</v>
      </c>
      <c r="D59" s="11"/>
      <c r="E59" s="10" t="s">
        <v>16</v>
      </c>
      <c r="F59" s="10" t="s">
        <v>78</v>
      </c>
      <c r="G59" s="10" t="s">
        <v>76</v>
      </c>
      <c r="H59" s="12" t="s">
        <v>10</v>
      </c>
      <c r="I59" s="12" t="s">
        <v>72</v>
      </c>
      <c r="J59" s="12">
        <v>0</v>
      </c>
      <c r="K59" s="12">
        <v>56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1</v>
      </c>
      <c r="AF59" s="12">
        <v>100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6">
        <v>100</v>
      </c>
      <c r="BN59" s="9">
        <f t="shared" si="2"/>
        <v>100</v>
      </c>
      <c r="BO59" s="9">
        <f t="shared" si="3"/>
        <v>70</v>
      </c>
    </row>
    <row r="60" spans="1:67" ht="24" x14ac:dyDescent="0.3">
      <c r="A60" s="8" t="s">
        <v>71</v>
      </c>
      <c r="B60" s="10" t="s">
        <v>79</v>
      </c>
      <c r="C60" s="10">
        <v>476783</v>
      </c>
      <c r="D60" s="11"/>
      <c r="E60" s="10" t="s">
        <v>16</v>
      </c>
      <c r="F60" s="10" t="s">
        <v>80</v>
      </c>
      <c r="G60" s="10" t="s">
        <v>31</v>
      </c>
      <c r="H60" s="12" t="s">
        <v>8</v>
      </c>
      <c r="I60" s="12" t="s">
        <v>81</v>
      </c>
      <c r="J60" s="12">
        <v>0</v>
      </c>
      <c r="K60" s="12">
        <v>22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6">
        <v>0</v>
      </c>
      <c r="BN60" s="9">
        <f t="shared" si="2"/>
        <v>0</v>
      </c>
      <c r="BO60" s="9">
        <f t="shared" si="3"/>
        <v>0</v>
      </c>
    </row>
    <row r="61" spans="1:67" ht="24" x14ac:dyDescent="0.3">
      <c r="A61" s="8" t="s">
        <v>71</v>
      </c>
      <c r="B61" s="10" t="s">
        <v>41</v>
      </c>
      <c r="C61" s="10">
        <v>412919</v>
      </c>
      <c r="D61" s="11"/>
      <c r="E61" s="10" t="s">
        <v>16</v>
      </c>
      <c r="F61" s="10" t="s">
        <v>42</v>
      </c>
      <c r="G61" s="10" t="s">
        <v>31</v>
      </c>
      <c r="H61" s="12" t="s">
        <v>8</v>
      </c>
      <c r="I61" s="12" t="s">
        <v>43</v>
      </c>
      <c r="J61" s="12">
        <v>0</v>
      </c>
      <c r="K61" s="12">
        <v>14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6">
        <v>0</v>
      </c>
      <c r="BN61" s="9">
        <f t="shared" si="2"/>
        <v>0</v>
      </c>
      <c r="BO61" s="9">
        <f t="shared" si="3"/>
        <v>0</v>
      </c>
    </row>
    <row r="62" spans="1:67" ht="24" x14ac:dyDescent="0.3">
      <c r="A62" s="8" t="s">
        <v>82</v>
      </c>
      <c r="B62" s="10" t="s">
        <v>239</v>
      </c>
      <c r="C62" s="10">
        <v>486613</v>
      </c>
      <c r="D62" s="11"/>
      <c r="E62" s="10" t="s">
        <v>16</v>
      </c>
      <c r="F62" s="10" t="s">
        <v>240</v>
      </c>
      <c r="G62" s="10" t="s">
        <v>76</v>
      </c>
      <c r="H62" s="12" t="s">
        <v>10</v>
      </c>
      <c r="I62" s="12" t="s">
        <v>177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617</v>
      </c>
      <c r="AF62" s="13">
        <v>60720</v>
      </c>
      <c r="AG62" s="13">
        <v>1000</v>
      </c>
      <c r="AH62" s="12">
        <v>0</v>
      </c>
      <c r="AI62" s="12">
        <v>0</v>
      </c>
      <c r="AJ62" s="12">
        <v>0</v>
      </c>
      <c r="AK62" s="12">
        <v>82</v>
      </c>
      <c r="AL62" s="13">
        <v>9840</v>
      </c>
      <c r="AM62" s="12">
        <v>0</v>
      </c>
      <c r="AN62" s="12">
        <v>0</v>
      </c>
      <c r="AO62" s="12">
        <v>0</v>
      </c>
      <c r="AP62" s="12">
        <v>0</v>
      </c>
      <c r="AQ62" s="12">
        <v>340</v>
      </c>
      <c r="AR62" s="13">
        <v>33100</v>
      </c>
      <c r="AS62" s="12">
        <v>900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33</v>
      </c>
      <c r="BD62" s="13">
        <v>3960</v>
      </c>
      <c r="BE62" s="12">
        <v>0</v>
      </c>
      <c r="BF62" s="12">
        <v>0</v>
      </c>
      <c r="BG62" s="12">
        <v>0</v>
      </c>
      <c r="BH62" s="12">
        <v>0</v>
      </c>
      <c r="BI62" s="12">
        <v>123</v>
      </c>
      <c r="BJ62" s="13">
        <v>14760</v>
      </c>
      <c r="BK62" s="12">
        <v>0</v>
      </c>
      <c r="BL62" s="15">
        <v>3927.6</v>
      </c>
      <c r="BM62" s="14">
        <v>124280</v>
      </c>
      <c r="BN62" s="9">
        <f t="shared" si="2"/>
        <v>120352.4</v>
      </c>
      <c r="BO62" s="9">
        <f t="shared" si="3"/>
        <v>84246.68</v>
      </c>
    </row>
    <row r="63" spans="1:67" ht="24" x14ac:dyDescent="0.3">
      <c r="A63" s="8" t="s">
        <v>82</v>
      </c>
      <c r="B63" s="10" t="s">
        <v>140</v>
      </c>
      <c r="C63" s="10">
        <v>324335</v>
      </c>
      <c r="D63" s="11"/>
      <c r="E63" s="10" t="s">
        <v>16</v>
      </c>
      <c r="F63" s="10" t="s">
        <v>28</v>
      </c>
      <c r="G63" s="10" t="s">
        <v>11</v>
      </c>
      <c r="H63" s="12" t="s">
        <v>10</v>
      </c>
      <c r="I63" s="12" t="s">
        <v>141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21</v>
      </c>
      <c r="AF63" s="13">
        <v>67200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14</v>
      </c>
      <c r="AR63" s="13">
        <v>43000</v>
      </c>
      <c r="AS63" s="13">
        <v>1800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4">
        <v>112000</v>
      </c>
      <c r="BN63" s="9">
        <f t="shared" si="2"/>
        <v>112000</v>
      </c>
      <c r="BO63" s="9">
        <f t="shared" si="3"/>
        <v>78400</v>
      </c>
    </row>
    <row r="64" spans="1:67" ht="24" x14ac:dyDescent="0.3">
      <c r="A64" s="8" t="s">
        <v>82</v>
      </c>
      <c r="B64" s="10" t="s">
        <v>66</v>
      </c>
      <c r="C64" s="10">
        <v>472512</v>
      </c>
      <c r="D64" s="11"/>
      <c r="E64" s="10" t="s">
        <v>16</v>
      </c>
      <c r="F64" s="10" t="s">
        <v>36</v>
      </c>
      <c r="G64" s="10" t="s">
        <v>11</v>
      </c>
      <c r="H64" s="12" t="s">
        <v>7</v>
      </c>
      <c r="I64" s="12" t="s">
        <v>232</v>
      </c>
      <c r="J64" s="12">
        <v>0</v>
      </c>
      <c r="K64" s="12">
        <v>29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481</v>
      </c>
      <c r="AF64" s="13">
        <v>45600</v>
      </c>
      <c r="AG64" s="13">
        <v>2500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156</v>
      </c>
      <c r="AR64" s="13">
        <v>14800</v>
      </c>
      <c r="AS64" s="12">
        <v>800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5</v>
      </c>
      <c r="BD64" s="12">
        <v>600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36</v>
      </c>
      <c r="BM64" s="14">
        <v>64300</v>
      </c>
      <c r="BN64" s="9">
        <f t="shared" si="2"/>
        <v>64264</v>
      </c>
      <c r="BO64" s="9">
        <f t="shared" si="3"/>
        <v>44984.799999999996</v>
      </c>
    </row>
    <row r="65" spans="1:67" ht="24" x14ac:dyDescent="0.3">
      <c r="A65" s="8" t="s">
        <v>82</v>
      </c>
      <c r="B65" s="10" t="s">
        <v>245</v>
      </c>
      <c r="C65" s="10">
        <v>479547</v>
      </c>
      <c r="D65" s="11"/>
      <c r="E65" s="10" t="s">
        <v>16</v>
      </c>
      <c r="F65" s="10" t="s">
        <v>246</v>
      </c>
      <c r="G65" s="10" t="s">
        <v>11</v>
      </c>
      <c r="H65" s="12" t="s">
        <v>7</v>
      </c>
      <c r="I65" s="12" t="s">
        <v>232</v>
      </c>
      <c r="J65" s="12">
        <v>0</v>
      </c>
      <c r="K65" s="12">
        <v>35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256</v>
      </c>
      <c r="AF65" s="13">
        <v>24500</v>
      </c>
      <c r="AG65" s="13">
        <v>1100</v>
      </c>
      <c r="AH65" s="12">
        <v>0</v>
      </c>
      <c r="AI65" s="12">
        <v>0</v>
      </c>
      <c r="AJ65" s="12">
        <v>0</v>
      </c>
      <c r="AK65" s="12">
        <v>24</v>
      </c>
      <c r="AL65" s="13">
        <v>2880</v>
      </c>
      <c r="AM65" s="12">
        <v>0</v>
      </c>
      <c r="AN65" s="12">
        <v>0</v>
      </c>
      <c r="AO65" s="12">
        <v>0</v>
      </c>
      <c r="AP65" s="12">
        <v>0</v>
      </c>
      <c r="AQ65" s="12">
        <v>227</v>
      </c>
      <c r="AR65" s="13">
        <v>21900</v>
      </c>
      <c r="AS65" s="12">
        <v>800</v>
      </c>
      <c r="AT65" s="12">
        <v>0</v>
      </c>
      <c r="AU65" s="12">
        <v>0</v>
      </c>
      <c r="AV65" s="12">
        <v>0</v>
      </c>
      <c r="AW65" s="12">
        <v>6</v>
      </c>
      <c r="AX65" s="12">
        <v>720</v>
      </c>
      <c r="AY65" s="12">
        <v>0</v>
      </c>
      <c r="AZ65" s="12">
        <v>0</v>
      </c>
      <c r="BA65" s="12">
        <v>0</v>
      </c>
      <c r="BB65" s="12">
        <v>0</v>
      </c>
      <c r="BC65" s="12">
        <v>1</v>
      </c>
      <c r="BD65" s="12">
        <v>120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943.2</v>
      </c>
      <c r="BM65" s="14">
        <v>52020</v>
      </c>
      <c r="BN65" s="9">
        <f t="shared" si="2"/>
        <v>51076.800000000003</v>
      </c>
      <c r="BO65" s="9">
        <f t="shared" si="3"/>
        <v>35753.760000000002</v>
      </c>
    </row>
    <row r="66" spans="1:67" ht="24" x14ac:dyDescent="0.3">
      <c r="A66" s="8" t="s">
        <v>82</v>
      </c>
      <c r="B66" s="10" t="s">
        <v>33</v>
      </c>
      <c r="C66" s="10">
        <v>178856</v>
      </c>
      <c r="D66" s="11"/>
      <c r="E66" s="10" t="s">
        <v>16</v>
      </c>
      <c r="F66" s="10" t="s">
        <v>28</v>
      </c>
      <c r="G66" s="10" t="s">
        <v>11</v>
      </c>
      <c r="H66" s="12" t="s">
        <v>10</v>
      </c>
      <c r="I66" s="12" t="s">
        <v>34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210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313</v>
      </c>
      <c r="AF66" s="13">
        <v>29000</v>
      </c>
      <c r="AG66" s="13">
        <v>2300</v>
      </c>
      <c r="AH66" s="12">
        <v>0</v>
      </c>
      <c r="AI66" s="12">
        <v>0</v>
      </c>
      <c r="AJ66" s="12">
        <v>0</v>
      </c>
      <c r="AK66" s="12">
        <v>2</v>
      </c>
      <c r="AL66" s="12">
        <v>240</v>
      </c>
      <c r="AM66" s="12">
        <v>0</v>
      </c>
      <c r="AN66" s="12">
        <v>0</v>
      </c>
      <c r="AO66" s="12">
        <v>0</v>
      </c>
      <c r="AP66" s="12">
        <v>0</v>
      </c>
      <c r="AQ66" s="12">
        <v>4</v>
      </c>
      <c r="AR66" s="12">
        <v>400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140</v>
      </c>
      <c r="BD66" s="13">
        <v>16800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5">
        <v>1080</v>
      </c>
      <c r="BM66" s="14">
        <v>48740</v>
      </c>
      <c r="BN66" s="9">
        <f t="shared" si="2"/>
        <v>47660</v>
      </c>
      <c r="BO66" s="9">
        <f t="shared" si="3"/>
        <v>33362</v>
      </c>
    </row>
    <row r="67" spans="1:67" ht="24" x14ac:dyDescent="0.3">
      <c r="A67" s="8" t="s">
        <v>82</v>
      </c>
      <c r="B67" s="10" t="s">
        <v>35</v>
      </c>
      <c r="C67" s="10">
        <v>454534</v>
      </c>
      <c r="D67" s="11"/>
      <c r="E67" s="10" t="s">
        <v>16</v>
      </c>
      <c r="F67" s="10" t="s">
        <v>36</v>
      </c>
      <c r="G67" s="10" t="s">
        <v>11</v>
      </c>
      <c r="H67" s="12" t="s">
        <v>7</v>
      </c>
      <c r="I67" s="12" t="s">
        <v>142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219</v>
      </c>
      <c r="AF67" s="13">
        <v>21400</v>
      </c>
      <c r="AG67" s="12">
        <v>500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170</v>
      </c>
      <c r="AR67" s="13">
        <v>16600</v>
      </c>
      <c r="AS67" s="12">
        <v>400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4">
        <v>38900</v>
      </c>
      <c r="BN67" s="9">
        <f t="shared" si="2"/>
        <v>38900</v>
      </c>
      <c r="BO67" s="9">
        <f t="shared" si="3"/>
        <v>27230</v>
      </c>
    </row>
    <row r="68" spans="1:67" ht="24" x14ac:dyDescent="0.3">
      <c r="A68" s="8" t="s">
        <v>82</v>
      </c>
      <c r="B68" s="10" t="s">
        <v>41</v>
      </c>
      <c r="C68" s="10">
        <v>412919</v>
      </c>
      <c r="D68" s="11"/>
      <c r="E68" s="10" t="s">
        <v>16</v>
      </c>
      <c r="F68" s="10" t="s">
        <v>42</v>
      </c>
      <c r="G68" s="10" t="s">
        <v>31</v>
      </c>
      <c r="H68" s="12" t="s">
        <v>8</v>
      </c>
      <c r="I68" s="12" t="s">
        <v>43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326</v>
      </c>
      <c r="AF68" s="13">
        <v>32600</v>
      </c>
      <c r="AG68" s="12">
        <v>0</v>
      </c>
      <c r="AH68" s="12">
        <v>0</v>
      </c>
      <c r="AI68" s="12">
        <v>0</v>
      </c>
      <c r="AJ68" s="12">
        <v>0</v>
      </c>
      <c r="AK68" s="12">
        <v>34</v>
      </c>
      <c r="AL68" s="13">
        <v>3000</v>
      </c>
      <c r="AM68" s="12">
        <v>900</v>
      </c>
      <c r="AN68" s="12">
        <v>0</v>
      </c>
      <c r="AO68" s="12">
        <v>0</v>
      </c>
      <c r="AP68" s="12">
        <v>0</v>
      </c>
      <c r="AQ68" s="12">
        <v>1</v>
      </c>
      <c r="AR68" s="12">
        <v>100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900</v>
      </c>
      <c r="BM68" s="14">
        <v>36600</v>
      </c>
      <c r="BN68" s="9">
        <f t="shared" si="2"/>
        <v>35700</v>
      </c>
      <c r="BO68" s="9">
        <f t="shared" si="3"/>
        <v>24990</v>
      </c>
    </row>
    <row r="69" spans="1:67" ht="24" x14ac:dyDescent="0.3">
      <c r="A69" s="8" t="s">
        <v>82</v>
      </c>
      <c r="B69" s="10" t="s">
        <v>252</v>
      </c>
      <c r="C69" s="10">
        <v>211158</v>
      </c>
      <c r="D69" s="11"/>
      <c r="E69" s="10" t="s">
        <v>16</v>
      </c>
      <c r="F69" s="10" t="s">
        <v>28</v>
      </c>
      <c r="G69" s="10" t="s">
        <v>11</v>
      </c>
      <c r="H69" s="12" t="s">
        <v>7</v>
      </c>
      <c r="I69" s="12" t="s">
        <v>253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229</v>
      </c>
      <c r="AF69" s="13">
        <v>22900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4">
        <v>22900</v>
      </c>
      <c r="BN69" s="9">
        <f t="shared" si="2"/>
        <v>22900</v>
      </c>
      <c r="BO69" s="9">
        <f t="shared" si="3"/>
        <v>16029.999999999998</v>
      </c>
    </row>
    <row r="70" spans="1:67" ht="24" x14ac:dyDescent="0.3">
      <c r="A70" s="8" t="s">
        <v>82</v>
      </c>
      <c r="B70" s="10" t="s">
        <v>15</v>
      </c>
      <c r="C70" s="10">
        <v>465248</v>
      </c>
      <c r="D70" s="11"/>
      <c r="E70" s="10" t="s">
        <v>16</v>
      </c>
      <c r="F70" s="10" t="s">
        <v>17</v>
      </c>
      <c r="G70" s="10" t="s">
        <v>76</v>
      </c>
      <c r="H70" s="12" t="s">
        <v>10</v>
      </c>
      <c r="I70" s="12" t="s">
        <v>18</v>
      </c>
      <c r="J70" s="12">
        <v>0</v>
      </c>
      <c r="K70" s="12">
        <v>11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134</v>
      </c>
      <c r="AF70" s="13">
        <v>12400</v>
      </c>
      <c r="AG70" s="13">
        <v>1000</v>
      </c>
      <c r="AH70" s="12">
        <v>0</v>
      </c>
      <c r="AI70" s="12">
        <v>0</v>
      </c>
      <c r="AJ70" s="12">
        <v>0</v>
      </c>
      <c r="AK70" s="12">
        <v>57</v>
      </c>
      <c r="AL70" s="13">
        <v>6840</v>
      </c>
      <c r="AM70" s="12">
        <v>0</v>
      </c>
      <c r="AN70" s="12">
        <v>0</v>
      </c>
      <c r="AO70" s="12">
        <v>0</v>
      </c>
      <c r="AP70" s="12">
        <v>0</v>
      </c>
      <c r="AQ70" s="12">
        <v>4</v>
      </c>
      <c r="AR70" s="12">
        <v>400</v>
      </c>
      <c r="AS70" s="12">
        <v>0</v>
      </c>
      <c r="AT70" s="12">
        <v>0</v>
      </c>
      <c r="AU70" s="12">
        <v>0</v>
      </c>
      <c r="AV70" s="12">
        <v>0</v>
      </c>
      <c r="AW70" s="12">
        <v>11</v>
      </c>
      <c r="AX70" s="13">
        <v>1320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5">
        <v>2184</v>
      </c>
      <c r="BM70" s="14">
        <v>21960</v>
      </c>
      <c r="BN70" s="9">
        <f t="shared" si="2"/>
        <v>19776</v>
      </c>
      <c r="BO70" s="9">
        <f t="shared" si="3"/>
        <v>13843.199999999999</v>
      </c>
    </row>
    <row r="71" spans="1:67" ht="24" x14ac:dyDescent="0.3">
      <c r="A71" s="8" t="s">
        <v>82</v>
      </c>
      <c r="B71" s="10" t="s">
        <v>67</v>
      </c>
      <c r="C71" s="10">
        <v>370935</v>
      </c>
      <c r="D71" s="11"/>
      <c r="E71" s="10" t="s">
        <v>16</v>
      </c>
      <c r="F71" s="10" t="s">
        <v>28</v>
      </c>
      <c r="G71" s="10" t="s">
        <v>11</v>
      </c>
      <c r="H71" s="12" t="s">
        <v>7</v>
      </c>
      <c r="I71" s="12" t="s">
        <v>68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3</v>
      </c>
      <c r="AF71" s="13">
        <v>6900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4</v>
      </c>
      <c r="BD71" s="13">
        <v>14760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885.6</v>
      </c>
      <c r="BM71" s="14">
        <v>21660</v>
      </c>
      <c r="BN71" s="9">
        <f t="shared" si="2"/>
        <v>20774.400000000001</v>
      </c>
      <c r="BO71" s="9">
        <f t="shared" si="3"/>
        <v>14542.08</v>
      </c>
    </row>
    <row r="72" spans="1:67" ht="24" x14ac:dyDescent="0.3">
      <c r="A72" s="8" t="s">
        <v>82</v>
      </c>
      <c r="B72" s="10" t="s">
        <v>258</v>
      </c>
      <c r="C72" s="10">
        <v>376361</v>
      </c>
      <c r="D72" s="11"/>
      <c r="E72" s="10" t="s">
        <v>16</v>
      </c>
      <c r="F72" s="10" t="s">
        <v>42</v>
      </c>
      <c r="G72" s="10" t="s">
        <v>31</v>
      </c>
      <c r="H72" s="12" t="s">
        <v>8</v>
      </c>
      <c r="I72" s="12" t="s">
        <v>259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150</v>
      </c>
      <c r="AF72" s="13">
        <v>14800</v>
      </c>
      <c r="AG72" s="12">
        <v>200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33</v>
      </c>
      <c r="AR72" s="13">
        <v>3300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4">
        <v>18300</v>
      </c>
      <c r="BN72" s="9">
        <f t="shared" si="2"/>
        <v>18300</v>
      </c>
      <c r="BO72" s="9">
        <f t="shared" si="3"/>
        <v>12810</v>
      </c>
    </row>
    <row r="73" spans="1:67" ht="24" x14ac:dyDescent="0.3">
      <c r="A73" s="8" t="s">
        <v>82</v>
      </c>
      <c r="B73" s="10" t="s">
        <v>189</v>
      </c>
      <c r="C73" s="10">
        <v>484300</v>
      </c>
      <c r="D73" s="11"/>
      <c r="E73" s="10" t="s">
        <v>16</v>
      </c>
      <c r="F73" s="10" t="s">
        <v>190</v>
      </c>
      <c r="G73" s="10" t="s">
        <v>11</v>
      </c>
      <c r="H73" s="12" t="s">
        <v>7</v>
      </c>
      <c r="I73" s="12" t="s">
        <v>191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40</v>
      </c>
      <c r="AF73" s="13">
        <v>4000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124</v>
      </c>
      <c r="AR73" s="13">
        <v>12200</v>
      </c>
      <c r="AS73" s="12">
        <v>200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4">
        <v>16400</v>
      </c>
      <c r="BN73" s="9">
        <f t="shared" si="2"/>
        <v>16400</v>
      </c>
      <c r="BO73" s="9">
        <f t="shared" si="3"/>
        <v>11480</v>
      </c>
    </row>
    <row r="74" spans="1:67" ht="24" x14ac:dyDescent="0.3">
      <c r="A74" s="8" t="s">
        <v>82</v>
      </c>
      <c r="B74" s="10" t="s">
        <v>208</v>
      </c>
      <c r="C74" s="10">
        <v>485788</v>
      </c>
      <c r="D74" s="11"/>
      <c r="E74" s="10" t="s">
        <v>16</v>
      </c>
      <c r="F74" s="10" t="s">
        <v>148</v>
      </c>
      <c r="G74" s="10" t="s">
        <v>11</v>
      </c>
      <c r="H74" s="12" t="s">
        <v>7</v>
      </c>
      <c r="I74" s="12" t="s">
        <v>209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4</v>
      </c>
      <c r="AF74" s="13">
        <v>12800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1</v>
      </c>
      <c r="AR74" s="13">
        <v>3200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4">
        <v>16000</v>
      </c>
      <c r="BN74" s="9">
        <f t="shared" si="2"/>
        <v>16000</v>
      </c>
      <c r="BO74" s="9">
        <f t="shared" si="3"/>
        <v>11200</v>
      </c>
    </row>
    <row r="75" spans="1:67" ht="24" x14ac:dyDescent="0.3">
      <c r="A75" s="8" t="s">
        <v>82</v>
      </c>
      <c r="B75" s="10" t="s">
        <v>205</v>
      </c>
      <c r="C75" s="10">
        <v>381176</v>
      </c>
      <c r="D75" s="11"/>
      <c r="E75" s="10" t="s">
        <v>16</v>
      </c>
      <c r="F75" s="10" t="s">
        <v>36</v>
      </c>
      <c r="G75" s="10" t="s">
        <v>11</v>
      </c>
      <c r="H75" s="12" t="s">
        <v>7</v>
      </c>
      <c r="I75" s="12" t="s">
        <v>206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3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145</v>
      </c>
      <c r="AF75" s="13">
        <v>14500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4">
        <v>14500</v>
      </c>
      <c r="BN75" s="9">
        <f t="shared" si="2"/>
        <v>14500</v>
      </c>
      <c r="BO75" s="9">
        <f t="shared" si="3"/>
        <v>10150</v>
      </c>
    </row>
    <row r="76" spans="1:67" ht="24" x14ac:dyDescent="0.3">
      <c r="A76" s="8" t="s">
        <v>82</v>
      </c>
      <c r="B76" s="10" t="s">
        <v>27</v>
      </c>
      <c r="C76" s="10">
        <v>369220</v>
      </c>
      <c r="D76" s="11"/>
      <c r="E76" s="10" t="s">
        <v>16</v>
      </c>
      <c r="F76" s="10" t="s">
        <v>28</v>
      </c>
      <c r="G76" s="10" t="s">
        <v>11</v>
      </c>
      <c r="H76" s="12" t="s">
        <v>7</v>
      </c>
      <c r="I76" s="12" t="s">
        <v>29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36</v>
      </c>
      <c r="AF76" s="13">
        <v>3600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98</v>
      </c>
      <c r="AR76" s="13">
        <v>9800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7</v>
      </c>
      <c r="BD76" s="12">
        <v>840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50.4</v>
      </c>
      <c r="BM76" s="14">
        <v>14240</v>
      </c>
      <c r="BN76" s="9">
        <f t="shared" si="2"/>
        <v>14189.6</v>
      </c>
      <c r="BO76" s="9">
        <f t="shared" si="3"/>
        <v>9932.7199999999993</v>
      </c>
    </row>
    <row r="77" spans="1:67" ht="24" x14ac:dyDescent="0.3">
      <c r="A77" s="8" t="s">
        <v>82</v>
      </c>
      <c r="B77" s="10" t="s">
        <v>201</v>
      </c>
      <c r="C77" s="10">
        <v>245889</v>
      </c>
      <c r="D77" s="11"/>
      <c r="E77" s="10" t="s">
        <v>16</v>
      </c>
      <c r="F77" s="10" t="s">
        <v>28</v>
      </c>
      <c r="G77" s="10" t="s">
        <v>11</v>
      </c>
      <c r="H77" s="12" t="s">
        <v>7</v>
      </c>
      <c r="I77" s="12" t="s">
        <v>202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129</v>
      </c>
      <c r="AF77" s="13">
        <v>12900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4">
        <v>12900</v>
      </c>
      <c r="BN77" s="9">
        <f t="shared" si="2"/>
        <v>12900</v>
      </c>
      <c r="BO77" s="9">
        <f t="shared" si="3"/>
        <v>9030</v>
      </c>
    </row>
    <row r="78" spans="1:67" ht="24" x14ac:dyDescent="0.3">
      <c r="A78" s="8" t="s">
        <v>82</v>
      </c>
      <c r="B78" s="10" t="s">
        <v>167</v>
      </c>
      <c r="C78" s="10">
        <v>478744</v>
      </c>
      <c r="D78" s="11"/>
      <c r="E78" s="10" t="s">
        <v>16</v>
      </c>
      <c r="F78" s="10" t="s">
        <v>168</v>
      </c>
      <c r="G78" s="10" t="s">
        <v>11</v>
      </c>
      <c r="H78" s="12" t="s">
        <v>7</v>
      </c>
      <c r="I78" s="12" t="s">
        <v>232</v>
      </c>
      <c r="J78" s="12">
        <v>0</v>
      </c>
      <c r="K78" s="12">
        <v>16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65</v>
      </c>
      <c r="AF78" s="13">
        <v>6400</v>
      </c>
      <c r="AG78" s="12">
        <v>100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3</v>
      </c>
      <c r="AR78" s="12">
        <v>300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44</v>
      </c>
      <c r="BD78" s="13">
        <v>5280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316.8</v>
      </c>
      <c r="BM78" s="14">
        <v>12080</v>
      </c>
      <c r="BN78" s="9">
        <f t="shared" si="2"/>
        <v>11763.2</v>
      </c>
      <c r="BO78" s="9">
        <f t="shared" si="3"/>
        <v>8234.24</v>
      </c>
    </row>
    <row r="79" spans="1:67" ht="24" x14ac:dyDescent="0.3">
      <c r="A79" s="8" t="s">
        <v>82</v>
      </c>
      <c r="B79" s="10" t="s">
        <v>149</v>
      </c>
      <c r="C79" s="10">
        <v>364724</v>
      </c>
      <c r="D79" s="11"/>
      <c r="E79" s="10" t="s">
        <v>16</v>
      </c>
      <c r="F79" s="10" t="s">
        <v>53</v>
      </c>
      <c r="G79" s="10" t="s">
        <v>11</v>
      </c>
      <c r="H79" s="12" t="s">
        <v>7</v>
      </c>
      <c r="I79" s="12" t="s">
        <v>150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78</v>
      </c>
      <c r="AF79" s="13">
        <v>7800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18</v>
      </c>
      <c r="BD79" s="13">
        <v>2160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129.6</v>
      </c>
      <c r="BM79" s="14">
        <v>9960</v>
      </c>
      <c r="BN79" s="9">
        <f t="shared" si="2"/>
        <v>9830.4</v>
      </c>
      <c r="BO79" s="9">
        <f t="shared" si="3"/>
        <v>6881.28</v>
      </c>
    </row>
    <row r="80" spans="1:67" ht="24" x14ac:dyDescent="0.3">
      <c r="A80" s="8" t="s">
        <v>82</v>
      </c>
      <c r="B80" s="10" t="s">
        <v>198</v>
      </c>
      <c r="C80" s="10">
        <v>359912</v>
      </c>
      <c r="D80" s="11"/>
      <c r="E80" s="10" t="s">
        <v>16</v>
      </c>
      <c r="F80" s="10" t="s">
        <v>59</v>
      </c>
      <c r="G80" s="10" t="s">
        <v>31</v>
      </c>
      <c r="H80" s="12" t="s">
        <v>8</v>
      </c>
      <c r="I80" s="12" t="s">
        <v>199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87</v>
      </c>
      <c r="AF80" s="13">
        <v>8700</v>
      </c>
      <c r="AG80" s="12">
        <v>0</v>
      </c>
      <c r="AH80" s="12">
        <v>0</v>
      </c>
      <c r="AI80" s="12">
        <v>0</v>
      </c>
      <c r="AJ80" s="12">
        <v>0</v>
      </c>
      <c r="AK80" s="12">
        <v>7</v>
      </c>
      <c r="AL80" s="12">
        <v>840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1</v>
      </c>
      <c r="AX80" s="12">
        <v>120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264</v>
      </c>
      <c r="BM80" s="14">
        <v>9660</v>
      </c>
      <c r="BN80" s="9">
        <f t="shared" si="2"/>
        <v>9396</v>
      </c>
      <c r="BO80" s="9">
        <f t="shared" si="3"/>
        <v>6577.2</v>
      </c>
    </row>
    <row r="81" spans="1:67" ht="24" x14ac:dyDescent="0.3">
      <c r="A81" s="8" t="s">
        <v>82</v>
      </c>
      <c r="B81" s="10" t="s">
        <v>73</v>
      </c>
      <c r="C81" s="10">
        <v>476003</v>
      </c>
      <c r="D81" s="11"/>
      <c r="E81" s="10" t="s">
        <v>16</v>
      </c>
      <c r="F81" s="10" t="s">
        <v>28</v>
      </c>
      <c r="G81" s="10" t="s">
        <v>11</v>
      </c>
      <c r="H81" s="12" t="s">
        <v>8</v>
      </c>
      <c r="I81" s="12" t="s">
        <v>72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3</v>
      </c>
      <c r="AR81" s="13">
        <v>7800</v>
      </c>
      <c r="AS81" s="13">
        <v>1800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4">
        <v>9600</v>
      </c>
      <c r="BN81" s="9">
        <f t="shared" si="2"/>
        <v>9600</v>
      </c>
      <c r="BO81" s="9">
        <f t="shared" si="3"/>
        <v>6720</v>
      </c>
    </row>
    <row r="82" spans="1:67" ht="24" x14ac:dyDescent="0.3">
      <c r="A82" s="8" t="s">
        <v>82</v>
      </c>
      <c r="B82" s="10" t="s">
        <v>26</v>
      </c>
      <c r="C82" s="10">
        <v>414278</v>
      </c>
      <c r="D82" s="11"/>
      <c r="E82" s="10" t="s">
        <v>16</v>
      </c>
      <c r="F82" s="10" t="s">
        <v>12</v>
      </c>
      <c r="G82" s="10" t="s">
        <v>11</v>
      </c>
      <c r="H82" s="12" t="s">
        <v>8</v>
      </c>
      <c r="I82" s="12" t="s">
        <v>72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1</v>
      </c>
      <c r="AF82" s="12">
        <v>0</v>
      </c>
      <c r="AG82" s="13">
        <v>2500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3</v>
      </c>
      <c r="AR82" s="13">
        <v>6900</v>
      </c>
      <c r="AS82" s="12">
        <v>200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4">
        <v>9600</v>
      </c>
      <c r="BN82" s="9">
        <f t="shared" si="2"/>
        <v>9600</v>
      </c>
      <c r="BO82" s="9">
        <f t="shared" si="3"/>
        <v>6720</v>
      </c>
    </row>
    <row r="83" spans="1:67" ht="24" x14ac:dyDescent="0.3">
      <c r="A83" s="8" t="s">
        <v>82</v>
      </c>
      <c r="B83" s="10" t="s">
        <v>19</v>
      </c>
      <c r="C83" s="10">
        <v>463799</v>
      </c>
      <c r="D83" s="11"/>
      <c r="E83" s="10" t="s">
        <v>16</v>
      </c>
      <c r="F83" s="10" t="s">
        <v>20</v>
      </c>
      <c r="G83" s="10" t="s">
        <v>11</v>
      </c>
      <c r="H83" s="12" t="s">
        <v>7</v>
      </c>
      <c r="I83" s="12" t="s">
        <v>21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5</v>
      </c>
      <c r="AF83" s="12">
        <v>0</v>
      </c>
      <c r="AG83" s="12">
        <v>500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86</v>
      </c>
      <c r="AR83" s="13">
        <v>8100</v>
      </c>
      <c r="AS83" s="12">
        <v>500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4">
        <v>9100</v>
      </c>
      <c r="BN83" s="9">
        <f t="shared" si="2"/>
        <v>9100</v>
      </c>
      <c r="BO83" s="9">
        <f t="shared" si="3"/>
        <v>6370</v>
      </c>
    </row>
    <row r="84" spans="1:67" ht="24" x14ac:dyDescent="0.3">
      <c r="A84" s="8" t="s">
        <v>82</v>
      </c>
      <c r="B84" s="10" t="s">
        <v>50</v>
      </c>
      <c r="C84" s="10">
        <v>219203</v>
      </c>
      <c r="D84" s="11"/>
      <c r="E84" s="10" t="s">
        <v>16</v>
      </c>
      <c r="F84" s="10" t="s">
        <v>51</v>
      </c>
      <c r="G84" s="10" t="s">
        <v>11</v>
      </c>
      <c r="H84" s="12" t="s">
        <v>7</v>
      </c>
      <c r="I84" s="12" t="s">
        <v>52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89</v>
      </c>
      <c r="AC84" s="13">
        <v>8900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4">
        <v>8900</v>
      </c>
      <c r="BN84" s="9">
        <f t="shared" si="2"/>
        <v>8900</v>
      </c>
      <c r="BO84" s="9">
        <f t="shared" si="3"/>
        <v>6230</v>
      </c>
    </row>
    <row r="85" spans="1:67" ht="24" x14ac:dyDescent="0.3">
      <c r="A85" s="8" t="s">
        <v>82</v>
      </c>
      <c r="B85" s="10" t="s">
        <v>54</v>
      </c>
      <c r="C85" s="10">
        <v>290890</v>
      </c>
      <c r="D85" s="11"/>
      <c r="E85" s="10" t="s">
        <v>16</v>
      </c>
      <c r="F85" s="10" t="s">
        <v>28</v>
      </c>
      <c r="G85" s="10" t="s">
        <v>11</v>
      </c>
      <c r="H85" s="12" t="s">
        <v>7</v>
      </c>
      <c r="I85" s="12" t="s">
        <v>55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6</v>
      </c>
      <c r="AC85" s="13">
        <v>5400</v>
      </c>
      <c r="AD85" s="12">
        <v>0</v>
      </c>
      <c r="AE85" s="12">
        <v>1</v>
      </c>
      <c r="AF85" s="12">
        <v>0</v>
      </c>
      <c r="AG85" s="13">
        <v>3200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4">
        <v>8600</v>
      </c>
      <c r="BN85" s="9">
        <f t="shared" si="2"/>
        <v>8600</v>
      </c>
      <c r="BO85" s="9">
        <f t="shared" si="3"/>
        <v>6020</v>
      </c>
    </row>
    <row r="86" spans="1:67" ht="24" x14ac:dyDescent="0.3">
      <c r="A86" s="8" t="s">
        <v>82</v>
      </c>
      <c r="B86" s="10" t="s">
        <v>159</v>
      </c>
      <c r="C86" s="10">
        <v>482098</v>
      </c>
      <c r="D86" s="11"/>
      <c r="E86" s="10" t="s">
        <v>16</v>
      </c>
      <c r="F86" s="10" t="s">
        <v>38</v>
      </c>
      <c r="G86" s="10" t="s">
        <v>76</v>
      </c>
      <c r="H86" s="12" t="s">
        <v>8</v>
      </c>
      <c r="I86" s="12" t="s">
        <v>176</v>
      </c>
      <c r="J86" s="12">
        <v>0</v>
      </c>
      <c r="K86" s="12">
        <v>51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31</v>
      </c>
      <c r="AF86" s="12">
        <v>900</v>
      </c>
      <c r="AG86" s="13">
        <v>2200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42</v>
      </c>
      <c r="BD86" s="13">
        <v>5040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302.39999999999998</v>
      </c>
      <c r="BM86" s="14">
        <v>8140</v>
      </c>
      <c r="BN86" s="9">
        <f t="shared" si="2"/>
        <v>7837.6</v>
      </c>
      <c r="BO86" s="9">
        <f t="shared" si="3"/>
        <v>5486.32</v>
      </c>
    </row>
    <row r="87" spans="1:67" ht="24" x14ac:dyDescent="0.3">
      <c r="A87" s="8" t="s">
        <v>82</v>
      </c>
      <c r="B87" s="10" t="s">
        <v>249</v>
      </c>
      <c r="C87" s="10">
        <v>487308</v>
      </c>
      <c r="D87" s="11"/>
      <c r="E87" s="10" t="s">
        <v>16</v>
      </c>
      <c r="F87" s="10" t="s">
        <v>250</v>
      </c>
      <c r="G87" s="10" t="s">
        <v>76</v>
      </c>
      <c r="H87" s="12" t="s">
        <v>8</v>
      </c>
      <c r="I87" s="12" t="s">
        <v>251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77</v>
      </c>
      <c r="AF87" s="13">
        <v>6400</v>
      </c>
      <c r="AG87" s="13">
        <v>1300</v>
      </c>
      <c r="AH87" s="12">
        <v>0</v>
      </c>
      <c r="AI87" s="12">
        <v>0</v>
      </c>
      <c r="AJ87" s="12">
        <v>0</v>
      </c>
      <c r="AK87" s="12">
        <v>3</v>
      </c>
      <c r="AL87" s="12">
        <v>360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108</v>
      </c>
      <c r="BM87" s="14">
        <v>8060</v>
      </c>
      <c r="BN87" s="9">
        <f t="shared" si="2"/>
        <v>7952</v>
      </c>
      <c r="BO87" s="9">
        <f t="shared" si="3"/>
        <v>5566.4</v>
      </c>
    </row>
    <row r="88" spans="1:67" ht="24" x14ac:dyDescent="0.3">
      <c r="A88" s="8" t="s">
        <v>82</v>
      </c>
      <c r="B88" s="10" t="s">
        <v>235</v>
      </c>
      <c r="C88" s="10">
        <v>486817</v>
      </c>
      <c r="D88" s="11"/>
      <c r="E88" s="10" t="s">
        <v>16</v>
      </c>
      <c r="F88" s="10" t="s">
        <v>236</v>
      </c>
      <c r="G88" s="10" t="s">
        <v>237</v>
      </c>
      <c r="H88" s="12" t="s">
        <v>64</v>
      </c>
      <c r="I88" s="12" t="s">
        <v>238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2</v>
      </c>
      <c r="BD88" s="13">
        <v>7200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432</v>
      </c>
      <c r="BM88" s="14">
        <v>7200</v>
      </c>
      <c r="BN88" s="9">
        <f t="shared" si="2"/>
        <v>6768</v>
      </c>
      <c r="BO88" s="9">
        <f t="shared" si="3"/>
        <v>4737.5999999999995</v>
      </c>
    </row>
    <row r="89" spans="1:67" ht="24" x14ac:dyDescent="0.3">
      <c r="A89" s="8" t="s">
        <v>82</v>
      </c>
      <c r="B89" s="10" t="s">
        <v>203</v>
      </c>
      <c r="C89" s="10">
        <v>379813</v>
      </c>
      <c r="D89" s="11"/>
      <c r="E89" s="10" t="s">
        <v>16</v>
      </c>
      <c r="F89" s="10" t="s">
        <v>28</v>
      </c>
      <c r="G89" s="10" t="s">
        <v>11</v>
      </c>
      <c r="H89" s="12" t="s">
        <v>7</v>
      </c>
      <c r="I89" s="12" t="s">
        <v>204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2</v>
      </c>
      <c r="AF89" s="12">
        <v>0</v>
      </c>
      <c r="AG89" s="12">
        <v>200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50</v>
      </c>
      <c r="BD89" s="13">
        <v>6000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360</v>
      </c>
      <c r="BM89" s="14">
        <v>6200</v>
      </c>
      <c r="BN89" s="9">
        <f t="shared" si="2"/>
        <v>5840</v>
      </c>
      <c r="BO89" s="9">
        <f t="shared" si="3"/>
        <v>4087.9999999999995</v>
      </c>
    </row>
    <row r="90" spans="1:67" ht="24" x14ac:dyDescent="0.3">
      <c r="A90" s="8" t="s">
        <v>82</v>
      </c>
      <c r="B90" s="10" t="s">
        <v>254</v>
      </c>
      <c r="C90" s="10">
        <v>421661</v>
      </c>
      <c r="D90" s="11"/>
      <c r="E90" s="10" t="s">
        <v>16</v>
      </c>
      <c r="F90" s="10" t="s">
        <v>194</v>
      </c>
      <c r="G90" s="10" t="s">
        <v>31</v>
      </c>
      <c r="H90" s="12" t="s">
        <v>8</v>
      </c>
      <c r="I90" s="12" t="s">
        <v>255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29</v>
      </c>
      <c r="AF90" s="13">
        <v>2600</v>
      </c>
      <c r="AG90" s="12">
        <v>300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23</v>
      </c>
      <c r="BD90" s="13">
        <v>2760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165.6</v>
      </c>
      <c r="BM90" s="14">
        <v>5660</v>
      </c>
      <c r="BN90" s="9">
        <f t="shared" si="2"/>
        <v>5494.4</v>
      </c>
      <c r="BO90" s="9">
        <f t="shared" si="3"/>
        <v>3846.0799999999995</v>
      </c>
    </row>
    <row r="91" spans="1:67" ht="24" x14ac:dyDescent="0.3">
      <c r="A91" s="8" t="s">
        <v>82</v>
      </c>
      <c r="B91" s="10" t="s">
        <v>281</v>
      </c>
      <c r="C91" s="10">
        <v>445861</v>
      </c>
      <c r="D91" s="11"/>
      <c r="E91" s="10" t="s">
        <v>16</v>
      </c>
      <c r="F91" s="10" t="s">
        <v>42</v>
      </c>
      <c r="G91" s="10" t="s">
        <v>31</v>
      </c>
      <c r="H91" s="12" t="s">
        <v>8</v>
      </c>
      <c r="I91" s="12" t="s">
        <v>282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2</v>
      </c>
      <c r="AR91" s="13">
        <v>5600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4">
        <v>5600</v>
      </c>
      <c r="BN91" s="9">
        <f t="shared" si="2"/>
        <v>5600</v>
      </c>
      <c r="BO91" s="9">
        <f t="shared" si="3"/>
        <v>3919.9999999999995</v>
      </c>
    </row>
    <row r="92" spans="1:67" ht="24" x14ac:dyDescent="0.3">
      <c r="A92" s="8" t="s">
        <v>82</v>
      </c>
      <c r="B92" s="10" t="s">
        <v>283</v>
      </c>
      <c r="C92" s="10">
        <v>465250</v>
      </c>
      <c r="D92" s="11"/>
      <c r="E92" s="10" t="s">
        <v>16</v>
      </c>
      <c r="F92" s="10" t="s">
        <v>284</v>
      </c>
      <c r="G92" s="10" t="s">
        <v>76</v>
      </c>
      <c r="H92" s="12" t="s">
        <v>7</v>
      </c>
      <c r="I92" s="12" t="s">
        <v>285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40</v>
      </c>
      <c r="AF92" s="13">
        <v>4000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4">
        <v>4000</v>
      </c>
      <c r="BN92" s="9">
        <f t="shared" si="2"/>
        <v>4000</v>
      </c>
      <c r="BO92" s="9">
        <f t="shared" si="3"/>
        <v>2800</v>
      </c>
    </row>
    <row r="93" spans="1:67" ht="24" x14ac:dyDescent="0.3">
      <c r="A93" s="8" t="s">
        <v>82</v>
      </c>
      <c r="B93" s="10" t="s">
        <v>75</v>
      </c>
      <c r="C93" s="10">
        <v>458568</v>
      </c>
      <c r="D93" s="11"/>
      <c r="E93" s="10" t="s">
        <v>16</v>
      </c>
      <c r="F93" s="10" t="s">
        <v>28</v>
      </c>
      <c r="G93" s="10" t="s">
        <v>11</v>
      </c>
      <c r="H93" s="12" t="s">
        <v>7</v>
      </c>
      <c r="I93" s="12" t="s">
        <v>62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1</v>
      </c>
      <c r="AR93" s="13">
        <v>3200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4">
        <v>3200</v>
      </c>
      <c r="BN93" s="9">
        <f t="shared" si="2"/>
        <v>3200</v>
      </c>
      <c r="BO93" s="9">
        <f t="shared" si="3"/>
        <v>2240</v>
      </c>
    </row>
    <row r="94" spans="1:67" ht="24" x14ac:dyDescent="0.3">
      <c r="A94" s="8" t="s">
        <v>82</v>
      </c>
      <c r="B94" s="10" t="s">
        <v>244</v>
      </c>
      <c r="C94" s="10">
        <v>458566</v>
      </c>
      <c r="D94" s="11"/>
      <c r="E94" s="10" t="s">
        <v>16</v>
      </c>
      <c r="F94" s="10" t="s">
        <v>28</v>
      </c>
      <c r="G94" s="10" t="s">
        <v>11</v>
      </c>
      <c r="H94" s="12" t="s">
        <v>7</v>
      </c>
      <c r="I94" s="12" t="s">
        <v>62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1</v>
      </c>
      <c r="AF94" s="13">
        <v>3200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4">
        <v>3200</v>
      </c>
      <c r="BN94" s="9">
        <f t="shared" si="2"/>
        <v>3200</v>
      </c>
      <c r="BO94" s="9">
        <f t="shared" si="3"/>
        <v>2240</v>
      </c>
    </row>
    <row r="95" spans="1:67" ht="24" x14ac:dyDescent="0.3">
      <c r="A95" s="8" t="s">
        <v>82</v>
      </c>
      <c r="B95" s="10" t="s">
        <v>243</v>
      </c>
      <c r="C95" s="10">
        <v>485989</v>
      </c>
      <c r="D95" s="11"/>
      <c r="E95" s="10" t="s">
        <v>16</v>
      </c>
      <c r="F95" s="10" t="s">
        <v>161</v>
      </c>
      <c r="G95" s="10" t="s">
        <v>11</v>
      </c>
      <c r="H95" s="12" t="s">
        <v>7</v>
      </c>
      <c r="I95" s="12" t="s">
        <v>177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1</v>
      </c>
      <c r="AF95" s="13">
        <v>3200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4">
        <v>3200</v>
      </c>
      <c r="BN95" s="9">
        <f t="shared" si="2"/>
        <v>3200</v>
      </c>
      <c r="BO95" s="9">
        <f t="shared" si="3"/>
        <v>2240</v>
      </c>
    </row>
    <row r="96" spans="1:67" ht="24" x14ac:dyDescent="0.3">
      <c r="A96" s="8" t="s">
        <v>82</v>
      </c>
      <c r="B96" s="10" t="s">
        <v>47</v>
      </c>
      <c r="C96" s="10">
        <v>387417</v>
      </c>
      <c r="D96" s="11"/>
      <c r="E96" s="10" t="s">
        <v>16</v>
      </c>
      <c r="F96" s="10" t="s">
        <v>48</v>
      </c>
      <c r="G96" s="10" t="s">
        <v>11</v>
      </c>
      <c r="H96" s="12" t="s">
        <v>7</v>
      </c>
      <c r="I96" s="12" t="s">
        <v>49</v>
      </c>
      <c r="J96" s="12">
        <v>0</v>
      </c>
      <c r="K96" s="12">
        <v>5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22</v>
      </c>
      <c r="AF96" s="13">
        <v>2200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8</v>
      </c>
      <c r="AX96" s="12">
        <v>960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96</v>
      </c>
      <c r="BM96" s="14">
        <v>3160</v>
      </c>
      <c r="BN96" s="9">
        <f t="shared" si="2"/>
        <v>3064</v>
      </c>
      <c r="BO96" s="9">
        <f t="shared" si="3"/>
        <v>2144.7999999999997</v>
      </c>
    </row>
    <row r="97" spans="1:67" ht="24" x14ac:dyDescent="0.3">
      <c r="A97" s="8" t="s">
        <v>82</v>
      </c>
      <c r="B97" s="10" t="s">
        <v>286</v>
      </c>
      <c r="C97" s="10">
        <v>316658</v>
      </c>
      <c r="D97" s="11"/>
      <c r="E97" s="10" t="s">
        <v>16</v>
      </c>
      <c r="F97" s="10" t="s">
        <v>48</v>
      </c>
      <c r="G97" s="10" t="s">
        <v>11</v>
      </c>
      <c r="H97" s="12" t="s">
        <v>7</v>
      </c>
      <c r="I97" s="12" t="s">
        <v>287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31</v>
      </c>
      <c r="AF97" s="13">
        <v>3100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4">
        <v>3100</v>
      </c>
      <c r="BN97" s="9">
        <f t="shared" si="2"/>
        <v>3100</v>
      </c>
      <c r="BO97" s="9">
        <f t="shared" si="3"/>
        <v>2170</v>
      </c>
    </row>
    <row r="98" spans="1:67" ht="24" x14ac:dyDescent="0.3">
      <c r="A98" s="8" t="s">
        <v>82</v>
      </c>
      <c r="B98" s="10" t="s">
        <v>170</v>
      </c>
      <c r="C98" s="10">
        <v>458432</v>
      </c>
      <c r="D98" s="11"/>
      <c r="E98" s="10" t="s">
        <v>16</v>
      </c>
      <c r="F98" s="10" t="s">
        <v>57</v>
      </c>
      <c r="G98" s="10" t="s">
        <v>31</v>
      </c>
      <c r="H98" s="12" t="s">
        <v>64</v>
      </c>
      <c r="I98" s="12" t="s">
        <v>171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1</v>
      </c>
      <c r="AF98" s="13">
        <v>3000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4">
        <v>3000</v>
      </c>
      <c r="BN98" s="9">
        <f t="shared" si="2"/>
        <v>3000</v>
      </c>
      <c r="BO98" s="9">
        <f t="shared" si="3"/>
        <v>2100</v>
      </c>
    </row>
    <row r="99" spans="1:67" ht="24" x14ac:dyDescent="0.3">
      <c r="A99" s="8" t="s">
        <v>82</v>
      </c>
      <c r="B99" s="10" t="s">
        <v>247</v>
      </c>
      <c r="C99" s="10">
        <v>486624</v>
      </c>
      <c r="D99" s="11"/>
      <c r="E99" s="10" t="s">
        <v>16</v>
      </c>
      <c r="F99" s="10" t="s">
        <v>248</v>
      </c>
      <c r="G99" s="10" t="s">
        <v>31</v>
      </c>
      <c r="H99" s="12" t="s">
        <v>8</v>
      </c>
      <c r="I99" s="12" t="s">
        <v>177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24</v>
      </c>
      <c r="AF99" s="13">
        <v>2400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5</v>
      </c>
      <c r="AR99" s="12">
        <v>500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4">
        <v>2900</v>
      </c>
      <c r="BN99" s="9">
        <f t="shared" si="2"/>
        <v>2900</v>
      </c>
      <c r="BO99" s="9">
        <f t="shared" si="3"/>
        <v>2029.9999999999998</v>
      </c>
    </row>
    <row r="100" spans="1:67" ht="24" x14ac:dyDescent="0.3">
      <c r="A100" s="8" t="s">
        <v>82</v>
      </c>
      <c r="B100" s="10" t="s">
        <v>160</v>
      </c>
      <c r="C100" s="10">
        <v>481322</v>
      </c>
      <c r="D100" s="11"/>
      <c r="E100" s="10" t="s">
        <v>16</v>
      </c>
      <c r="F100" s="10" t="s">
        <v>161</v>
      </c>
      <c r="G100" s="10" t="s">
        <v>11</v>
      </c>
      <c r="H100" s="12" t="s">
        <v>7</v>
      </c>
      <c r="I100" s="12" t="s">
        <v>155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10</v>
      </c>
      <c r="AF100" s="13">
        <v>1000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16</v>
      </c>
      <c r="AR100" s="13">
        <v>1600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4">
        <v>2600</v>
      </c>
      <c r="BN100" s="9">
        <f t="shared" si="2"/>
        <v>2600</v>
      </c>
      <c r="BO100" s="9">
        <f t="shared" si="3"/>
        <v>1819.9999999999998</v>
      </c>
    </row>
    <row r="101" spans="1:67" ht="24" x14ac:dyDescent="0.3">
      <c r="A101" s="8" t="s">
        <v>82</v>
      </c>
      <c r="B101" s="10" t="s">
        <v>179</v>
      </c>
      <c r="C101" s="10">
        <v>441789</v>
      </c>
      <c r="D101" s="11"/>
      <c r="E101" s="10" t="s">
        <v>16</v>
      </c>
      <c r="F101" s="10" t="s">
        <v>46</v>
      </c>
      <c r="G101" s="10" t="s">
        <v>31</v>
      </c>
      <c r="H101" s="12" t="s">
        <v>64</v>
      </c>
      <c r="I101" s="12" t="s">
        <v>176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1</v>
      </c>
      <c r="AR101" s="13">
        <v>1600</v>
      </c>
      <c r="AS101" s="12">
        <v>900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4">
        <v>2500</v>
      </c>
      <c r="BN101" s="9">
        <f t="shared" si="2"/>
        <v>2500</v>
      </c>
      <c r="BO101" s="9">
        <f t="shared" si="3"/>
        <v>1750</v>
      </c>
    </row>
    <row r="102" spans="1:67" ht="24" x14ac:dyDescent="0.3">
      <c r="A102" s="8" t="s">
        <v>82</v>
      </c>
      <c r="B102" s="10" t="s">
        <v>182</v>
      </c>
      <c r="C102" s="10">
        <v>484142</v>
      </c>
      <c r="D102" s="11"/>
      <c r="E102" s="10" t="s">
        <v>16</v>
      </c>
      <c r="F102" s="10" t="s">
        <v>183</v>
      </c>
      <c r="G102" s="10" t="s">
        <v>76</v>
      </c>
      <c r="H102" s="12" t="s">
        <v>8</v>
      </c>
      <c r="I102" s="12" t="s">
        <v>169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18</v>
      </c>
      <c r="AF102" s="13">
        <v>2100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4">
        <v>2100</v>
      </c>
      <c r="BN102" s="9">
        <f t="shared" si="2"/>
        <v>2100</v>
      </c>
      <c r="BO102" s="9">
        <f t="shared" si="3"/>
        <v>1470</v>
      </c>
    </row>
    <row r="103" spans="1:67" ht="24" x14ac:dyDescent="0.3">
      <c r="A103" s="8" t="s">
        <v>82</v>
      </c>
      <c r="B103" s="10" t="s">
        <v>195</v>
      </c>
      <c r="C103" s="10">
        <v>434558</v>
      </c>
      <c r="D103" s="11"/>
      <c r="E103" s="10" t="s">
        <v>16</v>
      </c>
      <c r="F103" s="10" t="s">
        <v>196</v>
      </c>
      <c r="G103" s="10" t="s">
        <v>11</v>
      </c>
      <c r="H103" s="12" t="s">
        <v>7</v>
      </c>
      <c r="I103" s="12" t="s">
        <v>197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15</v>
      </c>
      <c r="AF103" s="13">
        <v>1500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4">
        <v>1500</v>
      </c>
      <c r="BN103" s="9">
        <f t="shared" si="2"/>
        <v>1500</v>
      </c>
      <c r="BO103" s="9">
        <f t="shared" si="3"/>
        <v>1050</v>
      </c>
    </row>
    <row r="104" spans="1:67" ht="24" x14ac:dyDescent="0.3">
      <c r="A104" s="8" t="s">
        <v>82</v>
      </c>
      <c r="B104" s="10" t="s">
        <v>143</v>
      </c>
      <c r="C104" s="10">
        <v>478890</v>
      </c>
      <c r="D104" s="11"/>
      <c r="E104" s="10" t="s">
        <v>16</v>
      </c>
      <c r="F104" s="10" t="s">
        <v>144</v>
      </c>
      <c r="G104" s="10" t="s">
        <v>76</v>
      </c>
      <c r="H104" s="12" t="s">
        <v>8</v>
      </c>
      <c r="I104" s="12" t="s">
        <v>145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15</v>
      </c>
      <c r="AR104" s="13">
        <v>1500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4">
        <v>1500</v>
      </c>
      <c r="BN104" s="9">
        <f t="shared" si="2"/>
        <v>1500</v>
      </c>
      <c r="BO104" s="9">
        <f t="shared" si="3"/>
        <v>1050</v>
      </c>
    </row>
    <row r="105" spans="1:67" ht="24" x14ac:dyDescent="0.3">
      <c r="A105" s="8" t="s">
        <v>82</v>
      </c>
      <c r="B105" s="10" t="s">
        <v>210</v>
      </c>
      <c r="C105" s="10">
        <v>395270</v>
      </c>
      <c r="D105" s="11"/>
      <c r="E105" s="10" t="s">
        <v>16</v>
      </c>
      <c r="F105" s="10" t="s">
        <v>30</v>
      </c>
      <c r="G105" s="10" t="s">
        <v>31</v>
      </c>
      <c r="H105" s="12" t="s">
        <v>8</v>
      </c>
      <c r="I105" s="12" t="s">
        <v>32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14</v>
      </c>
      <c r="AF105" s="12">
        <v>0</v>
      </c>
      <c r="AG105" s="13">
        <v>1400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4">
        <v>1400</v>
      </c>
      <c r="BN105" s="9">
        <f t="shared" si="2"/>
        <v>1400</v>
      </c>
      <c r="BO105" s="9">
        <f t="shared" si="3"/>
        <v>979.99999999999989</v>
      </c>
    </row>
    <row r="106" spans="1:67" ht="24" x14ac:dyDescent="0.3">
      <c r="A106" s="8" t="s">
        <v>82</v>
      </c>
      <c r="B106" s="10" t="s">
        <v>146</v>
      </c>
      <c r="C106" s="10">
        <v>473533</v>
      </c>
      <c r="D106" s="11"/>
      <c r="E106" s="10" t="s">
        <v>16</v>
      </c>
      <c r="F106" s="10" t="s">
        <v>147</v>
      </c>
      <c r="G106" s="10" t="s">
        <v>11</v>
      </c>
      <c r="H106" s="12" t="s">
        <v>7</v>
      </c>
      <c r="I106" s="12" t="s">
        <v>232</v>
      </c>
      <c r="J106" s="12">
        <v>0</v>
      </c>
      <c r="K106" s="12">
        <v>11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9</v>
      </c>
      <c r="AF106" s="12">
        <v>900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6">
        <v>900</v>
      </c>
      <c r="BN106" s="9">
        <f t="shared" ref="BN106:BN130" si="4">BM106-BL106</f>
        <v>900</v>
      </c>
      <c r="BO106" s="9">
        <f t="shared" ref="BO106:BO130" si="5">BN106*70%</f>
        <v>630</v>
      </c>
    </row>
    <row r="107" spans="1:67" ht="24" x14ac:dyDescent="0.3">
      <c r="A107" s="8" t="s">
        <v>82</v>
      </c>
      <c r="B107" s="10" t="s">
        <v>44</v>
      </c>
      <c r="C107" s="10">
        <v>459997</v>
      </c>
      <c r="D107" s="11"/>
      <c r="E107" s="10" t="s">
        <v>16</v>
      </c>
      <c r="F107" s="10" t="s">
        <v>45</v>
      </c>
      <c r="G107" s="10" t="s">
        <v>11</v>
      </c>
      <c r="H107" s="12" t="s">
        <v>7</v>
      </c>
      <c r="I107" s="12" t="s">
        <v>280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6</v>
      </c>
      <c r="AF107" s="12">
        <v>600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1</v>
      </c>
      <c r="BD107" s="12">
        <v>120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7.2</v>
      </c>
      <c r="BM107" s="16">
        <v>720</v>
      </c>
      <c r="BN107" s="9">
        <f t="shared" si="4"/>
        <v>712.8</v>
      </c>
      <c r="BO107" s="9">
        <f t="shared" si="5"/>
        <v>498.95999999999992</v>
      </c>
    </row>
    <row r="108" spans="1:67" ht="24" x14ac:dyDescent="0.3">
      <c r="A108" s="8" t="s">
        <v>82</v>
      </c>
      <c r="B108" s="10" t="s">
        <v>277</v>
      </c>
      <c r="C108" s="10">
        <v>387942</v>
      </c>
      <c r="D108" s="11"/>
      <c r="E108" s="10" t="s">
        <v>16</v>
      </c>
      <c r="F108" s="10" t="s">
        <v>278</v>
      </c>
      <c r="G108" s="10" t="s">
        <v>11</v>
      </c>
      <c r="H108" s="12" t="s">
        <v>7</v>
      </c>
      <c r="I108" s="12" t="s">
        <v>279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4</v>
      </c>
      <c r="AR108" s="12">
        <v>400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6">
        <v>400</v>
      </c>
      <c r="BN108" s="9">
        <f t="shared" si="4"/>
        <v>400</v>
      </c>
      <c r="BO108" s="9">
        <f t="shared" si="5"/>
        <v>280</v>
      </c>
    </row>
    <row r="109" spans="1:67" ht="24" x14ac:dyDescent="0.3">
      <c r="A109" s="8" t="s">
        <v>82</v>
      </c>
      <c r="B109" s="10" t="s">
        <v>164</v>
      </c>
      <c r="C109" s="10">
        <v>355320</v>
      </c>
      <c r="D109" s="11"/>
      <c r="E109" s="10" t="s">
        <v>16</v>
      </c>
      <c r="F109" s="10" t="s">
        <v>165</v>
      </c>
      <c r="G109" s="10" t="s">
        <v>31</v>
      </c>
      <c r="H109" s="12" t="s">
        <v>8</v>
      </c>
      <c r="I109" s="12" t="s">
        <v>166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4</v>
      </c>
      <c r="AF109" s="12">
        <v>400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6">
        <v>400</v>
      </c>
      <c r="BN109" s="9">
        <f t="shared" si="4"/>
        <v>400</v>
      </c>
      <c r="BO109" s="9">
        <f t="shared" si="5"/>
        <v>280</v>
      </c>
    </row>
    <row r="110" spans="1:67" ht="24" x14ac:dyDescent="0.3">
      <c r="A110" s="8" t="s">
        <v>82</v>
      </c>
      <c r="B110" s="10" t="s">
        <v>69</v>
      </c>
      <c r="C110" s="10">
        <v>462353</v>
      </c>
      <c r="D110" s="11"/>
      <c r="E110" s="10" t="s">
        <v>16</v>
      </c>
      <c r="F110" s="10" t="s">
        <v>36</v>
      </c>
      <c r="G110" s="10" t="s">
        <v>11</v>
      </c>
      <c r="H110" s="12" t="s">
        <v>7</v>
      </c>
      <c r="I110" s="12" t="s">
        <v>70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1</v>
      </c>
      <c r="AF110" s="12">
        <v>100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2</v>
      </c>
      <c r="AR110" s="12">
        <v>0</v>
      </c>
      <c r="AS110" s="12">
        <v>200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6">
        <v>300</v>
      </c>
      <c r="BN110" s="9">
        <f t="shared" si="4"/>
        <v>300</v>
      </c>
      <c r="BO110" s="9">
        <f t="shared" si="5"/>
        <v>210</v>
      </c>
    </row>
    <row r="111" spans="1:67" ht="24" x14ac:dyDescent="0.3">
      <c r="A111" s="8" t="s">
        <v>82</v>
      </c>
      <c r="B111" s="10" t="s">
        <v>272</v>
      </c>
      <c r="C111" s="10">
        <v>433508</v>
      </c>
      <c r="D111" s="11"/>
      <c r="E111" s="10" t="s">
        <v>16</v>
      </c>
      <c r="F111" s="10" t="s">
        <v>273</v>
      </c>
      <c r="G111" s="10" t="s">
        <v>11</v>
      </c>
      <c r="H111" s="12" t="s">
        <v>7</v>
      </c>
      <c r="I111" s="12" t="s">
        <v>274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2</v>
      </c>
      <c r="AF111" s="12">
        <v>200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6">
        <v>200</v>
      </c>
      <c r="BN111" s="9">
        <f t="shared" si="4"/>
        <v>200</v>
      </c>
      <c r="BO111" s="9">
        <f t="shared" si="5"/>
        <v>140</v>
      </c>
    </row>
    <row r="112" spans="1:67" ht="24" x14ac:dyDescent="0.3">
      <c r="A112" s="8" t="s">
        <v>82</v>
      </c>
      <c r="B112" s="10" t="s">
        <v>39</v>
      </c>
      <c r="C112" s="10">
        <v>321812</v>
      </c>
      <c r="D112" s="11"/>
      <c r="E112" s="10" t="s">
        <v>16</v>
      </c>
      <c r="F112" s="10" t="s">
        <v>28</v>
      </c>
      <c r="G112" s="10" t="s">
        <v>11</v>
      </c>
      <c r="H112" s="12" t="s">
        <v>7</v>
      </c>
      <c r="I112" s="12" t="s">
        <v>40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2</v>
      </c>
      <c r="AF112" s="12">
        <v>0</v>
      </c>
      <c r="AG112" s="12">
        <v>200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6">
        <v>200</v>
      </c>
      <c r="BN112" s="9">
        <f t="shared" si="4"/>
        <v>200</v>
      </c>
      <c r="BO112" s="9">
        <f t="shared" si="5"/>
        <v>140</v>
      </c>
    </row>
    <row r="113" spans="1:67" ht="24" x14ac:dyDescent="0.3">
      <c r="A113" s="8" t="s">
        <v>82</v>
      </c>
      <c r="B113" s="10" t="s">
        <v>288</v>
      </c>
      <c r="C113" s="10">
        <v>458561</v>
      </c>
      <c r="D113" s="11"/>
      <c r="E113" s="10" t="s">
        <v>16</v>
      </c>
      <c r="F113" s="10" t="s">
        <v>28</v>
      </c>
      <c r="G113" s="10" t="s">
        <v>11</v>
      </c>
      <c r="H113" s="12" t="s">
        <v>7</v>
      </c>
      <c r="I113" s="12" t="s">
        <v>62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1</v>
      </c>
      <c r="BD113" s="12">
        <v>120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7.2</v>
      </c>
      <c r="BM113" s="16">
        <v>120</v>
      </c>
      <c r="BN113" s="9">
        <f t="shared" si="4"/>
        <v>112.8</v>
      </c>
      <c r="BO113" s="9">
        <f t="shared" si="5"/>
        <v>78.959999999999994</v>
      </c>
    </row>
    <row r="114" spans="1:67" ht="24" x14ac:dyDescent="0.3">
      <c r="A114" s="8" t="s">
        <v>82</v>
      </c>
      <c r="B114" s="10" t="s">
        <v>269</v>
      </c>
      <c r="C114" s="10">
        <v>440303</v>
      </c>
      <c r="D114" s="11"/>
      <c r="E114" s="10" t="s">
        <v>16</v>
      </c>
      <c r="F114" s="10" t="s">
        <v>270</v>
      </c>
      <c r="G114" s="10" t="s">
        <v>76</v>
      </c>
      <c r="H114" s="12" t="s">
        <v>7</v>
      </c>
      <c r="I114" s="12" t="s">
        <v>271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1</v>
      </c>
      <c r="AF114" s="12">
        <v>100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6">
        <v>100</v>
      </c>
      <c r="BN114" s="9">
        <f t="shared" si="4"/>
        <v>100</v>
      </c>
      <c r="BO114" s="9">
        <f t="shared" si="5"/>
        <v>70</v>
      </c>
    </row>
    <row r="115" spans="1:67" ht="24" x14ac:dyDescent="0.3">
      <c r="A115" s="8" t="s">
        <v>82</v>
      </c>
      <c r="B115" s="10" t="s">
        <v>266</v>
      </c>
      <c r="C115" s="10">
        <v>386960</v>
      </c>
      <c r="D115" s="11"/>
      <c r="E115" s="10" t="s">
        <v>16</v>
      </c>
      <c r="F115" s="10" t="s">
        <v>267</v>
      </c>
      <c r="G115" s="10" t="s">
        <v>11</v>
      </c>
      <c r="H115" s="12" t="s">
        <v>7</v>
      </c>
      <c r="I115" s="12" t="s">
        <v>268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1</v>
      </c>
      <c r="AF115" s="12">
        <v>100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6">
        <v>100</v>
      </c>
      <c r="BN115" s="9">
        <f t="shared" si="4"/>
        <v>100</v>
      </c>
      <c r="BO115" s="9">
        <f t="shared" si="5"/>
        <v>70</v>
      </c>
    </row>
    <row r="116" spans="1:67" ht="24" x14ac:dyDescent="0.3">
      <c r="A116" s="8" t="s">
        <v>82</v>
      </c>
      <c r="B116" s="10" t="s">
        <v>289</v>
      </c>
      <c r="C116" s="10">
        <v>356295</v>
      </c>
      <c r="D116" s="11"/>
      <c r="E116" s="10" t="s">
        <v>16</v>
      </c>
      <c r="F116" s="10" t="s">
        <v>38</v>
      </c>
      <c r="G116" s="10" t="s">
        <v>31</v>
      </c>
      <c r="H116" s="12" t="s">
        <v>8</v>
      </c>
      <c r="I116" s="12" t="s">
        <v>290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1</v>
      </c>
      <c r="AF116" s="12">
        <v>100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6">
        <v>100</v>
      </c>
      <c r="BN116" s="9">
        <f t="shared" si="4"/>
        <v>100</v>
      </c>
      <c r="BO116" s="9">
        <f t="shared" si="5"/>
        <v>70</v>
      </c>
    </row>
    <row r="117" spans="1:67" ht="24" x14ac:dyDescent="0.3">
      <c r="A117" s="8" t="s">
        <v>82</v>
      </c>
      <c r="B117" s="10" t="s">
        <v>263</v>
      </c>
      <c r="C117" s="10">
        <v>464776</v>
      </c>
      <c r="D117" s="11"/>
      <c r="E117" s="10" t="s">
        <v>16</v>
      </c>
      <c r="F117" s="10" t="s">
        <v>264</v>
      </c>
      <c r="G117" s="10" t="s">
        <v>76</v>
      </c>
      <c r="H117" s="12" t="s">
        <v>10</v>
      </c>
      <c r="I117" s="12" t="s">
        <v>265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1</v>
      </c>
      <c r="AF117" s="12">
        <v>100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6">
        <v>100</v>
      </c>
      <c r="BN117" s="9">
        <f t="shared" si="4"/>
        <v>100</v>
      </c>
      <c r="BO117" s="9">
        <f t="shared" si="5"/>
        <v>70</v>
      </c>
    </row>
    <row r="118" spans="1:67" ht="24" x14ac:dyDescent="0.3">
      <c r="A118" s="8" t="s">
        <v>82</v>
      </c>
      <c r="B118" s="10" t="s">
        <v>23</v>
      </c>
      <c r="C118" s="10">
        <v>449889</v>
      </c>
      <c r="D118" s="11"/>
      <c r="E118" s="10" t="s">
        <v>16</v>
      </c>
      <c r="F118" s="10" t="s">
        <v>24</v>
      </c>
      <c r="G118" s="10" t="s">
        <v>11</v>
      </c>
      <c r="H118" s="12" t="s">
        <v>7</v>
      </c>
      <c r="I118" s="12" t="s">
        <v>25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1</v>
      </c>
      <c r="AF118" s="12">
        <v>100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6">
        <v>100</v>
      </c>
      <c r="BN118" s="9">
        <f t="shared" si="4"/>
        <v>100</v>
      </c>
      <c r="BO118" s="9">
        <f t="shared" si="5"/>
        <v>70</v>
      </c>
    </row>
    <row r="119" spans="1:67" ht="24" x14ac:dyDescent="0.3">
      <c r="A119" s="8" t="s">
        <v>82</v>
      </c>
      <c r="B119" s="10" t="s">
        <v>79</v>
      </c>
      <c r="C119" s="10">
        <v>476783</v>
      </c>
      <c r="D119" s="11"/>
      <c r="E119" s="10" t="s">
        <v>16</v>
      </c>
      <c r="F119" s="10" t="s">
        <v>80</v>
      </c>
      <c r="G119" s="10" t="s">
        <v>31</v>
      </c>
      <c r="H119" s="12" t="s">
        <v>8</v>
      </c>
      <c r="I119" s="12" t="s">
        <v>81</v>
      </c>
      <c r="J119" s="12">
        <v>0</v>
      </c>
      <c r="K119" s="12">
        <v>3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6">
        <v>0</v>
      </c>
      <c r="BN119" s="9">
        <f t="shared" si="4"/>
        <v>0</v>
      </c>
      <c r="BO119" s="9">
        <f t="shared" si="5"/>
        <v>0</v>
      </c>
    </row>
    <row r="120" spans="1:67" ht="24" x14ac:dyDescent="0.3">
      <c r="A120" s="8" t="s">
        <v>82</v>
      </c>
      <c r="B120" s="10" t="s">
        <v>77</v>
      </c>
      <c r="C120" s="10">
        <v>476035</v>
      </c>
      <c r="D120" s="11"/>
      <c r="E120" s="10" t="s">
        <v>16</v>
      </c>
      <c r="F120" s="10" t="s">
        <v>78</v>
      </c>
      <c r="G120" s="10" t="s">
        <v>76</v>
      </c>
      <c r="H120" s="12" t="s">
        <v>10</v>
      </c>
      <c r="I120" s="12" t="s">
        <v>72</v>
      </c>
      <c r="J120" s="12">
        <v>0</v>
      </c>
      <c r="K120" s="12">
        <v>30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6">
        <v>0</v>
      </c>
      <c r="BN120" s="9">
        <f t="shared" si="4"/>
        <v>0</v>
      </c>
      <c r="BO120" s="9">
        <f t="shared" si="5"/>
        <v>0</v>
      </c>
    </row>
    <row r="121" spans="1:67" ht="24" x14ac:dyDescent="0.3">
      <c r="A121" s="8" t="s">
        <v>65</v>
      </c>
      <c r="B121" s="10" t="s">
        <v>233</v>
      </c>
      <c r="C121" s="10">
        <v>486821</v>
      </c>
      <c r="D121" s="11"/>
      <c r="E121" s="10" t="s">
        <v>16</v>
      </c>
      <c r="F121" s="10" t="s">
        <v>157</v>
      </c>
      <c r="G121" s="10" t="s">
        <v>31</v>
      </c>
      <c r="H121" s="12" t="s">
        <v>64</v>
      </c>
      <c r="I121" s="12" t="s">
        <v>234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20</v>
      </c>
      <c r="AF121" s="13">
        <v>37500</v>
      </c>
      <c r="AG121" s="13">
        <v>4400</v>
      </c>
      <c r="AH121" s="12">
        <v>0</v>
      </c>
      <c r="AI121" s="12">
        <v>0</v>
      </c>
      <c r="AJ121" s="12">
        <v>0</v>
      </c>
      <c r="AK121" s="12">
        <v>1</v>
      </c>
      <c r="AL121" s="13">
        <v>2640</v>
      </c>
      <c r="AM121" s="12">
        <v>0</v>
      </c>
      <c r="AN121" s="12">
        <v>0</v>
      </c>
      <c r="AO121" s="12">
        <v>0</v>
      </c>
      <c r="AP121" s="12">
        <v>0</v>
      </c>
      <c r="AQ121" s="12">
        <v>5</v>
      </c>
      <c r="AR121" s="13">
        <v>10900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2</v>
      </c>
      <c r="BD121" s="13">
        <v>5280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5">
        <v>1108.8</v>
      </c>
      <c r="BM121" s="14">
        <v>60720</v>
      </c>
      <c r="BN121" s="9">
        <f t="shared" si="4"/>
        <v>59611.199999999997</v>
      </c>
      <c r="BO121" s="9">
        <f t="shared" si="5"/>
        <v>41727.839999999997</v>
      </c>
    </row>
    <row r="122" spans="1:67" ht="24" x14ac:dyDescent="0.3">
      <c r="A122" s="8" t="s">
        <v>65</v>
      </c>
      <c r="B122" s="10" t="s">
        <v>235</v>
      </c>
      <c r="C122" s="10">
        <v>486817</v>
      </c>
      <c r="D122" s="11"/>
      <c r="E122" s="10" t="s">
        <v>16</v>
      </c>
      <c r="F122" s="10" t="s">
        <v>236</v>
      </c>
      <c r="G122" s="10" t="s">
        <v>237</v>
      </c>
      <c r="H122" s="12" t="s">
        <v>64</v>
      </c>
      <c r="I122" s="12" t="s">
        <v>238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8</v>
      </c>
      <c r="AF122" s="13">
        <v>24000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4</v>
      </c>
      <c r="AR122" s="13">
        <v>11800</v>
      </c>
      <c r="AS122" s="12">
        <v>200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4">
        <v>36000</v>
      </c>
      <c r="BN122" s="9">
        <f t="shared" si="4"/>
        <v>36000</v>
      </c>
      <c r="BO122" s="9">
        <f t="shared" si="5"/>
        <v>25200</v>
      </c>
    </row>
    <row r="123" spans="1:67" ht="24" x14ac:dyDescent="0.3">
      <c r="A123" s="8" t="s">
        <v>65</v>
      </c>
      <c r="B123" s="10" t="s">
        <v>178</v>
      </c>
      <c r="C123" s="10">
        <v>387975</v>
      </c>
      <c r="D123" s="11"/>
      <c r="E123" s="10" t="s">
        <v>16</v>
      </c>
      <c r="F123" s="10" t="s">
        <v>61</v>
      </c>
      <c r="G123" s="10" t="s">
        <v>31</v>
      </c>
      <c r="H123" s="12" t="s">
        <v>64</v>
      </c>
      <c r="I123" s="12" t="s">
        <v>60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4</v>
      </c>
      <c r="AF123" s="13">
        <v>13220</v>
      </c>
      <c r="AG123" s="13">
        <v>4200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4">
        <v>17420</v>
      </c>
      <c r="BN123" s="9">
        <f t="shared" si="4"/>
        <v>17420</v>
      </c>
      <c r="BO123" s="9">
        <f t="shared" si="5"/>
        <v>12194</v>
      </c>
    </row>
    <row r="124" spans="1:67" ht="24" x14ac:dyDescent="0.3">
      <c r="A124" s="8" t="s">
        <v>65</v>
      </c>
      <c r="B124" s="10" t="s">
        <v>192</v>
      </c>
      <c r="C124" s="10">
        <v>444220</v>
      </c>
      <c r="D124" s="11"/>
      <c r="E124" s="10" t="s">
        <v>16</v>
      </c>
      <c r="F124" s="10" t="s">
        <v>173</v>
      </c>
      <c r="G124" s="10" t="s">
        <v>31</v>
      </c>
      <c r="H124" s="12" t="s">
        <v>64</v>
      </c>
      <c r="I124" s="12" t="s">
        <v>176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5</v>
      </c>
      <c r="AF124" s="13">
        <v>14000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1</v>
      </c>
      <c r="AR124" s="13">
        <v>2800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4">
        <v>16800</v>
      </c>
      <c r="BN124" s="9">
        <f t="shared" si="4"/>
        <v>16800</v>
      </c>
      <c r="BO124" s="9">
        <f t="shared" si="5"/>
        <v>11760</v>
      </c>
    </row>
    <row r="125" spans="1:67" ht="24" x14ac:dyDescent="0.3">
      <c r="A125" s="8" t="s">
        <v>65</v>
      </c>
      <c r="B125" s="10" t="s">
        <v>217</v>
      </c>
      <c r="C125" s="10">
        <v>426278</v>
      </c>
      <c r="D125" s="11"/>
      <c r="E125" s="10" t="s">
        <v>16</v>
      </c>
      <c r="F125" s="10" t="s">
        <v>218</v>
      </c>
      <c r="G125" s="10" t="s">
        <v>31</v>
      </c>
      <c r="H125" s="12" t="s">
        <v>64</v>
      </c>
      <c r="I125" s="12" t="s">
        <v>219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4</v>
      </c>
      <c r="AF125" s="13">
        <v>12300</v>
      </c>
      <c r="AG125" s="12">
        <v>500</v>
      </c>
      <c r="AH125" s="12">
        <v>0</v>
      </c>
      <c r="AI125" s="12">
        <v>0</v>
      </c>
      <c r="AJ125" s="12">
        <v>0</v>
      </c>
      <c r="AK125" s="12">
        <v>1</v>
      </c>
      <c r="AL125" s="13">
        <v>3584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5">
        <v>1075.2</v>
      </c>
      <c r="BM125" s="14">
        <v>16384</v>
      </c>
      <c r="BN125" s="9">
        <f t="shared" si="4"/>
        <v>15308.8</v>
      </c>
      <c r="BO125" s="9">
        <f t="shared" si="5"/>
        <v>10716.159999999998</v>
      </c>
    </row>
    <row r="126" spans="1:67" ht="24" x14ac:dyDescent="0.3">
      <c r="A126" s="8" t="s">
        <v>65</v>
      </c>
      <c r="B126" s="10" t="s">
        <v>212</v>
      </c>
      <c r="C126" s="10">
        <v>397371</v>
      </c>
      <c r="D126" s="11"/>
      <c r="E126" s="10" t="s">
        <v>16</v>
      </c>
      <c r="F126" s="10" t="s">
        <v>213</v>
      </c>
      <c r="G126" s="10" t="s">
        <v>31</v>
      </c>
      <c r="H126" s="12" t="s">
        <v>64</v>
      </c>
      <c r="I126" s="12" t="s">
        <v>186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3</v>
      </c>
      <c r="AF126" s="13">
        <v>7800</v>
      </c>
      <c r="AG126" s="12">
        <v>0</v>
      </c>
      <c r="AH126" s="12">
        <v>0</v>
      </c>
      <c r="AI126" s="12">
        <v>0</v>
      </c>
      <c r="AJ126" s="12">
        <v>0</v>
      </c>
      <c r="AK126" s="12">
        <v>1</v>
      </c>
      <c r="AL126" s="12">
        <v>0</v>
      </c>
      <c r="AM126" s="13">
        <v>2600</v>
      </c>
      <c r="AN126" s="12">
        <v>0</v>
      </c>
      <c r="AO126" s="12">
        <v>0</v>
      </c>
      <c r="AP126" s="12">
        <v>0</v>
      </c>
      <c r="AQ126" s="12">
        <v>2</v>
      </c>
      <c r="AR126" s="13">
        <v>5200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4">
        <v>15600</v>
      </c>
      <c r="BN126" s="9">
        <f t="shared" si="4"/>
        <v>15600</v>
      </c>
      <c r="BO126" s="9">
        <f t="shared" si="5"/>
        <v>10920</v>
      </c>
    </row>
    <row r="127" spans="1:67" ht="24" x14ac:dyDescent="0.3">
      <c r="A127" s="8" t="s">
        <v>65</v>
      </c>
      <c r="B127" s="10" t="s">
        <v>175</v>
      </c>
      <c r="C127" s="10">
        <v>485660</v>
      </c>
      <c r="D127" s="11"/>
      <c r="E127" s="10" t="s">
        <v>16</v>
      </c>
      <c r="F127" s="10" t="s">
        <v>57</v>
      </c>
      <c r="G127" s="10" t="s">
        <v>31</v>
      </c>
      <c r="H127" s="12" t="s">
        <v>64</v>
      </c>
      <c r="I127" s="12" t="s">
        <v>176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2</v>
      </c>
      <c r="AF127" s="13">
        <v>5600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2</v>
      </c>
      <c r="AR127" s="13">
        <v>5600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1</v>
      </c>
      <c r="BD127" s="13">
        <v>3360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201.6</v>
      </c>
      <c r="BM127" s="14">
        <v>14560</v>
      </c>
      <c r="BN127" s="9">
        <f t="shared" si="4"/>
        <v>14358.4</v>
      </c>
      <c r="BO127" s="9">
        <f t="shared" si="5"/>
        <v>10050.879999999999</v>
      </c>
    </row>
    <row r="128" spans="1:67" ht="24" x14ac:dyDescent="0.3">
      <c r="A128" s="8" t="s">
        <v>65</v>
      </c>
      <c r="B128" s="10" t="s">
        <v>241</v>
      </c>
      <c r="C128" s="10">
        <v>428126</v>
      </c>
      <c r="D128" s="11"/>
      <c r="E128" s="10" t="s">
        <v>16</v>
      </c>
      <c r="F128" s="10" t="s">
        <v>42</v>
      </c>
      <c r="G128" s="10" t="s">
        <v>31</v>
      </c>
      <c r="H128" s="12" t="s">
        <v>64</v>
      </c>
      <c r="I128" s="12" t="s">
        <v>242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3</v>
      </c>
      <c r="AF128" s="13">
        <v>9600</v>
      </c>
      <c r="AG128" s="12">
        <v>900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1</v>
      </c>
      <c r="AR128" s="13">
        <v>3500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4">
        <v>14000</v>
      </c>
      <c r="BN128" s="9">
        <f t="shared" si="4"/>
        <v>14000</v>
      </c>
      <c r="BO128" s="9">
        <f t="shared" si="5"/>
        <v>9800</v>
      </c>
    </row>
    <row r="129" spans="1:67" ht="24" x14ac:dyDescent="0.3">
      <c r="A129" s="8" t="s">
        <v>65</v>
      </c>
      <c r="B129" s="10" t="s">
        <v>211</v>
      </c>
      <c r="C129" s="10">
        <v>431783</v>
      </c>
      <c r="D129" s="11"/>
      <c r="E129" s="10" t="s">
        <v>16</v>
      </c>
      <c r="F129" s="10" t="s">
        <v>38</v>
      </c>
      <c r="G129" s="10" t="s">
        <v>31</v>
      </c>
      <c r="H129" s="12" t="s">
        <v>64</v>
      </c>
      <c r="I129" s="12" t="s">
        <v>176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3</v>
      </c>
      <c r="AF129" s="13">
        <v>13800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4">
        <v>13800</v>
      </c>
      <c r="BN129" s="9">
        <f t="shared" si="4"/>
        <v>13800</v>
      </c>
      <c r="BO129" s="9">
        <f t="shared" si="5"/>
        <v>9660</v>
      </c>
    </row>
    <row r="130" spans="1:67" ht="24" x14ac:dyDescent="0.3">
      <c r="A130" s="8" t="s">
        <v>65</v>
      </c>
      <c r="B130" s="10" t="s">
        <v>187</v>
      </c>
      <c r="C130" s="10">
        <v>428121</v>
      </c>
      <c r="D130" s="11"/>
      <c r="E130" s="10" t="s">
        <v>16</v>
      </c>
      <c r="F130" s="10" t="s">
        <v>188</v>
      </c>
      <c r="G130" s="10" t="s">
        <v>31</v>
      </c>
      <c r="H130" s="12" t="s">
        <v>64</v>
      </c>
      <c r="I130" s="12" t="s">
        <v>176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4</v>
      </c>
      <c r="AF130" s="13">
        <v>13200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4">
        <v>13200</v>
      </c>
      <c r="BN130" s="9">
        <f t="shared" si="4"/>
        <v>13200</v>
      </c>
      <c r="BO130" s="9">
        <f t="shared" si="5"/>
        <v>9240</v>
      </c>
    </row>
    <row r="131" spans="1:67" ht="24" x14ac:dyDescent="0.3">
      <c r="A131" s="8" t="s">
        <v>65</v>
      </c>
      <c r="B131" s="10" t="s">
        <v>220</v>
      </c>
      <c r="C131" s="10">
        <v>331654</v>
      </c>
      <c r="D131" s="11"/>
      <c r="E131" s="10" t="s">
        <v>16</v>
      </c>
      <c r="F131" s="10" t="s">
        <v>194</v>
      </c>
      <c r="G131" s="10" t="s">
        <v>31</v>
      </c>
      <c r="H131" s="12" t="s">
        <v>64</v>
      </c>
      <c r="I131" s="12" t="s">
        <v>219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2</v>
      </c>
      <c r="AF131" s="12">
        <v>300</v>
      </c>
      <c r="AG131" s="13">
        <v>2800</v>
      </c>
      <c r="AH131" s="12">
        <v>0</v>
      </c>
      <c r="AI131" s="12">
        <v>0</v>
      </c>
      <c r="AJ131" s="12">
        <v>0</v>
      </c>
      <c r="AK131" s="12">
        <v>2</v>
      </c>
      <c r="AL131" s="13">
        <v>3152</v>
      </c>
      <c r="AM131" s="13">
        <v>2500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1</v>
      </c>
      <c r="BD131" s="13">
        <v>3360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5">
        <v>1147.2</v>
      </c>
      <c r="BM131" s="14">
        <v>12112</v>
      </c>
      <c r="BN131" s="9">
        <f t="shared" ref="BN131:BN180" si="6">BM131-BL131</f>
        <v>10964.8</v>
      </c>
      <c r="BO131" s="9">
        <f t="shared" ref="BO131:BO180" si="7">BN131*70%</f>
        <v>7675.3599999999988</v>
      </c>
    </row>
    <row r="132" spans="1:67" ht="24" x14ac:dyDescent="0.3">
      <c r="A132" s="8" t="s">
        <v>65</v>
      </c>
      <c r="B132" s="10" t="s">
        <v>291</v>
      </c>
      <c r="C132" s="10">
        <v>331748</v>
      </c>
      <c r="D132" s="11"/>
      <c r="E132" s="10" t="s">
        <v>16</v>
      </c>
      <c r="F132" s="10" t="s">
        <v>194</v>
      </c>
      <c r="G132" s="10" t="s">
        <v>31</v>
      </c>
      <c r="H132" s="12" t="s">
        <v>64</v>
      </c>
      <c r="I132" s="12" t="s">
        <v>292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2</v>
      </c>
      <c r="AF132" s="13">
        <v>4900</v>
      </c>
      <c r="AG132" s="13">
        <v>4900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4">
        <v>9800</v>
      </c>
      <c r="BN132" s="9">
        <f t="shared" si="6"/>
        <v>9800</v>
      </c>
      <c r="BO132" s="9">
        <f t="shared" si="7"/>
        <v>6860</v>
      </c>
    </row>
    <row r="133" spans="1:67" ht="24" x14ac:dyDescent="0.3">
      <c r="A133" s="8" t="s">
        <v>65</v>
      </c>
      <c r="B133" s="10" t="s">
        <v>184</v>
      </c>
      <c r="C133" s="10">
        <v>485792</v>
      </c>
      <c r="D133" s="11"/>
      <c r="E133" s="10" t="s">
        <v>16</v>
      </c>
      <c r="F133" s="10" t="s">
        <v>185</v>
      </c>
      <c r="G133" s="10" t="s">
        <v>76</v>
      </c>
      <c r="H133" s="12" t="s">
        <v>64</v>
      </c>
      <c r="I133" s="12" t="s">
        <v>186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4</v>
      </c>
      <c r="AF133" s="13">
        <v>4700</v>
      </c>
      <c r="AG133" s="13">
        <v>1000</v>
      </c>
      <c r="AH133" s="12">
        <v>0</v>
      </c>
      <c r="AI133" s="12">
        <v>0</v>
      </c>
      <c r="AJ133" s="12">
        <v>0</v>
      </c>
      <c r="AK133" s="12">
        <v>1</v>
      </c>
      <c r="AL133" s="12">
        <v>0</v>
      </c>
      <c r="AM133" s="13">
        <v>1500</v>
      </c>
      <c r="AN133" s="12">
        <v>0</v>
      </c>
      <c r="AO133" s="12">
        <v>0</v>
      </c>
      <c r="AP133" s="12">
        <v>0</v>
      </c>
      <c r="AQ133" s="12">
        <v>2</v>
      </c>
      <c r="AR133" s="13">
        <v>1800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4">
        <v>9000</v>
      </c>
      <c r="BN133" s="9">
        <f t="shared" si="6"/>
        <v>9000</v>
      </c>
      <c r="BO133" s="9">
        <f t="shared" si="7"/>
        <v>6300</v>
      </c>
    </row>
    <row r="134" spans="1:67" ht="24" x14ac:dyDescent="0.3">
      <c r="A134" s="8" t="s">
        <v>65</v>
      </c>
      <c r="B134" s="10" t="s">
        <v>156</v>
      </c>
      <c r="C134" s="10">
        <v>481170</v>
      </c>
      <c r="D134" s="11"/>
      <c r="E134" s="10" t="s">
        <v>16</v>
      </c>
      <c r="F134" s="10" t="s">
        <v>157</v>
      </c>
      <c r="G134" s="10" t="s">
        <v>31</v>
      </c>
      <c r="H134" s="12" t="s">
        <v>64</v>
      </c>
      <c r="I134" s="12" t="s">
        <v>158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2</v>
      </c>
      <c r="AF134" s="13">
        <v>2700</v>
      </c>
      <c r="AG134" s="13">
        <v>2500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1</v>
      </c>
      <c r="AR134" s="13">
        <v>2600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4">
        <v>7800</v>
      </c>
      <c r="BN134" s="9">
        <f t="shared" si="6"/>
        <v>7800</v>
      </c>
      <c r="BO134" s="9">
        <f t="shared" si="7"/>
        <v>5460</v>
      </c>
    </row>
    <row r="135" spans="1:67" ht="24" x14ac:dyDescent="0.3">
      <c r="A135" s="8" t="s">
        <v>65</v>
      </c>
      <c r="B135" s="10" t="s">
        <v>214</v>
      </c>
      <c r="C135" s="10">
        <v>411933</v>
      </c>
      <c r="D135" s="11"/>
      <c r="E135" s="10" t="s">
        <v>16</v>
      </c>
      <c r="F135" s="10" t="s">
        <v>173</v>
      </c>
      <c r="G135" s="10" t="s">
        <v>31</v>
      </c>
      <c r="H135" s="12" t="s">
        <v>64</v>
      </c>
      <c r="I135" s="12" t="s">
        <v>174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2</v>
      </c>
      <c r="AF135" s="13">
        <v>6000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4">
        <v>6000</v>
      </c>
      <c r="BN135" s="9">
        <f t="shared" si="6"/>
        <v>6000</v>
      </c>
      <c r="BO135" s="9">
        <f t="shared" si="7"/>
        <v>4200</v>
      </c>
    </row>
    <row r="136" spans="1:67" ht="24" x14ac:dyDescent="0.3">
      <c r="A136" s="8" t="s">
        <v>65</v>
      </c>
      <c r="B136" s="10" t="s">
        <v>293</v>
      </c>
      <c r="C136" s="10">
        <v>429534</v>
      </c>
      <c r="D136" s="11"/>
      <c r="E136" s="10" t="s">
        <v>16</v>
      </c>
      <c r="F136" s="10" t="s">
        <v>294</v>
      </c>
      <c r="G136" s="10" t="s">
        <v>237</v>
      </c>
      <c r="H136" s="12" t="s">
        <v>7</v>
      </c>
      <c r="I136" s="12" t="s">
        <v>295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2</v>
      </c>
      <c r="AF136" s="13">
        <v>5600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4">
        <v>5600</v>
      </c>
      <c r="BN136" s="9">
        <f t="shared" si="6"/>
        <v>5600</v>
      </c>
      <c r="BO136" s="9">
        <f t="shared" si="7"/>
        <v>3919.9999999999995</v>
      </c>
    </row>
    <row r="137" spans="1:67" ht="24" x14ac:dyDescent="0.3">
      <c r="A137" s="8" t="s">
        <v>65</v>
      </c>
      <c r="B137" s="10" t="s">
        <v>296</v>
      </c>
      <c r="C137" s="10">
        <v>420814</v>
      </c>
      <c r="D137" s="11"/>
      <c r="E137" s="10" t="s">
        <v>16</v>
      </c>
      <c r="F137" s="10" t="s">
        <v>173</v>
      </c>
      <c r="G137" s="10" t="s">
        <v>31</v>
      </c>
      <c r="H137" s="12" t="s">
        <v>64</v>
      </c>
      <c r="I137" s="12" t="s">
        <v>207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1</v>
      </c>
      <c r="AF137" s="13">
        <v>4600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4">
        <v>4600</v>
      </c>
      <c r="BN137" s="9">
        <f t="shared" si="6"/>
        <v>4600</v>
      </c>
      <c r="BO137" s="9">
        <f t="shared" si="7"/>
        <v>3220</v>
      </c>
    </row>
    <row r="138" spans="1:67" ht="24" x14ac:dyDescent="0.3">
      <c r="A138" s="8" t="s">
        <v>65</v>
      </c>
      <c r="B138" s="10" t="s">
        <v>297</v>
      </c>
      <c r="C138" s="10">
        <v>431780</v>
      </c>
      <c r="D138" s="11"/>
      <c r="E138" s="10" t="s">
        <v>16</v>
      </c>
      <c r="F138" s="10" t="s">
        <v>200</v>
      </c>
      <c r="G138" s="10" t="s">
        <v>31</v>
      </c>
      <c r="H138" s="12" t="s">
        <v>64</v>
      </c>
      <c r="I138" s="12" t="s">
        <v>298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1</v>
      </c>
      <c r="AF138" s="13">
        <v>4300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4">
        <v>4300</v>
      </c>
      <c r="BN138" s="9">
        <f t="shared" si="6"/>
        <v>4300</v>
      </c>
      <c r="BO138" s="9">
        <f t="shared" si="7"/>
        <v>3010</v>
      </c>
    </row>
    <row r="139" spans="1:67" ht="24" x14ac:dyDescent="0.3">
      <c r="A139" s="8" t="s">
        <v>65</v>
      </c>
      <c r="B139" s="10" t="s">
        <v>299</v>
      </c>
      <c r="C139" s="10">
        <v>397386</v>
      </c>
      <c r="D139" s="11"/>
      <c r="E139" s="10" t="s">
        <v>16</v>
      </c>
      <c r="F139" s="10" t="s">
        <v>215</v>
      </c>
      <c r="G139" s="10" t="s">
        <v>31</v>
      </c>
      <c r="H139" s="12" t="s">
        <v>64</v>
      </c>
      <c r="I139" s="12" t="s">
        <v>300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1</v>
      </c>
      <c r="BD139" s="13">
        <v>3960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237.6</v>
      </c>
      <c r="BM139" s="14">
        <v>3960</v>
      </c>
      <c r="BN139" s="9">
        <f t="shared" si="6"/>
        <v>3722.4</v>
      </c>
      <c r="BO139" s="9">
        <f t="shared" si="7"/>
        <v>2605.6799999999998</v>
      </c>
    </row>
    <row r="140" spans="1:67" ht="24" x14ac:dyDescent="0.3">
      <c r="A140" s="8" t="s">
        <v>65</v>
      </c>
      <c r="B140" s="10" t="s">
        <v>180</v>
      </c>
      <c r="C140" s="10">
        <v>485655</v>
      </c>
      <c r="D140" s="11"/>
      <c r="E140" s="10" t="s">
        <v>16</v>
      </c>
      <c r="F140" s="10" t="s">
        <v>181</v>
      </c>
      <c r="G140" s="10" t="s">
        <v>31</v>
      </c>
      <c r="H140" s="12" t="s">
        <v>64</v>
      </c>
      <c r="I140" s="12" t="s">
        <v>176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1</v>
      </c>
      <c r="AF140" s="13">
        <v>3700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4">
        <v>3700</v>
      </c>
      <c r="BN140" s="9">
        <f t="shared" si="6"/>
        <v>3700</v>
      </c>
      <c r="BO140" s="9">
        <f t="shared" si="7"/>
        <v>2590</v>
      </c>
    </row>
    <row r="141" spans="1:67" ht="24" x14ac:dyDescent="0.3">
      <c r="A141" s="8" t="s">
        <v>65</v>
      </c>
      <c r="B141" s="10" t="s">
        <v>301</v>
      </c>
      <c r="C141" s="10">
        <v>467494</v>
      </c>
      <c r="D141" s="11"/>
      <c r="E141" s="10" t="s">
        <v>16</v>
      </c>
      <c r="F141" s="10" t="s">
        <v>224</v>
      </c>
      <c r="G141" s="10" t="s">
        <v>31</v>
      </c>
      <c r="H141" s="12" t="s">
        <v>8</v>
      </c>
      <c r="I141" s="12" t="s">
        <v>21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1</v>
      </c>
      <c r="AF141" s="13">
        <v>3600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4">
        <v>3600</v>
      </c>
      <c r="BN141" s="9">
        <f t="shared" si="6"/>
        <v>3600</v>
      </c>
      <c r="BO141" s="9">
        <f t="shared" si="7"/>
        <v>2520</v>
      </c>
    </row>
    <row r="142" spans="1:67" ht="24" x14ac:dyDescent="0.3">
      <c r="A142" s="8" t="s">
        <v>65</v>
      </c>
      <c r="B142" s="10" t="s">
        <v>302</v>
      </c>
      <c r="C142" s="10">
        <v>420816</v>
      </c>
      <c r="D142" s="11"/>
      <c r="E142" s="10" t="s">
        <v>16</v>
      </c>
      <c r="F142" s="10" t="s">
        <v>173</v>
      </c>
      <c r="G142" s="10" t="s">
        <v>31</v>
      </c>
      <c r="H142" s="12" t="s">
        <v>64</v>
      </c>
      <c r="I142" s="12" t="s">
        <v>207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2</v>
      </c>
      <c r="AF142" s="13">
        <v>3600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4">
        <v>3600</v>
      </c>
      <c r="BN142" s="9">
        <f t="shared" si="6"/>
        <v>3600</v>
      </c>
      <c r="BO142" s="9">
        <f t="shared" si="7"/>
        <v>2520</v>
      </c>
    </row>
    <row r="143" spans="1:67" ht="24" x14ac:dyDescent="0.3">
      <c r="A143" s="8" t="s">
        <v>65</v>
      </c>
      <c r="B143" s="10" t="s">
        <v>303</v>
      </c>
      <c r="C143" s="10">
        <v>416208</v>
      </c>
      <c r="D143" s="11"/>
      <c r="E143" s="10" t="s">
        <v>16</v>
      </c>
      <c r="F143" s="10" t="s">
        <v>63</v>
      </c>
      <c r="G143" s="10" t="s">
        <v>31</v>
      </c>
      <c r="H143" s="12" t="s">
        <v>64</v>
      </c>
      <c r="I143" s="12" t="s">
        <v>304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1</v>
      </c>
      <c r="AR143" s="13">
        <v>3300</v>
      </c>
      <c r="AS143" s="12">
        <v>200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4">
        <v>3500</v>
      </c>
      <c r="BN143" s="9">
        <f t="shared" si="6"/>
        <v>3500</v>
      </c>
      <c r="BO143" s="9">
        <f t="shared" si="7"/>
        <v>2450</v>
      </c>
    </row>
    <row r="144" spans="1:67" ht="24" x14ac:dyDescent="0.3">
      <c r="A144" s="8" t="s">
        <v>65</v>
      </c>
      <c r="B144" s="10" t="s">
        <v>305</v>
      </c>
      <c r="C144" s="10">
        <v>441962</v>
      </c>
      <c r="D144" s="11"/>
      <c r="E144" s="10" t="s">
        <v>16</v>
      </c>
      <c r="F144" s="10" t="s">
        <v>144</v>
      </c>
      <c r="G144" s="10" t="s">
        <v>76</v>
      </c>
      <c r="H144" s="12" t="s">
        <v>8</v>
      </c>
      <c r="I144" s="12" t="s">
        <v>306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1</v>
      </c>
      <c r="AF144" s="13">
        <v>2800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4">
        <v>2800</v>
      </c>
      <c r="BN144" s="9">
        <f t="shared" si="6"/>
        <v>2800</v>
      </c>
      <c r="BO144" s="9">
        <f t="shared" si="7"/>
        <v>1959.9999999999998</v>
      </c>
    </row>
    <row r="145" spans="1:67" ht="24" x14ac:dyDescent="0.3">
      <c r="A145" s="8" t="s">
        <v>65</v>
      </c>
      <c r="B145" s="10" t="s">
        <v>307</v>
      </c>
      <c r="C145" s="10">
        <v>428129</v>
      </c>
      <c r="D145" s="11"/>
      <c r="E145" s="10" t="s">
        <v>16</v>
      </c>
      <c r="F145" s="10" t="s">
        <v>42</v>
      </c>
      <c r="G145" s="10" t="s">
        <v>31</v>
      </c>
      <c r="H145" s="12" t="s">
        <v>64</v>
      </c>
      <c r="I145" s="12" t="s">
        <v>242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2</v>
      </c>
      <c r="AF145" s="13">
        <v>2800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4">
        <v>2800</v>
      </c>
      <c r="BN145" s="9">
        <f t="shared" si="6"/>
        <v>2800</v>
      </c>
      <c r="BO145" s="9">
        <f t="shared" si="7"/>
        <v>1959.9999999999998</v>
      </c>
    </row>
    <row r="146" spans="1:67" ht="24" x14ac:dyDescent="0.3">
      <c r="A146" s="8" t="s">
        <v>65</v>
      </c>
      <c r="B146" s="10" t="s">
        <v>281</v>
      </c>
      <c r="C146" s="10">
        <v>445861</v>
      </c>
      <c r="D146" s="11"/>
      <c r="E146" s="10" t="s">
        <v>16</v>
      </c>
      <c r="F146" s="10" t="s">
        <v>42</v>
      </c>
      <c r="G146" s="10" t="s">
        <v>31</v>
      </c>
      <c r="H146" s="12" t="s">
        <v>8</v>
      </c>
      <c r="I146" s="12" t="s">
        <v>282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1</v>
      </c>
      <c r="AF146" s="13">
        <v>2800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4">
        <v>2800</v>
      </c>
      <c r="BN146" s="9">
        <f t="shared" si="6"/>
        <v>2800</v>
      </c>
      <c r="BO146" s="9">
        <f t="shared" si="7"/>
        <v>1959.9999999999998</v>
      </c>
    </row>
    <row r="147" spans="1:67" ht="24" x14ac:dyDescent="0.3">
      <c r="A147" s="8" t="s">
        <v>65</v>
      </c>
      <c r="B147" s="10" t="s">
        <v>39</v>
      </c>
      <c r="C147" s="10">
        <v>321812</v>
      </c>
      <c r="D147" s="11"/>
      <c r="E147" s="10" t="s">
        <v>16</v>
      </c>
      <c r="F147" s="10" t="s">
        <v>28</v>
      </c>
      <c r="G147" s="10" t="s">
        <v>11</v>
      </c>
      <c r="H147" s="12" t="s">
        <v>7</v>
      </c>
      <c r="I147" s="12" t="s">
        <v>40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19</v>
      </c>
      <c r="AF147" s="13">
        <v>1420</v>
      </c>
      <c r="AG147" s="12">
        <v>500</v>
      </c>
      <c r="AH147" s="12">
        <v>0</v>
      </c>
      <c r="AI147" s="12">
        <v>0</v>
      </c>
      <c r="AJ147" s="12">
        <v>0</v>
      </c>
      <c r="AK147" s="12">
        <v>1</v>
      </c>
      <c r="AL147" s="12">
        <v>120</v>
      </c>
      <c r="AM147" s="12">
        <v>0</v>
      </c>
      <c r="AN147" s="12">
        <v>0</v>
      </c>
      <c r="AO147" s="12">
        <v>0</v>
      </c>
      <c r="AP147" s="12">
        <v>0</v>
      </c>
      <c r="AQ147" s="12">
        <v>1</v>
      </c>
      <c r="AR147" s="12">
        <v>100</v>
      </c>
      <c r="AS147" s="12">
        <v>0</v>
      </c>
      <c r="AT147" s="12">
        <v>0</v>
      </c>
      <c r="AU147" s="12">
        <v>0</v>
      </c>
      <c r="AV147" s="12">
        <v>0</v>
      </c>
      <c r="AW147" s="12">
        <v>1</v>
      </c>
      <c r="AX147" s="12">
        <v>120</v>
      </c>
      <c r="AY147" s="12">
        <v>0</v>
      </c>
      <c r="AZ147" s="12">
        <v>0</v>
      </c>
      <c r="BA147" s="12">
        <v>0</v>
      </c>
      <c r="BB147" s="12">
        <v>0</v>
      </c>
      <c r="BC147" s="12">
        <v>4</v>
      </c>
      <c r="BD147" s="12">
        <v>480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76.8</v>
      </c>
      <c r="BM147" s="14">
        <v>2740</v>
      </c>
      <c r="BN147" s="9">
        <f t="shared" si="6"/>
        <v>2663.2</v>
      </c>
      <c r="BO147" s="9">
        <f t="shared" si="7"/>
        <v>1864.2399999999998</v>
      </c>
    </row>
    <row r="148" spans="1:67" ht="24" x14ac:dyDescent="0.3">
      <c r="A148" s="8" t="s">
        <v>65</v>
      </c>
      <c r="B148" s="10" t="s">
        <v>179</v>
      </c>
      <c r="C148" s="10">
        <v>441789</v>
      </c>
      <c r="D148" s="11"/>
      <c r="E148" s="10" t="s">
        <v>16</v>
      </c>
      <c r="F148" s="10" t="s">
        <v>46</v>
      </c>
      <c r="G148" s="10" t="s">
        <v>31</v>
      </c>
      <c r="H148" s="12" t="s">
        <v>64</v>
      </c>
      <c r="I148" s="12" t="s">
        <v>176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1</v>
      </c>
      <c r="AF148" s="13">
        <v>2500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4">
        <v>2500</v>
      </c>
      <c r="BN148" s="9">
        <f t="shared" si="6"/>
        <v>2500</v>
      </c>
      <c r="BO148" s="9">
        <f t="shared" si="7"/>
        <v>1750</v>
      </c>
    </row>
    <row r="149" spans="1:67" ht="24" x14ac:dyDescent="0.3">
      <c r="A149" s="8" t="s">
        <v>65</v>
      </c>
      <c r="B149" s="10" t="s">
        <v>308</v>
      </c>
      <c r="C149" s="10">
        <v>481136</v>
      </c>
      <c r="D149" s="11"/>
      <c r="E149" s="10" t="s">
        <v>16</v>
      </c>
      <c r="F149" s="10" t="s">
        <v>309</v>
      </c>
      <c r="G149" s="10" t="s">
        <v>76</v>
      </c>
      <c r="H149" s="12" t="s">
        <v>8</v>
      </c>
      <c r="I149" s="12" t="s">
        <v>155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1</v>
      </c>
      <c r="AF149" s="13">
        <v>2500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4">
        <v>2500</v>
      </c>
      <c r="BN149" s="9">
        <f t="shared" si="6"/>
        <v>2500</v>
      </c>
      <c r="BO149" s="9">
        <f t="shared" si="7"/>
        <v>1750</v>
      </c>
    </row>
    <row r="150" spans="1:67" ht="24" x14ac:dyDescent="0.3">
      <c r="A150" s="8" t="s">
        <v>65</v>
      </c>
      <c r="B150" s="10" t="s">
        <v>310</v>
      </c>
      <c r="C150" s="10">
        <v>444217</v>
      </c>
      <c r="D150" s="11"/>
      <c r="E150" s="10" t="s">
        <v>16</v>
      </c>
      <c r="F150" s="10" t="s">
        <v>57</v>
      </c>
      <c r="G150" s="10" t="s">
        <v>31</v>
      </c>
      <c r="H150" s="12" t="s">
        <v>64</v>
      </c>
      <c r="I150" s="12" t="s">
        <v>311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1</v>
      </c>
      <c r="AF150" s="13">
        <v>2500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4">
        <v>2500</v>
      </c>
      <c r="BN150" s="9">
        <f t="shared" si="6"/>
        <v>2500</v>
      </c>
      <c r="BO150" s="9">
        <f t="shared" si="7"/>
        <v>1750</v>
      </c>
    </row>
    <row r="151" spans="1:67" ht="24" x14ac:dyDescent="0.3">
      <c r="A151" s="8" t="s">
        <v>65</v>
      </c>
      <c r="B151" s="10" t="s">
        <v>66</v>
      </c>
      <c r="C151" s="10">
        <v>472512</v>
      </c>
      <c r="D151" s="11"/>
      <c r="E151" s="10" t="s">
        <v>16</v>
      </c>
      <c r="F151" s="10" t="s">
        <v>36</v>
      </c>
      <c r="G151" s="10" t="s">
        <v>11</v>
      </c>
      <c r="H151" s="12" t="s">
        <v>7</v>
      </c>
      <c r="I151" s="12" t="s">
        <v>232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14</v>
      </c>
      <c r="AF151" s="13">
        <v>1400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8</v>
      </c>
      <c r="BD151" s="12">
        <v>960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57.6</v>
      </c>
      <c r="BM151" s="14">
        <v>2360</v>
      </c>
      <c r="BN151" s="9">
        <f t="shared" si="6"/>
        <v>2302.4</v>
      </c>
      <c r="BO151" s="9">
        <f t="shared" si="7"/>
        <v>1611.68</v>
      </c>
    </row>
    <row r="152" spans="1:67" ht="24" x14ac:dyDescent="0.3">
      <c r="A152" s="8" t="s">
        <v>65</v>
      </c>
      <c r="B152" s="10" t="s">
        <v>225</v>
      </c>
      <c r="C152" s="10">
        <v>331655</v>
      </c>
      <c r="D152" s="11"/>
      <c r="E152" s="10" t="s">
        <v>16</v>
      </c>
      <c r="F152" s="10" t="s">
        <v>194</v>
      </c>
      <c r="G152" s="10" t="s">
        <v>31</v>
      </c>
      <c r="H152" s="12" t="s">
        <v>64</v>
      </c>
      <c r="I152" s="12" t="s">
        <v>219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5</v>
      </c>
      <c r="AF152" s="13">
        <v>1260</v>
      </c>
      <c r="AG152" s="12">
        <v>300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1</v>
      </c>
      <c r="AX152" s="12">
        <v>360</v>
      </c>
      <c r="AY152" s="12">
        <v>0</v>
      </c>
      <c r="AZ152" s="12">
        <v>0</v>
      </c>
      <c r="BA152" s="12">
        <v>0</v>
      </c>
      <c r="BB152" s="12">
        <v>0</v>
      </c>
      <c r="BC152" s="12">
        <v>1</v>
      </c>
      <c r="BD152" s="12">
        <v>360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57.6</v>
      </c>
      <c r="BM152" s="14">
        <v>2280</v>
      </c>
      <c r="BN152" s="9">
        <f t="shared" si="6"/>
        <v>2222.4</v>
      </c>
      <c r="BO152" s="9">
        <f t="shared" si="7"/>
        <v>1555.68</v>
      </c>
    </row>
    <row r="153" spans="1:67" ht="24" x14ac:dyDescent="0.3">
      <c r="A153" s="8" t="s">
        <v>65</v>
      </c>
      <c r="B153" s="10" t="s">
        <v>56</v>
      </c>
      <c r="C153" s="10">
        <v>383229</v>
      </c>
      <c r="D153" s="11"/>
      <c r="E153" s="10" t="s">
        <v>16</v>
      </c>
      <c r="F153" s="10" t="s">
        <v>57</v>
      </c>
      <c r="G153" s="10" t="s">
        <v>31</v>
      </c>
      <c r="H153" s="12" t="s">
        <v>8</v>
      </c>
      <c r="I153" s="12" t="s">
        <v>58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9</v>
      </c>
      <c r="AF153" s="12">
        <v>920</v>
      </c>
      <c r="AG153" s="12">
        <v>0</v>
      </c>
      <c r="AH153" s="12">
        <v>0</v>
      </c>
      <c r="AI153" s="12">
        <v>0</v>
      </c>
      <c r="AJ153" s="12">
        <v>0</v>
      </c>
      <c r="AK153" s="12">
        <v>1</v>
      </c>
      <c r="AL153" s="12">
        <v>120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1</v>
      </c>
      <c r="AX153" s="12">
        <v>120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48</v>
      </c>
      <c r="BM153" s="14">
        <v>1160</v>
      </c>
      <c r="BN153" s="9">
        <f t="shared" si="6"/>
        <v>1112</v>
      </c>
      <c r="BO153" s="9">
        <f t="shared" si="7"/>
        <v>778.4</v>
      </c>
    </row>
    <row r="154" spans="1:67" ht="24" x14ac:dyDescent="0.3">
      <c r="A154" s="8" t="s">
        <v>65</v>
      </c>
      <c r="B154" s="10" t="s">
        <v>222</v>
      </c>
      <c r="C154" s="10">
        <v>441791</v>
      </c>
      <c r="D154" s="11"/>
      <c r="E154" s="10" t="s">
        <v>16</v>
      </c>
      <c r="F154" s="10" t="s">
        <v>46</v>
      </c>
      <c r="G154" s="10" t="s">
        <v>31</v>
      </c>
      <c r="H154" s="12" t="s">
        <v>64</v>
      </c>
      <c r="I154" s="12" t="s">
        <v>176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1</v>
      </c>
      <c r="AF154" s="13">
        <v>1000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4">
        <v>1000</v>
      </c>
      <c r="BN154" s="9">
        <f t="shared" si="6"/>
        <v>1000</v>
      </c>
      <c r="BO154" s="9">
        <f t="shared" si="7"/>
        <v>700</v>
      </c>
    </row>
    <row r="155" spans="1:67" ht="24" x14ac:dyDescent="0.3">
      <c r="A155" s="8" t="s">
        <v>65</v>
      </c>
      <c r="B155" s="10" t="s">
        <v>216</v>
      </c>
      <c r="C155" s="10">
        <v>444223</v>
      </c>
      <c r="D155" s="11"/>
      <c r="E155" s="10" t="s">
        <v>16</v>
      </c>
      <c r="F155" s="10" t="s">
        <v>173</v>
      </c>
      <c r="G155" s="10" t="s">
        <v>31</v>
      </c>
      <c r="H155" s="12" t="s">
        <v>64</v>
      </c>
      <c r="I155" s="12" t="s">
        <v>176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1</v>
      </c>
      <c r="AF155" s="12">
        <v>500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1</v>
      </c>
      <c r="AR155" s="12">
        <v>500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4">
        <v>1000</v>
      </c>
      <c r="BN155" s="9">
        <f t="shared" si="6"/>
        <v>1000</v>
      </c>
      <c r="BO155" s="9">
        <f t="shared" si="7"/>
        <v>700</v>
      </c>
    </row>
    <row r="156" spans="1:67" ht="24" x14ac:dyDescent="0.3">
      <c r="A156" s="8" t="s">
        <v>65</v>
      </c>
      <c r="B156" s="10" t="s">
        <v>223</v>
      </c>
      <c r="C156" s="10">
        <v>383236</v>
      </c>
      <c r="D156" s="11"/>
      <c r="E156" s="10" t="s">
        <v>16</v>
      </c>
      <c r="F156" s="10" t="s">
        <v>57</v>
      </c>
      <c r="G156" s="10" t="s">
        <v>31</v>
      </c>
      <c r="H156" s="12" t="s">
        <v>64</v>
      </c>
      <c r="I156" s="12" t="s">
        <v>58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2</v>
      </c>
      <c r="AF156" s="12">
        <v>400</v>
      </c>
      <c r="AG156" s="12">
        <v>400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6">
        <v>800</v>
      </c>
      <c r="BN156" s="9">
        <f t="shared" si="6"/>
        <v>800</v>
      </c>
      <c r="BO156" s="9">
        <f t="shared" si="7"/>
        <v>560</v>
      </c>
    </row>
    <row r="157" spans="1:67" ht="24" x14ac:dyDescent="0.3">
      <c r="A157" s="8" t="s">
        <v>65</v>
      </c>
      <c r="B157" s="10" t="s">
        <v>228</v>
      </c>
      <c r="C157" s="10">
        <v>426280</v>
      </c>
      <c r="D157" s="11"/>
      <c r="E157" s="10" t="s">
        <v>16</v>
      </c>
      <c r="F157" s="10" t="s">
        <v>218</v>
      </c>
      <c r="G157" s="10" t="s">
        <v>31</v>
      </c>
      <c r="H157" s="12" t="s">
        <v>64</v>
      </c>
      <c r="I157" s="12" t="s">
        <v>219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2</v>
      </c>
      <c r="AF157" s="12">
        <v>600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6">
        <v>600</v>
      </c>
      <c r="BN157" s="9">
        <f t="shared" si="6"/>
        <v>600</v>
      </c>
      <c r="BO157" s="9">
        <f t="shared" si="7"/>
        <v>420</v>
      </c>
    </row>
    <row r="158" spans="1:67" ht="24" x14ac:dyDescent="0.3">
      <c r="A158" s="8" t="s">
        <v>65</v>
      </c>
      <c r="B158" s="10" t="s">
        <v>193</v>
      </c>
      <c r="C158" s="10">
        <v>485662</v>
      </c>
      <c r="D158" s="11"/>
      <c r="E158" s="10" t="s">
        <v>16</v>
      </c>
      <c r="F158" s="10" t="s">
        <v>57</v>
      </c>
      <c r="G158" s="10" t="s">
        <v>31</v>
      </c>
      <c r="H158" s="12" t="s">
        <v>64</v>
      </c>
      <c r="I158" s="12" t="s">
        <v>176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1</v>
      </c>
      <c r="BD158" s="12">
        <v>600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36</v>
      </c>
      <c r="BM158" s="16">
        <v>600</v>
      </c>
      <c r="BN158" s="9">
        <f t="shared" si="6"/>
        <v>564</v>
      </c>
      <c r="BO158" s="9">
        <f t="shared" si="7"/>
        <v>394.79999999999995</v>
      </c>
    </row>
    <row r="159" spans="1:67" ht="24" x14ac:dyDescent="0.3">
      <c r="A159" s="8" t="s">
        <v>65</v>
      </c>
      <c r="B159" s="10" t="s">
        <v>33</v>
      </c>
      <c r="C159" s="10">
        <v>178856</v>
      </c>
      <c r="D159" s="11"/>
      <c r="E159" s="10" t="s">
        <v>16</v>
      </c>
      <c r="F159" s="10" t="s">
        <v>28</v>
      </c>
      <c r="G159" s="10" t="s">
        <v>11</v>
      </c>
      <c r="H159" s="12" t="s">
        <v>10</v>
      </c>
      <c r="I159" s="12" t="s">
        <v>34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6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2</v>
      </c>
      <c r="AF159" s="12">
        <v>200</v>
      </c>
      <c r="AG159" s="12">
        <v>0</v>
      </c>
      <c r="AH159" s="12">
        <v>0</v>
      </c>
      <c r="AI159" s="12">
        <v>0</v>
      </c>
      <c r="AJ159" s="12">
        <v>0</v>
      </c>
      <c r="AK159" s="12">
        <v>3</v>
      </c>
      <c r="AL159" s="12">
        <v>360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108</v>
      </c>
      <c r="BM159" s="16">
        <v>560</v>
      </c>
      <c r="BN159" s="9">
        <f t="shared" si="6"/>
        <v>452</v>
      </c>
      <c r="BO159" s="9">
        <f t="shared" si="7"/>
        <v>316.39999999999998</v>
      </c>
    </row>
    <row r="160" spans="1:67" ht="24" x14ac:dyDescent="0.3">
      <c r="A160" s="8" t="s">
        <v>65</v>
      </c>
      <c r="B160" s="10" t="s">
        <v>50</v>
      </c>
      <c r="C160" s="10">
        <v>219203</v>
      </c>
      <c r="D160" s="11"/>
      <c r="E160" s="10" t="s">
        <v>16</v>
      </c>
      <c r="F160" s="10" t="s">
        <v>51</v>
      </c>
      <c r="G160" s="10" t="s">
        <v>11</v>
      </c>
      <c r="H160" s="12" t="s">
        <v>7</v>
      </c>
      <c r="I160" s="12" t="s">
        <v>52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3</v>
      </c>
      <c r="AC160" s="12">
        <v>300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6">
        <v>300</v>
      </c>
      <c r="BN160" s="9">
        <f t="shared" si="6"/>
        <v>300</v>
      </c>
      <c r="BO160" s="9">
        <f t="shared" si="7"/>
        <v>210</v>
      </c>
    </row>
    <row r="161" spans="1:67" ht="24" x14ac:dyDescent="0.3">
      <c r="A161" s="8" t="s">
        <v>65</v>
      </c>
      <c r="B161" s="10" t="s">
        <v>247</v>
      </c>
      <c r="C161" s="10">
        <v>486624</v>
      </c>
      <c r="D161" s="11"/>
      <c r="E161" s="10" t="s">
        <v>16</v>
      </c>
      <c r="F161" s="10" t="s">
        <v>248</v>
      </c>
      <c r="G161" s="10" t="s">
        <v>31</v>
      </c>
      <c r="H161" s="12" t="s">
        <v>8</v>
      </c>
      <c r="I161" s="12" t="s">
        <v>177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3</v>
      </c>
      <c r="AF161" s="12">
        <v>300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6">
        <v>300</v>
      </c>
      <c r="BN161" s="9">
        <f t="shared" si="6"/>
        <v>300</v>
      </c>
      <c r="BO161" s="9">
        <f t="shared" si="7"/>
        <v>210</v>
      </c>
    </row>
    <row r="162" spans="1:67" ht="24" x14ac:dyDescent="0.3">
      <c r="A162" s="8" t="s">
        <v>65</v>
      </c>
      <c r="B162" s="10" t="s">
        <v>249</v>
      </c>
      <c r="C162" s="10">
        <v>487308</v>
      </c>
      <c r="D162" s="11"/>
      <c r="E162" s="10" t="s">
        <v>16</v>
      </c>
      <c r="F162" s="10" t="s">
        <v>250</v>
      </c>
      <c r="G162" s="10" t="s">
        <v>76</v>
      </c>
      <c r="H162" s="12" t="s">
        <v>8</v>
      </c>
      <c r="I162" s="12" t="s">
        <v>251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1</v>
      </c>
      <c r="AF162" s="12">
        <v>100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1</v>
      </c>
      <c r="BD162" s="12">
        <v>120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7.2</v>
      </c>
      <c r="BM162" s="16">
        <v>220</v>
      </c>
      <c r="BN162" s="9">
        <f t="shared" si="6"/>
        <v>212.8</v>
      </c>
      <c r="BO162" s="9">
        <f t="shared" si="7"/>
        <v>148.96</v>
      </c>
    </row>
    <row r="163" spans="1:67" ht="24" x14ac:dyDescent="0.3">
      <c r="A163" s="8" t="s">
        <v>65</v>
      </c>
      <c r="B163" s="10" t="s">
        <v>41</v>
      </c>
      <c r="C163" s="10">
        <v>412919</v>
      </c>
      <c r="D163" s="11"/>
      <c r="E163" s="10" t="s">
        <v>16</v>
      </c>
      <c r="F163" s="10" t="s">
        <v>42</v>
      </c>
      <c r="G163" s="10" t="s">
        <v>31</v>
      </c>
      <c r="H163" s="12" t="s">
        <v>8</v>
      </c>
      <c r="I163" s="12" t="s">
        <v>43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1</v>
      </c>
      <c r="AF163" s="12">
        <v>100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1</v>
      </c>
      <c r="BD163" s="12">
        <v>120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7.2</v>
      </c>
      <c r="BM163" s="16">
        <v>220</v>
      </c>
      <c r="BN163" s="9">
        <f t="shared" si="6"/>
        <v>212.8</v>
      </c>
      <c r="BO163" s="9">
        <f t="shared" si="7"/>
        <v>148.96</v>
      </c>
    </row>
    <row r="164" spans="1:67" ht="24" x14ac:dyDescent="0.3">
      <c r="A164" s="8" t="s">
        <v>65</v>
      </c>
      <c r="B164" s="10" t="s">
        <v>189</v>
      </c>
      <c r="C164" s="10">
        <v>484300</v>
      </c>
      <c r="D164" s="11"/>
      <c r="E164" s="10" t="s">
        <v>16</v>
      </c>
      <c r="F164" s="10" t="s">
        <v>190</v>
      </c>
      <c r="G164" s="10" t="s">
        <v>11</v>
      </c>
      <c r="H164" s="12" t="s">
        <v>7</v>
      </c>
      <c r="I164" s="12" t="s">
        <v>191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1</v>
      </c>
      <c r="AF164" s="12">
        <v>100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1</v>
      </c>
      <c r="AX164" s="12">
        <v>120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12</v>
      </c>
      <c r="BM164" s="16">
        <v>220</v>
      </c>
      <c r="BN164" s="9">
        <f t="shared" si="6"/>
        <v>208</v>
      </c>
      <c r="BO164" s="9">
        <f t="shared" si="7"/>
        <v>145.6</v>
      </c>
    </row>
    <row r="165" spans="1:67" ht="24" x14ac:dyDescent="0.3">
      <c r="A165" s="8" t="s">
        <v>65</v>
      </c>
      <c r="B165" s="10" t="s">
        <v>162</v>
      </c>
      <c r="C165" s="10">
        <v>483179</v>
      </c>
      <c r="D165" s="11"/>
      <c r="E165" s="10" t="s">
        <v>16</v>
      </c>
      <c r="F165" s="10" t="s">
        <v>157</v>
      </c>
      <c r="G165" s="10" t="s">
        <v>31</v>
      </c>
      <c r="H165" s="12" t="s">
        <v>8</v>
      </c>
      <c r="I165" s="12" t="s">
        <v>163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1</v>
      </c>
      <c r="AF165" s="12">
        <v>100</v>
      </c>
      <c r="AG165" s="12">
        <v>0</v>
      </c>
      <c r="AH165" s="12">
        <v>0</v>
      </c>
      <c r="AI165" s="12">
        <v>0</v>
      </c>
      <c r="AJ165" s="12">
        <v>0</v>
      </c>
      <c r="AK165" s="12">
        <v>1</v>
      </c>
      <c r="AL165" s="12">
        <v>120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36</v>
      </c>
      <c r="BM165" s="16">
        <v>220</v>
      </c>
      <c r="BN165" s="9">
        <f t="shared" si="6"/>
        <v>184</v>
      </c>
      <c r="BO165" s="9">
        <f t="shared" si="7"/>
        <v>128.79999999999998</v>
      </c>
    </row>
    <row r="166" spans="1:67" ht="24" x14ac:dyDescent="0.3">
      <c r="A166" s="8" t="s">
        <v>65</v>
      </c>
      <c r="B166" s="10" t="s">
        <v>27</v>
      </c>
      <c r="C166" s="10">
        <v>369220</v>
      </c>
      <c r="D166" s="11"/>
      <c r="E166" s="10" t="s">
        <v>16</v>
      </c>
      <c r="F166" s="10" t="s">
        <v>28</v>
      </c>
      <c r="G166" s="10" t="s">
        <v>11</v>
      </c>
      <c r="H166" s="12" t="s">
        <v>7</v>
      </c>
      <c r="I166" s="12" t="s">
        <v>29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2</v>
      </c>
      <c r="AF166" s="12">
        <v>100</v>
      </c>
      <c r="AG166" s="12">
        <v>100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6">
        <v>200</v>
      </c>
      <c r="BN166" s="9">
        <f t="shared" si="6"/>
        <v>200</v>
      </c>
      <c r="BO166" s="9">
        <f t="shared" si="7"/>
        <v>140</v>
      </c>
    </row>
    <row r="167" spans="1:67" ht="24" x14ac:dyDescent="0.3">
      <c r="A167" s="8" t="s">
        <v>65</v>
      </c>
      <c r="B167" s="10" t="s">
        <v>239</v>
      </c>
      <c r="C167" s="10">
        <v>486613</v>
      </c>
      <c r="D167" s="11"/>
      <c r="E167" s="10" t="s">
        <v>16</v>
      </c>
      <c r="F167" s="10" t="s">
        <v>240</v>
      </c>
      <c r="G167" s="10" t="s">
        <v>76</v>
      </c>
      <c r="H167" s="12" t="s">
        <v>10</v>
      </c>
      <c r="I167" s="12" t="s">
        <v>177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2</v>
      </c>
      <c r="AF167" s="12">
        <v>200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6">
        <v>200</v>
      </c>
      <c r="BN167" s="9">
        <f t="shared" si="6"/>
        <v>200</v>
      </c>
      <c r="BO167" s="9">
        <f t="shared" si="7"/>
        <v>140</v>
      </c>
    </row>
    <row r="168" spans="1:67" ht="24" x14ac:dyDescent="0.3">
      <c r="A168" s="8" t="s">
        <v>65</v>
      </c>
      <c r="B168" s="10" t="s">
        <v>312</v>
      </c>
      <c r="C168" s="10">
        <v>428379</v>
      </c>
      <c r="D168" s="11"/>
      <c r="E168" s="10" t="s">
        <v>16</v>
      </c>
      <c r="F168" s="10" t="s">
        <v>229</v>
      </c>
      <c r="G168" s="10" t="s">
        <v>76</v>
      </c>
      <c r="H168" s="12" t="s">
        <v>8</v>
      </c>
      <c r="I168" s="12" t="s">
        <v>313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1</v>
      </c>
      <c r="AL168" s="12">
        <v>120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36</v>
      </c>
      <c r="BM168" s="16">
        <v>120</v>
      </c>
      <c r="BN168" s="9">
        <f t="shared" si="6"/>
        <v>84</v>
      </c>
      <c r="BO168" s="9">
        <f t="shared" si="7"/>
        <v>58.8</v>
      </c>
    </row>
    <row r="169" spans="1:67" ht="48" x14ac:dyDescent="0.3">
      <c r="A169" s="8" t="s">
        <v>65</v>
      </c>
      <c r="B169" s="10" t="s">
        <v>226</v>
      </c>
      <c r="C169" s="10">
        <v>469072</v>
      </c>
      <c r="D169" s="11"/>
      <c r="E169" s="10" t="s">
        <v>16</v>
      </c>
      <c r="F169" s="10" t="s">
        <v>172</v>
      </c>
      <c r="G169" s="10" t="s">
        <v>31</v>
      </c>
      <c r="H169" s="12" t="s">
        <v>8</v>
      </c>
      <c r="I169" s="12" t="s">
        <v>227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1</v>
      </c>
      <c r="BD169" s="12">
        <v>120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7.2</v>
      </c>
      <c r="BM169" s="16">
        <v>120</v>
      </c>
      <c r="BN169" s="9">
        <f t="shared" si="6"/>
        <v>112.8</v>
      </c>
      <c r="BO169" s="9">
        <f t="shared" si="7"/>
        <v>78.959999999999994</v>
      </c>
    </row>
    <row r="170" spans="1:67" ht="24" x14ac:dyDescent="0.3">
      <c r="A170" s="8" t="s">
        <v>230</v>
      </c>
      <c r="B170" s="10" t="s">
        <v>314</v>
      </c>
      <c r="C170" s="10">
        <v>385169</v>
      </c>
      <c r="D170" s="11"/>
      <c r="E170" s="10" t="s">
        <v>16</v>
      </c>
      <c r="F170" s="10" t="s">
        <v>194</v>
      </c>
      <c r="G170" s="10" t="s">
        <v>31</v>
      </c>
      <c r="H170" s="12" t="s">
        <v>8</v>
      </c>
      <c r="I170" s="12" t="s">
        <v>166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1</v>
      </c>
      <c r="AF170" s="12">
        <v>120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6">
        <v>120</v>
      </c>
      <c r="BN170" s="9">
        <f t="shared" si="6"/>
        <v>120</v>
      </c>
      <c r="BO170" s="9">
        <f t="shared" si="7"/>
        <v>84</v>
      </c>
    </row>
    <row r="171" spans="1:67" ht="24" x14ac:dyDescent="0.3">
      <c r="A171" s="8" t="s">
        <v>230</v>
      </c>
      <c r="B171" s="10" t="s">
        <v>315</v>
      </c>
      <c r="C171" s="10">
        <v>429496</v>
      </c>
      <c r="D171" s="11"/>
      <c r="E171" s="10" t="s">
        <v>16</v>
      </c>
      <c r="F171" s="10" t="s">
        <v>294</v>
      </c>
      <c r="G171" s="10" t="s">
        <v>237</v>
      </c>
      <c r="H171" s="12" t="s">
        <v>7</v>
      </c>
      <c r="I171" s="12" t="s">
        <v>316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1</v>
      </c>
      <c r="AL171" s="12">
        <v>113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33.9</v>
      </c>
      <c r="BM171" s="16">
        <v>113</v>
      </c>
      <c r="BN171" s="9">
        <f t="shared" si="6"/>
        <v>79.099999999999994</v>
      </c>
      <c r="BO171" s="9">
        <f t="shared" si="7"/>
        <v>55.36999999999999</v>
      </c>
    </row>
    <row r="172" spans="1:67" ht="24" x14ac:dyDescent="0.3">
      <c r="A172" s="8" t="s">
        <v>231</v>
      </c>
      <c r="B172" s="10" t="s">
        <v>317</v>
      </c>
      <c r="C172" s="10">
        <v>278898</v>
      </c>
      <c r="D172" s="11"/>
      <c r="E172" s="10" t="s">
        <v>16</v>
      </c>
      <c r="F172" s="10" t="s">
        <v>318</v>
      </c>
      <c r="G172" s="10" t="s">
        <v>11</v>
      </c>
      <c r="H172" s="12" t="s">
        <v>7</v>
      </c>
      <c r="I172" s="12" t="s">
        <v>319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1</v>
      </c>
      <c r="AF172" s="12">
        <v>100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6">
        <v>100</v>
      </c>
      <c r="BN172" s="9">
        <f t="shared" si="6"/>
        <v>100</v>
      </c>
      <c r="BO172" s="9">
        <f t="shared" si="7"/>
        <v>70</v>
      </c>
    </row>
    <row r="173" spans="1:67" ht="24" x14ac:dyDescent="0.3">
      <c r="A173" s="8" t="s">
        <v>231</v>
      </c>
      <c r="B173" s="10" t="s">
        <v>151</v>
      </c>
      <c r="C173" s="10">
        <v>251205</v>
      </c>
      <c r="D173" s="11"/>
      <c r="E173" s="10" t="s">
        <v>16</v>
      </c>
      <c r="F173" s="10" t="s">
        <v>48</v>
      </c>
      <c r="G173" s="10" t="s">
        <v>11</v>
      </c>
      <c r="H173" s="12" t="s">
        <v>7</v>
      </c>
      <c r="I173" s="12" t="s">
        <v>152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1</v>
      </c>
      <c r="AF173" s="12">
        <v>100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6">
        <v>100</v>
      </c>
      <c r="BN173" s="9">
        <f t="shared" si="6"/>
        <v>100</v>
      </c>
      <c r="BO173" s="9">
        <f t="shared" si="7"/>
        <v>70</v>
      </c>
    </row>
    <row r="174" spans="1:67" ht="24" x14ac:dyDescent="0.3">
      <c r="A174" s="8" t="s">
        <v>231</v>
      </c>
      <c r="B174" s="10" t="s">
        <v>258</v>
      </c>
      <c r="C174" s="10">
        <v>376361</v>
      </c>
      <c r="D174" s="11"/>
      <c r="E174" s="10" t="s">
        <v>16</v>
      </c>
      <c r="F174" s="10" t="s">
        <v>42</v>
      </c>
      <c r="G174" s="10" t="s">
        <v>31</v>
      </c>
      <c r="H174" s="12" t="s">
        <v>8</v>
      </c>
      <c r="I174" s="12" t="s">
        <v>259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1</v>
      </c>
      <c r="AF174" s="12">
        <v>100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6">
        <v>100</v>
      </c>
      <c r="BN174" s="9">
        <f t="shared" si="6"/>
        <v>100</v>
      </c>
      <c r="BO174" s="9">
        <f t="shared" si="7"/>
        <v>70</v>
      </c>
    </row>
    <row r="175" spans="1:67" ht="24" x14ac:dyDescent="0.3">
      <c r="A175" s="8" t="s">
        <v>231</v>
      </c>
      <c r="B175" s="10" t="s">
        <v>320</v>
      </c>
      <c r="C175" s="10">
        <v>407003</v>
      </c>
      <c r="D175" s="11"/>
      <c r="E175" s="10" t="s">
        <v>16</v>
      </c>
      <c r="F175" s="10" t="s">
        <v>200</v>
      </c>
      <c r="G175" s="10" t="s">
        <v>31</v>
      </c>
      <c r="H175" s="12" t="s">
        <v>64</v>
      </c>
      <c r="I175" s="12" t="s">
        <v>321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1</v>
      </c>
      <c r="AF175" s="12">
        <v>100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6">
        <v>100</v>
      </c>
      <c r="BN175" s="9">
        <f t="shared" si="6"/>
        <v>100</v>
      </c>
      <c r="BO175" s="9">
        <f t="shared" si="7"/>
        <v>70</v>
      </c>
    </row>
    <row r="176" spans="1:67" ht="24" x14ac:dyDescent="0.3">
      <c r="A176" s="8" t="s">
        <v>231</v>
      </c>
      <c r="B176" s="10" t="s">
        <v>322</v>
      </c>
      <c r="C176" s="10">
        <v>434544</v>
      </c>
      <c r="D176" s="11"/>
      <c r="E176" s="10" t="s">
        <v>16</v>
      </c>
      <c r="F176" s="10" t="s">
        <v>294</v>
      </c>
      <c r="G176" s="10" t="s">
        <v>237</v>
      </c>
      <c r="H176" s="12" t="s">
        <v>64</v>
      </c>
      <c r="I176" s="12" t="s">
        <v>323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1</v>
      </c>
      <c r="AF176" s="12">
        <v>0</v>
      </c>
      <c r="AG176" s="12">
        <v>100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6">
        <v>100</v>
      </c>
      <c r="BN176" s="9">
        <f t="shared" si="6"/>
        <v>100</v>
      </c>
      <c r="BO176" s="9">
        <f t="shared" si="7"/>
        <v>70</v>
      </c>
    </row>
    <row r="177" spans="1:67" ht="24" x14ac:dyDescent="0.3">
      <c r="A177" s="8" t="s">
        <v>231</v>
      </c>
      <c r="B177" s="10" t="s">
        <v>245</v>
      </c>
      <c r="C177" s="10">
        <v>479547</v>
      </c>
      <c r="D177" s="11"/>
      <c r="E177" s="10" t="s">
        <v>16</v>
      </c>
      <c r="F177" s="10" t="s">
        <v>246</v>
      </c>
      <c r="G177" s="10" t="s">
        <v>11</v>
      </c>
      <c r="H177" s="12" t="s">
        <v>7</v>
      </c>
      <c r="I177" s="12" t="s">
        <v>232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1</v>
      </c>
      <c r="AF177" s="12">
        <v>100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6">
        <v>100</v>
      </c>
      <c r="BN177" s="9">
        <f t="shared" si="6"/>
        <v>100</v>
      </c>
      <c r="BO177" s="9">
        <f t="shared" si="7"/>
        <v>70</v>
      </c>
    </row>
    <row r="178" spans="1:67" ht="24" x14ac:dyDescent="0.3">
      <c r="A178" s="8" t="s">
        <v>230</v>
      </c>
      <c r="B178" s="10" t="s">
        <v>143</v>
      </c>
      <c r="C178" s="10">
        <v>478890</v>
      </c>
      <c r="D178" s="11"/>
      <c r="E178" s="10" t="s">
        <v>16</v>
      </c>
      <c r="F178" s="10" t="s">
        <v>144</v>
      </c>
      <c r="G178" s="10" t="s">
        <v>76</v>
      </c>
      <c r="H178" s="12" t="s">
        <v>8</v>
      </c>
      <c r="I178" s="12" t="s">
        <v>145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1</v>
      </c>
      <c r="AF178" s="12">
        <v>100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6">
        <v>100</v>
      </c>
      <c r="BN178" s="9">
        <f t="shared" si="6"/>
        <v>100</v>
      </c>
      <c r="BO178" s="9">
        <f t="shared" si="7"/>
        <v>70</v>
      </c>
    </row>
    <row r="179" spans="1:67" ht="24" x14ac:dyDescent="0.3">
      <c r="A179" s="8" t="s">
        <v>231</v>
      </c>
      <c r="B179" s="10" t="s">
        <v>15</v>
      </c>
      <c r="C179" s="10">
        <v>465248</v>
      </c>
      <c r="D179" s="11"/>
      <c r="E179" s="10" t="s">
        <v>16</v>
      </c>
      <c r="F179" s="10" t="s">
        <v>17</v>
      </c>
      <c r="G179" s="10" t="s">
        <v>76</v>
      </c>
      <c r="H179" s="12" t="s">
        <v>10</v>
      </c>
      <c r="I179" s="12" t="s">
        <v>18</v>
      </c>
      <c r="J179" s="12">
        <v>0</v>
      </c>
      <c r="K179" s="12">
        <v>2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6">
        <v>0</v>
      </c>
      <c r="BN179" s="9">
        <f t="shared" si="6"/>
        <v>0</v>
      </c>
      <c r="BO179" s="9">
        <f t="shared" si="7"/>
        <v>0</v>
      </c>
    </row>
    <row r="180" spans="1:67" ht="24" x14ac:dyDescent="0.3">
      <c r="A180" s="8" t="s">
        <v>230</v>
      </c>
      <c r="B180" s="10" t="s">
        <v>159</v>
      </c>
      <c r="C180" s="10">
        <v>482098</v>
      </c>
      <c r="D180" s="11"/>
      <c r="E180" s="10" t="s">
        <v>16</v>
      </c>
      <c r="F180" s="10" t="s">
        <v>38</v>
      </c>
      <c r="G180" s="10" t="s">
        <v>76</v>
      </c>
      <c r="H180" s="12" t="s">
        <v>8</v>
      </c>
      <c r="I180" s="12" t="s">
        <v>176</v>
      </c>
      <c r="J180" s="12">
        <v>0</v>
      </c>
      <c r="K180" s="12">
        <v>2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6">
        <v>0</v>
      </c>
      <c r="BN180" s="9">
        <f t="shared" si="6"/>
        <v>0</v>
      </c>
      <c r="BO180" s="9">
        <f t="shared" si="7"/>
        <v>0</v>
      </c>
    </row>
    <row r="181" spans="1:67" x14ac:dyDescent="0.3">
      <c r="BO181" s="9">
        <f>SUM(BO2:BO180)</f>
        <v>883779.61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2022-12-02T05:43:12Z</dcterms:modified>
</cp:coreProperties>
</file>