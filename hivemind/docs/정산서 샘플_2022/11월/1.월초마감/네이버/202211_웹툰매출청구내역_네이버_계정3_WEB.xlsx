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네이버\"/>
    </mc:Choice>
  </mc:AlternateContent>
  <bookViews>
    <workbookView xWindow="0" yWindow="0" windowWidth="23040" windowHeight="8955" tabRatio="766"/>
  </bookViews>
  <sheets>
    <sheet name="합계(11)" sheetId="412" r:id="rId1"/>
  </sheets>
  <definedNames>
    <definedName name="_xlnm._FilterDatabase" localSheetId="0" hidden="1">'합계(11)'!$A$1:$AM$1</definedName>
    <definedName name="_xlnm.Extract" localSheetId="0">'합계(11)'!#REF!</definedName>
  </definedNames>
  <calcPr calcId="152511"/>
</workbook>
</file>

<file path=xl/calcChain.xml><?xml version="1.0" encoding="utf-8"?>
<calcChain xmlns="http://schemas.openxmlformats.org/spreadsheetml/2006/main">
  <c r="BO19" i="412" l="1"/>
  <c r="BN17" i="412" l="1"/>
  <c r="BO17" i="412" s="1"/>
  <c r="BN18" i="412"/>
  <c r="BO18" i="412" s="1"/>
  <c r="BN13" i="412"/>
  <c r="BO13" i="412" s="1"/>
  <c r="BN14" i="412"/>
  <c r="BO14" i="412" s="1"/>
  <c r="BN15" i="412"/>
  <c r="BO15" i="412" s="1"/>
  <c r="BN16" i="412"/>
  <c r="BO16" i="412" s="1"/>
  <c r="BN6" i="412" l="1"/>
  <c r="BN5" i="412"/>
  <c r="BN4" i="412"/>
  <c r="BN3" i="412"/>
  <c r="BO3" i="412" s="1"/>
  <c r="BN2" i="412"/>
  <c r="BN10" i="412" l="1"/>
  <c r="BO10" i="412" s="1"/>
  <c r="BN11" i="412"/>
  <c r="BO11" i="412" s="1"/>
  <c r="BN12" i="412"/>
  <c r="BO12" i="412" s="1"/>
  <c r="BO4" i="412" l="1"/>
  <c r="BO5" i="412"/>
  <c r="BO6" i="412"/>
  <c r="BN7" i="412"/>
  <c r="BO7" i="412" s="1"/>
  <c r="BN8" i="412"/>
  <c r="BO8" i="412" s="1"/>
  <c r="BN9" i="412"/>
  <c r="BO9" i="412" s="1"/>
  <c r="BO2" i="412" l="1"/>
</calcChain>
</file>

<file path=xl/sharedStrings.xml><?xml version="1.0" encoding="utf-8"?>
<sst xmlns="http://schemas.openxmlformats.org/spreadsheetml/2006/main" count="188" uniqueCount="104">
  <si>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</si>
  <si>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</si>
  <si>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</si>
  <si>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</si>
  <si>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</si>
  <si>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</si>
  <si>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</si>
  <si>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</si>
  <si>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</si>
  <si>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합계</t>
  </si>
  <si>
    <t>앱마켓수수료</t>
  </si>
  <si>
    <t>N스토어(PC)</t>
    <phoneticPr fontId="20" type="noConversion"/>
  </si>
  <si>
    <t>PC 뷰어(PC)</t>
    <phoneticPr fontId="20" type="noConversion"/>
  </si>
  <si>
    <t>N스토어(MW)</t>
    <phoneticPr fontId="20" type="noConversion"/>
  </si>
  <si>
    <t>구분</t>
    <phoneticPr fontId="20" type="noConversion"/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</si>
  <si>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</si>
  <si>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</si>
  <si>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</si>
  <si>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</si>
  <si>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</si>
  <si>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</si>
  <si>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</si>
  <si>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</si>
  <si>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</si>
  <si>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</si>
  <si>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</si>
  <si>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</si>
  <si>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</si>
  <si>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</si>
  <si>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</si>
  <si>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</si>
  <si>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</si>
  <si>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</si>
  <si>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</si>
  <si>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</si>
  <si>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</si>
  <si>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</si>
  <si>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</si>
  <si>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</si>
  <si>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</si>
  <si>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</si>
  <si>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</si>
  <si>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</si>
  <si>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</si>
  <si>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</si>
  <si>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</si>
  <si>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</si>
  <si>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</si>
  <si>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</si>
  <si>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</si>
  <si>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</si>
  <si>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</si>
  <si>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</si>
  <si>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</si>
  <si>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</si>
  <si>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</si>
  <si>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</si>
  <si>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</si>
  <si>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</si>
  <si>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</si>
  <si>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</si>
  <si>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</si>
  <si>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</si>
  <si>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</si>
  <si>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</si>
  <si>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</si>
  <si>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</si>
  <si>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</si>
  <si>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</si>
  <si>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</si>
  <si>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순매출(합계-수수료)</t>
    <phoneticPr fontId="20" type="noConversion"/>
  </si>
  <si>
    <t>SW 매출</t>
    <phoneticPr fontId="20" type="noConversion"/>
  </si>
  <si>
    <t>커피여우 김삼월</t>
  </si>
  <si>
    <t>스토리위즈_만화</t>
  </si>
  <si>
    <t>A.Noa, RK Studio</t>
  </si>
  <si>
    <t>스토리위즈</t>
  </si>
  <si>
    <t>별빛 아래 우리</t>
  </si>
  <si>
    <t>건일</t>
  </si>
  <si>
    <t>악역이지만, 남주는 꼬시지 않아요</t>
  </si>
  <si>
    <t>kuri</t>
  </si>
  <si>
    <t>2020.07.13</t>
  </si>
  <si>
    <t>개천고 세계편</t>
  </si>
  <si>
    <t>채준</t>
  </si>
  <si>
    <t>2022.05.02</t>
  </si>
  <si>
    <t>N스토어(PC)</t>
    <phoneticPr fontId="20" type="noConversion"/>
  </si>
  <si>
    <t>출판사</t>
    <phoneticPr fontId="20" type="noConversion"/>
  </si>
  <si>
    <t>작가 CP</t>
    <phoneticPr fontId="20" type="noConversion"/>
  </si>
  <si>
    <t>이세계 소환은 두 번째라구요</t>
  </si>
  <si>
    <t>Arashiyama</t>
  </si>
  <si>
    <t>2021.07.23</t>
  </si>
  <si>
    <t>옹주의 호위무사</t>
  </si>
  <si>
    <t>수국</t>
  </si>
  <si>
    <t>2022.10.17</t>
  </si>
  <si>
    <t>일월성신</t>
  </si>
  <si>
    <t>이름표</t>
  </si>
  <si>
    <t>내 남편의 스토커</t>
  </si>
  <si>
    <t>혜원</t>
  </si>
  <si>
    <t>백스테이지 키스신</t>
  </si>
  <si>
    <t>수정과</t>
  </si>
  <si>
    <t>2019.12.07</t>
  </si>
  <si>
    <t>2022.12.01</t>
  </si>
  <si>
    <t>2022.11.28</t>
  </si>
  <si>
    <t>2022.12.02</t>
  </si>
  <si>
    <t>2022.11.30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</si>
</sst>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41" fontId="22" fillId="0" borderId="0" xfId="42" applyFont="1">
      <alignment vertical="center"/>
    </xf>
    <xf numFmtId="41" fontId="22" fillId="0" borderId="0" xfId="42" applyFont="1" applyFill="1">
      <alignment vertical="center"/>
    </xf>
    <xf numFmtId="41" fontId="23" fillId="34" borderId="0" xfId="42" applyFont="1" applyFill="1">
      <alignment vertical="center"/>
    </xf>
    <xf numFmtId="0" fontId="24" fillId="0" borderId="0" xfId="0" applyFont="1" applyAlignment="1">
      <alignment horizontal="left" vertical="center" wrapText="1"/>
    </xf>
    <xf numFmtId="49" fontId="24" fillId="0" borderId="0" xfId="0" applyNumberFormat="1" applyFont="1" applyAlignment="1">
      <alignment vertical="center" wrapText="1"/>
    </xf>
    <xf numFmtId="0" fontId="24" fillId="0" borderId="0" xfId="0" applyFont="1" applyAlignment="1">
      <alignment vertical="center" wrapText="1"/>
    </xf>
    <xf numFmtId="3" fontId="24" fillId="0" borderId="0" xfId="0" applyNumberFormat="1" applyFont="1" applyAlignment="1">
      <alignment vertical="center" wrapText="1"/>
    </xf>
    <xf numFmtId="4" fontId="25" fillId="0" borderId="0" xfId="0" applyNumberFormat="1" applyFont="1" applyAlignment="1">
      <alignment vertical="center" wrapText="1"/>
    </xf>
    <xf numFmtId="0" fontId="25" fillId="0" borderId="0" xfId="0" applyFont="1" applyAlignment="1">
      <alignment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378"/>
  <sheetViews>
    <sheetView tabSelected="1" topLeftCell="AS7" zoomScaleNormal="100" workbookViewId="0">
      <selection activeCell="BO20" sqref="BO20"/>
    </sheetView>
  </sheetViews>
  <sheetFormatPr defaultRowHeight="16.5" x14ac:dyDescent="0.3"/>
  <cols>
    <col min="1" max="1" width="9.375" style="1" customWidth="1"/>
    <col min="2" max="2" width="20" bestFit="1" customWidth="1"/>
    <col min="3" max="3" width="6.5" customWidth="1"/>
    <col min="4" max="4" width="7.25" customWidth="1"/>
    <col min="5" max="5" width="10" customWidth="1"/>
    <col min="6" max="6" width="10.25" customWidth="1"/>
    <col min="7" max="7" width="10" bestFit="1" customWidth="1"/>
    <col min="8" max="8" width="13.625" customWidth="1"/>
    <col min="9" max="9" width="7.375" customWidth="1"/>
    <col min="10" max="10" width="4.25" customWidth="1"/>
    <col min="11" max="11" width="4.75" customWidth="1"/>
    <col min="12" max="12" width="7.25" customWidth="1"/>
    <col min="13" max="13" width="6.75" customWidth="1"/>
    <col min="14" max="14" width="6" customWidth="1"/>
    <col min="15" max="16" width="6.25" customWidth="1"/>
    <col min="17" max="17" width="5" customWidth="1"/>
    <col min="18" max="18" width="4.75" customWidth="1"/>
    <col min="19" max="19" width="7.25" customWidth="1"/>
    <col min="20" max="20" width="6.75" customWidth="1"/>
    <col min="21" max="21" width="6" customWidth="1"/>
    <col min="22" max="23" width="6.25" customWidth="1"/>
    <col min="24" max="24" width="3.625" customWidth="1"/>
    <col min="25" max="25" width="5" customWidth="1"/>
    <col min="26" max="27" width="3.625" customWidth="1"/>
    <col min="28" max="28" width="4.25" bestFit="1" customWidth="1"/>
    <col min="29" max="29" width="6.75" bestFit="1" customWidth="1"/>
    <col min="30" max="30" width="5.75" bestFit="1" customWidth="1"/>
    <col min="31" max="31" width="5" bestFit="1" customWidth="1"/>
    <col min="32" max="33" width="6.75" bestFit="1" customWidth="1"/>
    <col min="34" max="35" width="3.625" customWidth="1"/>
    <col min="36" max="36" width="12.75" bestFit="1" customWidth="1"/>
    <col min="37" max="38" width="12.875" bestFit="1" customWidth="1"/>
    <col min="39" max="39" width="15.75" bestFit="1" customWidth="1"/>
    <col min="48" max="48" width="13.875" bestFit="1" customWidth="1"/>
    <col min="65" max="65" width="12.75" bestFit="1" customWidth="1"/>
    <col min="66" max="66" width="13.5" style="13" bestFit="1" customWidth="1"/>
    <col min="67" max="67" width="13.375" style="13" customWidth="1"/>
  </cols>
  <sheetData>
    <row r="1" spans="1:69" ht="27" customHeight="1" x14ac:dyDescent="0.3">
      <c r="A1" s="2" t="s">
        <v>14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15</v>
      </c>
      <c r="I1" s="14" t="s">
        <v>6</v>
      </c>
      <c r="J1" s="12" t="s">
        <v>16</v>
      </c>
      <c r="K1" s="12" t="s">
        <v>17</v>
      </c>
      <c r="L1" s="12" t="s">
        <v>18</v>
      </c>
      <c r="M1" s="12" t="s">
        <v>19</v>
      </c>
      <c r="N1" s="12" t="s">
        <v>20</v>
      </c>
      <c r="O1" s="12" t="s">
        <v>21</v>
      </c>
      <c r="P1" s="12" t="s">
        <v>22</v>
      </c>
      <c r="Q1" s="12" t="s">
        <v>23</v>
      </c>
      <c r="R1" s="12" t="s">
        <v>24</v>
      </c>
      <c r="S1" s="12" t="s">
        <v>25</v>
      </c>
      <c r="T1" s="12" t="s">
        <v>26</v>
      </c>
      <c r="U1" s="12" t="s">
        <v>27</v>
      </c>
      <c r="V1" s="12" t="s">
        <v>28</v>
      </c>
      <c r="W1" s="12" t="s">
        <v>29</v>
      </c>
      <c r="X1" s="12" t="s">
        <v>30</v>
      </c>
      <c r="Y1" s="12" t="s">
        <v>31</v>
      </c>
      <c r="Z1" s="12" t="s">
        <v>32</v>
      </c>
      <c r="AA1" s="12" t="s">
        <v>33</v>
      </c>
      <c r="AB1" s="12" t="s">
        <v>34</v>
      </c>
      <c r="AC1" s="12" t="s">
        <v>35</v>
      </c>
      <c r="AD1" s="12" t="s">
        <v>36</v>
      </c>
      <c r="AE1" s="12" t="s">
        <v>37</v>
      </c>
      <c r="AF1" s="12" t="s">
        <v>38</v>
      </c>
      <c r="AG1" s="12" t="s">
        <v>39</v>
      </c>
      <c r="AH1" s="12" t="s">
        <v>40</v>
      </c>
      <c r="AI1" s="12" t="s">
        <v>41</v>
      </c>
      <c r="AJ1" s="12" t="s">
        <v>42</v>
      </c>
      <c r="AK1" s="12" t="s">
        <v>43</v>
      </c>
      <c r="AL1" s="12" t="s">
        <v>44</v>
      </c>
      <c r="AM1" s="12" t="s">
        <v>45</v>
      </c>
      <c r="AN1" s="12" t="s">
        <v>46</v>
      </c>
      <c r="AO1" s="12" t="s">
        <v>47</v>
      </c>
      <c r="AP1" s="12" t="s">
        <v>48</v>
      </c>
      <c r="AQ1" s="12" t="s">
        <v>49</v>
      </c>
      <c r="AR1" s="12" t="s">
        <v>50</v>
      </c>
      <c r="AS1" s="12" t="s">
        <v>51</v>
      </c>
      <c r="AT1" s="12" t="s">
        <v>52</v>
      </c>
      <c r="AU1" s="12" t="s">
        <v>53</v>
      </c>
      <c r="AV1" s="12" t="s">
        <v>54</v>
      </c>
      <c r="AW1" s="12" t="s">
        <v>55</v>
      </c>
      <c r="AX1" s="12" t="s">
        <v>56</v>
      </c>
      <c r="AY1" s="12" t="s">
        <v>57</v>
      </c>
      <c r="AZ1" s="12" t="s">
        <v>58</v>
      </c>
      <c r="BA1" s="12" t="s">
        <v>59</v>
      </c>
      <c r="BB1" s="12" t="s">
        <v>60</v>
      </c>
      <c r="BC1" s="12" t="s">
        <v>61</v>
      </c>
      <c r="BD1" s="12" t="s">
        <v>62</v>
      </c>
      <c r="BE1" s="12" t="s">
        <v>63</v>
      </c>
      <c r="BF1" s="12" t="s">
        <v>64</v>
      </c>
      <c r="BG1" s="12" t="s">
        <v>65</v>
      </c>
      <c r="BH1" s="12" t="s">
        <v>66</v>
      </c>
      <c r="BI1" s="12" t="s">
        <v>67</v>
      </c>
      <c r="BJ1" s="12" t="s">
        <v>68</v>
      </c>
      <c r="BK1" s="12" t="s">
        <v>69</v>
      </c>
      <c r="BL1" s="12" t="s">
        <v>10</v>
      </c>
      <c r="BM1" s="12" t="s">
        <v>9</v>
      </c>
      <c r="BN1" s="12" t="s">
        <v>70</v>
      </c>
      <c r="BO1" s="12" t="s">
        <v>71</v>
      </c>
      <c r="BP1" s="12" t="s">
        <v>85</v>
      </c>
      <c r="BQ1" s="12" t="s">
        <v>86</v>
      </c>
    </row>
    <row r="2" spans="1:69" ht="24" x14ac:dyDescent="0.3">
      <c r="A2" s="5" t="s">
        <v>11</v>
      </c>
      <c r="B2" s="18" t="s">
        <v>81</v>
      </c>
      <c r="C2" s="18">
        <v>467630</v>
      </c>
      <c r="D2" s="19"/>
      <c r="E2" s="18" t="s">
        <v>73</v>
      </c>
      <c r="F2" s="18" t="s">
        <v>82</v>
      </c>
      <c r="G2" s="18" t="s">
        <v>75</v>
      </c>
      <c r="H2" s="20" t="s">
        <v>8</v>
      </c>
      <c r="I2" s="20" t="s">
        <v>83</v>
      </c>
      <c r="J2" s="20">
        <v>0</v>
      </c>
      <c r="K2" s="20">
        <v>0</v>
      </c>
      <c r="L2" s="20">
        <v>0</v>
      </c>
      <c r="M2" s="20">
        <v>0</v>
      </c>
      <c r="N2" s="20">
        <v>0</v>
      </c>
      <c r="O2" s="20">
        <v>0</v>
      </c>
      <c r="P2" s="20">
        <v>0</v>
      </c>
      <c r="Q2" s="20">
        <v>0</v>
      </c>
      <c r="R2" s="20">
        <v>0</v>
      </c>
      <c r="S2" s="20">
        <v>0</v>
      </c>
      <c r="T2" s="20">
        <v>0</v>
      </c>
      <c r="U2" s="20">
        <v>0</v>
      </c>
      <c r="V2" s="20">
        <v>0</v>
      </c>
      <c r="W2" s="20">
        <v>0</v>
      </c>
      <c r="X2" s="20">
        <v>0</v>
      </c>
      <c r="Y2" s="20">
        <v>0</v>
      </c>
      <c r="Z2" s="20">
        <v>0</v>
      </c>
      <c r="AA2" s="20">
        <v>0</v>
      </c>
      <c r="AB2" s="20">
        <v>0</v>
      </c>
      <c r="AC2" s="20">
        <v>0</v>
      </c>
      <c r="AD2" s="20">
        <v>0</v>
      </c>
      <c r="AE2" s="20">
        <v>13</v>
      </c>
      <c r="AF2" s="21">
        <v>5200</v>
      </c>
      <c r="AG2" s="20">
        <v>0</v>
      </c>
      <c r="AH2" s="20">
        <v>0</v>
      </c>
      <c r="AI2" s="20">
        <v>0</v>
      </c>
      <c r="AJ2" s="20">
        <v>0</v>
      </c>
      <c r="AK2" s="20">
        <v>0</v>
      </c>
      <c r="AL2" s="20">
        <v>0</v>
      </c>
      <c r="AM2" s="20">
        <v>0</v>
      </c>
      <c r="AN2" s="20">
        <v>0</v>
      </c>
      <c r="AO2" s="20">
        <v>0</v>
      </c>
      <c r="AP2" s="20">
        <v>0</v>
      </c>
      <c r="AQ2" s="20">
        <v>0</v>
      </c>
      <c r="AR2" s="20">
        <v>0</v>
      </c>
      <c r="AS2" s="20">
        <v>0</v>
      </c>
      <c r="AT2" s="20">
        <v>0</v>
      </c>
      <c r="AU2" s="20">
        <v>0</v>
      </c>
      <c r="AV2" s="20">
        <v>0</v>
      </c>
      <c r="AW2" s="20">
        <v>0</v>
      </c>
      <c r="AX2" s="20">
        <v>0</v>
      </c>
      <c r="AY2" s="20">
        <v>0</v>
      </c>
      <c r="AZ2" s="20">
        <v>1</v>
      </c>
      <c r="BA2" s="20">
        <v>240</v>
      </c>
      <c r="BB2" s="20">
        <v>0</v>
      </c>
      <c r="BC2" s="20">
        <v>0</v>
      </c>
      <c r="BD2" s="20">
        <v>0</v>
      </c>
      <c r="BE2" s="20">
        <v>0</v>
      </c>
      <c r="BF2" s="20">
        <v>0</v>
      </c>
      <c r="BG2" s="20">
        <v>0</v>
      </c>
      <c r="BH2" s="20">
        <v>0</v>
      </c>
      <c r="BI2" s="20">
        <v>0</v>
      </c>
      <c r="BJ2" s="20">
        <v>0</v>
      </c>
      <c r="BK2" s="20">
        <v>0</v>
      </c>
      <c r="BL2" s="20">
        <v>14.4</v>
      </c>
      <c r="BM2" s="22">
        <v>5440</v>
      </c>
      <c r="BN2" s="15">
        <f>BM2-BL2</f>
        <v>5425.6</v>
      </c>
      <c r="BO2" s="16">
        <f t="shared" ref="BO2:BO9" si="0">BN2*70%</f>
        <v>3797.92</v>
      </c>
    </row>
    <row r="3" spans="1:69" ht="24" x14ac:dyDescent="0.3">
      <c r="A3" s="5" t="s">
        <v>84</v>
      </c>
      <c r="B3" s="18" t="s">
        <v>97</v>
      </c>
      <c r="C3" s="18">
        <v>383201</v>
      </c>
      <c r="D3" s="19"/>
      <c r="E3" s="18" t="s">
        <v>73</v>
      </c>
      <c r="F3" s="18" t="s">
        <v>98</v>
      </c>
      <c r="G3" s="18" t="s">
        <v>75</v>
      </c>
      <c r="H3" s="20" t="s">
        <v>7</v>
      </c>
      <c r="I3" s="20" t="s">
        <v>99</v>
      </c>
      <c r="J3" s="20">
        <v>0</v>
      </c>
      <c r="K3" s="20">
        <v>0</v>
      </c>
      <c r="L3" s="20">
        <v>0</v>
      </c>
      <c r="M3" s="20">
        <v>0</v>
      </c>
      <c r="N3" s="20">
        <v>0</v>
      </c>
      <c r="O3" s="20">
        <v>0</v>
      </c>
      <c r="P3" s="20">
        <v>0</v>
      </c>
      <c r="Q3" s="20">
        <v>0</v>
      </c>
      <c r="R3" s="20">
        <v>0</v>
      </c>
      <c r="S3" s="20">
        <v>0</v>
      </c>
      <c r="T3" s="20">
        <v>0</v>
      </c>
      <c r="U3" s="20">
        <v>0</v>
      </c>
      <c r="V3" s="20">
        <v>0</v>
      </c>
      <c r="W3" s="20">
        <v>0</v>
      </c>
      <c r="X3" s="20">
        <v>0</v>
      </c>
      <c r="Y3" s="20">
        <v>0</v>
      </c>
      <c r="Z3" s="20">
        <v>0</v>
      </c>
      <c r="AA3" s="20">
        <v>0</v>
      </c>
      <c r="AB3" s="20">
        <v>0</v>
      </c>
      <c r="AC3" s="20">
        <v>0</v>
      </c>
      <c r="AD3" s="20">
        <v>0</v>
      </c>
      <c r="AE3" s="20">
        <v>1</v>
      </c>
      <c r="AF3" s="20">
        <v>400</v>
      </c>
      <c r="AG3" s="20">
        <v>0</v>
      </c>
      <c r="AH3" s="20">
        <v>0</v>
      </c>
      <c r="AI3" s="20">
        <v>0</v>
      </c>
      <c r="AJ3" s="20">
        <v>0</v>
      </c>
      <c r="AK3" s="20">
        <v>0</v>
      </c>
      <c r="AL3" s="20">
        <v>0</v>
      </c>
      <c r="AM3" s="20">
        <v>0</v>
      </c>
      <c r="AN3" s="20">
        <v>0</v>
      </c>
      <c r="AO3" s="20">
        <v>0</v>
      </c>
      <c r="AP3" s="20">
        <v>0</v>
      </c>
      <c r="AQ3" s="20">
        <v>0</v>
      </c>
      <c r="AR3" s="20">
        <v>0</v>
      </c>
      <c r="AS3" s="20">
        <v>0</v>
      </c>
      <c r="AT3" s="20">
        <v>0</v>
      </c>
      <c r="AU3" s="20">
        <v>0</v>
      </c>
      <c r="AV3" s="20">
        <v>0</v>
      </c>
      <c r="AW3" s="20">
        <v>0</v>
      </c>
      <c r="AX3" s="20">
        <v>0</v>
      </c>
      <c r="AY3" s="20">
        <v>0</v>
      </c>
      <c r="AZ3" s="20">
        <v>0</v>
      </c>
      <c r="BA3" s="20">
        <v>0</v>
      </c>
      <c r="BB3" s="20">
        <v>0</v>
      </c>
      <c r="BC3" s="20">
        <v>0</v>
      </c>
      <c r="BD3" s="20">
        <v>0</v>
      </c>
      <c r="BE3" s="20">
        <v>0</v>
      </c>
      <c r="BF3" s="20">
        <v>0</v>
      </c>
      <c r="BG3" s="20">
        <v>0</v>
      </c>
      <c r="BH3" s="20">
        <v>0</v>
      </c>
      <c r="BI3" s="20">
        <v>0</v>
      </c>
      <c r="BJ3" s="20">
        <v>0</v>
      </c>
      <c r="BK3" s="20">
        <v>0</v>
      </c>
      <c r="BL3" s="20">
        <v>0</v>
      </c>
      <c r="BM3" s="23">
        <v>400</v>
      </c>
      <c r="BN3" s="15">
        <f>BM3-BL3</f>
        <v>400</v>
      </c>
      <c r="BO3" s="16">
        <f>BN3*70%</f>
        <v>280</v>
      </c>
    </row>
    <row r="4" spans="1:69" ht="24" x14ac:dyDescent="0.3">
      <c r="A4" s="5" t="s">
        <v>11</v>
      </c>
      <c r="B4" s="18" t="s">
        <v>76</v>
      </c>
      <c r="C4" s="18">
        <v>435954</v>
      </c>
      <c r="D4" s="19"/>
      <c r="E4" s="18" t="s">
        <v>73</v>
      </c>
      <c r="F4" s="18" t="s">
        <v>77</v>
      </c>
      <c r="G4" s="18" t="s">
        <v>75</v>
      </c>
      <c r="H4" s="20" t="s">
        <v>7</v>
      </c>
      <c r="I4" s="20" t="s">
        <v>100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0</v>
      </c>
      <c r="AF4" s="20">
        <v>0</v>
      </c>
      <c r="AG4" s="20">
        <v>0</v>
      </c>
      <c r="AH4" s="20">
        <v>0</v>
      </c>
      <c r="AI4" s="20">
        <v>0</v>
      </c>
      <c r="AJ4" s="20">
        <v>0</v>
      </c>
      <c r="AK4" s="20">
        <v>0</v>
      </c>
      <c r="AL4" s="20">
        <v>0</v>
      </c>
      <c r="AM4" s="20">
        <v>0</v>
      </c>
      <c r="AN4" s="20">
        <v>2</v>
      </c>
      <c r="AO4" s="20">
        <v>400</v>
      </c>
      <c r="AP4" s="20">
        <v>0</v>
      </c>
      <c r="AQ4" s="20">
        <v>0</v>
      </c>
      <c r="AR4" s="20">
        <v>0</v>
      </c>
      <c r="AS4" s="20">
        <v>0</v>
      </c>
      <c r="AT4" s="20">
        <v>0</v>
      </c>
      <c r="AU4" s="20">
        <v>0</v>
      </c>
      <c r="AV4" s="20">
        <v>0</v>
      </c>
      <c r="AW4" s="20">
        <v>0</v>
      </c>
      <c r="AX4" s="20">
        <v>0</v>
      </c>
      <c r="AY4" s="20">
        <v>0</v>
      </c>
      <c r="AZ4" s="20">
        <v>0</v>
      </c>
      <c r="BA4" s="20">
        <v>0</v>
      </c>
      <c r="BB4" s="20">
        <v>0</v>
      </c>
      <c r="BC4" s="20">
        <v>0</v>
      </c>
      <c r="BD4" s="20">
        <v>0</v>
      </c>
      <c r="BE4" s="20">
        <v>0</v>
      </c>
      <c r="BF4" s="20">
        <v>0</v>
      </c>
      <c r="BG4" s="20">
        <v>0</v>
      </c>
      <c r="BH4" s="20">
        <v>0</v>
      </c>
      <c r="BI4" s="20">
        <v>0</v>
      </c>
      <c r="BJ4" s="20">
        <v>0</v>
      </c>
      <c r="BK4" s="20">
        <v>0</v>
      </c>
      <c r="BL4" s="20">
        <v>0</v>
      </c>
      <c r="BM4" s="23">
        <v>400</v>
      </c>
      <c r="BN4" s="15">
        <f>BM4-BL4</f>
        <v>400</v>
      </c>
      <c r="BO4" s="16">
        <f t="shared" si="0"/>
        <v>280</v>
      </c>
    </row>
    <row r="5" spans="1:69" ht="24" x14ac:dyDescent="0.3">
      <c r="A5" s="5" t="s">
        <v>11</v>
      </c>
      <c r="B5" s="18" t="s">
        <v>93</v>
      </c>
      <c r="C5" s="18">
        <v>483807</v>
      </c>
      <c r="D5" s="19"/>
      <c r="E5" s="18" t="s">
        <v>73</v>
      </c>
      <c r="F5" s="18" t="s">
        <v>94</v>
      </c>
      <c r="G5" s="18" t="s">
        <v>75</v>
      </c>
      <c r="H5" s="20" t="s">
        <v>7</v>
      </c>
      <c r="I5" s="20" t="s">
        <v>101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1</v>
      </c>
      <c r="AC5" s="20">
        <v>200</v>
      </c>
      <c r="AD5" s="20">
        <v>0</v>
      </c>
      <c r="AE5" s="20">
        <v>0</v>
      </c>
      <c r="AF5" s="20">
        <v>0</v>
      </c>
      <c r="AG5" s="20">
        <v>0</v>
      </c>
      <c r="AH5" s="20">
        <v>0</v>
      </c>
      <c r="AI5" s="20">
        <v>0</v>
      </c>
      <c r="AJ5" s="20">
        <v>0</v>
      </c>
      <c r="AK5" s="20">
        <v>0</v>
      </c>
      <c r="AL5" s="20">
        <v>0</v>
      </c>
      <c r="AM5" s="20">
        <v>0</v>
      </c>
      <c r="AN5" s="20">
        <v>0</v>
      </c>
      <c r="AO5" s="20">
        <v>0</v>
      </c>
      <c r="AP5" s="20">
        <v>0</v>
      </c>
      <c r="AQ5" s="20">
        <v>0</v>
      </c>
      <c r="AR5" s="20">
        <v>0</v>
      </c>
      <c r="AS5" s="20">
        <v>0</v>
      </c>
      <c r="AT5" s="20">
        <v>0</v>
      </c>
      <c r="AU5" s="20">
        <v>0</v>
      </c>
      <c r="AV5" s="20">
        <v>0</v>
      </c>
      <c r="AW5" s="20">
        <v>0</v>
      </c>
      <c r="AX5" s="20">
        <v>0</v>
      </c>
      <c r="AY5" s="20">
        <v>0</v>
      </c>
      <c r="AZ5" s="20">
        <v>0</v>
      </c>
      <c r="BA5" s="20">
        <v>0</v>
      </c>
      <c r="BB5" s="20">
        <v>0</v>
      </c>
      <c r="BC5" s="20">
        <v>0</v>
      </c>
      <c r="BD5" s="20">
        <v>0</v>
      </c>
      <c r="BE5" s="20">
        <v>0</v>
      </c>
      <c r="BF5" s="20">
        <v>0</v>
      </c>
      <c r="BG5" s="20">
        <v>0</v>
      </c>
      <c r="BH5" s="20">
        <v>0</v>
      </c>
      <c r="BI5" s="20">
        <v>0</v>
      </c>
      <c r="BJ5" s="20">
        <v>0</v>
      </c>
      <c r="BK5" s="20">
        <v>0</v>
      </c>
      <c r="BL5" s="20">
        <v>0</v>
      </c>
      <c r="BM5" s="23">
        <v>200</v>
      </c>
      <c r="BN5" s="15">
        <f>BM5-BL5</f>
        <v>200</v>
      </c>
      <c r="BO5" s="16">
        <f t="shared" si="0"/>
        <v>140</v>
      </c>
    </row>
    <row r="6" spans="1:69" ht="24" x14ac:dyDescent="0.3">
      <c r="A6" s="5" t="s">
        <v>11</v>
      </c>
      <c r="B6" s="18" t="s">
        <v>78</v>
      </c>
      <c r="C6" s="18">
        <v>465461</v>
      </c>
      <c r="D6" s="19"/>
      <c r="E6" s="18" t="s">
        <v>73</v>
      </c>
      <c r="F6" s="18" t="s">
        <v>79</v>
      </c>
      <c r="G6" s="18" t="s">
        <v>75</v>
      </c>
      <c r="H6" s="20" t="s">
        <v>7</v>
      </c>
      <c r="I6" s="20" t="s">
        <v>102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1</v>
      </c>
      <c r="AC6" s="20">
        <v>200</v>
      </c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0</v>
      </c>
      <c r="AK6" s="20">
        <v>0</v>
      </c>
      <c r="AL6" s="20">
        <v>0</v>
      </c>
      <c r="AM6" s="20">
        <v>0</v>
      </c>
      <c r="AN6" s="20">
        <v>0</v>
      </c>
      <c r="AO6" s="20">
        <v>0</v>
      </c>
      <c r="AP6" s="20">
        <v>0</v>
      </c>
      <c r="AQ6" s="20">
        <v>0</v>
      </c>
      <c r="AR6" s="20">
        <v>0</v>
      </c>
      <c r="AS6" s="20">
        <v>0</v>
      </c>
      <c r="AT6" s="20">
        <v>0</v>
      </c>
      <c r="AU6" s="20">
        <v>0</v>
      </c>
      <c r="AV6" s="20">
        <v>0</v>
      </c>
      <c r="AW6" s="20">
        <v>0</v>
      </c>
      <c r="AX6" s="20">
        <v>0</v>
      </c>
      <c r="AY6" s="20">
        <v>0</v>
      </c>
      <c r="AZ6" s="20">
        <v>0</v>
      </c>
      <c r="BA6" s="20">
        <v>0</v>
      </c>
      <c r="BB6" s="20">
        <v>0</v>
      </c>
      <c r="BC6" s="20">
        <v>0</v>
      </c>
      <c r="BD6" s="20">
        <v>0</v>
      </c>
      <c r="BE6" s="20">
        <v>0</v>
      </c>
      <c r="BF6" s="20">
        <v>0</v>
      </c>
      <c r="BG6" s="20">
        <v>0</v>
      </c>
      <c r="BH6" s="20">
        <v>0</v>
      </c>
      <c r="BI6" s="20">
        <v>0</v>
      </c>
      <c r="BJ6" s="20">
        <v>0</v>
      </c>
      <c r="BK6" s="20">
        <v>0</v>
      </c>
      <c r="BL6" s="20">
        <v>0</v>
      </c>
      <c r="BM6" s="23">
        <v>200</v>
      </c>
      <c r="BN6" s="15">
        <f>BM6-BL6</f>
        <v>200</v>
      </c>
      <c r="BO6" s="16">
        <f t="shared" si="0"/>
        <v>140</v>
      </c>
    </row>
    <row r="7" spans="1:69" ht="24" x14ac:dyDescent="0.3">
      <c r="A7" s="5" t="s">
        <v>11</v>
      </c>
      <c r="B7" s="18" t="s">
        <v>90</v>
      </c>
      <c r="C7" s="18">
        <v>484291</v>
      </c>
      <c r="D7" s="19"/>
      <c r="E7" s="18" t="s">
        <v>73</v>
      </c>
      <c r="F7" s="18" t="s">
        <v>91</v>
      </c>
      <c r="G7" s="18" t="s">
        <v>75</v>
      </c>
      <c r="H7" s="20" t="s">
        <v>7</v>
      </c>
      <c r="I7" s="20" t="s">
        <v>92</v>
      </c>
      <c r="J7" s="20">
        <v>0</v>
      </c>
      <c r="K7" s="20">
        <v>7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20">
        <v>0</v>
      </c>
      <c r="AJ7" s="20">
        <v>0</v>
      </c>
      <c r="AK7" s="20">
        <v>0</v>
      </c>
      <c r="AL7" s="20">
        <v>0</v>
      </c>
      <c r="AM7" s="20">
        <v>0</v>
      </c>
      <c r="AN7" s="20">
        <v>0</v>
      </c>
      <c r="AO7" s="20">
        <v>0</v>
      </c>
      <c r="AP7" s="20">
        <v>0</v>
      </c>
      <c r="AQ7" s="20">
        <v>0</v>
      </c>
      <c r="AR7" s="20">
        <v>0</v>
      </c>
      <c r="AS7" s="20">
        <v>0</v>
      </c>
      <c r="AT7" s="20">
        <v>0</v>
      </c>
      <c r="AU7" s="20">
        <v>0</v>
      </c>
      <c r="AV7" s="20">
        <v>0</v>
      </c>
      <c r="AW7" s="20">
        <v>0</v>
      </c>
      <c r="AX7" s="20">
        <v>0</v>
      </c>
      <c r="AY7" s="20">
        <v>0</v>
      </c>
      <c r="AZ7" s="20">
        <v>0</v>
      </c>
      <c r="BA7" s="20">
        <v>0</v>
      </c>
      <c r="BB7" s="20">
        <v>0</v>
      </c>
      <c r="BC7" s="20">
        <v>0</v>
      </c>
      <c r="BD7" s="20">
        <v>0</v>
      </c>
      <c r="BE7" s="20">
        <v>0</v>
      </c>
      <c r="BF7" s="20">
        <v>0</v>
      </c>
      <c r="BG7" s="20">
        <v>0</v>
      </c>
      <c r="BH7" s="20">
        <v>0</v>
      </c>
      <c r="BI7" s="20">
        <v>0</v>
      </c>
      <c r="BJ7" s="20">
        <v>0</v>
      </c>
      <c r="BK7" s="20">
        <v>0</v>
      </c>
      <c r="BL7" s="20">
        <v>0</v>
      </c>
      <c r="BM7" s="23">
        <v>0</v>
      </c>
      <c r="BN7" s="15">
        <f t="shared" ref="BN7:BN9" si="1">BM7-BL7</f>
        <v>0</v>
      </c>
      <c r="BO7" s="16">
        <f t="shared" si="0"/>
        <v>0</v>
      </c>
    </row>
    <row r="8" spans="1:69" ht="24" x14ac:dyDescent="0.3">
      <c r="A8" s="5" t="s">
        <v>12</v>
      </c>
      <c r="B8" s="18" t="s">
        <v>81</v>
      </c>
      <c r="C8" s="18">
        <v>467630</v>
      </c>
      <c r="D8" s="19"/>
      <c r="E8" s="18" t="s">
        <v>73</v>
      </c>
      <c r="F8" s="18" t="s">
        <v>82</v>
      </c>
      <c r="G8" s="18" t="s">
        <v>75</v>
      </c>
      <c r="H8" s="20" t="s">
        <v>8</v>
      </c>
      <c r="I8" s="20" t="s">
        <v>83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23</v>
      </c>
      <c r="AF8" s="21">
        <v>9200</v>
      </c>
      <c r="AG8" s="20">
        <v>0</v>
      </c>
      <c r="AH8" s="20">
        <v>0</v>
      </c>
      <c r="AI8" s="20">
        <v>0</v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0</v>
      </c>
      <c r="AR8" s="20">
        <v>0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>
        <v>0</v>
      </c>
      <c r="AY8" s="20">
        <v>0</v>
      </c>
      <c r="AZ8" s="20">
        <v>0</v>
      </c>
      <c r="BA8" s="20">
        <v>0</v>
      </c>
      <c r="BB8" s="20">
        <v>0</v>
      </c>
      <c r="BC8" s="20">
        <v>0</v>
      </c>
      <c r="BD8" s="20">
        <v>0</v>
      </c>
      <c r="BE8" s="20">
        <v>0</v>
      </c>
      <c r="BF8" s="20">
        <v>0</v>
      </c>
      <c r="BG8" s="20">
        <v>0</v>
      </c>
      <c r="BH8" s="20">
        <v>0</v>
      </c>
      <c r="BI8" s="20">
        <v>0</v>
      </c>
      <c r="BJ8" s="20">
        <v>0</v>
      </c>
      <c r="BK8" s="20">
        <v>0</v>
      </c>
      <c r="BL8" s="20">
        <v>0</v>
      </c>
      <c r="BM8" s="22">
        <v>9200</v>
      </c>
      <c r="BN8" s="15">
        <f t="shared" si="1"/>
        <v>9200</v>
      </c>
      <c r="BO8" s="16">
        <f t="shared" si="0"/>
        <v>6440</v>
      </c>
    </row>
    <row r="9" spans="1:69" ht="24" x14ac:dyDescent="0.3">
      <c r="A9" s="5" t="s">
        <v>12</v>
      </c>
      <c r="B9" s="18" t="s">
        <v>87</v>
      </c>
      <c r="C9" s="18">
        <v>419155</v>
      </c>
      <c r="D9" s="19"/>
      <c r="E9" s="18" t="s">
        <v>73</v>
      </c>
      <c r="F9" s="18" t="s">
        <v>88</v>
      </c>
      <c r="G9" s="18" t="s">
        <v>75</v>
      </c>
      <c r="H9" s="20" t="s">
        <v>7</v>
      </c>
      <c r="I9" s="20" t="s">
        <v>89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3</v>
      </c>
      <c r="AC9" s="20">
        <v>900</v>
      </c>
      <c r="AD9" s="20">
        <v>0</v>
      </c>
      <c r="AE9" s="20">
        <v>0</v>
      </c>
      <c r="AF9" s="20">
        <v>0</v>
      </c>
      <c r="AG9" s="20">
        <v>0</v>
      </c>
      <c r="AH9" s="20">
        <v>0</v>
      </c>
      <c r="AI9" s="20">
        <v>0</v>
      </c>
      <c r="AJ9" s="20">
        <v>0</v>
      </c>
      <c r="AK9" s="20">
        <v>0</v>
      </c>
      <c r="AL9" s="20">
        <v>0</v>
      </c>
      <c r="AM9" s="20">
        <v>0</v>
      </c>
      <c r="AN9" s="20">
        <v>0</v>
      </c>
      <c r="AO9" s="20">
        <v>0</v>
      </c>
      <c r="AP9" s="20">
        <v>0</v>
      </c>
      <c r="AQ9" s="20">
        <v>0</v>
      </c>
      <c r="AR9" s="20">
        <v>0</v>
      </c>
      <c r="AS9" s="20">
        <v>0</v>
      </c>
      <c r="AT9" s="20">
        <v>5</v>
      </c>
      <c r="AU9" s="21">
        <v>1800</v>
      </c>
      <c r="AV9" s="20">
        <v>0</v>
      </c>
      <c r="AW9" s="20">
        <v>0</v>
      </c>
      <c r="AX9" s="20">
        <v>0</v>
      </c>
      <c r="AY9" s="20">
        <v>0</v>
      </c>
      <c r="AZ9" s="20">
        <v>0</v>
      </c>
      <c r="BA9" s="20">
        <v>0</v>
      </c>
      <c r="BB9" s="20">
        <v>0</v>
      </c>
      <c r="BC9" s="20">
        <v>0</v>
      </c>
      <c r="BD9" s="20">
        <v>0</v>
      </c>
      <c r="BE9" s="20">
        <v>0</v>
      </c>
      <c r="BF9" s="20">
        <v>0</v>
      </c>
      <c r="BG9" s="20">
        <v>0</v>
      </c>
      <c r="BH9" s="20">
        <v>0</v>
      </c>
      <c r="BI9" s="20">
        <v>0</v>
      </c>
      <c r="BJ9" s="20">
        <v>0</v>
      </c>
      <c r="BK9" s="20">
        <v>0</v>
      </c>
      <c r="BL9" s="20">
        <v>180</v>
      </c>
      <c r="BM9" s="22">
        <v>2700</v>
      </c>
      <c r="BN9" s="15">
        <f t="shared" si="1"/>
        <v>2520</v>
      </c>
      <c r="BO9" s="16">
        <f t="shared" si="0"/>
        <v>1764</v>
      </c>
    </row>
    <row r="10" spans="1:69" ht="24" x14ac:dyDescent="0.3">
      <c r="A10" s="5" t="s">
        <v>12</v>
      </c>
      <c r="B10" s="18" t="s">
        <v>93</v>
      </c>
      <c r="C10" s="18">
        <v>483807</v>
      </c>
      <c r="D10" s="19"/>
      <c r="E10" s="18" t="s">
        <v>73</v>
      </c>
      <c r="F10" s="18" t="s">
        <v>94</v>
      </c>
      <c r="G10" s="18" t="s">
        <v>75</v>
      </c>
      <c r="H10" s="20" t="s">
        <v>7</v>
      </c>
      <c r="I10" s="20" t="s">
        <v>101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3</v>
      </c>
      <c r="AC10" s="20">
        <v>600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  <c r="BA10" s="20">
        <v>0</v>
      </c>
      <c r="BB10" s="20">
        <v>0</v>
      </c>
      <c r="BC10" s="20">
        <v>0</v>
      </c>
      <c r="BD10" s="20">
        <v>0</v>
      </c>
      <c r="BE10" s="20">
        <v>0</v>
      </c>
      <c r="BF10" s="20">
        <v>0</v>
      </c>
      <c r="BG10" s="20">
        <v>0</v>
      </c>
      <c r="BH10" s="20">
        <v>0</v>
      </c>
      <c r="BI10" s="20">
        <v>0</v>
      </c>
      <c r="BJ10" s="20">
        <v>0</v>
      </c>
      <c r="BK10" s="20">
        <v>0</v>
      </c>
      <c r="BL10" s="20">
        <v>0</v>
      </c>
      <c r="BM10" s="23">
        <v>600</v>
      </c>
      <c r="BN10" s="15">
        <f t="shared" ref="BN10:BN18" si="2">BM10-BL10</f>
        <v>600</v>
      </c>
      <c r="BO10" s="16">
        <f t="shared" ref="BO10:BO18" si="3">BN10*70%</f>
        <v>420</v>
      </c>
    </row>
    <row r="11" spans="1:69" ht="24" x14ac:dyDescent="0.3">
      <c r="A11" s="5" t="s">
        <v>12</v>
      </c>
      <c r="B11" s="18" t="s">
        <v>76</v>
      </c>
      <c r="C11" s="18">
        <v>435954</v>
      </c>
      <c r="D11" s="19"/>
      <c r="E11" s="18" t="s">
        <v>73</v>
      </c>
      <c r="F11" s="18" t="s">
        <v>77</v>
      </c>
      <c r="G11" s="18" t="s">
        <v>75</v>
      </c>
      <c r="H11" s="20" t="s">
        <v>7</v>
      </c>
      <c r="I11" s="20" t="s">
        <v>100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L11" s="20">
        <v>0</v>
      </c>
      <c r="AM11" s="20">
        <v>0</v>
      </c>
      <c r="AN11" s="20">
        <v>1</v>
      </c>
      <c r="AO11" s="20">
        <v>200</v>
      </c>
      <c r="AP11" s="20">
        <v>0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0</v>
      </c>
      <c r="AX11" s="20">
        <v>0</v>
      </c>
      <c r="AY11" s="20">
        <v>0</v>
      </c>
      <c r="AZ11" s="20">
        <v>0</v>
      </c>
      <c r="BA11" s="20">
        <v>0</v>
      </c>
      <c r="BB11" s="20">
        <v>0</v>
      </c>
      <c r="BC11" s="20">
        <v>0</v>
      </c>
      <c r="BD11" s="20">
        <v>0</v>
      </c>
      <c r="BE11" s="20">
        <v>0</v>
      </c>
      <c r="BF11" s="20">
        <v>0</v>
      </c>
      <c r="BG11" s="20">
        <v>0</v>
      </c>
      <c r="BH11" s="20">
        <v>0</v>
      </c>
      <c r="BI11" s="20">
        <v>0</v>
      </c>
      <c r="BJ11" s="20">
        <v>0</v>
      </c>
      <c r="BK11" s="20">
        <v>0</v>
      </c>
      <c r="BL11" s="20">
        <v>0</v>
      </c>
      <c r="BM11" s="23">
        <v>200</v>
      </c>
      <c r="BN11" s="15">
        <f t="shared" si="2"/>
        <v>200</v>
      </c>
      <c r="BO11" s="16">
        <f t="shared" si="3"/>
        <v>140</v>
      </c>
    </row>
    <row r="12" spans="1:69" ht="24" x14ac:dyDescent="0.3">
      <c r="A12" s="5" t="s">
        <v>12</v>
      </c>
      <c r="B12" s="18" t="s">
        <v>90</v>
      </c>
      <c r="C12" s="18">
        <v>484291</v>
      </c>
      <c r="D12" s="19"/>
      <c r="E12" s="18" t="s">
        <v>73</v>
      </c>
      <c r="F12" s="18" t="s">
        <v>91</v>
      </c>
      <c r="G12" s="18" t="s">
        <v>75</v>
      </c>
      <c r="H12" s="20" t="s">
        <v>7</v>
      </c>
      <c r="I12" s="20" t="s">
        <v>92</v>
      </c>
      <c r="J12" s="20">
        <v>0</v>
      </c>
      <c r="K12" s="20">
        <v>4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  <c r="BK12" s="20">
        <v>0</v>
      </c>
      <c r="BL12" s="20">
        <v>0</v>
      </c>
      <c r="BM12" s="23">
        <v>0</v>
      </c>
      <c r="BN12" s="15">
        <f t="shared" si="2"/>
        <v>0</v>
      </c>
      <c r="BO12" s="16">
        <f t="shared" si="3"/>
        <v>0</v>
      </c>
    </row>
    <row r="13" spans="1:69" ht="24" x14ac:dyDescent="0.3">
      <c r="A13" s="5" t="s">
        <v>13</v>
      </c>
      <c r="B13" s="18" t="s">
        <v>81</v>
      </c>
      <c r="C13" s="18">
        <v>467630</v>
      </c>
      <c r="D13" s="19"/>
      <c r="E13" s="18" t="s">
        <v>73</v>
      </c>
      <c r="F13" s="18" t="s">
        <v>82</v>
      </c>
      <c r="G13" s="18" t="s">
        <v>75</v>
      </c>
      <c r="H13" s="20" t="s">
        <v>8</v>
      </c>
      <c r="I13" s="20" t="s">
        <v>83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4</v>
      </c>
      <c r="AC13" s="20">
        <v>600</v>
      </c>
      <c r="AD13" s="20">
        <v>200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1</v>
      </c>
      <c r="AO13" s="20">
        <v>200</v>
      </c>
      <c r="AP13" s="20">
        <v>0</v>
      </c>
      <c r="AQ13" s="20">
        <v>0</v>
      </c>
      <c r="AR13" s="20">
        <v>0</v>
      </c>
      <c r="AS13" s="20">
        <v>0</v>
      </c>
      <c r="AT13" s="20">
        <v>1</v>
      </c>
      <c r="AU13" s="20">
        <v>240</v>
      </c>
      <c r="AV13" s="20">
        <v>0</v>
      </c>
      <c r="AW13" s="20">
        <v>0</v>
      </c>
      <c r="AX13" s="20">
        <v>0</v>
      </c>
      <c r="AY13" s="20">
        <v>0</v>
      </c>
      <c r="AZ13" s="20">
        <v>3</v>
      </c>
      <c r="BA13" s="20">
        <v>720</v>
      </c>
      <c r="BB13" s="20">
        <v>0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  <c r="BK13" s="20">
        <v>0</v>
      </c>
      <c r="BL13" s="20">
        <v>67.2</v>
      </c>
      <c r="BM13" s="22">
        <v>1960</v>
      </c>
      <c r="BN13" s="15">
        <f t="shared" si="2"/>
        <v>1892.8</v>
      </c>
      <c r="BO13" s="16">
        <f t="shared" si="3"/>
        <v>1324.9599999999998</v>
      </c>
    </row>
    <row r="14" spans="1:69" ht="24" x14ac:dyDescent="0.3">
      <c r="A14" s="5" t="s">
        <v>13</v>
      </c>
      <c r="B14" s="18" t="s">
        <v>76</v>
      </c>
      <c r="C14" s="18">
        <v>435954</v>
      </c>
      <c r="D14" s="19"/>
      <c r="E14" s="18" t="s">
        <v>73</v>
      </c>
      <c r="F14" s="18" t="s">
        <v>77</v>
      </c>
      <c r="G14" s="18" t="s">
        <v>75</v>
      </c>
      <c r="H14" s="20" t="s">
        <v>7</v>
      </c>
      <c r="I14" s="20" t="s">
        <v>100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2</v>
      </c>
      <c r="AC14" s="20">
        <v>400</v>
      </c>
      <c r="AD14" s="20">
        <v>0</v>
      </c>
      <c r="AE14" s="20">
        <v>0</v>
      </c>
      <c r="AF14" s="20">
        <v>0</v>
      </c>
      <c r="AG14" s="20">
        <v>0</v>
      </c>
      <c r="AH14" s="20">
        <v>3</v>
      </c>
      <c r="AI14" s="20">
        <v>720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2</v>
      </c>
      <c r="BA14" s="20">
        <v>480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244.8</v>
      </c>
      <c r="BM14" s="22">
        <v>1600</v>
      </c>
      <c r="BN14" s="15">
        <f t="shared" si="2"/>
        <v>1355.2</v>
      </c>
      <c r="BO14" s="16">
        <f t="shared" si="3"/>
        <v>948.64</v>
      </c>
    </row>
    <row r="15" spans="1:69" ht="24" x14ac:dyDescent="0.3">
      <c r="A15" s="5" t="s">
        <v>13</v>
      </c>
      <c r="B15" s="18" t="s">
        <v>78</v>
      </c>
      <c r="C15" s="18">
        <v>465461</v>
      </c>
      <c r="D15" s="19"/>
      <c r="E15" s="18" t="s">
        <v>73</v>
      </c>
      <c r="F15" s="18" t="s">
        <v>79</v>
      </c>
      <c r="G15" s="18" t="s">
        <v>75</v>
      </c>
      <c r="H15" s="20" t="s">
        <v>7</v>
      </c>
      <c r="I15" s="20" t="s">
        <v>102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4</v>
      </c>
      <c r="AC15" s="20">
        <v>800</v>
      </c>
      <c r="AD15" s="20">
        <v>0</v>
      </c>
      <c r="AE15" s="20">
        <v>0</v>
      </c>
      <c r="AF15" s="20">
        <v>0</v>
      </c>
      <c r="AG15" s="20">
        <v>0</v>
      </c>
      <c r="AH15" s="20">
        <v>2</v>
      </c>
      <c r="AI15" s="20">
        <v>480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  <c r="BK15" s="20">
        <v>0</v>
      </c>
      <c r="BL15" s="20">
        <v>144</v>
      </c>
      <c r="BM15" s="22">
        <v>1280</v>
      </c>
      <c r="BN15" s="15">
        <f t="shared" si="2"/>
        <v>1136</v>
      </c>
      <c r="BO15" s="16">
        <f t="shared" si="3"/>
        <v>795.19999999999993</v>
      </c>
    </row>
    <row r="16" spans="1:69" ht="24" x14ac:dyDescent="0.3">
      <c r="A16" s="5" t="s">
        <v>13</v>
      </c>
      <c r="B16" s="18" t="s">
        <v>72</v>
      </c>
      <c r="C16" s="18">
        <v>464964</v>
      </c>
      <c r="D16" s="19"/>
      <c r="E16" s="18" t="s">
        <v>73</v>
      </c>
      <c r="F16" s="18" t="s">
        <v>74</v>
      </c>
      <c r="G16" s="18" t="s">
        <v>75</v>
      </c>
      <c r="H16" s="20" t="s">
        <v>7</v>
      </c>
      <c r="I16" s="20" t="s">
        <v>103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1</v>
      </c>
      <c r="AF16" s="20">
        <v>500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0</v>
      </c>
      <c r="BM16" s="23">
        <v>500</v>
      </c>
      <c r="BN16" s="15">
        <f t="shared" si="2"/>
        <v>500</v>
      </c>
      <c r="BO16" s="16">
        <f t="shared" si="3"/>
        <v>350</v>
      </c>
    </row>
    <row r="17" spans="1:67" ht="24" x14ac:dyDescent="0.3">
      <c r="A17" s="5" t="s">
        <v>13</v>
      </c>
      <c r="B17" s="18" t="s">
        <v>95</v>
      </c>
      <c r="C17" s="18">
        <v>403837</v>
      </c>
      <c r="D17" s="19"/>
      <c r="E17" s="18" t="s">
        <v>73</v>
      </c>
      <c r="F17" s="18" t="s">
        <v>96</v>
      </c>
      <c r="G17" s="18" t="s">
        <v>75</v>
      </c>
      <c r="H17" s="20" t="s">
        <v>7</v>
      </c>
      <c r="I17" s="20" t="s">
        <v>80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0</v>
      </c>
      <c r="BA17" s="20">
        <v>0</v>
      </c>
      <c r="BB17" s="20">
        <v>0</v>
      </c>
      <c r="BC17" s="20">
        <v>1</v>
      </c>
      <c r="BD17" s="20">
        <v>480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  <c r="BK17" s="20">
        <v>0</v>
      </c>
      <c r="BL17" s="20">
        <v>28.8</v>
      </c>
      <c r="BM17" s="23">
        <v>480</v>
      </c>
      <c r="BN17" s="15">
        <f t="shared" si="2"/>
        <v>451.2</v>
      </c>
      <c r="BO17" s="16">
        <f t="shared" si="3"/>
        <v>315.83999999999997</v>
      </c>
    </row>
    <row r="18" spans="1:67" ht="24" x14ac:dyDescent="0.3">
      <c r="A18" s="5" t="s">
        <v>13</v>
      </c>
      <c r="B18" s="18" t="s">
        <v>90</v>
      </c>
      <c r="C18" s="18">
        <v>484291</v>
      </c>
      <c r="D18" s="19"/>
      <c r="E18" s="18" t="s">
        <v>73</v>
      </c>
      <c r="F18" s="18" t="s">
        <v>91</v>
      </c>
      <c r="G18" s="18" t="s">
        <v>75</v>
      </c>
      <c r="H18" s="20" t="s">
        <v>7</v>
      </c>
      <c r="I18" s="20" t="s">
        <v>92</v>
      </c>
      <c r="J18" s="20">
        <v>0</v>
      </c>
      <c r="K18" s="20">
        <v>17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0</v>
      </c>
      <c r="BM18" s="23">
        <v>0</v>
      </c>
      <c r="BN18" s="15">
        <f t="shared" si="2"/>
        <v>0</v>
      </c>
      <c r="BO18" s="16">
        <f t="shared" si="3"/>
        <v>0</v>
      </c>
    </row>
    <row r="19" spans="1:67" x14ac:dyDescent="0.3">
      <c r="A19" s="5"/>
      <c r="B19" s="5"/>
      <c r="C19" s="5"/>
      <c r="D19" s="6"/>
      <c r="E19" s="5"/>
      <c r="F19" s="5"/>
      <c r="G19" s="5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8"/>
      <c r="AG19" s="8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10"/>
      <c r="BO19" s="17">
        <f>SUM(BO2:BO18)</f>
        <v>17136.559999999998</v>
      </c>
    </row>
    <row r="20" spans="1:67" x14ac:dyDescent="0.3">
      <c r="A20" s="5"/>
      <c r="B20" s="5"/>
      <c r="C20" s="5"/>
      <c r="D20" s="6"/>
      <c r="E20" s="5"/>
      <c r="F20" s="5"/>
      <c r="G20" s="5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8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8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10"/>
    </row>
    <row r="21" spans="1:67" x14ac:dyDescent="0.3">
      <c r="A21" s="5"/>
      <c r="B21" s="5"/>
      <c r="C21" s="5"/>
      <c r="D21" s="6"/>
      <c r="E21" s="5"/>
      <c r="F21" s="5"/>
      <c r="G21" s="5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8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10"/>
    </row>
    <row r="22" spans="1:67" x14ac:dyDescent="0.3">
      <c r="A22" s="5"/>
      <c r="B22" s="5"/>
      <c r="C22" s="5"/>
      <c r="D22" s="6"/>
      <c r="E22" s="5"/>
      <c r="F22" s="5"/>
      <c r="G22" s="5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8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8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10"/>
    </row>
    <row r="23" spans="1:67" x14ac:dyDescent="0.3">
      <c r="A23" s="5"/>
      <c r="B23" s="5"/>
      <c r="C23" s="5"/>
      <c r="D23" s="6"/>
      <c r="E23" s="5"/>
      <c r="F23" s="5"/>
      <c r="G23" s="5"/>
      <c r="H23" s="7"/>
      <c r="I23" s="7"/>
      <c r="J23" s="7"/>
      <c r="K23" s="7"/>
      <c r="L23" s="8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8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8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10"/>
    </row>
    <row r="24" spans="1:67" x14ac:dyDescent="0.3">
      <c r="A24" s="5"/>
      <c r="B24" s="5"/>
      <c r="C24" s="5"/>
      <c r="D24" s="6"/>
      <c r="E24" s="5"/>
      <c r="F24" s="5"/>
      <c r="G24" s="5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8"/>
      <c r="AG24" s="8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8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10"/>
    </row>
    <row r="25" spans="1:67" x14ac:dyDescent="0.3">
      <c r="A25" s="5"/>
      <c r="B25" s="5"/>
      <c r="C25" s="5"/>
      <c r="D25" s="6"/>
      <c r="E25" s="5"/>
      <c r="F25" s="5"/>
      <c r="G25" s="5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8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10"/>
    </row>
    <row r="26" spans="1:67" x14ac:dyDescent="0.3">
      <c r="A26" s="5"/>
      <c r="B26" s="5"/>
      <c r="C26" s="5"/>
      <c r="D26" s="6"/>
      <c r="E26" s="5"/>
      <c r="F26" s="5"/>
      <c r="G26" s="5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8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8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10"/>
    </row>
    <row r="27" spans="1:67" x14ac:dyDescent="0.3">
      <c r="A27" s="5"/>
      <c r="B27" s="5"/>
      <c r="C27" s="5"/>
      <c r="D27" s="6"/>
      <c r="E27" s="5"/>
      <c r="F27" s="5"/>
      <c r="G27" s="5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8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10"/>
    </row>
    <row r="28" spans="1:67" x14ac:dyDescent="0.3">
      <c r="A28" s="5"/>
      <c r="B28" s="5"/>
      <c r="C28" s="5"/>
      <c r="D28" s="6"/>
      <c r="E28" s="5"/>
      <c r="F28" s="5"/>
      <c r="G28" s="5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8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10"/>
    </row>
    <row r="29" spans="1:67" x14ac:dyDescent="0.3">
      <c r="A29" s="5"/>
      <c r="B29" s="5"/>
      <c r="C29" s="5"/>
      <c r="D29" s="6"/>
      <c r="E29" s="5"/>
      <c r="F29" s="5"/>
      <c r="G29" s="5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8"/>
      <c r="AG29" s="8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8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10"/>
    </row>
    <row r="30" spans="1:67" x14ac:dyDescent="0.3">
      <c r="A30" s="5"/>
      <c r="B30" s="5"/>
      <c r="C30" s="5"/>
      <c r="D30" s="6"/>
      <c r="E30" s="5"/>
      <c r="F30" s="5"/>
      <c r="G30" s="5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8"/>
      <c r="AG30" s="8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10"/>
    </row>
    <row r="31" spans="1:67" x14ac:dyDescent="0.3">
      <c r="A31" s="5"/>
      <c r="B31" s="5"/>
      <c r="C31" s="5"/>
      <c r="D31" s="6"/>
      <c r="E31" s="5"/>
      <c r="F31" s="5"/>
      <c r="G31" s="5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8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10"/>
    </row>
    <row r="32" spans="1:67" x14ac:dyDescent="0.3">
      <c r="A32" s="5"/>
      <c r="B32" s="5"/>
      <c r="C32" s="5"/>
      <c r="D32" s="6"/>
      <c r="E32" s="5"/>
      <c r="F32" s="5"/>
      <c r="G32" s="5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8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8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10"/>
    </row>
    <row r="33" spans="1:65" x14ac:dyDescent="0.3">
      <c r="A33" s="5"/>
      <c r="B33" s="5"/>
      <c r="C33" s="5"/>
      <c r="D33" s="6"/>
      <c r="E33" s="5"/>
      <c r="F33" s="5"/>
      <c r="G33" s="5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8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8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10"/>
    </row>
    <row r="34" spans="1:65" x14ac:dyDescent="0.3">
      <c r="A34" s="5"/>
      <c r="B34" s="5"/>
      <c r="C34" s="5"/>
      <c r="D34" s="6"/>
      <c r="E34" s="5"/>
      <c r="F34" s="5"/>
      <c r="G34" s="5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8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10"/>
    </row>
    <row r="35" spans="1:65" x14ac:dyDescent="0.3">
      <c r="A35" s="5"/>
      <c r="B35" s="5"/>
      <c r="C35" s="5"/>
      <c r="D35" s="6"/>
      <c r="E35" s="5"/>
      <c r="F35" s="5"/>
      <c r="G35" s="5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8"/>
      <c r="AG35" s="8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10"/>
    </row>
    <row r="36" spans="1:65" x14ac:dyDescent="0.3">
      <c r="A36" s="5"/>
      <c r="B36" s="5"/>
      <c r="C36" s="5"/>
      <c r="D36" s="6"/>
      <c r="E36" s="5"/>
      <c r="F36" s="5"/>
      <c r="G36" s="5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8"/>
      <c r="AG36" s="8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10"/>
    </row>
    <row r="37" spans="1:65" x14ac:dyDescent="0.3">
      <c r="A37" s="5"/>
      <c r="B37" s="5"/>
      <c r="C37" s="5"/>
      <c r="D37" s="6"/>
      <c r="E37" s="5"/>
      <c r="F37" s="5"/>
      <c r="G37" s="5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8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10"/>
    </row>
    <row r="38" spans="1:65" x14ac:dyDescent="0.3">
      <c r="A38" s="5"/>
      <c r="B38" s="5"/>
      <c r="C38" s="5"/>
      <c r="D38" s="6"/>
      <c r="E38" s="5"/>
      <c r="F38" s="5"/>
      <c r="G38" s="5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8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10"/>
    </row>
    <row r="39" spans="1:65" x14ac:dyDescent="0.3">
      <c r="A39" s="5"/>
      <c r="B39" s="5"/>
      <c r="C39" s="5"/>
      <c r="D39" s="6"/>
      <c r="E39" s="5"/>
      <c r="F39" s="5"/>
      <c r="G39" s="5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8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10"/>
    </row>
    <row r="40" spans="1:65" x14ac:dyDescent="0.3">
      <c r="A40" s="5"/>
      <c r="B40" s="5"/>
      <c r="C40" s="5"/>
      <c r="D40" s="6"/>
      <c r="E40" s="5"/>
      <c r="F40" s="5"/>
      <c r="G40" s="5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8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10"/>
    </row>
    <row r="41" spans="1:65" x14ac:dyDescent="0.3">
      <c r="A41" s="5"/>
      <c r="B41" s="5"/>
      <c r="C41" s="5"/>
      <c r="D41" s="6"/>
      <c r="E41" s="5"/>
      <c r="F41" s="5"/>
      <c r="G41" s="5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8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10"/>
    </row>
    <row r="42" spans="1:65" x14ac:dyDescent="0.3">
      <c r="A42" s="5"/>
      <c r="B42" s="5"/>
      <c r="C42" s="5"/>
      <c r="D42" s="6"/>
      <c r="E42" s="5"/>
      <c r="F42" s="5"/>
      <c r="G42" s="5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8"/>
      <c r="AD42" s="7"/>
      <c r="AE42" s="7"/>
      <c r="AF42" s="8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10"/>
    </row>
    <row r="43" spans="1:65" x14ac:dyDescent="0.3">
      <c r="A43" s="5"/>
      <c r="B43" s="5"/>
      <c r="C43" s="5"/>
      <c r="D43" s="6"/>
      <c r="E43" s="5"/>
      <c r="F43" s="5"/>
      <c r="G43" s="5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8"/>
      <c r="AG43" s="8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10"/>
    </row>
    <row r="44" spans="1:65" x14ac:dyDescent="0.3">
      <c r="A44" s="5"/>
      <c r="B44" s="5"/>
      <c r="C44" s="5"/>
      <c r="D44" s="6"/>
      <c r="E44" s="5"/>
      <c r="F44" s="5"/>
      <c r="G44" s="5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8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10"/>
    </row>
    <row r="45" spans="1:65" x14ac:dyDescent="0.3">
      <c r="A45" s="5"/>
      <c r="B45" s="5"/>
      <c r="C45" s="5"/>
      <c r="D45" s="6"/>
      <c r="E45" s="5"/>
      <c r="F45" s="5"/>
      <c r="G45" s="5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8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10"/>
    </row>
    <row r="46" spans="1:65" x14ac:dyDescent="0.3">
      <c r="A46" s="5"/>
      <c r="B46" s="5"/>
      <c r="C46" s="5"/>
      <c r="D46" s="6"/>
      <c r="E46" s="5"/>
      <c r="F46" s="5"/>
      <c r="G46" s="5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8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10"/>
    </row>
    <row r="47" spans="1:65" x14ac:dyDescent="0.3">
      <c r="A47" s="5"/>
      <c r="B47" s="5"/>
      <c r="C47" s="5"/>
      <c r="D47" s="6"/>
      <c r="E47" s="5"/>
      <c r="F47" s="5"/>
      <c r="G47" s="5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8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10"/>
    </row>
    <row r="48" spans="1:65" x14ac:dyDescent="0.3">
      <c r="A48" s="5"/>
      <c r="B48" s="5"/>
      <c r="C48" s="5"/>
      <c r="D48" s="6"/>
      <c r="E48" s="5"/>
      <c r="F48" s="5"/>
      <c r="G48" s="5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8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10"/>
    </row>
    <row r="49" spans="1:65" x14ac:dyDescent="0.3">
      <c r="A49" s="5"/>
      <c r="B49" s="5"/>
      <c r="C49" s="5"/>
      <c r="D49" s="6"/>
      <c r="E49" s="5"/>
      <c r="F49" s="5"/>
      <c r="G49" s="5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8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8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10"/>
    </row>
    <row r="50" spans="1:65" x14ac:dyDescent="0.3">
      <c r="A50" s="5"/>
      <c r="B50" s="5"/>
      <c r="C50" s="5"/>
      <c r="D50" s="6"/>
      <c r="E50" s="5"/>
      <c r="F50" s="5"/>
      <c r="G50" s="5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8"/>
      <c r="AG50" s="8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10"/>
    </row>
    <row r="51" spans="1:65" x14ac:dyDescent="0.3">
      <c r="A51" s="5"/>
      <c r="B51" s="5"/>
      <c r="C51" s="5"/>
      <c r="D51" s="6"/>
      <c r="E51" s="5"/>
      <c r="F51" s="5"/>
      <c r="G51" s="5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8"/>
      <c r="AS51" s="8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10"/>
    </row>
    <row r="52" spans="1:65" x14ac:dyDescent="0.3">
      <c r="A52" s="5"/>
      <c r="B52" s="5"/>
      <c r="C52" s="5"/>
      <c r="D52" s="6"/>
      <c r="E52" s="5"/>
      <c r="F52" s="5"/>
      <c r="G52" s="5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8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10"/>
    </row>
    <row r="53" spans="1:65" x14ac:dyDescent="0.3">
      <c r="A53" s="5"/>
      <c r="B53" s="5"/>
      <c r="C53" s="5"/>
      <c r="D53" s="6"/>
      <c r="E53" s="5"/>
      <c r="F53" s="5"/>
      <c r="G53" s="5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8"/>
      <c r="AG53" s="8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10"/>
    </row>
    <row r="54" spans="1:65" x14ac:dyDescent="0.3">
      <c r="A54" s="5"/>
      <c r="B54" s="5"/>
      <c r="C54" s="5"/>
      <c r="D54" s="6"/>
      <c r="E54" s="5"/>
      <c r="F54" s="5"/>
      <c r="G54" s="5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8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10"/>
    </row>
    <row r="55" spans="1:65" x14ac:dyDescent="0.3">
      <c r="A55" s="5"/>
      <c r="B55" s="5"/>
      <c r="C55" s="5"/>
      <c r="D55" s="6"/>
      <c r="E55" s="5"/>
      <c r="F55" s="5"/>
      <c r="G55" s="5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8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10"/>
    </row>
    <row r="56" spans="1:65" x14ac:dyDescent="0.3">
      <c r="A56" s="5"/>
      <c r="B56" s="5"/>
      <c r="C56" s="5"/>
      <c r="D56" s="6"/>
      <c r="E56" s="5"/>
      <c r="F56" s="5"/>
      <c r="G56" s="5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8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10"/>
    </row>
    <row r="57" spans="1:65" x14ac:dyDescent="0.3">
      <c r="A57" s="5"/>
      <c r="B57" s="5"/>
      <c r="C57" s="5"/>
      <c r="D57" s="6"/>
      <c r="E57" s="5"/>
      <c r="F57" s="5"/>
      <c r="G57" s="5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8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10"/>
    </row>
    <row r="58" spans="1:65" x14ac:dyDescent="0.3">
      <c r="A58" s="5"/>
      <c r="B58" s="5"/>
      <c r="C58" s="5"/>
      <c r="D58" s="6"/>
      <c r="E58" s="5"/>
      <c r="F58" s="5"/>
      <c r="G58" s="5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8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10"/>
    </row>
    <row r="59" spans="1:65" x14ac:dyDescent="0.3">
      <c r="A59" s="5"/>
      <c r="B59" s="5"/>
      <c r="C59" s="5"/>
      <c r="D59" s="6"/>
      <c r="E59" s="5"/>
      <c r="F59" s="5"/>
      <c r="G59" s="5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8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10"/>
    </row>
    <row r="60" spans="1:65" x14ac:dyDescent="0.3">
      <c r="A60" s="5"/>
      <c r="B60" s="5"/>
      <c r="C60" s="5"/>
      <c r="D60" s="6"/>
      <c r="E60" s="5"/>
      <c r="F60" s="5"/>
      <c r="G60" s="5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8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10"/>
    </row>
    <row r="61" spans="1:65" x14ac:dyDescent="0.3">
      <c r="A61" s="5"/>
      <c r="B61" s="5"/>
      <c r="C61" s="5"/>
      <c r="D61" s="6"/>
      <c r="E61" s="5"/>
      <c r="F61" s="5"/>
      <c r="G61" s="5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8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10"/>
    </row>
    <row r="62" spans="1:65" x14ac:dyDescent="0.3">
      <c r="A62" s="5"/>
      <c r="B62" s="5"/>
      <c r="C62" s="5"/>
      <c r="D62" s="6"/>
      <c r="E62" s="5"/>
      <c r="F62" s="5"/>
      <c r="G62" s="5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8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10"/>
    </row>
    <row r="63" spans="1:65" x14ac:dyDescent="0.3">
      <c r="A63" s="5"/>
      <c r="B63" s="5"/>
      <c r="C63" s="5"/>
      <c r="D63" s="6"/>
      <c r="E63" s="5"/>
      <c r="F63" s="5"/>
      <c r="G63" s="5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8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10"/>
    </row>
    <row r="64" spans="1:65" x14ac:dyDescent="0.3">
      <c r="A64" s="5"/>
      <c r="B64" s="5"/>
      <c r="C64" s="5"/>
      <c r="D64" s="6"/>
      <c r="E64" s="5"/>
      <c r="F64" s="5"/>
      <c r="G64" s="5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8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10"/>
    </row>
    <row r="65" spans="1:65" x14ac:dyDescent="0.3">
      <c r="A65" s="5"/>
      <c r="B65" s="5"/>
      <c r="C65" s="5"/>
      <c r="D65" s="6"/>
      <c r="E65" s="5"/>
      <c r="F65" s="5"/>
      <c r="G65" s="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10"/>
    </row>
    <row r="66" spans="1:65" x14ac:dyDescent="0.3">
      <c r="A66" s="5"/>
      <c r="B66" s="5"/>
      <c r="C66" s="5"/>
      <c r="D66" s="6"/>
      <c r="E66" s="5"/>
      <c r="F66" s="5"/>
      <c r="G66" s="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10"/>
    </row>
    <row r="67" spans="1:65" x14ac:dyDescent="0.3">
      <c r="A67" s="5"/>
      <c r="B67" s="5"/>
      <c r="C67" s="5"/>
      <c r="D67" s="6"/>
      <c r="E67" s="5"/>
      <c r="F67" s="5"/>
      <c r="G67" s="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8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10"/>
    </row>
    <row r="68" spans="1:65" x14ac:dyDescent="0.3">
      <c r="A68" s="5"/>
      <c r="B68" s="5"/>
      <c r="C68" s="5"/>
      <c r="D68" s="6"/>
      <c r="E68" s="5"/>
      <c r="F68" s="5"/>
      <c r="G68" s="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11"/>
    </row>
    <row r="69" spans="1:65" x14ac:dyDescent="0.3">
      <c r="A69" s="5"/>
      <c r="B69" s="5"/>
      <c r="C69" s="5"/>
      <c r="D69" s="6"/>
      <c r="E69" s="5"/>
      <c r="F69" s="5"/>
      <c r="G69" s="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11"/>
    </row>
    <row r="70" spans="1:65" x14ac:dyDescent="0.3">
      <c r="A70" s="5"/>
      <c r="B70" s="5"/>
      <c r="C70" s="5"/>
      <c r="D70" s="6"/>
      <c r="E70" s="5"/>
      <c r="F70" s="5"/>
      <c r="G70" s="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11"/>
    </row>
    <row r="71" spans="1:65" x14ac:dyDescent="0.3">
      <c r="A71" s="5"/>
      <c r="B71" s="5"/>
      <c r="C71" s="5"/>
      <c r="D71" s="6"/>
      <c r="E71" s="5"/>
      <c r="F71" s="5"/>
      <c r="G71" s="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11"/>
    </row>
    <row r="72" spans="1:65" x14ac:dyDescent="0.3">
      <c r="A72" s="5"/>
      <c r="B72" s="5"/>
      <c r="C72" s="5"/>
      <c r="D72" s="6"/>
      <c r="E72" s="5"/>
      <c r="F72" s="5"/>
      <c r="G72" s="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11"/>
    </row>
    <row r="73" spans="1:65" x14ac:dyDescent="0.3">
      <c r="A73" s="5"/>
      <c r="B73" s="5"/>
      <c r="C73" s="5"/>
      <c r="D73" s="6"/>
      <c r="E73" s="5"/>
      <c r="F73" s="5"/>
      <c r="G73" s="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11"/>
    </row>
    <row r="74" spans="1:65" x14ac:dyDescent="0.3">
      <c r="A74" s="5"/>
      <c r="B74" s="5"/>
      <c r="C74" s="5"/>
      <c r="D74" s="6"/>
      <c r="E74" s="5"/>
      <c r="F74" s="5"/>
      <c r="G74" s="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11"/>
    </row>
    <row r="75" spans="1:65" x14ac:dyDescent="0.3">
      <c r="A75" s="5"/>
      <c r="B75" s="5"/>
      <c r="C75" s="5"/>
      <c r="D75" s="6"/>
      <c r="E75" s="5"/>
      <c r="F75" s="5"/>
      <c r="G75" s="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11"/>
    </row>
    <row r="76" spans="1:65" x14ac:dyDescent="0.3">
      <c r="A76" s="5"/>
      <c r="B76" s="5"/>
      <c r="C76" s="5"/>
      <c r="D76" s="6"/>
      <c r="E76" s="5"/>
      <c r="F76" s="5"/>
      <c r="G76" s="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11"/>
    </row>
    <row r="77" spans="1:65" x14ac:dyDescent="0.3">
      <c r="A77" s="5"/>
      <c r="B77" s="5"/>
      <c r="C77" s="5"/>
      <c r="D77" s="6"/>
      <c r="E77" s="5"/>
      <c r="F77" s="5"/>
      <c r="G77" s="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11"/>
    </row>
    <row r="78" spans="1:65" x14ac:dyDescent="0.3">
      <c r="A78" s="5"/>
      <c r="B78" s="5"/>
      <c r="C78" s="5"/>
      <c r="D78" s="6"/>
      <c r="E78" s="5"/>
      <c r="F78" s="5"/>
      <c r="G78" s="5"/>
      <c r="H78" s="7"/>
      <c r="I78" s="7"/>
      <c r="J78" s="7"/>
      <c r="K78" s="8"/>
      <c r="L78" s="8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8"/>
      <c r="AF78" s="8"/>
      <c r="AG78" s="8"/>
      <c r="AH78" s="7"/>
      <c r="AI78" s="7"/>
      <c r="AJ78" s="7"/>
      <c r="AK78" s="7"/>
      <c r="AL78" s="7"/>
      <c r="AM78" s="7"/>
      <c r="AN78" s="7"/>
      <c r="AO78" s="7"/>
      <c r="AP78" s="7"/>
      <c r="AQ78" s="8"/>
      <c r="AR78" s="8"/>
      <c r="AS78" s="8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10"/>
    </row>
    <row r="79" spans="1:65" x14ac:dyDescent="0.3">
      <c r="A79" s="5"/>
      <c r="B79" s="5"/>
      <c r="C79" s="5"/>
      <c r="D79" s="6"/>
      <c r="E79" s="5"/>
      <c r="F79" s="5"/>
      <c r="G79" s="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8"/>
      <c r="AG79" s="8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8"/>
      <c r="AS79" s="8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10"/>
    </row>
    <row r="80" spans="1:65" x14ac:dyDescent="0.3">
      <c r="A80" s="5"/>
      <c r="B80" s="5"/>
      <c r="C80" s="5"/>
      <c r="D80" s="6"/>
      <c r="E80" s="5"/>
      <c r="F80" s="5"/>
      <c r="G80" s="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8"/>
      <c r="AD80" s="8"/>
      <c r="AE80" s="7"/>
      <c r="AF80" s="8"/>
      <c r="AG80" s="8"/>
      <c r="AH80" s="7"/>
      <c r="AI80" s="7"/>
      <c r="AJ80" s="7"/>
      <c r="AK80" s="7"/>
      <c r="AL80" s="7"/>
      <c r="AM80" s="7"/>
      <c r="AN80" s="7"/>
      <c r="AO80" s="8"/>
      <c r="AP80" s="7"/>
      <c r="AQ80" s="7"/>
      <c r="AR80" s="8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10"/>
    </row>
    <row r="81" spans="1:65" x14ac:dyDescent="0.3">
      <c r="A81" s="5"/>
      <c r="B81" s="5"/>
      <c r="C81" s="5"/>
      <c r="D81" s="6"/>
      <c r="E81" s="5"/>
      <c r="F81" s="5"/>
      <c r="G81" s="5"/>
      <c r="H81" s="7"/>
      <c r="I81" s="7"/>
      <c r="J81" s="7"/>
      <c r="K81" s="8"/>
      <c r="L81" s="8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8"/>
      <c r="AF81" s="8"/>
      <c r="AG81" s="8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8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10"/>
    </row>
    <row r="82" spans="1:65" x14ac:dyDescent="0.3">
      <c r="A82" s="5"/>
      <c r="B82" s="5"/>
      <c r="C82" s="5"/>
      <c r="D82" s="6"/>
      <c r="E82" s="5"/>
      <c r="F82" s="5"/>
      <c r="G82" s="5"/>
      <c r="H82" s="7"/>
      <c r="I82" s="7"/>
      <c r="J82" s="8"/>
      <c r="K82" s="8"/>
      <c r="L82" s="8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8"/>
      <c r="AG82" s="8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10"/>
    </row>
    <row r="83" spans="1:65" x14ac:dyDescent="0.3">
      <c r="A83" s="5"/>
      <c r="B83" s="5"/>
      <c r="C83" s="5"/>
      <c r="D83" s="6"/>
      <c r="E83" s="5"/>
      <c r="F83" s="5"/>
      <c r="G83" s="5"/>
      <c r="H83" s="7"/>
      <c r="I83" s="7"/>
      <c r="J83" s="7"/>
      <c r="K83" s="8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8"/>
      <c r="AF83" s="8"/>
      <c r="AG83" s="8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8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10"/>
    </row>
    <row r="84" spans="1:65" x14ac:dyDescent="0.3">
      <c r="A84" s="5"/>
      <c r="B84" s="5"/>
      <c r="C84" s="5"/>
      <c r="D84" s="6"/>
      <c r="E84" s="5"/>
      <c r="F84" s="5"/>
      <c r="G84" s="5"/>
      <c r="H84" s="7"/>
      <c r="I84" s="7"/>
      <c r="J84" s="7"/>
      <c r="K84" s="8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8"/>
      <c r="AF84" s="8"/>
      <c r="AG84" s="8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8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10"/>
    </row>
    <row r="85" spans="1:65" x14ac:dyDescent="0.3">
      <c r="A85" s="5"/>
      <c r="B85" s="5"/>
      <c r="C85" s="5"/>
      <c r="D85" s="6"/>
      <c r="E85" s="5"/>
      <c r="F85" s="5"/>
      <c r="G85" s="5"/>
      <c r="H85" s="7"/>
      <c r="I85" s="7"/>
      <c r="J85" s="7"/>
      <c r="K85" s="8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8"/>
      <c r="AF85" s="8"/>
      <c r="AG85" s="8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8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10"/>
    </row>
    <row r="86" spans="1:65" x14ac:dyDescent="0.3">
      <c r="A86" s="5"/>
      <c r="B86" s="5"/>
      <c r="C86" s="5"/>
      <c r="D86" s="6"/>
      <c r="E86" s="5"/>
      <c r="F86" s="5"/>
      <c r="G86" s="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8"/>
      <c r="AD86" s="7"/>
      <c r="AE86" s="7"/>
      <c r="AF86" s="8"/>
      <c r="AG86" s="8"/>
      <c r="AH86" s="7"/>
      <c r="AI86" s="7"/>
      <c r="AJ86" s="7"/>
      <c r="AK86" s="7"/>
      <c r="AL86" s="7"/>
      <c r="AM86" s="7"/>
      <c r="AN86" s="7"/>
      <c r="AO86" s="8"/>
      <c r="AP86" s="7"/>
      <c r="AQ86" s="7"/>
      <c r="AR86" s="8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10"/>
    </row>
    <row r="87" spans="1:65" x14ac:dyDescent="0.3">
      <c r="A87" s="5"/>
      <c r="B87" s="5"/>
      <c r="C87" s="5"/>
      <c r="D87" s="6"/>
      <c r="E87" s="5"/>
      <c r="F87" s="5"/>
      <c r="G87" s="5"/>
      <c r="H87" s="7"/>
      <c r="I87" s="7"/>
      <c r="J87" s="7"/>
      <c r="K87" s="8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8"/>
      <c r="AF87" s="8"/>
      <c r="AG87" s="8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8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10"/>
    </row>
    <row r="88" spans="1:65" x14ac:dyDescent="0.3">
      <c r="A88" s="5"/>
      <c r="B88" s="5"/>
      <c r="C88" s="5"/>
      <c r="D88" s="6"/>
      <c r="E88" s="5"/>
      <c r="F88" s="5"/>
      <c r="G88" s="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8"/>
      <c r="AF88" s="8"/>
      <c r="AG88" s="8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8"/>
      <c r="AS88" s="8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10"/>
    </row>
    <row r="89" spans="1:65" x14ac:dyDescent="0.3">
      <c r="A89" s="5"/>
      <c r="B89" s="5"/>
      <c r="C89" s="5"/>
      <c r="D89" s="6"/>
      <c r="E89" s="5"/>
      <c r="F89" s="5"/>
      <c r="G89" s="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8"/>
      <c r="AF89" s="8"/>
      <c r="AG89" s="8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8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10"/>
    </row>
    <row r="90" spans="1:65" x14ac:dyDescent="0.3">
      <c r="A90" s="5"/>
      <c r="B90" s="5"/>
      <c r="C90" s="5"/>
      <c r="D90" s="6"/>
      <c r="E90" s="5"/>
      <c r="F90" s="5"/>
      <c r="G90" s="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8"/>
      <c r="AG90" s="8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8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10"/>
    </row>
    <row r="91" spans="1:65" x14ac:dyDescent="0.3">
      <c r="A91" s="5"/>
      <c r="B91" s="5"/>
      <c r="C91" s="5"/>
      <c r="D91" s="6"/>
      <c r="E91" s="5"/>
      <c r="F91" s="5"/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8"/>
      <c r="AF91" s="8"/>
      <c r="AG91" s="8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8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10"/>
    </row>
    <row r="92" spans="1:65" x14ac:dyDescent="0.3">
      <c r="A92" s="5"/>
      <c r="B92" s="5"/>
      <c r="C92" s="5"/>
      <c r="D92" s="6"/>
      <c r="E92" s="5"/>
      <c r="F92" s="5"/>
      <c r="G92" s="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8"/>
      <c r="AF92" s="8"/>
      <c r="AG92" s="8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8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10"/>
    </row>
    <row r="93" spans="1:65" x14ac:dyDescent="0.3">
      <c r="A93" s="5"/>
      <c r="B93" s="5"/>
      <c r="C93" s="5"/>
      <c r="D93" s="6"/>
      <c r="E93" s="5"/>
      <c r="F93" s="5"/>
      <c r="G93" s="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8"/>
      <c r="AG93" s="8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8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10"/>
    </row>
    <row r="94" spans="1:65" x14ac:dyDescent="0.3">
      <c r="A94" s="5"/>
      <c r="B94" s="5"/>
      <c r="C94" s="5"/>
      <c r="D94" s="6"/>
      <c r="E94" s="5"/>
      <c r="F94" s="5"/>
      <c r="G94" s="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8"/>
      <c r="AG94" s="8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10"/>
    </row>
    <row r="95" spans="1:65" x14ac:dyDescent="0.3">
      <c r="A95" s="5"/>
      <c r="B95" s="5"/>
      <c r="C95" s="5"/>
      <c r="D95" s="6"/>
      <c r="E95" s="5"/>
      <c r="F95" s="5"/>
      <c r="G95" s="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8"/>
      <c r="AG95" s="8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10"/>
    </row>
    <row r="96" spans="1:65" x14ac:dyDescent="0.3">
      <c r="A96" s="5"/>
      <c r="B96" s="5"/>
      <c r="C96" s="5"/>
      <c r="D96" s="6"/>
      <c r="E96" s="5"/>
      <c r="F96" s="5"/>
      <c r="G96" s="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8"/>
      <c r="AG96" s="8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8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10"/>
    </row>
    <row r="97" spans="1:65" x14ac:dyDescent="0.3">
      <c r="A97" s="5"/>
      <c r="B97" s="5"/>
      <c r="C97" s="5"/>
      <c r="D97" s="6"/>
      <c r="E97" s="5"/>
      <c r="F97" s="5"/>
      <c r="G97" s="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8"/>
      <c r="AG97" s="8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8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10"/>
    </row>
    <row r="98" spans="1:65" x14ac:dyDescent="0.3">
      <c r="A98" s="5"/>
      <c r="B98" s="5"/>
      <c r="C98" s="5"/>
      <c r="D98" s="6"/>
      <c r="E98" s="5"/>
      <c r="F98" s="5"/>
      <c r="G98" s="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8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8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10"/>
    </row>
    <row r="99" spans="1:65" x14ac:dyDescent="0.3">
      <c r="A99" s="5"/>
      <c r="B99" s="5"/>
      <c r="C99" s="5"/>
      <c r="D99" s="6"/>
      <c r="E99" s="5"/>
      <c r="F99" s="5"/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8"/>
      <c r="AD99" s="7"/>
      <c r="AE99" s="7"/>
      <c r="AF99" s="8"/>
      <c r="AG99" s="8"/>
      <c r="AH99" s="7"/>
      <c r="AI99" s="7"/>
      <c r="AJ99" s="7"/>
      <c r="AK99" s="7"/>
      <c r="AL99" s="7"/>
      <c r="AM99" s="7"/>
      <c r="AN99" s="7"/>
      <c r="AO99" s="8"/>
      <c r="AP99" s="8"/>
      <c r="AQ99" s="7"/>
      <c r="AR99" s="8"/>
      <c r="AS99" s="8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10"/>
    </row>
    <row r="100" spans="1:65" x14ac:dyDescent="0.3">
      <c r="A100" s="5"/>
      <c r="B100" s="5"/>
      <c r="C100" s="5"/>
      <c r="D100" s="6"/>
      <c r="E100" s="5"/>
      <c r="F100" s="5"/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8"/>
      <c r="AG100" s="8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8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10"/>
    </row>
    <row r="101" spans="1:65" x14ac:dyDescent="0.3">
      <c r="A101" s="5"/>
      <c r="B101" s="5"/>
      <c r="C101" s="5"/>
      <c r="D101" s="6"/>
      <c r="E101" s="5"/>
      <c r="F101" s="5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8"/>
      <c r="AG101" s="8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8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10"/>
    </row>
    <row r="102" spans="1:65" x14ac:dyDescent="0.3">
      <c r="A102" s="5"/>
      <c r="B102" s="5"/>
      <c r="C102" s="5"/>
      <c r="D102" s="6"/>
      <c r="E102" s="5"/>
      <c r="F102" s="5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8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8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10"/>
    </row>
    <row r="103" spans="1:65" x14ac:dyDescent="0.3">
      <c r="A103" s="5"/>
      <c r="B103" s="5"/>
      <c r="C103" s="5"/>
      <c r="D103" s="6"/>
      <c r="E103" s="5"/>
      <c r="F103" s="5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8"/>
      <c r="AG103" s="8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8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10"/>
    </row>
    <row r="104" spans="1:65" x14ac:dyDescent="0.3">
      <c r="A104" s="5"/>
      <c r="B104" s="5"/>
      <c r="C104" s="5"/>
      <c r="D104" s="6"/>
      <c r="E104" s="5"/>
      <c r="F104" s="5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8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10"/>
    </row>
    <row r="105" spans="1:65" x14ac:dyDescent="0.3">
      <c r="A105" s="5"/>
      <c r="B105" s="5"/>
      <c r="C105" s="5"/>
      <c r="D105" s="6"/>
      <c r="E105" s="5"/>
      <c r="F105" s="5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8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8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10"/>
    </row>
    <row r="106" spans="1:65" x14ac:dyDescent="0.3">
      <c r="A106" s="5"/>
      <c r="B106" s="5"/>
      <c r="C106" s="5"/>
      <c r="D106" s="6"/>
      <c r="E106" s="5"/>
      <c r="F106" s="5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8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10"/>
    </row>
    <row r="107" spans="1:65" x14ac:dyDescent="0.3">
      <c r="A107" s="5"/>
      <c r="B107" s="5"/>
      <c r="C107" s="5"/>
      <c r="D107" s="6"/>
      <c r="E107" s="5"/>
      <c r="F107" s="5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8"/>
      <c r="AD107" s="8"/>
      <c r="AE107" s="7"/>
      <c r="AF107" s="7"/>
      <c r="AG107" s="8"/>
      <c r="AH107" s="7"/>
      <c r="AI107" s="7"/>
      <c r="AJ107" s="7"/>
      <c r="AK107" s="7"/>
      <c r="AL107" s="7"/>
      <c r="AM107" s="7"/>
      <c r="AN107" s="7"/>
      <c r="AO107" s="8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10"/>
    </row>
    <row r="108" spans="1:65" x14ac:dyDescent="0.3">
      <c r="A108" s="5"/>
      <c r="B108" s="5"/>
      <c r="C108" s="5"/>
      <c r="D108" s="6"/>
      <c r="E108" s="5"/>
      <c r="F108" s="5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8"/>
      <c r="AG108" s="8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8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10"/>
    </row>
    <row r="109" spans="1:65" x14ac:dyDescent="0.3">
      <c r="A109" s="5"/>
      <c r="B109" s="5"/>
      <c r="C109" s="5"/>
      <c r="D109" s="6"/>
      <c r="E109" s="5"/>
      <c r="F109" s="5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8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10"/>
    </row>
    <row r="110" spans="1:65" x14ac:dyDescent="0.3">
      <c r="A110" s="5"/>
      <c r="B110" s="5"/>
      <c r="C110" s="5"/>
      <c r="D110" s="6"/>
      <c r="E110" s="5"/>
      <c r="F110" s="5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8"/>
      <c r="AG110" s="8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10"/>
    </row>
    <row r="111" spans="1:65" x14ac:dyDescent="0.3">
      <c r="A111" s="5"/>
      <c r="B111" s="5"/>
      <c r="C111" s="5"/>
      <c r="D111" s="6"/>
      <c r="E111" s="5"/>
      <c r="F111" s="5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8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10"/>
    </row>
    <row r="112" spans="1:65" x14ac:dyDescent="0.3">
      <c r="A112" s="5"/>
      <c r="B112" s="5"/>
      <c r="C112" s="5"/>
      <c r="D112" s="6"/>
      <c r="E112" s="5"/>
      <c r="F112" s="5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8"/>
      <c r="AG112" s="8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10"/>
    </row>
    <row r="113" spans="1:65" x14ac:dyDescent="0.3">
      <c r="A113" s="5"/>
      <c r="B113" s="5"/>
      <c r="C113" s="5"/>
      <c r="D113" s="6"/>
      <c r="E113" s="5"/>
      <c r="F113" s="5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8"/>
      <c r="AG113" s="8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8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10"/>
    </row>
    <row r="114" spans="1:65" x14ac:dyDescent="0.3">
      <c r="A114" s="5"/>
      <c r="B114" s="5"/>
      <c r="C114" s="5"/>
      <c r="D114" s="6"/>
      <c r="E114" s="5"/>
      <c r="F114" s="5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8"/>
      <c r="AG114" s="8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10"/>
    </row>
    <row r="115" spans="1:65" x14ac:dyDescent="0.3">
      <c r="A115" s="5"/>
      <c r="B115" s="5"/>
      <c r="C115" s="5"/>
      <c r="D115" s="6"/>
      <c r="E115" s="5"/>
      <c r="F115" s="5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8"/>
      <c r="AG115" s="8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10"/>
    </row>
    <row r="116" spans="1:65" x14ac:dyDescent="0.3">
      <c r="A116" s="5"/>
      <c r="B116" s="5"/>
      <c r="C116" s="5"/>
      <c r="D116" s="6"/>
      <c r="E116" s="5"/>
      <c r="F116" s="5"/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8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8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10"/>
    </row>
    <row r="117" spans="1:65" x14ac:dyDescent="0.3">
      <c r="A117" s="5"/>
      <c r="B117" s="5"/>
      <c r="C117" s="5"/>
      <c r="D117" s="6"/>
      <c r="E117" s="5"/>
      <c r="F117" s="5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8"/>
      <c r="AG117" s="8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8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10"/>
    </row>
    <row r="118" spans="1:65" x14ac:dyDescent="0.3">
      <c r="A118" s="5"/>
      <c r="B118" s="5"/>
      <c r="C118" s="5"/>
      <c r="D118" s="6"/>
      <c r="E118" s="5"/>
      <c r="F118" s="5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8"/>
      <c r="AG118" s="8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8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10"/>
    </row>
    <row r="119" spans="1:65" x14ac:dyDescent="0.3">
      <c r="A119" s="5"/>
      <c r="B119" s="5"/>
      <c r="C119" s="5"/>
      <c r="D119" s="6"/>
      <c r="E119" s="5"/>
      <c r="F119" s="5"/>
      <c r="G119" s="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8"/>
      <c r="AG119" s="8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10"/>
    </row>
    <row r="120" spans="1:65" x14ac:dyDescent="0.3">
      <c r="A120" s="5"/>
      <c r="B120" s="5"/>
      <c r="C120" s="5"/>
      <c r="D120" s="6"/>
      <c r="E120" s="5"/>
      <c r="F120" s="5"/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8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10"/>
    </row>
    <row r="121" spans="1:65" x14ac:dyDescent="0.3">
      <c r="A121" s="5"/>
      <c r="B121" s="5"/>
      <c r="C121" s="5"/>
      <c r="D121" s="6"/>
      <c r="E121" s="5"/>
      <c r="F121" s="5"/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8"/>
      <c r="AG121" s="8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8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10"/>
    </row>
    <row r="122" spans="1:65" x14ac:dyDescent="0.3">
      <c r="A122" s="5"/>
      <c r="B122" s="5"/>
      <c r="C122" s="5"/>
      <c r="D122" s="6"/>
      <c r="E122" s="5"/>
      <c r="F122" s="5"/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8"/>
      <c r="AG122" s="8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10"/>
    </row>
    <row r="123" spans="1:65" x14ac:dyDescent="0.3">
      <c r="A123" s="5"/>
      <c r="B123" s="5"/>
      <c r="C123" s="5"/>
      <c r="D123" s="6"/>
      <c r="E123" s="5"/>
      <c r="F123" s="5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8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8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10"/>
    </row>
    <row r="124" spans="1:65" x14ac:dyDescent="0.3">
      <c r="A124" s="5"/>
      <c r="B124" s="5"/>
      <c r="C124" s="5"/>
      <c r="D124" s="6"/>
      <c r="E124" s="5"/>
      <c r="F124" s="5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8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10"/>
    </row>
    <row r="125" spans="1:65" x14ac:dyDescent="0.3">
      <c r="A125" s="5"/>
      <c r="B125" s="5"/>
      <c r="C125" s="5"/>
      <c r="D125" s="6"/>
      <c r="E125" s="5"/>
      <c r="F125" s="5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8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10"/>
    </row>
    <row r="126" spans="1:65" x14ac:dyDescent="0.3">
      <c r="A126" s="5"/>
      <c r="B126" s="5"/>
      <c r="C126" s="5"/>
      <c r="D126" s="6"/>
      <c r="E126" s="5"/>
      <c r="F126" s="5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8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10"/>
    </row>
    <row r="127" spans="1:65" x14ac:dyDescent="0.3">
      <c r="A127" s="5"/>
      <c r="B127" s="5"/>
      <c r="C127" s="5"/>
      <c r="D127" s="6"/>
      <c r="E127" s="5"/>
      <c r="F127" s="5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8"/>
      <c r="AG127" s="8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10"/>
    </row>
    <row r="128" spans="1:65" x14ac:dyDescent="0.3">
      <c r="A128" s="5"/>
      <c r="B128" s="5"/>
      <c r="C128" s="5"/>
      <c r="D128" s="6"/>
      <c r="E128" s="5"/>
      <c r="F128" s="5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8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10"/>
    </row>
    <row r="129" spans="1:65" x14ac:dyDescent="0.3">
      <c r="A129" s="5"/>
      <c r="B129" s="5"/>
      <c r="C129" s="5"/>
      <c r="D129" s="6"/>
      <c r="E129" s="5"/>
      <c r="F129" s="5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8"/>
      <c r="AD129" s="8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10"/>
    </row>
    <row r="130" spans="1:65" x14ac:dyDescent="0.3">
      <c r="A130" s="5"/>
      <c r="B130" s="5"/>
      <c r="C130" s="5"/>
      <c r="D130" s="6"/>
      <c r="E130" s="5"/>
      <c r="F130" s="5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8"/>
      <c r="AG130" s="8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10"/>
    </row>
    <row r="131" spans="1:65" x14ac:dyDescent="0.3">
      <c r="A131" s="5"/>
      <c r="B131" s="5"/>
      <c r="C131" s="5"/>
      <c r="D131" s="6"/>
      <c r="E131" s="5"/>
      <c r="F131" s="5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8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10"/>
    </row>
    <row r="132" spans="1:65" x14ac:dyDescent="0.3">
      <c r="A132" s="5"/>
      <c r="B132" s="5"/>
      <c r="C132" s="5"/>
      <c r="D132" s="6"/>
      <c r="E132" s="5"/>
      <c r="F132" s="5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8"/>
      <c r="AG132" s="8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8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10"/>
    </row>
    <row r="133" spans="1:65" x14ac:dyDescent="0.3">
      <c r="A133" s="5"/>
      <c r="B133" s="5"/>
      <c r="C133" s="5"/>
      <c r="D133" s="6"/>
      <c r="E133" s="5"/>
      <c r="F133" s="5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8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10"/>
    </row>
    <row r="134" spans="1:65" x14ac:dyDescent="0.3">
      <c r="A134" s="5"/>
      <c r="B134" s="5"/>
      <c r="C134" s="5"/>
      <c r="D134" s="6"/>
      <c r="E134" s="5"/>
      <c r="F134" s="5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8"/>
      <c r="AG134" s="8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10"/>
    </row>
    <row r="135" spans="1:65" x14ac:dyDescent="0.3">
      <c r="A135" s="5"/>
      <c r="B135" s="5"/>
      <c r="C135" s="5"/>
      <c r="D135" s="6"/>
      <c r="E135" s="5"/>
      <c r="F135" s="5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8"/>
      <c r="AG135" s="8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10"/>
    </row>
    <row r="136" spans="1:65" x14ac:dyDescent="0.3">
      <c r="A136" s="5"/>
      <c r="B136" s="5"/>
      <c r="C136" s="5"/>
      <c r="D136" s="6"/>
      <c r="E136" s="5"/>
      <c r="F136" s="5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8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8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10"/>
    </row>
    <row r="137" spans="1:65" x14ac:dyDescent="0.3">
      <c r="A137" s="5"/>
      <c r="B137" s="5"/>
      <c r="C137" s="5"/>
      <c r="D137" s="6"/>
      <c r="E137" s="5"/>
      <c r="F137" s="5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8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10"/>
    </row>
    <row r="138" spans="1:65" x14ac:dyDescent="0.3">
      <c r="A138" s="5"/>
      <c r="B138" s="5"/>
      <c r="C138" s="5"/>
      <c r="D138" s="6"/>
      <c r="E138" s="5"/>
      <c r="F138" s="5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8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10"/>
    </row>
    <row r="139" spans="1:65" x14ac:dyDescent="0.3">
      <c r="A139" s="5"/>
      <c r="B139" s="5"/>
      <c r="C139" s="5"/>
      <c r="D139" s="6"/>
      <c r="E139" s="5"/>
      <c r="F139" s="5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8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8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10"/>
    </row>
    <row r="140" spans="1:65" x14ac:dyDescent="0.3">
      <c r="A140" s="5"/>
      <c r="B140" s="5"/>
      <c r="C140" s="5"/>
      <c r="D140" s="6"/>
      <c r="E140" s="5"/>
      <c r="F140" s="5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8"/>
      <c r="AG140" s="8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10"/>
    </row>
    <row r="141" spans="1:65" x14ac:dyDescent="0.3">
      <c r="A141" s="5"/>
      <c r="B141" s="5"/>
      <c r="C141" s="5"/>
      <c r="D141" s="6"/>
      <c r="E141" s="5"/>
      <c r="F141" s="5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8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10"/>
    </row>
    <row r="142" spans="1:65" x14ac:dyDescent="0.3">
      <c r="A142" s="5"/>
      <c r="B142" s="5"/>
      <c r="C142" s="5"/>
      <c r="D142" s="6"/>
      <c r="E142" s="5"/>
      <c r="F142" s="5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8"/>
      <c r="AG142" s="8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10"/>
    </row>
    <row r="143" spans="1:65" x14ac:dyDescent="0.3">
      <c r="A143" s="5"/>
      <c r="B143" s="5"/>
      <c r="C143" s="5"/>
      <c r="D143" s="6"/>
      <c r="E143" s="5"/>
      <c r="F143" s="5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8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8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10"/>
    </row>
    <row r="144" spans="1:65" x14ac:dyDescent="0.3">
      <c r="A144" s="5"/>
      <c r="B144" s="5"/>
      <c r="C144" s="5"/>
      <c r="D144" s="6"/>
      <c r="E144" s="5"/>
      <c r="F144" s="5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8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10"/>
    </row>
    <row r="145" spans="1:65" x14ac:dyDescent="0.3">
      <c r="A145" s="5"/>
      <c r="B145" s="5"/>
      <c r="C145" s="5"/>
      <c r="D145" s="6"/>
      <c r="E145" s="5"/>
      <c r="F145" s="5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8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10"/>
    </row>
    <row r="146" spans="1:65" x14ac:dyDescent="0.3">
      <c r="A146" s="5"/>
      <c r="B146" s="5"/>
      <c r="C146" s="5"/>
      <c r="D146" s="6"/>
      <c r="E146" s="5"/>
      <c r="F146" s="5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8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10"/>
    </row>
    <row r="147" spans="1:65" x14ac:dyDescent="0.3">
      <c r="A147" s="5"/>
      <c r="B147" s="5"/>
      <c r="C147" s="5"/>
      <c r="D147" s="6"/>
      <c r="E147" s="5"/>
      <c r="F147" s="5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8"/>
      <c r="AG147" s="8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8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10"/>
    </row>
    <row r="148" spans="1:65" x14ac:dyDescent="0.3">
      <c r="A148" s="5"/>
      <c r="B148" s="5"/>
      <c r="C148" s="5"/>
      <c r="D148" s="6"/>
      <c r="E148" s="5"/>
      <c r="F148" s="5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8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8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10"/>
    </row>
    <row r="149" spans="1:65" x14ac:dyDescent="0.3">
      <c r="A149" s="5"/>
      <c r="B149" s="5"/>
      <c r="C149" s="5"/>
      <c r="D149" s="6"/>
      <c r="E149" s="5"/>
      <c r="F149" s="5"/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8"/>
      <c r="AG149" s="8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10"/>
    </row>
    <row r="150" spans="1:65" x14ac:dyDescent="0.3">
      <c r="A150" s="5"/>
      <c r="B150" s="5"/>
      <c r="C150" s="5"/>
      <c r="D150" s="6"/>
      <c r="E150" s="5"/>
      <c r="F150" s="5"/>
      <c r="G150" s="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8"/>
      <c r="AG150" s="8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10"/>
    </row>
    <row r="151" spans="1:65" x14ac:dyDescent="0.3">
      <c r="A151" s="5"/>
      <c r="B151" s="5"/>
      <c r="C151" s="5"/>
      <c r="D151" s="6"/>
      <c r="E151" s="5"/>
      <c r="F151" s="5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8"/>
      <c r="AG151" s="8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10"/>
    </row>
    <row r="152" spans="1:65" x14ac:dyDescent="0.3">
      <c r="A152" s="5"/>
      <c r="B152" s="5"/>
      <c r="C152" s="5"/>
      <c r="D152" s="6"/>
      <c r="E152" s="5"/>
      <c r="F152" s="5"/>
      <c r="G152" s="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8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10"/>
    </row>
    <row r="153" spans="1:65" x14ac:dyDescent="0.3">
      <c r="A153" s="5"/>
      <c r="B153" s="5"/>
      <c r="C153" s="5"/>
      <c r="D153" s="6"/>
      <c r="E153" s="5"/>
      <c r="F153" s="5"/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8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10"/>
    </row>
    <row r="154" spans="1:65" x14ac:dyDescent="0.3">
      <c r="A154" s="5"/>
      <c r="B154" s="5"/>
      <c r="C154" s="5"/>
      <c r="D154" s="6"/>
      <c r="E154" s="5"/>
      <c r="F154" s="5"/>
      <c r="G154" s="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8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10"/>
    </row>
    <row r="155" spans="1:65" x14ac:dyDescent="0.3">
      <c r="A155" s="5"/>
      <c r="B155" s="5"/>
      <c r="C155" s="5"/>
      <c r="D155" s="6"/>
      <c r="E155" s="5"/>
      <c r="F155" s="5"/>
      <c r="G155" s="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8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10"/>
    </row>
    <row r="156" spans="1:65" x14ac:dyDescent="0.3">
      <c r="A156" s="5"/>
      <c r="B156" s="5"/>
      <c r="C156" s="5"/>
      <c r="D156" s="6"/>
      <c r="E156" s="5"/>
      <c r="F156" s="5"/>
      <c r="G156" s="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8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10"/>
    </row>
    <row r="157" spans="1:65" x14ac:dyDescent="0.3">
      <c r="A157" s="5"/>
      <c r="B157" s="5"/>
      <c r="C157" s="5"/>
      <c r="D157" s="6"/>
      <c r="E157" s="5"/>
      <c r="F157" s="5"/>
      <c r="G157" s="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8"/>
      <c r="AG157" s="8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8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10"/>
    </row>
    <row r="158" spans="1:65" x14ac:dyDescent="0.3">
      <c r="A158" s="5"/>
      <c r="B158" s="5"/>
      <c r="C158" s="5"/>
      <c r="D158" s="6"/>
      <c r="E158" s="5"/>
      <c r="F158" s="5"/>
      <c r="G158" s="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8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10"/>
    </row>
    <row r="159" spans="1:65" x14ac:dyDescent="0.3">
      <c r="A159" s="5"/>
      <c r="B159" s="5"/>
      <c r="C159" s="5"/>
      <c r="D159" s="6"/>
      <c r="E159" s="5"/>
      <c r="F159" s="5"/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8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10"/>
    </row>
    <row r="160" spans="1:65" x14ac:dyDescent="0.3">
      <c r="A160" s="5"/>
      <c r="B160" s="5"/>
      <c r="C160" s="5"/>
      <c r="D160" s="6"/>
      <c r="E160" s="5"/>
      <c r="F160" s="5"/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8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10"/>
    </row>
    <row r="161" spans="1:65" x14ac:dyDescent="0.3">
      <c r="A161" s="5"/>
      <c r="B161" s="5"/>
      <c r="C161" s="5"/>
      <c r="D161" s="6"/>
      <c r="E161" s="5"/>
      <c r="F161" s="5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8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8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10"/>
    </row>
    <row r="162" spans="1:65" x14ac:dyDescent="0.3">
      <c r="A162" s="5"/>
      <c r="B162" s="5"/>
      <c r="C162" s="5"/>
      <c r="D162" s="6"/>
      <c r="E162" s="5"/>
      <c r="F162" s="5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8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10"/>
    </row>
    <row r="163" spans="1:65" x14ac:dyDescent="0.3">
      <c r="A163" s="5"/>
      <c r="B163" s="5"/>
      <c r="C163" s="5"/>
      <c r="D163" s="6"/>
      <c r="E163" s="5"/>
      <c r="F163" s="5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8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10"/>
    </row>
    <row r="164" spans="1:65" x14ac:dyDescent="0.3">
      <c r="A164" s="5"/>
      <c r="B164" s="5"/>
      <c r="C164" s="5"/>
      <c r="D164" s="6"/>
      <c r="E164" s="5"/>
      <c r="F164" s="5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8"/>
      <c r="AG164" s="8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8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10"/>
    </row>
    <row r="165" spans="1:65" x14ac:dyDescent="0.3">
      <c r="A165" s="5"/>
      <c r="B165" s="5"/>
      <c r="C165" s="5"/>
      <c r="D165" s="6"/>
      <c r="E165" s="5"/>
      <c r="F165" s="5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8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10"/>
    </row>
    <row r="166" spans="1:65" x14ac:dyDescent="0.3">
      <c r="A166" s="5"/>
      <c r="B166" s="5"/>
      <c r="C166" s="5"/>
      <c r="D166" s="6"/>
      <c r="E166" s="5"/>
      <c r="F166" s="5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8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10"/>
    </row>
    <row r="167" spans="1:65" x14ac:dyDescent="0.3">
      <c r="A167" s="5"/>
      <c r="B167" s="5"/>
      <c r="C167" s="5"/>
      <c r="D167" s="6"/>
      <c r="E167" s="5"/>
      <c r="F167" s="5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8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10"/>
    </row>
    <row r="168" spans="1:65" x14ac:dyDescent="0.3">
      <c r="A168" s="5"/>
      <c r="B168" s="5"/>
      <c r="C168" s="5"/>
      <c r="D168" s="6"/>
      <c r="E168" s="5"/>
      <c r="F168" s="5"/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8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10"/>
    </row>
    <row r="169" spans="1:65" x14ac:dyDescent="0.3">
      <c r="A169" s="5"/>
      <c r="B169" s="5"/>
      <c r="C169" s="5"/>
      <c r="D169" s="6"/>
      <c r="E169" s="5"/>
      <c r="F169" s="5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8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10"/>
    </row>
    <row r="170" spans="1:65" x14ac:dyDescent="0.3">
      <c r="A170" s="5"/>
      <c r="B170" s="5"/>
      <c r="C170" s="5"/>
      <c r="D170" s="6"/>
      <c r="E170" s="5"/>
      <c r="F170" s="5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8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10"/>
    </row>
    <row r="171" spans="1:65" x14ac:dyDescent="0.3">
      <c r="A171" s="5"/>
      <c r="B171" s="5"/>
      <c r="C171" s="5"/>
      <c r="D171" s="6"/>
      <c r="E171" s="5"/>
      <c r="F171" s="5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8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10"/>
    </row>
    <row r="172" spans="1:65" x14ac:dyDescent="0.3">
      <c r="A172" s="5"/>
      <c r="B172" s="5"/>
      <c r="C172" s="5"/>
      <c r="D172" s="6"/>
      <c r="E172" s="5"/>
      <c r="F172" s="5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8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10"/>
    </row>
    <row r="173" spans="1:65" x14ac:dyDescent="0.3">
      <c r="A173" s="5"/>
      <c r="B173" s="5"/>
      <c r="C173" s="5"/>
      <c r="D173" s="6"/>
      <c r="E173" s="5"/>
      <c r="F173" s="5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8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10"/>
    </row>
    <row r="174" spans="1:65" x14ac:dyDescent="0.3">
      <c r="A174" s="5"/>
      <c r="B174" s="5"/>
      <c r="C174" s="5"/>
      <c r="D174" s="6"/>
      <c r="E174" s="5"/>
      <c r="F174" s="5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8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10"/>
    </row>
    <row r="175" spans="1:65" x14ac:dyDescent="0.3">
      <c r="A175" s="5"/>
      <c r="B175" s="5"/>
      <c r="C175" s="5"/>
      <c r="D175" s="6"/>
      <c r="E175" s="5"/>
      <c r="F175" s="5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8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10"/>
    </row>
    <row r="176" spans="1:65" x14ac:dyDescent="0.3">
      <c r="A176" s="5"/>
      <c r="B176" s="5"/>
      <c r="C176" s="5"/>
      <c r="D176" s="6"/>
      <c r="E176" s="5"/>
      <c r="F176" s="5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8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10"/>
    </row>
    <row r="177" spans="1:65" x14ac:dyDescent="0.3">
      <c r="A177" s="5"/>
      <c r="B177" s="5"/>
      <c r="C177" s="5"/>
      <c r="D177" s="6"/>
      <c r="E177" s="5"/>
      <c r="F177" s="5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8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8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10"/>
    </row>
    <row r="178" spans="1:65" x14ac:dyDescent="0.3">
      <c r="A178" s="5"/>
      <c r="B178" s="5"/>
      <c r="C178" s="5"/>
      <c r="D178" s="6"/>
      <c r="E178" s="5"/>
      <c r="F178" s="5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8"/>
      <c r="AG178" s="8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10"/>
    </row>
    <row r="179" spans="1:65" x14ac:dyDescent="0.3">
      <c r="A179" s="5"/>
      <c r="B179" s="5"/>
      <c r="C179" s="5"/>
      <c r="D179" s="6"/>
      <c r="E179" s="5"/>
      <c r="F179" s="5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8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10"/>
    </row>
    <row r="180" spans="1:65" x14ac:dyDescent="0.3">
      <c r="A180" s="5"/>
      <c r="B180" s="5"/>
      <c r="C180" s="5"/>
      <c r="D180" s="6"/>
      <c r="E180" s="5"/>
      <c r="F180" s="5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8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10"/>
    </row>
    <row r="181" spans="1:65" x14ac:dyDescent="0.3">
      <c r="A181" s="5"/>
      <c r="B181" s="5"/>
      <c r="C181" s="5"/>
      <c r="D181" s="6"/>
      <c r="E181" s="5"/>
      <c r="F181" s="5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8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8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10"/>
    </row>
    <row r="182" spans="1:65" x14ac:dyDescent="0.3">
      <c r="A182" s="5"/>
      <c r="B182" s="5"/>
      <c r="C182" s="5"/>
      <c r="D182" s="6"/>
      <c r="E182" s="5"/>
      <c r="F182" s="5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8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10"/>
    </row>
    <row r="183" spans="1:65" x14ac:dyDescent="0.3">
      <c r="A183" s="5"/>
      <c r="B183" s="5"/>
      <c r="C183" s="5"/>
      <c r="D183" s="6"/>
      <c r="E183" s="5"/>
      <c r="F183" s="5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8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10"/>
    </row>
    <row r="184" spans="1:65" x14ac:dyDescent="0.3">
      <c r="A184" s="5"/>
      <c r="B184" s="5"/>
      <c r="C184" s="5"/>
      <c r="D184" s="6"/>
      <c r="E184" s="5"/>
      <c r="F184" s="5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8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10"/>
    </row>
    <row r="185" spans="1:65" x14ac:dyDescent="0.3">
      <c r="A185" s="5"/>
      <c r="B185" s="5"/>
      <c r="C185" s="5"/>
      <c r="D185" s="6"/>
      <c r="E185" s="5"/>
      <c r="F185" s="5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8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10"/>
    </row>
    <row r="186" spans="1:65" x14ac:dyDescent="0.3">
      <c r="A186" s="5"/>
      <c r="B186" s="5"/>
      <c r="C186" s="5"/>
      <c r="D186" s="6"/>
      <c r="E186" s="5"/>
      <c r="F186" s="5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8"/>
      <c r="AG186" s="8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10"/>
    </row>
    <row r="187" spans="1:65" x14ac:dyDescent="0.3">
      <c r="A187" s="5"/>
      <c r="B187" s="5"/>
      <c r="C187" s="5"/>
      <c r="D187" s="6"/>
      <c r="E187" s="5"/>
      <c r="F187" s="5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8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10"/>
    </row>
    <row r="188" spans="1:65" x14ac:dyDescent="0.3">
      <c r="A188" s="5"/>
      <c r="B188" s="5"/>
      <c r="C188" s="5"/>
      <c r="D188" s="6"/>
      <c r="E188" s="5"/>
      <c r="F188" s="5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8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10"/>
    </row>
    <row r="189" spans="1:65" x14ac:dyDescent="0.3">
      <c r="A189" s="5"/>
      <c r="B189" s="5"/>
      <c r="C189" s="5"/>
      <c r="D189" s="6"/>
      <c r="E189" s="5"/>
      <c r="F189" s="5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8"/>
      <c r="AG189" s="8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10"/>
    </row>
    <row r="190" spans="1:65" x14ac:dyDescent="0.3">
      <c r="A190" s="5"/>
      <c r="B190" s="5"/>
      <c r="C190" s="5"/>
      <c r="D190" s="6"/>
      <c r="E190" s="5"/>
      <c r="F190" s="5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8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10"/>
    </row>
    <row r="191" spans="1:65" x14ac:dyDescent="0.3">
      <c r="A191" s="5"/>
      <c r="B191" s="5"/>
      <c r="C191" s="5"/>
      <c r="D191" s="6"/>
      <c r="E191" s="5"/>
      <c r="F191" s="5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8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8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10"/>
    </row>
    <row r="192" spans="1:65" x14ac:dyDescent="0.3">
      <c r="A192" s="5"/>
      <c r="B192" s="5"/>
      <c r="C192" s="5"/>
      <c r="D192" s="6"/>
      <c r="E192" s="5"/>
      <c r="F192" s="5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8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10"/>
    </row>
    <row r="193" spans="1:65" x14ac:dyDescent="0.3">
      <c r="A193" s="5"/>
      <c r="B193" s="5"/>
      <c r="C193" s="5"/>
      <c r="D193" s="6"/>
      <c r="E193" s="5"/>
      <c r="F193" s="5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8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10"/>
    </row>
    <row r="194" spans="1:65" x14ac:dyDescent="0.3">
      <c r="A194" s="5"/>
      <c r="B194" s="5"/>
      <c r="C194" s="5"/>
      <c r="D194" s="6"/>
      <c r="E194" s="5"/>
      <c r="F194" s="5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8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10"/>
    </row>
    <row r="195" spans="1:65" x14ac:dyDescent="0.3">
      <c r="A195" s="5"/>
      <c r="B195" s="5"/>
      <c r="C195" s="5"/>
      <c r="D195" s="6"/>
      <c r="E195" s="5"/>
      <c r="F195" s="5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8"/>
      <c r="AG195" s="8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8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10"/>
    </row>
    <row r="196" spans="1:65" x14ac:dyDescent="0.3">
      <c r="A196" s="5"/>
      <c r="B196" s="5"/>
      <c r="C196" s="5"/>
      <c r="D196" s="6"/>
      <c r="E196" s="5"/>
      <c r="F196" s="5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8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10"/>
    </row>
    <row r="197" spans="1:65" x14ac:dyDescent="0.3">
      <c r="A197" s="5"/>
      <c r="B197" s="5"/>
      <c r="C197" s="5"/>
      <c r="D197" s="6"/>
      <c r="E197" s="5"/>
      <c r="F197" s="5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8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10"/>
    </row>
    <row r="198" spans="1:65" x14ac:dyDescent="0.3">
      <c r="A198" s="5"/>
      <c r="B198" s="5"/>
      <c r="C198" s="5"/>
      <c r="D198" s="6"/>
      <c r="E198" s="5"/>
      <c r="F198" s="5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8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10"/>
    </row>
    <row r="199" spans="1:65" x14ac:dyDescent="0.3">
      <c r="A199" s="5"/>
      <c r="B199" s="5"/>
      <c r="C199" s="5"/>
      <c r="D199" s="6"/>
      <c r="E199" s="5"/>
      <c r="F199" s="5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8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10"/>
    </row>
    <row r="200" spans="1:65" x14ac:dyDescent="0.3">
      <c r="A200" s="5"/>
      <c r="B200" s="5"/>
      <c r="C200" s="5"/>
      <c r="D200" s="6"/>
      <c r="E200" s="5"/>
      <c r="F200" s="5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8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10"/>
    </row>
    <row r="201" spans="1:65" x14ac:dyDescent="0.3">
      <c r="A201" s="5"/>
      <c r="B201" s="5"/>
      <c r="C201" s="5"/>
      <c r="D201" s="6"/>
      <c r="E201" s="5"/>
      <c r="F201" s="5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8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10"/>
    </row>
    <row r="202" spans="1:65" x14ac:dyDescent="0.3">
      <c r="A202" s="5"/>
      <c r="B202" s="5"/>
      <c r="C202" s="5"/>
      <c r="D202" s="6"/>
      <c r="E202" s="5"/>
      <c r="F202" s="5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8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10"/>
    </row>
    <row r="203" spans="1:65" x14ac:dyDescent="0.3">
      <c r="A203" s="5"/>
      <c r="B203" s="5"/>
      <c r="C203" s="5"/>
      <c r="D203" s="6"/>
      <c r="E203" s="5"/>
      <c r="F203" s="5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8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10"/>
    </row>
    <row r="204" spans="1:65" x14ac:dyDescent="0.3">
      <c r="A204" s="5"/>
      <c r="B204" s="5"/>
      <c r="C204" s="5"/>
      <c r="D204" s="6"/>
      <c r="E204" s="5"/>
      <c r="F204" s="5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8"/>
      <c r="AG204" s="8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10"/>
    </row>
    <row r="205" spans="1:65" x14ac:dyDescent="0.3">
      <c r="A205" s="5"/>
      <c r="B205" s="5"/>
      <c r="C205" s="5"/>
      <c r="D205" s="6"/>
      <c r="E205" s="5"/>
      <c r="F205" s="5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8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10"/>
    </row>
    <row r="206" spans="1:65" x14ac:dyDescent="0.3">
      <c r="A206" s="5"/>
      <c r="B206" s="5"/>
      <c r="C206" s="5"/>
      <c r="D206" s="6"/>
      <c r="E206" s="5"/>
      <c r="F206" s="5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8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10"/>
    </row>
    <row r="207" spans="1:65" x14ac:dyDescent="0.3">
      <c r="A207" s="5"/>
      <c r="B207" s="5"/>
      <c r="C207" s="5"/>
      <c r="D207" s="6"/>
      <c r="E207" s="5"/>
      <c r="F207" s="5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8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10"/>
    </row>
    <row r="208" spans="1:65" x14ac:dyDescent="0.3">
      <c r="A208" s="5"/>
      <c r="B208" s="5"/>
      <c r="C208" s="5"/>
      <c r="D208" s="6"/>
      <c r="E208" s="5"/>
      <c r="F208" s="5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8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8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10"/>
    </row>
    <row r="209" spans="1:65" x14ac:dyDescent="0.3">
      <c r="A209" s="5"/>
      <c r="B209" s="5"/>
      <c r="C209" s="5"/>
      <c r="D209" s="6"/>
      <c r="E209" s="5"/>
      <c r="F209" s="5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8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10"/>
    </row>
    <row r="210" spans="1:65" x14ac:dyDescent="0.3">
      <c r="A210" s="5"/>
      <c r="B210" s="5"/>
      <c r="C210" s="5"/>
      <c r="D210" s="6"/>
      <c r="E210" s="5"/>
      <c r="F210" s="5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8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10"/>
    </row>
    <row r="211" spans="1:65" x14ac:dyDescent="0.3">
      <c r="A211" s="5"/>
      <c r="B211" s="5"/>
      <c r="C211" s="5"/>
      <c r="D211" s="6"/>
      <c r="E211" s="5"/>
      <c r="F211" s="5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8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10"/>
    </row>
    <row r="212" spans="1:65" x14ac:dyDescent="0.3">
      <c r="A212" s="5"/>
      <c r="B212" s="5"/>
      <c r="C212" s="5"/>
      <c r="D212" s="6"/>
      <c r="E212" s="5"/>
      <c r="F212" s="5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10"/>
    </row>
    <row r="213" spans="1:65" x14ac:dyDescent="0.3">
      <c r="A213" s="5"/>
      <c r="B213" s="5"/>
      <c r="C213" s="5"/>
      <c r="D213" s="6"/>
      <c r="E213" s="5"/>
      <c r="F213" s="5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8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10"/>
    </row>
    <row r="214" spans="1:65" x14ac:dyDescent="0.3">
      <c r="A214" s="5"/>
      <c r="B214" s="5"/>
      <c r="C214" s="5"/>
      <c r="D214" s="6"/>
      <c r="E214" s="5"/>
      <c r="F214" s="5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8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10"/>
    </row>
    <row r="215" spans="1:65" x14ac:dyDescent="0.3">
      <c r="A215" s="5"/>
      <c r="B215" s="5"/>
      <c r="C215" s="5"/>
      <c r="D215" s="6"/>
      <c r="E215" s="5"/>
      <c r="F215" s="5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10"/>
    </row>
    <row r="216" spans="1:65" x14ac:dyDescent="0.3">
      <c r="A216" s="5"/>
      <c r="B216" s="5"/>
      <c r="C216" s="5"/>
      <c r="D216" s="6"/>
      <c r="E216" s="5"/>
      <c r="F216" s="5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8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10"/>
    </row>
    <row r="217" spans="1:65" x14ac:dyDescent="0.3">
      <c r="A217" s="5"/>
      <c r="B217" s="5"/>
      <c r="C217" s="5"/>
      <c r="D217" s="6"/>
      <c r="E217" s="5"/>
      <c r="F217" s="5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8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10"/>
    </row>
    <row r="218" spans="1:65" x14ac:dyDescent="0.3">
      <c r="A218" s="5"/>
      <c r="B218" s="5"/>
      <c r="C218" s="5"/>
      <c r="D218" s="6"/>
      <c r="E218" s="5"/>
      <c r="F218" s="5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8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10"/>
    </row>
    <row r="219" spans="1:65" x14ac:dyDescent="0.3">
      <c r="A219" s="5"/>
      <c r="B219" s="5"/>
      <c r="C219" s="5"/>
      <c r="D219" s="6"/>
      <c r="E219" s="5"/>
      <c r="F219" s="5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8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10"/>
    </row>
    <row r="220" spans="1:65" x14ac:dyDescent="0.3">
      <c r="A220" s="5"/>
      <c r="B220" s="5"/>
      <c r="C220" s="5"/>
      <c r="D220" s="6"/>
      <c r="E220" s="5"/>
      <c r="F220" s="5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8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10"/>
    </row>
    <row r="221" spans="1:65" x14ac:dyDescent="0.3">
      <c r="A221" s="5"/>
      <c r="B221" s="5"/>
      <c r="C221" s="5"/>
      <c r="D221" s="6"/>
      <c r="E221" s="5"/>
      <c r="F221" s="5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11"/>
    </row>
    <row r="222" spans="1:65" x14ac:dyDescent="0.3">
      <c r="A222" s="5"/>
      <c r="B222" s="5"/>
      <c r="C222" s="5"/>
      <c r="D222" s="6"/>
      <c r="E222" s="5"/>
      <c r="F222" s="5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11"/>
    </row>
    <row r="223" spans="1:65" x14ac:dyDescent="0.3">
      <c r="A223" s="5"/>
      <c r="B223" s="5"/>
      <c r="C223" s="5"/>
      <c r="D223" s="6"/>
      <c r="E223" s="5"/>
      <c r="F223" s="5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11"/>
    </row>
    <row r="224" spans="1:65" x14ac:dyDescent="0.3">
      <c r="A224" s="5"/>
      <c r="B224" s="5"/>
      <c r="C224" s="5"/>
      <c r="D224" s="6"/>
      <c r="E224" s="5"/>
      <c r="F224" s="5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11"/>
    </row>
    <row r="225" spans="1:65" x14ac:dyDescent="0.3">
      <c r="A225" s="5"/>
      <c r="B225" s="5"/>
      <c r="C225" s="5"/>
      <c r="D225" s="6"/>
      <c r="E225" s="5"/>
      <c r="F225" s="5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11"/>
    </row>
    <row r="226" spans="1:65" x14ac:dyDescent="0.3">
      <c r="A226" s="5"/>
      <c r="B226" s="5"/>
      <c r="C226" s="5"/>
      <c r="D226" s="6"/>
      <c r="E226" s="5"/>
      <c r="F226" s="5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11"/>
    </row>
    <row r="227" spans="1:65" x14ac:dyDescent="0.3">
      <c r="A227" s="5"/>
      <c r="B227" s="5"/>
      <c r="C227" s="5"/>
      <c r="D227" s="6"/>
      <c r="E227" s="5"/>
      <c r="F227" s="5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11"/>
    </row>
    <row r="228" spans="1:65" x14ac:dyDescent="0.3">
      <c r="A228" s="5"/>
      <c r="B228" s="5"/>
      <c r="C228" s="5"/>
      <c r="D228" s="6"/>
      <c r="E228" s="5"/>
      <c r="F228" s="5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11"/>
    </row>
    <row r="229" spans="1:65" x14ac:dyDescent="0.3">
      <c r="A229" s="5"/>
      <c r="B229" s="5"/>
      <c r="C229" s="5"/>
      <c r="D229" s="6"/>
      <c r="E229" s="5"/>
      <c r="F229" s="5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11"/>
    </row>
    <row r="230" spans="1:65" x14ac:dyDescent="0.3">
      <c r="A230" s="5"/>
      <c r="B230" s="5"/>
      <c r="C230" s="5"/>
      <c r="D230" s="6"/>
      <c r="E230" s="5"/>
      <c r="F230" s="5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11"/>
    </row>
    <row r="231" spans="1:65" x14ac:dyDescent="0.3">
      <c r="A231" s="5"/>
      <c r="B231" s="5"/>
      <c r="C231" s="5"/>
      <c r="D231" s="6"/>
      <c r="E231" s="5"/>
      <c r="F231" s="5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11"/>
    </row>
    <row r="232" spans="1:65" x14ac:dyDescent="0.3">
      <c r="A232" s="5"/>
      <c r="B232" s="5"/>
      <c r="C232" s="5"/>
      <c r="D232" s="6"/>
      <c r="E232" s="5"/>
      <c r="F232" s="5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11"/>
    </row>
    <row r="233" spans="1:65" x14ac:dyDescent="0.3">
      <c r="A233" s="5"/>
      <c r="B233" s="5"/>
      <c r="C233" s="5"/>
      <c r="D233" s="6"/>
      <c r="E233" s="5"/>
      <c r="F233" s="5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11"/>
    </row>
    <row r="234" spans="1:65" x14ac:dyDescent="0.3">
      <c r="A234" s="5"/>
      <c r="B234" s="5"/>
      <c r="C234" s="5"/>
      <c r="D234" s="6"/>
      <c r="E234" s="5"/>
      <c r="F234" s="5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11"/>
    </row>
    <row r="235" spans="1:65" x14ac:dyDescent="0.3">
      <c r="A235" s="5"/>
      <c r="B235" s="5"/>
      <c r="C235" s="5"/>
      <c r="D235" s="6"/>
      <c r="E235" s="5"/>
      <c r="F235" s="5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11"/>
    </row>
    <row r="236" spans="1:65" x14ac:dyDescent="0.3">
      <c r="A236" s="5"/>
      <c r="B236" s="5"/>
      <c r="C236" s="5"/>
      <c r="D236" s="6"/>
      <c r="E236" s="5"/>
      <c r="F236" s="5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11"/>
    </row>
    <row r="237" spans="1:65" x14ac:dyDescent="0.3">
      <c r="A237" s="5"/>
      <c r="B237" s="5"/>
      <c r="C237" s="5"/>
      <c r="D237" s="6"/>
      <c r="E237" s="5"/>
      <c r="F237" s="5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11"/>
    </row>
    <row r="238" spans="1:65" x14ac:dyDescent="0.3">
      <c r="A238" s="5"/>
      <c r="B238" s="5"/>
      <c r="C238" s="5"/>
      <c r="D238" s="6"/>
      <c r="E238" s="5"/>
      <c r="F238" s="5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11"/>
    </row>
    <row r="239" spans="1:65" x14ac:dyDescent="0.3">
      <c r="A239" s="5"/>
      <c r="B239" s="5"/>
      <c r="C239" s="5"/>
      <c r="D239" s="6"/>
      <c r="E239" s="5"/>
      <c r="F239" s="5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11"/>
    </row>
    <row r="240" spans="1:65" x14ac:dyDescent="0.3">
      <c r="A240" s="5"/>
      <c r="B240" s="5"/>
      <c r="C240" s="5"/>
      <c r="D240" s="6"/>
      <c r="E240" s="5"/>
      <c r="F240" s="5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11"/>
    </row>
    <row r="241" spans="1:65" x14ac:dyDescent="0.3">
      <c r="A241" s="5"/>
      <c r="B241" s="5"/>
      <c r="C241" s="5"/>
      <c r="D241" s="6"/>
      <c r="E241" s="5"/>
      <c r="F241" s="5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11"/>
    </row>
    <row r="242" spans="1:65" x14ac:dyDescent="0.3">
      <c r="A242" s="5"/>
      <c r="B242" s="5"/>
      <c r="C242" s="5"/>
      <c r="D242" s="6"/>
      <c r="E242" s="5"/>
      <c r="F242" s="5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11"/>
    </row>
    <row r="243" spans="1:65" x14ac:dyDescent="0.3">
      <c r="A243" s="5"/>
      <c r="B243" s="5"/>
      <c r="C243" s="5"/>
      <c r="D243" s="6"/>
      <c r="E243" s="5"/>
      <c r="F243" s="5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11"/>
    </row>
    <row r="244" spans="1:65" x14ac:dyDescent="0.3">
      <c r="A244" s="5"/>
      <c r="B244" s="5"/>
      <c r="C244" s="5"/>
      <c r="D244" s="6"/>
      <c r="E244" s="5"/>
      <c r="F244" s="5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11"/>
    </row>
    <row r="245" spans="1:65" x14ac:dyDescent="0.3">
      <c r="A245" s="5"/>
      <c r="B245" s="5"/>
      <c r="C245" s="5"/>
      <c r="D245" s="6"/>
      <c r="E245" s="5"/>
      <c r="F245" s="5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11"/>
    </row>
    <row r="246" spans="1:65" x14ac:dyDescent="0.3">
      <c r="A246" s="5"/>
      <c r="B246" s="5"/>
      <c r="C246" s="5"/>
      <c r="D246" s="6"/>
      <c r="E246" s="5"/>
      <c r="F246" s="5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11"/>
    </row>
    <row r="247" spans="1:65" x14ac:dyDescent="0.3">
      <c r="A247" s="5"/>
      <c r="B247" s="5"/>
      <c r="C247" s="5"/>
      <c r="D247" s="6"/>
      <c r="E247" s="5"/>
      <c r="F247" s="5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11"/>
    </row>
    <row r="248" spans="1:65" x14ac:dyDescent="0.3">
      <c r="A248" s="5"/>
      <c r="B248" s="5"/>
      <c r="C248" s="5"/>
      <c r="D248" s="6"/>
      <c r="E248" s="5"/>
      <c r="F248" s="5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11"/>
    </row>
    <row r="249" spans="1:65" x14ac:dyDescent="0.3">
      <c r="A249" s="5"/>
      <c r="B249" s="5"/>
      <c r="C249" s="5"/>
      <c r="D249" s="6"/>
      <c r="E249" s="5"/>
      <c r="F249" s="5"/>
      <c r="G249" s="5"/>
      <c r="H249" s="7"/>
      <c r="I249" s="7"/>
      <c r="J249" s="7"/>
      <c r="K249" s="8"/>
      <c r="L249" s="8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8"/>
      <c r="AF249" s="8"/>
      <c r="AG249" s="8"/>
      <c r="AH249" s="7"/>
      <c r="AI249" s="7"/>
      <c r="AJ249" s="7"/>
      <c r="AK249" s="8"/>
      <c r="AL249" s="8"/>
      <c r="AM249" s="8"/>
      <c r="AN249" s="7"/>
      <c r="AO249" s="7"/>
      <c r="AP249" s="7"/>
      <c r="AQ249" s="8"/>
      <c r="AR249" s="8"/>
      <c r="AS249" s="8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9"/>
      <c r="BM249" s="10"/>
    </row>
    <row r="250" spans="1:65" x14ac:dyDescent="0.3">
      <c r="A250" s="5"/>
      <c r="B250" s="5"/>
      <c r="C250" s="5"/>
      <c r="D250" s="6"/>
      <c r="E250" s="5"/>
      <c r="F250" s="5"/>
      <c r="G250" s="5"/>
      <c r="H250" s="7"/>
      <c r="I250" s="7"/>
      <c r="J250" s="7"/>
      <c r="K250" s="8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8"/>
      <c r="AF250" s="8"/>
      <c r="AG250" s="8"/>
      <c r="AH250" s="7"/>
      <c r="AI250" s="7"/>
      <c r="AJ250" s="7"/>
      <c r="AK250" s="8"/>
      <c r="AL250" s="8"/>
      <c r="AM250" s="8"/>
      <c r="AN250" s="7"/>
      <c r="AO250" s="7"/>
      <c r="AP250" s="7"/>
      <c r="AQ250" s="7"/>
      <c r="AR250" s="8"/>
      <c r="AS250" s="8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9"/>
      <c r="BM250" s="10"/>
    </row>
    <row r="251" spans="1:65" x14ac:dyDescent="0.3">
      <c r="A251" s="5"/>
      <c r="B251" s="5"/>
      <c r="C251" s="5"/>
      <c r="D251" s="6"/>
      <c r="E251" s="5"/>
      <c r="F251" s="5"/>
      <c r="G251" s="5"/>
      <c r="H251" s="7"/>
      <c r="I251" s="7"/>
      <c r="J251" s="7"/>
      <c r="K251" s="8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8"/>
      <c r="AF251" s="8"/>
      <c r="AG251" s="8"/>
      <c r="AH251" s="7"/>
      <c r="AI251" s="7"/>
      <c r="AJ251" s="7"/>
      <c r="AK251" s="8"/>
      <c r="AL251" s="8"/>
      <c r="AM251" s="8"/>
      <c r="AN251" s="7"/>
      <c r="AO251" s="7"/>
      <c r="AP251" s="7"/>
      <c r="AQ251" s="8"/>
      <c r="AR251" s="8"/>
      <c r="AS251" s="8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9"/>
      <c r="BM251" s="10"/>
    </row>
    <row r="252" spans="1:65" x14ac:dyDescent="0.3">
      <c r="A252" s="5"/>
      <c r="B252" s="5"/>
      <c r="C252" s="5"/>
      <c r="D252" s="6"/>
      <c r="E252" s="5"/>
      <c r="F252" s="5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8"/>
      <c r="AF252" s="8"/>
      <c r="AG252" s="8"/>
      <c r="AH252" s="7"/>
      <c r="AI252" s="7"/>
      <c r="AJ252" s="7"/>
      <c r="AK252" s="8"/>
      <c r="AL252" s="8"/>
      <c r="AM252" s="8"/>
      <c r="AN252" s="7"/>
      <c r="AO252" s="7"/>
      <c r="AP252" s="7"/>
      <c r="AQ252" s="8"/>
      <c r="AR252" s="8"/>
      <c r="AS252" s="8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9"/>
      <c r="BM252" s="10"/>
    </row>
    <row r="253" spans="1:65" x14ac:dyDescent="0.3">
      <c r="A253" s="5"/>
      <c r="B253" s="5"/>
      <c r="C253" s="5"/>
      <c r="D253" s="6"/>
      <c r="E253" s="5"/>
      <c r="F253" s="5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8"/>
      <c r="AG253" s="8"/>
      <c r="AH253" s="7"/>
      <c r="AI253" s="7"/>
      <c r="AJ253" s="7"/>
      <c r="AK253" s="7"/>
      <c r="AL253" s="8"/>
      <c r="AM253" s="8"/>
      <c r="AN253" s="7"/>
      <c r="AO253" s="7"/>
      <c r="AP253" s="7"/>
      <c r="AQ253" s="7"/>
      <c r="AR253" s="8"/>
      <c r="AS253" s="8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9"/>
      <c r="BM253" s="10"/>
    </row>
    <row r="254" spans="1:65" x14ac:dyDescent="0.3">
      <c r="A254" s="5"/>
      <c r="B254" s="5"/>
      <c r="C254" s="5"/>
      <c r="D254" s="6"/>
      <c r="E254" s="5"/>
      <c r="F254" s="5"/>
      <c r="G254" s="5"/>
      <c r="H254" s="7"/>
      <c r="I254" s="7"/>
      <c r="J254" s="7"/>
      <c r="K254" s="8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8"/>
      <c r="AF254" s="8"/>
      <c r="AG254" s="8"/>
      <c r="AH254" s="7"/>
      <c r="AI254" s="7"/>
      <c r="AJ254" s="7"/>
      <c r="AK254" s="8"/>
      <c r="AL254" s="8"/>
      <c r="AM254" s="8"/>
      <c r="AN254" s="7"/>
      <c r="AO254" s="7"/>
      <c r="AP254" s="7"/>
      <c r="AQ254" s="7"/>
      <c r="AR254" s="8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9"/>
      <c r="BM254" s="10"/>
    </row>
    <row r="255" spans="1:65" x14ac:dyDescent="0.3">
      <c r="A255" s="5"/>
      <c r="B255" s="5"/>
      <c r="C255" s="5"/>
      <c r="D255" s="6"/>
      <c r="E255" s="5"/>
      <c r="F255" s="5"/>
      <c r="G255" s="5"/>
      <c r="H255" s="7"/>
      <c r="I255" s="7"/>
      <c r="J255" s="7"/>
      <c r="K255" s="8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8"/>
      <c r="AF255" s="8"/>
      <c r="AG255" s="8"/>
      <c r="AH255" s="7"/>
      <c r="AI255" s="7"/>
      <c r="AJ255" s="7"/>
      <c r="AK255" s="8"/>
      <c r="AL255" s="8"/>
      <c r="AM255" s="8"/>
      <c r="AN255" s="7"/>
      <c r="AO255" s="7"/>
      <c r="AP255" s="7"/>
      <c r="AQ255" s="7"/>
      <c r="AR255" s="8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9"/>
      <c r="BM255" s="10"/>
    </row>
    <row r="256" spans="1:65" x14ac:dyDescent="0.3">
      <c r="A256" s="5"/>
      <c r="B256" s="5"/>
      <c r="C256" s="5"/>
      <c r="D256" s="6"/>
      <c r="E256" s="5"/>
      <c r="F256" s="5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8"/>
      <c r="AF256" s="8"/>
      <c r="AG256" s="8"/>
      <c r="AH256" s="7"/>
      <c r="AI256" s="7"/>
      <c r="AJ256" s="7"/>
      <c r="AK256" s="8"/>
      <c r="AL256" s="8"/>
      <c r="AM256" s="8"/>
      <c r="AN256" s="7"/>
      <c r="AO256" s="7"/>
      <c r="AP256" s="7"/>
      <c r="AQ256" s="7"/>
      <c r="AR256" s="8"/>
      <c r="AS256" s="8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9"/>
      <c r="BM256" s="10"/>
    </row>
    <row r="257" spans="1:65" x14ac:dyDescent="0.3">
      <c r="A257" s="5"/>
      <c r="B257" s="5"/>
      <c r="C257" s="5"/>
      <c r="D257" s="6"/>
      <c r="E257" s="5"/>
      <c r="F257" s="5"/>
      <c r="G257" s="5"/>
      <c r="H257" s="7"/>
      <c r="I257" s="7"/>
      <c r="J257" s="7"/>
      <c r="K257" s="8"/>
      <c r="L257" s="8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8"/>
      <c r="AF257" s="8"/>
      <c r="AG257" s="8"/>
      <c r="AH257" s="7"/>
      <c r="AI257" s="7"/>
      <c r="AJ257" s="7"/>
      <c r="AK257" s="8"/>
      <c r="AL257" s="8"/>
      <c r="AM257" s="8"/>
      <c r="AN257" s="7"/>
      <c r="AO257" s="7"/>
      <c r="AP257" s="7"/>
      <c r="AQ257" s="7"/>
      <c r="AR257" s="8"/>
      <c r="AS257" s="8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9"/>
      <c r="BM257" s="10"/>
    </row>
    <row r="258" spans="1:65" x14ac:dyDescent="0.3">
      <c r="A258" s="5"/>
      <c r="B258" s="5"/>
      <c r="C258" s="5"/>
      <c r="D258" s="6"/>
      <c r="E258" s="5"/>
      <c r="F258" s="5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8"/>
      <c r="AF258" s="8"/>
      <c r="AG258" s="8"/>
      <c r="AH258" s="7"/>
      <c r="AI258" s="7"/>
      <c r="AJ258" s="7"/>
      <c r="AK258" s="8"/>
      <c r="AL258" s="8"/>
      <c r="AM258" s="8"/>
      <c r="AN258" s="7"/>
      <c r="AO258" s="7"/>
      <c r="AP258" s="7"/>
      <c r="AQ258" s="7"/>
      <c r="AR258" s="8"/>
      <c r="AS258" s="8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9"/>
      <c r="BM258" s="10"/>
    </row>
    <row r="259" spans="1:65" x14ac:dyDescent="0.3">
      <c r="A259" s="5"/>
      <c r="B259" s="5"/>
      <c r="C259" s="5"/>
      <c r="D259" s="6"/>
      <c r="E259" s="5"/>
      <c r="F259" s="5"/>
      <c r="G259" s="5"/>
      <c r="H259" s="7"/>
      <c r="I259" s="7"/>
      <c r="J259" s="7"/>
      <c r="K259" s="8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8"/>
      <c r="AF259" s="8"/>
      <c r="AG259" s="8"/>
      <c r="AH259" s="7"/>
      <c r="AI259" s="7"/>
      <c r="AJ259" s="7"/>
      <c r="AK259" s="8"/>
      <c r="AL259" s="8"/>
      <c r="AM259" s="8"/>
      <c r="AN259" s="7"/>
      <c r="AO259" s="7"/>
      <c r="AP259" s="7"/>
      <c r="AQ259" s="7"/>
      <c r="AR259" s="8"/>
      <c r="AS259" s="8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9"/>
      <c r="BM259" s="10"/>
    </row>
    <row r="260" spans="1:65" x14ac:dyDescent="0.3">
      <c r="A260" s="5"/>
      <c r="B260" s="5"/>
      <c r="C260" s="5"/>
      <c r="D260" s="6"/>
      <c r="E260" s="5"/>
      <c r="F260" s="5"/>
      <c r="G260" s="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8"/>
      <c r="AG260" s="8"/>
      <c r="AH260" s="7"/>
      <c r="AI260" s="7"/>
      <c r="AJ260" s="7"/>
      <c r="AK260" s="8"/>
      <c r="AL260" s="8"/>
      <c r="AM260" s="8"/>
      <c r="AN260" s="7"/>
      <c r="AO260" s="7"/>
      <c r="AP260" s="7"/>
      <c r="AQ260" s="7"/>
      <c r="AR260" s="8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9"/>
      <c r="BM260" s="10"/>
    </row>
    <row r="261" spans="1:65" x14ac:dyDescent="0.3">
      <c r="A261" s="5"/>
      <c r="B261" s="5"/>
      <c r="C261" s="5"/>
      <c r="D261" s="6"/>
      <c r="E261" s="5"/>
      <c r="F261" s="5"/>
      <c r="G261" s="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8"/>
      <c r="AG261" s="8"/>
      <c r="AH261" s="7"/>
      <c r="AI261" s="7"/>
      <c r="AJ261" s="7"/>
      <c r="AK261" s="7"/>
      <c r="AL261" s="8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9"/>
      <c r="BM261" s="10"/>
    </row>
    <row r="262" spans="1:65" x14ac:dyDescent="0.3">
      <c r="A262" s="5"/>
      <c r="B262" s="5"/>
      <c r="C262" s="5"/>
      <c r="D262" s="6"/>
      <c r="E262" s="5"/>
      <c r="F262" s="5"/>
      <c r="G262" s="5"/>
      <c r="H262" s="7"/>
      <c r="I262" s="7"/>
      <c r="J262" s="8"/>
      <c r="K262" s="7"/>
      <c r="L262" s="8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8"/>
      <c r="AG262" s="8"/>
      <c r="AH262" s="7"/>
      <c r="AI262" s="7"/>
      <c r="AJ262" s="7"/>
      <c r="AK262" s="7"/>
      <c r="AL262" s="8"/>
      <c r="AM262" s="8"/>
      <c r="AN262" s="7"/>
      <c r="AO262" s="7"/>
      <c r="AP262" s="7"/>
      <c r="AQ262" s="7"/>
      <c r="AR262" s="8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9"/>
      <c r="BM262" s="10"/>
    </row>
    <row r="263" spans="1:65" x14ac:dyDescent="0.3">
      <c r="A263" s="5"/>
      <c r="B263" s="5"/>
      <c r="C263" s="5"/>
      <c r="D263" s="6"/>
      <c r="E263" s="5"/>
      <c r="F263" s="5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8"/>
      <c r="AG263" s="7"/>
      <c r="AH263" s="7"/>
      <c r="AI263" s="7"/>
      <c r="AJ263" s="7"/>
      <c r="AK263" s="7"/>
      <c r="AL263" s="8"/>
      <c r="AM263" s="8"/>
      <c r="AN263" s="7"/>
      <c r="AO263" s="7"/>
      <c r="AP263" s="7"/>
      <c r="AQ263" s="7"/>
      <c r="AR263" s="8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9"/>
      <c r="BM263" s="10"/>
    </row>
    <row r="264" spans="1:65" x14ac:dyDescent="0.3">
      <c r="A264" s="5"/>
      <c r="B264" s="5"/>
      <c r="C264" s="5"/>
      <c r="D264" s="6"/>
      <c r="E264" s="5"/>
      <c r="F264" s="5"/>
      <c r="G264" s="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8"/>
      <c r="AG264" s="7"/>
      <c r="AH264" s="7"/>
      <c r="AI264" s="7"/>
      <c r="AJ264" s="7"/>
      <c r="AK264" s="7"/>
      <c r="AL264" s="8"/>
      <c r="AM264" s="8"/>
      <c r="AN264" s="7"/>
      <c r="AO264" s="7"/>
      <c r="AP264" s="7"/>
      <c r="AQ264" s="7"/>
      <c r="AR264" s="8"/>
      <c r="AS264" s="8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9"/>
      <c r="BM264" s="10"/>
    </row>
    <row r="265" spans="1:65" x14ac:dyDescent="0.3">
      <c r="A265" s="5"/>
      <c r="B265" s="5"/>
      <c r="C265" s="5"/>
      <c r="D265" s="6"/>
      <c r="E265" s="5"/>
      <c r="F265" s="5"/>
      <c r="G265" s="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8"/>
      <c r="AG265" s="8"/>
      <c r="AH265" s="7"/>
      <c r="AI265" s="7"/>
      <c r="AJ265" s="7"/>
      <c r="AK265" s="7"/>
      <c r="AL265" s="8"/>
      <c r="AM265" s="8"/>
      <c r="AN265" s="7"/>
      <c r="AO265" s="7"/>
      <c r="AP265" s="7"/>
      <c r="AQ265" s="7"/>
      <c r="AR265" s="8"/>
      <c r="AS265" s="8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9"/>
      <c r="BM265" s="10"/>
    </row>
    <row r="266" spans="1:65" x14ac:dyDescent="0.3">
      <c r="A266" s="5"/>
      <c r="B266" s="5"/>
      <c r="C266" s="5"/>
      <c r="D266" s="6"/>
      <c r="E266" s="5"/>
      <c r="F266" s="5"/>
      <c r="G266" s="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8"/>
      <c r="AG266" s="7"/>
      <c r="AH266" s="7"/>
      <c r="AI266" s="8"/>
      <c r="AJ266" s="8"/>
      <c r="AK266" s="7"/>
      <c r="AL266" s="7"/>
      <c r="AM266" s="7"/>
      <c r="AN266" s="7"/>
      <c r="AO266" s="7"/>
      <c r="AP266" s="7"/>
      <c r="AQ266" s="7"/>
      <c r="AR266" s="8"/>
      <c r="AS266" s="8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9"/>
      <c r="BM266" s="10"/>
    </row>
    <row r="267" spans="1:65" x14ac:dyDescent="0.3">
      <c r="A267" s="5"/>
      <c r="B267" s="5"/>
      <c r="C267" s="5"/>
      <c r="D267" s="6"/>
      <c r="E267" s="5"/>
      <c r="F267" s="5"/>
      <c r="G267" s="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8"/>
      <c r="AG267" s="7"/>
      <c r="AH267" s="7"/>
      <c r="AI267" s="7"/>
      <c r="AJ267" s="7"/>
      <c r="AK267" s="7"/>
      <c r="AL267" s="8"/>
      <c r="AM267" s="8"/>
      <c r="AN267" s="7"/>
      <c r="AO267" s="7"/>
      <c r="AP267" s="7"/>
      <c r="AQ267" s="7"/>
      <c r="AR267" s="8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9"/>
      <c r="BM267" s="10"/>
    </row>
    <row r="268" spans="1:65" x14ac:dyDescent="0.3">
      <c r="A268" s="5"/>
      <c r="B268" s="5"/>
      <c r="C268" s="5"/>
      <c r="D268" s="6"/>
      <c r="E268" s="5"/>
      <c r="F268" s="5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8"/>
      <c r="AG268" s="8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8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10"/>
    </row>
    <row r="269" spans="1:65" x14ac:dyDescent="0.3">
      <c r="A269" s="5"/>
      <c r="B269" s="5"/>
      <c r="C269" s="5"/>
      <c r="D269" s="6"/>
      <c r="E269" s="5"/>
      <c r="F269" s="5"/>
      <c r="G269" s="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8"/>
      <c r="AG269" s="7"/>
      <c r="AH269" s="7"/>
      <c r="AI269" s="7"/>
      <c r="AJ269" s="7"/>
      <c r="AK269" s="7"/>
      <c r="AL269" s="8"/>
      <c r="AM269" s="7"/>
      <c r="AN269" s="7"/>
      <c r="AO269" s="7"/>
      <c r="AP269" s="7"/>
      <c r="AQ269" s="7"/>
      <c r="AR269" s="8"/>
      <c r="AS269" s="8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9"/>
      <c r="BM269" s="10"/>
    </row>
    <row r="270" spans="1:65" x14ac:dyDescent="0.3">
      <c r="A270" s="5"/>
      <c r="B270" s="5"/>
      <c r="C270" s="5"/>
      <c r="D270" s="6"/>
      <c r="E270" s="5"/>
      <c r="F270" s="5"/>
      <c r="G270" s="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8"/>
      <c r="AG270" s="7"/>
      <c r="AH270" s="7"/>
      <c r="AI270" s="7"/>
      <c r="AJ270" s="7"/>
      <c r="AK270" s="7"/>
      <c r="AL270" s="8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10"/>
    </row>
    <row r="271" spans="1:65" x14ac:dyDescent="0.3">
      <c r="A271" s="5"/>
      <c r="B271" s="5"/>
      <c r="C271" s="5"/>
      <c r="D271" s="6"/>
      <c r="E271" s="5"/>
      <c r="F271" s="5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8"/>
      <c r="AG271" s="7"/>
      <c r="AH271" s="7"/>
      <c r="AI271" s="7"/>
      <c r="AJ271" s="7"/>
      <c r="AK271" s="7"/>
      <c r="AL271" s="8"/>
      <c r="AM271" s="7"/>
      <c r="AN271" s="7"/>
      <c r="AO271" s="7"/>
      <c r="AP271" s="7"/>
      <c r="AQ271" s="7"/>
      <c r="AR271" s="8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9"/>
      <c r="BM271" s="10"/>
    </row>
    <row r="272" spans="1:65" x14ac:dyDescent="0.3">
      <c r="A272" s="5"/>
      <c r="B272" s="5"/>
      <c r="C272" s="5"/>
      <c r="D272" s="6"/>
      <c r="E272" s="5"/>
      <c r="F272" s="5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8"/>
      <c r="AG272" s="7"/>
      <c r="AH272" s="7"/>
      <c r="AI272" s="7"/>
      <c r="AJ272" s="7"/>
      <c r="AK272" s="7"/>
      <c r="AL272" s="8"/>
      <c r="AM272" s="7"/>
      <c r="AN272" s="7"/>
      <c r="AO272" s="7"/>
      <c r="AP272" s="7"/>
      <c r="AQ272" s="7"/>
      <c r="AR272" s="8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9"/>
      <c r="BM272" s="10"/>
    </row>
    <row r="273" spans="1:65" x14ac:dyDescent="0.3">
      <c r="A273" s="5"/>
      <c r="B273" s="5"/>
      <c r="C273" s="5"/>
      <c r="D273" s="6"/>
      <c r="E273" s="5"/>
      <c r="F273" s="5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8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8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10"/>
    </row>
    <row r="274" spans="1:65" x14ac:dyDescent="0.3">
      <c r="A274" s="5"/>
      <c r="B274" s="5"/>
      <c r="C274" s="5"/>
      <c r="D274" s="6"/>
      <c r="E274" s="5"/>
      <c r="F274" s="5"/>
      <c r="G274" s="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8"/>
      <c r="AG274" s="7"/>
      <c r="AH274" s="7"/>
      <c r="AI274" s="7"/>
      <c r="AJ274" s="7"/>
      <c r="AK274" s="7"/>
      <c r="AL274" s="8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9"/>
      <c r="BM274" s="10"/>
    </row>
    <row r="275" spans="1:65" x14ac:dyDescent="0.3">
      <c r="A275" s="5"/>
      <c r="B275" s="5"/>
      <c r="C275" s="5"/>
      <c r="D275" s="6"/>
      <c r="E275" s="5"/>
      <c r="F275" s="5"/>
      <c r="G275" s="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8"/>
      <c r="AM275" s="8"/>
      <c r="AN275" s="7"/>
      <c r="AO275" s="7"/>
      <c r="AP275" s="7"/>
      <c r="AQ275" s="7"/>
      <c r="AR275" s="8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9"/>
      <c r="BM275" s="10"/>
    </row>
    <row r="276" spans="1:65" x14ac:dyDescent="0.3">
      <c r="A276" s="5"/>
      <c r="B276" s="5"/>
      <c r="C276" s="5"/>
      <c r="D276" s="6"/>
      <c r="E276" s="5"/>
      <c r="F276" s="5"/>
      <c r="G276" s="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8"/>
      <c r="AG276" s="8"/>
      <c r="AH276" s="7"/>
      <c r="AI276" s="7"/>
      <c r="AJ276" s="7"/>
      <c r="AK276" s="7"/>
      <c r="AL276" s="8"/>
      <c r="AM276" s="8"/>
      <c r="AN276" s="7"/>
      <c r="AO276" s="7"/>
      <c r="AP276" s="7"/>
      <c r="AQ276" s="7"/>
      <c r="AR276" s="8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9"/>
      <c r="BM276" s="10"/>
    </row>
    <row r="277" spans="1:65" x14ac:dyDescent="0.3">
      <c r="A277" s="5"/>
      <c r="B277" s="5"/>
      <c r="C277" s="5"/>
      <c r="D277" s="6"/>
      <c r="E277" s="5"/>
      <c r="F277" s="5"/>
      <c r="G277" s="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8"/>
      <c r="AG277" s="7"/>
      <c r="AH277" s="7"/>
      <c r="AI277" s="7"/>
      <c r="AJ277" s="7"/>
      <c r="AK277" s="7"/>
      <c r="AL277" s="8"/>
      <c r="AM277" s="7"/>
      <c r="AN277" s="7"/>
      <c r="AO277" s="7"/>
      <c r="AP277" s="7"/>
      <c r="AQ277" s="7"/>
      <c r="AR277" s="8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9"/>
      <c r="BM277" s="10"/>
    </row>
    <row r="278" spans="1:65" x14ac:dyDescent="0.3">
      <c r="A278" s="5"/>
      <c r="B278" s="5"/>
      <c r="C278" s="5"/>
      <c r="D278" s="6"/>
      <c r="E278" s="5"/>
      <c r="F278" s="5"/>
      <c r="G278" s="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8"/>
      <c r="AG278" s="7"/>
      <c r="AH278" s="7"/>
      <c r="AI278" s="7"/>
      <c r="AJ278" s="7"/>
      <c r="AK278" s="7"/>
      <c r="AL278" s="8"/>
      <c r="AM278" s="7"/>
      <c r="AN278" s="7"/>
      <c r="AO278" s="7"/>
      <c r="AP278" s="7"/>
      <c r="AQ278" s="7"/>
      <c r="AR278" s="8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9"/>
      <c r="BM278" s="10"/>
    </row>
    <row r="279" spans="1:65" x14ac:dyDescent="0.3">
      <c r="A279" s="5"/>
      <c r="B279" s="5"/>
      <c r="C279" s="5"/>
      <c r="D279" s="6"/>
      <c r="E279" s="5"/>
      <c r="F279" s="5"/>
      <c r="G279" s="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8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9"/>
      <c r="BM279" s="10"/>
    </row>
    <row r="280" spans="1:65" x14ac:dyDescent="0.3">
      <c r="A280" s="5"/>
      <c r="B280" s="5"/>
      <c r="C280" s="5"/>
      <c r="D280" s="6"/>
      <c r="E280" s="5"/>
      <c r="F280" s="5"/>
      <c r="G280" s="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8"/>
      <c r="AG280" s="8"/>
      <c r="AH280" s="7"/>
      <c r="AI280" s="7"/>
      <c r="AJ280" s="7"/>
      <c r="AK280" s="7"/>
      <c r="AL280" s="8"/>
      <c r="AM280" s="8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9"/>
      <c r="BM280" s="10"/>
    </row>
    <row r="281" spans="1:65" x14ac:dyDescent="0.3">
      <c r="A281" s="5"/>
      <c r="B281" s="5"/>
      <c r="C281" s="5"/>
      <c r="D281" s="6"/>
      <c r="E281" s="5"/>
      <c r="F281" s="5"/>
      <c r="G281" s="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8"/>
      <c r="AG281" s="8"/>
      <c r="AH281" s="7"/>
      <c r="AI281" s="7"/>
      <c r="AJ281" s="7"/>
      <c r="AK281" s="7"/>
      <c r="AL281" s="8"/>
      <c r="AM281" s="8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10"/>
    </row>
    <row r="282" spans="1:65" x14ac:dyDescent="0.3">
      <c r="A282" s="5"/>
      <c r="B282" s="5"/>
      <c r="C282" s="5"/>
      <c r="D282" s="6"/>
      <c r="E282" s="5"/>
      <c r="F282" s="5"/>
      <c r="G282" s="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8"/>
      <c r="AG282" s="7"/>
      <c r="AH282" s="7"/>
      <c r="AI282" s="7"/>
      <c r="AJ282" s="7"/>
      <c r="AK282" s="7"/>
      <c r="AL282" s="8"/>
      <c r="AM282" s="8"/>
      <c r="AN282" s="7"/>
      <c r="AO282" s="7"/>
      <c r="AP282" s="7"/>
      <c r="AQ282" s="7"/>
      <c r="AR282" s="8"/>
      <c r="AS282" s="8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9"/>
      <c r="BM282" s="10"/>
    </row>
    <row r="283" spans="1:65" x14ac:dyDescent="0.3">
      <c r="A283" s="5"/>
      <c r="B283" s="5"/>
      <c r="C283" s="5"/>
      <c r="D283" s="6"/>
      <c r="E283" s="5"/>
      <c r="F283" s="5"/>
      <c r="G283" s="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8"/>
      <c r="AG283" s="8"/>
      <c r="AH283" s="7"/>
      <c r="AI283" s="7"/>
      <c r="AJ283" s="7"/>
      <c r="AK283" s="7"/>
      <c r="AL283" s="8"/>
      <c r="AM283" s="8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9"/>
      <c r="BM283" s="10"/>
    </row>
    <row r="284" spans="1:65" x14ac:dyDescent="0.3">
      <c r="A284" s="5"/>
      <c r="B284" s="5"/>
      <c r="C284" s="5"/>
      <c r="D284" s="6"/>
      <c r="E284" s="5"/>
      <c r="F284" s="5"/>
      <c r="G284" s="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8"/>
      <c r="AG284" s="7"/>
      <c r="AH284" s="7"/>
      <c r="AI284" s="7"/>
      <c r="AJ284" s="7"/>
      <c r="AK284" s="7"/>
      <c r="AL284" s="8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9"/>
      <c r="BM284" s="10"/>
    </row>
    <row r="285" spans="1:65" x14ac:dyDescent="0.3">
      <c r="A285" s="5"/>
      <c r="B285" s="5"/>
      <c r="C285" s="5"/>
      <c r="D285" s="6"/>
      <c r="E285" s="5"/>
      <c r="F285" s="5"/>
      <c r="G285" s="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8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10"/>
    </row>
    <row r="286" spans="1:65" x14ac:dyDescent="0.3">
      <c r="A286" s="5"/>
      <c r="B286" s="5"/>
      <c r="C286" s="5"/>
      <c r="D286" s="6"/>
      <c r="E286" s="5"/>
      <c r="F286" s="5"/>
      <c r="G286" s="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8"/>
      <c r="AG286" s="7"/>
      <c r="AH286" s="7"/>
      <c r="AI286" s="7"/>
      <c r="AJ286" s="7"/>
      <c r="AK286" s="7"/>
      <c r="AL286" s="8"/>
      <c r="AM286" s="7"/>
      <c r="AN286" s="7"/>
      <c r="AO286" s="7"/>
      <c r="AP286" s="7"/>
      <c r="AQ286" s="7"/>
      <c r="AR286" s="8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9"/>
      <c r="BM286" s="10"/>
    </row>
    <row r="287" spans="1:65" x14ac:dyDescent="0.3">
      <c r="A287" s="5"/>
      <c r="B287" s="5"/>
      <c r="C287" s="5"/>
      <c r="D287" s="6"/>
      <c r="E287" s="5"/>
      <c r="F287" s="5"/>
      <c r="G287" s="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8"/>
      <c r="AG287" s="7"/>
      <c r="AH287" s="7"/>
      <c r="AI287" s="7"/>
      <c r="AJ287" s="7"/>
      <c r="AK287" s="7"/>
      <c r="AL287" s="8"/>
      <c r="AM287" s="8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9"/>
      <c r="BM287" s="10"/>
    </row>
    <row r="288" spans="1:65" x14ac:dyDescent="0.3">
      <c r="A288" s="5"/>
      <c r="B288" s="5"/>
      <c r="C288" s="5"/>
      <c r="D288" s="6"/>
      <c r="E288" s="5"/>
      <c r="F288" s="5"/>
      <c r="G288" s="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8"/>
      <c r="AG288" s="7"/>
      <c r="AH288" s="7"/>
      <c r="AI288" s="7"/>
      <c r="AJ288" s="7"/>
      <c r="AK288" s="7"/>
      <c r="AL288" s="8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9"/>
      <c r="BM288" s="10"/>
    </row>
    <row r="289" spans="1:65" x14ac:dyDescent="0.3">
      <c r="A289" s="5"/>
      <c r="B289" s="5"/>
      <c r="C289" s="5"/>
      <c r="D289" s="6"/>
      <c r="E289" s="5"/>
      <c r="F289" s="5"/>
      <c r="G289" s="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8"/>
      <c r="AG289" s="7"/>
      <c r="AH289" s="7"/>
      <c r="AI289" s="7"/>
      <c r="AJ289" s="7"/>
      <c r="AK289" s="7"/>
      <c r="AL289" s="8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10"/>
    </row>
    <row r="290" spans="1:65" x14ac:dyDescent="0.3">
      <c r="A290" s="5"/>
      <c r="B290" s="5"/>
      <c r="C290" s="5"/>
      <c r="D290" s="6"/>
      <c r="E290" s="5"/>
      <c r="F290" s="5"/>
      <c r="G290" s="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8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8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10"/>
    </row>
    <row r="291" spans="1:65" x14ac:dyDescent="0.3">
      <c r="A291" s="5"/>
      <c r="B291" s="5"/>
      <c r="C291" s="5"/>
      <c r="D291" s="6"/>
      <c r="E291" s="5"/>
      <c r="F291" s="5"/>
      <c r="G291" s="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8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9"/>
      <c r="BM291" s="10"/>
    </row>
    <row r="292" spans="1:65" x14ac:dyDescent="0.3">
      <c r="A292" s="5"/>
      <c r="B292" s="5"/>
      <c r="C292" s="5"/>
      <c r="D292" s="6"/>
      <c r="E292" s="5"/>
      <c r="F292" s="5"/>
      <c r="G292" s="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8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10"/>
    </row>
    <row r="293" spans="1:65" x14ac:dyDescent="0.3">
      <c r="A293" s="5"/>
      <c r="B293" s="5"/>
      <c r="C293" s="5"/>
      <c r="D293" s="6"/>
      <c r="E293" s="5"/>
      <c r="F293" s="5"/>
      <c r="G293" s="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8"/>
      <c r="AG293" s="7"/>
      <c r="AH293" s="7"/>
      <c r="AI293" s="7"/>
      <c r="AJ293" s="7"/>
      <c r="AK293" s="7"/>
      <c r="AL293" s="8"/>
      <c r="AM293" s="8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9"/>
      <c r="BM293" s="10"/>
    </row>
    <row r="294" spans="1:65" x14ac:dyDescent="0.3">
      <c r="A294" s="5"/>
      <c r="B294" s="5"/>
      <c r="C294" s="5"/>
      <c r="D294" s="6"/>
      <c r="E294" s="5"/>
      <c r="F294" s="5"/>
      <c r="G294" s="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8"/>
      <c r="AG294" s="7"/>
      <c r="AH294" s="7"/>
      <c r="AI294" s="7"/>
      <c r="AJ294" s="7"/>
      <c r="AK294" s="7"/>
      <c r="AL294" s="8"/>
      <c r="AM294" s="8"/>
      <c r="AN294" s="7"/>
      <c r="AO294" s="7"/>
      <c r="AP294" s="7"/>
      <c r="AQ294" s="7"/>
      <c r="AR294" s="8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10"/>
    </row>
    <row r="295" spans="1:65" x14ac:dyDescent="0.3">
      <c r="A295" s="5"/>
      <c r="B295" s="5"/>
      <c r="C295" s="5"/>
      <c r="D295" s="6"/>
      <c r="E295" s="5"/>
      <c r="F295" s="5"/>
      <c r="G295" s="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8"/>
      <c r="AJ295" s="7"/>
      <c r="AK295" s="7"/>
      <c r="AL295" s="8"/>
      <c r="AM295" s="7"/>
      <c r="AN295" s="7"/>
      <c r="AO295" s="8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9"/>
      <c r="BM295" s="10"/>
    </row>
    <row r="296" spans="1:65" x14ac:dyDescent="0.3">
      <c r="A296" s="5"/>
      <c r="B296" s="5"/>
      <c r="C296" s="5"/>
      <c r="D296" s="6"/>
      <c r="E296" s="5"/>
      <c r="F296" s="5"/>
      <c r="G296" s="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8"/>
      <c r="AM296" s="8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9"/>
      <c r="BM296" s="10"/>
    </row>
    <row r="297" spans="1:65" x14ac:dyDescent="0.3">
      <c r="A297" s="5"/>
      <c r="B297" s="5"/>
      <c r="C297" s="5"/>
      <c r="D297" s="6"/>
      <c r="E297" s="5"/>
      <c r="F297" s="5"/>
      <c r="G297" s="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8"/>
      <c r="AG297" s="7"/>
      <c r="AH297" s="7"/>
      <c r="AI297" s="7"/>
      <c r="AJ297" s="7"/>
      <c r="AK297" s="7"/>
      <c r="AL297" s="8"/>
      <c r="AM297" s="7"/>
      <c r="AN297" s="7"/>
      <c r="AO297" s="7"/>
      <c r="AP297" s="7"/>
      <c r="AQ297" s="7"/>
      <c r="AR297" s="8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9"/>
      <c r="BM297" s="10"/>
    </row>
    <row r="298" spans="1:65" x14ac:dyDescent="0.3">
      <c r="A298" s="5"/>
      <c r="B298" s="5"/>
      <c r="C298" s="5"/>
      <c r="D298" s="6"/>
      <c r="E298" s="5"/>
      <c r="F298" s="5"/>
      <c r="G298" s="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8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9"/>
      <c r="BM298" s="10"/>
    </row>
    <row r="299" spans="1:65" x14ac:dyDescent="0.3">
      <c r="A299" s="5"/>
      <c r="B299" s="5"/>
      <c r="C299" s="5"/>
      <c r="D299" s="6"/>
      <c r="E299" s="5"/>
      <c r="F299" s="5"/>
      <c r="G299" s="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8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8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10"/>
    </row>
    <row r="300" spans="1:65" x14ac:dyDescent="0.3">
      <c r="A300" s="5"/>
      <c r="B300" s="5"/>
      <c r="C300" s="5"/>
      <c r="D300" s="6"/>
      <c r="E300" s="5"/>
      <c r="F300" s="5"/>
      <c r="G300" s="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8"/>
      <c r="AG300" s="7"/>
      <c r="AH300" s="7"/>
      <c r="AI300" s="7"/>
      <c r="AJ300" s="7"/>
      <c r="AK300" s="7"/>
      <c r="AL300" s="8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9"/>
      <c r="BM300" s="10"/>
    </row>
    <row r="301" spans="1:65" x14ac:dyDescent="0.3">
      <c r="A301" s="5"/>
      <c r="B301" s="5"/>
      <c r="C301" s="5"/>
      <c r="D301" s="6"/>
      <c r="E301" s="5"/>
      <c r="F301" s="5"/>
      <c r="G301" s="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8"/>
      <c r="AS301" s="8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10"/>
    </row>
    <row r="302" spans="1:65" x14ac:dyDescent="0.3">
      <c r="A302" s="5"/>
      <c r="B302" s="5"/>
      <c r="C302" s="5"/>
      <c r="D302" s="6"/>
      <c r="E302" s="5"/>
      <c r="F302" s="5"/>
      <c r="G302" s="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8"/>
      <c r="AG302" s="7"/>
      <c r="AH302" s="7"/>
      <c r="AI302" s="7"/>
      <c r="AJ302" s="7"/>
      <c r="AK302" s="7"/>
      <c r="AL302" s="8"/>
      <c r="AM302" s="8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9"/>
      <c r="BM302" s="10"/>
    </row>
    <row r="303" spans="1:65" x14ac:dyDescent="0.3">
      <c r="A303" s="5"/>
      <c r="B303" s="5"/>
      <c r="C303" s="5"/>
      <c r="D303" s="6"/>
      <c r="E303" s="5"/>
      <c r="F303" s="5"/>
      <c r="G303" s="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8"/>
      <c r="AM303" s="8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9"/>
      <c r="BM303" s="10"/>
    </row>
    <row r="304" spans="1:65" x14ac:dyDescent="0.3">
      <c r="A304" s="5"/>
      <c r="B304" s="5"/>
      <c r="C304" s="5"/>
      <c r="D304" s="6"/>
      <c r="E304" s="5"/>
      <c r="F304" s="5"/>
      <c r="G304" s="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8"/>
      <c r="AG304" s="7"/>
      <c r="AH304" s="7"/>
      <c r="AI304" s="7"/>
      <c r="AJ304" s="7"/>
      <c r="AK304" s="7"/>
      <c r="AL304" s="7"/>
      <c r="AM304" s="8"/>
      <c r="AN304" s="7"/>
      <c r="AO304" s="7"/>
      <c r="AP304" s="7"/>
      <c r="AQ304" s="7"/>
      <c r="AR304" s="8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10"/>
    </row>
    <row r="305" spans="1:65" x14ac:dyDescent="0.3">
      <c r="A305" s="5"/>
      <c r="B305" s="5"/>
      <c r="C305" s="5"/>
      <c r="D305" s="6"/>
      <c r="E305" s="5"/>
      <c r="F305" s="5"/>
      <c r="G305" s="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8"/>
      <c r="AG305" s="7"/>
      <c r="AH305" s="7"/>
      <c r="AI305" s="7"/>
      <c r="AJ305" s="7"/>
      <c r="AK305" s="7"/>
      <c r="AL305" s="8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9"/>
      <c r="BM305" s="10"/>
    </row>
    <row r="306" spans="1:65" x14ac:dyDescent="0.3">
      <c r="A306" s="5"/>
      <c r="B306" s="5"/>
      <c r="C306" s="5"/>
      <c r="D306" s="6"/>
      <c r="E306" s="5"/>
      <c r="F306" s="5"/>
      <c r="G306" s="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8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9"/>
      <c r="BM306" s="10"/>
    </row>
    <row r="307" spans="1:65" x14ac:dyDescent="0.3">
      <c r="A307" s="5"/>
      <c r="B307" s="5"/>
      <c r="C307" s="5"/>
      <c r="D307" s="6"/>
      <c r="E307" s="5"/>
      <c r="F307" s="5"/>
      <c r="G307" s="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8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9"/>
      <c r="BM307" s="10"/>
    </row>
    <row r="308" spans="1:65" x14ac:dyDescent="0.3">
      <c r="A308" s="5"/>
      <c r="B308" s="5"/>
      <c r="C308" s="5"/>
      <c r="D308" s="6"/>
      <c r="E308" s="5"/>
      <c r="F308" s="5"/>
      <c r="G308" s="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8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10"/>
    </row>
    <row r="309" spans="1:65" x14ac:dyDescent="0.3">
      <c r="A309" s="5"/>
      <c r="B309" s="5"/>
      <c r="C309" s="5"/>
      <c r="D309" s="6"/>
      <c r="E309" s="5"/>
      <c r="F309" s="5"/>
      <c r="G309" s="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8"/>
      <c r="AG309" s="7"/>
      <c r="AH309" s="7"/>
      <c r="AI309" s="7"/>
      <c r="AJ309" s="7"/>
      <c r="AK309" s="7"/>
      <c r="AL309" s="8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9"/>
      <c r="BM309" s="10"/>
    </row>
    <row r="310" spans="1:65" x14ac:dyDescent="0.3">
      <c r="A310" s="5"/>
      <c r="B310" s="5"/>
      <c r="C310" s="5"/>
      <c r="D310" s="6"/>
      <c r="E310" s="5"/>
      <c r="F310" s="5"/>
      <c r="G310" s="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8"/>
      <c r="AN310" s="7"/>
      <c r="AO310" s="7"/>
      <c r="AP310" s="7"/>
      <c r="AQ310" s="7"/>
      <c r="AR310" s="8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10"/>
    </row>
    <row r="311" spans="1:65" x14ac:dyDescent="0.3">
      <c r="A311" s="5"/>
      <c r="B311" s="5"/>
      <c r="C311" s="5"/>
      <c r="D311" s="6"/>
      <c r="E311" s="5"/>
      <c r="F311" s="5"/>
      <c r="G311" s="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8"/>
      <c r="AG311" s="7"/>
      <c r="AH311" s="7"/>
      <c r="AI311" s="7"/>
      <c r="AJ311" s="7"/>
      <c r="AK311" s="7"/>
      <c r="AL311" s="8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9"/>
      <c r="BM311" s="10"/>
    </row>
    <row r="312" spans="1:65" x14ac:dyDescent="0.3">
      <c r="A312" s="5"/>
      <c r="B312" s="5"/>
      <c r="C312" s="5"/>
      <c r="D312" s="6"/>
      <c r="E312" s="5"/>
      <c r="F312" s="5"/>
      <c r="G312" s="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8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9"/>
      <c r="BM312" s="10"/>
    </row>
    <row r="313" spans="1:65" x14ac:dyDescent="0.3">
      <c r="A313" s="5"/>
      <c r="B313" s="5"/>
      <c r="C313" s="5"/>
      <c r="D313" s="6"/>
      <c r="E313" s="5"/>
      <c r="F313" s="5"/>
      <c r="G313" s="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8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10"/>
    </row>
    <row r="314" spans="1:65" x14ac:dyDescent="0.3">
      <c r="A314" s="5"/>
      <c r="B314" s="5"/>
      <c r="C314" s="5"/>
      <c r="D314" s="6"/>
      <c r="E314" s="5"/>
      <c r="F314" s="5"/>
      <c r="G314" s="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8"/>
      <c r="AG314" s="8"/>
      <c r="AH314" s="7"/>
      <c r="AI314" s="7"/>
      <c r="AJ314" s="7"/>
      <c r="AK314" s="7"/>
      <c r="AL314" s="8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10"/>
    </row>
    <row r="315" spans="1:65" x14ac:dyDescent="0.3">
      <c r="A315" s="5"/>
      <c r="B315" s="5"/>
      <c r="C315" s="5"/>
      <c r="D315" s="6"/>
      <c r="E315" s="5"/>
      <c r="F315" s="5"/>
      <c r="G315" s="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8"/>
      <c r="AM315" s="7"/>
      <c r="AN315" s="7"/>
      <c r="AO315" s="7"/>
      <c r="AP315" s="7"/>
      <c r="AQ315" s="7"/>
      <c r="AR315" s="8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9"/>
      <c r="BM315" s="10"/>
    </row>
    <row r="316" spans="1:65" x14ac:dyDescent="0.3">
      <c r="A316" s="5"/>
      <c r="B316" s="5"/>
      <c r="C316" s="5"/>
      <c r="D316" s="6"/>
      <c r="E316" s="5"/>
      <c r="F316" s="5"/>
      <c r="G316" s="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8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9"/>
      <c r="BM316" s="10"/>
    </row>
    <row r="317" spans="1:65" x14ac:dyDescent="0.3">
      <c r="A317" s="5"/>
      <c r="B317" s="5"/>
      <c r="C317" s="5"/>
      <c r="D317" s="6"/>
      <c r="E317" s="5"/>
      <c r="F317" s="5"/>
      <c r="G317" s="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8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9"/>
      <c r="BM317" s="10"/>
    </row>
    <row r="318" spans="1:65" x14ac:dyDescent="0.3">
      <c r="A318" s="5"/>
      <c r="B318" s="5"/>
      <c r="C318" s="5"/>
      <c r="D318" s="6"/>
      <c r="E318" s="5"/>
      <c r="F318" s="5"/>
      <c r="G318" s="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8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8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10"/>
    </row>
    <row r="319" spans="1:65" x14ac:dyDescent="0.3">
      <c r="A319" s="5"/>
      <c r="B319" s="5"/>
      <c r="C319" s="5"/>
      <c r="D319" s="6"/>
      <c r="E319" s="5"/>
      <c r="F319" s="5"/>
      <c r="G319" s="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8"/>
      <c r="AG319" s="7"/>
      <c r="AH319" s="7"/>
      <c r="AI319" s="7"/>
      <c r="AJ319" s="7"/>
      <c r="AK319" s="7"/>
      <c r="AL319" s="8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10"/>
    </row>
    <row r="320" spans="1:65" x14ac:dyDescent="0.3">
      <c r="A320" s="5"/>
      <c r="B320" s="5"/>
      <c r="C320" s="5"/>
      <c r="D320" s="6"/>
      <c r="E320" s="5"/>
      <c r="F320" s="5"/>
      <c r="G320" s="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8"/>
      <c r="AG320" s="7"/>
      <c r="AH320" s="7"/>
      <c r="AI320" s="7"/>
      <c r="AJ320" s="7"/>
      <c r="AK320" s="7"/>
      <c r="AL320" s="8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9"/>
      <c r="BM320" s="10"/>
    </row>
    <row r="321" spans="1:65" x14ac:dyDescent="0.3">
      <c r="A321" s="5"/>
      <c r="B321" s="5"/>
      <c r="C321" s="5"/>
      <c r="D321" s="6"/>
      <c r="E321" s="5"/>
      <c r="F321" s="5"/>
      <c r="G321" s="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8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9"/>
      <c r="BM321" s="10"/>
    </row>
    <row r="322" spans="1:65" x14ac:dyDescent="0.3">
      <c r="A322" s="5"/>
      <c r="B322" s="5"/>
      <c r="C322" s="5"/>
      <c r="D322" s="6"/>
      <c r="E322" s="5"/>
      <c r="F322" s="5"/>
      <c r="G322" s="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8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8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10"/>
    </row>
    <row r="323" spans="1:65" x14ac:dyDescent="0.3">
      <c r="A323" s="5"/>
      <c r="B323" s="5"/>
      <c r="C323" s="5"/>
      <c r="D323" s="6"/>
      <c r="E323" s="5"/>
      <c r="F323" s="5"/>
      <c r="G323" s="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8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9"/>
      <c r="BM323" s="10"/>
    </row>
    <row r="324" spans="1:65" x14ac:dyDescent="0.3">
      <c r="A324" s="5"/>
      <c r="B324" s="5"/>
      <c r="C324" s="5"/>
      <c r="D324" s="6"/>
      <c r="E324" s="5"/>
      <c r="F324" s="5"/>
      <c r="G324" s="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8"/>
      <c r="AG324" s="8"/>
      <c r="AH324" s="7"/>
      <c r="AI324" s="7"/>
      <c r="AJ324" s="7"/>
      <c r="AK324" s="7"/>
      <c r="AL324" s="7"/>
      <c r="AM324" s="8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10"/>
    </row>
    <row r="325" spans="1:65" x14ac:dyDescent="0.3">
      <c r="A325" s="5"/>
      <c r="B325" s="5"/>
      <c r="C325" s="5"/>
      <c r="D325" s="6"/>
      <c r="E325" s="5"/>
      <c r="F325" s="5"/>
      <c r="G325" s="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8"/>
      <c r="AH325" s="7"/>
      <c r="AI325" s="7"/>
      <c r="AJ325" s="7"/>
      <c r="AK325" s="7"/>
      <c r="AL325" s="7"/>
      <c r="AM325" s="8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10"/>
    </row>
    <row r="326" spans="1:65" x14ac:dyDescent="0.3">
      <c r="A326" s="5"/>
      <c r="B326" s="5"/>
      <c r="C326" s="5"/>
      <c r="D326" s="6"/>
      <c r="E326" s="5"/>
      <c r="F326" s="5"/>
      <c r="G326" s="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8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10"/>
    </row>
    <row r="327" spans="1:65" x14ac:dyDescent="0.3">
      <c r="A327" s="5"/>
      <c r="B327" s="5"/>
      <c r="C327" s="5"/>
      <c r="D327" s="6"/>
      <c r="E327" s="5"/>
      <c r="F327" s="5"/>
      <c r="G327" s="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8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10"/>
    </row>
    <row r="328" spans="1:65" x14ac:dyDescent="0.3">
      <c r="A328" s="5"/>
      <c r="B328" s="5"/>
      <c r="C328" s="5"/>
      <c r="D328" s="6"/>
      <c r="E328" s="5"/>
      <c r="F328" s="5"/>
      <c r="G328" s="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8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9"/>
      <c r="BM328" s="10"/>
    </row>
    <row r="329" spans="1:65" x14ac:dyDescent="0.3">
      <c r="A329" s="5"/>
      <c r="B329" s="5"/>
      <c r="C329" s="5"/>
      <c r="D329" s="6"/>
      <c r="E329" s="5"/>
      <c r="F329" s="5"/>
      <c r="G329" s="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8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10"/>
    </row>
    <row r="330" spans="1:65" x14ac:dyDescent="0.3">
      <c r="A330" s="5"/>
      <c r="B330" s="5"/>
      <c r="C330" s="5"/>
      <c r="D330" s="6"/>
      <c r="E330" s="5"/>
      <c r="F330" s="5"/>
      <c r="G330" s="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8"/>
      <c r="AM330" s="8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10"/>
    </row>
    <row r="331" spans="1:65" x14ac:dyDescent="0.3">
      <c r="A331" s="5"/>
      <c r="B331" s="5"/>
      <c r="C331" s="5"/>
      <c r="D331" s="6"/>
      <c r="E331" s="5"/>
      <c r="F331" s="5"/>
      <c r="G331" s="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8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10"/>
    </row>
    <row r="332" spans="1:65" x14ac:dyDescent="0.3">
      <c r="A332" s="5"/>
      <c r="B332" s="5"/>
      <c r="C332" s="5"/>
      <c r="D332" s="6"/>
      <c r="E332" s="5"/>
      <c r="F332" s="5"/>
      <c r="G332" s="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8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9"/>
      <c r="BM332" s="10"/>
    </row>
    <row r="333" spans="1:65" x14ac:dyDescent="0.3">
      <c r="A333" s="5"/>
      <c r="B333" s="5"/>
      <c r="C333" s="5"/>
      <c r="D333" s="6"/>
      <c r="E333" s="5"/>
      <c r="F333" s="5"/>
      <c r="G333" s="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8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10"/>
    </row>
    <row r="334" spans="1:65" x14ac:dyDescent="0.3">
      <c r="A334" s="5"/>
      <c r="B334" s="5"/>
      <c r="C334" s="5"/>
      <c r="D334" s="6"/>
      <c r="E334" s="5"/>
      <c r="F334" s="5"/>
      <c r="G334" s="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8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10"/>
    </row>
    <row r="335" spans="1:65" x14ac:dyDescent="0.3">
      <c r="A335" s="5"/>
      <c r="B335" s="5"/>
      <c r="C335" s="5"/>
      <c r="D335" s="6"/>
      <c r="E335" s="5"/>
      <c r="F335" s="5"/>
      <c r="G335" s="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8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10"/>
    </row>
    <row r="336" spans="1:65" x14ac:dyDescent="0.3">
      <c r="A336" s="5"/>
      <c r="B336" s="5"/>
      <c r="C336" s="5"/>
      <c r="D336" s="6"/>
      <c r="E336" s="5"/>
      <c r="F336" s="5"/>
      <c r="G336" s="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8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10"/>
    </row>
    <row r="337" spans="1:65" x14ac:dyDescent="0.3">
      <c r="A337" s="5"/>
      <c r="B337" s="5"/>
      <c r="C337" s="5"/>
      <c r="D337" s="6"/>
      <c r="E337" s="5"/>
      <c r="F337" s="5"/>
      <c r="G337" s="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8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10"/>
    </row>
    <row r="338" spans="1:65" x14ac:dyDescent="0.3">
      <c r="A338" s="5"/>
      <c r="B338" s="5"/>
      <c r="C338" s="5"/>
      <c r="D338" s="6"/>
      <c r="E338" s="5"/>
      <c r="F338" s="5"/>
      <c r="G338" s="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8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10"/>
    </row>
    <row r="339" spans="1:65" x14ac:dyDescent="0.3">
      <c r="A339" s="5"/>
      <c r="B339" s="5"/>
      <c r="C339" s="5"/>
      <c r="D339" s="6"/>
      <c r="E339" s="5"/>
      <c r="F339" s="5"/>
      <c r="G339" s="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8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10"/>
    </row>
    <row r="340" spans="1:65" x14ac:dyDescent="0.3">
      <c r="A340" s="5"/>
      <c r="B340" s="5"/>
      <c r="C340" s="5"/>
      <c r="D340" s="6"/>
      <c r="E340" s="5"/>
      <c r="F340" s="5"/>
      <c r="G340" s="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8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10"/>
    </row>
    <row r="341" spans="1:65" x14ac:dyDescent="0.3">
      <c r="A341" s="5"/>
      <c r="B341" s="5"/>
      <c r="C341" s="5"/>
      <c r="D341" s="6"/>
      <c r="E341" s="5"/>
      <c r="F341" s="5"/>
      <c r="G341" s="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8"/>
      <c r="AH341" s="7"/>
      <c r="AI341" s="7"/>
      <c r="AJ341" s="7"/>
      <c r="AK341" s="7"/>
      <c r="AL341" s="7"/>
      <c r="AM341" s="8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10"/>
    </row>
    <row r="342" spans="1:65" x14ac:dyDescent="0.3">
      <c r="A342" s="5"/>
      <c r="B342" s="5"/>
      <c r="C342" s="5"/>
      <c r="D342" s="6"/>
      <c r="E342" s="5"/>
      <c r="F342" s="5"/>
      <c r="G342" s="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8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10"/>
    </row>
    <row r="343" spans="1:65" x14ac:dyDescent="0.3">
      <c r="A343" s="5"/>
      <c r="B343" s="5"/>
      <c r="C343" s="5"/>
      <c r="D343" s="6"/>
      <c r="E343" s="5"/>
      <c r="F343" s="5"/>
      <c r="G343" s="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8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10"/>
    </row>
    <row r="344" spans="1:65" x14ac:dyDescent="0.3">
      <c r="A344" s="5"/>
      <c r="B344" s="5"/>
      <c r="C344" s="5"/>
      <c r="D344" s="6"/>
      <c r="E344" s="5"/>
      <c r="F344" s="5"/>
      <c r="G344" s="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8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10"/>
    </row>
    <row r="345" spans="1:65" x14ac:dyDescent="0.3">
      <c r="A345" s="5"/>
      <c r="B345" s="5"/>
      <c r="C345" s="5"/>
      <c r="D345" s="6"/>
      <c r="E345" s="5"/>
      <c r="F345" s="5"/>
      <c r="G345" s="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8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10"/>
    </row>
    <row r="346" spans="1:65" x14ac:dyDescent="0.3">
      <c r="A346" s="5"/>
      <c r="B346" s="5"/>
      <c r="C346" s="5"/>
      <c r="D346" s="6"/>
      <c r="E346" s="5"/>
      <c r="F346" s="5"/>
      <c r="G346" s="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8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10"/>
    </row>
    <row r="347" spans="1:65" x14ac:dyDescent="0.3">
      <c r="A347" s="5"/>
      <c r="B347" s="5"/>
      <c r="C347" s="5"/>
      <c r="D347" s="6"/>
      <c r="E347" s="5"/>
      <c r="F347" s="5"/>
      <c r="G347" s="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8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10"/>
    </row>
    <row r="348" spans="1:65" x14ac:dyDescent="0.3">
      <c r="A348" s="5"/>
      <c r="B348" s="5"/>
      <c r="C348" s="5"/>
      <c r="D348" s="6"/>
      <c r="E348" s="5"/>
      <c r="F348" s="5"/>
      <c r="G348" s="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8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10"/>
    </row>
    <row r="349" spans="1:65" x14ac:dyDescent="0.3">
      <c r="A349" s="5"/>
      <c r="B349" s="5"/>
      <c r="C349" s="5"/>
      <c r="D349" s="6"/>
      <c r="E349" s="5"/>
      <c r="F349" s="5"/>
      <c r="G349" s="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8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10"/>
    </row>
    <row r="350" spans="1:65" x14ac:dyDescent="0.3">
      <c r="A350" s="5"/>
      <c r="B350" s="5"/>
      <c r="C350" s="5"/>
      <c r="D350" s="6"/>
      <c r="E350" s="5"/>
      <c r="F350" s="5"/>
      <c r="G350" s="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8"/>
      <c r="AG350" s="7"/>
      <c r="AH350" s="7"/>
      <c r="AI350" s="7"/>
      <c r="AJ350" s="7"/>
      <c r="AK350" s="7"/>
      <c r="AL350" s="7"/>
      <c r="AM350" s="8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10"/>
    </row>
    <row r="351" spans="1:65" x14ac:dyDescent="0.3">
      <c r="A351" s="5"/>
      <c r="B351" s="5"/>
      <c r="C351" s="5"/>
      <c r="D351" s="6"/>
      <c r="E351" s="5"/>
      <c r="F351" s="5"/>
      <c r="G351" s="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8"/>
      <c r="AG351" s="7"/>
      <c r="AH351" s="7"/>
      <c r="AI351" s="7"/>
      <c r="AJ351" s="7"/>
      <c r="AK351" s="7"/>
      <c r="AL351" s="7"/>
      <c r="AM351" s="8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10"/>
    </row>
    <row r="352" spans="1:65" x14ac:dyDescent="0.3">
      <c r="A352" s="5"/>
      <c r="B352" s="5"/>
      <c r="C352" s="5"/>
      <c r="D352" s="6"/>
      <c r="E352" s="5"/>
      <c r="F352" s="5"/>
      <c r="G352" s="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8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10"/>
    </row>
    <row r="353" spans="1:65" x14ac:dyDescent="0.3">
      <c r="A353" s="5"/>
      <c r="B353" s="5"/>
      <c r="C353" s="5"/>
      <c r="D353" s="6"/>
      <c r="E353" s="5"/>
      <c r="F353" s="5"/>
      <c r="G353" s="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8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10"/>
    </row>
    <row r="354" spans="1:65" x14ac:dyDescent="0.3">
      <c r="A354" s="5"/>
      <c r="B354" s="5"/>
      <c r="C354" s="5"/>
      <c r="D354" s="6"/>
      <c r="E354" s="5"/>
      <c r="F354" s="5"/>
      <c r="G354" s="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8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10"/>
    </row>
    <row r="355" spans="1:65" x14ac:dyDescent="0.3">
      <c r="A355" s="5"/>
      <c r="B355" s="5"/>
      <c r="C355" s="5"/>
      <c r="D355" s="6"/>
      <c r="E355" s="5"/>
      <c r="F355" s="5"/>
      <c r="G355" s="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8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10"/>
    </row>
    <row r="356" spans="1:65" x14ac:dyDescent="0.3">
      <c r="A356" s="5"/>
      <c r="B356" s="5"/>
      <c r="C356" s="5"/>
      <c r="D356" s="6"/>
      <c r="E356" s="5"/>
      <c r="F356" s="5"/>
      <c r="G356" s="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8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10"/>
    </row>
    <row r="357" spans="1:65" x14ac:dyDescent="0.3">
      <c r="A357" s="5"/>
      <c r="B357" s="5"/>
      <c r="C357" s="5"/>
      <c r="D357" s="6"/>
      <c r="E357" s="5"/>
      <c r="F357" s="5"/>
      <c r="G357" s="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8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10"/>
    </row>
    <row r="358" spans="1:65" x14ac:dyDescent="0.3">
      <c r="A358" s="5"/>
      <c r="B358" s="5"/>
      <c r="C358" s="5"/>
      <c r="D358" s="6"/>
      <c r="E358" s="5"/>
      <c r="F358" s="5"/>
      <c r="G358" s="5"/>
      <c r="H358" s="7"/>
      <c r="I358" s="7"/>
      <c r="J358" s="7"/>
      <c r="K358" s="7"/>
      <c r="L358" s="8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10"/>
    </row>
    <row r="359" spans="1:65" x14ac:dyDescent="0.3">
      <c r="A359" s="5"/>
      <c r="B359" s="5"/>
      <c r="C359" s="5"/>
      <c r="D359" s="6"/>
      <c r="E359" s="5"/>
      <c r="F359" s="5"/>
      <c r="G359" s="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8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10"/>
    </row>
    <row r="360" spans="1:65" x14ac:dyDescent="0.3">
      <c r="A360" s="5"/>
      <c r="B360" s="5"/>
      <c r="C360" s="5"/>
      <c r="D360" s="6"/>
      <c r="E360" s="5"/>
      <c r="F360" s="5"/>
      <c r="G360" s="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10"/>
    </row>
    <row r="361" spans="1:65" x14ac:dyDescent="0.3">
      <c r="A361" s="5"/>
      <c r="B361" s="5"/>
      <c r="C361" s="5"/>
      <c r="D361" s="6"/>
      <c r="E361" s="5"/>
      <c r="F361" s="5"/>
      <c r="G361" s="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8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10"/>
    </row>
    <row r="362" spans="1:65" x14ac:dyDescent="0.3">
      <c r="A362" s="5"/>
      <c r="B362" s="5"/>
      <c r="C362" s="5"/>
      <c r="D362" s="6"/>
      <c r="E362" s="5"/>
      <c r="F362" s="5"/>
      <c r="G362" s="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8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10"/>
    </row>
    <row r="363" spans="1:65" x14ac:dyDescent="0.3">
      <c r="A363" s="5"/>
      <c r="B363" s="5"/>
      <c r="C363" s="5"/>
      <c r="D363" s="6"/>
      <c r="E363" s="5"/>
      <c r="F363" s="5"/>
      <c r="G363" s="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8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10"/>
    </row>
    <row r="364" spans="1:65" x14ac:dyDescent="0.3">
      <c r="A364" s="5"/>
      <c r="B364" s="5"/>
      <c r="C364" s="5"/>
      <c r="D364" s="6"/>
      <c r="E364" s="5"/>
      <c r="F364" s="5"/>
      <c r="G364" s="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11"/>
    </row>
    <row r="365" spans="1:65" x14ac:dyDescent="0.3">
      <c r="A365" s="5"/>
      <c r="B365" s="5"/>
      <c r="C365" s="5"/>
      <c r="D365" s="6"/>
      <c r="E365" s="5"/>
      <c r="F365" s="5"/>
      <c r="G365" s="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11"/>
    </row>
    <row r="366" spans="1:65" x14ac:dyDescent="0.3">
      <c r="A366" s="5"/>
      <c r="B366" s="5"/>
      <c r="C366" s="5"/>
      <c r="D366" s="6"/>
      <c r="E366" s="5"/>
      <c r="F366" s="5"/>
      <c r="G366" s="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11"/>
    </row>
    <row r="367" spans="1:65" x14ac:dyDescent="0.3">
      <c r="A367" s="5"/>
      <c r="B367" s="5"/>
      <c r="C367" s="5"/>
      <c r="D367" s="6"/>
      <c r="E367" s="5"/>
      <c r="F367" s="5"/>
      <c r="G367" s="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11"/>
    </row>
    <row r="368" spans="1:65" x14ac:dyDescent="0.3">
      <c r="A368" s="5"/>
      <c r="B368" s="5"/>
      <c r="C368" s="5"/>
      <c r="D368" s="6"/>
      <c r="E368" s="5"/>
      <c r="F368" s="5"/>
      <c r="G368" s="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11"/>
    </row>
    <row r="369" spans="1:65" x14ac:dyDescent="0.3">
      <c r="A369" s="5"/>
      <c r="B369" s="5"/>
      <c r="C369" s="5"/>
      <c r="D369" s="6"/>
      <c r="E369" s="5"/>
      <c r="F369" s="5"/>
      <c r="G369" s="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11"/>
    </row>
    <row r="370" spans="1:65" x14ac:dyDescent="0.3">
      <c r="A370" s="5"/>
      <c r="B370" s="5"/>
      <c r="C370" s="5"/>
      <c r="D370" s="6"/>
      <c r="E370" s="5"/>
      <c r="F370" s="5"/>
      <c r="G370" s="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11"/>
    </row>
    <row r="371" spans="1:65" x14ac:dyDescent="0.3">
      <c r="A371" s="5"/>
      <c r="B371" s="5"/>
      <c r="C371" s="5"/>
      <c r="D371" s="6"/>
      <c r="E371" s="5"/>
      <c r="F371" s="5"/>
      <c r="G371" s="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11"/>
    </row>
    <row r="372" spans="1:65" x14ac:dyDescent="0.3">
      <c r="A372" s="5"/>
      <c r="B372" s="5"/>
      <c r="C372" s="5"/>
      <c r="D372" s="6"/>
      <c r="E372" s="5"/>
      <c r="F372" s="5"/>
      <c r="G372" s="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11"/>
    </row>
    <row r="373" spans="1:65" x14ac:dyDescent="0.3">
      <c r="A373" s="5"/>
      <c r="B373" s="5"/>
      <c r="C373" s="5"/>
      <c r="D373" s="6"/>
      <c r="E373" s="5"/>
      <c r="F373" s="5"/>
      <c r="G373" s="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11"/>
    </row>
    <row r="374" spans="1:65" x14ac:dyDescent="0.3">
      <c r="A374" s="5"/>
      <c r="B374" s="5"/>
      <c r="C374" s="5"/>
      <c r="D374" s="6"/>
      <c r="E374" s="5"/>
      <c r="F374" s="5"/>
      <c r="G374" s="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11"/>
    </row>
    <row r="375" spans="1:65" x14ac:dyDescent="0.3">
      <c r="A375" s="5"/>
      <c r="B375" s="5"/>
      <c r="C375" s="5"/>
      <c r="D375" s="6"/>
      <c r="E375" s="5"/>
      <c r="F375" s="5"/>
      <c r="G375" s="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11"/>
    </row>
    <row r="376" spans="1:65" x14ac:dyDescent="0.3">
      <c r="A376" s="5"/>
      <c r="B376" s="5"/>
      <c r="C376" s="5"/>
      <c r="D376" s="6"/>
      <c r="E376" s="5"/>
      <c r="F376" s="5"/>
      <c r="G376" s="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11"/>
    </row>
    <row r="377" spans="1:65" x14ac:dyDescent="0.3">
      <c r="A377" s="5"/>
      <c r="B377" s="5"/>
      <c r="C377" s="5"/>
      <c r="D377" s="6"/>
      <c r="E377" s="5"/>
      <c r="F377" s="5"/>
      <c r="G377" s="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11"/>
    </row>
    <row r="378" spans="1:65" x14ac:dyDescent="0.3">
      <c r="A378" s="5"/>
      <c r="B378" s="5"/>
      <c r="C378" s="5"/>
      <c r="D378" s="6"/>
      <c r="E378" s="5"/>
      <c r="F378" s="5"/>
      <c r="G378" s="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11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2022-12-02T05:57:56Z</dcterms:modified>
</cp:coreProperties>
</file>