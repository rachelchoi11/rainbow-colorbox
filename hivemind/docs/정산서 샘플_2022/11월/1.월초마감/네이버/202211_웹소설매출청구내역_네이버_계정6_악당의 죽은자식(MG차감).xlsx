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175" windowHeight="0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7" i="412" l="1"/>
  <c r="BN6" i="412" l="1"/>
  <c r="BO6" i="412" s="1"/>
  <c r="BN5" i="412"/>
  <c r="BO5" i="412" s="1"/>
  <c r="BN4" i="412"/>
  <c r="BO4" i="412" s="1"/>
  <c r="BN3" i="412"/>
  <c r="BO3" i="412" s="1"/>
  <c r="BP6" i="412" l="1"/>
  <c r="D10" i="412"/>
  <c r="B12" i="412" l="1"/>
  <c r="BN2" i="412" l="1"/>
  <c r="BO2" i="412" s="1"/>
  <c r="BP4" i="412" l="1"/>
  <c r="C12" i="412"/>
</calcChain>
</file>

<file path=xl/sharedStrings.xml><?xml version="1.0" encoding="utf-8"?>
<sst xmlns="http://schemas.openxmlformats.org/spreadsheetml/2006/main" count="112" uniqueCount="88">
  <si>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</si>
  <si>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</si>
  <si>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</si>
  <si>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</si>
  <si>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</si>
  <si>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</si>
  <si>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</si>
  <si>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</si>
  <si>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</si>
  <si>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</si>
  <si>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</si>
  <si>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</si>
  <si>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</si>
  <si>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</si>
  <si>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합계</t>
    <phoneticPr fontId="20" type="noConversion"/>
  </si>
  <si>
    <t>스토리위즈</t>
  </si>
  <si>
    <t>전체이용가</t>
  </si>
  <si>
    <t>시리즈(APP)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</si>
  <si>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</si>
  <si>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</si>
  <si>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</si>
  <si>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</si>
  <si>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</si>
  <si>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</si>
  <si>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</si>
  <si>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</si>
  <si>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</si>
  <si>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</si>
  <si>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</si>
  <si>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</si>
  <si>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</si>
  <si>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</si>
  <si>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</si>
  <si>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</si>
  <si>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</si>
  <si>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</si>
  <si>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</si>
  <si>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</si>
  <si>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</si>
  <si>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</si>
  <si>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</si>
  <si>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</si>
  <si>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</si>
  <si>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</si>
  <si>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</si>
  <si>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</si>
  <si>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</si>
  <si>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</si>
  <si>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</si>
  <si>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</si>
  <si>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</si>
  <si>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</si>
  <si>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</si>
  <si>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</si>
  <si>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</si>
  <si>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</si>
  <si>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</si>
  <si>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</si>
  <si>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</si>
  <si>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</si>
  <si>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</si>
  <si>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</si>
  <si>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</si>
  <si>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</si>
  <si>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</si>
  <si>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</si>
  <si>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</si>
  <si>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</si>
  <si>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</si>
  <si>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</si>
  <si>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</si>
  <si>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</si>
  <si>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</si>
  <si>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</si>
  <si>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</si>
  <si>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</si>
  <si>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&lt;악당의 죽은자식&gt; MG차감내역</t>
    <phoneticPr fontId="20" type="noConversion"/>
  </si>
  <si>
    <t>악당의 죽은 자식 [독점]</t>
  </si>
  <si>
    <t>탄E</t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</si>
  <si>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</si>
  <si>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</si>
  <si>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</si>
  <si>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</si>
  <si>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APP 매출</t>
    <phoneticPr fontId="20" type="noConversion"/>
  </si>
  <si>
    <t>WEB 매출</t>
    <phoneticPr fontId="20" type="noConversion"/>
  </si>
  <si>
    <t>스토리위즈_1</t>
  </si>
  <si>
    <t>2022.12.02</t>
  </si>
  <si>
    <t>차감완료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</si>
</sst>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18" fillId="0" borderId="0" xfId="42" applyFont="1" applyAlignment="1">
      <alignment vertical="center" wrapText="1"/>
    </xf>
    <xf numFmtId="41" fontId="25" fillId="34" borderId="0" xfId="42" applyFont="1" applyFill="1" applyAlignment="1">
      <alignment vertical="center" wrapText="1"/>
    </xf>
    <xf numFmtId="3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>
      <alignment vertical="center"/>
    </xf>
    <xf numFmtId="41" fontId="24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24" fillId="36" borderId="10" xfId="0" applyNumberFormat="1" applyFont="1" applyFill="1" applyBorder="1" applyAlignment="1">
      <alignment horizontal="right" vertical="center"/>
    </xf>
    <xf numFmtId="41" fontId="24" fillId="36" borderId="10" xfId="0" applyNumberFormat="1" applyFont="1" applyFill="1" applyBorder="1">
      <alignment vertical="center"/>
    </xf>
    <xf numFmtId="2" fontId="24" fillId="0" borderId="10" xfId="0" applyNumberFormat="1" applyFont="1" applyBorder="1" applyAlignment="1">
      <alignment horizontal="center" vertical="center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2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15"/>
  <sheetViews>
    <sheetView tabSelected="1" zoomScale="115" zoomScaleNormal="115" workbookViewId="0">
      <selection activeCell="D12" sqref="D12"/>
    </sheetView>
  </sheetViews>
  <sheetFormatPr defaultRowHeight="16.5" x14ac:dyDescent="0.3"/>
  <cols>
    <col min="1" max="1" width="11.875" style="1" customWidth="1"/>
    <col min="2" max="2" width="20" bestFit="1" customWidth="1"/>
    <col min="3" max="3" width="9.375" bestFit="1" customWidth="1"/>
    <col min="4" max="4" width="9.2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375" bestFit="1" customWidth="1"/>
    <col min="29" max="29" width="6.875" bestFit="1" customWidth="1"/>
    <col min="30" max="30" width="5.875" bestFit="1" customWidth="1"/>
    <col min="31" max="31" width="5.5" bestFit="1" customWidth="1"/>
    <col min="32" max="32" width="7.25" bestFit="1" customWidth="1"/>
    <col min="33" max="33" width="6.875" bestFit="1" customWidth="1"/>
    <col min="34" max="35" width="3.625" customWidth="1"/>
    <col min="36" max="36" width="12.875" bestFit="1" customWidth="1"/>
    <col min="37" max="38" width="13" bestFit="1" customWidth="1"/>
    <col min="39" max="39" width="15.875" bestFit="1" customWidth="1"/>
    <col min="40" max="47" width="9.125" bestFit="1" customWidth="1"/>
    <col min="48" max="48" width="14" bestFit="1" customWidth="1"/>
    <col min="49" max="64" width="9.125" bestFit="1" customWidth="1"/>
    <col min="65" max="65" width="12.875" bestFit="1" customWidth="1"/>
    <col min="66" max="66" width="13.5" bestFit="1" customWidth="1"/>
    <col min="67" max="67" width="13.375" style="13" customWidth="1"/>
    <col min="68" max="68" width="9.25" bestFit="1" customWidth="1"/>
  </cols>
  <sheetData>
    <row r="1" spans="1:69" ht="27" customHeight="1" x14ac:dyDescent="0.3">
      <c r="A1" s="2" t="s">
        <v>18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19</v>
      </c>
      <c r="I1" s="14" t="s">
        <v>6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12" t="s">
        <v>41</v>
      </c>
      <c r="AF1" s="12" t="s">
        <v>42</v>
      </c>
      <c r="AG1" s="12" t="s">
        <v>43</v>
      </c>
      <c r="AH1" s="12" t="s">
        <v>44</v>
      </c>
      <c r="AI1" s="12" t="s">
        <v>45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54</v>
      </c>
      <c r="AS1" s="12" t="s">
        <v>55</v>
      </c>
      <c r="AT1" s="12" t="s">
        <v>56</v>
      </c>
      <c r="AU1" s="12" t="s">
        <v>57</v>
      </c>
      <c r="AV1" s="12" t="s">
        <v>58</v>
      </c>
      <c r="AW1" s="12" t="s">
        <v>59</v>
      </c>
      <c r="AX1" s="12" t="s">
        <v>60</v>
      </c>
      <c r="AY1" s="12" t="s">
        <v>61</v>
      </c>
      <c r="AZ1" s="12" t="s">
        <v>62</v>
      </c>
      <c r="BA1" s="12" t="s">
        <v>63</v>
      </c>
      <c r="BB1" s="12" t="s">
        <v>64</v>
      </c>
      <c r="BC1" s="12" t="s">
        <v>65</v>
      </c>
      <c r="BD1" s="12" t="s">
        <v>66</v>
      </c>
      <c r="BE1" s="12" t="s">
        <v>67</v>
      </c>
      <c r="BF1" s="12" t="s">
        <v>68</v>
      </c>
      <c r="BG1" s="12" t="s">
        <v>69</v>
      </c>
      <c r="BH1" s="12" t="s">
        <v>70</v>
      </c>
      <c r="BI1" s="12" t="s">
        <v>71</v>
      </c>
      <c r="BJ1" s="12" t="s">
        <v>72</v>
      </c>
      <c r="BK1" s="12" t="s">
        <v>73</v>
      </c>
      <c r="BL1" s="12" t="s">
        <v>8</v>
      </c>
      <c r="BM1" s="12" t="s">
        <v>7</v>
      </c>
      <c r="BN1" s="12" t="s">
        <v>74</v>
      </c>
      <c r="BO1" s="12" t="s">
        <v>75</v>
      </c>
    </row>
    <row r="2" spans="1:69" x14ac:dyDescent="0.3">
      <c r="A2" s="5" t="s">
        <v>17</v>
      </c>
      <c r="B2" s="5" t="s">
        <v>77</v>
      </c>
      <c r="C2" s="5">
        <v>479547</v>
      </c>
      <c r="D2" s="6"/>
      <c r="E2" s="5" t="s">
        <v>85</v>
      </c>
      <c r="F2" s="5" t="s">
        <v>78</v>
      </c>
      <c r="G2" s="5" t="s">
        <v>15</v>
      </c>
      <c r="H2" s="7" t="s">
        <v>16</v>
      </c>
      <c r="I2" s="7" t="s">
        <v>86</v>
      </c>
      <c r="J2" s="8">
        <v>15666</v>
      </c>
      <c r="K2" s="8">
        <v>19754</v>
      </c>
      <c r="L2" s="8">
        <v>1566600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1004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26104</v>
      </c>
      <c r="AF2" s="8">
        <v>1746020</v>
      </c>
      <c r="AG2" s="8">
        <v>882100</v>
      </c>
      <c r="AH2" s="7">
        <v>0</v>
      </c>
      <c r="AI2" s="7">
        <v>0</v>
      </c>
      <c r="AJ2" s="7">
        <v>0</v>
      </c>
      <c r="AK2" s="7">
        <v>132</v>
      </c>
      <c r="AL2" s="7">
        <v>120</v>
      </c>
      <c r="AM2" s="8">
        <v>13100</v>
      </c>
      <c r="AN2" s="7">
        <v>0</v>
      </c>
      <c r="AO2" s="7">
        <v>0</v>
      </c>
      <c r="AP2" s="7">
        <v>0</v>
      </c>
      <c r="AQ2" s="8">
        <v>12602</v>
      </c>
      <c r="AR2" s="8">
        <v>1211200</v>
      </c>
      <c r="AS2" s="8">
        <v>49000</v>
      </c>
      <c r="AT2" s="7">
        <v>0</v>
      </c>
      <c r="AU2" s="7">
        <v>0</v>
      </c>
      <c r="AV2" s="7">
        <v>0</v>
      </c>
      <c r="AW2" s="8">
        <v>2462</v>
      </c>
      <c r="AX2" s="8">
        <v>297868</v>
      </c>
      <c r="AY2" s="7">
        <v>0</v>
      </c>
      <c r="AZ2" s="7">
        <v>0</v>
      </c>
      <c r="BA2" s="7">
        <v>0</v>
      </c>
      <c r="BB2" s="7">
        <v>0</v>
      </c>
      <c r="BC2" s="8">
        <v>8503</v>
      </c>
      <c r="BD2" s="8">
        <v>1020360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91044.4</v>
      </c>
      <c r="BM2" s="10">
        <v>6786368</v>
      </c>
      <c r="BN2" s="23">
        <f>BM2-BL2</f>
        <v>6695323.5999999996</v>
      </c>
      <c r="BO2" s="23">
        <f>BN2*70%</f>
        <v>4686726.5199999996</v>
      </c>
    </row>
    <row r="3" spans="1:69" x14ac:dyDescent="0.3">
      <c r="A3" s="5" t="s">
        <v>79</v>
      </c>
      <c r="B3" s="5" t="s">
        <v>77</v>
      </c>
      <c r="C3" s="5">
        <v>479547</v>
      </c>
      <c r="D3" s="6"/>
      <c r="E3" s="5" t="s">
        <v>85</v>
      </c>
      <c r="F3" s="5" t="s">
        <v>78</v>
      </c>
      <c r="G3" s="5" t="s">
        <v>15</v>
      </c>
      <c r="H3" s="7" t="s">
        <v>16</v>
      </c>
      <c r="I3" s="7" t="s">
        <v>86</v>
      </c>
      <c r="J3" s="8">
        <v>1238</v>
      </c>
      <c r="K3" s="8">
        <v>1685</v>
      </c>
      <c r="L3" s="8">
        <v>123800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75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1976</v>
      </c>
      <c r="AF3" s="8">
        <v>121200</v>
      </c>
      <c r="AG3" s="8">
        <v>81700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8">
        <v>1246</v>
      </c>
      <c r="AR3" s="8">
        <v>123200</v>
      </c>
      <c r="AS3" s="8">
        <v>1400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29</v>
      </c>
      <c r="BD3" s="8">
        <v>3480</v>
      </c>
      <c r="BE3" s="7">
        <v>0</v>
      </c>
      <c r="BF3" s="7">
        <v>0</v>
      </c>
      <c r="BG3" s="7">
        <v>0</v>
      </c>
      <c r="BH3" s="7">
        <v>0</v>
      </c>
      <c r="BI3" s="7">
        <v>389</v>
      </c>
      <c r="BJ3" s="8">
        <v>46680</v>
      </c>
      <c r="BK3" s="7">
        <v>0</v>
      </c>
      <c r="BL3" s="9">
        <v>2542.8000000000002</v>
      </c>
      <c r="BM3" s="10">
        <v>501460</v>
      </c>
      <c r="BN3" s="23">
        <f t="shared" ref="BN3:BN6" si="0">BM3-BL3</f>
        <v>498917.2</v>
      </c>
      <c r="BO3" s="23">
        <f t="shared" ref="BO3:BO6" si="1">BN3*70%</f>
        <v>349242.04</v>
      </c>
    </row>
    <row r="4" spans="1:69" x14ac:dyDescent="0.3">
      <c r="A4" s="5" t="s">
        <v>80</v>
      </c>
      <c r="B4" s="5" t="s">
        <v>77</v>
      </c>
      <c r="C4" s="5">
        <v>479547</v>
      </c>
      <c r="D4" s="6"/>
      <c r="E4" s="5" t="s">
        <v>85</v>
      </c>
      <c r="F4" s="5" t="s">
        <v>78</v>
      </c>
      <c r="G4" s="5" t="s">
        <v>15</v>
      </c>
      <c r="H4" s="7" t="s">
        <v>16</v>
      </c>
      <c r="I4" s="7" t="s">
        <v>86</v>
      </c>
      <c r="J4" s="8">
        <v>3173</v>
      </c>
      <c r="K4" s="8">
        <v>3910</v>
      </c>
      <c r="L4" s="8">
        <v>317300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264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5835</v>
      </c>
      <c r="AF4" s="8">
        <v>515160</v>
      </c>
      <c r="AG4" s="8">
        <v>68500</v>
      </c>
      <c r="AH4" s="7">
        <v>0</v>
      </c>
      <c r="AI4" s="7">
        <v>0</v>
      </c>
      <c r="AJ4" s="7">
        <v>0</v>
      </c>
      <c r="AK4" s="8">
        <v>2936</v>
      </c>
      <c r="AL4" s="8">
        <v>236559</v>
      </c>
      <c r="AM4" s="8">
        <v>96000</v>
      </c>
      <c r="AN4" s="7">
        <v>0</v>
      </c>
      <c r="AO4" s="7">
        <v>0</v>
      </c>
      <c r="AP4" s="7">
        <v>0</v>
      </c>
      <c r="AQ4" s="8">
        <v>3414</v>
      </c>
      <c r="AR4" s="8">
        <v>336500</v>
      </c>
      <c r="AS4" s="8">
        <v>4900</v>
      </c>
      <c r="AT4" s="7">
        <v>0</v>
      </c>
      <c r="AU4" s="7">
        <v>0</v>
      </c>
      <c r="AV4" s="7">
        <v>0</v>
      </c>
      <c r="AW4" s="7">
        <v>2</v>
      </c>
      <c r="AX4" s="7">
        <v>240</v>
      </c>
      <c r="AY4" s="7">
        <v>0</v>
      </c>
      <c r="AZ4" s="7">
        <v>0</v>
      </c>
      <c r="BA4" s="7">
        <v>0</v>
      </c>
      <c r="BB4" s="7">
        <v>0</v>
      </c>
      <c r="BC4" s="7">
        <v>62</v>
      </c>
      <c r="BD4" s="8">
        <v>7440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71438.100000000006</v>
      </c>
      <c r="BM4" s="10">
        <v>1582599</v>
      </c>
      <c r="BN4" s="23">
        <f t="shared" si="0"/>
        <v>1511160.9</v>
      </c>
      <c r="BO4" s="23">
        <f t="shared" si="1"/>
        <v>1057812.6299999999</v>
      </c>
      <c r="BP4" s="32">
        <f>SUM(BO2:BO4)</f>
        <v>6093781.1899999995</v>
      </c>
      <c r="BQ4" s="33" t="s">
        <v>83</v>
      </c>
    </row>
    <row r="5" spans="1:69" x14ac:dyDescent="0.3">
      <c r="A5" s="5" t="s">
        <v>81</v>
      </c>
      <c r="B5" s="5" t="s">
        <v>77</v>
      </c>
      <c r="C5" s="5">
        <v>479547</v>
      </c>
      <c r="D5" s="6"/>
      <c r="E5" s="5" t="s">
        <v>85</v>
      </c>
      <c r="F5" s="5" t="s">
        <v>78</v>
      </c>
      <c r="G5" s="5" t="s">
        <v>15</v>
      </c>
      <c r="H5" s="7" t="s">
        <v>16</v>
      </c>
      <c r="I5" s="7" t="s">
        <v>86</v>
      </c>
      <c r="J5" s="7">
        <v>33</v>
      </c>
      <c r="K5" s="7">
        <v>126</v>
      </c>
      <c r="L5" s="8">
        <v>3300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41</v>
      </c>
      <c r="AF5" s="8">
        <v>3500</v>
      </c>
      <c r="AG5" s="7">
        <v>600</v>
      </c>
      <c r="AH5" s="7">
        <v>0</v>
      </c>
      <c r="AI5" s="7">
        <v>0</v>
      </c>
      <c r="AJ5" s="7">
        <v>0</v>
      </c>
      <c r="AK5" s="7">
        <v>1</v>
      </c>
      <c r="AL5" s="7">
        <v>0</v>
      </c>
      <c r="AM5" s="7">
        <v>100</v>
      </c>
      <c r="AN5" s="7">
        <v>0</v>
      </c>
      <c r="AO5" s="7">
        <v>0</v>
      </c>
      <c r="AP5" s="7">
        <v>0</v>
      </c>
      <c r="AQ5" s="7">
        <v>27</v>
      </c>
      <c r="AR5" s="8">
        <v>2700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10200</v>
      </c>
      <c r="BN5" s="23">
        <f t="shared" si="0"/>
        <v>10200</v>
      </c>
      <c r="BO5" s="23">
        <f t="shared" si="1"/>
        <v>7140</v>
      </c>
      <c r="BP5" s="34"/>
      <c r="BQ5" s="34"/>
    </row>
    <row r="6" spans="1:69" x14ac:dyDescent="0.3">
      <c r="A6" s="5" t="s">
        <v>82</v>
      </c>
      <c r="B6" s="5" t="s">
        <v>77</v>
      </c>
      <c r="C6" s="5">
        <v>479547</v>
      </c>
      <c r="D6" s="6"/>
      <c r="E6" s="5" t="s">
        <v>85</v>
      </c>
      <c r="F6" s="5" t="s">
        <v>78</v>
      </c>
      <c r="G6" s="5" t="s">
        <v>15</v>
      </c>
      <c r="H6" s="7" t="s">
        <v>16</v>
      </c>
      <c r="I6" s="7" t="s">
        <v>86</v>
      </c>
      <c r="J6" s="7">
        <v>182</v>
      </c>
      <c r="K6" s="7">
        <v>61</v>
      </c>
      <c r="L6" s="8">
        <v>18200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380</v>
      </c>
      <c r="AF6" s="8">
        <v>34600</v>
      </c>
      <c r="AG6" s="8">
        <v>3500</v>
      </c>
      <c r="AH6" s="7">
        <v>0</v>
      </c>
      <c r="AI6" s="7">
        <v>0</v>
      </c>
      <c r="AJ6" s="7">
        <v>0</v>
      </c>
      <c r="AK6" s="7">
        <v>13</v>
      </c>
      <c r="AL6" s="8">
        <v>1560</v>
      </c>
      <c r="AM6" s="7">
        <v>0</v>
      </c>
      <c r="AN6" s="7">
        <v>0</v>
      </c>
      <c r="AO6" s="7">
        <v>0</v>
      </c>
      <c r="AP6" s="7">
        <v>0</v>
      </c>
      <c r="AQ6" s="7">
        <v>251</v>
      </c>
      <c r="AR6" s="8">
        <v>25000</v>
      </c>
      <c r="AS6" s="7">
        <v>100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108</v>
      </c>
      <c r="BD6" s="8">
        <v>12960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1245.5999999999999</v>
      </c>
      <c r="BM6" s="10">
        <v>95920</v>
      </c>
      <c r="BN6" s="23">
        <f t="shared" si="0"/>
        <v>94674.4</v>
      </c>
      <c r="BO6" s="23">
        <f t="shared" si="1"/>
        <v>66272.079999999987</v>
      </c>
      <c r="BP6" s="35">
        <f>SUM(BO5:BO6)</f>
        <v>73412.079999999987</v>
      </c>
      <c r="BQ6" s="34" t="s">
        <v>84</v>
      </c>
    </row>
    <row r="7" spans="1:69" x14ac:dyDescent="0.3">
      <c r="A7" s="5"/>
      <c r="B7" s="5"/>
      <c r="C7" s="5"/>
      <c r="D7" s="6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0"/>
      <c r="BN7" s="22"/>
      <c r="BO7" s="24">
        <f>SUM(BO2:BO6)</f>
        <v>6167193.2699999996</v>
      </c>
    </row>
    <row r="8" spans="1:69" s="17" customFormat="1" ht="15.6" customHeight="1" x14ac:dyDescent="0.3">
      <c r="A8" s="15" t="s">
        <v>76</v>
      </c>
      <c r="B8" s="16"/>
      <c r="AU8" s="18"/>
      <c r="AW8" s="18"/>
      <c r="BO8" s="21"/>
    </row>
    <row r="9" spans="1:69" s="17" customFormat="1" ht="15.6" customHeight="1" x14ac:dyDescent="0.3">
      <c r="A9" s="19" t="s">
        <v>9</v>
      </c>
      <c r="B9" s="19" t="s">
        <v>10</v>
      </c>
      <c r="C9" s="19" t="s">
        <v>11</v>
      </c>
      <c r="D9" s="19" t="s">
        <v>12</v>
      </c>
      <c r="J9" s="17" t="s">
        <v>13</v>
      </c>
    </row>
    <row r="10" spans="1:69" s="17" customFormat="1" ht="15.6" customHeight="1" x14ac:dyDescent="0.3">
      <c r="A10" s="20">
        <v>22.09</v>
      </c>
      <c r="B10" s="25">
        <v>20000000</v>
      </c>
      <c r="C10" s="26">
        <v>2870</v>
      </c>
      <c r="D10" s="27">
        <f>B10-C10</f>
        <v>19997130</v>
      </c>
    </row>
    <row r="11" spans="1:69" s="17" customFormat="1" ht="15.6" customHeight="1" x14ac:dyDescent="0.3">
      <c r="A11" s="31">
        <v>22.1</v>
      </c>
      <c r="B11" s="25"/>
      <c r="C11" s="26">
        <v>30528372.559999999</v>
      </c>
      <c r="D11" s="27">
        <v>-10531242.559999999</v>
      </c>
      <c r="E11" s="17" t="s">
        <v>87</v>
      </c>
    </row>
    <row r="12" spans="1:69" s="17" customFormat="1" ht="15.6" customHeight="1" x14ac:dyDescent="0.3">
      <c r="A12" s="28" t="s">
        <v>14</v>
      </c>
      <c r="B12" s="29">
        <f>SUM(B10:B10)</f>
        <v>20000000</v>
      </c>
      <c r="C12" s="30">
        <f>SUM(C10:C10)</f>
        <v>2870</v>
      </c>
      <c r="D12" s="30"/>
    </row>
    <row r="13" spans="1:69" x14ac:dyDescent="0.3">
      <c r="A13" s="5"/>
      <c r="B13" s="5"/>
      <c r="C13" s="5"/>
      <c r="D13" s="6"/>
      <c r="E13" s="5"/>
      <c r="F13" s="5"/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11"/>
    </row>
    <row r="14" spans="1:69" x14ac:dyDescent="0.3">
      <c r="A14" s="5"/>
      <c r="B14" s="5"/>
      <c r="C14" s="5"/>
      <c r="D14" s="6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1"/>
    </row>
    <row r="15" spans="1:69" x14ac:dyDescent="0.3">
      <c r="A15" s="5"/>
      <c r="B15" s="5"/>
      <c r="C15" s="5"/>
      <c r="D15" s="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8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0"/>
    </row>
    <row r="16" spans="1:69" x14ac:dyDescent="0.3">
      <c r="A16" s="5"/>
      <c r="B16" s="5"/>
      <c r="C16" s="5"/>
      <c r="D16" s="6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0"/>
    </row>
    <row r="17" spans="1:65" x14ac:dyDescent="0.3">
      <c r="A17" s="5"/>
      <c r="B17" s="5"/>
      <c r="C17" s="5"/>
      <c r="D17" s="6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0"/>
    </row>
    <row r="18" spans="1:65" x14ac:dyDescent="0.3">
      <c r="A18" s="5"/>
      <c r="B18" s="5"/>
      <c r="C18" s="5"/>
      <c r="D18" s="6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8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0"/>
    </row>
    <row r="19" spans="1:65" x14ac:dyDescent="0.3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0"/>
    </row>
    <row r="20" spans="1:65" x14ac:dyDescent="0.3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8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0"/>
    </row>
    <row r="21" spans="1:65" x14ac:dyDescent="0.3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0"/>
    </row>
    <row r="22" spans="1:65" x14ac:dyDescent="0.3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</row>
    <row r="23" spans="1:65" x14ac:dyDescent="0.3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8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5" x14ac:dyDescent="0.3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5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8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5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5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8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5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8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5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5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5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8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5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8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8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8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8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8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8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8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8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1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1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1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1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1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1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1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1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1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1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8"/>
      <c r="L115" s="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8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8"/>
      <c r="AR115" s="8"/>
      <c r="AS115" s="8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8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8"/>
      <c r="AD117" s="8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8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8"/>
      <c r="L118" s="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8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8"/>
      <c r="K119" s="8"/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8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8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8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8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8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8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8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8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8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8"/>
      <c r="AD136" s="7"/>
      <c r="AE136" s="7"/>
      <c r="AF136" s="8"/>
      <c r="AG136" s="8"/>
      <c r="AH136" s="7"/>
      <c r="AI136" s="7"/>
      <c r="AJ136" s="7"/>
      <c r="AK136" s="7"/>
      <c r="AL136" s="7"/>
      <c r="AM136" s="7"/>
      <c r="AN136" s="7"/>
      <c r="AO136" s="8"/>
      <c r="AP136" s="8"/>
      <c r="AQ136" s="7"/>
      <c r="AR136" s="8"/>
      <c r="AS136" s="8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8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8"/>
      <c r="AD144" s="8"/>
      <c r="AE144" s="7"/>
      <c r="AF144" s="7"/>
      <c r="AG144" s="8"/>
      <c r="AH144" s="7"/>
      <c r="AI144" s="7"/>
      <c r="AJ144" s="7"/>
      <c r="AK144" s="7"/>
      <c r="AL144" s="7"/>
      <c r="AM144" s="7"/>
      <c r="AN144" s="7"/>
      <c r="AO144" s="8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8"/>
      <c r="AD166" s="8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8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8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8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8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8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8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1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1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1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1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1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1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1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8"/>
      <c r="L286" s="8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8"/>
      <c r="AF286" s="8"/>
      <c r="AG286" s="8"/>
      <c r="AH286" s="7"/>
      <c r="AI286" s="7"/>
      <c r="AJ286" s="7"/>
      <c r="AK286" s="8"/>
      <c r="AL286" s="8"/>
      <c r="AM286" s="8"/>
      <c r="AN286" s="7"/>
      <c r="AO286" s="7"/>
      <c r="AP286" s="7"/>
      <c r="AQ286" s="8"/>
      <c r="AR286" s="8"/>
      <c r="AS286" s="8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8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8"/>
      <c r="AG287" s="8"/>
      <c r="AH287" s="7"/>
      <c r="AI287" s="7"/>
      <c r="AJ287" s="7"/>
      <c r="AK287" s="8"/>
      <c r="AL287" s="8"/>
      <c r="AM287" s="8"/>
      <c r="AN287" s="7"/>
      <c r="AO287" s="7"/>
      <c r="AP287" s="7"/>
      <c r="AQ287" s="7"/>
      <c r="AR287" s="8"/>
      <c r="AS287" s="8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8"/>
      <c r="AG288" s="8"/>
      <c r="AH288" s="7"/>
      <c r="AI288" s="7"/>
      <c r="AJ288" s="7"/>
      <c r="AK288" s="8"/>
      <c r="AL288" s="8"/>
      <c r="AM288" s="8"/>
      <c r="AN288" s="7"/>
      <c r="AO288" s="7"/>
      <c r="AP288" s="7"/>
      <c r="AQ288" s="8"/>
      <c r="AR288" s="8"/>
      <c r="AS288" s="8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8"/>
      <c r="AG289" s="8"/>
      <c r="AH289" s="7"/>
      <c r="AI289" s="7"/>
      <c r="AJ289" s="7"/>
      <c r="AK289" s="8"/>
      <c r="AL289" s="8"/>
      <c r="AM289" s="8"/>
      <c r="AN289" s="7"/>
      <c r="AO289" s="7"/>
      <c r="AP289" s="7"/>
      <c r="AQ289" s="8"/>
      <c r="AR289" s="8"/>
      <c r="AS289" s="8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8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8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8"/>
      <c r="AF291" s="8"/>
      <c r="AG291" s="8"/>
      <c r="AH291" s="7"/>
      <c r="AI291" s="7"/>
      <c r="AJ291" s="7"/>
      <c r="AK291" s="8"/>
      <c r="AL291" s="8"/>
      <c r="AM291" s="8"/>
      <c r="AN291" s="7"/>
      <c r="AO291" s="7"/>
      <c r="AP291" s="7"/>
      <c r="AQ291" s="7"/>
      <c r="AR291" s="8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8"/>
      <c r="AF292" s="8"/>
      <c r="AG292" s="8"/>
      <c r="AH292" s="7"/>
      <c r="AI292" s="7"/>
      <c r="AJ292" s="7"/>
      <c r="AK292" s="8"/>
      <c r="AL292" s="8"/>
      <c r="AM292" s="8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8"/>
      <c r="AF293" s="8"/>
      <c r="AG293" s="8"/>
      <c r="AH293" s="7"/>
      <c r="AI293" s="7"/>
      <c r="AJ293" s="7"/>
      <c r="AK293" s="8"/>
      <c r="AL293" s="8"/>
      <c r="AM293" s="8"/>
      <c r="AN293" s="7"/>
      <c r="AO293" s="7"/>
      <c r="AP293" s="7"/>
      <c r="AQ293" s="7"/>
      <c r="AR293" s="8"/>
      <c r="AS293" s="8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8"/>
      <c r="L294" s="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8"/>
      <c r="AF294" s="8"/>
      <c r="AG294" s="8"/>
      <c r="AH294" s="7"/>
      <c r="AI294" s="7"/>
      <c r="AJ294" s="7"/>
      <c r="AK294" s="8"/>
      <c r="AL294" s="8"/>
      <c r="AM294" s="8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/>
      <c r="AF295" s="8"/>
      <c r="AG295" s="8"/>
      <c r="AH295" s="7"/>
      <c r="AI295" s="7"/>
      <c r="AJ295" s="7"/>
      <c r="AK295" s="8"/>
      <c r="AL295" s="8"/>
      <c r="AM295" s="8"/>
      <c r="AN295" s="7"/>
      <c r="AO295" s="7"/>
      <c r="AP295" s="7"/>
      <c r="AQ295" s="7"/>
      <c r="AR295" s="8"/>
      <c r="AS295" s="8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8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8"/>
      <c r="AF296" s="8"/>
      <c r="AG296" s="8"/>
      <c r="AH296" s="7"/>
      <c r="AI296" s="7"/>
      <c r="AJ296" s="7"/>
      <c r="AK296" s="8"/>
      <c r="AL296" s="8"/>
      <c r="AM296" s="8"/>
      <c r="AN296" s="7"/>
      <c r="AO296" s="7"/>
      <c r="AP296" s="7"/>
      <c r="AQ296" s="7"/>
      <c r="AR296" s="8"/>
      <c r="AS296" s="8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8"/>
      <c r="AH297" s="7"/>
      <c r="AI297" s="7"/>
      <c r="AJ297" s="7"/>
      <c r="AK297" s="8"/>
      <c r="AL297" s="8"/>
      <c r="AM297" s="8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8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8"/>
      <c r="K299" s="7"/>
      <c r="L299" s="8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8"/>
      <c r="AH299" s="7"/>
      <c r="AI299" s="7"/>
      <c r="AJ299" s="7"/>
      <c r="AK299" s="7"/>
      <c r="AL299" s="8"/>
      <c r="AM299" s="8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8"/>
      <c r="AN301" s="7"/>
      <c r="AO301" s="7"/>
      <c r="AP301" s="7"/>
      <c r="AQ301" s="7"/>
      <c r="AR301" s="8"/>
      <c r="AS301" s="8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8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8"/>
      <c r="AS302" s="8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8"/>
      <c r="AJ303" s="8"/>
      <c r="AK303" s="7"/>
      <c r="AL303" s="7"/>
      <c r="AM303" s="7"/>
      <c r="AN303" s="7"/>
      <c r="AO303" s="7"/>
      <c r="AP303" s="7"/>
      <c r="AQ303" s="7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8"/>
      <c r="AN304" s="7"/>
      <c r="AO304" s="7"/>
      <c r="AP304" s="7"/>
      <c r="AQ304" s="7"/>
      <c r="AR304" s="8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8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8"/>
      <c r="AS306" s="8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8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8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8"/>
      <c r="AH317" s="7"/>
      <c r="AI317" s="7"/>
      <c r="AJ317" s="7"/>
      <c r="AK317" s="7"/>
      <c r="AL317" s="8"/>
      <c r="AM317" s="8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8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8"/>
      <c r="AH320" s="7"/>
      <c r="AI320" s="7"/>
      <c r="AJ320" s="7"/>
      <c r="AK320" s="7"/>
      <c r="AL320" s="8"/>
      <c r="AM320" s="8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8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8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8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8"/>
      <c r="AM330" s="8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8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8"/>
      <c r="AJ332" s="7"/>
      <c r="AK332" s="7"/>
      <c r="AL332" s="8"/>
      <c r="AM332" s="7"/>
      <c r="AN332" s="7"/>
      <c r="AO332" s="8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8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8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8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8"/>
      <c r="AH361" s="7"/>
      <c r="AI361" s="7"/>
      <c r="AJ361" s="7"/>
      <c r="AK361" s="7"/>
      <c r="AL361" s="7"/>
      <c r="AM361" s="8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8"/>
      <c r="AH362" s="7"/>
      <c r="AI362" s="7"/>
      <c r="AJ362" s="7"/>
      <c r="AK362" s="7"/>
      <c r="AL362" s="7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8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8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8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8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8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8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7"/>
      <c r="AH387" s="7"/>
      <c r="AI387" s="7"/>
      <c r="AJ387" s="7"/>
      <c r="AK387" s="7"/>
      <c r="AL387" s="7"/>
      <c r="AM387" s="8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8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8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1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1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1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1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1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1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1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1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1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1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1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1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1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1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2022-12-02T06:37:57Z</dcterms:modified>
</cp:coreProperties>
</file>