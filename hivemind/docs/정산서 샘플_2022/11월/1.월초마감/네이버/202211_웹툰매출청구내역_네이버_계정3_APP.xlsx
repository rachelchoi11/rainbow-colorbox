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'합계(11)'!$A$1:$BQ$32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N65" i="412" l="1"/>
  <c r="BO65" i="412" s="1"/>
  <c r="BN64" i="412" l="1"/>
  <c r="BO64" i="412" s="1"/>
  <c r="BN33" i="412" l="1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32" i="412"/>
  <c r="BO3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2" i="412"/>
  <c r="BO2" i="412" s="1"/>
  <c r="BO66" i="412" l="1"/>
</calcChain>
</file>

<file path=xl/sharedStrings.xml><?xml version="1.0" encoding="utf-8"?>
<sst xmlns="http://schemas.openxmlformats.org/spreadsheetml/2006/main" count="517" uniqueCount="159">
  <si>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</si>
  <si>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</si>
  <si>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</si>
  <si>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</si>
  <si>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</si>
  <si>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</si>
  <si>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</si>
  <si>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</si>
  <si>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</si>
  <si>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</si>
  <si>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</si>
  <si>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</si>
  <si>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</si>
  <si>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</si>
  <si>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</si>
  <si>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</si>
  <si>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</si>
  <si>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</si>
  <si>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</si>
  <si>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</si>
  <si>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</si>
  <si>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</si>
  <si>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</si>
  <si>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</si>
  <si>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</si>
  <si>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</si>
  <si>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</si>
  <si>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</si>
  <si>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</si>
  <si>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</si>
  <si>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</si>
  <si>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</si>
  <si>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</si>
  <si>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</si>
  <si>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</si>
  <si>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</si>
  <si>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</si>
  <si>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</si>
  <si>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</si>
  <si>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</si>
  <si>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</si>
  <si>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</si>
  <si>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</si>
  <si>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</si>
  <si>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</si>
  <si>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</si>
  <si>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</si>
  <si>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</si>
  <si>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</si>
  <si>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</si>
  <si>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</si>
  <si>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</si>
  <si>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</si>
  <si>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</si>
  <si>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</si>
  <si>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</si>
  <si>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</si>
  <si>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</si>
  <si>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</si>
  <si>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</si>
  <si>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</si>
  <si>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</si>
  <si>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</si>
  <si>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</si>
  <si>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</si>
  <si>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</si>
  <si>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</si>
  <si>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</si>
  <si>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</si>
  <si>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</si>
  <si>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</si>
  <si>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</si>
  <si>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</si>
  <si>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</si>
  <si>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2022.09.02</t>
  </si>
  <si>
    <t>별빛 아래 우리</t>
  </si>
  <si>
    <t>스토리위즈_만화</t>
  </si>
  <si>
    <t>건일</t>
  </si>
  <si>
    <t>스토리위즈</t>
  </si>
  <si>
    <t>가출천사 육성계약</t>
  </si>
  <si>
    <t>Bae.C, 조우</t>
  </si>
  <si>
    <t>악역이지만, 남주는 꼬시지 않아요</t>
  </si>
  <si>
    <t>kuri</t>
  </si>
  <si>
    <t>공주전쟁</t>
  </si>
  <si>
    <t>Luojie</t>
  </si>
  <si>
    <t>폐하, 옥체 보존하세요!</t>
  </si>
  <si>
    <t>IvyeqianheXyouzhijiaozi</t>
  </si>
  <si>
    <t>2020.07.13</t>
  </si>
  <si>
    <t>개천고 세계편</t>
  </si>
  <si>
    <t>채준</t>
  </si>
  <si>
    <t>2022.05.02</t>
  </si>
  <si>
    <t>최애에게 들켜버렸다</t>
  </si>
  <si>
    <t>Lv</t>
  </si>
  <si>
    <t>결혼전쟁</t>
  </si>
  <si>
    <t>성c네</t>
  </si>
  <si>
    <t>2018.09.30</t>
  </si>
  <si>
    <t>이세계 소환은 두 번째라구요</t>
  </si>
  <si>
    <t>Arashiyama</t>
  </si>
  <si>
    <t>2021.07.23</t>
  </si>
  <si>
    <t>계약연애, 오늘부터 1일</t>
  </si>
  <si>
    <t>원기공장</t>
  </si>
  <si>
    <t>2019.03.11</t>
  </si>
  <si>
    <t>그남자의 사랑방식 [BL]</t>
  </si>
  <si>
    <t>원색동만</t>
  </si>
  <si>
    <t>2020.02.01</t>
  </si>
  <si>
    <t>역전의★샤이닝스타</t>
  </si>
  <si>
    <t>등광&amp;낙생</t>
  </si>
  <si>
    <t>2018.12.15</t>
  </si>
  <si>
    <t>마스코마스코 [독점]</t>
  </si>
  <si>
    <t>남정훈</t>
  </si>
  <si>
    <t>2021.10.25</t>
  </si>
  <si>
    <t>요괴님은 수련중</t>
  </si>
  <si>
    <t>망북</t>
  </si>
  <si>
    <t>보스 오빠, 살살!</t>
  </si>
  <si>
    <t>웹티, 올코</t>
  </si>
  <si>
    <t>2021.12.04</t>
  </si>
  <si>
    <t>달콤한 결혼</t>
  </si>
  <si>
    <t>낙신동만</t>
  </si>
  <si>
    <t>2019.02.10</t>
  </si>
  <si>
    <t>폭군의 눈물</t>
  </si>
  <si>
    <t>Ice×FANFAN COMIC</t>
  </si>
  <si>
    <t>백스테이지 키스신</t>
  </si>
  <si>
    <t>수정과</t>
  </si>
  <si>
    <t>2019.12.07</t>
  </si>
  <si>
    <t>커피여우 김삼월</t>
  </si>
  <si>
    <t>A.Noa, RK Studio</t>
  </si>
  <si>
    <t>천년의 사랑</t>
  </si>
  <si>
    <t>2019.10.05</t>
  </si>
  <si>
    <t>내 남편의 스토커</t>
  </si>
  <si>
    <t>혜원</t>
  </si>
  <si>
    <t>예쁜 남자 잘생긴 여자</t>
  </si>
  <si>
    <t>웹티,올코</t>
  </si>
  <si>
    <t>2020.08.24</t>
  </si>
  <si>
    <t>달콤한 그와 결혼했습니다</t>
  </si>
  <si>
    <t>2020.05.25</t>
  </si>
  <si>
    <t>사랑을 찾아서</t>
  </si>
  <si>
    <t>웹툰TV</t>
  </si>
  <si>
    <t>2020.04.01</t>
  </si>
  <si>
    <t>웹툰앤엔드(IOS)</t>
    <phoneticPr fontId="20" type="noConversion"/>
  </si>
  <si>
    <t>2022.09.21</t>
  </si>
  <si>
    <t>윤's 커피</t>
  </si>
  <si>
    <t>올코,세븐영</t>
  </si>
  <si>
    <t>웹툰앤엔드APP</t>
    <phoneticPr fontId="20" type="noConversion"/>
  </si>
  <si>
    <t>출판사</t>
    <phoneticPr fontId="20" type="noConversion"/>
  </si>
  <si>
    <t>작가 CP</t>
    <phoneticPr fontId="20" type="noConversion"/>
  </si>
  <si>
    <t>옹주의 호위무사</t>
  </si>
  <si>
    <t>수국</t>
  </si>
  <si>
    <t>2022.10.17</t>
  </si>
  <si>
    <t>일월성신</t>
  </si>
  <si>
    <t>이름표</t>
  </si>
  <si>
    <t>2022.12.01</t>
  </si>
  <si>
    <t>2022.12.02</t>
  </si>
  <si>
    <t>2022.11.30</t>
  </si>
  <si>
    <t>2022.11.28</t>
  </si>
  <si>
    <t>지금은 여장중!</t>
  </si>
  <si>
    <t>CF·성C네</t>
  </si>
  <si>
    <t>2019.09.14</t>
  </si>
  <si>
    <t>대표님과 연애를 시작했습니다</t>
  </si>
  <si>
    <t>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</si>
</sst>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2" fillId="0" borderId="0" xfId="0" applyFont="1">
      <alignment vertical="center"/>
    </xf>
    <xf numFmtId="43" fontId="22" fillId="0" borderId="0" xfId="42" applyNumberFormat="1" applyFont="1" applyFill="1">
      <alignment vertical="center"/>
    </xf>
    <xf numFmtId="41" fontId="23" fillId="34" borderId="0" xfId="42" applyFont="1" applyFill="1">
      <alignment vertical="center"/>
    </xf>
    <xf numFmtId="0" fontId="24" fillId="0" borderId="0" xfId="0" applyFont="1" applyAlignment="1">
      <alignment horizontal="left" vertical="center" wrapText="1"/>
    </xf>
    <xf numFmtId="4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73"/>
  <sheetViews>
    <sheetView tabSelected="1" topLeftCell="AS54" zoomScaleNormal="100" workbookViewId="0">
      <selection activeCell="BO65" sqref="BO65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7.75" style="13" customWidth="1"/>
    <col min="67" max="67" width="16.75" style="13" customWidth="1"/>
  </cols>
  <sheetData>
    <row r="1" spans="1:69" ht="27" customHeight="1" x14ac:dyDescent="0.3">
      <c r="A1" s="2" t="s">
        <v>16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17</v>
      </c>
      <c r="I1" s="14" t="s">
        <v>6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  <c r="R1" s="12" t="s">
        <v>26</v>
      </c>
      <c r="S1" s="12" t="s">
        <v>27</v>
      </c>
      <c r="T1" s="12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2" t="s">
        <v>47</v>
      </c>
      <c r="AN1" s="12" t="s">
        <v>48</v>
      </c>
      <c r="AO1" s="12" t="s">
        <v>49</v>
      </c>
      <c r="AP1" s="12" t="s">
        <v>50</v>
      </c>
      <c r="AQ1" s="12" t="s">
        <v>51</v>
      </c>
      <c r="AR1" s="12" t="s">
        <v>52</v>
      </c>
      <c r="AS1" s="12" t="s">
        <v>53</v>
      </c>
      <c r="AT1" s="12" t="s">
        <v>54</v>
      </c>
      <c r="AU1" s="12" t="s">
        <v>55</v>
      </c>
      <c r="AV1" s="12" t="s">
        <v>56</v>
      </c>
      <c r="AW1" s="12" t="s">
        <v>57</v>
      </c>
      <c r="AX1" s="12" t="s">
        <v>58</v>
      </c>
      <c r="AY1" s="12" t="s">
        <v>59</v>
      </c>
      <c r="AZ1" s="12" t="s">
        <v>60</v>
      </c>
      <c r="BA1" s="12" t="s">
        <v>61</v>
      </c>
      <c r="BB1" s="12" t="s">
        <v>62</v>
      </c>
      <c r="BC1" s="12" t="s">
        <v>63</v>
      </c>
      <c r="BD1" s="12" t="s">
        <v>64</v>
      </c>
      <c r="BE1" s="12" t="s">
        <v>65</v>
      </c>
      <c r="BF1" s="12" t="s">
        <v>66</v>
      </c>
      <c r="BG1" s="12" t="s">
        <v>67</v>
      </c>
      <c r="BH1" s="12" t="s">
        <v>68</v>
      </c>
      <c r="BI1" s="12" t="s">
        <v>69</v>
      </c>
      <c r="BJ1" s="12" t="s">
        <v>70</v>
      </c>
      <c r="BK1" s="12" t="s">
        <v>71</v>
      </c>
      <c r="BL1" s="12" t="s">
        <v>11</v>
      </c>
      <c r="BM1" s="12" t="s">
        <v>10</v>
      </c>
      <c r="BN1" s="12" t="s">
        <v>72</v>
      </c>
      <c r="BO1" s="12" t="s">
        <v>73</v>
      </c>
      <c r="BP1" s="12" t="s">
        <v>143</v>
      </c>
      <c r="BQ1" s="12" t="s">
        <v>144</v>
      </c>
    </row>
    <row r="2" spans="1:69" ht="24" x14ac:dyDescent="0.3">
      <c r="A2" s="5" t="s">
        <v>13</v>
      </c>
      <c r="B2" s="20" t="s">
        <v>75</v>
      </c>
      <c r="C2" s="20">
        <v>435954</v>
      </c>
      <c r="D2" s="21"/>
      <c r="E2" s="20" t="s">
        <v>76</v>
      </c>
      <c r="F2" s="20" t="s">
        <v>77</v>
      </c>
      <c r="G2" s="20" t="s">
        <v>78</v>
      </c>
      <c r="H2" s="22" t="s">
        <v>7</v>
      </c>
      <c r="I2" s="22" t="s">
        <v>150</v>
      </c>
      <c r="J2" s="22">
        <v>0</v>
      </c>
      <c r="K2" s="22">
        <v>28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4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444</v>
      </c>
      <c r="AC2" s="23">
        <v>38360</v>
      </c>
      <c r="AD2" s="23">
        <v>50500</v>
      </c>
      <c r="AE2" s="22">
        <v>101</v>
      </c>
      <c r="AF2" s="23">
        <v>4880</v>
      </c>
      <c r="AG2" s="23">
        <v>35200</v>
      </c>
      <c r="AH2" s="22">
        <v>3</v>
      </c>
      <c r="AI2" s="22">
        <v>480</v>
      </c>
      <c r="AJ2" s="22">
        <v>200</v>
      </c>
      <c r="AK2" s="22">
        <v>0</v>
      </c>
      <c r="AL2" s="22">
        <v>0</v>
      </c>
      <c r="AM2" s="22">
        <v>0</v>
      </c>
      <c r="AN2" s="22">
        <v>73</v>
      </c>
      <c r="AO2" s="23">
        <v>13800</v>
      </c>
      <c r="AP2" s="22">
        <v>600</v>
      </c>
      <c r="AQ2" s="22">
        <v>8</v>
      </c>
      <c r="AR2" s="23">
        <v>3000</v>
      </c>
      <c r="AS2" s="22">
        <v>200</v>
      </c>
      <c r="AT2" s="22">
        <v>63</v>
      </c>
      <c r="AU2" s="23">
        <v>15120</v>
      </c>
      <c r="AV2" s="22">
        <v>0</v>
      </c>
      <c r="AW2" s="22">
        <v>11</v>
      </c>
      <c r="AX2" s="23">
        <v>5280</v>
      </c>
      <c r="AY2" s="22">
        <v>0</v>
      </c>
      <c r="AZ2" s="22">
        <v>429</v>
      </c>
      <c r="BA2" s="23">
        <v>101760</v>
      </c>
      <c r="BB2" s="22">
        <v>500</v>
      </c>
      <c r="BC2" s="22">
        <v>36</v>
      </c>
      <c r="BD2" s="23">
        <v>16800</v>
      </c>
      <c r="BE2" s="22">
        <v>0</v>
      </c>
      <c r="BF2" s="22">
        <v>1</v>
      </c>
      <c r="BG2" s="22">
        <v>240</v>
      </c>
      <c r="BH2" s="22">
        <v>0</v>
      </c>
      <c r="BI2" s="22">
        <v>0</v>
      </c>
      <c r="BJ2" s="22">
        <v>0</v>
      </c>
      <c r="BK2" s="22">
        <v>0</v>
      </c>
      <c r="BL2" s="24">
        <v>9309.6</v>
      </c>
      <c r="BM2" s="25">
        <v>286920</v>
      </c>
      <c r="BN2" s="15">
        <f>BM2-BL2</f>
        <v>277610.40000000002</v>
      </c>
      <c r="BO2" s="18">
        <f>BN2*70%</f>
        <v>194327.28</v>
      </c>
      <c r="BP2" s="17"/>
      <c r="BQ2" s="17"/>
    </row>
    <row r="3" spans="1:69" ht="24" x14ac:dyDescent="0.3">
      <c r="A3" s="5" t="s">
        <v>13</v>
      </c>
      <c r="B3" s="20" t="s">
        <v>81</v>
      </c>
      <c r="C3" s="20">
        <v>465461</v>
      </c>
      <c r="D3" s="21"/>
      <c r="E3" s="20" t="s">
        <v>76</v>
      </c>
      <c r="F3" s="20" t="s">
        <v>82</v>
      </c>
      <c r="G3" s="20" t="s">
        <v>78</v>
      </c>
      <c r="H3" s="22" t="s">
        <v>7</v>
      </c>
      <c r="I3" s="22" t="s">
        <v>151</v>
      </c>
      <c r="J3" s="22">
        <v>0</v>
      </c>
      <c r="K3" s="22">
        <v>13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4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295</v>
      </c>
      <c r="AC3" s="23">
        <v>24260</v>
      </c>
      <c r="AD3" s="23">
        <v>34600</v>
      </c>
      <c r="AE3" s="22">
        <v>77</v>
      </c>
      <c r="AF3" s="23">
        <v>25280</v>
      </c>
      <c r="AG3" s="23">
        <v>5500</v>
      </c>
      <c r="AH3" s="22">
        <v>1</v>
      </c>
      <c r="AI3" s="22">
        <v>0</v>
      </c>
      <c r="AJ3" s="22">
        <v>200</v>
      </c>
      <c r="AK3" s="22">
        <v>0</v>
      </c>
      <c r="AL3" s="22">
        <v>0</v>
      </c>
      <c r="AM3" s="22">
        <v>0</v>
      </c>
      <c r="AN3" s="22">
        <v>13</v>
      </c>
      <c r="AO3" s="23">
        <v>2600</v>
      </c>
      <c r="AP3" s="22">
        <v>0</v>
      </c>
      <c r="AQ3" s="22">
        <v>31</v>
      </c>
      <c r="AR3" s="23">
        <v>11300</v>
      </c>
      <c r="AS3" s="22">
        <v>900</v>
      </c>
      <c r="AT3" s="22">
        <v>148</v>
      </c>
      <c r="AU3" s="23">
        <v>35520</v>
      </c>
      <c r="AV3" s="22">
        <v>0</v>
      </c>
      <c r="AW3" s="22">
        <v>8</v>
      </c>
      <c r="AX3" s="23">
        <v>3360</v>
      </c>
      <c r="AY3" s="22">
        <v>0</v>
      </c>
      <c r="AZ3" s="22">
        <v>183</v>
      </c>
      <c r="BA3" s="23">
        <v>43560</v>
      </c>
      <c r="BB3" s="22">
        <v>0</v>
      </c>
      <c r="BC3" s="22">
        <v>21</v>
      </c>
      <c r="BD3" s="23">
        <v>9480</v>
      </c>
      <c r="BE3" s="22">
        <v>0</v>
      </c>
      <c r="BF3" s="22">
        <v>0</v>
      </c>
      <c r="BG3" s="22">
        <v>0</v>
      </c>
      <c r="BH3" s="22">
        <v>0</v>
      </c>
      <c r="BI3" s="22">
        <v>0</v>
      </c>
      <c r="BJ3" s="22">
        <v>0</v>
      </c>
      <c r="BK3" s="22">
        <v>0</v>
      </c>
      <c r="BL3" s="24">
        <v>7070.4</v>
      </c>
      <c r="BM3" s="25">
        <v>196560</v>
      </c>
      <c r="BN3" s="15">
        <f t="shared" ref="BN3:BN31" si="0">BM3-BL3</f>
        <v>189489.6</v>
      </c>
      <c r="BO3" s="16">
        <f t="shared" ref="BO3:BO31" si="1">BN3*70%</f>
        <v>132642.72</v>
      </c>
      <c r="BP3" s="17"/>
      <c r="BQ3" s="17"/>
    </row>
    <row r="4" spans="1:69" ht="24" x14ac:dyDescent="0.3">
      <c r="A4" s="5" t="s">
        <v>13</v>
      </c>
      <c r="B4" s="20" t="s">
        <v>88</v>
      </c>
      <c r="C4" s="20">
        <v>467630</v>
      </c>
      <c r="D4" s="21"/>
      <c r="E4" s="20" t="s">
        <v>76</v>
      </c>
      <c r="F4" s="20" t="s">
        <v>89</v>
      </c>
      <c r="G4" s="20" t="s">
        <v>78</v>
      </c>
      <c r="H4" s="22" t="s">
        <v>8</v>
      </c>
      <c r="I4" s="22" t="s">
        <v>90</v>
      </c>
      <c r="J4" s="22">
        <v>0</v>
      </c>
      <c r="K4" s="22">
        <v>12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8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212</v>
      </c>
      <c r="AC4" s="23">
        <v>44200</v>
      </c>
      <c r="AD4" s="23">
        <v>1800</v>
      </c>
      <c r="AE4" s="22">
        <v>74</v>
      </c>
      <c r="AF4" s="23">
        <v>22000</v>
      </c>
      <c r="AG4" s="23">
        <v>7600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90</v>
      </c>
      <c r="AO4" s="23">
        <v>17300</v>
      </c>
      <c r="AP4" s="22">
        <v>700</v>
      </c>
      <c r="AQ4" s="22">
        <v>0</v>
      </c>
      <c r="AR4" s="22">
        <v>0</v>
      </c>
      <c r="AS4" s="22">
        <v>0</v>
      </c>
      <c r="AT4" s="22">
        <v>134</v>
      </c>
      <c r="AU4" s="23">
        <v>32160</v>
      </c>
      <c r="AV4" s="22">
        <v>0</v>
      </c>
      <c r="AW4" s="22">
        <v>0</v>
      </c>
      <c r="AX4" s="22">
        <v>0</v>
      </c>
      <c r="AY4" s="22">
        <v>0</v>
      </c>
      <c r="AZ4" s="22">
        <v>79</v>
      </c>
      <c r="BA4" s="23">
        <v>18960</v>
      </c>
      <c r="BB4" s="22">
        <v>0</v>
      </c>
      <c r="BC4" s="22">
        <v>4</v>
      </c>
      <c r="BD4" s="23">
        <v>1920</v>
      </c>
      <c r="BE4" s="22">
        <v>0</v>
      </c>
      <c r="BF4" s="22">
        <v>0</v>
      </c>
      <c r="BG4" s="22">
        <v>0</v>
      </c>
      <c r="BH4" s="22">
        <v>0</v>
      </c>
      <c r="BI4" s="22">
        <v>0</v>
      </c>
      <c r="BJ4" s="22">
        <v>0</v>
      </c>
      <c r="BK4" s="22">
        <v>0</v>
      </c>
      <c r="BL4" s="24">
        <v>4468.8</v>
      </c>
      <c r="BM4" s="25">
        <v>146640</v>
      </c>
      <c r="BN4" s="15">
        <f t="shared" si="0"/>
        <v>142171.20000000001</v>
      </c>
      <c r="BO4" s="16">
        <f t="shared" si="1"/>
        <v>99519.84</v>
      </c>
      <c r="BP4" s="17"/>
      <c r="BQ4" s="17"/>
    </row>
    <row r="5" spans="1:69" ht="24" x14ac:dyDescent="0.3">
      <c r="A5" s="5" t="s">
        <v>13</v>
      </c>
      <c r="B5" s="20" t="s">
        <v>79</v>
      </c>
      <c r="C5" s="20">
        <v>465463</v>
      </c>
      <c r="D5" s="21"/>
      <c r="E5" s="20" t="s">
        <v>76</v>
      </c>
      <c r="F5" s="20" t="s">
        <v>80</v>
      </c>
      <c r="G5" s="20" t="s">
        <v>78</v>
      </c>
      <c r="H5" s="22" t="s">
        <v>9</v>
      </c>
      <c r="I5" s="22" t="s">
        <v>139</v>
      </c>
      <c r="J5" s="22">
        <v>4</v>
      </c>
      <c r="K5" s="22">
        <v>13</v>
      </c>
      <c r="L5" s="22">
        <v>800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131</v>
      </c>
      <c r="AC5" s="23">
        <v>11700</v>
      </c>
      <c r="AD5" s="23">
        <v>14300</v>
      </c>
      <c r="AE5" s="22">
        <v>2</v>
      </c>
      <c r="AF5" s="22">
        <v>400</v>
      </c>
      <c r="AG5" s="22">
        <v>400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19</v>
      </c>
      <c r="AO5" s="23">
        <v>3700</v>
      </c>
      <c r="AP5" s="22">
        <v>0</v>
      </c>
      <c r="AQ5" s="22">
        <v>0</v>
      </c>
      <c r="AR5" s="22">
        <v>0</v>
      </c>
      <c r="AS5" s="22">
        <v>0</v>
      </c>
      <c r="AT5" s="22">
        <v>32</v>
      </c>
      <c r="AU5" s="23">
        <v>7680</v>
      </c>
      <c r="AV5" s="22">
        <v>0</v>
      </c>
      <c r="AW5" s="22">
        <v>0</v>
      </c>
      <c r="AX5" s="22">
        <v>0</v>
      </c>
      <c r="AY5" s="22">
        <v>0</v>
      </c>
      <c r="AZ5" s="22">
        <v>162</v>
      </c>
      <c r="BA5" s="23">
        <v>38760</v>
      </c>
      <c r="BB5" s="22">
        <v>0</v>
      </c>
      <c r="BC5" s="22">
        <v>1</v>
      </c>
      <c r="BD5" s="22">
        <v>480</v>
      </c>
      <c r="BE5" s="22">
        <v>0</v>
      </c>
      <c r="BF5" s="22">
        <v>0</v>
      </c>
      <c r="BG5" s="22">
        <v>0</v>
      </c>
      <c r="BH5" s="22">
        <v>0</v>
      </c>
      <c r="BI5" s="22">
        <v>0</v>
      </c>
      <c r="BJ5" s="22">
        <v>0</v>
      </c>
      <c r="BK5" s="22">
        <v>0</v>
      </c>
      <c r="BL5" s="24">
        <v>3122.4</v>
      </c>
      <c r="BM5" s="25">
        <v>78220</v>
      </c>
      <c r="BN5" s="15">
        <f t="shared" si="0"/>
        <v>75097.600000000006</v>
      </c>
      <c r="BO5" s="16">
        <f t="shared" si="1"/>
        <v>52568.32</v>
      </c>
      <c r="BP5" s="17"/>
      <c r="BQ5" s="17"/>
    </row>
    <row r="6" spans="1:69" ht="24" x14ac:dyDescent="0.3">
      <c r="A6" s="5" t="s">
        <v>13</v>
      </c>
      <c r="B6" s="20" t="s">
        <v>124</v>
      </c>
      <c r="C6" s="20">
        <v>464964</v>
      </c>
      <c r="D6" s="21"/>
      <c r="E6" s="20" t="s">
        <v>76</v>
      </c>
      <c r="F6" s="20" t="s">
        <v>125</v>
      </c>
      <c r="G6" s="20" t="s">
        <v>78</v>
      </c>
      <c r="H6" s="22" t="s">
        <v>7</v>
      </c>
      <c r="I6" s="22" t="s">
        <v>152</v>
      </c>
      <c r="J6" s="22">
        <v>0</v>
      </c>
      <c r="K6" s="22">
        <v>3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3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24</v>
      </c>
      <c r="AC6" s="23">
        <v>1480</v>
      </c>
      <c r="AD6" s="23">
        <v>3300</v>
      </c>
      <c r="AE6" s="22">
        <v>1</v>
      </c>
      <c r="AF6" s="22">
        <v>0</v>
      </c>
      <c r="AG6" s="22">
        <v>400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1</v>
      </c>
      <c r="AO6" s="22">
        <v>200</v>
      </c>
      <c r="AP6" s="22">
        <v>0</v>
      </c>
      <c r="AQ6" s="22">
        <v>0</v>
      </c>
      <c r="AR6" s="22">
        <v>0</v>
      </c>
      <c r="AS6" s="22">
        <v>0</v>
      </c>
      <c r="AT6" s="22">
        <v>41</v>
      </c>
      <c r="AU6" s="23">
        <v>9840</v>
      </c>
      <c r="AV6" s="22">
        <v>0</v>
      </c>
      <c r="AW6" s="22">
        <v>8</v>
      </c>
      <c r="AX6" s="23">
        <v>4800</v>
      </c>
      <c r="AY6" s="22">
        <v>0</v>
      </c>
      <c r="AZ6" s="22">
        <v>51</v>
      </c>
      <c r="BA6" s="23">
        <v>12120</v>
      </c>
      <c r="BB6" s="22">
        <v>0</v>
      </c>
      <c r="BC6" s="22">
        <v>37</v>
      </c>
      <c r="BD6" s="23">
        <v>21720</v>
      </c>
      <c r="BE6" s="22">
        <v>0</v>
      </c>
      <c r="BF6" s="22">
        <v>0</v>
      </c>
      <c r="BG6" s="22">
        <v>0</v>
      </c>
      <c r="BH6" s="22">
        <v>0</v>
      </c>
      <c r="BI6" s="22">
        <v>0</v>
      </c>
      <c r="BJ6" s="22">
        <v>0</v>
      </c>
      <c r="BK6" s="22">
        <v>0</v>
      </c>
      <c r="BL6" s="24">
        <v>3494.4</v>
      </c>
      <c r="BM6" s="25">
        <v>53860</v>
      </c>
      <c r="BN6" s="15">
        <f t="shared" si="0"/>
        <v>50365.599999999999</v>
      </c>
      <c r="BO6" s="16">
        <f t="shared" si="1"/>
        <v>35255.919999999998</v>
      </c>
      <c r="BP6" s="17"/>
      <c r="BQ6" s="17"/>
    </row>
    <row r="7" spans="1:69" ht="24" x14ac:dyDescent="0.3">
      <c r="A7" s="5" t="s">
        <v>13</v>
      </c>
      <c r="B7" s="20" t="s">
        <v>145</v>
      </c>
      <c r="C7" s="20">
        <v>484291</v>
      </c>
      <c r="D7" s="21"/>
      <c r="E7" s="20" t="s">
        <v>76</v>
      </c>
      <c r="F7" s="20" t="s">
        <v>146</v>
      </c>
      <c r="G7" s="20" t="s">
        <v>78</v>
      </c>
      <c r="H7" s="22" t="s">
        <v>7</v>
      </c>
      <c r="I7" s="22" t="s">
        <v>147</v>
      </c>
      <c r="J7" s="22">
        <v>0</v>
      </c>
      <c r="K7" s="23">
        <v>2846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54</v>
      </c>
      <c r="AC7" s="22">
        <v>600</v>
      </c>
      <c r="AD7" s="23">
        <v>10100</v>
      </c>
      <c r="AE7" s="22">
        <v>3</v>
      </c>
      <c r="AF7" s="22">
        <v>0</v>
      </c>
      <c r="AG7" s="22">
        <v>900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1</v>
      </c>
      <c r="AR7" s="22">
        <v>300</v>
      </c>
      <c r="AS7" s="22">
        <v>0</v>
      </c>
      <c r="AT7" s="22">
        <v>56</v>
      </c>
      <c r="AU7" s="23">
        <v>13440</v>
      </c>
      <c r="AV7" s="22">
        <v>0</v>
      </c>
      <c r="AW7" s="22">
        <v>0</v>
      </c>
      <c r="AX7" s="22">
        <v>0</v>
      </c>
      <c r="AY7" s="22">
        <v>0</v>
      </c>
      <c r="AZ7" s="22">
        <v>60</v>
      </c>
      <c r="BA7" s="23">
        <v>14040</v>
      </c>
      <c r="BB7" s="22">
        <v>200</v>
      </c>
      <c r="BC7" s="22">
        <v>0</v>
      </c>
      <c r="BD7" s="22">
        <v>0</v>
      </c>
      <c r="BE7" s="22">
        <v>0</v>
      </c>
      <c r="BF7" s="22">
        <v>0</v>
      </c>
      <c r="BG7" s="22">
        <v>0</v>
      </c>
      <c r="BH7" s="22">
        <v>0</v>
      </c>
      <c r="BI7" s="22">
        <v>0</v>
      </c>
      <c r="BJ7" s="22">
        <v>0</v>
      </c>
      <c r="BK7" s="22">
        <v>0</v>
      </c>
      <c r="BL7" s="24">
        <v>2186.4</v>
      </c>
      <c r="BM7" s="25">
        <v>39580</v>
      </c>
      <c r="BN7" s="15">
        <f t="shared" si="0"/>
        <v>37393.599999999999</v>
      </c>
      <c r="BO7" s="16">
        <f t="shared" si="1"/>
        <v>26175.519999999997</v>
      </c>
      <c r="BP7" s="17"/>
      <c r="BQ7" s="17"/>
    </row>
    <row r="8" spans="1:69" ht="24" x14ac:dyDescent="0.3">
      <c r="A8" s="5" t="s">
        <v>13</v>
      </c>
      <c r="B8" s="20" t="s">
        <v>91</v>
      </c>
      <c r="C8" s="20">
        <v>432749</v>
      </c>
      <c r="D8" s="21"/>
      <c r="E8" s="20" t="s">
        <v>76</v>
      </c>
      <c r="F8" s="20" t="s">
        <v>92</v>
      </c>
      <c r="G8" s="20" t="s">
        <v>78</v>
      </c>
      <c r="H8" s="22" t="s">
        <v>7</v>
      </c>
      <c r="I8" s="22" t="s">
        <v>150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43</v>
      </c>
      <c r="AC8" s="23">
        <v>1040</v>
      </c>
      <c r="AD8" s="23">
        <v>7400</v>
      </c>
      <c r="AE8" s="22">
        <v>8</v>
      </c>
      <c r="AF8" s="23">
        <v>1600</v>
      </c>
      <c r="AG8" s="23">
        <v>1600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5</v>
      </c>
      <c r="AO8" s="23">
        <v>1000</v>
      </c>
      <c r="AP8" s="22">
        <v>0</v>
      </c>
      <c r="AQ8" s="22">
        <v>0</v>
      </c>
      <c r="AR8" s="22">
        <v>0</v>
      </c>
      <c r="AS8" s="22">
        <v>0</v>
      </c>
      <c r="AT8" s="22">
        <v>2</v>
      </c>
      <c r="AU8" s="22">
        <v>360</v>
      </c>
      <c r="AV8" s="22">
        <v>0</v>
      </c>
      <c r="AW8" s="22">
        <v>30</v>
      </c>
      <c r="AX8" s="23">
        <v>14400</v>
      </c>
      <c r="AY8" s="22">
        <v>0</v>
      </c>
      <c r="AZ8" s="22">
        <v>35</v>
      </c>
      <c r="BA8" s="23">
        <v>8280</v>
      </c>
      <c r="BB8" s="22">
        <v>0</v>
      </c>
      <c r="BC8" s="22">
        <v>2</v>
      </c>
      <c r="BD8" s="22">
        <v>960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4">
        <v>2030.4</v>
      </c>
      <c r="BM8" s="25">
        <v>36640</v>
      </c>
      <c r="BN8" s="15">
        <f t="shared" si="0"/>
        <v>34609.599999999999</v>
      </c>
      <c r="BO8" s="16">
        <f t="shared" si="1"/>
        <v>24226.719999999998</v>
      </c>
      <c r="BP8" s="17"/>
      <c r="BQ8" s="17"/>
    </row>
    <row r="9" spans="1:69" ht="24" x14ac:dyDescent="0.3">
      <c r="A9" s="5" t="s">
        <v>13</v>
      </c>
      <c r="B9" s="20" t="s">
        <v>93</v>
      </c>
      <c r="C9" s="20">
        <v>307024</v>
      </c>
      <c r="D9" s="21"/>
      <c r="E9" s="20" t="s">
        <v>76</v>
      </c>
      <c r="F9" s="20" t="s">
        <v>94</v>
      </c>
      <c r="G9" s="20" t="s">
        <v>78</v>
      </c>
      <c r="H9" s="22" t="s">
        <v>7</v>
      </c>
      <c r="I9" s="22" t="s">
        <v>95</v>
      </c>
      <c r="J9" s="22">
        <v>0</v>
      </c>
      <c r="K9" s="22">
        <v>18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5</v>
      </c>
      <c r="AC9" s="22">
        <v>400</v>
      </c>
      <c r="AD9" s="22">
        <v>100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68</v>
      </c>
      <c r="AO9" s="23">
        <v>6700</v>
      </c>
      <c r="AP9" s="22">
        <v>100</v>
      </c>
      <c r="AQ9" s="22">
        <v>0</v>
      </c>
      <c r="AR9" s="22">
        <v>0</v>
      </c>
      <c r="AS9" s="22">
        <v>0</v>
      </c>
      <c r="AT9" s="22">
        <v>18</v>
      </c>
      <c r="AU9" s="23">
        <v>2160</v>
      </c>
      <c r="AV9" s="22">
        <v>0</v>
      </c>
      <c r="AW9" s="22">
        <v>0</v>
      </c>
      <c r="AX9" s="22">
        <v>0</v>
      </c>
      <c r="AY9" s="22">
        <v>0</v>
      </c>
      <c r="AZ9" s="22">
        <v>129</v>
      </c>
      <c r="BA9" s="23">
        <v>15480</v>
      </c>
      <c r="BB9" s="22">
        <v>0</v>
      </c>
      <c r="BC9" s="22">
        <v>2</v>
      </c>
      <c r="BD9" s="22">
        <v>480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4">
        <v>1173.5999999999999</v>
      </c>
      <c r="BM9" s="25">
        <v>25420</v>
      </c>
      <c r="BN9" s="15">
        <f t="shared" si="0"/>
        <v>24246.400000000001</v>
      </c>
      <c r="BO9" s="16">
        <f t="shared" si="1"/>
        <v>16972.48</v>
      </c>
      <c r="BP9" s="17"/>
      <c r="BQ9" s="17"/>
    </row>
    <row r="10" spans="1:69" ht="24" x14ac:dyDescent="0.3">
      <c r="A10" s="5" t="s">
        <v>13</v>
      </c>
      <c r="B10" s="20" t="s">
        <v>119</v>
      </c>
      <c r="C10" s="20">
        <v>434897</v>
      </c>
      <c r="D10" s="21"/>
      <c r="E10" s="20" t="s">
        <v>76</v>
      </c>
      <c r="F10" s="20" t="s">
        <v>120</v>
      </c>
      <c r="G10" s="20" t="s">
        <v>78</v>
      </c>
      <c r="H10" s="22" t="s">
        <v>8</v>
      </c>
      <c r="I10" s="22" t="s">
        <v>12</v>
      </c>
      <c r="J10" s="22">
        <v>4</v>
      </c>
      <c r="K10" s="22">
        <v>0</v>
      </c>
      <c r="L10" s="22">
        <v>800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28</v>
      </c>
      <c r="AC10" s="22">
        <v>600</v>
      </c>
      <c r="AD10" s="23">
        <v>5000</v>
      </c>
      <c r="AE10" s="22">
        <v>2</v>
      </c>
      <c r="AF10" s="22">
        <v>0</v>
      </c>
      <c r="AG10" s="22">
        <v>800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9</v>
      </c>
      <c r="AO10" s="23">
        <v>1800</v>
      </c>
      <c r="AP10" s="22">
        <v>0</v>
      </c>
      <c r="AQ10" s="22">
        <v>0</v>
      </c>
      <c r="AR10" s="22">
        <v>0</v>
      </c>
      <c r="AS10" s="22">
        <v>0</v>
      </c>
      <c r="AT10" s="22">
        <v>50</v>
      </c>
      <c r="AU10" s="23">
        <v>12000</v>
      </c>
      <c r="AV10" s="22">
        <v>0</v>
      </c>
      <c r="AW10" s="22">
        <v>1</v>
      </c>
      <c r="AX10" s="22">
        <v>480</v>
      </c>
      <c r="AY10" s="22">
        <v>0</v>
      </c>
      <c r="AZ10" s="22">
        <v>15</v>
      </c>
      <c r="BA10" s="23">
        <v>3600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4">
        <v>1464</v>
      </c>
      <c r="BM10" s="25">
        <v>25080</v>
      </c>
      <c r="BN10" s="15">
        <f t="shared" si="0"/>
        <v>23616</v>
      </c>
      <c r="BO10" s="16">
        <f t="shared" si="1"/>
        <v>16531.2</v>
      </c>
      <c r="BP10" s="17"/>
      <c r="BQ10" s="17"/>
    </row>
    <row r="11" spans="1:69" ht="24" x14ac:dyDescent="0.3">
      <c r="A11" s="5" t="s">
        <v>13</v>
      </c>
      <c r="B11" s="20" t="s">
        <v>113</v>
      </c>
      <c r="C11" s="20">
        <v>436040</v>
      </c>
      <c r="D11" s="21"/>
      <c r="E11" s="20" t="s">
        <v>76</v>
      </c>
      <c r="F11" s="20" t="s">
        <v>114</v>
      </c>
      <c r="G11" s="20" t="s">
        <v>78</v>
      </c>
      <c r="H11" s="22" t="s">
        <v>8</v>
      </c>
      <c r="I11" s="22" t="s">
        <v>115</v>
      </c>
      <c r="J11" s="22">
        <v>0</v>
      </c>
      <c r="K11" s="22">
        <v>9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3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2</v>
      </c>
      <c r="AC11" s="22">
        <v>480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82</v>
      </c>
      <c r="BA11" s="23">
        <v>19680</v>
      </c>
      <c r="BB11" s="22">
        <v>0</v>
      </c>
      <c r="BC11" s="22">
        <v>2</v>
      </c>
      <c r="BD11" s="23">
        <v>1200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4">
        <v>1252.8</v>
      </c>
      <c r="BM11" s="25">
        <v>21360</v>
      </c>
      <c r="BN11" s="15">
        <f t="shared" si="0"/>
        <v>20107.2</v>
      </c>
      <c r="BO11" s="16">
        <f t="shared" si="1"/>
        <v>14075.039999999999</v>
      </c>
      <c r="BP11" s="17"/>
      <c r="BQ11" s="17"/>
    </row>
    <row r="12" spans="1:69" ht="24" x14ac:dyDescent="0.3">
      <c r="A12" s="5" t="s">
        <v>13</v>
      </c>
      <c r="B12" s="20" t="s">
        <v>96</v>
      </c>
      <c r="C12" s="20">
        <v>419155</v>
      </c>
      <c r="D12" s="21"/>
      <c r="E12" s="20" t="s">
        <v>76</v>
      </c>
      <c r="F12" s="20" t="s">
        <v>97</v>
      </c>
      <c r="G12" s="20" t="s">
        <v>78</v>
      </c>
      <c r="H12" s="22" t="s">
        <v>7</v>
      </c>
      <c r="I12" s="22" t="s">
        <v>98</v>
      </c>
      <c r="J12" s="22">
        <v>0</v>
      </c>
      <c r="K12" s="22">
        <v>7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33</v>
      </c>
      <c r="AU12" s="23">
        <v>11880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4">
        <v>1188</v>
      </c>
      <c r="BM12" s="25">
        <v>11880</v>
      </c>
      <c r="BN12" s="15">
        <f t="shared" si="0"/>
        <v>10692</v>
      </c>
      <c r="BO12" s="16">
        <f t="shared" si="1"/>
        <v>7484.4</v>
      </c>
      <c r="BP12" s="17"/>
      <c r="BQ12" s="17"/>
    </row>
    <row r="13" spans="1:69" ht="24" x14ac:dyDescent="0.3">
      <c r="A13" s="5" t="s">
        <v>13</v>
      </c>
      <c r="B13" s="20" t="s">
        <v>108</v>
      </c>
      <c r="C13" s="20">
        <v>448747</v>
      </c>
      <c r="D13" s="21"/>
      <c r="E13" s="20" t="s">
        <v>76</v>
      </c>
      <c r="F13" s="20" t="s">
        <v>109</v>
      </c>
      <c r="G13" s="20" t="s">
        <v>78</v>
      </c>
      <c r="H13" s="22" t="s">
        <v>7</v>
      </c>
      <c r="I13" s="22" t="s">
        <v>110</v>
      </c>
      <c r="J13" s="22">
        <v>0</v>
      </c>
      <c r="K13" s="22">
        <v>3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9</v>
      </c>
      <c r="AF13" s="22">
        <v>0</v>
      </c>
      <c r="AG13" s="23">
        <v>2800</v>
      </c>
      <c r="AH13" s="22">
        <v>0</v>
      </c>
      <c r="AI13" s="22">
        <v>0</v>
      </c>
      <c r="AJ13" s="22">
        <v>0</v>
      </c>
      <c r="AK13" s="22">
        <v>7</v>
      </c>
      <c r="AL13" s="22">
        <v>0</v>
      </c>
      <c r="AM13" s="23">
        <v>2000</v>
      </c>
      <c r="AN13" s="22">
        <v>27</v>
      </c>
      <c r="AO13" s="23">
        <v>4900</v>
      </c>
      <c r="AP13" s="22">
        <v>500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0</v>
      </c>
      <c r="BM13" s="25">
        <v>10200</v>
      </c>
      <c r="BN13" s="15">
        <f t="shared" si="0"/>
        <v>10200</v>
      </c>
      <c r="BO13" s="16">
        <f t="shared" si="1"/>
        <v>7140</v>
      </c>
      <c r="BP13" s="17"/>
      <c r="BQ13" s="17"/>
    </row>
    <row r="14" spans="1:69" ht="24" x14ac:dyDescent="0.3">
      <c r="A14" s="5" t="s">
        <v>13</v>
      </c>
      <c r="B14" s="20" t="s">
        <v>116</v>
      </c>
      <c r="C14" s="20">
        <v>323829</v>
      </c>
      <c r="D14" s="21"/>
      <c r="E14" s="20" t="s">
        <v>76</v>
      </c>
      <c r="F14" s="20" t="s">
        <v>117</v>
      </c>
      <c r="G14" s="20" t="s">
        <v>78</v>
      </c>
      <c r="H14" s="22" t="s">
        <v>7</v>
      </c>
      <c r="I14" s="22" t="s">
        <v>118</v>
      </c>
      <c r="J14" s="22">
        <v>0</v>
      </c>
      <c r="K14" s="22">
        <v>10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35</v>
      </c>
      <c r="AC14" s="22">
        <v>0</v>
      </c>
      <c r="AD14" s="23">
        <v>3500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26</v>
      </c>
      <c r="AO14" s="23">
        <v>2600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30</v>
      </c>
      <c r="BA14" s="23">
        <v>3600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216</v>
      </c>
      <c r="BM14" s="25">
        <v>9700</v>
      </c>
      <c r="BN14" s="15">
        <f t="shared" si="0"/>
        <v>9484</v>
      </c>
      <c r="BO14" s="16">
        <f t="shared" si="1"/>
        <v>6638.7999999999993</v>
      </c>
      <c r="BP14" s="17"/>
      <c r="BQ14" s="17"/>
    </row>
    <row r="15" spans="1:69" ht="24" x14ac:dyDescent="0.3">
      <c r="A15" s="5" t="s">
        <v>13</v>
      </c>
      <c r="B15" s="20" t="s">
        <v>83</v>
      </c>
      <c r="C15" s="20">
        <v>423525</v>
      </c>
      <c r="D15" s="21"/>
      <c r="E15" s="20" t="s">
        <v>76</v>
      </c>
      <c r="F15" s="20" t="s">
        <v>84</v>
      </c>
      <c r="G15" s="20" t="s">
        <v>78</v>
      </c>
      <c r="H15" s="22" t="s">
        <v>7</v>
      </c>
      <c r="I15" s="22" t="s">
        <v>74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28</v>
      </c>
      <c r="AC15" s="22">
        <v>0</v>
      </c>
      <c r="AD15" s="23">
        <v>5600</v>
      </c>
      <c r="AE15" s="22">
        <v>1</v>
      </c>
      <c r="AF15" s="22">
        <v>400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5</v>
      </c>
      <c r="AO15" s="23">
        <v>1000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0</v>
      </c>
      <c r="BM15" s="25">
        <v>7000</v>
      </c>
      <c r="BN15" s="15">
        <f t="shared" si="0"/>
        <v>7000</v>
      </c>
      <c r="BO15" s="16">
        <f t="shared" si="1"/>
        <v>4900</v>
      </c>
      <c r="BP15" s="17"/>
      <c r="BQ15" s="17"/>
    </row>
    <row r="16" spans="1:69" ht="24" x14ac:dyDescent="0.3">
      <c r="A16" s="5" t="s">
        <v>13</v>
      </c>
      <c r="B16" s="20" t="s">
        <v>130</v>
      </c>
      <c r="C16" s="20">
        <v>406076</v>
      </c>
      <c r="D16" s="21"/>
      <c r="E16" s="20" t="s">
        <v>76</v>
      </c>
      <c r="F16" s="20" t="s">
        <v>131</v>
      </c>
      <c r="G16" s="20" t="s">
        <v>78</v>
      </c>
      <c r="H16" s="22" t="s">
        <v>8</v>
      </c>
      <c r="I16" s="22" t="s">
        <v>132</v>
      </c>
      <c r="J16" s="22">
        <v>0</v>
      </c>
      <c r="K16" s="22">
        <v>12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5</v>
      </c>
      <c r="AC16" s="22">
        <v>0</v>
      </c>
      <c r="AD16" s="23">
        <v>1000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21</v>
      </c>
      <c r="AU16" s="23">
        <v>5040</v>
      </c>
      <c r="AV16" s="22">
        <v>0</v>
      </c>
      <c r="AW16" s="22">
        <v>1</v>
      </c>
      <c r="AX16" s="22">
        <v>600</v>
      </c>
      <c r="AY16" s="22">
        <v>0</v>
      </c>
      <c r="AZ16" s="22">
        <v>1</v>
      </c>
      <c r="BA16" s="22">
        <v>240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578.4</v>
      </c>
      <c r="BM16" s="25">
        <v>6880</v>
      </c>
      <c r="BN16" s="15">
        <f t="shared" si="0"/>
        <v>6301.6</v>
      </c>
      <c r="BO16" s="16">
        <f t="shared" si="1"/>
        <v>4411.12</v>
      </c>
      <c r="BP16" s="17"/>
      <c r="BQ16" s="17"/>
    </row>
    <row r="17" spans="1:69" ht="24" x14ac:dyDescent="0.3">
      <c r="A17" s="5" t="s">
        <v>13</v>
      </c>
      <c r="B17" s="20" t="s">
        <v>111</v>
      </c>
      <c r="C17" s="20">
        <v>465658</v>
      </c>
      <c r="D17" s="21"/>
      <c r="E17" s="20" t="s">
        <v>76</v>
      </c>
      <c r="F17" s="20" t="s">
        <v>112</v>
      </c>
      <c r="G17" s="20" t="s">
        <v>78</v>
      </c>
      <c r="H17" s="22" t="s">
        <v>7</v>
      </c>
      <c r="I17" s="22" t="s">
        <v>151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15</v>
      </c>
      <c r="AC17" s="23">
        <v>1800</v>
      </c>
      <c r="AD17" s="23">
        <v>1200</v>
      </c>
      <c r="AE17" s="22">
        <v>4</v>
      </c>
      <c r="AF17" s="23">
        <v>1920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</v>
      </c>
      <c r="AR17" s="22">
        <v>400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2</v>
      </c>
      <c r="BA17" s="22">
        <v>480</v>
      </c>
      <c r="BB17" s="22">
        <v>0</v>
      </c>
      <c r="BC17" s="22">
        <v>1</v>
      </c>
      <c r="BD17" s="22">
        <v>480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57.6</v>
      </c>
      <c r="BM17" s="25">
        <v>6280</v>
      </c>
      <c r="BN17" s="15">
        <f t="shared" si="0"/>
        <v>6222.4</v>
      </c>
      <c r="BO17" s="16">
        <f t="shared" si="1"/>
        <v>4355.6799999999994</v>
      </c>
      <c r="BP17" s="17"/>
      <c r="BQ17" s="17"/>
    </row>
    <row r="18" spans="1:69" ht="24" x14ac:dyDescent="0.3">
      <c r="A18" s="5" t="s">
        <v>13</v>
      </c>
      <c r="B18" s="20" t="s">
        <v>133</v>
      </c>
      <c r="C18" s="20">
        <v>398413</v>
      </c>
      <c r="D18" s="21"/>
      <c r="E18" s="20" t="s">
        <v>76</v>
      </c>
      <c r="F18" s="20" t="s">
        <v>131</v>
      </c>
      <c r="G18" s="20" t="s">
        <v>78</v>
      </c>
      <c r="H18" s="22" t="s">
        <v>8</v>
      </c>
      <c r="I18" s="22" t="s">
        <v>134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23</v>
      </c>
      <c r="BA18" s="23">
        <v>5520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331.2</v>
      </c>
      <c r="BM18" s="25">
        <v>5520</v>
      </c>
      <c r="BN18" s="15">
        <f t="shared" si="0"/>
        <v>5188.8</v>
      </c>
      <c r="BO18" s="16">
        <f t="shared" si="1"/>
        <v>3632.16</v>
      </c>
      <c r="BP18" s="17"/>
      <c r="BQ18" s="17"/>
    </row>
    <row r="19" spans="1:69" ht="24" x14ac:dyDescent="0.3">
      <c r="A19" s="5" t="s">
        <v>13</v>
      </c>
      <c r="B19" s="20" t="s">
        <v>148</v>
      </c>
      <c r="C19" s="20">
        <v>483807</v>
      </c>
      <c r="D19" s="21"/>
      <c r="E19" s="20" t="s">
        <v>76</v>
      </c>
      <c r="F19" s="20" t="s">
        <v>149</v>
      </c>
      <c r="G19" s="20" t="s">
        <v>78</v>
      </c>
      <c r="H19" s="22" t="s">
        <v>7</v>
      </c>
      <c r="I19" s="22" t="s">
        <v>153</v>
      </c>
      <c r="J19" s="22">
        <v>0</v>
      </c>
      <c r="K19" s="22">
        <v>70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15</v>
      </c>
      <c r="AO19" s="23">
        <v>3000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2</v>
      </c>
      <c r="BA19" s="22">
        <v>480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28.8</v>
      </c>
      <c r="BM19" s="25">
        <v>3480</v>
      </c>
      <c r="BN19" s="15">
        <f t="shared" si="0"/>
        <v>3451.2</v>
      </c>
      <c r="BO19" s="16">
        <f t="shared" si="1"/>
        <v>2415.8399999999997</v>
      </c>
      <c r="BP19" s="17"/>
      <c r="BQ19" s="17"/>
    </row>
    <row r="20" spans="1:69" ht="24" x14ac:dyDescent="0.3">
      <c r="A20" s="5" t="s">
        <v>13</v>
      </c>
      <c r="B20" s="20" t="s">
        <v>126</v>
      </c>
      <c r="C20" s="20">
        <v>330938</v>
      </c>
      <c r="D20" s="21"/>
      <c r="E20" s="20" t="s">
        <v>76</v>
      </c>
      <c r="F20" s="20" t="s">
        <v>103</v>
      </c>
      <c r="G20" s="20" t="s">
        <v>78</v>
      </c>
      <c r="H20" s="22" t="s">
        <v>7</v>
      </c>
      <c r="I20" s="22" t="s">
        <v>127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8</v>
      </c>
      <c r="AO20" s="23">
        <v>1600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1</v>
      </c>
      <c r="BA20" s="22">
        <v>240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22">
        <v>14.4</v>
      </c>
      <c r="BM20" s="25">
        <v>1840</v>
      </c>
      <c r="BN20" s="15">
        <f t="shared" si="0"/>
        <v>1825.6</v>
      </c>
      <c r="BO20" s="16">
        <f t="shared" si="1"/>
        <v>1277.9199999999998</v>
      </c>
      <c r="BP20" s="17"/>
      <c r="BQ20" s="17"/>
    </row>
    <row r="21" spans="1:69" ht="24" x14ac:dyDescent="0.3">
      <c r="A21" s="5" t="s">
        <v>13</v>
      </c>
      <c r="B21" s="20" t="s">
        <v>85</v>
      </c>
      <c r="C21" s="20">
        <v>380491</v>
      </c>
      <c r="D21" s="21"/>
      <c r="E21" s="20" t="s">
        <v>76</v>
      </c>
      <c r="F21" s="20" t="s">
        <v>86</v>
      </c>
      <c r="G21" s="20" t="s">
        <v>78</v>
      </c>
      <c r="H21" s="22" t="s">
        <v>7</v>
      </c>
      <c r="I21" s="22" t="s">
        <v>87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14</v>
      </c>
      <c r="AC21" s="22">
        <v>0</v>
      </c>
      <c r="AD21" s="23">
        <v>1400</v>
      </c>
      <c r="AE21" s="22">
        <v>1</v>
      </c>
      <c r="AF21" s="22">
        <v>0</v>
      </c>
      <c r="AG21" s="22">
        <v>200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5">
        <v>1600</v>
      </c>
      <c r="BN21" s="15">
        <f t="shared" si="0"/>
        <v>1600</v>
      </c>
      <c r="BO21" s="16">
        <f t="shared" si="1"/>
        <v>1120</v>
      </c>
      <c r="BP21" s="17"/>
      <c r="BQ21" s="17"/>
    </row>
    <row r="22" spans="1:69" ht="24" x14ac:dyDescent="0.3">
      <c r="A22" s="5" t="s">
        <v>13</v>
      </c>
      <c r="B22" s="20" t="s">
        <v>102</v>
      </c>
      <c r="C22" s="20">
        <v>336507</v>
      </c>
      <c r="D22" s="21"/>
      <c r="E22" s="20" t="s">
        <v>76</v>
      </c>
      <c r="F22" s="20" t="s">
        <v>103</v>
      </c>
      <c r="G22" s="20" t="s">
        <v>78</v>
      </c>
      <c r="H22" s="22" t="s">
        <v>8</v>
      </c>
      <c r="I22" s="22" t="s">
        <v>104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200</v>
      </c>
      <c r="AD22" s="22">
        <v>0</v>
      </c>
      <c r="AE22" s="22">
        <v>1</v>
      </c>
      <c r="AF22" s="22">
        <v>500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2</v>
      </c>
      <c r="AU22" s="22">
        <v>480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48</v>
      </c>
      <c r="BM22" s="25">
        <v>1180</v>
      </c>
      <c r="BN22" s="15">
        <f t="shared" si="0"/>
        <v>1132</v>
      </c>
      <c r="BO22" s="16">
        <f t="shared" si="1"/>
        <v>792.4</v>
      </c>
      <c r="BP22" s="17"/>
      <c r="BQ22" s="17"/>
    </row>
    <row r="23" spans="1:69" ht="24" x14ac:dyDescent="0.3">
      <c r="A23" s="5" t="s">
        <v>13</v>
      </c>
      <c r="B23" s="20" t="s">
        <v>154</v>
      </c>
      <c r="C23" s="20">
        <v>351760</v>
      </c>
      <c r="D23" s="21"/>
      <c r="E23" s="20" t="s">
        <v>76</v>
      </c>
      <c r="F23" s="20" t="s">
        <v>155</v>
      </c>
      <c r="G23" s="20" t="s">
        <v>78</v>
      </c>
      <c r="H23" s="22" t="s">
        <v>7</v>
      </c>
      <c r="I23" s="22" t="s">
        <v>156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200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1</v>
      </c>
      <c r="BD23" s="22">
        <v>600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36</v>
      </c>
      <c r="BM23" s="26">
        <v>800</v>
      </c>
      <c r="BN23" s="15">
        <f t="shared" si="0"/>
        <v>764</v>
      </c>
      <c r="BO23" s="16">
        <f t="shared" si="1"/>
        <v>534.79999999999995</v>
      </c>
      <c r="BP23" s="17"/>
      <c r="BQ23" s="17"/>
    </row>
    <row r="24" spans="1:69" ht="24" x14ac:dyDescent="0.3">
      <c r="A24" s="5" t="s">
        <v>13</v>
      </c>
      <c r="B24" s="20" t="s">
        <v>99</v>
      </c>
      <c r="C24" s="20">
        <v>351846</v>
      </c>
      <c r="D24" s="21"/>
      <c r="E24" s="20" t="s">
        <v>76</v>
      </c>
      <c r="F24" s="20" t="s">
        <v>100</v>
      </c>
      <c r="G24" s="20" t="s">
        <v>78</v>
      </c>
      <c r="H24" s="22" t="s">
        <v>7</v>
      </c>
      <c r="I24" s="22" t="s">
        <v>101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4</v>
      </c>
      <c r="AC24" s="22">
        <v>0</v>
      </c>
      <c r="AD24" s="22">
        <v>400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1</v>
      </c>
      <c r="AO24" s="22">
        <v>100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0</v>
      </c>
      <c r="BM24" s="26">
        <v>500</v>
      </c>
      <c r="BN24" s="15">
        <f t="shared" si="0"/>
        <v>500</v>
      </c>
      <c r="BO24" s="16">
        <f t="shared" si="1"/>
        <v>350</v>
      </c>
      <c r="BP24" s="17"/>
      <c r="BQ24" s="17"/>
    </row>
    <row r="25" spans="1:69" ht="24" x14ac:dyDescent="0.3">
      <c r="A25" s="5" t="s">
        <v>13</v>
      </c>
      <c r="B25" s="20" t="s">
        <v>135</v>
      </c>
      <c r="C25" s="20">
        <v>393567</v>
      </c>
      <c r="D25" s="21"/>
      <c r="E25" s="20" t="s">
        <v>76</v>
      </c>
      <c r="F25" s="20" t="s">
        <v>136</v>
      </c>
      <c r="G25" s="20" t="s">
        <v>78</v>
      </c>
      <c r="H25" s="22" t="s">
        <v>8</v>
      </c>
      <c r="I25" s="22" t="s">
        <v>137</v>
      </c>
      <c r="J25" s="22">
        <v>0</v>
      </c>
      <c r="K25" s="22">
        <v>94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6">
        <v>0</v>
      </c>
      <c r="BN25" s="15">
        <f t="shared" si="0"/>
        <v>0</v>
      </c>
      <c r="BO25" s="16">
        <f t="shared" si="1"/>
        <v>0</v>
      </c>
      <c r="BP25" s="17"/>
      <c r="BQ25" s="17"/>
    </row>
    <row r="26" spans="1:69" ht="24" x14ac:dyDescent="0.3">
      <c r="A26" s="5" t="s">
        <v>13</v>
      </c>
      <c r="B26" s="20" t="s">
        <v>140</v>
      </c>
      <c r="C26" s="20">
        <v>393552</v>
      </c>
      <c r="D26" s="21"/>
      <c r="E26" s="20" t="s">
        <v>76</v>
      </c>
      <c r="F26" s="20" t="s">
        <v>141</v>
      </c>
      <c r="G26" s="20" t="s">
        <v>78</v>
      </c>
      <c r="H26" s="22" t="s">
        <v>7</v>
      </c>
      <c r="I26" s="22" t="s">
        <v>137</v>
      </c>
      <c r="J26" s="22">
        <v>0</v>
      </c>
      <c r="K26" s="22">
        <v>97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0</v>
      </c>
      <c r="BM26" s="26">
        <v>0</v>
      </c>
      <c r="BN26" s="15">
        <f t="shared" si="0"/>
        <v>0</v>
      </c>
      <c r="BO26" s="16">
        <f t="shared" si="1"/>
        <v>0</v>
      </c>
      <c r="BP26" s="17"/>
      <c r="BQ26" s="17"/>
    </row>
    <row r="27" spans="1:69" ht="24" x14ac:dyDescent="0.3">
      <c r="A27" s="5" t="s">
        <v>14</v>
      </c>
      <c r="B27" s="20" t="s">
        <v>75</v>
      </c>
      <c r="C27" s="20">
        <v>435954</v>
      </c>
      <c r="D27" s="21"/>
      <c r="E27" s="20" t="s">
        <v>76</v>
      </c>
      <c r="F27" s="20" t="s">
        <v>77</v>
      </c>
      <c r="G27" s="20" t="s">
        <v>78</v>
      </c>
      <c r="H27" s="22" t="s">
        <v>7</v>
      </c>
      <c r="I27" s="22" t="s">
        <v>150</v>
      </c>
      <c r="J27" s="22">
        <v>0</v>
      </c>
      <c r="K27" s="22">
        <v>3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2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179</v>
      </c>
      <c r="AC27" s="23">
        <v>24280</v>
      </c>
      <c r="AD27" s="23">
        <v>15000</v>
      </c>
      <c r="AE27" s="22">
        <v>13</v>
      </c>
      <c r="AF27" s="22">
        <v>0</v>
      </c>
      <c r="AG27" s="23">
        <v>5000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18</v>
      </c>
      <c r="AO27" s="23">
        <v>3600</v>
      </c>
      <c r="AP27" s="22">
        <v>0</v>
      </c>
      <c r="AQ27" s="22">
        <v>3</v>
      </c>
      <c r="AR27" s="23">
        <v>1200</v>
      </c>
      <c r="AS27" s="22">
        <v>0</v>
      </c>
      <c r="AT27" s="22">
        <v>3</v>
      </c>
      <c r="AU27" s="22">
        <v>720</v>
      </c>
      <c r="AV27" s="22">
        <v>0</v>
      </c>
      <c r="AW27" s="22">
        <v>0</v>
      </c>
      <c r="AX27" s="22">
        <v>0</v>
      </c>
      <c r="AY27" s="22">
        <v>0</v>
      </c>
      <c r="AZ27" s="22">
        <v>5</v>
      </c>
      <c r="BA27" s="23">
        <v>1200</v>
      </c>
      <c r="BB27" s="22">
        <v>0</v>
      </c>
      <c r="BC27" s="22">
        <v>0</v>
      </c>
      <c r="BD27" s="22">
        <v>0</v>
      </c>
      <c r="BE27" s="22">
        <v>0</v>
      </c>
      <c r="BF27" s="22">
        <v>22</v>
      </c>
      <c r="BG27" s="23">
        <v>5280</v>
      </c>
      <c r="BH27" s="22">
        <v>0</v>
      </c>
      <c r="BI27" s="22">
        <v>97</v>
      </c>
      <c r="BJ27" s="23">
        <v>46320</v>
      </c>
      <c r="BK27" s="22">
        <v>0</v>
      </c>
      <c r="BL27" s="24">
        <v>2724</v>
      </c>
      <c r="BM27" s="25">
        <v>102600</v>
      </c>
      <c r="BN27" s="15">
        <f t="shared" si="0"/>
        <v>99876</v>
      </c>
      <c r="BO27" s="16">
        <f t="shared" si="1"/>
        <v>69913.2</v>
      </c>
      <c r="BP27" s="17"/>
      <c r="BQ27" s="17"/>
    </row>
    <row r="28" spans="1:69" ht="24" x14ac:dyDescent="0.3">
      <c r="A28" s="5" t="s">
        <v>14</v>
      </c>
      <c r="B28" s="20" t="s">
        <v>81</v>
      </c>
      <c r="C28" s="20">
        <v>465461</v>
      </c>
      <c r="D28" s="21"/>
      <c r="E28" s="20" t="s">
        <v>76</v>
      </c>
      <c r="F28" s="20" t="s">
        <v>82</v>
      </c>
      <c r="G28" s="20" t="s">
        <v>78</v>
      </c>
      <c r="H28" s="22" t="s">
        <v>7</v>
      </c>
      <c r="I28" s="22" t="s">
        <v>151</v>
      </c>
      <c r="J28" s="22">
        <v>0</v>
      </c>
      <c r="K28" s="22">
        <v>3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1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97</v>
      </c>
      <c r="AC28" s="23">
        <v>19880</v>
      </c>
      <c r="AD28" s="22">
        <v>0</v>
      </c>
      <c r="AE28" s="22">
        <v>9</v>
      </c>
      <c r="AF28" s="22">
        <v>0</v>
      </c>
      <c r="AG28" s="23">
        <v>3600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5">
        <v>23480</v>
      </c>
      <c r="BN28" s="15">
        <f t="shared" si="0"/>
        <v>23480</v>
      </c>
      <c r="BO28" s="16">
        <f t="shared" si="1"/>
        <v>16436</v>
      </c>
      <c r="BP28" s="17"/>
      <c r="BQ28" s="17"/>
    </row>
    <row r="29" spans="1:69" ht="24" x14ac:dyDescent="0.3">
      <c r="A29" s="5" t="s">
        <v>14</v>
      </c>
      <c r="B29" s="20" t="s">
        <v>108</v>
      </c>
      <c r="C29" s="20">
        <v>448747</v>
      </c>
      <c r="D29" s="21"/>
      <c r="E29" s="20" t="s">
        <v>76</v>
      </c>
      <c r="F29" s="20" t="s">
        <v>109</v>
      </c>
      <c r="G29" s="20" t="s">
        <v>78</v>
      </c>
      <c r="H29" s="22" t="s">
        <v>7</v>
      </c>
      <c r="I29" s="22" t="s">
        <v>110</v>
      </c>
      <c r="J29" s="22">
        <v>0</v>
      </c>
      <c r="K29" s="22">
        <v>5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50</v>
      </c>
      <c r="AC29" s="22">
        <v>0</v>
      </c>
      <c r="AD29" s="23">
        <v>10000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5">
        <v>10000</v>
      </c>
      <c r="BN29" s="15">
        <f t="shared" si="0"/>
        <v>10000</v>
      </c>
      <c r="BO29" s="16">
        <f t="shared" si="1"/>
        <v>7000</v>
      </c>
      <c r="BP29" s="17"/>
      <c r="BQ29" s="17"/>
    </row>
    <row r="30" spans="1:69" ht="24" x14ac:dyDescent="0.3">
      <c r="A30" s="5" t="s">
        <v>14</v>
      </c>
      <c r="B30" s="20" t="s">
        <v>145</v>
      </c>
      <c r="C30" s="20">
        <v>484291</v>
      </c>
      <c r="D30" s="21"/>
      <c r="E30" s="20" t="s">
        <v>76</v>
      </c>
      <c r="F30" s="20" t="s">
        <v>146</v>
      </c>
      <c r="G30" s="20" t="s">
        <v>78</v>
      </c>
      <c r="H30" s="22" t="s">
        <v>7</v>
      </c>
      <c r="I30" s="22" t="s">
        <v>147</v>
      </c>
      <c r="J30" s="22">
        <v>0</v>
      </c>
      <c r="K30" s="23">
        <v>1371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11</v>
      </c>
      <c r="AC30" s="22">
        <v>880</v>
      </c>
      <c r="AD30" s="23">
        <v>1400</v>
      </c>
      <c r="AE30" s="22">
        <v>1</v>
      </c>
      <c r="AF30" s="22">
        <v>0</v>
      </c>
      <c r="AG30" s="22">
        <v>400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1</v>
      </c>
      <c r="AO30" s="22">
        <v>200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17</v>
      </c>
      <c r="BG30" s="23">
        <v>4080</v>
      </c>
      <c r="BH30" s="22">
        <v>0</v>
      </c>
      <c r="BI30" s="22">
        <v>1</v>
      </c>
      <c r="BJ30" s="22">
        <v>480</v>
      </c>
      <c r="BK30" s="22">
        <v>0</v>
      </c>
      <c r="BL30" s="22">
        <v>228</v>
      </c>
      <c r="BM30" s="25">
        <v>7440</v>
      </c>
      <c r="BN30" s="15">
        <f t="shared" si="0"/>
        <v>7212</v>
      </c>
      <c r="BO30" s="16">
        <f t="shared" si="1"/>
        <v>5048.3999999999996</v>
      </c>
      <c r="BP30" s="17"/>
      <c r="BQ30" s="17"/>
    </row>
    <row r="31" spans="1:69" ht="24" x14ac:dyDescent="0.3">
      <c r="A31" s="5" t="s">
        <v>14</v>
      </c>
      <c r="B31" s="20" t="s">
        <v>83</v>
      </c>
      <c r="C31" s="20">
        <v>423525</v>
      </c>
      <c r="D31" s="21"/>
      <c r="E31" s="20" t="s">
        <v>76</v>
      </c>
      <c r="F31" s="20" t="s">
        <v>84</v>
      </c>
      <c r="G31" s="20" t="s">
        <v>78</v>
      </c>
      <c r="H31" s="22" t="s">
        <v>7</v>
      </c>
      <c r="I31" s="22" t="s">
        <v>74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2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18</v>
      </c>
      <c r="AF31" s="22">
        <v>0</v>
      </c>
      <c r="AG31" s="23">
        <v>7200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5">
        <v>7200</v>
      </c>
      <c r="BN31" s="15">
        <f t="shared" si="0"/>
        <v>7200</v>
      </c>
      <c r="BO31" s="16">
        <f t="shared" si="1"/>
        <v>5040</v>
      </c>
      <c r="BP31" s="17"/>
      <c r="BQ31" s="17"/>
    </row>
    <row r="32" spans="1:69" ht="24" x14ac:dyDescent="0.3">
      <c r="A32" s="5" t="s">
        <v>14</v>
      </c>
      <c r="B32" s="20" t="s">
        <v>79</v>
      </c>
      <c r="C32" s="20">
        <v>465463</v>
      </c>
      <c r="D32" s="21"/>
      <c r="E32" s="20" t="s">
        <v>76</v>
      </c>
      <c r="F32" s="20" t="s">
        <v>80</v>
      </c>
      <c r="G32" s="20" t="s">
        <v>78</v>
      </c>
      <c r="H32" s="22" t="s">
        <v>9</v>
      </c>
      <c r="I32" s="22" t="s">
        <v>139</v>
      </c>
      <c r="J32" s="22">
        <v>2</v>
      </c>
      <c r="K32" s="22">
        <v>0</v>
      </c>
      <c r="L32" s="22">
        <v>400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1</v>
      </c>
      <c r="AF32" s="22">
        <v>120</v>
      </c>
      <c r="AG32" s="22">
        <v>300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28</v>
      </c>
      <c r="AO32" s="23">
        <v>5600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5">
        <v>6420</v>
      </c>
      <c r="BN32" s="15">
        <f t="shared" ref="BN32" si="2">BM32-BL32</f>
        <v>6420</v>
      </c>
      <c r="BO32" s="16">
        <f>BN32*70%</f>
        <v>4494</v>
      </c>
      <c r="BP32" s="17"/>
      <c r="BQ32" s="17"/>
    </row>
    <row r="33" spans="1:67" ht="24" x14ac:dyDescent="0.3">
      <c r="A33" s="5" t="s">
        <v>14</v>
      </c>
      <c r="B33" s="20" t="s">
        <v>124</v>
      </c>
      <c r="C33" s="20">
        <v>464964</v>
      </c>
      <c r="D33" s="21"/>
      <c r="E33" s="20" t="s">
        <v>76</v>
      </c>
      <c r="F33" s="20" t="s">
        <v>125</v>
      </c>
      <c r="G33" s="20" t="s">
        <v>78</v>
      </c>
      <c r="H33" s="22" t="s">
        <v>7</v>
      </c>
      <c r="I33" s="22" t="s">
        <v>152</v>
      </c>
      <c r="J33" s="22">
        <v>0</v>
      </c>
      <c r="K33" s="22">
        <v>3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27</v>
      </c>
      <c r="AC33" s="23">
        <v>5400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5">
        <v>5400</v>
      </c>
      <c r="BN33" s="15">
        <f t="shared" ref="BN33:BN63" si="3">BM33-BL33</f>
        <v>5400</v>
      </c>
      <c r="BO33" s="16">
        <f t="shared" ref="BO33:BO63" si="4">BN33*70%</f>
        <v>3779.9999999999995</v>
      </c>
    </row>
    <row r="34" spans="1:67" ht="24" x14ac:dyDescent="0.3">
      <c r="A34" s="5" t="s">
        <v>14</v>
      </c>
      <c r="B34" s="20" t="s">
        <v>91</v>
      </c>
      <c r="C34" s="20">
        <v>432749</v>
      </c>
      <c r="D34" s="21"/>
      <c r="E34" s="20" t="s">
        <v>76</v>
      </c>
      <c r="F34" s="20" t="s">
        <v>92</v>
      </c>
      <c r="G34" s="20" t="s">
        <v>78</v>
      </c>
      <c r="H34" s="22" t="s">
        <v>7</v>
      </c>
      <c r="I34" s="22" t="s">
        <v>150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5</v>
      </c>
      <c r="AC34" s="22">
        <v>0</v>
      </c>
      <c r="AD34" s="23">
        <v>1000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1</v>
      </c>
      <c r="BG34" s="22">
        <v>240</v>
      </c>
      <c r="BH34" s="22">
        <v>0</v>
      </c>
      <c r="BI34" s="22">
        <v>7</v>
      </c>
      <c r="BJ34" s="23">
        <v>3360</v>
      </c>
      <c r="BK34" s="22">
        <v>0</v>
      </c>
      <c r="BL34" s="22">
        <v>180</v>
      </c>
      <c r="BM34" s="25">
        <v>4600</v>
      </c>
      <c r="BN34" s="15">
        <f t="shared" si="3"/>
        <v>4420</v>
      </c>
      <c r="BO34" s="16">
        <f t="shared" si="4"/>
        <v>3094</v>
      </c>
    </row>
    <row r="35" spans="1:67" ht="24" x14ac:dyDescent="0.3">
      <c r="A35" s="5" t="s">
        <v>14</v>
      </c>
      <c r="B35" s="20" t="s">
        <v>93</v>
      </c>
      <c r="C35" s="20">
        <v>307024</v>
      </c>
      <c r="D35" s="21"/>
      <c r="E35" s="20" t="s">
        <v>76</v>
      </c>
      <c r="F35" s="20" t="s">
        <v>94</v>
      </c>
      <c r="G35" s="20" t="s">
        <v>78</v>
      </c>
      <c r="H35" s="22" t="s">
        <v>7</v>
      </c>
      <c r="I35" s="22" t="s">
        <v>95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21</v>
      </c>
      <c r="AC35" s="23">
        <v>2520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8</v>
      </c>
      <c r="BA35" s="22">
        <v>960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57.6</v>
      </c>
      <c r="BM35" s="25">
        <v>3480</v>
      </c>
      <c r="BN35" s="15">
        <f t="shared" si="3"/>
        <v>3422.4</v>
      </c>
      <c r="BO35" s="16">
        <f t="shared" si="4"/>
        <v>2395.6799999999998</v>
      </c>
    </row>
    <row r="36" spans="1:67" ht="24" x14ac:dyDescent="0.3">
      <c r="A36" s="5" t="s">
        <v>14</v>
      </c>
      <c r="B36" s="20" t="s">
        <v>119</v>
      </c>
      <c r="C36" s="20">
        <v>434897</v>
      </c>
      <c r="D36" s="21"/>
      <c r="E36" s="20" t="s">
        <v>76</v>
      </c>
      <c r="F36" s="20" t="s">
        <v>120</v>
      </c>
      <c r="G36" s="20" t="s">
        <v>78</v>
      </c>
      <c r="H36" s="22" t="s">
        <v>8</v>
      </c>
      <c r="I36" s="22" t="s">
        <v>12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3</v>
      </c>
      <c r="AO36" s="22">
        <v>600</v>
      </c>
      <c r="AP36" s="22">
        <v>0</v>
      </c>
      <c r="AQ36" s="22">
        <v>0</v>
      </c>
      <c r="AR36" s="22">
        <v>0</v>
      </c>
      <c r="AS36" s="22">
        <v>0</v>
      </c>
      <c r="AT36" s="22">
        <v>1</v>
      </c>
      <c r="AU36" s="22">
        <v>120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5</v>
      </c>
      <c r="BG36" s="23">
        <v>1080</v>
      </c>
      <c r="BH36" s="22">
        <v>0</v>
      </c>
      <c r="BI36" s="22">
        <v>0</v>
      </c>
      <c r="BJ36" s="22">
        <v>0</v>
      </c>
      <c r="BK36" s="22">
        <v>0</v>
      </c>
      <c r="BL36" s="22">
        <v>66</v>
      </c>
      <c r="BM36" s="25">
        <v>1800</v>
      </c>
      <c r="BN36" s="15">
        <f t="shared" si="3"/>
        <v>1734</v>
      </c>
      <c r="BO36" s="16">
        <f t="shared" si="4"/>
        <v>1213.8</v>
      </c>
    </row>
    <row r="37" spans="1:67" ht="24" x14ac:dyDescent="0.3">
      <c r="A37" s="5" t="s">
        <v>14</v>
      </c>
      <c r="B37" s="20" t="s">
        <v>133</v>
      </c>
      <c r="C37" s="20">
        <v>398413</v>
      </c>
      <c r="D37" s="21"/>
      <c r="E37" s="20" t="s">
        <v>76</v>
      </c>
      <c r="F37" s="20" t="s">
        <v>131</v>
      </c>
      <c r="G37" s="20" t="s">
        <v>78</v>
      </c>
      <c r="H37" s="22" t="s">
        <v>8</v>
      </c>
      <c r="I37" s="22" t="s">
        <v>134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3</v>
      </c>
      <c r="AC37" s="22">
        <v>0</v>
      </c>
      <c r="AD37" s="22">
        <v>600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2</v>
      </c>
      <c r="BG37" s="22">
        <v>480</v>
      </c>
      <c r="BH37" s="22">
        <v>0</v>
      </c>
      <c r="BI37" s="22">
        <v>1</v>
      </c>
      <c r="BJ37" s="22">
        <v>600</v>
      </c>
      <c r="BK37" s="22">
        <v>0</v>
      </c>
      <c r="BL37" s="22">
        <v>54</v>
      </c>
      <c r="BM37" s="25">
        <v>1680</v>
      </c>
      <c r="BN37" s="15">
        <f t="shared" si="3"/>
        <v>1626</v>
      </c>
      <c r="BO37" s="16">
        <f t="shared" si="4"/>
        <v>1138.1999999999998</v>
      </c>
    </row>
    <row r="38" spans="1:67" ht="24" x14ac:dyDescent="0.3">
      <c r="A38" s="5" t="s">
        <v>14</v>
      </c>
      <c r="B38" s="20" t="s">
        <v>111</v>
      </c>
      <c r="C38" s="20">
        <v>465658</v>
      </c>
      <c r="D38" s="21"/>
      <c r="E38" s="20" t="s">
        <v>76</v>
      </c>
      <c r="F38" s="20" t="s">
        <v>112</v>
      </c>
      <c r="G38" s="20" t="s">
        <v>78</v>
      </c>
      <c r="H38" s="22" t="s">
        <v>7</v>
      </c>
      <c r="I38" s="22" t="s">
        <v>151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5</v>
      </c>
      <c r="AC38" s="22">
        <v>0</v>
      </c>
      <c r="AD38" s="23">
        <v>1000</v>
      </c>
      <c r="AE38" s="22">
        <v>1</v>
      </c>
      <c r="AF38" s="22">
        <v>480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5">
        <v>1480</v>
      </c>
      <c r="BN38" s="15">
        <f t="shared" si="3"/>
        <v>1480</v>
      </c>
      <c r="BO38" s="16">
        <f t="shared" si="4"/>
        <v>1036</v>
      </c>
    </row>
    <row r="39" spans="1:67" ht="24" x14ac:dyDescent="0.3">
      <c r="A39" s="5" t="s">
        <v>14</v>
      </c>
      <c r="B39" s="20" t="s">
        <v>148</v>
      </c>
      <c r="C39" s="20">
        <v>483807</v>
      </c>
      <c r="D39" s="21"/>
      <c r="E39" s="20" t="s">
        <v>76</v>
      </c>
      <c r="F39" s="20" t="s">
        <v>149</v>
      </c>
      <c r="G39" s="20" t="s">
        <v>78</v>
      </c>
      <c r="H39" s="22" t="s">
        <v>7</v>
      </c>
      <c r="I39" s="22" t="s">
        <v>153</v>
      </c>
      <c r="J39" s="22">
        <v>0</v>
      </c>
      <c r="K39" s="22">
        <v>38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4</v>
      </c>
      <c r="BG39" s="22">
        <v>960</v>
      </c>
      <c r="BH39" s="22">
        <v>0</v>
      </c>
      <c r="BI39" s="22">
        <v>0</v>
      </c>
      <c r="BJ39" s="22">
        <v>0</v>
      </c>
      <c r="BK39" s="22">
        <v>0</v>
      </c>
      <c r="BL39" s="22">
        <v>48</v>
      </c>
      <c r="BM39" s="26">
        <v>960</v>
      </c>
      <c r="BN39" s="15">
        <f t="shared" si="3"/>
        <v>912</v>
      </c>
      <c r="BO39" s="16">
        <f t="shared" si="4"/>
        <v>638.4</v>
      </c>
    </row>
    <row r="40" spans="1:67" ht="24" x14ac:dyDescent="0.3">
      <c r="A40" s="5" t="s">
        <v>14</v>
      </c>
      <c r="B40" s="20" t="s">
        <v>116</v>
      </c>
      <c r="C40" s="20">
        <v>323829</v>
      </c>
      <c r="D40" s="21"/>
      <c r="E40" s="20" t="s">
        <v>76</v>
      </c>
      <c r="F40" s="20" t="s">
        <v>117</v>
      </c>
      <c r="G40" s="20" t="s">
        <v>78</v>
      </c>
      <c r="H40" s="22" t="s">
        <v>7</v>
      </c>
      <c r="I40" s="22" t="s">
        <v>118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2</v>
      </c>
      <c r="T40" s="22">
        <v>0</v>
      </c>
      <c r="U40" s="22">
        <v>0</v>
      </c>
      <c r="V40" s="22">
        <v>600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1</v>
      </c>
      <c r="BA40" s="22">
        <v>120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0</v>
      </c>
      <c r="BK40" s="22">
        <v>0</v>
      </c>
      <c r="BL40" s="22">
        <v>7.2</v>
      </c>
      <c r="BM40" s="26">
        <v>720</v>
      </c>
      <c r="BN40" s="15">
        <f t="shared" si="3"/>
        <v>712.8</v>
      </c>
      <c r="BO40" s="16">
        <f t="shared" si="4"/>
        <v>498.95999999999992</v>
      </c>
    </row>
    <row r="41" spans="1:67" ht="24" x14ac:dyDescent="0.3">
      <c r="A41" s="5" t="s">
        <v>14</v>
      </c>
      <c r="B41" s="20" t="s">
        <v>121</v>
      </c>
      <c r="C41" s="20">
        <v>383201</v>
      </c>
      <c r="D41" s="21"/>
      <c r="E41" s="20" t="s">
        <v>76</v>
      </c>
      <c r="F41" s="20" t="s">
        <v>122</v>
      </c>
      <c r="G41" s="20" t="s">
        <v>78</v>
      </c>
      <c r="H41" s="22" t="s">
        <v>7</v>
      </c>
      <c r="I41" s="22" t="s">
        <v>123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1</v>
      </c>
      <c r="AC41" s="22">
        <v>240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0</v>
      </c>
      <c r="BK41" s="22">
        <v>0</v>
      </c>
      <c r="BL41" s="22">
        <v>0</v>
      </c>
      <c r="BM41" s="26">
        <v>240</v>
      </c>
      <c r="BN41" s="15">
        <f t="shared" si="3"/>
        <v>240</v>
      </c>
      <c r="BO41" s="16">
        <f t="shared" si="4"/>
        <v>168</v>
      </c>
    </row>
    <row r="42" spans="1:67" ht="24" x14ac:dyDescent="0.3">
      <c r="A42" s="5" t="s">
        <v>14</v>
      </c>
      <c r="B42" s="20" t="s">
        <v>102</v>
      </c>
      <c r="C42" s="20">
        <v>336507</v>
      </c>
      <c r="D42" s="21"/>
      <c r="E42" s="20" t="s">
        <v>76</v>
      </c>
      <c r="F42" s="20" t="s">
        <v>103</v>
      </c>
      <c r="G42" s="20" t="s">
        <v>78</v>
      </c>
      <c r="H42" s="22" t="s">
        <v>8</v>
      </c>
      <c r="I42" s="22" t="s">
        <v>104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1</v>
      </c>
      <c r="AC42" s="22">
        <v>240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22">
        <v>0</v>
      </c>
      <c r="BM42" s="26">
        <v>240</v>
      </c>
      <c r="BN42" s="15">
        <f t="shared" si="3"/>
        <v>240</v>
      </c>
      <c r="BO42" s="16">
        <f t="shared" si="4"/>
        <v>168</v>
      </c>
    </row>
    <row r="43" spans="1:67" ht="24" x14ac:dyDescent="0.3">
      <c r="A43" s="5" t="s">
        <v>14</v>
      </c>
      <c r="B43" s="20" t="s">
        <v>105</v>
      </c>
      <c r="C43" s="20">
        <v>319050</v>
      </c>
      <c r="D43" s="21"/>
      <c r="E43" s="20" t="s">
        <v>76</v>
      </c>
      <c r="F43" s="20" t="s">
        <v>106</v>
      </c>
      <c r="G43" s="20" t="s">
        <v>78</v>
      </c>
      <c r="H43" s="22" t="s">
        <v>7</v>
      </c>
      <c r="I43" s="22" t="s">
        <v>107</v>
      </c>
      <c r="J43" s="22">
        <v>1</v>
      </c>
      <c r="K43" s="22">
        <v>0</v>
      </c>
      <c r="L43" s="22">
        <v>200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2">
        <v>0</v>
      </c>
      <c r="BM43" s="26">
        <v>200</v>
      </c>
      <c r="BN43" s="15">
        <f t="shared" si="3"/>
        <v>200</v>
      </c>
      <c r="BO43" s="16">
        <f t="shared" si="4"/>
        <v>140</v>
      </c>
    </row>
    <row r="44" spans="1:67" ht="24" x14ac:dyDescent="0.3">
      <c r="A44" s="5" t="s">
        <v>14</v>
      </c>
      <c r="B44" s="20" t="s">
        <v>130</v>
      </c>
      <c r="C44" s="20">
        <v>406076</v>
      </c>
      <c r="D44" s="21"/>
      <c r="E44" s="20" t="s">
        <v>76</v>
      </c>
      <c r="F44" s="20" t="s">
        <v>131</v>
      </c>
      <c r="G44" s="20" t="s">
        <v>78</v>
      </c>
      <c r="H44" s="22" t="s">
        <v>8</v>
      </c>
      <c r="I44" s="22" t="s">
        <v>132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1</v>
      </c>
      <c r="AC44" s="22">
        <v>0</v>
      </c>
      <c r="AD44" s="22">
        <v>200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22">
        <v>0</v>
      </c>
      <c r="BK44" s="22">
        <v>0</v>
      </c>
      <c r="BL44" s="22">
        <v>0</v>
      </c>
      <c r="BM44" s="26">
        <v>200</v>
      </c>
      <c r="BN44" s="15">
        <f t="shared" si="3"/>
        <v>200</v>
      </c>
      <c r="BO44" s="16">
        <f t="shared" si="4"/>
        <v>140</v>
      </c>
    </row>
    <row r="45" spans="1:67" ht="24" x14ac:dyDescent="0.3">
      <c r="A45" s="5" t="s">
        <v>14</v>
      </c>
      <c r="B45" s="20" t="s">
        <v>135</v>
      </c>
      <c r="C45" s="20">
        <v>393567</v>
      </c>
      <c r="D45" s="21"/>
      <c r="E45" s="20" t="s">
        <v>76</v>
      </c>
      <c r="F45" s="20" t="s">
        <v>136</v>
      </c>
      <c r="G45" s="20" t="s">
        <v>78</v>
      </c>
      <c r="H45" s="22" t="s">
        <v>8</v>
      </c>
      <c r="I45" s="22" t="s">
        <v>137</v>
      </c>
      <c r="J45" s="22">
        <v>0</v>
      </c>
      <c r="K45" s="22">
        <v>40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6">
        <v>0</v>
      </c>
      <c r="BN45" s="15">
        <f t="shared" si="3"/>
        <v>0</v>
      </c>
      <c r="BO45" s="16">
        <f t="shared" si="4"/>
        <v>0</v>
      </c>
    </row>
    <row r="46" spans="1:67" ht="24" x14ac:dyDescent="0.3">
      <c r="A46" s="5" t="s">
        <v>14</v>
      </c>
      <c r="B46" s="20" t="s">
        <v>140</v>
      </c>
      <c r="C46" s="20">
        <v>393552</v>
      </c>
      <c r="D46" s="21"/>
      <c r="E46" s="20" t="s">
        <v>76</v>
      </c>
      <c r="F46" s="20" t="s">
        <v>141</v>
      </c>
      <c r="G46" s="20" t="s">
        <v>78</v>
      </c>
      <c r="H46" s="22" t="s">
        <v>7</v>
      </c>
      <c r="I46" s="22" t="s">
        <v>137</v>
      </c>
      <c r="J46" s="22">
        <v>0</v>
      </c>
      <c r="K46" s="22">
        <v>99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0</v>
      </c>
      <c r="BL46" s="22">
        <v>0</v>
      </c>
      <c r="BM46" s="26">
        <v>0</v>
      </c>
      <c r="BN46" s="15">
        <f t="shared" si="3"/>
        <v>0</v>
      </c>
      <c r="BO46" s="16">
        <f t="shared" si="4"/>
        <v>0</v>
      </c>
    </row>
    <row r="47" spans="1:67" ht="24" x14ac:dyDescent="0.3">
      <c r="A47" s="5" t="s">
        <v>15</v>
      </c>
      <c r="B47" s="20" t="s">
        <v>75</v>
      </c>
      <c r="C47" s="20">
        <v>435954</v>
      </c>
      <c r="D47" s="21"/>
      <c r="E47" s="20" t="s">
        <v>76</v>
      </c>
      <c r="F47" s="20" t="s">
        <v>77</v>
      </c>
      <c r="G47" s="20" t="s">
        <v>78</v>
      </c>
      <c r="H47" s="22" t="s">
        <v>7</v>
      </c>
      <c r="I47" s="22" t="s">
        <v>150</v>
      </c>
      <c r="J47" s="22">
        <v>0</v>
      </c>
      <c r="K47" s="22">
        <v>37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321</v>
      </c>
      <c r="AC47" s="23">
        <v>60100</v>
      </c>
      <c r="AD47" s="23">
        <v>4100</v>
      </c>
      <c r="AE47" s="22">
        <v>19</v>
      </c>
      <c r="AF47" s="23">
        <v>4400</v>
      </c>
      <c r="AG47" s="23">
        <v>2600</v>
      </c>
      <c r="AH47" s="22">
        <v>710</v>
      </c>
      <c r="AI47" s="23">
        <v>141082</v>
      </c>
      <c r="AJ47" s="23">
        <v>24300</v>
      </c>
      <c r="AK47" s="22">
        <v>18</v>
      </c>
      <c r="AL47" s="23">
        <v>1788</v>
      </c>
      <c r="AM47" s="23">
        <v>4900</v>
      </c>
      <c r="AN47" s="22">
        <v>46</v>
      </c>
      <c r="AO47" s="23">
        <v>8800</v>
      </c>
      <c r="AP47" s="22">
        <v>400</v>
      </c>
      <c r="AQ47" s="22">
        <v>15</v>
      </c>
      <c r="AR47" s="23">
        <v>5700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2</v>
      </c>
      <c r="BA47" s="22">
        <v>480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0</v>
      </c>
      <c r="BH47" s="22">
        <v>0</v>
      </c>
      <c r="BI47" s="22">
        <v>0</v>
      </c>
      <c r="BJ47" s="22">
        <v>0</v>
      </c>
      <c r="BK47" s="22">
        <v>0</v>
      </c>
      <c r="BL47" s="24">
        <v>42889.8</v>
      </c>
      <c r="BM47" s="25">
        <v>258650</v>
      </c>
      <c r="BN47" s="15">
        <f t="shared" si="3"/>
        <v>215760.2</v>
      </c>
      <c r="BO47" s="16">
        <f t="shared" si="4"/>
        <v>151032.13999999998</v>
      </c>
    </row>
    <row r="48" spans="1:67" ht="24" x14ac:dyDescent="0.3">
      <c r="A48" s="5" t="s">
        <v>15</v>
      </c>
      <c r="B48" s="20" t="s">
        <v>81</v>
      </c>
      <c r="C48" s="20">
        <v>465461</v>
      </c>
      <c r="D48" s="21"/>
      <c r="E48" s="20" t="s">
        <v>76</v>
      </c>
      <c r="F48" s="20" t="s">
        <v>82</v>
      </c>
      <c r="G48" s="20" t="s">
        <v>78</v>
      </c>
      <c r="H48" s="22" t="s">
        <v>7</v>
      </c>
      <c r="I48" s="22" t="s">
        <v>151</v>
      </c>
      <c r="J48" s="22">
        <v>0</v>
      </c>
      <c r="K48" s="22">
        <v>20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1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377</v>
      </c>
      <c r="AC48" s="23">
        <v>70500</v>
      </c>
      <c r="AD48" s="23">
        <v>4900</v>
      </c>
      <c r="AE48" s="22">
        <v>27</v>
      </c>
      <c r="AF48" s="23">
        <v>7000</v>
      </c>
      <c r="AG48" s="23">
        <v>3100</v>
      </c>
      <c r="AH48" s="22">
        <v>342</v>
      </c>
      <c r="AI48" s="23">
        <v>62520</v>
      </c>
      <c r="AJ48" s="23">
        <v>16300</v>
      </c>
      <c r="AK48" s="22">
        <v>17</v>
      </c>
      <c r="AL48" s="22">
        <v>0</v>
      </c>
      <c r="AM48" s="23">
        <v>5500</v>
      </c>
      <c r="AN48" s="22">
        <v>2</v>
      </c>
      <c r="AO48" s="22">
        <v>400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1</v>
      </c>
      <c r="BA48" s="22">
        <v>240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22">
        <v>0</v>
      </c>
      <c r="BK48" s="22">
        <v>0</v>
      </c>
      <c r="BL48" s="24">
        <v>18770.400000000001</v>
      </c>
      <c r="BM48" s="25">
        <v>170460</v>
      </c>
      <c r="BN48" s="15">
        <f t="shared" si="3"/>
        <v>151689.60000000001</v>
      </c>
      <c r="BO48" s="16">
        <f t="shared" si="4"/>
        <v>106182.72</v>
      </c>
    </row>
    <row r="49" spans="1:67" ht="24" x14ac:dyDescent="0.3">
      <c r="A49" s="5" t="s">
        <v>15</v>
      </c>
      <c r="B49" s="20" t="s">
        <v>91</v>
      </c>
      <c r="C49" s="20">
        <v>432749</v>
      </c>
      <c r="D49" s="21"/>
      <c r="E49" s="20" t="s">
        <v>76</v>
      </c>
      <c r="F49" s="20" t="s">
        <v>92</v>
      </c>
      <c r="G49" s="20" t="s">
        <v>78</v>
      </c>
      <c r="H49" s="22" t="s">
        <v>7</v>
      </c>
      <c r="I49" s="22" t="s">
        <v>150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10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10</v>
      </c>
      <c r="AC49" s="23">
        <v>1400</v>
      </c>
      <c r="AD49" s="22">
        <v>600</v>
      </c>
      <c r="AE49" s="22">
        <v>29</v>
      </c>
      <c r="AF49" s="23">
        <v>8500</v>
      </c>
      <c r="AG49" s="23">
        <v>2500</v>
      </c>
      <c r="AH49" s="22">
        <v>35</v>
      </c>
      <c r="AI49" s="23">
        <v>2400</v>
      </c>
      <c r="AJ49" s="23">
        <v>5000</v>
      </c>
      <c r="AK49" s="22">
        <v>100</v>
      </c>
      <c r="AL49" s="23">
        <v>47520</v>
      </c>
      <c r="AM49" s="22">
        <v>200</v>
      </c>
      <c r="AN49" s="22">
        <v>3</v>
      </c>
      <c r="AO49" s="22">
        <v>400</v>
      </c>
      <c r="AP49" s="22">
        <v>200</v>
      </c>
      <c r="AQ49" s="22">
        <v>69</v>
      </c>
      <c r="AR49" s="23">
        <v>26100</v>
      </c>
      <c r="AS49" s="23">
        <v>1100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0</v>
      </c>
      <c r="BK49" s="22">
        <v>0</v>
      </c>
      <c r="BL49" s="24">
        <v>14976</v>
      </c>
      <c r="BM49" s="25">
        <v>95920</v>
      </c>
      <c r="BN49" s="15">
        <f t="shared" si="3"/>
        <v>80944</v>
      </c>
      <c r="BO49" s="16">
        <f t="shared" si="4"/>
        <v>56660.799999999996</v>
      </c>
    </row>
    <row r="50" spans="1:67" ht="24" x14ac:dyDescent="0.3">
      <c r="A50" s="5" t="s">
        <v>15</v>
      </c>
      <c r="B50" s="20" t="s">
        <v>88</v>
      </c>
      <c r="C50" s="20">
        <v>467630</v>
      </c>
      <c r="D50" s="21"/>
      <c r="E50" s="20" t="s">
        <v>76</v>
      </c>
      <c r="F50" s="20" t="s">
        <v>89</v>
      </c>
      <c r="G50" s="20" t="s">
        <v>78</v>
      </c>
      <c r="H50" s="22" t="s">
        <v>8</v>
      </c>
      <c r="I50" s="22" t="s">
        <v>90</v>
      </c>
      <c r="J50" s="22">
        <v>0</v>
      </c>
      <c r="K50" s="22">
        <v>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2</v>
      </c>
      <c r="AC50" s="22">
        <v>0</v>
      </c>
      <c r="AD50" s="22">
        <v>400</v>
      </c>
      <c r="AE50" s="22">
        <v>0</v>
      </c>
      <c r="AF50" s="22">
        <v>0</v>
      </c>
      <c r="AG50" s="22">
        <v>0</v>
      </c>
      <c r="AH50" s="22">
        <v>251</v>
      </c>
      <c r="AI50" s="23">
        <v>59760</v>
      </c>
      <c r="AJ50" s="22">
        <v>400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  <c r="BI50" s="22">
        <v>0</v>
      </c>
      <c r="BJ50" s="22">
        <v>0</v>
      </c>
      <c r="BK50" s="22">
        <v>0</v>
      </c>
      <c r="BL50" s="24">
        <v>17928</v>
      </c>
      <c r="BM50" s="25">
        <v>60560</v>
      </c>
      <c r="BN50" s="15">
        <f t="shared" si="3"/>
        <v>42632</v>
      </c>
      <c r="BO50" s="16">
        <f t="shared" si="4"/>
        <v>29842.399999999998</v>
      </c>
    </row>
    <row r="51" spans="1:67" ht="24" x14ac:dyDescent="0.3">
      <c r="A51" s="5" t="s">
        <v>15</v>
      </c>
      <c r="B51" s="20" t="s">
        <v>145</v>
      </c>
      <c r="C51" s="20">
        <v>484291</v>
      </c>
      <c r="D51" s="21"/>
      <c r="E51" s="20" t="s">
        <v>76</v>
      </c>
      <c r="F51" s="20" t="s">
        <v>146</v>
      </c>
      <c r="G51" s="20" t="s">
        <v>78</v>
      </c>
      <c r="H51" s="22" t="s">
        <v>7</v>
      </c>
      <c r="I51" s="22" t="s">
        <v>147</v>
      </c>
      <c r="J51" s="22">
        <v>0</v>
      </c>
      <c r="K51" s="22">
        <v>574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1</v>
      </c>
      <c r="AC51" s="22">
        <v>100</v>
      </c>
      <c r="AD51" s="22">
        <v>0</v>
      </c>
      <c r="AE51" s="22">
        <v>0</v>
      </c>
      <c r="AF51" s="22">
        <v>0</v>
      </c>
      <c r="AG51" s="22">
        <v>0</v>
      </c>
      <c r="AH51" s="22">
        <v>143</v>
      </c>
      <c r="AI51" s="23">
        <v>29040</v>
      </c>
      <c r="AJ51" s="23">
        <v>4300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4">
        <v>8712</v>
      </c>
      <c r="BM51" s="25">
        <v>33440</v>
      </c>
      <c r="BN51" s="15">
        <f t="shared" si="3"/>
        <v>24728</v>
      </c>
      <c r="BO51" s="16">
        <f t="shared" si="4"/>
        <v>17309.599999999999</v>
      </c>
    </row>
    <row r="52" spans="1:67" ht="24" x14ac:dyDescent="0.3">
      <c r="A52" s="5" t="s">
        <v>15</v>
      </c>
      <c r="B52" s="20" t="s">
        <v>108</v>
      </c>
      <c r="C52" s="20">
        <v>448747</v>
      </c>
      <c r="D52" s="21"/>
      <c r="E52" s="20" t="s">
        <v>76</v>
      </c>
      <c r="F52" s="20" t="s">
        <v>109</v>
      </c>
      <c r="G52" s="20" t="s">
        <v>78</v>
      </c>
      <c r="H52" s="22" t="s">
        <v>7</v>
      </c>
      <c r="I52" s="22" t="s">
        <v>110</v>
      </c>
      <c r="J52" s="22">
        <v>0</v>
      </c>
      <c r="K52" s="22">
        <v>2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53</v>
      </c>
      <c r="AC52" s="22">
        <v>800</v>
      </c>
      <c r="AD52" s="23">
        <v>9800</v>
      </c>
      <c r="AE52" s="22">
        <v>14</v>
      </c>
      <c r="AF52" s="23">
        <v>5600</v>
      </c>
      <c r="AG52" s="22">
        <v>0</v>
      </c>
      <c r="AH52" s="22">
        <v>0</v>
      </c>
      <c r="AI52" s="22">
        <v>0</v>
      </c>
      <c r="AJ52" s="22">
        <v>0</v>
      </c>
      <c r="AK52" s="22">
        <v>7</v>
      </c>
      <c r="AL52" s="22">
        <v>0</v>
      </c>
      <c r="AM52" s="23">
        <v>2800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5">
        <v>19000</v>
      </c>
      <c r="BN52" s="15">
        <f t="shared" si="3"/>
        <v>19000</v>
      </c>
      <c r="BO52" s="16">
        <f t="shared" si="4"/>
        <v>13300</v>
      </c>
    </row>
    <row r="53" spans="1:67" ht="24" x14ac:dyDescent="0.3">
      <c r="A53" s="5" t="s">
        <v>15</v>
      </c>
      <c r="B53" s="20" t="s">
        <v>119</v>
      </c>
      <c r="C53" s="20">
        <v>434897</v>
      </c>
      <c r="D53" s="21"/>
      <c r="E53" s="20" t="s">
        <v>76</v>
      </c>
      <c r="F53" s="20" t="s">
        <v>120</v>
      </c>
      <c r="G53" s="20" t="s">
        <v>78</v>
      </c>
      <c r="H53" s="22" t="s">
        <v>8</v>
      </c>
      <c r="I53" s="22" t="s">
        <v>12</v>
      </c>
      <c r="J53" s="22">
        <v>3</v>
      </c>
      <c r="K53" s="22">
        <v>0</v>
      </c>
      <c r="L53" s="22">
        <v>600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33</v>
      </c>
      <c r="AC53" s="23">
        <v>6600</v>
      </c>
      <c r="AD53" s="22">
        <v>0</v>
      </c>
      <c r="AE53" s="22">
        <v>0</v>
      </c>
      <c r="AF53" s="22">
        <v>0</v>
      </c>
      <c r="AG53" s="22">
        <v>0</v>
      </c>
      <c r="AH53" s="22">
        <v>2</v>
      </c>
      <c r="AI53" s="22">
        <v>480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  <c r="BI53" s="22">
        <v>0</v>
      </c>
      <c r="BJ53" s="22">
        <v>0</v>
      </c>
      <c r="BK53" s="22">
        <v>0</v>
      </c>
      <c r="BL53" s="22">
        <v>144</v>
      </c>
      <c r="BM53" s="25">
        <v>7680</v>
      </c>
      <c r="BN53" s="15">
        <f t="shared" si="3"/>
        <v>7536</v>
      </c>
      <c r="BO53" s="16">
        <f t="shared" si="4"/>
        <v>5275.2</v>
      </c>
    </row>
    <row r="54" spans="1:67" ht="24" x14ac:dyDescent="0.3">
      <c r="A54" s="5" t="s">
        <v>15</v>
      </c>
      <c r="B54" s="20" t="s">
        <v>124</v>
      </c>
      <c r="C54" s="20">
        <v>464964</v>
      </c>
      <c r="D54" s="21"/>
      <c r="E54" s="20" t="s">
        <v>76</v>
      </c>
      <c r="F54" s="20" t="s">
        <v>125</v>
      </c>
      <c r="G54" s="20" t="s">
        <v>78</v>
      </c>
      <c r="H54" s="22" t="s">
        <v>7</v>
      </c>
      <c r="I54" s="22" t="s">
        <v>152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1</v>
      </c>
      <c r="AC54" s="22">
        <v>0</v>
      </c>
      <c r="AD54" s="22">
        <v>200</v>
      </c>
      <c r="AE54" s="22">
        <v>1</v>
      </c>
      <c r="AF54" s="22">
        <v>500</v>
      </c>
      <c r="AG54" s="22">
        <v>0</v>
      </c>
      <c r="AH54" s="22">
        <v>26</v>
      </c>
      <c r="AI54" s="23">
        <v>5760</v>
      </c>
      <c r="AJ54" s="22">
        <v>400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0</v>
      </c>
      <c r="BK54" s="22">
        <v>0</v>
      </c>
      <c r="BL54" s="24">
        <v>1728</v>
      </c>
      <c r="BM54" s="25">
        <v>6860</v>
      </c>
      <c r="BN54" s="15">
        <f t="shared" si="3"/>
        <v>5132</v>
      </c>
      <c r="BO54" s="16">
        <f t="shared" si="4"/>
        <v>3592.3999999999996</v>
      </c>
    </row>
    <row r="55" spans="1:67" ht="24" x14ac:dyDescent="0.3">
      <c r="A55" s="5" t="s">
        <v>15</v>
      </c>
      <c r="B55" s="20" t="s">
        <v>85</v>
      </c>
      <c r="C55" s="20">
        <v>380491</v>
      </c>
      <c r="D55" s="21"/>
      <c r="E55" s="20" t="s">
        <v>76</v>
      </c>
      <c r="F55" s="20" t="s">
        <v>86</v>
      </c>
      <c r="G55" s="20" t="s">
        <v>78</v>
      </c>
      <c r="H55" s="22" t="s">
        <v>7</v>
      </c>
      <c r="I55" s="22" t="s">
        <v>87</v>
      </c>
      <c r="J55" s="22">
        <v>0</v>
      </c>
      <c r="K55" s="22">
        <v>4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41</v>
      </c>
      <c r="AC55" s="22">
        <v>0</v>
      </c>
      <c r="AD55" s="23">
        <v>4100</v>
      </c>
      <c r="AE55" s="22">
        <v>0</v>
      </c>
      <c r="AF55" s="22">
        <v>0</v>
      </c>
      <c r="AG55" s="22">
        <v>0</v>
      </c>
      <c r="AH55" s="22">
        <v>8</v>
      </c>
      <c r="AI55" s="22">
        <v>0</v>
      </c>
      <c r="AJ55" s="22">
        <v>800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0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0</v>
      </c>
      <c r="BK55" s="22">
        <v>0</v>
      </c>
      <c r="BL55" s="22">
        <v>0</v>
      </c>
      <c r="BM55" s="25">
        <v>4900</v>
      </c>
      <c r="BN55" s="15">
        <f t="shared" si="3"/>
        <v>4900</v>
      </c>
      <c r="BO55" s="16">
        <f t="shared" si="4"/>
        <v>3430</v>
      </c>
    </row>
    <row r="56" spans="1:67" ht="24" x14ac:dyDescent="0.3">
      <c r="A56" s="5" t="s">
        <v>15</v>
      </c>
      <c r="B56" s="20" t="s">
        <v>116</v>
      </c>
      <c r="C56" s="20">
        <v>323829</v>
      </c>
      <c r="D56" s="21"/>
      <c r="E56" s="20" t="s">
        <v>76</v>
      </c>
      <c r="F56" s="20" t="s">
        <v>117</v>
      </c>
      <c r="G56" s="20" t="s">
        <v>78</v>
      </c>
      <c r="H56" s="22" t="s">
        <v>7</v>
      </c>
      <c r="I56" s="22" t="s">
        <v>118</v>
      </c>
      <c r="J56" s="22">
        <v>0</v>
      </c>
      <c r="K56" s="22">
        <v>4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2</v>
      </c>
      <c r="AC56" s="22">
        <v>0</v>
      </c>
      <c r="AD56" s="22">
        <v>200</v>
      </c>
      <c r="AE56" s="22">
        <v>0</v>
      </c>
      <c r="AF56" s="22">
        <v>0</v>
      </c>
      <c r="AG56" s="22">
        <v>0</v>
      </c>
      <c r="AH56" s="22">
        <v>34</v>
      </c>
      <c r="AI56" s="23">
        <v>4080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4">
        <v>1224</v>
      </c>
      <c r="BM56" s="25">
        <v>4280</v>
      </c>
      <c r="BN56" s="15">
        <f t="shared" si="3"/>
        <v>3056</v>
      </c>
      <c r="BO56" s="16">
        <f t="shared" si="4"/>
        <v>2139.1999999999998</v>
      </c>
    </row>
    <row r="57" spans="1:67" ht="24" x14ac:dyDescent="0.3">
      <c r="A57" s="5" t="s">
        <v>15</v>
      </c>
      <c r="B57" s="20" t="s">
        <v>79</v>
      </c>
      <c r="C57" s="20">
        <v>465463</v>
      </c>
      <c r="D57" s="21"/>
      <c r="E57" s="20" t="s">
        <v>76</v>
      </c>
      <c r="F57" s="20" t="s">
        <v>80</v>
      </c>
      <c r="G57" s="20" t="s">
        <v>78</v>
      </c>
      <c r="H57" s="22" t="s">
        <v>9</v>
      </c>
      <c r="I57" s="22" t="s">
        <v>139</v>
      </c>
      <c r="J57" s="22">
        <v>1</v>
      </c>
      <c r="K57" s="22">
        <v>0</v>
      </c>
      <c r="L57" s="22">
        <v>200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2</v>
      </c>
      <c r="AC57" s="22">
        <v>400</v>
      </c>
      <c r="AD57" s="22">
        <v>0</v>
      </c>
      <c r="AE57" s="22">
        <v>3</v>
      </c>
      <c r="AF57" s="23">
        <v>1200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2</v>
      </c>
      <c r="AO57" s="22">
        <v>400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0</v>
      </c>
      <c r="BK57" s="22">
        <v>0</v>
      </c>
      <c r="BL57" s="22">
        <v>0</v>
      </c>
      <c r="BM57" s="25">
        <v>2200</v>
      </c>
      <c r="BN57" s="15">
        <f t="shared" si="3"/>
        <v>2200</v>
      </c>
      <c r="BO57" s="16">
        <f t="shared" si="4"/>
        <v>1540</v>
      </c>
    </row>
    <row r="58" spans="1:67" ht="24" x14ac:dyDescent="0.3">
      <c r="A58" s="5" t="s">
        <v>15</v>
      </c>
      <c r="B58" s="20" t="s">
        <v>128</v>
      </c>
      <c r="C58" s="20">
        <v>403837</v>
      </c>
      <c r="D58" s="21"/>
      <c r="E58" s="20" t="s">
        <v>76</v>
      </c>
      <c r="F58" s="20" t="s">
        <v>129</v>
      </c>
      <c r="G58" s="20" t="s">
        <v>78</v>
      </c>
      <c r="H58" s="22" t="s">
        <v>7</v>
      </c>
      <c r="I58" s="22" t="s">
        <v>87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9</v>
      </c>
      <c r="AI58" s="22">
        <v>720</v>
      </c>
      <c r="AJ58" s="23">
        <v>1200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0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22">
        <v>0</v>
      </c>
      <c r="BK58" s="22">
        <v>0</v>
      </c>
      <c r="BL58" s="22">
        <v>216</v>
      </c>
      <c r="BM58" s="25">
        <v>1920</v>
      </c>
      <c r="BN58" s="15">
        <f t="shared" si="3"/>
        <v>1704</v>
      </c>
      <c r="BO58" s="16">
        <f t="shared" si="4"/>
        <v>1192.8</v>
      </c>
    </row>
    <row r="59" spans="1:67" ht="24" x14ac:dyDescent="0.3">
      <c r="A59" s="5" t="s">
        <v>15</v>
      </c>
      <c r="B59" s="20" t="s">
        <v>96</v>
      </c>
      <c r="C59" s="20">
        <v>419155</v>
      </c>
      <c r="D59" s="21"/>
      <c r="E59" s="20" t="s">
        <v>76</v>
      </c>
      <c r="F59" s="20" t="s">
        <v>97</v>
      </c>
      <c r="G59" s="20" t="s">
        <v>78</v>
      </c>
      <c r="H59" s="22" t="s">
        <v>7</v>
      </c>
      <c r="I59" s="22" t="s">
        <v>98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1</v>
      </c>
      <c r="AI59" s="22">
        <v>360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108</v>
      </c>
      <c r="BM59" s="26">
        <v>360</v>
      </c>
      <c r="BN59" s="15">
        <f t="shared" si="3"/>
        <v>252</v>
      </c>
      <c r="BO59" s="16">
        <f t="shared" si="4"/>
        <v>176.39999999999998</v>
      </c>
    </row>
    <row r="60" spans="1:67" ht="24" x14ac:dyDescent="0.3">
      <c r="A60" s="5" t="s">
        <v>15</v>
      </c>
      <c r="B60" s="20" t="s">
        <v>93</v>
      </c>
      <c r="C60" s="20">
        <v>307024</v>
      </c>
      <c r="D60" s="21"/>
      <c r="E60" s="20" t="s">
        <v>76</v>
      </c>
      <c r="F60" s="20" t="s">
        <v>94</v>
      </c>
      <c r="G60" s="20" t="s">
        <v>78</v>
      </c>
      <c r="H60" s="22" t="s">
        <v>7</v>
      </c>
      <c r="I60" s="22" t="s">
        <v>95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2</v>
      </c>
      <c r="AC60" s="22">
        <v>200</v>
      </c>
      <c r="AD60" s="22">
        <v>0</v>
      </c>
      <c r="AE60" s="22">
        <v>0</v>
      </c>
      <c r="AF60" s="22">
        <v>0</v>
      </c>
      <c r="AG60" s="22">
        <v>0</v>
      </c>
      <c r="AH60" s="22">
        <v>1</v>
      </c>
      <c r="AI60" s="22">
        <v>120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0</v>
      </c>
      <c r="BH60" s="22">
        <v>0</v>
      </c>
      <c r="BI60" s="22">
        <v>0</v>
      </c>
      <c r="BJ60" s="22">
        <v>0</v>
      </c>
      <c r="BK60" s="22">
        <v>0</v>
      </c>
      <c r="BL60" s="22">
        <v>36</v>
      </c>
      <c r="BM60" s="26">
        <v>320</v>
      </c>
      <c r="BN60" s="15">
        <f t="shared" si="3"/>
        <v>284</v>
      </c>
      <c r="BO60" s="16">
        <f t="shared" si="4"/>
        <v>198.79999999999998</v>
      </c>
    </row>
    <row r="61" spans="1:67" ht="24" x14ac:dyDescent="0.3">
      <c r="A61" s="5" t="s">
        <v>15</v>
      </c>
      <c r="B61" s="20" t="s">
        <v>102</v>
      </c>
      <c r="C61" s="20">
        <v>336507</v>
      </c>
      <c r="D61" s="21"/>
      <c r="E61" s="20" t="s">
        <v>76</v>
      </c>
      <c r="F61" s="20" t="s">
        <v>103</v>
      </c>
      <c r="G61" s="20" t="s">
        <v>78</v>
      </c>
      <c r="H61" s="22" t="s">
        <v>8</v>
      </c>
      <c r="I61" s="22" t="s">
        <v>104</v>
      </c>
      <c r="J61" s="22">
        <v>1</v>
      </c>
      <c r="K61" s="22">
        <v>0</v>
      </c>
      <c r="L61" s="22">
        <v>200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  <c r="BI61" s="22">
        <v>0</v>
      </c>
      <c r="BJ61" s="22">
        <v>0</v>
      </c>
      <c r="BK61" s="22">
        <v>0</v>
      </c>
      <c r="BL61" s="22">
        <v>0</v>
      </c>
      <c r="BM61" s="26">
        <v>200</v>
      </c>
      <c r="BN61" s="15">
        <f t="shared" si="3"/>
        <v>200</v>
      </c>
      <c r="BO61" s="16">
        <f t="shared" si="4"/>
        <v>140</v>
      </c>
    </row>
    <row r="62" spans="1:67" ht="24" x14ac:dyDescent="0.3">
      <c r="A62" s="5" t="s">
        <v>15</v>
      </c>
      <c r="B62" s="20" t="s">
        <v>157</v>
      </c>
      <c r="C62" s="20">
        <v>394045</v>
      </c>
      <c r="D62" s="21"/>
      <c r="E62" s="20" t="s">
        <v>76</v>
      </c>
      <c r="F62" s="20" t="s">
        <v>158</v>
      </c>
      <c r="G62" s="20" t="s">
        <v>78</v>
      </c>
      <c r="H62" s="22" t="s">
        <v>8</v>
      </c>
      <c r="I62" s="22" t="s">
        <v>137</v>
      </c>
      <c r="J62" s="22">
        <v>0</v>
      </c>
      <c r="K62" s="22">
        <v>3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2">
        <v>0</v>
      </c>
      <c r="BJ62" s="22">
        <v>0</v>
      </c>
      <c r="BK62" s="22">
        <v>0</v>
      </c>
      <c r="BL62" s="22">
        <v>0</v>
      </c>
      <c r="BM62" s="26">
        <v>0</v>
      </c>
      <c r="BN62" s="15">
        <f t="shared" si="3"/>
        <v>0</v>
      </c>
      <c r="BO62" s="16">
        <f t="shared" si="4"/>
        <v>0</v>
      </c>
    </row>
    <row r="63" spans="1:67" ht="24" x14ac:dyDescent="0.3">
      <c r="A63" s="5" t="s">
        <v>15</v>
      </c>
      <c r="B63" s="20" t="s">
        <v>148</v>
      </c>
      <c r="C63" s="20">
        <v>483807</v>
      </c>
      <c r="D63" s="21"/>
      <c r="E63" s="20" t="s">
        <v>76</v>
      </c>
      <c r="F63" s="20" t="s">
        <v>149</v>
      </c>
      <c r="G63" s="20" t="s">
        <v>78</v>
      </c>
      <c r="H63" s="22" t="s">
        <v>7</v>
      </c>
      <c r="I63" s="22" t="s">
        <v>153</v>
      </c>
      <c r="J63" s="22">
        <v>0</v>
      </c>
      <c r="K63" s="22">
        <v>1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0</v>
      </c>
      <c r="BM63" s="26">
        <v>0</v>
      </c>
      <c r="BN63" s="15">
        <f t="shared" si="3"/>
        <v>0</v>
      </c>
      <c r="BO63" s="16">
        <f t="shared" si="4"/>
        <v>0</v>
      </c>
    </row>
    <row r="64" spans="1:67" ht="24" x14ac:dyDescent="0.3">
      <c r="A64" s="5" t="s">
        <v>142</v>
      </c>
      <c r="B64" s="20" t="s">
        <v>108</v>
      </c>
      <c r="C64" s="20">
        <v>448747</v>
      </c>
      <c r="D64" s="21"/>
      <c r="E64" s="20" t="s">
        <v>76</v>
      </c>
      <c r="F64" s="20" t="s">
        <v>109</v>
      </c>
      <c r="G64" s="20" t="s">
        <v>78</v>
      </c>
      <c r="H64" s="22" t="s">
        <v>7</v>
      </c>
      <c r="I64" s="22" t="s">
        <v>110</v>
      </c>
      <c r="J64" s="22">
        <v>0</v>
      </c>
      <c r="K64" s="23">
        <v>1141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42</v>
      </c>
      <c r="AC64" s="23">
        <v>7400</v>
      </c>
      <c r="AD64" s="23">
        <v>1000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19</v>
      </c>
      <c r="AO64" s="23">
        <v>3800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0</v>
      </c>
      <c r="BK64" s="22">
        <v>0</v>
      </c>
      <c r="BL64" s="22">
        <v>0</v>
      </c>
      <c r="BM64" s="25">
        <v>12200</v>
      </c>
      <c r="BN64" s="15">
        <f t="shared" ref="BN64:BN65" si="5">BM64-BL64</f>
        <v>12200</v>
      </c>
      <c r="BO64" s="16">
        <f t="shared" ref="BO64:BO65" si="6">BN64*70%</f>
        <v>8540</v>
      </c>
    </row>
    <row r="65" spans="1:67" ht="24" x14ac:dyDescent="0.3">
      <c r="A65" s="5" t="s">
        <v>138</v>
      </c>
      <c r="B65" s="20" t="s">
        <v>108</v>
      </c>
      <c r="C65" s="20">
        <v>448747</v>
      </c>
      <c r="D65" s="21"/>
      <c r="E65" s="20" t="s">
        <v>76</v>
      </c>
      <c r="F65" s="20" t="s">
        <v>109</v>
      </c>
      <c r="G65" s="20" t="s">
        <v>78</v>
      </c>
      <c r="H65" s="22" t="s">
        <v>7</v>
      </c>
      <c r="I65" s="22" t="s">
        <v>110</v>
      </c>
      <c r="J65" s="22">
        <v>0</v>
      </c>
      <c r="K65" s="22">
        <v>625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37</v>
      </c>
      <c r="AC65" s="22">
        <v>0</v>
      </c>
      <c r="AD65" s="23">
        <v>7400</v>
      </c>
      <c r="AE65" s="22">
        <v>0</v>
      </c>
      <c r="AF65" s="22">
        <v>0</v>
      </c>
      <c r="AG65" s="22">
        <v>0</v>
      </c>
      <c r="AH65" s="22">
        <v>114</v>
      </c>
      <c r="AI65" s="23">
        <v>26880</v>
      </c>
      <c r="AJ65" s="22">
        <v>400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2">
        <v>0</v>
      </c>
      <c r="BL65" s="24">
        <v>8064</v>
      </c>
      <c r="BM65" s="25">
        <v>34680</v>
      </c>
      <c r="BN65" s="15">
        <f t="shared" si="5"/>
        <v>26616</v>
      </c>
      <c r="BO65" s="16">
        <f t="shared" si="6"/>
        <v>18631.199999999997</v>
      </c>
    </row>
    <row r="66" spans="1:67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  <c r="BO66" s="19">
        <f>SUM(BO2:BO65)</f>
        <v>1198874.46</v>
      </c>
    </row>
    <row r="67" spans="1:67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7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7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7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7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7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7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7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7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7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7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1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1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1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1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1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1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1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1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1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1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1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1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8"/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8"/>
      <c r="AF144" s="8"/>
      <c r="AG144" s="8"/>
      <c r="AH144" s="7"/>
      <c r="AI144" s="7"/>
      <c r="AJ144" s="7"/>
      <c r="AK144" s="8"/>
      <c r="AL144" s="8"/>
      <c r="AM144" s="8"/>
      <c r="AN144" s="7"/>
      <c r="AO144" s="7"/>
      <c r="AP144" s="7"/>
      <c r="AQ144" s="8"/>
      <c r="AR144" s="8"/>
      <c r="AS144" s="8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9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8"/>
      <c r="AF145" s="8"/>
      <c r="AG145" s="8"/>
      <c r="AH145" s="7"/>
      <c r="AI145" s="7"/>
      <c r="AJ145" s="7"/>
      <c r="AK145" s="8"/>
      <c r="AL145" s="8"/>
      <c r="AM145" s="8"/>
      <c r="AN145" s="7"/>
      <c r="AO145" s="7"/>
      <c r="AP145" s="7"/>
      <c r="AQ145" s="7"/>
      <c r="AR145" s="8"/>
      <c r="AS145" s="8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9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8"/>
      <c r="AF146" s="8"/>
      <c r="AG146" s="8"/>
      <c r="AH146" s="7"/>
      <c r="AI146" s="7"/>
      <c r="AJ146" s="7"/>
      <c r="AK146" s="8"/>
      <c r="AL146" s="8"/>
      <c r="AM146" s="8"/>
      <c r="AN146" s="7"/>
      <c r="AO146" s="7"/>
      <c r="AP146" s="7"/>
      <c r="AQ146" s="8"/>
      <c r="AR146" s="8"/>
      <c r="AS146" s="8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9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8"/>
      <c r="AG147" s="8"/>
      <c r="AH147" s="7"/>
      <c r="AI147" s="7"/>
      <c r="AJ147" s="7"/>
      <c r="AK147" s="8"/>
      <c r="AL147" s="8"/>
      <c r="AM147" s="8"/>
      <c r="AN147" s="7"/>
      <c r="AO147" s="7"/>
      <c r="AP147" s="7"/>
      <c r="AQ147" s="8"/>
      <c r="AR147" s="8"/>
      <c r="AS147" s="8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9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8"/>
      <c r="AM148" s="8"/>
      <c r="AN148" s="7"/>
      <c r="AO148" s="7"/>
      <c r="AP148" s="7"/>
      <c r="AQ148" s="7"/>
      <c r="AR148" s="8"/>
      <c r="AS148" s="8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9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8"/>
      <c r="AF149" s="8"/>
      <c r="AG149" s="8"/>
      <c r="AH149" s="7"/>
      <c r="AI149" s="7"/>
      <c r="AJ149" s="7"/>
      <c r="AK149" s="8"/>
      <c r="AL149" s="8"/>
      <c r="AM149" s="8"/>
      <c r="AN149" s="7"/>
      <c r="AO149" s="7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9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8"/>
      <c r="AL150" s="8"/>
      <c r="AM150" s="8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9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8"/>
      <c r="AG151" s="8"/>
      <c r="AH151" s="7"/>
      <c r="AI151" s="7"/>
      <c r="AJ151" s="7"/>
      <c r="AK151" s="8"/>
      <c r="AL151" s="8"/>
      <c r="AM151" s="8"/>
      <c r="AN151" s="7"/>
      <c r="AO151" s="7"/>
      <c r="AP151" s="7"/>
      <c r="AQ151" s="7"/>
      <c r="AR151" s="8"/>
      <c r="AS151" s="8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9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8"/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8"/>
      <c r="AL152" s="8"/>
      <c r="AM152" s="8"/>
      <c r="AN152" s="7"/>
      <c r="AO152" s="7"/>
      <c r="AP152" s="7"/>
      <c r="AQ152" s="7"/>
      <c r="AR152" s="8"/>
      <c r="AS152" s="8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9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8"/>
      <c r="AL153" s="8"/>
      <c r="AM153" s="8"/>
      <c r="AN153" s="7"/>
      <c r="AO153" s="7"/>
      <c r="AP153" s="7"/>
      <c r="AQ153" s="7"/>
      <c r="AR153" s="8"/>
      <c r="AS153" s="8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9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8"/>
      <c r="AL154" s="8"/>
      <c r="AM154" s="8"/>
      <c r="AN154" s="7"/>
      <c r="AO154" s="7"/>
      <c r="AP154" s="7"/>
      <c r="AQ154" s="7"/>
      <c r="AR154" s="8"/>
      <c r="AS154" s="8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9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8"/>
      <c r="AL155" s="8"/>
      <c r="AM155" s="8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9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9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8"/>
      <c r="K157" s="7"/>
      <c r="L157" s="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8"/>
      <c r="AM157" s="8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9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8"/>
      <c r="AM158" s="8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9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8"/>
      <c r="AM159" s="8"/>
      <c r="AN159" s="7"/>
      <c r="AO159" s="7"/>
      <c r="AP159" s="7"/>
      <c r="AQ159" s="7"/>
      <c r="AR159" s="8"/>
      <c r="AS159" s="8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9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8"/>
      <c r="AM160" s="8"/>
      <c r="AN160" s="7"/>
      <c r="AO160" s="7"/>
      <c r="AP160" s="7"/>
      <c r="AQ160" s="7"/>
      <c r="AR160" s="8"/>
      <c r="AS160" s="8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9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8"/>
      <c r="AJ161" s="8"/>
      <c r="AK161" s="7"/>
      <c r="AL161" s="7"/>
      <c r="AM161" s="7"/>
      <c r="AN161" s="7"/>
      <c r="AO161" s="7"/>
      <c r="AP161" s="7"/>
      <c r="AQ161" s="7"/>
      <c r="AR161" s="8"/>
      <c r="AS161" s="8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9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8"/>
      <c r="AM162" s="8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9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8"/>
      <c r="AM164" s="7"/>
      <c r="AN164" s="7"/>
      <c r="AO164" s="7"/>
      <c r="AP164" s="7"/>
      <c r="AQ164" s="7"/>
      <c r="AR164" s="8"/>
      <c r="AS164" s="8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9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8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8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9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9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8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9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8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9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8"/>
      <c r="AM171" s="8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9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8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9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8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9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8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9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8"/>
      <c r="AM175" s="8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9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8"/>
      <c r="AM176" s="8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8"/>
      <c r="AM177" s="8"/>
      <c r="AN177" s="7"/>
      <c r="AO177" s="7"/>
      <c r="AP177" s="7"/>
      <c r="AQ177" s="7"/>
      <c r="AR177" s="8"/>
      <c r="AS177" s="8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9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8"/>
      <c r="AM178" s="8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9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8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9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9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8"/>
      <c r="AM182" s="8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9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9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8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9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8"/>
      <c r="AM188" s="8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9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8"/>
      <c r="AM189" s="8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8"/>
      <c r="AJ190" s="7"/>
      <c r="AK190" s="7"/>
      <c r="AL190" s="8"/>
      <c r="AM190" s="7"/>
      <c r="AN190" s="7"/>
      <c r="AO190" s="8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9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8"/>
      <c r="AM191" s="8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9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9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9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9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8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8"/>
      <c r="AM197" s="8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9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8"/>
      <c r="AM198" s="8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9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8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9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8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9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9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8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8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9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8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9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9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8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9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9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9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9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9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8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9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8"/>
      <c r="AH219" s="7"/>
      <c r="AI219" s="7"/>
      <c r="AJ219" s="7"/>
      <c r="AK219" s="7"/>
      <c r="AL219" s="7"/>
      <c r="AM219" s="8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  <c r="AH220" s="7"/>
      <c r="AI220" s="7"/>
      <c r="AJ220" s="7"/>
      <c r="AK220" s="7"/>
      <c r="AL220" s="7"/>
      <c r="AM220" s="8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8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9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8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9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8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8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8"/>
      <c r="AH236" s="7"/>
      <c r="AI236" s="7"/>
      <c r="AJ236" s="7"/>
      <c r="AK236" s="7"/>
      <c r="AL236" s="7"/>
      <c r="AM236" s="8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8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8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8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8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8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8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8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1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1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1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1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1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1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1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1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1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1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1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1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2022-12-02T05:51:13Z</dcterms:modified>
</cp:coreProperties>
</file>