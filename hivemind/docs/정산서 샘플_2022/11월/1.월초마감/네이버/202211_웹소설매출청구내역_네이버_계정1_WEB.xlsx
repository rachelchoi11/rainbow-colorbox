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네이버\"/>
    </mc:Choice>
  </mc:AlternateContent>
  <bookViews>
    <workbookView xWindow="0" yWindow="0" windowWidth="23040" windowHeight="8955" tabRatio="766"/>
  </bookViews>
  <sheets>
    <sheet name="합계(11)" sheetId="412" r:id="rId1"/>
  </sheets>
  <definedNames>
    <definedName name="_xlnm._FilterDatabase" localSheetId="0" hidden="1">'합계(11)'!$A$1:$AM$1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BO55" i="412" l="1"/>
  <c r="BO54" i="412"/>
  <c r="BO53" i="412"/>
  <c r="BO50" i="412"/>
  <c r="BO49" i="412"/>
  <c r="BN54" i="412"/>
  <c r="BN53" i="412"/>
  <c r="BN52" i="412"/>
  <c r="BO52" i="412" s="1"/>
  <c r="BN51" i="412"/>
  <c r="BO51" i="412" s="1"/>
  <c r="BN50" i="412"/>
  <c r="BN49" i="412"/>
  <c r="BN48" i="412"/>
  <c r="BO48" i="412" s="1"/>
  <c r="BN43" i="412" l="1"/>
  <c r="BO43" i="412" s="1"/>
  <c r="BN44" i="412"/>
  <c r="BO44" i="412" s="1"/>
  <c r="BN45" i="412"/>
  <c r="BO45" i="412" s="1"/>
  <c r="BN46" i="412"/>
  <c r="BO46" i="412" s="1"/>
  <c r="BN47" i="412"/>
  <c r="BO47" i="412" s="1"/>
  <c r="BN37" i="412" l="1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29" i="412" l="1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24" i="412" l="1"/>
  <c r="BO24" i="412" s="1"/>
  <c r="BN25" i="412"/>
  <c r="BO25" i="412" s="1"/>
  <c r="BN26" i="412"/>
  <c r="BO26" i="412" s="1"/>
  <c r="BN27" i="412"/>
  <c r="BO27" i="412" s="1"/>
  <c r="BN28" i="412"/>
  <c r="BO28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" i="412"/>
  <c r="BO2" i="412" s="1"/>
  <c r="BN3" i="412"/>
  <c r="BO3" i="412" s="1"/>
</calcChain>
</file>

<file path=xl/comments1.xml><?xml version="1.0" encoding="utf-8"?>
<comments xmlns="http://schemas.openxmlformats.org/spreadsheetml/2006/main">
  <authors>
    <author>storywiz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N</t>
        </r>
        <r>
          <rPr>
            <b/>
            <sz val="9"/>
            <color indexed="81"/>
            <rFont val="돋움"/>
            <family val="3"/>
            <charset val="129"/>
          </rPr>
          <t>스토어</t>
        </r>
        <r>
          <rPr>
            <b/>
            <sz val="9"/>
            <color indexed="81"/>
            <rFont val="Tahoma"/>
            <family val="2"/>
          </rPr>
          <t>(PC)
PC</t>
        </r>
        <r>
          <rPr>
            <b/>
            <sz val="9"/>
            <color indexed="81"/>
            <rFont val="돋움"/>
            <family val="3"/>
            <charset val="129"/>
          </rPr>
          <t>뷰어</t>
        </r>
        <r>
          <rPr>
            <b/>
            <sz val="9"/>
            <color indexed="81"/>
            <rFont val="Tahoma"/>
            <family val="2"/>
          </rPr>
          <t>(PC)
N</t>
        </r>
        <r>
          <rPr>
            <b/>
            <sz val="9"/>
            <color indexed="81"/>
            <rFont val="돋움"/>
            <family val="3"/>
            <charset val="129"/>
          </rPr>
          <t>스토어</t>
        </r>
        <r>
          <rPr>
            <b/>
            <sz val="9"/>
            <color indexed="81"/>
            <rFont val="Tahoma"/>
            <family val="2"/>
          </rPr>
          <t>(MW)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<sst xmlns="http://schemas.openxmlformats.org/spreadsheetml/2006/main" count="440" uniqueCount="138">
  <si>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</si>
  <si>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</si>
  <si>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</si>
  <si>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</si>
  <si>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</si>
  <si>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</si>
  <si>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</si>
  <si>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</si>
  <si>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</si>
  <si>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</si>
  <si>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스토리위즈</t>
  </si>
  <si>
    <t>권용찬</t>
  </si>
  <si>
    <t>김광수</t>
  </si>
  <si>
    <t>회귀의 전설</t>
  </si>
  <si>
    <t>다크메이지 [단행본]</t>
  </si>
  <si>
    <t>김정률</t>
  </si>
  <si>
    <t>2014.10.23</t>
  </si>
  <si>
    <t>소드엠페러 [단행본]</t>
  </si>
  <si>
    <t>2014.10.22</t>
  </si>
  <si>
    <t>트루베니아 연대기 [단행본]</t>
  </si>
  <si>
    <t>주식회사 스토리위즈</t>
  </si>
  <si>
    <t>21세기 대마법사 [단행본]</t>
  </si>
  <si>
    <t>2014.07.24</t>
  </si>
  <si>
    <t>2014.10.21</t>
  </si>
  <si>
    <t>마왕 데이몬 [단행본]</t>
  </si>
  <si>
    <t>데이몬 [단행본]</t>
  </si>
  <si>
    <t>2014.10.20</t>
  </si>
  <si>
    <t>블레이드헌터 [단행본]</t>
  </si>
  <si>
    <t>전혁</t>
  </si>
  <si>
    <t>2015.05.27</t>
  </si>
  <si>
    <t>스트라이커</t>
  </si>
  <si>
    <t>독고진</t>
  </si>
  <si>
    <t>2016.05.25</t>
  </si>
  <si>
    <t>신궁전설 [단행본]</t>
  </si>
  <si>
    <t>2015.05.28</t>
  </si>
  <si>
    <t>2017.08.22</t>
  </si>
  <si>
    <t>합계</t>
  </si>
  <si>
    <t>순매출(합계-수수료)</t>
    <phoneticPr fontId="20" type="noConversion"/>
  </si>
  <si>
    <t>2021.08.12</t>
  </si>
  <si>
    <t>SW 매출</t>
    <phoneticPr fontId="20" type="noConversion"/>
  </si>
  <si>
    <t>앱마켓수수료</t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</si>
  <si>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</si>
  <si>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</si>
  <si>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</si>
  <si>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</si>
  <si>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</si>
  <si>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</si>
  <si>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</si>
  <si>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</si>
  <si>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</si>
  <si>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</si>
  <si>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</si>
  <si>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</si>
  <si>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</si>
  <si>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</si>
  <si>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</si>
  <si>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</si>
  <si>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</si>
  <si>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</si>
  <si>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</si>
  <si>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</si>
  <si>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</si>
  <si>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</si>
  <si>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</si>
  <si>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</si>
  <si>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</si>
  <si>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</si>
  <si>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</si>
  <si>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</si>
  <si>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</si>
  <si>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</si>
  <si>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</si>
  <si>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</si>
  <si>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</si>
  <si>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</si>
  <si>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</si>
  <si>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</si>
  <si>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</si>
  <si>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</si>
  <si>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</si>
  <si>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</si>
  <si>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</si>
  <si>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</si>
  <si>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</si>
  <si>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</si>
  <si>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</si>
  <si>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</si>
  <si>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</si>
  <si>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</si>
  <si>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</si>
  <si>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</si>
  <si>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</si>
  <si>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</si>
  <si>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</si>
  <si>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</si>
  <si>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</si>
  <si>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</si>
  <si>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N스토어(PC)</t>
  </si>
  <si>
    <t>PC뷰어(PC)</t>
  </si>
  <si>
    <t>N스토어(MW)</t>
  </si>
  <si>
    <t>소드엠페러</t>
  </si>
  <si>
    <t>2020.12.18</t>
  </si>
  <si>
    <t>출판사</t>
    <phoneticPr fontId="20" type="noConversion"/>
  </si>
  <si>
    <r>
      <rPr>
        <b/>
        <sz val="7"/>
        <color theme="1"/>
        <rFont val="맑은 고딕"/>
        <family val="3"/>
        <charset val="129"/>
        <scheme val="major"/>
      </rPr>
      <t>작가 CP</t>
    </r>
    <phoneticPr fontId="20" type="noConversion"/>
  </si>
  <si>
    <t>파계 [단행본]</t>
  </si>
  <si>
    <t>2016.06.10</t>
  </si>
  <si>
    <t>마스터 K [단행본]</t>
  </si>
  <si>
    <t>2014.07.02</t>
  </si>
  <si>
    <t>신을 죽이러 갑니다</t>
  </si>
  <si>
    <t>2018.08.24</t>
  </si>
  <si>
    <t>2020.09.16</t>
  </si>
  <si>
    <t>상계무적 [단행본]</t>
  </si>
  <si>
    <t>2015.07.03</t>
  </si>
  <si>
    <t>신마협도 [단행본]</t>
  </si>
  <si>
    <t>만인지상 [단행본]</t>
  </si>
  <si>
    <t>2020.09.07</t>
  </si>
  <si>
    <t>2020.10.13</t>
  </si>
  <si>
    <t>마계대공 연대기 [단행본]</t>
  </si>
  <si>
    <t>2014.08.20</t>
  </si>
  <si>
    <t>레이드 만물상점[완전판] [단행본]</t>
  </si>
  <si>
    <t>2016.06.16</t>
  </si>
  <si>
    <t>월풍 [단행본]</t>
  </si>
  <si>
    <t>아나크레온</t>
  </si>
  <si>
    <t>2014.10.29</t>
  </si>
  <si>
    <t>철중쟁쟁 [단행본]</t>
  </si>
  <si>
    <t>2016.03.17</t>
  </si>
  <si>
    <t>용중신권 [단행본]</t>
  </si>
  <si>
    <t>수적왕 [단행본]</t>
  </si>
  <si>
    <t>2016.03.15</t>
  </si>
  <si>
    <t>철중쟁쟁</t>
  </si>
  <si>
    <t>칼</t>
  </si>
  <si>
    <t>검산도해</t>
  </si>
  <si>
    <t>2020.04.28</t>
  </si>
  <si>
    <t>레이드 만물상점</t>
  </si>
  <si>
    <t>2016.01.22</t>
  </si>
  <si>
    <t>절대비만</t>
  </si>
  <si>
    <t>신규무사</t>
  </si>
  <si>
    <t>2018.11.06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</si>
</sst>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7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1" fillId="0" borderId="0" xfId="42" applyFont="1">
      <alignment vertical="center"/>
    </xf>
    <xf numFmtId="41" fontId="21" fillId="0" borderId="0" xfId="42" applyFont="1" applyFill="1">
      <alignment vertical="center"/>
    </xf>
    <xf numFmtId="41" fontId="26" fillId="34" borderId="0" xfId="42" applyFont="1" applyFill="1">
      <alignment vertical="center"/>
    </xf>
    <xf numFmtId="0" fontId="27" fillId="0" borderId="0" xfId="0" applyFont="1" applyAlignment="1">
      <alignment horizontal="left" vertical="center" wrapText="1"/>
    </xf>
    <xf numFmtId="49" fontId="27" fillId="0" borderId="0" xfId="0" applyNumberFormat="1" applyFont="1" applyAlignment="1">
      <alignment vertical="center" wrapText="1"/>
    </xf>
    <xf numFmtId="0" fontId="27" fillId="0" borderId="0" xfId="0" applyFont="1" applyAlignment="1">
      <alignment vertical="center" wrapText="1"/>
    </xf>
    <xf numFmtId="3" fontId="27" fillId="0" borderId="0" xfId="0" applyNumberFormat="1" applyFont="1" applyAlignment="1">
      <alignment vertical="center" wrapText="1"/>
    </xf>
    <xf numFmtId="4" fontId="27" fillId="0" borderId="0" xfId="0" applyNumberFormat="1" applyFont="1" applyAlignment="1">
      <alignment vertical="center" wrapText="1"/>
    </xf>
    <xf numFmtId="4" fontId="28" fillId="0" borderId="0" xfId="0" applyNumberFormat="1" applyFont="1" applyAlignment="1">
      <alignment vertical="center" wrapText="1"/>
    </xf>
    <xf numFmtId="0" fontId="28" fillId="0" borderId="0" xfId="0" applyFont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Q55"/>
  <sheetViews>
    <sheetView tabSelected="1" zoomScaleNormal="100" workbookViewId="0"/>
  </sheetViews>
  <sheetFormatPr defaultRowHeight="16.5" x14ac:dyDescent="0.3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bestFit="1" customWidth="1"/>
    <col min="66" max="66" width="13.5" bestFit="1" customWidth="1"/>
    <col min="67" max="67" width="13.375" style="7" customWidth="1"/>
  </cols>
  <sheetData>
    <row r="1" spans="1:69" ht="27" customHeight="1" x14ac:dyDescent="0.3">
      <c r="A1" s="2" t="s">
        <v>41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42</v>
      </c>
      <c r="I1" s="8" t="s">
        <v>6</v>
      </c>
      <c r="J1" s="6" t="s">
        <v>43</v>
      </c>
      <c r="K1" s="6" t="s">
        <v>44</v>
      </c>
      <c r="L1" s="6" t="s">
        <v>45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  <c r="W1" s="6" t="s">
        <v>56</v>
      </c>
      <c r="X1" s="6" t="s">
        <v>57</v>
      </c>
      <c r="Y1" s="6" t="s">
        <v>58</v>
      </c>
      <c r="Z1" s="6" t="s">
        <v>59</v>
      </c>
      <c r="AA1" s="6" t="s">
        <v>60</v>
      </c>
      <c r="AB1" s="6" t="s">
        <v>61</v>
      </c>
      <c r="AC1" s="6" t="s">
        <v>62</v>
      </c>
      <c r="AD1" s="6" t="s">
        <v>63</v>
      </c>
      <c r="AE1" s="6" t="s">
        <v>64</v>
      </c>
      <c r="AF1" s="6" t="s">
        <v>65</v>
      </c>
      <c r="AG1" s="6" t="s">
        <v>66</v>
      </c>
      <c r="AH1" s="6" t="s">
        <v>67</v>
      </c>
      <c r="AI1" s="6" t="s">
        <v>68</v>
      </c>
      <c r="AJ1" s="6" t="s">
        <v>69</v>
      </c>
      <c r="AK1" s="6" t="s">
        <v>70</v>
      </c>
      <c r="AL1" s="6" t="s">
        <v>71</v>
      </c>
      <c r="AM1" s="6" t="s">
        <v>72</v>
      </c>
      <c r="AN1" s="6" t="s">
        <v>73</v>
      </c>
      <c r="AO1" s="6" t="s">
        <v>74</v>
      </c>
      <c r="AP1" s="6" t="s">
        <v>75</v>
      </c>
      <c r="AQ1" s="6" t="s">
        <v>76</v>
      </c>
      <c r="AR1" s="6" t="s">
        <v>77</v>
      </c>
      <c r="AS1" s="6" t="s">
        <v>78</v>
      </c>
      <c r="AT1" s="6" t="s">
        <v>79</v>
      </c>
      <c r="AU1" s="6" t="s">
        <v>80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87</v>
      </c>
      <c r="BC1" s="6" t="s">
        <v>88</v>
      </c>
      <c r="BD1" s="6" t="s">
        <v>89</v>
      </c>
      <c r="BE1" s="6" t="s">
        <v>90</v>
      </c>
      <c r="BF1" s="6" t="s">
        <v>91</v>
      </c>
      <c r="BG1" s="6" t="s">
        <v>92</v>
      </c>
      <c r="BH1" s="6" t="s">
        <v>93</v>
      </c>
      <c r="BI1" s="6" t="s">
        <v>94</v>
      </c>
      <c r="BJ1" s="6" t="s">
        <v>95</v>
      </c>
      <c r="BK1" s="6" t="s">
        <v>96</v>
      </c>
      <c r="BL1" s="6" t="s">
        <v>40</v>
      </c>
      <c r="BM1" s="6" t="s">
        <v>36</v>
      </c>
      <c r="BN1" s="6" t="s">
        <v>37</v>
      </c>
      <c r="BO1" s="6" t="s">
        <v>39</v>
      </c>
      <c r="BP1" s="6" t="s">
        <v>102</v>
      </c>
      <c r="BQ1" s="6" t="s">
        <v>103</v>
      </c>
    </row>
    <row r="2" spans="1:69" ht="24" x14ac:dyDescent="0.3">
      <c r="A2" s="5" t="s">
        <v>97</v>
      </c>
      <c r="B2" s="12" t="s">
        <v>14</v>
      </c>
      <c r="C2" s="12">
        <v>159260</v>
      </c>
      <c r="D2" s="13"/>
      <c r="E2" s="12" t="s">
        <v>10</v>
      </c>
      <c r="F2" s="12" t="s">
        <v>15</v>
      </c>
      <c r="G2" s="12" t="s">
        <v>10</v>
      </c>
      <c r="H2" s="14" t="s">
        <v>7</v>
      </c>
      <c r="I2" s="14" t="s">
        <v>16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3</v>
      </c>
      <c r="AC2" s="14">
        <v>0</v>
      </c>
      <c r="AD2" s="15">
        <v>2700</v>
      </c>
      <c r="AE2" s="14">
        <v>0</v>
      </c>
      <c r="AF2" s="14">
        <v>0</v>
      </c>
      <c r="AG2" s="14">
        <v>0</v>
      </c>
      <c r="AH2" s="14">
        <v>4</v>
      </c>
      <c r="AI2" s="15">
        <v>4320</v>
      </c>
      <c r="AJ2" s="14">
        <v>0</v>
      </c>
      <c r="AK2" s="14">
        <v>0</v>
      </c>
      <c r="AL2" s="14">
        <v>0</v>
      </c>
      <c r="AM2" s="14">
        <v>0</v>
      </c>
      <c r="AN2" s="14">
        <v>7</v>
      </c>
      <c r="AO2" s="15">
        <v>6100</v>
      </c>
      <c r="AP2" s="14">
        <v>200</v>
      </c>
      <c r="AQ2" s="14">
        <v>0</v>
      </c>
      <c r="AR2" s="14">
        <v>0</v>
      </c>
      <c r="AS2" s="14">
        <v>0</v>
      </c>
      <c r="AT2" s="14">
        <v>0</v>
      </c>
      <c r="AU2" s="14">
        <v>0</v>
      </c>
      <c r="AV2" s="14">
        <v>0</v>
      </c>
      <c r="AW2" s="14">
        <v>0</v>
      </c>
      <c r="AX2" s="14">
        <v>0</v>
      </c>
      <c r="AY2" s="14">
        <v>0</v>
      </c>
      <c r="AZ2" s="14">
        <v>4</v>
      </c>
      <c r="BA2" s="15">
        <v>4320</v>
      </c>
      <c r="BB2" s="14">
        <v>0</v>
      </c>
      <c r="BC2" s="14">
        <v>0</v>
      </c>
      <c r="BD2" s="14">
        <v>0</v>
      </c>
      <c r="BE2" s="14">
        <v>0</v>
      </c>
      <c r="BF2" s="14">
        <v>0</v>
      </c>
      <c r="BG2" s="14">
        <v>0</v>
      </c>
      <c r="BH2" s="14">
        <v>0</v>
      </c>
      <c r="BI2" s="14">
        <v>0</v>
      </c>
      <c r="BJ2" s="14">
        <v>0</v>
      </c>
      <c r="BK2" s="14">
        <v>0</v>
      </c>
      <c r="BL2" s="16">
        <v>1555.2</v>
      </c>
      <c r="BM2" s="17">
        <v>17640</v>
      </c>
      <c r="BN2" s="9">
        <f t="shared" ref="BN2:BN3" si="0">BM2-BL2</f>
        <v>16084.8</v>
      </c>
      <c r="BO2" s="10">
        <f t="shared" ref="BO2:BO3" si="1">BN2*70%</f>
        <v>11259.359999999999</v>
      </c>
    </row>
    <row r="3" spans="1:69" ht="24" x14ac:dyDescent="0.3">
      <c r="A3" s="5" t="s">
        <v>97</v>
      </c>
      <c r="B3" s="12" t="s">
        <v>121</v>
      </c>
      <c r="C3" s="12">
        <v>192732</v>
      </c>
      <c r="D3" s="13"/>
      <c r="E3" s="12" t="s">
        <v>10</v>
      </c>
      <c r="F3" s="12" t="s">
        <v>28</v>
      </c>
      <c r="G3" s="12" t="s">
        <v>10</v>
      </c>
      <c r="H3" s="14" t="s">
        <v>7</v>
      </c>
      <c r="I3" s="14" t="s">
        <v>29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8</v>
      </c>
      <c r="AC3" s="15">
        <v>7200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 s="14">
        <v>0</v>
      </c>
      <c r="AW3" s="14">
        <v>0</v>
      </c>
      <c r="AX3" s="14">
        <v>0</v>
      </c>
      <c r="AY3" s="14">
        <v>0</v>
      </c>
      <c r="AZ3" s="14">
        <v>3</v>
      </c>
      <c r="BA3" s="15">
        <v>3240</v>
      </c>
      <c r="BB3" s="14">
        <v>0</v>
      </c>
      <c r="BC3" s="14">
        <v>0</v>
      </c>
      <c r="BD3" s="14">
        <v>0</v>
      </c>
      <c r="BE3" s="14">
        <v>0</v>
      </c>
      <c r="BF3" s="14">
        <v>0</v>
      </c>
      <c r="BG3" s="14">
        <v>0</v>
      </c>
      <c r="BH3" s="14">
        <v>0</v>
      </c>
      <c r="BI3" s="14">
        <v>0</v>
      </c>
      <c r="BJ3" s="14">
        <v>0</v>
      </c>
      <c r="BK3" s="14">
        <v>0</v>
      </c>
      <c r="BL3" s="14">
        <v>194.4</v>
      </c>
      <c r="BM3" s="17">
        <v>10440</v>
      </c>
      <c r="BN3" s="9">
        <f t="shared" si="0"/>
        <v>10245.6</v>
      </c>
      <c r="BO3" s="10">
        <f t="shared" si="1"/>
        <v>7171.92</v>
      </c>
    </row>
    <row r="4" spans="1:69" ht="24" x14ac:dyDescent="0.3">
      <c r="A4" s="5" t="s">
        <v>97</v>
      </c>
      <c r="B4" s="12" t="s">
        <v>114</v>
      </c>
      <c r="C4" s="12">
        <v>192737</v>
      </c>
      <c r="D4" s="13"/>
      <c r="E4" s="12" t="s">
        <v>10</v>
      </c>
      <c r="F4" s="12" t="s">
        <v>28</v>
      </c>
      <c r="G4" s="12" t="s">
        <v>10</v>
      </c>
      <c r="H4" s="14" t="s">
        <v>7</v>
      </c>
      <c r="I4" s="14" t="s">
        <v>29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6</v>
      </c>
      <c r="AC4" s="15">
        <v>5400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0</v>
      </c>
      <c r="AZ4" s="14">
        <v>0</v>
      </c>
      <c r="BA4" s="14">
        <v>0</v>
      </c>
      <c r="BB4" s="14">
        <v>0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4">
        <v>0</v>
      </c>
      <c r="BM4" s="17">
        <v>5400</v>
      </c>
      <c r="BN4" s="9">
        <f t="shared" ref="BN4:BN23" si="2">BM4-BL4</f>
        <v>5400</v>
      </c>
      <c r="BO4" s="10">
        <f t="shared" ref="BO4:BO23" si="3">BN4*70%</f>
        <v>3779.9999999999995</v>
      </c>
    </row>
    <row r="5" spans="1:69" ht="24" x14ac:dyDescent="0.3">
      <c r="A5" s="5" t="s">
        <v>97</v>
      </c>
      <c r="B5" s="12" t="s">
        <v>17</v>
      </c>
      <c r="C5" s="12">
        <v>161539</v>
      </c>
      <c r="D5" s="13"/>
      <c r="E5" s="12" t="s">
        <v>10</v>
      </c>
      <c r="F5" s="12" t="s">
        <v>15</v>
      </c>
      <c r="G5" s="12" t="s">
        <v>10</v>
      </c>
      <c r="H5" s="14" t="s">
        <v>7</v>
      </c>
      <c r="I5" s="14" t="s">
        <v>18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1</v>
      </c>
      <c r="AC5" s="14">
        <v>900</v>
      </c>
      <c r="AD5" s="14">
        <v>0</v>
      </c>
      <c r="AE5" s="14">
        <v>1</v>
      </c>
      <c r="AF5" s="15">
        <v>2800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1</v>
      </c>
      <c r="BA5" s="15">
        <v>1080</v>
      </c>
      <c r="BB5" s="14">
        <v>0</v>
      </c>
      <c r="BC5" s="14">
        <v>1</v>
      </c>
      <c r="BD5" s="14">
        <v>480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93.6</v>
      </c>
      <c r="BM5" s="17">
        <v>5260</v>
      </c>
      <c r="BN5" s="9">
        <f t="shared" si="2"/>
        <v>5166.3999999999996</v>
      </c>
      <c r="BO5" s="10">
        <f t="shared" si="3"/>
        <v>3616.4799999999996</v>
      </c>
    </row>
    <row r="6" spans="1:69" ht="24" x14ac:dyDescent="0.3">
      <c r="A6" s="5" t="s">
        <v>97</v>
      </c>
      <c r="B6" s="12" t="s">
        <v>24</v>
      </c>
      <c r="C6" s="12">
        <v>159258</v>
      </c>
      <c r="D6" s="13"/>
      <c r="E6" s="12" t="s">
        <v>10</v>
      </c>
      <c r="F6" s="12" t="s">
        <v>15</v>
      </c>
      <c r="G6" s="12" t="s">
        <v>10</v>
      </c>
      <c r="H6" s="14" t="s">
        <v>7</v>
      </c>
      <c r="I6" s="14" t="s">
        <v>23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5</v>
      </c>
      <c r="AC6" s="15">
        <v>4500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7">
        <v>4500</v>
      </c>
      <c r="BN6" s="9">
        <f t="shared" si="2"/>
        <v>4500</v>
      </c>
      <c r="BO6" s="10">
        <f t="shared" si="3"/>
        <v>3150</v>
      </c>
    </row>
    <row r="7" spans="1:69" ht="24" x14ac:dyDescent="0.3">
      <c r="A7" s="5" t="s">
        <v>97</v>
      </c>
      <c r="B7" s="12" t="s">
        <v>33</v>
      </c>
      <c r="C7" s="12">
        <v>192729</v>
      </c>
      <c r="D7" s="13"/>
      <c r="E7" s="12" t="s">
        <v>10</v>
      </c>
      <c r="F7" s="12" t="s">
        <v>28</v>
      </c>
      <c r="G7" s="12" t="s">
        <v>10</v>
      </c>
      <c r="H7" s="14" t="s">
        <v>7</v>
      </c>
      <c r="I7" s="14" t="s">
        <v>34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4</v>
      </c>
      <c r="AC7" s="15">
        <v>3600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7">
        <v>3600</v>
      </c>
      <c r="BN7" s="9">
        <f t="shared" si="2"/>
        <v>3600</v>
      </c>
      <c r="BO7" s="10">
        <f t="shared" si="3"/>
        <v>2520</v>
      </c>
    </row>
    <row r="8" spans="1:69" ht="24" x14ac:dyDescent="0.3">
      <c r="A8" s="5" t="s">
        <v>97</v>
      </c>
      <c r="B8" s="12" t="s">
        <v>104</v>
      </c>
      <c r="C8" s="12">
        <v>239858</v>
      </c>
      <c r="D8" s="13"/>
      <c r="E8" s="12" t="s">
        <v>10</v>
      </c>
      <c r="F8" s="12" t="s">
        <v>11</v>
      </c>
      <c r="G8" s="12" t="s">
        <v>10</v>
      </c>
      <c r="H8" s="14" t="s">
        <v>7</v>
      </c>
      <c r="I8" s="14" t="s">
        <v>105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3</v>
      </c>
      <c r="AO8" s="15">
        <v>2700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7">
        <v>2700</v>
      </c>
      <c r="BN8" s="9">
        <f t="shared" si="2"/>
        <v>2700</v>
      </c>
      <c r="BO8" s="10">
        <f t="shared" si="3"/>
        <v>1889.9999999999998</v>
      </c>
    </row>
    <row r="9" spans="1:69" ht="24" x14ac:dyDescent="0.3">
      <c r="A9" s="5" t="s">
        <v>97</v>
      </c>
      <c r="B9" s="12" t="s">
        <v>122</v>
      </c>
      <c r="C9" s="12">
        <v>99966</v>
      </c>
      <c r="D9" s="13"/>
      <c r="E9" s="12" t="s">
        <v>10</v>
      </c>
      <c r="F9" s="12" t="s">
        <v>15</v>
      </c>
      <c r="G9" s="12" t="s">
        <v>10</v>
      </c>
      <c r="H9" s="14" t="s">
        <v>9</v>
      </c>
      <c r="I9" s="14" t="s">
        <v>123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22</v>
      </c>
      <c r="AF9" s="14">
        <v>0</v>
      </c>
      <c r="AG9" s="15">
        <v>2200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7">
        <v>2200</v>
      </c>
      <c r="BN9" s="9">
        <f t="shared" si="2"/>
        <v>2200</v>
      </c>
      <c r="BO9" s="10">
        <f t="shared" si="3"/>
        <v>1540</v>
      </c>
    </row>
    <row r="10" spans="1:69" ht="24" x14ac:dyDescent="0.3">
      <c r="A10" s="5" t="s">
        <v>97</v>
      </c>
      <c r="B10" s="12" t="s">
        <v>30</v>
      </c>
      <c r="C10" s="12">
        <v>215737</v>
      </c>
      <c r="D10" s="13"/>
      <c r="E10" s="12" t="s">
        <v>10</v>
      </c>
      <c r="F10" s="12" t="s">
        <v>31</v>
      </c>
      <c r="G10" s="12" t="s">
        <v>10</v>
      </c>
      <c r="H10" s="14" t="s">
        <v>7</v>
      </c>
      <c r="I10" s="14" t="s">
        <v>32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1</v>
      </c>
      <c r="AF10" s="14">
        <v>100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14</v>
      </c>
      <c r="AX10" s="15">
        <v>1708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170.8</v>
      </c>
      <c r="BM10" s="17">
        <v>1808</v>
      </c>
      <c r="BN10" s="9">
        <f t="shared" si="2"/>
        <v>1637.2</v>
      </c>
      <c r="BO10" s="10">
        <f t="shared" si="3"/>
        <v>1146.04</v>
      </c>
    </row>
    <row r="11" spans="1:69" ht="24" x14ac:dyDescent="0.3">
      <c r="A11" s="5" t="s">
        <v>97</v>
      </c>
      <c r="B11" s="12" t="s">
        <v>124</v>
      </c>
      <c r="C11" s="12">
        <v>229857</v>
      </c>
      <c r="D11" s="13"/>
      <c r="E11" s="12" t="s">
        <v>10</v>
      </c>
      <c r="F11" s="12" t="s">
        <v>11</v>
      </c>
      <c r="G11" s="12" t="s">
        <v>10</v>
      </c>
      <c r="H11" s="14" t="s">
        <v>9</v>
      </c>
      <c r="I11" s="14" t="s">
        <v>125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2</v>
      </c>
      <c r="AO11" s="15">
        <v>1800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7">
        <v>1800</v>
      </c>
      <c r="BN11" s="9">
        <f t="shared" si="2"/>
        <v>1800</v>
      </c>
      <c r="BO11" s="10">
        <f t="shared" si="3"/>
        <v>1260</v>
      </c>
    </row>
    <row r="12" spans="1:69" ht="24" x14ac:dyDescent="0.3">
      <c r="A12" s="5" t="s">
        <v>97</v>
      </c>
      <c r="B12" s="12" t="s">
        <v>21</v>
      </c>
      <c r="C12" s="12">
        <v>161447</v>
      </c>
      <c r="D12" s="13"/>
      <c r="E12" s="12" t="s">
        <v>10</v>
      </c>
      <c r="F12" s="12" t="s">
        <v>12</v>
      </c>
      <c r="G12" s="12" t="s">
        <v>10</v>
      </c>
      <c r="H12" s="14" t="s">
        <v>7</v>
      </c>
      <c r="I12" s="14" t="s">
        <v>22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2</v>
      </c>
      <c r="AC12" s="15">
        <v>1800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7">
        <v>1800</v>
      </c>
      <c r="BN12" s="9">
        <f t="shared" si="2"/>
        <v>1800</v>
      </c>
      <c r="BO12" s="10">
        <f t="shared" si="3"/>
        <v>1260</v>
      </c>
    </row>
    <row r="13" spans="1:69" ht="24" x14ac:dyDescent="0.3">
      <c r="A13" s="5" t="s">
        <v>97</v>
      </c>
      <c r="B13" s="12" t="s">
        <v>106</v>
      </c>
      <c r="C13" s="12">
        <v>159483</v>
      </c>
      <c r="D13" s="13"/>
      <c r="E13" s="12" t="s">
        <v>10</v>
      </c>
      <c r="F13" s="12" t="s">
        <v>12</v>
      </c>
      <c r="G13" s="12" t="s">
        <v>10</v>
      </c>
      <c r="H13" s="14" t="s">
        <v>7</v>
      </c>
      <c r="I13" s="14" t="s">
        <v>107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2</v>
      </c>
      <c r="AC13" s="15">
        <v>1800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7">
        <v>1800</v>
      </c>
      <c r="BN13" s="9">
        <f t="shared" si="2"/>
        <v>1800</v>
      </c>
      <c r="BO13" s="10">
        <f t="shared" si="3"/>
        <v>1260</v>
      </c>
    </row>
    <row r="14" spans="1:69" ht="24" x14ac:dyDescent="0.3">
      <c r="A14" s="5" t="s">
        <v>97</v>
      </c>
      <c r="B14" s="12" t="s">
        <v>13</v>
      </c>
      <c r="C14" s="12">
        <v>355332</v>
      </c>
      <c r="D14" s="13"/>
      <c r="E14" s="12" t="s">
        <v>10</v>
      </c>
      <c r="F14" s="12" t="s">
        <v>12</v>
      </c>
      <c r="G14" s="12" t="s">
        <v>10</v>
      </c>
      <c r="H14" s="14" t="s">
        <v>8</v>
      </c>
      <c r="I14" s="14" t="s">
        <v>38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14</v>
      </c>
      <c r="AF14" s="15">
        <v>1200</v>
      </c>
      <c r="AG14" s="14">
        <v>200</v>
      </c>
      <c r="AH14" s="14">
        <v>0</v>
      </c>
      <c r="AI14" s="14">
        <v>0</v>
      </c>
      <c r="AJ14" s="14">
        <v>0</v>
      </c>
      <c r="AK14" s="14">
        <v>1</v>
      </c>
      <c r="AL14" s="14">
        <v>0</v>
      </c>
      <c r="AM14" s="14">
        <v>100</v>
      </c>
      <c r="AN14" s="14">
        <v>0</v>
      </c>
      <c r="AO14" s="14">
        <v>0</v>
      </c>
      <c r="AP14" s="14">
        <v>0</v>
      </c>
      <c r="AQ14" s="14">
        <v>1</v>
      </c>
      <c r="AR14" s="14">
        <v>100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1</v>
      </c>
      <c r="BD14" s="14">
        <v>120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7.2</v>
      </c>
      <c r="BM14" s="17">
        <v>1720</v>
      </c>
      <c r="BN14" s="9">
        <f t="shared" si="2"/>
        <v>1712.8</v>
      </c>
      <c r="BO14" s="10">
        <f t="shared" si="3"/>
        <v>1198.9599999999998</v>
      </c>
    </row>
    <row r="15" spans="1:69" ht="24" x14ac:dyDescent="0.3">
      <c r="A15" s="5" t="s">
        <v>97</v>
      </c>
      <c r="B15" s="12" t="s">
        <v>113</v>
      </c>
      <c r="C15" s="12">
        <v>285993</v>
      </c>
      <c r="D15" s="13"/>
      <c r="E15" s="12" t="s">
        <v>10</v>
      </c>
      <c r="F15" s="12" t="s">
        <v>11</v>
      </c>
      <c r="G15" s="12" t="s">
        <v>10</v>
      </c>
      <c r="H15" s="14" t="s">
        <v>7</v>
      </c>
      <c r="I15" s="14" t="s">
        <v>35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1</v>
      </c>
      <c r="AC15" s="14">
        <v>900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8">
        <v>900</v>
      </c>
      <c r="BN15" s="9">
        <f t="shared" si="2"/>
        <v>900</v>
      </c>
      <c r="BO15" s="10">
        <f t="shared" si="3"/>
        <v>630</v>
      </c>
    </row>
    <row r="16" spans="1:69" ht="24" x14ac:dyDescent="0.3">
      <c r="A16" s="5" t="s">
        <v>97</v>
      </c>
      <c r="B16" s="12" t="s">
        <v>126</v>
      </c>
      <c r="C16" s="12">
        <v>285990</v>
      </c>
      <c r="D16" s="13"/>
      <c r="E16" s="12" t="s">
        <v>10</v>
      </c>
      <c r="F16" s="12" t="s">
        <v>11</v>
      </c>
      <c r="G16" s="12" t="s">
        <v>10</v>
      </c>
      <c r="H16" s="14" t="s">
        <v>7</v>
      </c>
      <c r="I16" s="14" t="s">
        <v>35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1</v>
      </c>
      <c r="AC16" s="14">
        <v>900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8">
        <v>900</v>
      </c>
      <c r="BN16" s="9">
        <f t="shared" si="2"/>
        <v>900</v>
      </c>
      <c r="BO16" s="10">
        <f t="shared" si="3"/>
        <v>630</v>
      </c>
    </row>
    <row r="17" spans="1:67" ht="24" x14ac:dyDescent="0.3">
      <c r="A17" s="5" t="s">
        <v>97</v>
      </c>
      <c r="B17" s="12" t="s">
        <v>127</v>
      </c>
      <c r="C17" s="12">
        <v>229599</v>
      </c>
      <c r="D17" s="13"/>
      <c r="E17" s="12" t="s">
        <v>10</v>
      </c>
      <c r="F17" s="12" t="s">
        <v>11</v>
      </c>
      <c r="G17" s="12" t="s">
        <v>10</v>
      </c>
      <c r="H17" s="14" t="s">
        <v>7</v>
      </c>
      <c r="I17" s="14" t="s">
        <v>128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1</v>
      </c>
      <c r="AC17" s="14">
        <v>900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8">
        <v>900</v>
      </c>
      <c r="BN17" s="9">
        <f t="shared" si="2"/>
        <v>900</v>
      </c>
      <c r="BO17" s="10">
        <f t="shared" si="3"/>
        <v>630</v>
      </c>
    </row>
    <row r="18" spans="1:67" ht="24" x14ac:dyDescent="0.3">
      <c r="A18" s="5" t="s">
        <v>97</v>
      </c>
      <c r="B18" s="12" t="s">
        <v>111</v>
      </c>
      <c r="C18" s="12">
        <v>196917</v>
      </c>
      <c r="D18" s="13"/>
      <c r="E18" s="12" t="s">
        <v>10</v>
      </c>
      <c r="F18" s="12" t="s">
        <v>28</v>
      </c>
      <c r="G18" s="12" t="s">
        <v>10</v>
      </c>
      <c r="H18" s="14" t="s">
        <v>7</v>
      </c>
      <c r="I18" s="14" t="s">
        <v>112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1</v>
      </c>
      <c r="AC18" s="14">
        <v>900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8">
        <v>900</v>
      </c>
      <c r="BN18" s="9">
        <f t="shared" si="2"/>
        <v>900</v>
      </c>
      <c r="BO18" s="10">
        <f t="shared" si="3"/>
        <v>630</v>
      </c>
    </row>
    <row r="19" spans="1:67" ht="24" x14ac:dyDescent="0.3">
      <c r="A19" s="5" t="s">
        <v>97</v>
      </c>
      <c r="B19" s="12" t="s">
        <v>129</v>
      </c>
      <c r="C19" s="12">
        <v>408617</v>
      </c>
      <c r="D19" s="13"/>
      <c r="E19" s="12" t="s">
        <v>10</v>
      </c>
      <c r="F19" s="12" t="s">
        <v>11</v>
      </c>
      <c r="G19" s="12" t="s">
        <v>20</v>
      </c>
      <c r="H19" s="14" t="s">
        <v>9</v>
      </c>
      <c r="I19" s="14" t="s">
        <v>116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5</v>
      </c>
      <c r="AF19" s="14">
        <v>500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8">
        <v>500</v>
      </c>
      <c r="BN19" s="9">
        <f t="shared" si="2"/>
        <v>500</v>
      </c>
      <c r="BO19" s="10">
        <f t="shared" si="3"/>
        <v>350</v>
      </c>
    </row>
    <row r="20" spans="1:67" ht="24" x14ac:dyDescent="0.3">
      <c r="A20" s="5" t="s">
        <v>97</v>
      </c>
      <c r="B20" s="12" t="s">
        <v>130</v>
      </c>
      <c r="C20" s="12">
        <v>408332</v>
      </c>
      <c r="D20" s="13"/>
      <c r="E20" s="12" t="s">
        <v>10</v>
      </c>
      <c r="F20" s="12" t="s">
        <v>11</v>
      </c>
      <c r="G20" s="12" t="s">
        <v>20</v>
      </c>
      <c r="H20" s="14" t="s">
        <v>7</v>
      </c>
      <c r="I20" s="14" t="s">
        <v>115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3</v>
      </c>
      <c r="AF20" s="14">
        <v>300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8">
        <v>300</v>
      </c>
      <c r="BN20" s="9">
        <f t="shared" si="2"/>
        <v>300</v>
      </c>
      <c r="BO20" s="10">
        <f t="shared" si="3"/>
        <v>210</v>
      </c>
    </row>
    <row r="21" spans="1:67" ht="24" x14ac:dyDescent="0.3">
      <c r="A21" s="5" t="s">
        <v>97</v>
      </c>
      <c r="B21" s="12" t="s">
        <v>108</v>
      </c>
      <c r="C21" s="12">
        <v>300910</v>
      </c>
      <c r="D21" s="13"/>
      <c r="E21" s="12" t="s">
        <v>10</v>
      </c>
      <c r="F21" s="12" t="s">
        <v>31</v>
      </c>
      <c r="G21" s="12" t="s">
        <v>10</v>
      </c>
      <c r="H21" s="14" t="s">
        <v>7</v>
      </c>
      <c r="I21" s="14" t="s">
        <v>109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1</v>
      </c>
      <c r="AF21" s="14">
        <v>100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1</v>
      </c>
      <c r="AX21" s="14">
        <v>120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12</v>
      </c>
      <c r="BM21" s="18">
        <v>220</v>
      </c>
      <c r="BN21" s="9">
        <f t="shared" si="2"/>
        <v>208</v>
      </c>
      <c r="BO21" s="10">
        <f t="shared" si="3"/>
        <v>145.6</v>
      </c>
    </row>
    <row r="22" spans="1:67" ht="24" x14ac:dyDescent="0.3">
      <c r="A22" s="5" t="s">
        <v>97</v>
      </c>
      <c r="B22" s="12" t="s">
        <v>131</v>
      </c>
      <c r="C22" s="12">
        <v>395747</v>
      </c>
      <c r="D22" s="13"/>
      <c r="E22" s="12" t="s">
        <v>10</v>
      </c>
      <c r="F22" s="12" t="s">
        <v>11</v>
      </c>
      <c r="G22" s="12" t="s">
        <v>10</v>
      </c>
      <c r="H22" s="14" t="s">
        <v>7</v>
      </c>
      <c r="I22" s="14" t="s">
        <v>132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1</v>
      </c>
      <c r="AF22" s="14">
        <v>100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8">
        <v>100</v>
      </c>
      <c r="BN22" s="9">
        <f t="shared" si="2"/>
        <v>100</v>
      </c>
      <c r="BO22" s="10">
        <f t="shared" si="3"/>
        <v>70</v>
      </c>
    </row>
    <row r="23" spans="1:67" ht="24" x14ac:dyDescent="0.3">
      <c r="A23" s="5" t="s">
        <v>97</v>
      </c>
      <c r="B23" s="12" t="s">
        <v>133</v>
      </c>
      <c r="C23" s="12">
        <v>210381</v>
      </c>
      <c r="D23" s="13"/>
      <c r="E23" s="12" t="s">
        <v>10</v>
      </c>
      <c r="F23" s="12" t="s">
        <v>28</v>
      </c>
      <c r="G23" s="12" t="s">
        <v>10</v>
      </c>
      <c r="H23" s="14" t="s">
        <v>7</v>
      </c>
      <c r="I23" s="14" t="s">
        <v>134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1</v>
      </c>
      <c r="AF23" s="14">
        <v>100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8">
        <v>100</v>
      </c>
      <c r="BN23" s="9">
        <f t="shared" si="2"/>
        <v>100</v>
      </c>
      <c r="BO23" s="10">
        <f t="shared" si="3"/>
        <v>70</v>
      </c>
    </row>
    <row r="24" spans="1:67" ht="24" x14ac:dyDescent="0.3">
      <c r="A24" s="5" t="s">
        <v>98</v>
      </c>
      <c r="B24" s="12" t="s">
        <v>13</v>
      </c>
      <c r="C24" s="12">
        <v>355332</v>
      </c>
      <c r="D24" s="13"/>
      <c r="E24" s="12" t="s">
        <v>10</v>
      </c>
      <c r="F24" s="12" t="s">
        <v>12</v>
      </c>
      <c r="G24" s="12" t="s">
        <v>10</v>
      </c>
      <c r="H24" s="14" t="s">
        <v>8</v>
      </c>
      <c r="I24" s="14" t="s">
        <v>38</v>
      </c>
      <c r="J24" s="14">
        <v>0</v>
      </c>
      <c r="K24" s="14">
        <v>1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328</v>
      </c>
      <c r="AF24" s="15">
        <v>32700</v>
      </c>
      <c r="AG24" s="14">
        <v>100</v>
      </c>
      <c r="AH24" s="14">
        <v>0</v>
      </c>
      <c r="AI24" s="14">
        <v>0</v>
      </c>
      <c r="AJ24" s="14">
        <v>0</v>
      </c>
      <c r="AK24" s="14">
        <v>1</v>
      </c>
      <c r="AL24" s="14">
        <v>0</v>
      </c>
      <c r="AM24" s="14">
        <v>100</v>
      </c>
      <c r="AN24" s="14">
        <v>0</v>
      </c>
      <c r="AO24" s="14">
        <v>0</v>
      </c>
      <c r="AP24" s="14">
        <v>0</v>
      </c>
      <c r="AQ24" s="14">
        <v>1</v>
      </c>
      <c r="AR24" s="14">
        <v>100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7</v>
      </c>
      <c r="BD24" s="14">
        <v>840</v>
      </c>
      <c r="BE24" s="14">
        <v>0</v>
      </c>
      <c r="BF24" s="14">
        <v>0</v>
      </c>
      <c r="BG24" s="14">
        <v>0</v>
      </c>
      <c r="BH24" s="14">
        <v>0</v>
      </c>
      <c r="BI24" s="14">
        <v>9</v>
      </c>
      <c r="BJ24" s="15">
        <v>1080</v>
      </c>
      <c r="BK24" s="14">
        <v>0</v>
      </c>
      <c r="BL24" s="14">
        <v>104.4</v>
      </c>
      <c r="BM24" s="17">
        <v>34920</v>
      </c>
      <c r="BN24" s="9">
        <f t="shared" ref="BN24:BN28" si="4">BM24-BL24</f>
        <v>34815.599999999999</v>
      </c>
      <c r="BO24" s="10">
        <f t="shared" ref="BO24:BO28" si="5">BN24*70%</f>
        <v>24370.92</v>
      </c>
    </row>
    <row r="25" spans="1:67" ht="24" x14ac:dyDescent="0.3">
      <c r="A25" s="5" t="s">
        <v>98</v>
      </c>
      <c r="B25" s="12" t="s">
        <v>27</v>
      </c>
      <c r="C25" s="12">
        <v>159266</v>
      </c>
      <c r="D25" s="13"/>
      <c r="E25" s="12" t="s">
        <v>10</v>
      </c>
      <c r="F25" s="12" t="s">
        <v>15</v>
      </c>
      <c r="G25" s="12" t="s">
        <v>10</v>
      </c>
      <c r="H25" s="14" t="s">
        <v>7</v>
      </c>
      <c r="I25" s="14" t="s">
        <v>23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14</v>
      </c>
      <c r="AC25" s="15">
        <v>12600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7">
        <v>12600</v>
      </c>
      <c r="BN25" s="9">
        <f t="shared" si="4"/>
        <v>12600</v>
      </c>
      <c r="BO25" s="10">
        <f t="shared" si="5"/>
        <v>8820</v>
      </c>
    </row>
    <row r="26" spans="1:67" ht="24" x14ac:dyDescent="0.3">
      <c r="A26" s="5" t="s">
        <v>98</v>
      </c>
      <c r="B26" s="12" t="s">
        <v>133</v>
      </c>
      <c r="C26" s="12">
        <v>210381</v>
      </c>
      <c r="D26" s="13"/>
      <c r="E26" s="12" t="s">
        <v>10</v>
      </c>
      <c r="F26" s="12" t="s">
        <v>28</v>
      </c>
      <c r="G26" s="12" t="s">
        <v>10</v>
      </c>
      <c r="H26" s="14" t="s">
        <v>7</v>
      </c>
      <c r="I26" s="14" t="s">
        <v>134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122</v>
      </c>
      <c r="AF26" s="15">
        <v>12200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7">
        <v>12200</v>
      </c>
      <c r="BN26" s="9">
        <f t="shared" si="4"/>
        <v>12200</v>
      </c>
      <c r="BO26" s="10">
        <f t="shared" si="5"/>
        <v>8540</v>
      </c>
    </row>
    <row r="27" spans="1:67" ht="24" x14ac:dyDescent="0.3">
      <c r="A27" s="5" t="s">
        <v>98</v>
      </c>
      <c r="B27" s="12" t="s">
        <v>14</v>
      </c>
      <c r="C27" s="12">
        <v>159260</v>
      </c>
      <c r="D27" s="13"/>
      <c r="E27" s="12" t="s">
        <v>10</v>
      </c>
      <c r="F27" s="12" t="s">
        <v>15</v>
      </c>
      <c r="G27" s="12" t="s">
        <v>10</v>
      </c>
      <c r="H27" s="14" t="s">
        <v>7</v>
      </c>
      <c r="I27" s="14" t="s">
        <v>16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10</v>
      </c>
      <c r="AC27" s="15">
        <v>7200</v>
      </c>
      <c r="AD27" s="15">
        <v>1800</v>
      </c>
      <c r="AE27" s="14">
        <v>0</v>
      </c>
      <c r="AF27" s="14">
        <v>0</v>
      </c>
      <c r="AG27" s="14">
        <v>0</v>
      </c>
      <c r="AH27" s="14">
        <v>2</v>
      </c>
      <c r="AI27" s="15">
        <v>1800</v>
      </c>
      <c r="AJ27" s="14">
        <v>300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540</v>
      </c>
      <c r="BM27" s="17">
        <v>11100</v>
      </c>
      <c r="BN27" s="9">
        <f t="shared" si="4"/>
        <v>10560</v>
      </c>
      <c r="BO27" s="10">
        <f t="shared" si="5"/>
        <v>7391.9999999999991</v>
      </c>
    </row>
    <row r="28" spans="1:67" ht="24" x14ac:dyDescent="0.3">
      <c r="A28" s="5" t="s">
        <v>98</v>
      </c>
      <c r="B28" s="12" t="s">
        <v>130</v>
      </c>
      <c r="C28" s="12">
        <v>408332</v>
      </c>
      <c r="D28" s="13"/>
      <c r="E28" s="12" t="s">
        <v>10</v>
      </c>
      <c r="F28" s="12" t="s">
        <v>11</v>
      </c>
      <c r="G28" s="12" t="s">
        <v>20</v>
      </c>
      <c r="H28" s="14" t="s">
        <v>7</v>
      </c>
      <c r="I28" s="14" t="s">
        <v>115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106</v>
      </c>
      <c r="AF28" s="15">
        <v>10600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7">
        <v>10600</v>
      </c>
      <c r="BN28" s="9">
        <f t="shared" si="4"/>
        <v>10600</v>
      </c>
      <c r="BO28" s="10">
        <f t="shared" si="5"/>
        <v>7419.9999999999991</v>
      </c>
    </row>
    <row r="29" spans="1:67" ht="24" x14ac:dyDescent="0.3">
      <c r="A29" s="5" t="s">
        <v>98</v>
      </c>
      <c r="B29" s="12" t="s">
        <v>114</v>
      </c>
      <c r="C29" s="12">
        <v>192737</v>
      </c>
      <c r="D29" s="13"/>
      <c r="E29" s="12" t="s">
        <v>10</v>
      </c>
      <c r="F29" s="12" t="s">
        <v>28</v>
      </c>
      <c r="G29" s="12" t="s">
        <v>10</v>
      </c>
      <c r="H29" s="14" t="s">
        <v>7</v>
      </c>
      <c r="I29" s="14" t="s">
        <v>29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10</v>
      </c>
      <c r="AC29" s="15">
        <v>9000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7">
        <v>9000</v>
      </c>
      <c r="BN29" s="9">
        <f t="shared" ref="BN29:BN36" si="6">BM29-BL29</f>
        <v>9000</v>
      </c>
      <c r="BO29" s="10">
        <f t="shared" ref="BO29:BO36" si="7">BN29*70%</f>
        <v>6300</v>
      </c>
    </row>
    <row r="30" spans="1:67" ht="24" x14ac:dyDescent="0.3">
      <c r="A30" s="5" t="s">
        <v>98</v>
      </c>
      <c r="B30" s="12" t="s">
        <v>21</v>
      </c>
      <c r="C30" s="12">
        <v>161447</v>
      </c>
      <c r="D30" s="13"/>
      <c r="E30" s="12" t="s">
        <v>10</v>
      </c>
      <c r="F30" s="12" t="s">
        <v>12</v>
      </c>
      <c r="G30" s="12" t="s">
        <v>10</v>
      </c>
      <c r="H30" s="14" t="s">
        <v>7</v>
      </c>
      <c r="I30" s="14" t="s">
        <v>22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8</v>
      </c>
      <c r="AC30" s="15">
        <v>7200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7">
        <v>7200</v>
      </c>
      <c r="BN30" s="9">
        <f t="shared" si="6"/>
        <v>7200</v>
      </c>
      <c r="BO30" s="10">
        <f t="shared" si="7"/>
        <v>5040</v>
      </c>
    </row>
    <row r="31" spans="1:67" ht="24" x14ac:dyDescent="0.3">
      <c r="A31" s="5" t="s">
        <v>98</v>
      </c>
      <c r="B31" s="12" t="s">
        <v>24</v>
      </c>
      <c r="C31" s="12">
        <v>159258</v>
      </c>
      <c r="D31" s="13"/>
      <c r="E31" s="12" t="s">
        <v>10</v>
      </c>
      <c r="F31" s="12" t="s">
        <v>15</v>
      </c>
      <c r="G31" s="12" t="s">
        <v>10</v>
      </c>
      <c r="H31" s="14" t="s">
        <v>7</v>
      </c>
      <c r="I31" s="14" t="s">
        <v>23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6</v>
      </c>
      <c r="AC31" s="15">
        <v>5400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7">
        <v>5400</v>
      </c>
      <c r="BN31" s="9">
        <f t="shared" si="6"/>
        <v>5400</v>
      </c>
      <c r="BO31" s="10">
        <f t="shared" si="7"/>
        <v>3779.9999999999995</v>
      </c>
    </row>
    <row r="32" spans="1:67" ht="24" x14ac:dyDescent="0.3">
      <c r="A32" s="5" t="s">
        <v>98</v>
      </c>
      <c r="B32" s="12" t="s">
        <v>111</v>
      </c>
      <c r="C32" s="12">
        <v>196917</v>
      </c>
      <c r="D32" s="13"/>
      <c r="E32" s="12" t="s">
        <v>10</v>
      </c>
      <c r="F32" s="12" t="s">
        <v>28</v>
      </c>
      <c r="G32" s="12" t="s">
        <v>10</v>
      </c>
      <c r="H32" s="14" t="s">
        <v>7</v>
      </c>
      <c r="I32" s="14" t="s">
        <v>112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6</v>
      </c>
      <c r="AC32" s="15">
        <v>5400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7">
        <v>5400</v>
      </c>
      <c r="BN32" s="9">
        <f t="shared" si="6"/>
        <v>5400</v>
      </c>
      <c r="BO32" s="10">
        <f t="shared" si="7"/>
        <v>3779.9999999999995</v>
      </c>
    </row>
    <row r="33" spans="1:67" ht="24" x14ac:dyDescent="0.3">
      <c r="A33" s="5" t="s">
        <v>98</v>
      </c>
      <c r="B33" s="12" t="s">
        <v>30</v>
      </c>
      <c r="C33" s="12">
        <v>215737</v>
      </c>
      <c r="D33" s="13"/>
      <c r="E33" s="12" t="s">
        <v>10</v>
      </c>
      <c r="F33" s="12" t="s">
        <v>31</v>
      </c>
      <c r="G33" s="12" t="s">
        <v>10</v>
      </c>
      <c r="H33" s="14" t="s">
        <v>7</v>
      </c>
      <c r="I33" s="14" t="s">
        <v>32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2</v>
      </c>
      <c r="AF33" s="14">
        <v>200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41</v>
      </c>
      <c r="AX33" s="15">
        <v>5002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500.2</v>
      </c>
      <c r="BM33" s="17">
        <v>5202</v>
      </c>
      <c r="BN33" s="9">
        <f t="shared" si="6"/>
        <v>4701.8</v>
      </c>
      <c r="BO33" s="10">
        <f t="shared" si="7"/>
        <v>3291.2599999999998</v>
      </c>
    </row>
    <row r="34" spans="1:67" ht="24" x14ac:dyDescent="0.3">
      <c r="A34" s="5" t="s">
        <v>98</v>
      </c>
      <c r="B34" s="12" t="s">
        <v>124</v>
      </c>
      <c r="C34" s="12">
        <v>229857</v>
      </c>
      <c r="D34" s="13"/>
      <c r="E34" s="12" t="s">
        <v>10</v>
      </c>
      <c r="F34" s="12" t="s">
        <v>11</v>
      </c>
      <c r="G34" s="12" t="s">
        <v>10</v>
      </c>
      <c r="H34" s="14" t="s">
        <v>9</v>
      </c>
      <c r="I34" s="14" t="s">
        <v>125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5</v>
      </c>
      <c r="AO34" s="15">
        <v>4500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7">
        <v>4500</v>
      </c>
      <c r="BN34" s="9">
        <f t="shared" si="6"/>
        <v>4500</v>
      </c>
      <c r="BO34" s="10">
        <f t="shared" si="7"/>
        <v>3150</v>
      </c>
    </row>
    <row r="35" spans="1:67" ht="24" x14ac:dyDescent="0.3">
      <c r="A35" s="5" t="s">
        <v>98</v>
      </c>
      <c r="B35" s="12" t="s">
        <v>121</v>
      </c>
      <c r="C35" s="12">
        <v>192732</v>
      </c>
      <c r="D35" s="13"/>
      <c r="E35" s="12" t="s">
        <v>10</v>
      </c>
      <c r="F35" s="12" t="s">
        <v>28</v>
      </c>
      <c r="G35" s="12" t="s">
        <v>10</v>
      </c>
      <c r="H35" s="14" t="s">
        <v>7</v>
      </c>
      <c r="I35" s="14" t="s">
        <v>29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3</v>
      </c>
      <c r="AO35" s="15">
        <v>2500</v>
      </c>
      <c r="AP35" s="14">
        <v>200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1</v>
      </c>
      <c r="BA35" s="15">
        <v>1080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64.8</v>
      </c>
      <c r="BM35" s="17">
        <v>3780</v>
      </c>
      <c r="BN35" s="9">
        <f t="shared" si="6"/>
        <v>3715.2</v>
      </c>
      <c r="BO35" s="10">
        <f t="shared" si="7"/>
        <v>2600.64</v>
      </c>
    </row>
    <row r="36" spans="1:67" ht="24" x14ac:dyDescent="0.3">
      <c r="A36" s="5" t="s">
        <v>98</v>
      </c>
      <c r="B36" s="12" t="s">
        <v>119</v>
      </c>
      <c r="C36" s="12">
        <v>238494</v>
      </c>
      <c r="D36" s="13"/>
      <c r="E36" s="12" t="s">
        <v>10</v>
      </c>
      <c r="F36" s="12" t="s">
        <v>28</v>
      </c>
      <c r="G36" s="12" t="s">
        <v>10</v>
      </c>
      <c r="H36" s="14" t="s">
        <v>7</v>
      </c>
      <c r="I36" s="14" t="s">
        <v>120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4</v>
      </c>
      <c r="AC36" s="15">
        <v>3600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7">
        <v>3600</v>
      </c>
      <c r="BN36" s="9">
        <f t="shared" si="6"/>
        <v>3600</v>
      </c>
      <c r="BO36" s="10">
        <f t="shared" si="7"/>
        <v>2520</v>
      </c>
    </row>
    <row r="37" spans="1:67" ht="24" x14ac:dyDescent="0.3">
      <c r="A37" s="5" t="s">
        <v>98</v>
      </c>
      <c r="B37" s="12" t="s">
        <v>33</v>
      </c>
      <c r="C37" s="12">
        <v>192729</v>
      </c>
      <c r="D37" s="13"/>
      <c r="E37" s="12" t="s">
        <v>10</v>
      </c>
      <c r="F37" s="12" t="s">
        <v>28</v>
      </c>
      <c r="G37" s="12" t="s">
        <v>10</v>
      </c>
      <c r="H37" s="14" t="s">
        <v>7</v>
      </c>
      <c r="I37" s="14" t="s">
        <v>34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3</v>
      </c>
      <c r="AC37" s="15">
        <v>2700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7">
        <v>2700</v>
      </c>
      <c r="BN37" s="9">
        <f t="shared" ref="BN37:BN42" si="8">BM37-BL37</f>
        <v>2700</v>
      </c>
      <c r="BO37" s="10">
        <f t="shared" ref="BO37:BO42" si="9">BN37*70%</f>
        <v>1889.9999999999998</v>
      </c>
    </row>
    <row r="38" spans="1:67" ht="24" x14ac:dyDescent="0.3">
      <c r="A38" s="5" t="s">
        <v>98</v>
      </c>
      <c r="B38" s="12" t="s">
        <v>100</v>
      </c>
      <c r="C38" s="12">
        <v>418829</v>
      </c>
      <c r="D38" s="13"/>
      <c r="E38" s="12" t="s">
        <v>10</v>
      </c>
      <c r="F38" s="12" t="s">
        <v>15</v>
      </c>
      <c r="G38" s="12" t="s">
        <v>10</v>
      </c>
      <c r="H38" s="14" t="s">
        <v>7</v>
      </c>
      <c r="I38" s="14" t="s">
        <v>101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20</v>
      </c>
      <c r="AF38" s="15">
        <v>2000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7">
        <v>2000</v>
      </c>
      <c r="BN38" s="9">
        <f t="shared" si="8"/>
        <v>2000</v>
      </c>
      <c r="BO38" s="10">
        <f t="shared" si="9"/>
        <v>1400</v>
      </c>
    </row>
    <row r="39" spans="1:67" ht="24" x14ac:dyDescent="0.3">
      <c r="A39" s="5" t="s">
        <v>98</v>
      </c>
      <c r="B39" s="12" t="s">
        <v>126</v>
      </c>
      <c r="C39" s="12">
        <v>285990</v>
      </c>
      <c r="D39" s="13"/>
      <c r="E39" s="12" t="s">
        <v>10</v>
      </c>
      <c r="F39" s="12" t="s">
        <v>11</v>
      </c>
      <c r="G39" s="12" t="s">
        <v>10</v>
      </c>
      <c r="H39" s="14" t="s">
        <v>7</v>
      </c>
      <c r="I39" s="14" t="s">
        <v>35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2</v>
      </c>
      <c r="AC39" s="14">
        <v>200</v>
      </c>
      <c r="AD39" s="15">
        <v>1600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7">
        <v>1800</v>
      </c>
      <c r="BN39" s="9">
        <f t="shared" si="8"/>
        <v>1800</v>
      </c>
      <c r="BO39" s="10">
        <f t="shared" si="9"/>
        <v>1260</v>
      </c>
    </row>
    <row r="40" spans="1:67" ht="24" x14ac:dyDescent="0.3">
      <c r="A40" s="5" t="s">
        <v>98</v>
      </c>
      <c r="B40" s="12" t="s">
        <v>131</v>
      </c>
      <c r="C40" s="12">
        <v>395747</v>
      </c>
      <c r="D40" s="13"/>
      <c r="E40" s="12" t="s">
        <v>10</v>
      </c>
      <c r="F40" s="12" t="s">
        <v>11</v>
      </c>
      <c r="G40" s="12" t="s">
        <v>10</v>
      </c>
      <c r="H40" s="14" t="s">
        <v>7</v>
      </c>
      <c r="I40" s="14" t="s">
        <v>132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16</v>
      </c>
      <c r="AF40" s="15">
        <v>1600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7">
        <v>1600</v>
      </c>
      <c r="BN40" s="9">
        <f t="shared" si="8"/>
        <v>1600</v>
      </c>
      <c r="BO40" s="10">
        <f t="shared" si="9"/>
        <v>1120</v>
      </c>
    </row>
    <row r="41" spans="1:67" ht="24" x14ac:dyDescent="0.3">
      <c r="A41" s="5" t="s">
        <v>98</v>
      </c>
      <c r="B41" s="12" t="s">
        <v>129</v>
      </c>
      <c r="C41" s="12">
        <v>408617</v>
      </c>
      <c r="D41" s="13"/>
      <c r="E41" s="12" t="s">
        <v>10</v>
      </c>
      <c r="F41" s="12" t="s">
        <v>11</v>
      </c>
      <c r="G41" s="12" t="s">
        <v>20</v>
      </c>
      <c r="H41" s="14" t="s">
        <v>9</v>
      </c>
      <c r="I41" s="14" t="s">
        <v>116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15</v>
      </c>
      <c r="AF41" s="15">
        <v>1500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7">
        <v>1500</v>
      </c>
      <c r="BN41" s="9">
        <f t="shared" si="8"/>
        <v>1500</v>
      </c>
      <c r="BO41" s="10">
        <f t="shared" si="9"/>
        <v>1050</v>
      </c>
    </row>
    <row r="42" spans="1:67" ht="24" x14ac:dyDescent="0.3">
      <c r="A42" s="5" t="s">
        <v>98</v>
      </c>
      <c r="B42" s="12" t="s">
        <v>135</v>
      </c>
      <c r="C42" s="12">
        <v>409391</v>
      </c>
      <c r="D42" s="13"/>
      <c r="E42" s="12" t="s">
        <v>10</v>
      </c>
      <c r="F42" s="12" t="s">
        <v>28</v>
      </c>
      <c r="G42" s="12" t="s">
        <v>20</v>
      </c>
      <c r="H42" s="14" t="s">
        <v>7</v>
      </c>
      <c r="I42" s="14" t="s">
        <v>110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11</v>
      </c>
      <c r="AF42" s="15">
        <v>1320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7">
        <v>1320</v>
      </c>
      <c r="BN42" s="9">
        <f t="shared" si="8"/>
        <v>1320</v>
      </c>
      <c r="BO42" s="10">
        <f t="shared" si="9"/>
        <v>923.99999999999989</v>
      </c>
    </row>
    <row r="43" spans="1:67" ht="24" x14ac:dyDescent="0.3">
      <c r="A43" s="5" t="s">
        <v>98</v>
      </c>
      <c r="B43" s="12" t="s">
        <v>25</v>
      </c>
      <c r="C43" s="12">
        <v>159255</v>
      </c>
      <c r="D43" s="13"/>
      <c r="E43" s="12" t="s">
        <v>10</v>
      </c>
      <c r="F43" s="12" t="s">
        <v>15</v>
      </c>
      <c r="G43" s="12" t="s">
        <v>10</v>
      </c>
      <c r="H43" s="14" t="s">
        <v>8</v>
      </c>
      <c r="I43" s="14" t="s">
        <v>26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1</v>
      </c>
      <c r="AC43" s="14">
        <v>700</v>
      </c>
      <c r="AD43" s="14">
        <v>200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8">
        <v>900</v>
      </c>
      <c r="BN43" s="9">
        <f t="shared" ref="BN43:BN54" si="10">BM43-BL43</f>
        <v>900</v>
      </c>
      <c r="BO43" s="10">
        <f t="shared" ref="BO43:BO54" si="11">BN43*70%</f>
        <v>630</v>
      </c>
    </row>
    <row r="44" spans="1:67" ht="24" x14ac:dyDescent="0.3">
      <c r="A44" s="5" t="s">
        <v>98</v>
      </c>
      <c r="B44" s="12" t="s">
        <v>106</v>
      </c>
      <c r="C44" s="12">
        <v>159483</v>
      </c>
      <c r="D44" s="13"/>
      <c r="E44" s="12" t="s">
        <v>10</v>
      </c>
      <c r="F44" s="12" t="s">
        <v>12</v>
      </c>
      <c r="G44" s="12" t="s">
        <v>10</v>
      </c>
      <c r="H44" s="14" t="s">
        <v>7</v>
      </c>
      <c r="I44" s="14" t="s">
        <v>107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1</v>
      </c>
      <c r="AC44" s="14">
        <v>900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8">
        <v>900</v>
      </c>
      <c r="BN44" s="9">
        <f t="shared" si="10"/>
        <v>900</v>
      </c>
      <c r="BO44" s="10">
        <f t="shared" si="11"/>
        <v>630</v>
      </c>
    </row>
    <row r="45" spans="1:67" ht="24" x14ac:dyDescent="0.3">
      <c r="A45" s="5" t="s">
        <v>98</v>
      </c>
      <c r="B45" s="12" t="s">
        <v>108</v>
      </c>
      <c r="C45" s="12">
        <v>300910</v>
      </c>
      <c r="D45" s="13"/>
      <c r="E45" s="12" t="s">
        <v>10</v>
      </c>
      <c r="F45" s="12" t="s">
        <v>31</v>
      </c>
      <c r="G45" s="12" t="s">
        <v>10</v>
      </c>
      <c r="H45" s="14" t="s">
        <v>7</v>
      </c>
      <c r="I45" s="14" t="s">
        <v>109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1</v>
      </c>
      <c r="AX45" s="14">
        <v>120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12</v>
      </c>
      <c r="BM45" s="18">
        <v>120</v>
      </c>
      <c r="BN45" s="9">
        <f t="shared" si="10"/>
        <v>108</v>
      </c>
      <c r="BO45" s="10">
        <f t="shared" si="11"/>
        <v>75.599999999999994</v>
      </c>
    </row>
    <row r="46" spans="1:67" ht="24" x14ac:dyDescent="0.3">
      <c r="A46" s="5" t="s">
        <v>98</v>
      </c>
      <c r="B46" s="12" t="s">
        <v>136</v>
      </c>
      <c r="C46" s="12">
        <v>332843</v>
      </c>
      <c r="D46" s="13"/>
      <c r="E46" s="12" t="s">
        <v>10</v>
      </c>
      <c r="F46" s="12" t="s">
        <v>11</v>
      </c>
      <c r="G46" s="12" t="s">
        <v>10</v>
      </c>
      <c r="H46" s="14" t="s">
        <v>7</v>
      </c>
      <c r="I46" s="14" t="s">
        <v>137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1</v>
      </c>
      <c r="AF46" s="14">
        <v>100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8">
        <v>100</v>
      </c>
      <c r="BN46" s="9">
        <f t="shared" si="10"/>
        <v>100</v>
      </c>
      <c r="BO46" s="10">
        <f t="shared" si="11"/>
        <v>70</v>
      </c>
    </row>
    <row r="47" spans="1:67" ht="24" x14ac:dyDescent="0.3">
      <c r="A47" s="5" t="s">
        <v>99</v>
      </c>
      <c r="B47" s="12" t="s">
        <v>21</v>
      </c>
      <c r="C47" s="12">
        <v>161447</v>
      </c>
      <c r="D47" s="13"/>
      <c r="E47" s="12" t="s">
        <v>10</v>
      </c>
      <c r="F47" s="12" t="s">
        <v>12</v>
      </c>
      <c r="G47" s="12" t="s">
        <v>10</v>
      </c>
      <c r="H47" s="14" t="s">
        <v>7</v>
      </c>
      <c r="I47" s="14" t="s">
        <v>22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1</v>
      </c>
      <c r="AC47" s="14">
        <v>900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1</v>
      </c>
      <c r="BA47" s="15">
        <v>1080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64.8</v>
      </c>
      <c r="BM47" s="17">
        <v>1980</v>
      </c>
      <c r="BN47" s="9">
        <f t="shared" si="10"/>
        <v>1915.2</v>
      </c>
      <c r="BO47" s="10">
        <f t="shared" si="11"/>
        <v>1340.6399999999999</v>
      </c>
    </row>
    <row r="48" spans="1:67" ht="24" x14ac:dyDescent="0.3">
      <c r="A48" s="5" t="s">
        <v>99</v>
      </c>
      <c r="B48" s="12" t="s">
        <v>14</v>
      </c>
      <c r="C48" s="12">
        <v>159260</v>
      </c>
      <c r="D48" s="13"/>
      <c r="E48" s="12" t="s">
        <v>10</v>
      </c>
      <c r="F48" s="12" t="s">
        <v>15</v>
      </c>
      <c r="G48" s="12" t="s">
        <v>10</v>
      </c>
      <c r="H48" s="14" t="s">
        <v>7</v>
      </c>
      <c r="I48" s="14" t="s">
        <v>16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1</v>
      </c>
      <c r="BA48" s="15">
        <v>1080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64.8</v>
      </c>
      <c r="BM48" s="17">
        <v>1080</v>
      </c>
      <c r="BN48" s="9">
        <f t="shared" si="10"/>
        <v>1015.2</v>
      </c>
      <c r="BO48" s="10">
        <f t="shared" si="11"/>
        <v>710.64</v>
      </c>
    </row>
    <row r="49" spans="1:67" ht="24" x14ac:dyDescent="0.3">
      <c r="A49" s="5" t="s">
        <v>99</v>
      </c>
      <c r="B49" s="12" t="s">
        <v>17</v>
      </c>
      <c r="C49" s="12">
        <v>161539</v>
      </c>
      <c r="D49" s="13"/>
      <c r="E49" s="12" t="s">
        <v>10</v>
      </c>
      <c r="F49" s="12" t="s">
        <v>15</v>
      </c>
      <c r="G49" s="12" t="s">
        <v>10</v>
      </c>
      <c r="H49" s="14" t="s">
        <v>7</v>
      </c>
      <c r="I49" s="14" t="s">
        <v>18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1</v>
      </c>
      <c r="AC49" s="14">
        <v>900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8">
        <v>900</v>
      </c>
      <c r="BN49" s="9">
        <f t="shared" si="10"/>
        <v>900</v>
      </c>
      <c r="BO49" s="10">
        <f t="shared" si="11"/>
        <v>630</v>
      </c>
    </row>
    <row r="50" spans="1:67" ht="24" x14ac:dyDescent="0.3">
      <c r="A50" s="5" t="s">
        <v>99</v>
      </c>
      <c r="B50" s="12" t="s">
        <v>19</v>
      </c>
      <c r="C50" s="12">
        <v>159270</v>
      </c>
      <c r="D50" s="13"/>
      <c r="E50" s="12" t="s">
        <v>10</v>
      </c>
      <c r="F50" s="12" t="s">
        <v>15</v>
      </c>
      <c r="G50" s="12" t="s">
        <v>10</v>
      </c>
      <c r="H50" s="14" t="s">
        <v>9</v>
      </c>
      <c r="I50" s="14" t="s">
        <v>18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1</v>
      </c>
      <c r="AC50" s="14">
        <v>900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8">
        <v>900</v>
      </c>
      <c r="BN50" s="9">
        <f t="shared" si="10"/>
        <v>900</v>
      </c>
      <c r="BO50" s="10">
        <f t="shared" si="11"/>
        <v>630</v>
      </c>
    </row>
    <row r="51" spans="1:67" ht="24" x14ac:dyDescent="0.3">
      <c r="A51" s="5" t="s">
        <v>99</v>
      </c>
      <c r="B51" s="12" t="s">
        <v>121</v>
      </c>
      <c r="C51" s="12">
        <v>192732</v>
      </c>
      <c r="D51" s="13"/>
      <c r="E51" s="12" t="s">
        <v>10</v>
      </c>
      <c r="F51" s="12" t="s">
        <v>28</v>
      </c>
      <c r="G51" s="12" t="s">
        <v>10</v>
      </c>
      <c r="H51" s="14" t="s">
        <v>7</v>
      </c>
      <c r="I51" s="14" t="s">
        <v>29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1</v>
      </c>
      <c r="AC51" s="14">
        <v>900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8">
        <v>900</v>
      </c>
      <c r="BN51" s="9">
        <f t="shared" si="10"/>
        <v>900</v>
      </c>
      <c r="BO51" s="10">
        <f t="shared" si="11"/>
        <v>630</v>
      </c>
    </row>
    <row r="52" spans="1:67" ht="24" x14ac:dyDescent="0.3">
      <c r="A52" s="5" t="s">
        <v>99</v>
      </c>
      <c r="B52" s="12" t="s">
        <v>117</v>
      </c>
      <c r="C52" s="12">
        <v>165741</v>
      </c>
      <c r="D52" s="13"/>
      <c r="E52" s="12" t="s">
        <v>10</v>
      </c>
      <c r="F52" s="12" t="s">
        <v>12</v>
      </c>
      <c r="G52" s="12" t="s">
        <v>10</v>
      </c>
      <c r="H52" s="14" t="s">
        <v>7</v>
      </c>
      <c r="I52" s="14" t="s">
        <v>118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1</v>
      </c>
      <c r="AC52" s="14">
        <v>900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8">
        <v>900</v>
      </c>
      <c r="BN52" s="9">
        <f t="shared" si="10"/>
        <v>900</v>
      </c>
      <c r="BO52" s="10">
        <f t="shared" si="11"/>
        <v>630</v>
      </c>
    </row>
    <row r="53" spans="1:67" ht="24" x14ac:dyDescent="0.3">
      <c r="A53" s="5" t="s">
        <v>99</v>
      </c>
      <c r="B53" s="12" t="s">
        <v>30</v>
      </c>
      <c r="C53" s="12">
        <v>215737</v>
      </c>
      <c r="D53" s="13"/>
      <c r="E53" s="12" t="s">
        <v>10</v>
      </c>
      <c r="F53" s="12" t="s">
        <v>31</v>
      </c>
      <c r="G53" s="12" t="s">
        <v>10</v>
      </c>
      <c r="H53" s="14" t="s">
        <v>7</v>
      </c>
      <c r="I53" s="14" t="s">
        <v>32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8</v>
      </c>
      <c r="AF53" s="14">
        <v>800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8">
        <v>800</v>
      </c>
      <c r="BN53" s="9">
        <f t="shared" si="10"/>
        <v>800</v>
      </c>
      <c r="BO53" s="10">
        <f t="shared" si="11"/>
        <v>560</v>
      </c>
    </row>
    <row r="54" spans="1:67" ht="24" x14ac:dyDescent="0.3">
      <c r="A54" s="5" t="s">
        <v>99</v>
      </c>
      <c r="B54" s="12" t="s">
        <v>13</v>
      </c>
      <c r="C54" s="12">
        <v>355332</v>
      </c>
      <c r="D54" s="13"/>
      <c r="E54" s="12" t="s">
        <v>10</v>
      </c>
      <c r="F54" s="12" t="s">
        <v>12</v>
      </c>
      <c r="G54" s="12" t="s">
        <v>10</v>
      </c>
      <c r="H54" s="14" t="s">
        <v>8</v>
      </c>
      <c r="I54" s="14" t="s">
        <v>38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3</v>
      </c>
      <c r="AF54" s="14">
        <v>300</v>
      </c>
      <c r="AG54" s="14">
        <v>0</v>
      </c>
      <c r="AH54" s="14">
        <v>0</v>
      </c>
      <c r="AI54" s="14">
        <v>0</v>
      </c>
      <c r="AJ54" s="14">
        <v>0</v>
      </c>
      <c r="AK54" s="14">
        <v>1</v>
      </c>
      <c r="AL54" s="14">
        <v>120</v>
      </c>
      <c r="AM54" s="14">
        <v>0</v>
      </c>
      <c r="AN54" s="14">
        <v>0</v>
      </c>
      <c r="AO54" s="14">
        <v>0</v>
      </c>
      <c r="AP54" s="14">
        <v>0</v>
      </c>
      <c r="AQ54" s="14">
        <v>1</v>
      </c>
      <c r="AR54" s="14">
        <v>100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1</v>
      </c>
      <c r="BD54" s="14">
        <v>120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43.2</v>
      </c>
      <c r="BM54" s="18">
        <v>640</v>
      </c>
      <c r="BN54" s="9">
        <f t="shared" si="10"/>
        <v>596.79999999999995</v>
      </c>
      <c r="BO54" s="10">
        <f t="shared" si="11"/>
        <v>417.75999999999993</v>
      </c>
    </row>
    <row r="55" spans="1:67" x14ac:dyDescent="0.3">
      <c r="BO55" s="11">
        <f>SUM(BO2:BO54)</f>
        <v>146021.82000000004</v>
      </c>
    </row>
  </sheetData>
  <phoneticPr fontId="20" type="noConversion"/>
  <pageMargins left="0.75" right="0.75" top="1" bottom="1" header="0.5" footer="0.5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2022-12-02T05:36:13Z</dcterms:modified>
</cp:coreProperties>
</file>