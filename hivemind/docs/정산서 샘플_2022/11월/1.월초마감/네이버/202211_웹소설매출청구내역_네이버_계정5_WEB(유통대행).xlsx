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네이버\"/>
    </mc:Choice>
  </mc:AlternateContent>
  <bookViews>
    <workbookView xWindow="0" yWindow="0" windowWidth="23040" windowHeight="8955" tabRatio="766"/>
  </bookViews>
  <sheets>
    <sheet name="합계(11)" sheetId="412" r:id="rId1"/>
  </sheets>
  <definedNames>
    <definedName name="_xlnm._FilterDatabase" localSheetId="0" hidden="1">'합계(11)'!$A$1:$AM$1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BN88" i="412" l="1"/>
  <c r="BO88" i="412" s="1"/>
  <c r="BN87" i="412"/>
  <c r="BO87" i="412" s="1"/>
  <c r="BN86" i="412"/>
  <c r="BO86" i="412" s="1"/>
  <c r="BN85" i="412"/>
  <c r="BO85" i="412" s="1"/>
  <c r="BN84" i="412"/>
  <c r="BO84" i="412" s="1"/>
  <c r="BN83" i="412"/>
  <c r="BO83" i="412" s="1"/>
  <c r="BN82" i="412"/>
  <c r="BO82" i="412" s="1"/>
  <c r="BN81" i="412"/>
  <c r="BO81" i="412" s="1"/>
  <c r="BN80" i="412"/>
  <c r="BO80" i="412" s="1"/>
  <c r="BN79" i="412"/>
  <c r="BO79" i="412" s="1"/>
  <c r="BN78" i="412"/>
  <c r="BO78" i="412" s="1"/>
  <c r="BN77" i="412"/>
  <c r="BO77" i="412" s="1"/>
  <c r="BN76" i="412"/>
  <c r="BO76" i="412" s="1"/>
  <c r="BN75" i="412"/>
  <c r="BO75" i="412" s="1"/>
  <c r="BN74" i="412"/>
  <c r="BO74" i="412" s="1"/>
  <c r="BN73" i="412"/>
  <c r="BO73" i="412" s="1"/>
  <c r="BN72" i="412"/>
  <c r="BO72" i="412" s="1"/>
  <c r="BN71" i="412"/>
  <c r="BO71" i="412" s="1"/>
  <c r="BN70" i="412"/>
  <c r="BO70" i="412" s="1"/>
  <c r="BN69" i="412"/>
  <c r="BO69" i="412" s="1"/>
  <c r="BN68" i="412"/>
  <c r="BO68" i="412" s="1"/>
  <c r="BN67" i="412"/>
  <c r="BO67" i="412" s="1"/>
  <c r="BN66" i="412"/>
  <c r="BO66" i="412" s="1"/>
  <c r="BN65" i="412"/>
  <c r="BO65" i="412" s="1"/>
  <c r="BN64" i="412"/>
  <c r="BO64" i="412" s="1"/>
  <c r="BN63" i="412"/>
  <c r="BO63" i="412" s="1"/>
  <c r="BN27" i="412" l="1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" i="412" l="1"/>
  <c r="BO2" i="412" l="1"/>
  <c r="BO89" i="412" s="1"/>
</calcChain>
</file>

<file path=xl/sharedStrings.xml><?xml version="1.0" encoding="utf-8"?>
<sst xmlns="http://schemas.openxmlformats.org/spreadsheetml/2006/main" count="679" uniqueCount="243">
  <si>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</si>
  <si>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</si>
  <si>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</si>
  <si>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</si>
  <si>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</si>
  <si>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</si>
  <si>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</si>
  <si>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</si>
  <si>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</si>
  <si>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</si>
  <si>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</si>
  <si>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</si>
  <si>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2022.03.16</t>
  </si>
  <si>
    <t>스토리위즈_2</t>
  </si>
  <si>
    <t>백범(白帆)</t>
  </si>
  <si>
    <t>에필로그</t>
  </si>
  <si>
    <t>법보다 주먹</t>
  </si>
  <si>
    <t>일교차 [단행본]</t>
  </si>
  <si>
    <t>해화</t>
  </si>
  <si>
    <t>밀리오리지널</t>
  </si>
  <si>
    <t>2022.04.08</t>
  </si>
  <si>
    <t>19세 이상 이용가능</t>
  </si>
  <si>
    <t>용가리맛쿠키</t>
  </si>
  <si>
    <t>블러쉬</t>
  </si>
  <si>
    <t>서혜은</t>
  </si>
  <si>
    <t>최재봉</t>
  </si>
  <si>
    <t>협행마</t>
  </si>
  <si>
    <t>이차적 일탈 [단행본]</t>
  </si>
  <si>
    <t>2022.03.04</t>
  </si>
  <si>
    <t>너만 보면 두근두근 [단행본]</t>
  </si>
  <si>
    <t>정경하</t>
  </si>
  <si>
    <t>2022.01.14</t>
  </si>
  <si>
    <t>더티독 [BL][단행본]</t>
  </si>
  <si>
    <t>2020.04.09</t>
  </si>
  <si>
    <t>마뇽</t>
  </si>
  <si>
    <t>더티독 외전 [BL][단행본]</t>
  </si>
  <si>
    <t>무심코 [단행본]</t>
  </si>
  <si>
    <t>달로</t>
  </si>
  <si>
    <t>2022.06.03</t>
  </si>
  <si>
    <t>위사무적 [단행본]</t>
  </si>
  <si>
    <t>2020.09.11</t>
  </si>
  <si>
    <t>하일군재래(何日君再來) [단행본]</t>
  </si>
  <si>
    <t>신윤희(에드가)</t>
  </si>
  <si>
    <t>2022.07.14</t>
  </si>
  <si>
    <t>송여희</t>
  </si>
  <si>
    <t>공호</t>
  </si>
  <si>
    <t>남창목가 [단행본]</t>
  </si>
  <si>
    <t>2020.05.18</t>
  </si>
  <si>
    <t>근수저 오크는 근손실이 싫다 [독점]</t>
  </si>
  <si>
    <t>ARC곽도우</t>
  </si>
  <si>
    <t>스토리아크</t>
  </si>
  <si>
    <t>N스토어(PC)</t>
    <phoneticPr fontId="20" type="noConversion"/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</si>
  <si>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</si>
  <si>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</si>
  <si>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</si>
  <si>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</si>
  <si>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</si>
  <si>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</si>
  <si>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</si>
  <si>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</si>
  <si>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</si>
  <si>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</si>
  <si>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</si>
  <si>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</si>
  <si>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</si>
  <si>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</si>
  <si>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</si>
  <si>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</si>
  <si>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</si>
  <si>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</si>
  <si>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</si>
  <si>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</si>
  <si>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</si>
  <si>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</si>
  <si>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</si>
  <si>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</si>
  <si>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</si>
  <si>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</si>
  <si>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</si>
  <si>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</si>
  <si>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</si>
  <si>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</si>
  <si>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</si>
  <si>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</si>
  <si>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</si>
  <si>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</si>
  <si>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</si>
  <si>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</si>
  <si>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</si>
  <si>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</si>
  <si>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</si>
  <si>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</si>
  <si>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</si>
  <si>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</si>
  <si>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</si>
  <si>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</si>
  <si>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</si>
  <si>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</si>
  <si>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</si>
  <si>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</si>
  <si>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</si>
  <si>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</si>
  <si>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</si>
  <si>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</si>
  <si>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</si>
  <si>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</si>
  <si>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</si>
  <si>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</si>
  <si>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</si>
  <si>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</si>
  <si>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</si>
  <si>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차크</t>
  </si>
  <si>
    <t>주해나</t>
  </si>
  <si>
    <t>쉬즈노블</t>
  </si>
  <si>
    <t>PC 뷰어(PC)</t>
    <phoneticPr fontId="20" type="noConversion"/>
  </si>
  <si>
    <t>2022.08.11</t>
  </si>
  <si>
    <t>강호, 미치다</t>
  </si>
  <si>
    <t>2019.09.18</t>
  </si>
  <si>
    <t>작열감 [단행본]</t>
  </si>
  <si>
    <t>리밀</t>
  </si>
  <si>
    <t>연애의 시작 [단행본]</t>
  </si>
  <si>
    <t>2022.02.18</t>
  </si>
  <si>
    <t>비엘스토리</t>
  </si>
  <si>
    <t>N스토어(PC)</t>
    <phoneticPr fontId="20" type="noConversion"/>
  </si>
  <si>
    <t>PC 뷰어(PC)</t>
    <phoneticPr fontId="20" type="noConversion"/>
  </si>
  <si>
    <t>PC 뷰어(PC)</t>
    <phoneticPr fontId="20" type="noConversion"/>
  </si>
  <si>
    <t>N스토어(MW)</t>
    <phoneticPr fontId="20" type="noConversion"/>
  </si>
  <si>
    <t>브레이크 어웨이(Break Away) [단행본]</t>
  </si>
  <si>
    <t>서정윤</t>
  </si>
  <si>
    <t>2022.05.23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</si>
  <si>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</si>
  <si>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</si>
  <si>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테이크 백(Take Back) [단행본]</t>
  </si>
  <si>
    <t>일락</t>
  </si>
  <si>
    <t>2022.06.24</t>
  </si>
  <si>
    <t>시아</t>
  </si>
  <si>
    <t>익스클루시브(Exclusive) [BL][단행본]</t>
  </si>
  <si>
    <t>사틴</t>
  </si>
  <si>
    <t>2021.08.13</t>
  </si>
  <si>
    <t>송민선</t>
  </si>
  <si>
    <t>달보드레 외전 [BL] [단행본]</t>
  </si>
  <si>
    <t>2018.08.10</t>
  </si>
  <si>
    <t>바스락 [단행본]</t>
  </si>
  <si>
    <t>2022.10.12</t>
  </si>
  <si>
    <t>사내 연애의 끝 [단행본]</t>
  </si>
  <si>
    <t>라벤더블루</t>
  </si>
  <si>
    <t>2022.10.24</t>
  </si>
  <si>
    <t>이별하기 좋은 계절 [단행본]</t>
  </si>
  <si>
    <t>2022.10.06</t>
  </si>
  <si>
    <t>오후 4시의 남자 [단행본]</t>
  </si>
  <si>
    <t>차연유</t>
  </si>
  <si>
    <t>2022.10.21</t>
  </si>
  <si>
    <t>봄, 어리 이야기 [단행본]</t>
  </si>
  <si>
    <t>2022.10.19</t>
  </si>
  <si>
    <t>첫사랑을 종료하시겠습니까 [단행본]</t>
  </si>
  <si>
    <t>이파람</t>
  </si>
  <si>
    <t>여름, 밤의 사정 [단행본]</t>
  </si>
  <si>
    <t>춈춈</t>
  </si>
  <si>
    <t>2022.10.26</t>
  </si>
  <si>
    <t>엑스 비서 [단행본]</t>
  </si>
  <si>
    <t>비향</t>
  </si>
  <si>
    <t>꽃처럼 너를 안는다 [단행본]</t>
  </si>
  <si>
    <t>반지영</t>
  </si>
  <si>
    <t>낯선 밤에 마주친 [단행본]</t>
  </si>
  <si>
    <t>위사무적</t>
  </si>
  <si>
    <t>너와 나의 절정 [단행본]</t>
  </si>
  <si>
    <t>비공개 열애 [단행본]</t>
  </si>
  <si>
    <t>박지영</t>
  </si>
  <si>
    <t>이별 그리고 그 후 [단행본]</t>
  </si>
  <si>
    <t>최현자</t>
  </si>
  <si>
    <t>2022.05.11</t>
  </si>
  <si>
    <t>삶의 끝에서 [단행본]</t>
  </si>
  <si>
    <t>이승희</t>
  </si>
  <si>
    <t>깊은 밤 너의 고백이 [단행본]</t>
  </si>
  <si>
    <t>이새인</t>
  </si>
  <si>
    <t>악당의 리턴!</t>
  </si>
  <si>
    <t>354950</t>
  </si>
  <si>
    <t>2019.06.20</t>
  </si>
  <si>
    <t>전장의 금기 [단행본]</t>
  </si>
  <si>
    <t>2020.09.13</t>
  </si>
  <si>
    <t>2019.07.10</t>
  </si>
  <si>
    <t>꽃 무덤 [단행본]</t>
  </si>
  <si>
    <t>2022.10.13</t>
  </si>
  <si>
    <t>연애의 끝 [단행본]</t>
  </si>
  <si>
    <t>2022.07.28</t>
  </si>
  <si>
    <t>짝사랑 중입니다 [단행본]</t>
  </si>
  <si>
    <t>진양</t>
  </si>
  <si>
    <t>2022.06.27</t>
  </si>
  <si>
    <t>인턴사원 [단행본]</t>
  </si>
  <si>
    <t>트리플베리</t>
  </si>
  <si>
    <t>대공의 아내 [단행본]</t>
  </si>
  <si>
    <t>문시티</t>
  </si>
  <si>
    <t>쉬라즈</t>
  </si>
  <si>
    <t>2020.01.16</t>
  </si>
  <si>
    <t>붉은 정자-살라댕 [단행본]</t>
  </si>
  <si>
    <t>2022.01.10</t>
  </si>
  <si>
    <t>시선... 그리고 떨림 [단행본]</t>
  </si>
  <si>
    <t>법보다 주먹 [단행본]</t>
  </si>
  <si>
    <t>2022.04.13</t>
  </si>
  <si>
    <t>스물한 송이 [단행본]</t>
  </si>
  <si>
    <t>2022.11.03</t>
  </si>
  <si>
    <t>돌아갈 수 없는 [BL][단행본]</t>
  </si>
  <si>
    <t>키도</t>
  </si>
  <si>
    <t>2020.09.26</t>
  </si>
  <si>
    <t>무림병장 [단행본]</t>
  </si>
  <si>
    <t>2021.02.08</t>
  </si>
  <si>
    <t>세이브 미(Save Me) [단행본]</t>
  </si>
  <si>
    <t>우유양</t>
  </si>
  <si>
    <t>2022.01.26</t>
  </si>
  <si>
    <t>너는 천사 [단행본]</t>
  </si>
  <si>
    <t>2022.08.25</t>
  </si>
  <si>
    <t>밤이 오는 소리 [단행본]</t>
  </si>
  <si>
    <t>2022.10.28</t>
  </si>
  <si>
    <t>헌터 킹 [단행본]</t>
  </si>
  <si>
    <t>2021.12.10</t>
  </si>
  <si>
    <t>그 순간, 별이 빛났다 [BL]</t>
  </si>
  <si>
    <t>성실</t>
  </si>
  <si>
    <t>2021.09.09</t>
  </si>
  <si>
    <t>계략적 관계 [독점]</t>
  </si>
  <si>
    <t>진태이</t>
  </si>
  <si>
    <t>2021.10.13</t>
  </si>
  <si>
    <t>2022.12.02</t>
  </si>
  <si>
    <t>악당의 리턴! [단행본]</t>
  </si>
  <si>
    <t>2019.11.26</t>
  </si>
  <si>
    <t>무적살수 [단행본]</t>
  </si>
  <si>
    <t>2020.09.09</t>
  </si>
  <si>
    <t>운명과 복수 [단행본]</t>
  </si>
  <si>
    <t>2022.11.17</t>
  </si>
  <si>
    <t>설국연가 [단행본]</t>
  </si>
  <si>
    <t>2022.01.17</t>
  </si>
  <si>
    <t>뉴욕 키스 스캔들 [BL][단행본]</t>
  </si>
  <si>
    <t>2018.06.12</t>
  </si>
  <si>
    <t>어딜 봐요? [외전증보판][단행본]</t>
  </si>
  <si>
    <t>다정한 내일을 위한 새벽 [BL][단행본]</t>
  </si>
  <si>
    <t>나나코</t>
  </si>
  <si>
    <t>히즈노블</t>
  </si>
  <si>
    <t>2019.05.06</t>
  </si>
  <si>
    <t>분홍의 작약 [단행본]</t>
  </si>
  <si>
    <t>2022.01.12</t>
  </si>
  <si>
    <t>봄볕이 아른아른 [단행본]</t>
  </si>
  <si>
    <t>2022.07.07</t>
  </si>
  <si>
    <t>사랑 그리고 그 후 [단행본]</t>
  </si>
  <si>
    <t>2022.03.14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</si>
</sst>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0" fontId="22" fillId="0" borderId="0" xfId="0" applyFont="1">
      <alignment vertical="center"/>
    </xf>
    <xf numFmtId="41" fontId="24" fillId="34" borderId="0" xfId="42" applyFont="1" applyFill="1">
      <alignment vertical="center"/>
    </xf>
    <xf numFmtId="0" fontId="25" fillId="0" borderId="0" xfId="0" applyFont="1" applyAlignment="1">
      <alignment horizontal="left" vertical="center" wrapText="1"/>
    </xf>
    <xf numFmtId="49" fontId="25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  <xf numFmtId="3" fontId="25" fillId="0" borderId="0" xfId="0" applyNumberFormat="1" applyFont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4" fontId="25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64"/>
  <sheetViews>
    <sheetView tabSelected="1" topLeftCell="AZ84" zoomScaleNormal="100" workbookViewId="0">
      <selection activeCell="BO89" sqref="BO89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style="16" bestFit="1" customWidth="1"/>
    <col min="67" max="67" width="13.375" style="14" customWidth="1"/>
  </cols>
  <sheetData>
    <row r="1" spans="1:69" ht="27" customHeight="1" x14ac:dyDescent="0.3">
      <c r="A1" s="2" t="s">
        <v>53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54</v>
      </c>
      <c r="I1" s="13" t="s">
        <v>6</v>
      </c>
      <c r="J1" s="12" t="s">
        <v>55</v>
      </c>
      <c r="K1" s="12" t="s">
        <v>56</v>
      </c>
      <c r="L1" s="12" t="s">
        <v>57</v>
      </c>
      <c r="M1" s="12" t="s">
        <v>58</v>
      </c>
      <c r="N1" s="12" t="s">
        <v>59</v>
      </c>
      <c r="O1" s="12" t="s">
        <v>60</v>
      </c>
      <c r="P1" s="12" t="s">
        <v>61</v>
      </c>
      <c r="Q1" s="12" t="s">
        <v>62</v>
      </c>
      <c r="R1" s="12" t="s">
        <v>63</v>
      </c>
      <c r="S1" s="12" t="s">
        <v>64</v>
      </c>
      <c r="T1" s="12" t="s">
        <v>65</v>
      </c>
      <c r="U1" s="12" t="s">
        <v>66</v>
      </c>
      <c r="V1" s="12" t="s">
        <v>67</v>
      </c>
      <c r="W1" s="12" t="s">
        <v>68</v>
      </c>
      <c r="X1" s="12" t="s">
        <v>69</v>
      </c>
      <c r="Y1" s="12" t="s">
        <v>70</v>
      </c>
      <c r="Z1" s="12" t="s">
        <v>71</v>
      </c>
      <c r="AA1" s="12" t="s">
        <v>72</v>
      </c>
      <c r="AB1" s="12" t="s">
        <v>73</v>
      </c>
      <c r="AC1" s="12" t="s">
        <v>74</v>
      </c>
      <c r="AD1" s="12" t="s">
        <v>75</v>
      </c>
      <c r="AE1" s="12" t="s">
        <v>76</v>
      </c>
      <c r="AF1" s="12" t="s">
        <v>77</v>
      </c>
      <c r="AG1" s="12" t="s">
        <v>78</v>
      </c>
      <c r="AH1" s="12" t="s">
        <v>79</v>
      </c>
      <c r="AI1" s="12" t="s">
        <v>80</v>
      </c>
      <c r="AJ1" s="12" t="s">
        <v>81</v>
      </c>
      <c r="AK1" s="12" t="s">
        <v>82</v>
      </c>
      <c r="AL1" s="12" t="s">
        <v>83</v>
      </c>
      <c r="AM1" s="12" t="s">
        <v>84</v>
      </c>
      <c r="AN1" s="12" t="s">
        <v>85</v>
      </c>
      <c r="AO1" s="12" t="s">
        <v>86</v>
      </c>
      <c r="AP1" s="12" t="s">
        <v>87</v>
      </c>
      <c r="AQ1" s="12" t="s">
        <v>88</v>
      </c>
      <c r="AR1" s="12" t="s">
        <v>89</v>
      </c>
      <c r="AS1" s="12" t="s">
        <v>90</v>
      </c>
      <c r="AT1" s="12" t="s">
        <v>91</v>
      </c>
      <c r="AU1" s="12" t="s">
        <v>92</v>
      </c>
      <c r="AV1" s="12" t="s">
        <v>93</v>
      </c>
      <c r="AW1" s="12" t="s">
        <v>94</v>
      </c>
      <c r="AX1" s="12" t="s">
        <v>95</v>
      </c>
      <c r="AY1" s="12" t="s">
        <v>96</v>
      </c>
      <c r="AZ1" s="12" t="s">
        <v>97</v>
      </c>
      <c r="BA1" s="12" t="s">
        <v>98</v>
      </c>
      <c r="BB1" s="12" t="s">
        <v>99</v>
      </c>
      <c r="BC1" s="12" t="s">
        <v>100</v>
      </c>
      <c r="BD1" s="12" t="s">
        <v>101</v>
      </c>
      <c r="BE1" s="12" t="s">
        <v>102</v>
      </c>
      <c r="BF1" s="12" t="s">
        <v>103</v>
      </c>
      <c r="BG1" s="12" t="s">
        <v>104</v>
      </c>
      <c r="BH1" s="12" t="s">
        <v>105</v>
      </c>
      <c r="BI1" s="12" t="s">
        <v>106</v>
      </c>
      <c r="BJ1" s="12" t="s">
        <v>107</v>
      </c>
      <c r="BK1" s="12" t="s">
        <v>108</v>
      </c>
      <c r="BL1" s="12" t="s">
        <v>11</v>
      </c>
      <c r="BM1" s="12" t="s">
        <v>10</v>
      </c>
      <c r="BN1" s="12" t="s">
        <v>109</v>
      </c>
      <c r="BO1" s="12" t="s">
        <v>110</v>
      </c>
      <c r="BP1" s="12" t="s">
        <v>130</v>
      </c>
      <c r="BQ1" s="12" t="s">
        <v>131</v>
      </c>
    </row>
    <row r="2" spans="1:69" ht="24" x14ac:dyDescent="0.3">
      <c r="A2" s="5" t="s">
        <v>51</v>
      </c>
      <c r="B2" s="18" t="s">
        <v>197</v>
      </c>
      <c r="C2" s="18">
        <v>465998</v>
      </c>
      <c r="D2" s="19"/>
      <c r="E2" s="18" t="s">
        <v>13</v>
      </c>
      <c r="F2" s="18" t="s">
        <v>14</v>
      </c>
      <c r="G2" s="18" t="s">
        <v>15</v>
      </c>
      <c r="H2" s="20" t="s">
        <v>9</v>
      </c>
      <c r="I2" s="20" t="s">
        <v>198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11</v>
      </c>
      <c r="AC2" s="21">
        <v>6300</v>
      </c>
      <c r="AD2" s="21">
        <v>3600</v>
      </c>
      <c r="AE2" s="20">
        <v>0</v>
      </c>
      <c r="AF2" s="20">
        <v>0</v>
      </c>
      <c r="AG2" s="20">
        <v>0</v>
      </c>
      <c r="AH2" s="20">
        <v>0</v>
      </c>
      <c r="AI2" s="20">
        <v>0</v>
      </c>
      <c r="AJ2" s="20">
        <v>0</v>
      </c>
      <c r="AK2" s="20">
        <v>0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Q2" s="20">
        <v>0</v>
      </c>
      <c r="AR2" s="20">
        <v>0</v>
      </c>
      <c r="AS2" s="20">
        <v>0</v>
      </c>
      <c r="AT2" s="20">
        <v>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4</v>
      </c>
      <c r="BA2" s="21">
        <v>4320</v>
      </c>
      <c r="BB2" s="20">
        <v>0</v>
      </c>
      <c r="BC2" s="20">
        <v>0</v>
      </c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259.2</v>
      </c>
      <c r="BM2" s="22">
        <v>14220</v>
      </c>
      <c r="BN2" s="14">
        <f>BM2-BL2</f>
        <v>13960.8</v>
      </c>
      <c r="BO2" s="15">
        <f>BN2*70%</f>
        <v>9772.56</v>
      </c>
    </row>
    <row r="3" spans="1:69" ht="24" x14ac:dyDescent="0.3">
      <c r="A3" s="5" t="s">
        <v>51</v>
      </c>
      <c r="B3" s="18" t="s">
        <v>142</v>
      </c>
      <c r="C3" s="18">
        <v>461353</v>
      </c>
      <c r="D3" s="19"/>
      <c r="E3" s="18" t="s">
        <v>13</v>
      </c>
      <c r="F3" s="18" t="s">
        <v>37</v>
      </c>
      <c r="G3" s="18" t="s">
        <v>19</v>
      </c>
      <c r="H3" s="20" t="s">
        <v>21</v>
      </c>
      <c r="I3" s="20" t="s">
        <v>143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4</v>
      </c>
      <c r="AF3" s="21">
        <v>6000</v>
      </c>
      <c r="AG3" s="21">
        <v>2000</v>
      </c>
      <c r="AH3" s="20">
        <v>0</v>
      </c>
      <c r="AI3" s="20">
        <v>0</v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2</v>
      </c>
      <c r="AR3" s="21">
        <v>4000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2">
        <v>12000</v>
      </c>
      <c r="BN3" s="14">
        <f t="shared" ref="BN3:BN26" si="0">BM3-BL3</f>
        <v>12000</v>
      </c>
      <c r="BO3" s="15">
        <f t="shared" ref="BO3:BO26" si="1">BN3*70%</f>
        <v>8400</v>
      </c>
    </row>
    <row r="4" spans="1:69" ht="24" x14ac:dyDescent="0.3">
      <c r="A4" s="5" t="s">
        <v>51</v>
      </c>
      <c r="B4" s="18" t="s">
        <v>161</v>
      </c>
      <c r="C4" s="18">
        <v>464780</v>
      </c>
      <c r="D4" s="19"/>
      <c r="E4" s="18" t="s">
        <v>13</v>
      </c>
      <c r="F4" s="18" t="s">
        <v>162</v>
      </c>
      <c r="G4" s="18" t="s">
        <v>19</v>
      </c>
      <c r="H4" s="20" t="s">
        <v>21</v>
      </c>
      <c r="I4" s="20" t="s">
        <v>143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</v>
      </c>
      <c r="AF4" s="21">
        <v>6000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1</v>
      </c>
      <c r="AR4" s="21">
        <v>2000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2">
        <v>8000</v>
      </c>
      <c r="BN4" s="14">
        <f t="shared" si="0"/>
        <v>8000</v>
      </c>
      <c r="BO4" s="15">
        <f t="shared" si="1"/>
        <v>5600</v>
      </c>
    </row>
    <row r="5" spans="1:69" ht="24" x14ac:dyDescent="0.3">
      <c r="A5" s="5" t="s">
        <v>51</v>
      </c>
      <c r="B5" s="18" t="s">
        <v>154</v>
      </c>
      <c r="C5" s="18">
        <v>467565</v>
      </c>
      <c r="D5" s="19"/>
      <c r="E5" s="18" t="s">
        <v>13</v>
      </c>
      <c r="F5" s="18" t="s">
        <v>155</v>
      </c>
      <c r="G5" s="18" t="s">
        <v>19</v>
      </c>
      <c r="H5" s="20" t="s">
        <v>21</v>
      </c>
      <c r="I5" s="20" t="s">
        <v>146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2</v>
      </c>
      <c r="AF5" s="21">
        <v>4000</v>
      </c>
      <c r="AG5" s="20">
        <v>0</v>
      </c>
      <c r="AH5" s="20">
        <v>0</v>
      </c>
      <c r="AI5" s="20">
        <v>0</v>
      </c>
      <c r="AJ5" s="20">
        <v>0</v>
      </c>
      <c r="AK5" s="20">
        <v>1</v>
      </c>
      <c r="AL5" s="20">
        <v>0</v>
      </c>
      <c r="AM5" s="21">
        <v>2000</v>
      </c>
      <c r="AN5" s="20">
        <v>0</v>
      </c>
      <c r="AO5" s="20">
        <v>0</v>
      </c>
      <c r="AP5" s="20">
        <v>0</v>
      </c>
      <c r="AQ5" s="20">
        <v>1</v>
      </c>
      <c r="AR5" s="21">
        <v>1800</v>
      </c>
      <c r="AS5" s="20">
        <v>200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2">
        <v>8000</v>
      </c>
      <c r="BN5" s="14">
        <f t="shared" si="0"/>
        <v>8000</v>
      </c>
      <c r="BO5" s="15">
        <f t="shared" si="1"/>
        <v>5600</v>
      </c>
    </row>
    <row r="6" spans="1:69" ht="24" x14ac:dyDescent="0.3">
      <c r="A6" s="5" t="s">
        <v>51</v>
      </c>
      <c r="B6" s="18" t="s">
        <v>46</v>
      </c>
      <c r="C6" s="18">
        <v>380954</v>
      </c>
      <c r="D6" s="19"/>
      <c r="E6" s="18" t="s">
        <v>13</v>
      </c>
      <c r="F6" s="18" t="s">
        <v>25</v>
      </c>
      <c r="G6" s="18" t="s">
        <v>15</v>
      </c>
      <c r="H6" s="20" t="s">
        <v>7</v>
      </c>
      <c r="I6" s="20" t="s">
        <v>47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8</v>
      </c>
      <c r="AC6" s="21">
        <v>6400</v>
      </c>
      <c r="AD6" s="20">
        <v>800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2">
        <v>7200</v>
      </c>
      <c r="BN6" s="14">
        <f t="shared" si="0"/>
        <v>7200</v>
      </c>
      <c r="BO6" s="15">
        <f t="shared" si="1"/>
        <v>5040</v>
      </c>
    </row>
    <row r="7" spans="1:69" ht="24" x14ac:dyDescent="0.3">
      <c r="A7" s="5" t="s">
        <v>123</v>
      </c>
      <c r="B7" s="18" t="s">
        <v>188</v>
      </c>
      <c r="C7" s="18">
        <v>467552</v>
      </c>
      <c r="D7" s="19"/>
      <c r="E7" s="18" t="s">
        <v>13</v>
      </c>
      <c r="F7" s="18" t="s">
        <v>189</v>
      </c>
      <c r="G7" s="18" t="s">
        <v>19</v>
      </c>
      <c r="H7" s="20" t="s">
        <v>21</v>
      </c>
      <c r="I7" s="20" t="s">
        <v>151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1</v>
      </c>
      <c r="AF7" s="21">
        <v>3200</v>
      </c>
      <c r="AG7" s="20">
        <v>0</v>
      </c>
      <c r="AH7" s="20">
        <v>0</v>
      </c>
      <c r="AI7" s="20">
        <v>0</v>
      </c>
      <c r="AJ7" s="20">
        <v>0</v>
      </c>
      <c r="AK7" s="20">
        <v>1</v>
      </c>
      <c r="AL7" s="21">
        <v>3680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3">
        <v>1104</v>
      </c>
      <c r="BM7" s="22">
        <v>6880</v>
      </c>
      <c r="BN7" s="14">
        <f t="shared" si="0"/>
        <v>5776</v>
      </c>
      <c r="BO7" s="15">
        <f t="shared" si="1"/>
        <v>4043.2</v>
      </c>
    </row>
    <row r="8" spans="1:69" ht="24" x14ac:dyDescent="0.3">
      <c r="A8" s="5" t="s">
        <v>51</v>
      </c>
      <c r="B8" s="18" t="s">
        <v>36</v>
      </c>
      <c r="C8" s="18">
        <v>470383</v>
      </c>
      <c r="D8" s="19"/>
      <c r="E8" s="18" t="s">
        <v>13</v>
      </c>
      <c r="F8" s="18" t="s">
        <v>37</v>
      </c>
      <c r="G8" s="18" t="s">
        <v>19</v>
      </c>
      <c r="H8" s="20" t="s">
        <v>21</v>
      </c>
      <c r="I8" s="20" t="s">
        <v>38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2</v>
      </c>
      <c r="AF8" s="21">
        <v>2000</v>
      </c>
      <c r="AG8" s="21">
        <v>2000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1</v>
      </c>
      <c r="AR8" s="21">
        <v>2000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2">
        <v>6000</v>
      </c>
      <c r="BN8" s="14">
        <f t="shared" si="0"/>
        <v>6000</v>
      </c>
      <c r="BO8" s="15">
        <f t="shared" si="1"/>
        <v>4200</v>
      </c>
    </row>
    <row r="9" spans="1:69" ht="24" x14ac:dyDescent="0.3">
      <c r="A9" s="5" t="s">
        <v>123</v>
      </c>
      <c r="B9" s="18" t="s">
        <v>199</v>
      </c>
      <c r="C9" s="18">
        <v>485979</v>
      </c>
      <c r="D9" s="19"/>
      <c r="E9" s="18" t="s">
        <v>13</v>
      </c>
      <c r="F9" s="18" t="s">
        <v>128</v>
      </c>
      <c r="G9" s="18" t="s">
        <v>19</v>
      </c>
      <c r="H9" s="20" t="s">
        <v>7</v>
      </c>
      <c r="I9" s="20" t="s">
        <v>200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2</v>
      </c>
      <c r="AF9" s="21">
        <v>5800</v>
      </c>
      <c r="AG9" s="20">
        <v>200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2">
        <v>6000</v>
      </c>
      <c r="BN9" s="14">
        <f t="shared" si="0"/>
        <v>6000</v>
      </c>
      <c r="BO9" s="15">
        <f t="shared" si="1"/>
        <v>4200</v>
      </c>
    </row>
    <row r="10" spans="1:69" ht="24" x14ac:dyDescent="0.3">
      <c r="A10" s="5" t="s">
        <v>123</v>
      </c>
      <c r="B10" s="18" t="s">
        <v>39</v>
      </c>
      <c r="C10" s="18">
        <v>408836</v>
      </c>
      <c r="D10" s="19"/>
      <c r="E10" s="18" t="s">
        <v>13</v>
      </c>
      <c r="F10" s="18" t="s">
        <v>26</v>
      </c>
      <c r="G10" s="18" t="s">
        <v>15</v>
      </c>
      <c r="H10" s="20" t="s">
        <v>7</v>
      </c>
      <c r="I10" s="20" t="s">
        <v>40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8</v>
      </c>
      <c r="AC10" s="21">
        <v>5300</v>
      </c>
      <c r="AD10" s="20">
        <v>300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2">
        <v>5600</v>
      </c>
      <c r="BN10" s="14">
        <f t="shared" si="0"/>
        <v>5600</v>
      </c>
      <c r="BO10" s="15">
        <f t="shared" si="1"/>
        <v>3919.9999999999995</v>
      </c>
    </row>
    <row r="11" spans="1:69" ht="24" x14ac:dyDescent="0.3">
      <c r="A11" s="5" t="s">
        <v>123</v>
      </c>
      <c r="B11" s="18" t="s">
        <v>144</v>
      </c>
      <c r="C11" s="18">
        <v>468580</v>
      </c>
      <c r="D11" s="19"/>
      <c r="E11" s="18" t="s">
        <v>13</v>
      </c>
      <c r="F11" s="18" t="s">
        <v>145</v>
      </c>
      <c r="G11" s="18" t="s">
        <v>19</v>
      </c>
      <c r="H11" s="20" t="s">
        <v>21</v>
      </c>
      <c r="I11" s="20" t="s">
        <v>146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2</v>
      </c>
      <c r="AF11" s="21">
        <v>5000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2">
        <v>5000</v>
      </c>
      <c r="BN11" s="14">
        <f t="shared" si="0"/>
        <v>5000</v>
      </c>
      <c r="BO11" s="15">
        <f t="shared" si="1"/>
        <v>3500</v>
      </c>
    </row>
    <row r="12" spans="1:69" ht="24" x14ac:dyDescent="0.3">
      <c r="A12" s="5" t="s">
        <v>51</v>
      </c>
      <c r="B12" s="18" t="s">
        <v>147</v>
      </c>
      <c r="C12" s="18">
        <v>483769</v>
      </c>
      <c r="D12" s="19"/>
      <c r="E12" s="18" t="s">
        <v>13</v>
      </c>
      <c r="F12" s="18" t="s">
        <v>139</v>
      </c>
      <c r="G12" s="18" t="s">
        <v>19</v>
      </c>
      <c r="H12" s="20" t="s">
        <v>8</v>
      </c>
      <c r="I12" s="20" t="s">
        <v>148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2</v>
      </c>
      <c r="AF12" s="21">
        <v>2500</v>
      </c>
      <c r="AG12" s="21">
        <v>2500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2">
        <v>5000</v>
      </c>
      <c r="BN12" s="14">
        <f t="shared" si="0"/>
        <v>5000</v>
      </c>
      <c r="BO12" s="15">
        <f t="shared" si="1"/>
        <v>3500</v>
      </c>
    </row>
    <row r="13" spans="1:69" ht="24" x14ac:dyDescent="0.3">
      <c r="A13" s="5" t="s">
        <v>51</v>
      </c>
      <c r="B13" s="18" t="s">
        <v>17</v>
      </c>
      <c r="C13" s="18">
        <v>464786</v>
      </c>
      <c r="D13" s="19"/>
      <c r="E13" s="18" t="s">
        <v>13</v>
      </c>
      <c r="F13" s="18" t="s">
        <v>18</v>
      </c>
      <c r="G13" s="18" t="s">
        <v>19</v>
      </c>
      <c r="H13" s="20" t="s">
        <v>9</v>
      </c>
      <c r="I13" s="20" t="s">
        <v>20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2</v>
      </c>
      <c r="AF13" s="21">
        <v>5000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2">
        <v>5000</v>
      </c>
      <c r="BN13" s="14">
        <f t="shared" si="0"/>
        <v>5000</v>
      </c>
      <c r="BO13" s="15">
        <f t="shared" si="1"/>
        <v>3500</v>
      </c>
    </row>
    <row r="14" spans="1:69" ht="24" x14ac:dyDescent="0.3">
      <c r="A14" s="5" t="s">
        <v>51</v>
      </c>
      <c r="B14" s="18" t="s">
        <v>156</v>
      </c>
      <c r="C14" s="18">
        <v>468590</v>
      </c>
      <c r="D14" s="19"/>
      <c r="E14" s="18" t="s">
        <v>13</v>
      </c>
      <c r="F14" s="18" t="s">
        <v>157</v>
      </c>
      <c r="G14" s="18" t="s">
        <v>19</v>
      </c>
      <c r="H14" s="20" t="s">
        <v>21</v>
      </c>
      <c r="I14" s="20" t="s">
        <v>158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2</v>
      </c>
      <c r="AF14" s="21">
        <v>2000</v>
      </c>
      <c r="AG14" s="21">
        <v>2000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2">
        <v>4000</v>
      </c>
      <c r="BN14" s="14">
        <f t="shared" si="0"/>
        <v>4000</v>
      </c>
      <c r="BO14" s="15">
        <f t="shared" si="1"/>
        <v>2800</v>
      </c>
    </row>
    <row r="15" spans="1:69" ht="24" x14ac:dyDescent="0.3">
      <c r="A15" s="5" t="s">
        <v>123</v>
      </c>
      <c r="B15" s="18" t="s">
        <v>201</v>
      </c>
      <c r="C15" s="18">
        <v>411956</v>
      </c>
      <c r="D15" s="19"/>
      <c r="E15" s="18" t="s">
        <v>13</v>
      </c>
      <c r="F15" s="18" t="s">
        <v>202</v>
      </c>
      <c r="G15" s="18" t="s">
        <v>23</v>
      </c>
      <c r="H15" s="20" t="s">
        <v>21</v>
      </c>
      <c r="I15" s="20" t="s">
        <v>203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1</v>
      </c>
      <c r="AF15" s="20">
        <v>0</v>
      </c>
      <c r="AG15" s="21">
        <v>3200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2">
        <v>3200</v>
      </c>
      <c r="BN15" s="14">
        <f t="shared" si="0"/>
        <v>3200</v>
      </c>
      <c r="BO15" s="15">
        <f t="shared" si="1"/>
        <v>2240</v>
      </c>
    </row>
    <row r="16" spans="1:69" ht="24" x14ac:dyDescent="0.3">
      <c r="A16" s="5" t="s">
        <v>123</v>
      </c>
      <c r="B16" s="18" t="s">
        <v>196</v>
      </c>
      <c r="C16" s="18">
        <v>468579</v>
      </c>
      <c r="D16" s="19"/>
      <c r="E16" s="18" t="s">
        <v>13</v>
      </c>
      <c r="F16" s="18" t="s">
        <v>172</v>
      </c>
      <c r="G16" s="18" t="s">
        <v>19</v>
      </c>
      <c r="H16" s="20" t="s">
        <v>21</v>
      </c>
      <c r="I16" s="20" t="s">
        <v>146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1</v>
      </c>
      <c r="BD16" s="21">
        <v>3000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180</v>
      </c>
      <c r="BM16" s="22">
        <v>3000</v>
      </c>
      <c r="BN16" s="14">
        <f t="shared" si="0"/>
        <v>2820</v>
      </c>
      <c r="BO16" s="15">
        <f t="shared" si="1"/>
        <v>1973.9999999999998</v>
      </c>
    </row>
    <row r="17" spans="1:67" ht="24" x14ac:dyDescent="0.3">
      <c r="A17" s="5" t="s">
        <v>123</v>
      </c>
      <c r="B17" s="18" t="s">
        <v>204</v>
      </c>
      <c r="C17" s="18">
        <v>424315</v>
      </c>
      <c r="D17" s="19"/>
      <c r="E17" s="18" t="s">
        <v>13</v>
      </c>
      <c r="F17" s="18" t="s">
        <v>26</v>
      </c>
      <c r="G17" s="18" t="s">
        <v>15</v>
      </c>
      <c r="H17" s="20" t="s">
        <v>7</v>
      </c>
      <c r="I17" s="20" t="s">
        <v>205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3</v>
      </c>
      <c r="AO17" s="21">
        <v>2700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2">
        <v>2700</v>
      </c>
      <c r="BN17" s="14">
        <f t="shared" si="0"/>
        <v>2700</v>
      </c>
      <c r="BO17" s="15">
        <f t="shared" si="1"/>
        <v>1889.9999999999998</v>
      </c>
    </row>
    <row r="18" spans="1:67" ht="24" x14ac:dyDescent="0.3">
      <c r="A18" s="5" t="s">
        <v>123</v>
      </c>
      <c r="B18" s="18" t="s">
        <v>41</v>
      </c>
      <c r="C18" s="18">
        <v>474766</v>
      </c>
      <c r="D18" s="19"/>
      <c r="E18" s="18" t="s">
        <v>13</v>
      </c>
      <c r="F18" s="18" t="s">
        <v>42</v>
      </c>
      <c r="G18" s="18" t="s">
        <v>19</v>
      </c>
      <c r="H18" s="20" t="s">
        <v>21</v>
      </c>
      <c r="I18" s="20" t="s">
        <v>43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1</v>
      </c>
      <c r="AF18" s="21">
        <v>2500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2">
        <v>2500</v>
      </c>
      <c r="BN18" s="14">
        <f t="shared" si="0"/>
        <v>2500</v>
      </c>
      <c r="BO18" s="15">
        <f t="shared" si="1"/>
        <v>1750</v>
      </c>
    </row>
    <row r="19" spans="1:67" ht="24" x14ac:dyDescent="0.3">
      <c r="A19" s="5" t="s">
        <v>123</v>
      </c>
      <c r="B19" s="18" t="s">
        <v>206</v>
      </c>
      <c r="C19" s="18">
        <v>457676</v>
      </c>
      <c r="D19" s="19"/>
      <c r="E19" s="18" t="s">
        <v>13</v>
      </c>
      <c r="F19" s="18" t="s">
        <v>207</v>
      </c>
      <c r="G19" s="18" t="s">
        <v>19</v>
      </c>
      <c r="H19" s="20" t="s">
        <v>7</v>
      </c>
      <c r="I19" s="20" t="s">
        <v>208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1</v>
      </c>
      <c r="AF19" s="20">
        <v>0</v>
      </c>
      <c r="AG19" s="20">
        <v>900</v>
      </c>
      <c r="AH19" s="20">
        <v>0</v>
      </c>
      <c r="AI19" s="20">
        <v>0</v>
      </c>
      <c r="AJ19" s="20">
        <v>0</v>
      </c>
      <c r="AK19" s="20">
        <v>1</v>
      </c>
      <c r="AL19" s="20">
        <v>0</v>
      </c>
      <c r="AM19" s="21">
        <v>1600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2">
        <v>2500</v>
      </c>
      <c r="BN19" s="14">
        <f t="shared" si="0"/>
        <v>2500</v>
      </c>
      <c r="BO19" s="15">
        <f t="shared" si="1"/>
        <v>1750</v>
      </c>
    </row>
    <row r="20" spans="1:67" ht="24" x14ac:dyDescent="0.3">
      <c r="A20" s="5" t="s">
        <v>123</v>
      </c>
      <c r="B20" s="18" t="s">
        <v>152</v>
      </c>
      <c r="C20" s="18">
        <v>465768</v>
      </c>
      <c r="D20" s="19"/>
      <c r="E20" s="18" t="s">
        <v>13</v>
      </c>
      <c r="F20" s="18" t="s">
        <v>42</v>
      </c>
      <c r="G20" s="18" t="s">
        <v>19</v>
      </c>
      <c r="H20" s="20" t="s">
        <v>21</v>
      </c>
      <c r="I20" s="20" t="s">
        <v>153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1</v>
      </c>
      <c r="AR20" s="21">
        <v>2500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2">
        <v>2500</v>
      </c>
      <c r="BN20" s="14">
        <f t="shared" si="0"/>
        <v>2500</v>
      </c>
      <c r="BO20" s="15">
        <f t="shared" si="1"/>
        <v>1750</v>
      </c>
    </row>
    <row r="21" spans="1:67" ht="24" x14ac:dyDescent="0.3">
      <c r="A21" s="5" t="s">
        <v>123</v>
      </c>
      <c r="B21" s="18" t="s">
        <v>209</v>
      </c>
      <c r="C21" s="18">
        <v>477493</v>
      </c>
      <c r="D21" s="19"/>
      <c r="E21" s="18" t="s">
        <v>13</v>
      </c>
      <c r="F21" s="18" t="s">
        <v>30</v>
      </c>
      <c r="G21" s="18" t="s">
        <v>19</v>
      </c>
      <c r="H21" s="20" t="s">
        <v>7</v>
      </c>
      <c r="I21" s="20" t="s">
        <v>210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1</v>
      </c>
      <c r="AF21" s="21">
        <v>2000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2">
        <v>2000</v>
      </c>
      <c r="BN21" s="14">
        <f t="shared" si="0"/>
        <v>2000</v>
      </c>
      <c r="BO21" s="15">
        <f t="shared" si="1"/>
        <v>1400</v>
      </c>
    </row>
    <row r="22" spans="1:67" ht="24" x14ac:dyDescent="0.3">
      <c r="A22" s="5" t="s">
        <v>123</v>
      </c>
      <c r="B22" s="18" t="s">
        <v>118</v>
      </c>
      <c r="C22" s="18">
        <v>477489</v>
      </c>
      <c r="D22" s="19"/>
      <c r="E22" s="18" t="s">
        <v>13</v>
      </c>
      <c r="F22" s="18" t="s">
        <v>119</v>
      </c>
      <c r="G22" s="18" t="s">
        <v>19</v>
      </c>
      <c r="H22" s="20" t="s">
        <v>21</v>
      </c>
      <c r="I22" s="20" t="s">
        <v>115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1</v>
      </c>
      <c r="AR22" s="21">
        <v>2000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2">
        <v>2000</v>
      </c>
      <c r="BN22" s="14">
        <f t="shared" si="0"/>
        <v>2000</v>
      </c>
      <c r="BO22" s="15">
        <f t="shared" si="1"/>
        <v>1400</v>
      </c>
    </row>
    <row r="23" spans="1:67" ht="24" x14ac:dyDescent="0.3">
      <c r="A23" s="5" t="s">
        <v>123</v>
      </c>
      <c r="B23" s="18" t="s">
        <v>171</v>
      </c>
      <c r="C23" s="18">
        <v>461359</v>
      </c>
      <c r="D23" s="19"/>
      <c r="E23" s="18" t="s">
        <v>13</v>
      </c>
      <c r="F23" s="18" t="s">
        <v>172</v>
      </c>
      <c r="G23" s="18" t="s">
        <v>19</v>
      </c>
      <c r="H23" s="20" t="s">
        <v>21</v>
      </c>
      <c r="I23" s="20" t="s">
        <v>143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1</v>
      </c>
      <c r="AR23" s="21">
        <v>2000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2">
        <v>2000</v>
      </c>
      <c r="BN23" s="14">
        <f t="shared" si="0"/>
        <v>2000</v>
      </c>
      <c r="BO23" s="15">
        <f t="shared" si="1"/>
        <v>1400</v>
      </c>
    </row>
    <row r="24" spans="1:67" ht="24" x14ac:dyDescent="0.3">
      <c r="A24" s="5" t="s">
        <v>123</v>
      </c>
      <c r="B24" s="18" t="s">
        <v>173</v>
      </c>
      <c r="C24" s="18">
        <v>467563</v>
      </c>
      <c r="D24" s="19"/>
      <c r="E24" s="18" t="s">
        <v>13</v>
      </c>
      <c r="F24" s="18" t="s">
        <v>174</v>
      </c>
      <c r="G24" s="18" t="s">
        <v>19</v>
      </c>
      <c r="H24" s="20" t="s">
        <v>21</v>
      </c>
      <c r="I24" s="20" t="s">
        <v>151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1</v>
      </c>
      <c r="AF24" s="21">
        <v>1100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1</v>
      </c>
      <c r="AR24" s="20">
        <v>900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2">
        <v>2000</v>
      </c>
      <c r="BN24" s="14">
        <f t="shared" si="0"/>
        <v>2000</v>
      </c>
      <c r="BO24" s="15">
        <f t="shared" si="1"/>
        <v>1400</v>
      </c>
    </row>
    <row r="25" spans="1:67" ht="24" x14ac:dyDescent="0.3">
      <c r="A25" s="5" t="s">
        <v>123</v>
      </c>
      <c r="B25" s="18" t="s">
        <v>211</v>
      </c>
      <c r="C25" s="18">
        <v>470423</v>
      </c>
      <c r="D25" s="19"/>
      <c r="E25" s="18" t="s">
        <v>13</v>
      </c>
      <c r="F25" s="18" t="s">
        <v>34</v>
      </c>
      <c r="G25" s="18" t="s">
        <v>19</v>
      </c>
      <c r="H25" s="20" t="s">
        <v>21</v>
      </c>
      <c r="I25" s="20" t="s">
        <v>212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1</v>
      </c>
      <c r="AF25" s="21">
        <v>2000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2">
        <v>2000</v>
      </c>
      <c r="BN25" s="14">
        <f t="shared" si="0"/>
        <v>2000</v>
      </c>
      <c r="BO25" s="15">
        <f t="shared" si="1"/>
        <v>1400</v>
      </c>
    </row>
    <row r="26" spans="1:67" ht="24" x14ac:dyDescent="0.3">
      <c r="A26" s="5" t="s">
        <v>123</v>
      </c>
      <c r="B26" s="18" t="s">
        <v>163</v>
      </c>
      <c r="C26" s="18">
        <v>457677</v>
      </c>
      <c r="D26" s="19"/>
      <c r="E26" s="18" t="s">
        <v>13</v>
      </c>
      <c r="F26" s="18" t="s">
        <v>157</v>
      </c>
      <c r="G26" s="18" t="s">
        <v>19</v>
      </c>
      <c r="H26" s="20" t="s">
        <v>21</v>
      </c>
      <c r="I26" s="20" t="s">
        <v>143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1</v>
      </c>
      <c r="AF26" s="21">
        <v>2000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2">
        <v>2000</v>
      </c>
      <c r="BN26" s="14">
        <f t="shared" si="0"/>
        <v>2000</v>
      </c>
      <c r="BO26" s="15">
        <f t="shared" si="1"/>
        <v>1400</v>
      </c>
    </row>
    <row r="27" spans="1:67" ht="24" x14ac:dyDescent="0.3">
      <c r="A27" s="5" t="s">
        <v>123</v>
      </c>
      <c r="B27" s="18" t="s">
        <v>166</v>
      </c>
      <c r="C27" s="18">
        <v>457674</v>
      </c>
      <c r="D27" s="19"/>
      <c r="E27" s="18" t="s">
        <v>13</v>
      </c>
      <c r="F27" s="18" t="s">
        <v>167</v>
      </c>
      <c r="G27" s="18" t="s">
        <v>19</v>
      </c>
      <c r="H27" s="20" t="s">
        <v>21</v>
      </c>
      <c r="I27" s="20" t="s">
        <v>143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1</v>
      </c>
      <c r="AF27" s="21">
        <v>2000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2">
        <v>2000</v>
      </c>
      <c r="BN27" s="14">
        <f t="shared" ref="BN27:BN88" si="2">BM27-BL27</f>
        <v>2000</v>
      </c>
      <c r="BO27" s="15">
        <f t="shared" ref="BO27:BO88" si="3">BN27*70%</f>
        <v>1400</v>
      </c>
    </row>
    <row r="28" spans="1:67" ht="24" x14ac:dyDescent="0.3">
      <c r="A28" s="5" t="s">
        <v>123</v>
      </c>
      <c r="B28" s="18" t="s">
        <v>159</v>
      </c>
      <c r="C28" s="18">
        <v>464790</v>
      </c>
      <c r="D28" s="19"/>
      <c r="E28" s="18" t="s">
        <v>13</v>
      </c>
      <c r="F28" s="18" t="s">
        <v>160</v>
      </c>
      <c r="G28" s="18" t="s">
        <v>19</v>
      </c>
      <c r="H28" s="20" t="s">
        <v>21</v>
      </c>
      <c r="I28" s="20" t="s">
        <v>143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1</v>
      </c>
      <c r="AF28" s="21">
        <v>2000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2">
        <v>2000</v>
      </c>
      <c r="BN28" s="14">
        <f t="shared" si="2"/>
        <v>2000</v>
      </c>
      <c r="BO28" s="15">
        <f t="shared" si="3"/>
        <v>1400</v>
      </c>
    </row>
    <row r="29" spans="1:67" ht="24" x14ac:dyDescent="0.3">
      <c r="A29" s="5" t="s">
        <v>123</v>
      </c>
      <c r="B29" s="18" t="s">
        <v>16</v>
      </c>
      <c r="C29" s="18">
        <v>451051</v>
      </c>
      <c r="D29" s="19"/>
      <c r="E29" s="18" t="s">
        <v>13</v>
      </c>
      <c r="F29" s="18" t="s">
        <v>14</v>
      </c>
      <c r="G29" s="18" t="s">
        <v>15</v>
      </c>
      <c r="H29" s="20" t="s">
        <v>9</v>
      </c>
      <c r="I29" s="20" t="s">
        <v>12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9</v>
      </c>
      <c r="AF29" s="20">
        <v>400</v>
      </c>
      <c r="AG29" s="20">
        <v>500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7</v>
      </c>
      <c r="AR29" s="20">
        <v>700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2">
        <v>1600</v>
      </c>
      <c r="BN29" s="14">
        <f t="shared" si="2"/>
        <v>1600</v>
      </c>
      <c r="BO29" s="15">
        <f t="shared" si="3"/>
        <v>1120</v>
      </c>
    </row>
    <row r="30" spans="1:67" ht="24" x14ac:dyDescent="0.3">
      <c r="A30" s="5" t="s">
        <v>123</v>
      </c>
      <c r="B30" s="18" t="s">
        <v>178</v>
      </c>
      <c r="C30" s="18">
        <v>408846</v>
      </c>
      <c r="D30" s="19"/>
      <c r="E30" s="18" t="s">
        <v>13</v>
      </c>
      <c r="F30" s="18" t="s">
        <v>26</v>
      </c>
      <c r="G30" s="18" t="s">
        <v>15</v>
      </c>
      <c r="H30" s="20" t="s">
        <v>7</v>
      </c>
      <c r="I30" s="20" t="s">
        <v>179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1</v>
      </c>
      <c r="AC30" s="20">
        <v>600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1</v>
      </c>
      <c r="BA30" s="20">
        <v>360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21.6</v>
      </c>
      <c r="BM30" s="24">
        <v>960</v>
      </c>
      <c r="BN30" s="14">
        <f t="shared" si="2"/>
        <v>938.4</v>
      </c>
      <c r="BO30" s="15">
        <f t="shared" si="3"/>
        <v>656.88</v>
      </c>
    </row>
    <row r="31" spans="1:67" ht="24" x14ac:dyDescent="0.3">
      <c r="A31" s="5" t="s">
        <v>123</v>
      </c>
      <c r="B31" s="18" t="s">
        <v>213</v>
      </c>
      <c r="C31" s="18">
        <v>454228</v>
      </c>
      <c r="D31" s="19"/>
      <c r="E31" s="18" t="s">
        <v>13</v>
      </c>
      <c r="F31" s="18" t="s">
        <v>14</v>
      </c>
      <c r="G31" s="18" t="s">
        <v>15</v>
      </c>
      <c r="H31" s="20" t="s">
        <v>7</v>
      </c>
      <c r="I31" s="20" t="s">
        <v>214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1</v>
      </c>
      <c r="AC31" s="20">
        <v>900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4">
        <v>900</v>
      </c>
      <c r="BN31" s="14">
        <f t="shared" si="2"/>
        <v>900</v>
      </c>
      <c r="BO31" s="15">
        <f t="shared" si="3"/>
        <v>630</v>
      </c>
    </row>
    <row r="32" spans="1:67" ht="24" x14ac:dyDescent="0.3">
      <c r="A32" s="5" t="s">
        <v>123</v>
      </c>
      <c r="B32" s="18" t="s">
        <v>164</v>
      </c>
      <c r="C32" s="18">
        <v>408838</v>
      </c>
      <c r="D32" s="19"/>
      <c r="E32" s="18" t="s">
        <v>13</v>
      </c>
      <c r="F32" s="18" t="s">
        <v>26</v>
      </c>
      <c r="G32" s="18" t="s">
        <v>15</v>
      </c>
      <c r="H32" s="20" t="s">
        <v>7</v>
      </c>
      <c r="I32" s="20" t="s">
        <v>153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4</v>
      </c>
      <c r="AF32" s="20">
        <v>400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1</v>
      </c>
      <c r="AR32" s="20">
        <v>100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4">
        <v>500</v>
      </c>
      <c r="BN32" s="14">
        <f t="shared" si="2"/>
        <v>500</v>
      </c>
      <c r="BO32" s="15">
        <f t="shared" si="3"/>
        <v>350</v>
      </c>
    </row>
    <row r="33" spans="1:67" ht="24" x14ac:dyDescent="0.3">
      <c r="A33" s="5" t="s">
        <v>123</v>
      </c>
      <c r="B33" s="18" t="s">
        <v>215</v>
      </c>
      <c r="C33" s="18">
        <v>445220</v>
      </c>
      <c r="D33" s="19"/>
      <c r="E33" s="18" t="s">
        <v>13</v>
      </c>
      <c r="F33" s="18" t="s">
        <v>216</v>
      </c>
      <c r="G33" s="18" t="s">
        <v>23</v>
      </c>
      <c r="H33" s="20" t="s">
        <v>8</v>
      </c>
      <c r="I33" s="20" t="s">
        <v>217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2</v>
      </c>
      <c r="AF33" s="20">
        <v>200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4">
        <v>200</v>
      </c>
      <c r="BN33" s="14">
        <f t="shared" si="2"/>
        <v>200</v>
      </c>
      <c r="BO33" s="15">
        <f t="shared" si="3"/>
        <v>140</v>
      </c>
    </row>
    <row r="34" spans="1:67" ht="24" x14ac:dyDescent="0.3">
      <c r="A34" s="5" t="s">
        <v>123</v>
      </c>
      <c r="B34" s="18" t="s">
        <v>218</v>
      </c>
      <c r="C34" s="18">
        <v>448030</v>
      </c>
      <c r="D34" s="19"/>
      <c r="E34" s="18" t="s">
        <v>13</v>
      </c>
      <c r="F34" s="18" t="s">
        <v>219</v>
      </c>
      <c r="G34" s="18" t="s">
        <v>192</v>
      </c>
      <c r="H34" s="20" t="s">
        <v>8</v>
      </c>
      <c r="I34" s="20" t="s">
        <v>220</v>
      </c>
      <c r="J34" s="20">
        <v>0</v>
      </c>
      <c r="K34" s="20">
        <v>1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1</v>
      </c>
      <c r="AF34" s="20">
        <v>0</v>
      </c>
      <c r="AG34" s="20">
        <v>100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4">
        <v>100</v>
      </c>
      <c r="BN34" s="14">
        <f t="shared" si="2"/>
        <v>100</v>
      </c>
      <c r="BO34" s="15">
        <f t="shared" si="3"/>
        <v>70</v>
      </c>
    </row>
    <row r="35" spans="1:67" ht="24" x14ac:dyDescent="0.3">
      <c r="A35" s="5" t="s">
        <v>123</v>
      </c>
      <c r="B35" s="18" t="s">
        <v>175</v>
      </c>
      <c r="C35" s="18">
        <v>354950</v>
      </c>
      <c r="D35" s="19" t="s">
        <v>176</v>
      </c>
      <c r="E35" s="18" t="s">
        <v>13</v>
      </c>
      <c r="F35" s="18" t="s">
        <v>14</v>
      </c>
      <c r="G35" s="18" t="s">
        <v>15</v>
      </c>
      <c r="H35" s="20" t="s">
        <v>7</v>
      </c>
      <c r="I35" s="20" t="s">
        <v>177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1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4">
        <v>0</v>
      </c>
      <c r="BN35" s="14">
        <f t="shared" si="2"/>
        <v>0</v>
      </c>
      <c r="BO35" s="15">
        <f t="shared" si="3"/>
        <v>0</v>
      </c>
    </row>
    <row r="36" spans="1:67" ht="24" x14ac:dyDescent="0.3">
      <c r="A36" s="5" t="s">
        <v>123</v>
      </c>
      <c r="B36" s="18" t="s">
        <v>48</v>
      </c>
      <c r="C36" s="18">
        <v>469971</v>
      </c>
      <c r="D36" s="19"/>
      <c r="E36" s="18" t="s">
        <v>13</v>
      </c>
      <c r="F36" s="18" t="s">
        <v>49</v>
      </c>
      <c r="G36" s="18" t="s">
        <v>50</v>
      </c>
      <c r="H36" s="20" t="s">
        <v>7</v>
      </c>
      <c r="I36" s="20" t="s">
        <v>221</v>
      </c>
      <c r="J36" s="20">
        <v>0</v>
      </c>
      <c r="K36" s="20">
        <v>5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4">
        <v>0</v>
      </c>
      <c r="BN36" s="14">
        <f t="shared" si="2"/>
        <v>0</v>
      </c>
      <c r="BO36" s="15">
        <f t="shared" si="3"/>
        <v>0</v>
      </c>
    </row>
    <row r="37" spans="1:67" ht="24" x14ac:dyDescent="0.3">
      <c r="A37" s="5" t="s">
        <v>114</v>
      </c>
      <c r="B37" s="18" t="s">
        <v>197</v>
      </c>
      <c r="C37" s="18">
        <v>465998</v>
      </c>
      <c r="D37" s="19"/>
      <c r="E37" s="18" t="s">
        <v>13</v>
      </c>
      <c r="F37" s="18" t="s">
        <v>14</v>
      </c>
      <c r="G37" s="18" t="s">
        <v>15</v>
      </c>
      <c r="H37" s="20" t="s">
        <v>9</v>
      </c>
      <c r="I37" s="20" t="s">
        <v>198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13</v>
      </c>
      <c r="AF37" s="21">
        <v>26000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8</v>
      </c>
      <c r="BA37" s="21">
        <v>8640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518.4</v>
      </c>
      <c r="BM37" s="22">
        <v>34640</v>
      </c>
      <c r="BN37" s="14">
        <f t="shared" si="2"/>
        <v>34121.599999999999</v>
      </c>
      <c r="BO37" s="15">
        <f t="shared" si="3"/>
        <v>23885.119999999999</v>
      </c>
    </row>
    <row r="38" spans="1:67" ht="24" x14ac:dyDescent="0.3">
      <c r="A38" s="5" t="s">
        <v>124</v>
      </c>
      <c r="B38" s="18" t="s">
        <v>16</v>
      </c>
      <c r="C38" s="18">
        <v>451051</v>
      </c>
      <c r="D38" s="19"/>
      <c r="E38" s="18" t="s">
        <v>13</v>
      </c>
      <c r="F38" s="18" t="s">
        <v>14</v>
      </c>
      <c r="G38" s="18" t="s">
        <v>15</v>
      </c>
      <c r="H38" s="20" t="s">
        <v>9</v>
      </c>
      <c r="I38" s="20" t="s">
        <v>12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76</v>
      </c>
      <c r="AF38" s="21">
        <v>4200</v>
      </c>
      <c r="AG38" s="21">
        <v>3400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185</v>
      </c>
      <c r="AR38" s="21">
        <v>18500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2">
        <v>26100</v>
      </c>
      <c r="BN38" s="14">
        <f t="shared" si="2"/>
        <v>26100</v>
      </c>
      <c r="BO38" s="15">
        <f t="shared" si="3"/>
        <v>18270</v>
      </c>
    </row>
    <row r="39" spans="1:67" ht="24" x14ac:dyDescent="0.3">
      <c r="A39" s="5" t="s">
        <v>125</v>
      </c>
      <c r="B39" s="18" t="s">
        <v>164</v>
      </c>
      <c r="C39" s="18">
        <v>408838</v>
      </c>
      <c r="D39" s="19"/>
      <c r="E39" s="18" t="s">
        <v>13</v>
      </c>
      <c r="F39" s="18" t="s">
        <v>26</v>
      </c>
      <c r="G39" s="18" t="s">
        <v>15</v>
      </c>
      <c r="H39" s="20" t="s">
        <v>7</v>
      </c>
      <c r="I39" s="20" t="s">
        <v>153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104</v>
      </c>
      <c r="AF39" s="21">
        <v>10400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53</v>
      </c>
      <c r="AR39" s="21">
        <v>5300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6</v>
      </c>
      <c r="BD39" s="20">
        <v>720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43.2</v>
      </c>
      <c r="BM39" s="22">
        <v>16420</v>
      </c>
      <c r="BN39" s="14">
        <f t="shared" si="2"/>
        <v>16376.8</v>
      </c>
      <c r="BO39" s="15">
        <f t="shared" si="3"/>
        <v>11463.759999999998</v>
      </c>
    </row>
    <row r="40" spans="1:67" ht="24" x14ac:dyDescent="0.3">
      <c r="A40" s="5" t="s">
        <v>125</v>
      </c>
      <c r="B40" s="18" t="s">
        <v>178</v>
      </c>
      <c r="C40" s="18">
        <v>408846</v>
      </c>
      <c r="D40" s="19"/>
      <c r="E40" s="18" t="s">
        <v>13</v>
      </c>
      <c r="F40" s="18" t="s">
        <v>26</v>
      </c>
      <c r="G40" s="18" t="s">
        <v>15</v>
      </c>
      <c r="H40" s="20" t="s">
        <v>7</v>
      </c>
      <c r="I40" s="20" t="s">
        <v>179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16</v>
      </c>
      <c r="AC40" s="21">
        <v>14400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2">
        <v>14400</v>
      </c>
      <c r="BN40" s="14">
        <f t="shared" si="2"/>
        <v>14400</v>
      </c>
      <c r="BO40" s="15">
        <f t="shared" si="3"/>
        <v>10080</v>
      </c>
    </row>
    <row r="41" spans="1:67" ht="24" x14ac:dyDescent="0.3">
      <c r="A41" s="5" t="s">
        <v>125</v>
      </c>
      <c r="B41" s="18" t="s">
        <v>39</v>
      </c>
      <c r="C41" s="18">
        <v>408836</v>
      </c>
      <c r="D41" s="19"/>
      <c r="E41" s="18" t="s">
        <v>13</v>
      </c>
      <c r="F41" s="18" t="s">
        <v>26</v>
      </c>
      <c r="G41" s="18" t="s">
        <v>15</v>
      </c>
      <c r="H41" s="20" t="s">
        <v>7</v>
      </c>
      <c r="I41" s="20" t="s">
        <v>40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10</v>
      </c>
      <c r="AC41" s="21">
        <v>7000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5</v>
      </c>
      <c r="AO41" s="21">
        <v>3500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2">
        <v>10500</v>
      </c>
      <c r="BN41" s="14">
        <f t="shared" si="2"/>
        <v>10500</v>
      </c>
      <c r="BO41" s="15">
        <f t="shared" si="3"/>
        <v>7349.9999999999991</v>
      </c>
    </row>
    <row r="42" spans="1:67" ht="24" x14ac:dyDescent="0.3">
      <c r="A42" s="5" t="s">
        <v>114</v>
      </c>
      <c r="B42" s="18" t="s">
        <v>222</v>
      </c>
      <c r="C42" s="18">
        <v>382098</v>
      </c>
      <c r="D42" s="19"/>
      <c r="E42" s="18" t="s">
        <v>13</v>
      </c>
      <c r="F42" s="18" t="s">
        <v>14</v>
      </c>
      <c r="G42" s="18" t="s">
        <v>15</v>
      </c>
      <c r="H42" s="20" t="s">
        <v>7</v>
      </c>
      <c r="I42" s="20" t="s">
        <v>223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11</v>
      </c>
      <c r="AO42" s="21">
        <v>9700</v>
      </c>
      <c r="AP42" s="20">
        <v>200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2">
        <v>9900</v>
      </c>
      <c r="BN42" s="14">
        <f t="shared" si="2"/>
        <v>9900</v>
      </c>
      <c r="BO42" s="15">
        <f t="shared" si="3"/>
        <v>6930</v>
      </c>
    </row>
    <row r="43" spans="1:67" ht="24" x14ac:dyDescent="0.3">
      <c r="A43" s="5" t="s">
        <v>125</v>
      </c>
      <c r="B43" s="18" t="s">
        <v>48</v>
      </c>
      <c r="C43" s="18">
        <v>469971</v>
      </c>
      <c r="D43" s="19"/>
      <c r="E43" s="18" t="s">
        <v>13</v>
      </c>
      <c r="F43" s="18" t="s">
        <v>49</v>
      </c>
      <c r="G43" s="18" t="s">
        <v>50</v>
      </c>
      <c r="H43" s="20" t="s">
        <v>7</v>
      </c>
      <c r="I43" s="20" t="s">
        <v>221</v>
      </c>
      <c r="J43" s="20">
        <v>0</v>
      </c>
      <c r="K43" s="20">
        <v>3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5</v>
      </c>
      <c r="AF43" s="20">
        <v>500</v>
      </c>
      <c r="AG43" s="20">
        <v>0</v>
      </c>
      <c r="AH43" s="20">
        <v>0</v>
      </c>
      <c r="AI43" s="20">
        <v>0</v>
      </c>
      <c r="AJ43" s="20">
        <v>0</v>
      </c>
      <c r="AK43" s="20">
        <v>51</v>
      </c>
      <c r="AL43" s="21">
        <v>6000</v>
      </c>
      <c r="AM43" s="20">
        <v>100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3">
        <v>1800</v>
      </c>
      <c r="BM43" s="22">
        <v>6600</v>
      </c>
      <c r="BN43" s="14">
        <f t="shared" si="2"/>
        <v>4800</v>
      </c>
      <c r="BO43" s="15">
        <f t="shared" si="3"/>
        <v>3360</v>
      </c>
    </row>
    <row r="44" spans="1:67" ht="24" x14ac:dyDescent="0.3">
      <c r="A44" s="5" t="s">
        <v>125</v>
      </c>
      <c r="B44" s="18" t="s">
        <v>215</v>
      </c>
      <c r="C44" s="18">
        <v>445220</v>
      </c>
      <c r="D44" s="19"/>
      <c r="E44" s="18" t="s">
        <v>13</v>
      </c>
      <c r="F44" s="18" t="s">
        <v>216</v>
      </c>
      <c r="G44" s="18" t="s">
        <v>23</v>
      </c>
      <c r="H44" s="20" t="s">
        <v>8</v>
      </c>
      <c r="I44" s="20" t="s">
        <v>217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58</v>
      </c>
      <c r="AF44" s="21">
        <v>5800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2">
        <v>5800</v>
      </c>
      <c r="BN44" s="14">
        <f t="shared" si="2"/>
        <v>5800</v>
      </c>
      <c r="BO44" s="15">
        <f t="shared" si="3"/>
        <v>4059.9999999999995</v>
      </c>
    </row>
    <row r="45" spans="1:67" ht="24" x14ac:dyDescent="0.3">
      <c r="A45" s="5" t="s">
        <v>125</v>
      </c>
      <c r="B45" s="18" t="s">
        <v>204</v>
      </c>
      <c r="C45" s="18">
        <v>424315</v>
      </c>
      <c r="D45" s="19"/>
      <c r="E45" s="18" t="s">
        <v>13</v>
      </c>
      <c r="F45" s="18" t="s">
        <v>26</v>
      </c>
      <c r="G45" s="18" t="s">
        <v>15</v>
      </c>
      <c r="H45" s="20" t="s">
        <v>7</v>
      </c>
      <c r="I45" s="20" t="s">
        <v>205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2</v>
      </c>
      <c r="AO45" s="20">
        <v>900</v>
      </c>
      <c r="AP45" s="20">
        <v>900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2">
        <v>1800</v>
      </c>
      <c r="BN45" s="14">
        <f t="shared" si="2"/>
        <v>1800</v>
      </c>
      <c r="BO45" s="15">
        <f t="shared" si="3"/>
        <v>1260</v>
      </c>
    </row>
    <row r="46" spans="1:67" ht="24" x14ac:dyDescent="0.3">
      <c r="A46" s="5" t="s">
        <v>114</v>
      </c>
      <c r="B46" s="18" t="s">
        <v>224</v>
      </c>
      <c r="C46" s="18">
        <v>408833</v>
      </c>
      <c r="D46" s="19"/>
      <c r="E46" s="18" t="s">
        <v>13</v>
      </c>
      <c r="F46" s="18" t="s">
        <v>26</v>
      </c>
      <c r="G46" s="18" t="s">
        <v>15</v>
      </c>
      <c r="H46" s="20" t="s">
        <v>7</v>
      </c>
      <c r="I46" s="20" t="s">
        <v>225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1</v>
      </c>
      <c r="AC46" s="20">
        <v>900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4">
        <v>900</v>
      </c>
      <c r="BN46" s="14">
        <f t="shared" si="2"/>
        <v>900</v>
      </c>
      <c r="BO46" s="15">
        <f t="shared" si="3"/>
        <v>630</v>
      </c>
    </row>
    <row r="47" spans="1:67" ht="24" x14ac:dyDescent="0.3">
      <c r="A47" s="5" t="s">
        <v>114</v>
      </c>
      <c r="B47" s="18" t="s">
        <v>213</v>
      </c>
      <c r="C47" s="18">
        <v>454228</v>
      </c>
      <c r="D47" s="19"/>
      <c r="E47" s="18" t="s">
        <v>13</v>
      </c>
      <c r="F47" s="18" t="s">
        <v>14</v>
      </c>
      <c r="G47" s="18" t="s">
        <v>15</v>
      </c>
      <c r="H47" s="20" t="s">
        <v>7</v>
      </c>
      <c r="I47" s="20" t="s">
        <v>214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1</v>
      </c>
      <c r="AC47" s="20">
        <v>900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4">
        <v>900</v>
      </c>
      <c r="BN47" s="14">
        <f t="shared" si="2"/>
        <v>900</v>
      </c>
      <c r="BO47" s="15">
        <f t="shared" si="3"/>
        <v>630</v>
      </c>
    </row>
    <row r="48" spans="1:67" ht="24" x14ac:dyDescent="0.3">
      <c r="A48" s="5" t="s">
        <v>125</v>
      </c>
      <c r="B48" s="18" t="s">
        <v>116</v>
      </c>
      <c r="C48" s="18">
        <v>367415</v>
      </c>
      <c r="D48" s="19"/>
      <c r="E48" s="18" t="s">
        <v>13</v>
      </c>
      <c r="F48" s="18" t="s">
        <v>25</v>
      </c>
      <c r="G48" s="18" t="s">
        <v>15</v>
      </c>
      <c r="H48" s="20" t="s">
        <v>7</v>
      </c>
      <c r="I48" s="20" t="s">
        <v>117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5</v>
      </c>
      <c r="AF48" s="20">
        <v>500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4">
        <v>500</v>
      </c>
      <c r="BN48" s="14">
        <f t="shared" si="2"/>
        <v>500</v>
      </c>
      <c r="BO48" s="15">
        <f t="shared" si="3"/>
        <v>350</v>
      </c>
    </row>
    <row r="49" spans="1:67" ht="24" x14ac:dyDescent="0.3">
      <c r="A49" s="5" t="s">
        <v>114</v>
      </c>
      <c r="B49" s="18" t="s">
        <v>218</v>
      </c>
      <c r="C49" s="18">
        <v>448030</v>
      </c>
      <c r="D49" s="19"/>
      <c r="E49" s="18" t="s">
        <v>13</v>
      </c>
      <c r="F49" s="18" t="s">
        <v>219</v>
      </c>
      <c r="G49" s="18" t="s">
        <v>192</v>
      </c>
      <c r="H49" s="20" t="s">
        <v>8</v>
      </c>
      <c r="I49" s="20" t="s">
        <v>220</v>
      </c>
      <c r="J49" s="20">
        <v>0</v>
      </c>
      <c r="K49" s="20">
        <v>4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4">
        <v>0</v>
      </c>
      <c r="BN49" s="14">
        <f t="shared" si="2"/>
        <v>0</v>
      </c>
      <c r="BO49" s="15">
        <f t="shared" si="3"/>
        <v>0</v>
      </c>
    </row>
    <row r="50" spans="1:67" ht="24" x14ac:dyDescent="0.3">
      <c r="A50" s="5" t="s">
        <v>52</v>
      </c>
      <c r="B50" s="18" t="s">
        <v>161</v>
      </c>
      <c r="C50" s="18">
        <v>464780</v>
      </c>
      <c r="D50" s="19"/>
      <c r="E50" s="18" t="s">
        <v>13</v>
      </c>
      <c r="F50" s="18" t="s">
        <v>162</v>
      </c>
      <c r="G50" s="18" t="s">
        <v>19</v>
      </c>
      <c r="H50" s="20" t="s">
        <v>21</v>
      </c>
      <c r="I50" s="20" t="s">
        <v>143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27</v>
      </c>
      <c r="AF50" s="21">
        <v>43400</v>
      </c>
      <c r="AG50" s="21">
        <v>3300</v>
      </c>
      <c r="AH50" s="20">
        <v>0</v>
      </c>
      <c r="AI50" s="20">
        <v>0</v>
      </c>
      <c r="AJ50" s="20">
        <v>0</v>
      </c>
      <c r="AK50" s="20">
        <v>5</v>
      </c>
      <c r="AL50" s="21">
        <v>2400</v>
      </c>
      <c r="AM50" s="21">
        <v>5800</v>
      </c>
      <c r="AN50" s="20">
        <v>0</v>
      </c>
      <c r="AO50" s="20">
        <v>0</v>
      </c>
      <c r="AP50" s="20">
        <v>0</v>
      </c>
      <c r="AQ50" s="20">
        <v>4</v>
      </c>
      <c r="AR50" s="21">
        <v>5900</v>
      </c>
      <c r="AS50" s="20">
        <v>200</v>
      </c>
      <c r="AT50" s="20">
        <v>0</v>
      </c>
      <c r="AU50" s="20">
        <v>0</v>
      </c>
      <c r="AV50" s="20">
        <v>0</v>
      </c>
      <c r="AW50" s="20">
        <v>1</v>
      </c>
      <c r="AX50" s="20">
        <v>720</v>
      </c>
      <c r="AY50" s="20">
        <v>0</v>
      </c>
      <c r="AZ50" s="20">
        <v>0</v>
      </c>
      <c r="BA50" s="20">
        <v>0</v>
      </c>
      <c r="BB50" s="20">
        <v>0</v>
      </c>
      <c r="BC50" s="20">
        <v>3</v>
      </c>
      <c r="BD50" s="21">
        <v>3360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993.6</v>
      </c>
      <c r="BM50" s="22">
        <v>65080</v>
      </c>
      <c r="BN50" s="14">
        <f t="shared" si="2"/>
        <v>64086.400000000001</v>
      </c>
      <c r="BO50" s="15">
        <f t="shared" si="3"/>
        <v>44860.479999999996</v>
      </c>
    </row>
    <row r="51" spans="1:67" ht="24" x14ac:dyDescent="0.3">
      <c r="A51" s="5" t="s">
        <v>52</v>
      </c>
      <c r="B51" s="18" t="s">
        <v>156</v>
      </c>
      <c r="C51" s="18">
        <v>468590</v>
      </c>
      <c r="D51" s="19"/>
      <c r="E51" s="18" t="s">
        <v>13</v>
      </c>
      <c r="F51" s="18" t="s">
        <v>157</v>
      </c>
      <c r="G51" s="18" t="s">
        <v>19</v>
      </c>
      <c r="H51" s="20" t="s">
        <v>21</v>
      </c>
      <c r="I51" s="20" t="s">
        <v>158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20</v>
      </c>
      <c r="AF51" s="21">
        <v>18700</v>
      </c>
      <c r="AG51" s="21">
        <v>18700</v>
      </c>
      <c r="AH51" s="20">
        <v>0</v>
      </c>
      <c r="AI51" s="20">
        <v>0</v>
      </c>
      <c r="AJ51" s="20">
        <v>0</v>
      </c>
      <c r="AK51" s="20">
        <v>4</v>
      </c>
      <c r="AL51" s="20">
        <v>0</v>
      </c>
      <c r="AM51" s="21">
        <v>7300</v>
      </c>
      <c r="AN51" s="20">
        <v>0</v>
      </c>
      <c r="AO51" s="20">
        <v>0</v>
      </c>
      <c r="AP51" s="20">
        <v>0</v>
      </c>
      <c r="AQ51" s="20">
        <v>3</v>
      </c>
      <c r="AR51" s="21">
        <v>6000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2</v>
      </c>
      <c r="BD51" s="21">
        <v>3960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237.6</v>
      </c>
      <c r="BM51" s="22">
        <v>54660</v>
      </c>
      <c r="BN51" s="14">
        <f t="shared" si="2"/>
        <v>54422.400000000001</v>
      </c>
      <c r="BO51" s="15">
        <f t="shared" si="3"/>
        <v>38095.68</v>
      </c>
    </row>
    <row r="52" spans="1:67" ht="24" x14ac:dyDescent="0.3">
      <c r="A52" s="5" t="s">
        <v>52</v>
      </c>
      <c r="B52" s="18" t="s">
        <v>36</v>
      </c>
      <c r="C52" s="18">
        <v>470383</v>
      </c>
      <c r="D52" s="19"/>
      <c r="E52" s="18" t="s">
        <v>13</v>
      </c>
      <c r="F52" s="18" t="s">
        <v>37</v>
      </c>
      <c r="G52" s="18" t="s">
        <v>19</v>
      </c>
      <c r="H52" s="20" t="s">
        <v>21</v>
      </c>
      <c r="I52" s="20" t="s">
        <v>38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18</v>
      </c>
      <c r="AF52" s="21">
        <v>25700</v>
      </c>
      <c r="AG52" s="21">
        <v>6000</v>
      </c>
      <c r="AH52" s="20">
        <v>0</v>
      </c>
      <c r="AI52" s="20">
        <v>0</v>
      </c>
      <c r="AJ52" s="20">
        <v>0</v>
      </c>
      <c r="AK52" s="20">
        <v>5</v>
      </c>
      <c r="AL52" s="21">
        <v>4800</v>
      </c>
      <c r="AM52" s="21">
        <v>4500</v>
      </c>
      <c r="AN52" s="20">
        <v>0</v>
      </c>
      <c r="AO52" s="20">
        <v>0</v>
      </c>
      <c r="AP52" s="20">
        <v>0</v>
      </c>
      <c r="AQ52" s="20">
        <v>3</v>
      </c>
      <c r="AR52" s="21">
        <v>6000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4</v>
      </c>
      <c r="BD52" s="21">
        <v>4560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3">
        <v>1713.6</v>
      </c>
      <c r="BM52" s="22">
        <v>51560</v>
      </c>
      <c r="BN52" s="14">
        <f t="shared" si="2"/>
        <v>49846.400000000001</v>
      </c>
      <c r="BO52" s="15">
        <f t="shared" si="3"/>
        <v>34892.479999999996</v>
      </c>
    </row>
    <row r="53" spans="1:67" ht="24" x14ac:dyDescent="0.3">
      <c r="A53" s="5" t="s">
        <v>52</v>
      </c>
      <c r="B53" s="18" t="s">
        <v>142</v>
      </c>
      <c r="C53" s="18">
        <v>461353</v>
      </c>
      <c r="D53" s="19"/>
      <c r="E53" s="18" t="s">
        <v>13</v>
      </c>
      <c r="F53" s="18" t="s">
        <v>37</v>
      </c>
      <c r="G53" s="18" t="s">
        <v>19</v>
      </c>
      <c r="H53" s="20" t="s">
        <v>21</v>
      </c>
      <c r="I53" s="20" t="s">
        <v>143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12</v>
      </c>
      <c r="AF53" s="21">
        <v>17900</v>
      </c>
      <c r="AG53" s="21">
        <v>6000</v>
      </c>
      <c r="AH53" s="20">
        <v>0</v>
      </c>
      <c r="AI53" s="20">
        <v>0</v>
      </c>
      <c r="AJ53" s="20">
        <v>0</v>
      </c>
      <c r="AK53" s="20">
        <v>6</v>
      </c>
      <c r="AL53" s="21">
        <v>7320</v>
      </c>
      <c r="AM53" s="21">
        <v>4000</v>
      </c>
      <c r="AN53" s="20">
        <v>0</v>
      </c>
      <c r="AO53" s="20">
        <v>0</v>
      </c>
      <c r="AP53" s="20">
        <v>0</v>
      </c>
      <c r="AQ53" s="20">
        <v>3</v>
      </c>
      <c r="AR53" s="21">
        <v>6000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1</v>
      </c>
      <c r="BD53" s="21">
        <v>2400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3">
        <v>2340</v>
      </c>
      <c r="BM53" s="22">
        <v>43620</v>
      </c>
      <c r="BN53" s="14">
        <f t="shared" si="2"/>
        <v>41280</v>
      </c>
      <c r="BO53" s="15">
        <f t="shared" si="3"/>
        <v>28895.999999999996</v>
      </c>
    </row>
    <row r="54" spans="1:67" ht="24" x14ac:dyDescent="0.3">
      <c r="A54" s="5" t="s">
        <v>126</v>
      </c>
      <c r="B54" s="18" t="s">
        <v>163</v>
      </c>
      <c r="C54" s="18">
        <v>457677</v>
      </c>
      <c r="D54" s="19"/>
      <c r="E54" s="18" t="s">
        <v>13</v>
      </c>
      <c r="F54" s="18" t="s">
        <v>157</v>
      </c>
      <c r="G54" s="18" t="s">
        <v>19</v>
      </c>
      <c r="H54" s="20" t="s">
        <v>21</v>
      </c>
      <c r="I54" s="20" t="s">
        <v>143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8</v>
      </c>
      <c r="AF54" s="21">
        <v>14000</v>
      </c>
      <c r="AG54" s="21">
        <v>2000</v>
      </c>
      <c r="AH54" s="20">
        <v>0</v>
      </c>
      <c r="AI54" s="20">
        <v>0</v>
      </c>
      <c r="AJ54" s="20">
        <v>0</v>
      </c>
      <c r="AK54" s="20">
        <v>1</v>
      </c>
      <c r="AL54" s="20">
        <v>0</v>
      </c>
      <c r="AM54" s="21">
        <v>2000</v>
      </c>
      <c r="AN54" s="20">
        <v>0</v>
      </c>
      <c r="AO54" s="20">
        <v>0</v>
      </c>
      <c r="AP54" s="20">
        <v>0</v>
      </c>
      <c r="AQ54" s="20">
        <v>2</v>
      </c>
      <c r="AR54" s="21">
        <v>4000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2">
        <v>22000</v>
      </c>
      <c r="BN54" s="14">
        <f t="shared" si="2"/>
        <v>22000</v>
      </c>
      <c r="BO54" s="15">
        <f t="shared" si="3"/>
        <v>15399.999999999998</v>
      </c>
    </row>
    <row r="55" spans="1:67" ht="24" x14ac:dyDescent="0.3">
      <c r="A55" s="5" t="s">
        <v>52</v>
      </c>
      <c r="B55" s="18" t="s">
        <v>154</v>
      </c>
      <c r="C55" s="18">
        <v>467565</v>
      </c>
      <c r="D55" s="19"/>
      <c r="E55" s="18" t="s">
        <v>13</v>
      </c>
      <c r="F55" s="18" t="s">
        <v>155</v>
      </c>
      <c r="G55" s="18" t="s">
        <v>19</v>
      </c>
      <c r="H55" s="20" t="s">
        <v>21</v>
      </c>
      <c r="I55" s="20" t="s">
        <v>146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8</v>
      </c>
      <c r="AF55" s="21">
        <v>12400</v>
      </c>
      <c r="AG55" s="21">
        <v>4000</v>
      </c>
      <c r="AH55" s="20">
        <v>0</v>
      </c>
      <c r="AI55" s="20">
        <v>0</v>
      </c>
      <c r="AJ55" s="20">
        <v>0</v>
      </c>
      <c r="AK55" s="20">
        <v>1</v>
      </c>
      <c r="AL55" s="20">
        <v>0</v>
      </c>
      <c r="AM55" s="21">
        <v>2000</v>
      </c>
      <c r="AN55" s="20">
        <v>0</v>
      </c>
      <c r="AO55" s="20">
        <v>0</v>
      </c>
      <c r="AP55" s="20">
        <v>0</v>
      </c>
      <c r="AQ55" s="20">
        <v>1</v>
      </c>
      <c r="AR55" s="21">
        <v>2000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2">
        <v>20400</v>
      </c>
      <c r="BN55" s="14">
        <f t="shared" si="2"/>
        <v>20400</v>
      </c>
      <c r="BO55" s="15">
        <f t="shared" si="3"/>
        <v>14280</v>
      </c>
    </row>
    <row r="56" spans="1:67" ht="24" x14ac:dyDescent="0.3">
      <c r="A56" s="5" t="s">
        <v>52</v>
      </c>
      <c r="B56" s="18" t="s">
        <v>199</v>
      </c>
      <c r="C56" s="18">
        <v>485979</v>
      </c>
      <c r="D56" s="19"/>
      <c r="E56" s="18" t="s">
        <v>13</v>
      </c>
      <c r="F56" s="18" t="s">
        <v>128</v>
      </c>
      <c r="G56" s="18" t="s">
        <v>19</v>
      </c>
      <c r="H56" s="20" t="s">
        <v>7</v>
      </c>
      <c r="I56" s="20" t="s">
        <v>200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5</v>
      </c>
      <c r="AF56" s="21">
        <v>12000</v>
      </c>
      <c r="AG56" s="21">
        <v>3000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1</v>
      </c>
      <c r="BD56" s="21">
        <v>3600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216</v>
      </c>
      <c r="BM56" s="22">
        <v>18600</v>
      </c>
      <c r="BN56" s="14">
        <f t="shared" si="2"/>
        <v>18384</v>
      </c>
      <c r="BO56" s="15">
        <f t="shared" si="3"/>
        <v>12868.8</v>
      </c>
    </row>
    <row r="57" spans="1:67" ht="24" x14ac:dyDescent="0.3">
      <c r="A57" s="5" t="s">
        <v>52</v>
      </c>
      <c r="B57" s="18" t="s">
        <v>211</v>
      </c>
      <c r="C57" s="18">
        <v>470423</v>
      </c>
      <c r="D57" s="19"/>
      <c r="E57" s="18" t="s">
        <v>13</v>
      </c>
      <c r="F57" s="18" t="s">
        <v>34</v>
      </c>
      <c r="G57" s="18" t="s">
        <v>19</v>
      </c>
      <c r="H57" s="20" t="s">
        <v>21</v>
      </c>
      <c r="I57" s="20" t="s">
        <v>212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6</v>
      </c>
      <c r="AF57" s="21">
        <v>10100</v>
      </c>
      <c r="AG57" s="21">
        <v>1900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1</v>
      </c>
      <c r="AR57" s="21">
        <v>2000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2">
        <v>14000</v>
      </c>
      <c r="BN57" s="14">
        <f t="shared" si="2"/>
        <v>14000</v>
      </c>
      <c r="BO57" s="15">
        <f t="shared" si="3"/>
        <v>9800</v>
      </c>
    </row>
    <row r="58" spans="1:67" ht="24" x14ac:dyDescent="0.3">
      <c r="A58" s="5" t="s">
        <v>52</v>
      </c>
      <c r="B58" s="18" t="s">
        <v>136</v>
      </c>
      <c r="C58" s="18">
        <v>442667</v>
      </c>
      <c r="D58" s="19"/>
      <c r="E58" s="18" t="s">
        <v>13</v>
      </c>
      <c r="F58" s="18" t="s">
        <v>137</v>
      </c>
      <c r="G58" s="18" t="s">
        <v>23</v>
      </c>
      <c r="H58" s="20" t="s">
        <v>21</v>
      </c>
      <c r="I58" s="20" t="s">
        <v>138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4</v>
      </c>
      <c r="AF58" s="20">
        <v>0</v>
      </c>
      <c r="AG58" s="21">
        <v>5000</v>
      </c>
      <c r="AH58" s="20">
        <v>0</v>
      </c>
      <c r="AI58" s="20">
        <v>0</v>
      </c>
      <c r="AJ58" s="20">
        <v>0</v>
      </c>
      <c r="AK58" s="20">
        <v>3</v>
      </c>
      <c r="AL58" s="20">
        <v>0</v>
      </c>
      <c r="AM58" s="21">
        <v>7000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2">
        <v>12000</v>
      </c>
      <c r="BN58" s="14">
        <f t="shared" si="2"/>
        <v>12000</v>
      </c>
      <c r="BO58" s="15">
        <f t="shared" si="3"/>
        <v>8400</v>
      </c>
    </row>
    <row r="59" spans="1:67" ht="24" x14ac:dyDescent="0.3">
      <c r="A59" s="5" t="s">
        <v>52</v>
      </c>
      <c r="B59" s="18" t="s">
        <v>181</v>
      </c>
      <c r="C59" s="18">
        <v>483770</v>
      </c>
      <c r="D59" s="19"/>
      <c r="E59" s="18" t="s">
        <v>13</v>
      </c>
      <c r="F59" s="18" t="s">
        <v>34</v>
      </c>
      <c r="G59" s="18" t="s">
        <v>19</v>
      </c>
      <c r="H59" s="20" t="s">
        <v>21</v>
      </c>
      <c r="I59" s="20" t="s">
        <v>182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2</v>
      </c>
      <c r="AF59" s="21">
        <v>2000</v>
      </c>
      <c r="AG59" s="21">
        <v>1100</v>
      </c>
      <c r="AH59" s="20">
        <v>0</v>
      </c>
      <c r="AI59" s="20">
        <v>0</v>
      </c>
      <c r="AJ59" s="20">
        <v>0</v>
      </c>
      <c r="AK59" s="20">
        <v>2</v>
      </c>
      <c r="AL59" s="20">
        <v>0</v>
      </c>
      <c r="AM59" s="21">
        <v>2900</v>
      </c>
      <c r="AN59" s="20">
        <v>0</v>
      </c>
      <c r="AO59" s="20">
        <v>0</v>
      </c>
      <c r="AP59" s="20">
        <v>0</v>
      </c>
      <c r="AQ59" s="20">
        <v>1</v>
      </c>
      <c r="AR59" s="21">
        <v>2000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1</v>
      </c>
      <c r="BD59" s="21">
        <v>2400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144</v>
      </c>
      <c r="BM59" s="22">
        <v>10400</v>
      </c>
      <c r="BN59" s="14">
        <f t="shared" si="2"/>
        <v>10256</v>
      </c>
      <c r="BO59" s="15">
        <f t="shared" si="3"/>
        <v>7179.2</v>
      </c>
    </row>
    <row r="60" spans="1:67" ht="24" x14ac:dyDescent="0.3">
      <c r="A60" s="5" t="s">
        <v>52</v>
      </c>
      <c r="B60" s="18" t="s">
        <v>144</v>
      </c>
      <c r="C60" s="18">
        <v>468580</v>
      </c>
      <c r="D60" s="19"/>
      <c r="E60" s="18" t="s">
        <v>13</v>
      </c>
      <c r="F60" s="18" t="s">
        <v>145</v>
      </c>
      <c r="G60" s="18" t="s">
        <v>19</v>
      </c>
      <c r="H60" s="20" t="s">
        <v>21</v>
      </c>
      <c r="I60" s="20" t="s">
        <v>146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4</v>
      </c>
      <c r="AF60" s="21">
        <v>9700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1</v>
      </c>
      <c r="BJ60" s="20">
        <v>360</v>
      </c>
      <c r="BK60" s="20">
        <v>0</v>
      </c>
      <c r="BL60" s="20">
        <v>18</v>
      </c>
      <c r="BM60" s="22">
        <v>10060</v>
      </c>
      <c r="BN60" s="14">
        <f t="shared" si="2"/>
        <v>10042</v>
      </c>
      <c r="BO60" s="15">
        <f t="shared" si="3"/>
        <v>7029.4</v>
      </c>
    </row>
    <row r="61" spans="1:67" ht="24" x14ac:dyDescent="0.3">
      <c r="A61" s="5" t="s">
        <v>52</v>
      </c>
      <c r="B61" s="18" t="s">
        <v>147</v>
      </c>
      <c r="C61" s="18">
        <v>483769</v>
      </c>
      <c r="D61" s="19"/>
      <c r="E61" s="18" t="s">
        <v>13</v>
      </c>
      <c r="F61" s="18" t="s">
        <v>139</v>
      </c>
      <c r="G61" s="18" t="s">
        <v>19</v>
      </c>
      <c r="H61" s="20" t="s">
        <v>8</v>
      </c>
      <c r="I61" s="20" t="s">
        <v>148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4</v>
      </c>
      <c r="AF61" s="21">
        <v>10000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2">
        <v>10000</v>
      </c>
      <c r="BN61" s="14">
        <f t="shared" si="2"/>
        <v>10000</v>
      </c>
      <c r="BO61" s="15">
        <f t="shared" si="3"/>
        <v>7000</v>
      </c>
    </row>
    <row r="62" spans="1:67" ht="24" x14ac:dyDescent="0.3">
      <c r="A62" s="5" t="s">
        <v>52</v>
      </c>
      <c r="B62" s="18" t="s">
        <v>226</v>
      </c>
      <c r="C62" s="18">
        <v>485984</v>
      </c>
      <c r="D62" s="19"/>
      <c r="E62" s="18" t="s">
        <v>13</v>
      </c>
      <c r="F62" s="18" t="s">
        <v>189</v>
      </c>
      <c r="G62" s="18" t="s">
        <v>19</v>
      </c>
      <c r="H62" s="20" t="s">
        <v>21</v>
      </c>
      <c r="I62" s="20" t="s">
        <v>227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3</v>
      </c>
      <c r="AF62" s="21">
        <v>6400</v>
      </c>
      <c r="AG62" s="20">
        <v>300</v>
      </c>
      <c r="AH62" s="20">
        <v>0</v>
      </c>
      <c r="AI62" s="20">
        <v>0</v>
      </c>
      <c r="AJ62" s="20">
        <v>0</v>
      </c>
      <c r="AK62" s="20">
        <v>1</v>
      </c>
      <c r="AL62" s="20">
        <v>0</v>
      </c>
      <c r="AM62" s="21">
        <v>2900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2">
        <v>9600</v>
      </c>
      <c r="BN62" s="14">
        <f t="shared" si="2"/>
        <v>9600</v>
      </c>
      <c r="BO62" s="15">
        <f t="shared" si="3"/>
        <v>6720</v>
      </c>
    </row>
    <row r="63" spans="1:67" ht="24" x14ac:dyDescent="0.3">
      <c r="A63" s="5" t="s">
        <v>52</v>
      </c>
      <c r="B63" s="18" t="s">
        <v>228</v>
      </c>
      <c r="C63" s="18">
        <v>457534</v>
      </c>
      <c r="D63" s="19"/>
      <c r="E63" s="18" t="s">
        <v>13</v>
      </c>
      <c r="F63" s="18" t="s">
        <v>34</v>
      </c>
      <c r="G63" s="18" t="s">
        <v>19</v>
      </c>
      <c r="H63" s="20" t="s">
        <v>21</v>
      </c>
      <c r="I63" s="20" t="s">
        <v>229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2</v>
      </c>
      <c r="AF63" s="21">
        <v>4240</v>
      </c>
      <c r="AG63" s="20">
        <v>0</v>
      </c>
      <c r="AH63" s="20">
        <v>0</v>
      </c>
      <c r="AI63" s="20">
        <v>0</v>
      </c>
      <c r="AJ63" s="20">
        <v>0</v>
      </c>
      <c r="AK63" s="20">
        <v>1</v>
      </c>
      <c r="AL63" s="20">
        <v>0</v>
      </c>
      <c r="AM63" s="21">
        <v>2000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1</v>
      </c>
      <c r="BD63" s="21">
        <v>2400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144</v>
      </c>
      <c r="BM63" s="22">
        <v>8640</v>
      </c>
      <c r="BN63" s="14">
        <f t="shared" si="2"/>
        <v>8496</v>
      </c>
      <c r="BO63" s="15">
        <f t="shared" si="3"/>
        <v>5947.2</v>
      </c>
    </row>
    <row r="64" spans="1:67" ht="24" x14ac:dyDescent="0.3">
      <c r="A64" s="5" t="s">
        <v>52</v>
      </c>
      <c r="B64" s="18" t="s">
        <v>29</v>
      </c>
      <c r="C64" s="18">
        <v>457533</v>
      </c>
      <c r="D64" s="19"/>
      <c r="E64" s="18" t="s">
        <v>13</v>
      </c>
      <c r="F64" s="18" t="s">
        <v>30</v>
      </c>
      <c r="G64" s="18" t="s">
        <v>19</v>
      </c>
      <c r="H64" s="20" t="s">
        <v>21</v>
      </c>
      <c r="I64" s="20" t="s">
        <v>31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3</v>
      </c>
      <c r="AF64" s="21">
        <v>5300</v>
      </c>
      <c r="AG64" s="20">
        <v>0</v>
      </c>
      <c r="AH64" s="20">
        <v>0</v>
      </c>
      <c r="AI64" s="20">
        <v>0</v>
      </c>
      <c r="AJ64" s="20">
        <v>0</v>
      </c>
      <c r="AK64" s="20">
        <v>1</v>
      </c>
      <c r="AL64" s="20">
        <v>0</v>
      </c>
      <c r="AM64" s="21">
        <v>2200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2">
        <v>7500</v>
      </c>
      <c r="BN64" s="14">
        <f t="shared" si="2"/>
        <v>7500</v>
      </c>
      <c r="BO64" s="15">
        <f t="shared" si="3"/>
        <v>5250</v>
      </c>
    </row>
    <row r="65" spans="1:67" ht="24" x14ac:dyDescent="0.3">
      <c r="A65" s="5" t="s">
        <v>52</v>
      </c>
      <c r="B65" s="18" t="s">
        <v>190</v>
      </c>
      <c r="C65" s="18">
        <v>387161</v>
      </c>
      <c r="D65" s="19"/>
      <c r="E65" s="18" t="s">
        <v>13</v>
      </c>
      <c r="F65" s="18" t="s">
        <v>191</v>
      </c>
      <c r="G65" s="18" t="s">
        <v>192</v>
      </c>
      <c r="H65" s="20" t="s">
        <v>21</v>
      </c>
      <c r="I65" s="20" t="s">
        <v>193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1</v>
      </c>
      <c r="AF65" s="21">
        <v>1500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2</v>
      </c>
      <c r="AR65" s="21">
        <v>4400</v>
      </c>
      <c r="AS65" s="20">
        <v>500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2">
        <v>6400</v>
      </c>
      <c r="BN65" s="14">
        <f t="shared" si="2"/>
        <v>6400</v>
      </c>
      <c r="BO65" s="15">
        <f t="shared" si="3"/>
        <v>4480</v>
      </c>
    </row>
    <row r="66" spans="1:67" ht="24" x14ac:dyDescent="0.3">
      <c r="A66" s="5" t="s">
        <v>52</v>
      </c>
      <c r="B66" s="18" t="s">
        <v>17</v>
      </c>
      <c r="C66" s="18">
        <v>464786</v>
      </c>
      <c r="D66" s="19"/>
      <c r="E66" s="18" t="s">
        <v>13</v>
      </c>
      <c r="F66" s="18" t="s">
        <v>18</v>
      </c>
      <c r="G66" s="18" t="s">
        <v>19</v>
      </c>
      <c r="H66" s="20" t="s">
        <v>9</v>
      </c>
      <c r="I66" s="20" t="s">
        <v>20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2</v>
      </c>
      <c r="AF66" s="21">
        <v>5000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2">
        <v>5000</v>
      </c>
      <c r="BN66" s="14">
        <f t="shared" si="2"/>
        <v>5000</v>
      </c>
      <c r="BO66" s="15">
        <f t="shared" si="3"/>
        <v>3500</v>
      </c>
    </row>
    <row r="67" spans="1:67" ht="24" x14ac:dyDescent="0.3">
      <c r="A67" s="5" t="s">
        <v>52</v>
      </c>
      <c r="B67" s="18" t="s">
        <v>230</v>
      </c>
      <c r="C67" s="18">
        <v>317429</v>
      </c>
      <c r="D67" s="19"/>
      <c r="E67" s="18" t="s">
        <v>13</v>
      </c>
      <c r="F67" s="18" t="s">
        <v>22</v>
      </c>
      <c r="G67" s="18" t="s">
        <v>23</v>
      </c>
      <c r="H67" s="20" t="s">
        <v>8</v>
      </c>
      <c r="I67" s="20" t="s">
        <v>231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1</v>
      </c>
      <c r="AR67" s="21">
        <v>4400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2">
        <v>4400</v>
      </c>
      <c r="BN67" s="14">
        <f t="shared" si="2"/>
        <v>4400</v>
      </c>
      <c r="BO67" s="15">
        <f t="shared" si="3"/>
        <v>3080</v>
      </c>
    </row>
    <row r="68" spans="1:67" ht="24" x14ac:dyDescent="0.3">
      <c r="A68" s="5" t="s">
        <v>52</v>
      </c>
      <c r="B68" s="18" t="s">
        <v>27</v>
      </c>
      <c r="C68" s="18">
        <v>461347</v>
      </c>
      <c r="D68" s="19"/>
      <c r="E68" s="18" t="s">
        <v>13</v>
      </c>
      <c r="F68" s="18" t="s">
        <v>24</v>
      </c>
      <c r="G68" s="18" t="s">
        <v>19</v>
      </c>
      <c r="H68" s="20" t="s">
        <v>21</v>
      </c>
      <c r="I68" s="20" t="s">
        <v>28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1</v>
      </c>
      <c r="AF68" s="21">
        <v>2000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1</v>
      </c>
      <c r="AX68" s="21">
        <v>2400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240</v>
      </c>
      <c r="BM68" s="22">
        <v>4400</v>
      </c>
      <c r="BN68" s="14">
        <f t="shared" si="2"/>
        <v>4160</v>
      </c>
      <c r="BO68" s="15">
        <f t="shared" si="3"/>
        <v>2912</v>
      </c>
    </row>
    <row r="69" spans="1:67" ht="24" x14ac:dyDescent="0.3">
      <c r="A69" s="5" t="s">
        <v>52</v>
      </c>
      <c r="B69" s="18" t="s">
        <v>149</v>
      </c>
      <c r="C69" s="18">
        <v>467557</v>
      </c>
      <c r="D69" s="19"/>
      <c r="E69" s="18" t="s">
        <v>13</v>
      </c>
      <c r="F69" s="18" t="s">
        <v>150</v>
      </c>
      <c r="G69" s="18" t="s">
        <v>19</v>
      </c>
      <c r="H69" s="20" t="s">
        <v>21</v>
      </c>
      <c r="I69" s="20" t="s">
        <v>151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1</v>
      </c>
      <c r="AF69" s="21">
        <v>2000</v>
      </c>
      <c r="AG69" s="20">
        <v>0</v>
      </c>
      <c r="AH69" s="20">
        <v>0</v>
      </c>
      <c r="AI69" s="20">
        <v>0</v>
      </c>
      <c r="AJ69" s="20">
        <v>0</v>
      </c>
      <c r="AK69" s="20">
        <v>1</v>
      </c>
      <c r="AL69" s="20">
        <v>0</v>
      </c>
      <c r="AM69" s="21">
        <v>2000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2">
        <v>4000</v>
      </c>
      <c r="BN69" s="14">
        <f t="shared" si="2"/>
        <v>4000</v>
      </c>
      <c r="BO69" s="15">
        <f t="shared" si="3"/>
        <v>2800</v>
      </c>
    </row>
    <row r="70" spans="1:67" ht="24" x14ac:dyDescent="0.3">
      <c r="A70" s="5" t="s">
        <v>52</v>
      </c>
      <c r="B70" s="18" t="s">
        <v>232</v>
      </c>
      <c r="C70" s="18">
        <v>368459</v>
      </c>
      <c r="D70" s="19"/>
      <c r="E70" s="18" t="s">
        <v>13</v>
      </c>
      <c r="F70" s="18" t="s">
        <v>112</v>
      </c>
      <c r="G70" s="18" t="s">
        <v>113</v>
      </c>
      <c r="H70" s="20" t="s">
        <v>21</v>
      </c>
      <c r="I70" s="20" t="s">
        <v>180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1</v>
      </c>
      <c r="AF70" s="21">
        <v>4000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2">
        <v>4000</v>
      </c>
      <c r="BN70" s="14">
        <f t="shared" si="2"/>
        <v>4000</v>
      </c>
      <c r="BO70" s="15">
        <f t="shared" si="3"/>
        <v>2800</v>
      </c>
    </row>
    <row r="71" spans="1:67" ht="24" x14ac:dyDescent="0.3">
      <c r="A71" s="5" t="s">
        <v>52</v>
      </c>
      <c r="B71" s="18" t="s">
        <v>118</v>
      </c>
      <c r="C71" s="18">
        <v>477489</v>
      </c>
      <c r="D71" s="19"/>
      <c r="E71" s="18" t="s">
        <v>13</v>
      </c>
      <c r="F71" s="18" t="s">
        <v>119</v>
      </c>
      <c r="G71" s="18" t="s">
        <v>19</v>
      </c>
      <c r="H71" s="20" t="s">
        <v>21</v>
      </c>
      <c r="I71" s="20" t="s">
        <v>115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1</v>
      </c>
      <c r="AF71" s="21">
        <v>2000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1</v>
      </c>
      <c r="AR71" s="21">
        <v>2000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2">
        <v>4000</v>
      </c>
      <c r="BN71" s="14">
        <f t="shared" si="2"/>
        <v>4000</v>
      </c>
      <c r="BO71" s="15">
        <f t="shared" si="3"/>
        <v>2800</v>
      </c>
    </row>
    <row r="72" spans="1:67" ht="24" x14ac:dyDescent="0.3">
      <c r="A72" s="5" t="s">
        <v>52</v>
      </c>
      <c r="B72" s="18" t="s">
        <v>185</v>
      </c>
      <c r="C72" s="18">
        <v>472519</v>
      </c>
      <c r="D72" s="19"/>
      <c r="E72" s="18" t="s">
        <v>13</v>
      </c>
      <c r="F72" s="18" t="s">
        <v>186</v>
      </c>
      <c r="G72" s="18" t="s">
        <v>19</v>
      </c>
      <c r="H72" s="20" t="s">
        <v>7</v>
      </c>
      <c r="I72" s="20" t="s">
        <v>187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1</v>
      </c>
      <c r="AF72" s="21">
        <v>1300</v>
      </c>
      <c r="AG72" s="21">
        <v>2100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1</v>
      </c>
      <c r="AR72" s="20">
        <v>0</v>
      </c>
      <c r="AS72" s="20">
        <v>200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2">
        <v>3600</v>
      </c>
      <c r="BN72" s="14">
        <f t="shared" si="2"/>
        <v>3600</v>
      </c>
      <c r="BO72" s="15">
        <f t="shared" si="3"/>
        <v>2520</v>
      </c>
    </row>
    <row r="73" spans="1:67" ht="24" x14ac:dyDescent="0.3">
      <c r="A73" s="5" t="s">
        <v>52</v>
      </c>
      <c r="B73" s="18" t="s">
        <v>183</v>
      </c>
      <c r="C73" s="18">
        <v>474768</v>
      </c>
      <c r="D73" s="19"/>
      <c r="E73" s="18" t="s">
        <v>13</v>
      </c>
      <c r="F73" s="18" t="s">
        <v>111</v>
      </c>
      <c r="G73" s="18" t="s">
        <v>19</v>
      </c>
      <c r="H73" s="20" t="s">
        <v>21</v>
      </c>
      <c r="I73" s="20" t="s">
        <v>184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1</v>
      </c>
      <c r="AL73" s="20">
        <v>0</v>
      </c>
      <c r="AM73" s="21">
        <v>3500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2">
        <v>3500</v>
      </c>
      <c r="BN73" s="14">
        <f t="shared" si="2"/>
        <v>3500</v>
      </c>
      <c r="BO73" s="15">
        <f t="shared" si="3"/>
        <v>2450</v>
      </c>
    </row>
    <row r="74" spans="1:67" ht="24" x14ac:dyDescent="0.3">
      <c r="A74" s="5" t="s">
        <v>52</v>
      </c>
      <c r="B74" s="18" t="s">
        <v>32</v>
      </c>
      <c r="C74" s="18">
        <v>395231</v>
      </c>
      <c r="D74" s="19"/>
      <c r="E74" s="18" t="s">
        <v>13</v>
      </c>
      <c r="F74" s="18" t="s">
        <v>22</v>
      </c>
      <c r="G74" s="18" t="s">
        <v>23</v>
      </c>
      <c r="H74" s="20" t="s">
        <v>21</v>
      </c>
      <c r="I74" s="20" t="s">
        <v>33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1</v>
      </c>
      <c r="AR74" s="21">
        <v>3500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2">
        <v>3500</v>
      </c>
      <c r="BN74" s="14">
        <f t="shared" si="2"/>
        <v>3500</v>
      </c>
      <c r="BO74" s="15">
        <f t="shared" si="3"/>
        <v>2450</v>
      </c>
    </row>
    <row r="75" spans="1:67" ht="24" x14ac:dyDescent="0.3">
      <c r="A75" s="5" t="s">
        <v>52</v>
      </c>
      <c r="B75" s="18" t="s">
        <v>188</v>
      </c>
      <c r="C75" s="18">
        <v>467552</v>
      </c>
      <c r="D75" s="19"/>
      <c r="E75" s="18" t="s">
        <v>13</v>
      </c>
      <c r="F75" s="18" t="s">
        <v>189</v>
      </c>
      <c r="G75" s="18" t="s">
        <v>19</v>
      </c>
      <c r="H75" s="20" t="s">
        <v>21</v>
      </c>
      <c r="I75" s="20" t="s">
        <v>151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1</v>
      </c>
      <c r="AF75" s="20">
        <v>0</v>
      </c>
      <c r="AG75" s="21">
        <v>3200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2">
        <v>3200</v>
      </c>
      <c r="BN75" s="14">
        <f t="shared" si="2"/>
        <v>3200</v>
      </c>
      <c r="BO75" s="15">
        <f t="shared" si="3"/>
        <v>2240</v>
      </c>
    </row>
    <row r="76" spans="1:67" ht="24" x14ac:dyDescent="0.3">
      <c r="A76" s="5" t="s">
        <v>52</v>
      </c>
      <c r="B76" s="18" t="s">
        <v>233</v>
      </c>
      <c r="C76" s="18">
        <v>360498</v>
      </c>
      <c r="D76" s="19"/>
      <c r="E76" s="18" t="s">
        <v>13</v>
      </c>
      <c r="F76" s="18" t="s">
        <v>234</v>
      </c>
      <c r="G76" s="18" t="s">
        <v>235</v>
      </c>
      <c r="H76" s="20" t="s">
        <v>21</v>
      </c>
      <c r="I76" s="20" t="s">
        <v>236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1">
        <v>3200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2">
        <v>3200</v>
      </c>
      <c r="BN76" s="14">
        <f t="shared" si="2"/>
        <v>3200</v>
      </c>
      <c r="BO76" s="15">
        <f t="shared" si="3"/>
        <v>2240</v>
      </c>
    </row>
    <row r="77" spans="1:67" ht="24" x14ac:dyDescent="0.3">
      <c r="A77" s="5" t="s">
        <v>52</v>
      </c>
      <c r="B77" s="18" t="s">
        <v>120</v>
      </c>
      <c r="C77" s="18">
        <v>459229</v>
      </c>
      <c r="D77" s="19"/>
      <c r="E77" s="18" t="s">
        <v>13</v>
      </c>
      <c r="F77" s="18" t="s">
        <v>111</v>
      </c>
      <c r="G77" s="18" t="s">
        <v>19</v>
      </c>
      <c r="H77" s="20" t="s">
        <v>21</v>
      </c>
      <c r="I77" s="20" t="s">
        <v>121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1</v>
      </c>
      <c r="AF77" s="21">
        <v>3000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2">
        <v>3000</v>
      </c>
      <c r="BN77" s="14">
        <f t="shared" si="2"/>
        <v>3000</v>
      </c>
      <c r="BO77" s="15">
        <f t="shared" si="3"/>
        <v>2100</v>
      </c>
    </row>
    <row r="78" spans="1:67" ht="24" x14ac:dyDescent="0.3">
      <c r="A78" s="5" t="s">
        <v>52</v>
      </c>
      <c r="B78" s="18" t="s">
        <v>194</v>
      </c>
      <c r="C78" s="18">
        <v>457068</v>
      </c>
      <c r="D78" s="19"/>
      <c r="E78" s="18" t="s">
        <v>13</v>
      </c>
      <c r="F78" s="18" t="s">
        <v>145</v>
      </c>
      <c r="G78" s="18" t="s">
        <v>19</v>
      </c>
      <c r="H78" s="20" t="s">
        <v>21</v>
      </c>
      <c r="I78" s="20" t="s">
        <v>195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1</v>
      </c>
      <c r="AF78" s="21">
        <v>2500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2">
        <v>2500</v>
      </c>
      <c r="BN78" s="14">
        <f t="shared" si="2"/>
        <v>2500</v>
      </c>
      <c r="BO78" s="15">
        <f t="shared" si="3"/>
        <v>1750</v>
      </c>
    </row>
    <row r="79" spans="1:67" ht="24" x14ac:dyDescent="0.3">
      <c r="A79" s="5" t="s">
        <v>52</v>
      </c>
      <c r="B79" s="18" t="s">
        <v>132</v>
      </c>
      <c r="C79" s="18">
        <v>472518</v>
      </c>
      <c r="D79" s="19"/>
      <c r="E79" s="18" t="s">
        <v>13</v>
      </c>
      <c r="F79" s="18" t="s">
        <v>133</v>
      </c>
      <c r="G79" s="18" t="s">
        <v>19</v>
      </c>
      <c r="H79" s="20" t="s">
        <v>21</v>
      </c>
      <c r="I79" s="20" t="s">
        <v>134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1</v>
      </c>
      <c r="AF79" s="21">
        <v>2500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2">
        <v>2500</v>
      </c>
      <c r="BN79" s="14">
        <f t="shared" si="2"/>
        <v>2500</v>
      </c>
      <c r="BO79" s="15">
        <f t="shared" si="3"/>
        <v>1750</v>
      </c>
    </row>
    <row r="80" spans="1:67" ht="24" x14ac:dyDescent="0.3">
      <c r="A80" s="5" t="s">
        <v>52</v>
      </c>
      <c r="B80" s="18" t="s">
        <v>127</v>
      </c>
      <c r="C80" s="18">
        <v>468582</v>
      </c>
      <c r="D80" s="19"/>
      <c r="E80" s="18" t="s">
        <v>13</v>
      </c>
      <c r="F80" s="18" t="s">
        <v>128</v>
      </c>
      <c r="G80" s="18" t="s">
        <v>19</v>
      </c>
      <c r="H80" s="20" t="s">
        <v>9</v>
      </c>
      <c r="I80" s="20" t="s">
        <v>129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1</v>
      </c>
      <c r="AF80" s="20">
        <v>500</v>
      </c>
      <c r="AG80" s="21">
        <v>2000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2">
        <v>2500</v>
      </c>
      <c r="BN80" s="14">
        <f t="shared" si="2"/>
        <v>2500</v>
      </c>
      <c r="BO80" s="15">
        <f t="shared" si="3"/>
        <v>1750</v>
      </c>
    </row>
    <row r="81" spans="1:67" ht="24" x14ac:dyDescent="0.3">
      <c r="A81" s="5" t="s">
        <v>52</v>
      </c>
      <c r="B81" s="18" t="s">
        <v>165</v>
      </c>
      <c r="C81" s="18">
        <v>464785</v>
      </c>
      <c r="D81" s="19"/>
      <c r="E81" s="18" t="s">
        <v>13</v>
      </c>
      <c r="F81" s="18" t="s">
        <v>45</v>
      </c>
      <c r="G81" s="18" t="s">
        <v>19</v>
      </c>
      <c r="H81" s="20" t="s">
        <v>21</v>
      </c>
      <c r="I81" s="20" t="s">
        <v>143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1</v>
      </c>
      <c r="AR81" s="21">
        <v>2500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2">
        <v>2500</v>
      </c>
      <c r="BN81" s="14">
        <f t="shared" si="2"/>
        <v>2500</v>
      </c>
      <c r="BO81" s="15">
        <f t="shared" si="3"/>
        <v>1750</v>
      </c>
    </row>
    <row r="82" spans="1:67" ht="24" x14ac:dyDescent="0.3">
      <c r="A82" s="5" t="s">
        <v>52</v>
      </c>
      <c r="B82" s="18" t="s">
        <v>237</v>
      </c>
      <c r="C82" s="18">
        <v>457239</v>
      </c>
      <c r="D82" s="19"/>
      <c r="E82" s="18" t="s">
        <v>13</v>
      </c>
      <c r="F82" s="18" t="s">
        <v>44</v>
      </c>
      <c r="G82" s="18" t="s">
        <v>19</v>
      </c>
      <c r="H82" s="20" t="s">
        <v>21</v>
      </c>
      <c r="I82" s="20" t="s">
        <v>238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1</v>
      </c>
      <c r="AF82" s="21">
        <v>2000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2">
        <v>2000</v>
      </c>
      <c r="BN82" s="14">
        <f t="shared" si="2"/>
        <v>2000</v>
      </c>
      <c r="BO82" s="15">
        <f t="shared" si="3"/>
        <v>1400</v>
      </c>
    </row>
    <row r="83" spans="1:67" ht="24" x14ac:dyDescent="0.3">
      <c r="A83" s="5" t="s">
        <v>52</v>
      </c>
      <c r="B83" s="18" t="s">
        <v>239</v>
      </c>
      <c r="C83" s="18">
        <v>474765</v>
      </c>
      <c r="D83" s="19"/>
      <c r="E83" s="18" t="s">
        <v>13</v>
      </c>
      <c r="F83" s="18" t="s">
        <v>44</v>
      </c>
      <c r="G83" s="18" t="s">
        <v>19</v>
      </c>
      <c r="H83" s="20" t="s">
        <v>21</v>
      </c>
      <c r="I83" s="20" t="s">
        <v>240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1</v>
      </c>
      <c r="AF83" s="21">
        <v>2000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2">
        <v>2000</v>
      </c>
      <c r="BN83" s="14">
        <f t="shared" si="2"/>
        <v>2000</v>
      </c>
      <c r="BO83" s="15">
        <f t="shared" si="3"/>
        <v>1400</v>
      </c>
    </row>
    <row r="84" spans="1:67" ht="24" x14ac:dyDescent="0.3">
      <c r="A84" s="5" t="s">
        <v>52</v>
      </c>
      <c r="B84" s="18" t="s">
        <v>241</v>
      </c>
      <c r="C84" s="18">
        <v>461351</v>
      </c>
      <c r="D84" s="19"/>
      <c r="E84" s="18" t="s">
        <v>13</v>
      </c>
      <c r="F84" s="18" t="s">
        <v>169</v>
      </c>
      <c r="G84" s="18" t="s">
        <v>19</v>
      </c>
      <c r="H84" s="20" t="s">
        <v>21</v>
      </c>
      <c r="I84" s="20" t="s">
        <v>242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1</v>
      </c>
      <c r="AL84" s="21">
        <v>1800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540</v>
      </c>
      <c r="BM84" s="22">
        <v>1800</v>
      </c>
      <c r="BN84" s="14">
        <f t="shared" si="2"/>
        <v>1260</v>
      </c>
      <c r="BO84" s="15">
        <f t="shared" si="3"/>
        <v>882</v>
      </c>
    </row>
    <row r="85" spans="1:67" ht="24" x14ac:dyDescent="0.3">
      <c r="A85" s="5" t="s">
        <v>52</v>
      </c>
      <c r="B85" s="18" t="s">
        <v>168</v>
      </c>
      <c r="C85" s="18">
        <v>467564</v>
      </c>
      <c r="D85" s="19"/>
      <c r="E85" s="18" t="s">
        <v>13</v>
      </c>
      <c r="F85" s="18" t="s">
        <v>169</v>
      </c>
      <c r="G85" s="18" t="s">
        <v>19</v>
      </c>
      <c r="H85" s="20" t="s">
        <v>21</v>
      </c>
      <c r="I85" s="20" t="s">
        <v>170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1</v>
      </c>
      <c r="AL85" s="21">
        <v>1800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540</v>
      </c>
      <c r="BM85" s="22">
        <v>1800</v>
      </c>
      <c r="BN85" s="14">
        <f t="shared" si="2"/>
        <v>1260</v>
      </c>
      <c r="BO85" s="15">
        <f t="shared" si="3"/>
        <v>882</v>
      </c>
    </row>
    <row r="86" spans="1:67" ht="24" x14ac:dyDescent="0.3">
      <c r="A86" s="5" t="s">
        <v>52</v>
      </c>
      <c r="B86" s="18" t="s">
        <v>140</v>
      </c>
      <c r="C86" s="18">
        <v>324393</v>
      </c>
      <c r="D86" s="19"/>
      <c r="E86" s="18" t="s">
        <v>13</v>
      </c>
      <c r="F86" s="18" t="s">
        <v>135</v>
      </c>
      <c r="G86" s="18" t="s">
        <v>122</v>
      </c>
      <c r="H86" s="20" t="s">
        <v>21</v>
      </c>
      <c r="I86" s="20" t="s">
        <v>141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1</v>
      </c>
      <c r="AF86" s="21">
        <v>1000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2">
        <v>1000</v>
      </c>
      <c r="BN86" s="14">
        <f t="shared" si="2"/>
        <v>1000</v>
      </c>
      <c r="BO86" s="15">
        <f t="shared" si="3"/>
        <v>700</v>
      </c>
    </row>
    <row r="87" spans="1:67" ht="24" x14ac:dyDescent="0.3">
      <c r="A87" s="5" t="s">
        <v>52</v>
      </c>
      <c r="B87" s="18" t="s">
        <v>197</v>
      </c>
      <c r="C87" s="18">
        <v>465998</v>
      </c>
      <c r="D87" s="19"/>
      <c r="E87" s="18" t="s">
        <v>13</v>
      </c>
      <c r="F87" s="18" t="s">
        <v>14</v>
      </c>
      <c r="G87" s="18" t="s">
        <v>15</v>
      </c>
      <c r="H87" s="20" t="s">
        <v>9</v>
      </c>
      <c r="I87" s="20" t="s">
        <v>198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1</v>
      </c>
      <c r="AC87" s="20">
        <v>0</v>
      </c>
      <c r="AD87" s="20">
        <v>400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1</v>
      </c>
      <c r="BA87" s="20">
        <v>600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36</v>
      </c>
      <c r="BM87" s="22">
        <v>1000</v>
      </c>
      <c r="BN87" s="14">
        <f t="shared" si="2"/>
        <v>964</v>
      </c>
      <c r="BO87" s="15">
        <f t="shared" si="3"/>
        <v>674.8</v>
      </c>
    </row>
    <row r="88" spans="1:67" ht="24" x14ac:dyDescent="0.3">
      <c r="A88" s="5" t="s">
        <v>52</v>
      </c>
      <c r="B88" s="18" t="s">
        <v>35</v>
      </c>
      <c r="C88" s="18">
        <v>395237</v>
      </c>
      <c r="D88" s="19"/>
      <c r="E88" s="18" t="s">
        <v>13</v>
      </c>
      <c r="F88" s="18" t="s">
        <v>22</v>
      </c>
      <c r="G88" s="18" t="s">
        <v>23</v>
      </c>
      <c r="H88" s="20" t="s">
        <v>21</v>
      </c>
      <c r="I88" s="20" t="s">
        <v>33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1</v>
      </c>
      <c r="AF88" s="20">
        <v>200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4">
        <v>200</v>
      </c>
      <c r="BN88" s="14">
        <f t="shared" si="2"/>
        <v>200</v>
      </c>
      <c r="BO88" s="15">
        <f t="shared" si="3"/>
        <v>140</v>
      </c>
    </row>
    <row r="89" spans="1:67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8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  <c r="BO89" s="17">
        <f>SUM(BO2:BO88)</f>
        <v>473935.56</v>
      </c>
    </row>
    <row r="90" spans="1:67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8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7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7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7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7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8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7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7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8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8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1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1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1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1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1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1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1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1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1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1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1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1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1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1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8"/>
      <c r="AH126" s="7"/>
      <c r="AI126" s="7"/>
      <c r="AJ126" s="7"/>
      <c r="AK126" s="7"/>
      <c r="AL126" s="8"/>
      <c r="AM126" s="8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9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8"/>
      <c r="AD127" s="7"/>
      <c r="AE127" s="7"/>
      <c r="AF127" s="7"/>
      <c r="AG127" s="7"/>
      <c r="AH127" s="7"/>
      <c r="AI127" s="8"/>
      <c r="AJ127" s="7"/>
      <c r="AK127" s="7"/>
      <c r="AL127" s="7"/>
      <c r="AM127" s="7"/>
      <c r="AN127" s="7"/>
      <c r="AO127" s="8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8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9"/>
      <c r="BM128" s="10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7"/>
      <c r="AH129" s="7"/>
      <c r="AI129" s="7"/>
      <c r="AJ129" s="7"/>
      <c r="AK129" s="7"/>
      <c r="AL129" s="8"/>
      <c r="AM129" s="8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9"/>
      <c r="BM129" s="10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8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9"/>
      <c r="BM130" s="10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8"/>
      <c r="AM131" s="7"/>
      <c r="AN131" s="7"/>
      <c r="AO131" s="7"/>
      <c r="AP131" s="7"/>
      <c r="AQ131" s="7"/>
      <c r="AR131" s="8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9"/>
      <c r="BM131" s="10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8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8"/>
      <c r="AM133" s="8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8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8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8"/>
      <c r="AH136" s="7"/>
      <c r="AI136" s="7"/>
      <c r="AJ136" s="7"/>
      <c r="AK136" s="7"/>
      <c r="AL136" s="8"/>
      <c r="AM136" s="8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8"/>
      <c r="AM137" s="8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9"/>
      <c r="BM137" s="10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8"/>
      <c r="AM138" s="8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8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9"/>
      <c r="BM139" s="10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8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9"/>
      <c r="BM140" s="10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8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8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9"/>
      <c r="BM142" s="10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8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8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8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8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8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8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8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8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8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8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8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1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1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1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1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1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8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1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1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1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1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1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1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1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1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1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1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1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1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1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1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1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1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1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1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1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1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8"/>
      <c r="L235" s="8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8"/>
      <c r="AF235" s="8"/>
      <c r="AG235" s="8"/>
      <c r="AH235" s="7"/>
      <c r="AI235" s="7"/>
      <c r="AJ235" s="7"/>
      <c r="AK235" s="8"/>
      <c r="AL235" s="8"/>
      <c r="AM235" s="8"/>
      <c r="AN235" s="7"/>
      <c r="AO235" s="7"/>
      <c r="AP235" s="7"/>
      <c r="AQ235" s="8"/>
      <c r="AR235" s="8"/>
      <c r="AS235" s="8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9"/>
      <c r="BM235" s="10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8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8"/>
      <c r="AF236" s="8"/>
      <c r="AG236" s="8"/>
      <c r="AH236" s="7"/>
      <c r="AI236" s="7"/>
      <c r="AJ236" s="7"/>
      <c r="AK236" s="8"/>
      <c r="AL236" s="8"/>
      <c r="AM236" s="8"/>
      <c r="AN236" s="7"/>
      <c r="AO236" s="7"/>
      <c r="AP236" s="7"/>
      <c r="AQ236" s="7"/>
      <c r="AR236" s="8"/>
      <c r="AS236" s="8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9"/>
      <c r="BM236" s="10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8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8"/>
      <c r="AF237" s="8"/>
      <c r="AG237" s="8"/>
      <c r="AH237" s="7"/>
      <c r="AI237" s="7"/>
      <c r="AJ237" s="7"/>
      <c r="AK237" s="8"/>
      <c r="AL237" s="8"/>
      <c r="AM237" s="8"/>
      <c r="AN237" s="7"/>
      <c r="AO237" s="7"/>
      <c r="AP237" s="7"/>
      <c r="AQ237" s="8"/>
      <c r="AR237" s="8"/>
      <c r="AS237" s="8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9"/>
      <c r="BM237" s="10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8"/>
      <c r="AF238" s="8"/>
      <c r="AG238" s="8"/>
      <c r="AH238" s="7"/>
      <c r="AI238" s="7"/>
      <c r="AJ238" s="7"/>
      <c r="AK238" s="8"/>
      <c r="AL238" s="8"/>
      <c r="AM238" s="8"/>
      <c r="AN238" s="7"/>
      <c r="AO238" s="7"/>
      <c r="AP238" s="7"/>
      <c r="AQ238" s="8"/>
      <c r="AR238" s="8"/>
      <c r="AS238" s="8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9"/>
      <c r="BM238" s="10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8"/>
      <c r="AH239" s="7"/>
      <c r="AI239" s="7"/>
      <c r="AJ239" s="7"/>
      <c r="AK239" s="7"/>
      <c r="AL239" s="8"/>
      <c r="AM239" s="8"/>
      <c r="AN239" s="7"/>
      <c r="AO239" s="7"/>
      <c r="AP239" s="7"/>
      <c r="AQ239" s="7"/>
      <c r="AR239" s="8"/>
      <c r="AS239" s="8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9"/>
      <c r="BM239" s="10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8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8"/>
      <c r="AF240" s="8"/>
      <c r="AG240" s="8"/>
      <c r="AH240" s="7"/>
      <c r="AI240" s="7"/>
      <c r="AJ240" s="7"/>
      <c r="AK240" s="8"/>
      <c r="AL240" s="8"/>
      <c r="AM240" s="8"/>
      <c r="AN240" s="7"/>
      <c r="AO240" s="7"/>
      <c r="AP240" s="7"/>
      <c r="AQ240" s="7"/>
      <c r="AR240" s="8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9"/>
      <c r="BM240" s="10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8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8"/>
      <c r="AF241" s="8"/>
      <c r="AG241" s="8"/>
      <c r="AH241" s="7"/>
      <c r="AI241" s="7"/>
      <c r="AJ241" s="7"/>
      <c r="AK241" s="8"/>
      <c r="AL241" s="8"/>
      <c r="AM241" s="8"/>
      <c r="AN241" s="7"/>
      <c r="AO241" s="7"/>
      <c r="AP241" s="7"/>
      <c r="AQ241" s="7"/>
      <c r="AR241" s="8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9"/>
      <c r="BM241" s="10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8"/>
      <c r="AF242" s="8"/>
      <c r="AG242" s="8"/>
      <c r="AH242" s="7"/>
      <c r="AI242" s="7"/>
      <c r="AJ242" s="7"/>
      <c r="AK242" s="8"/>
      <c r="AL242" s="8"/>
      <c r="AM242" s="8"/>
      <c r="AN242" s="7"/>
      <c r="AO242" s="7"/>
      <c r="AP242" s="7"/>
      <c r="AQ242" s="7"/>
      <c r="AR242" s="8"/>
      <c r="AS242" s="8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9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8"/>
      <c r="L243" s="8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8"/>
      <c r="AF243" s="8"/>
      <c r="AG243" s="8"/>
      <c r="AH243" s="7"/>
      <c r="AI243" s="7"/>
      <c r="AJ243" s="7"/>
      <c r="AK243" s="8"/>
      <c r="AL243" s="8"/>
      <c r="AM243" s="8"/>
      <c r="AN243" s="7"/>
      <c r="AO243" s="7"/>
      <c r="AP243" s="7"/>
      <c r="AQ243" s="7"/>
      <c r="AR243" s="8"/>
      <c r="AS243" s="8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9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8"/>
      <c r="AF244" s="8"/>
      <c r="AG244" s="8"/>
      <c r="AH244" s="7"/>
      <c r="AI244" s="7"/>
      <c r="AJ244" s="7"/>
      <c r="AK244" s="8"/>
      <c r="AL244" s="8"/>
      <c r="AM244" s="8"/>
      <c r="AN244" s="7"/>
      <c r="AO244" s="7"/>
      <c r="AP244" s="7"/>
      <c r="AQ244" s="7"/>
      <c r="AR244" s="8"/>
      <c r="AS244" s="8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9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8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8"/>
      <c r="AF245" s="8"/>
      <c r="AG245" s="8"/>
      <c r="AH245" s="7"/>
      <c r="AI245" s="7"/>
      <c r="AJ245" s="7"/>
      <c r="AK245" s="8"/>
      <c r="AL245" s="8"/>
      <c r="AM245" s="8"/>
      <c r="AN245" s="7"/>
      <c r="AO245" s="7"/>
      <c r="AP245" s="7"/>
      <c r="AQ245" s="7"/>
      <c r="AR245" s="8"/>
      <c r="AS245" s="8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9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8"/>
      <c r="AH246" s="7"/>
      <c r="AI246" s="7"/>
      <c r="AJ246" s="7"/>
      <c r="AK246" s="8"/>
      <c r="AL246" s="8"/>
      <c r="AM246" s="8"/>
      <c r="AN246" s="7"/>
      <c r="AO246" s="7"/>
      <c r="AP246" s="7"/>
      <c r="AQ246" s="7"/>
      <c r="AR246" s="8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9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8"/>
      <c r="AH247" s="7"/>
      <c r="AI247" s="7"/>
      <c r="AJ247" s="7"/>
      <c r="AK247" s="7"/>
      <c r="AL247" s="8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9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8"/>
      <c r="K248" s="7"/>
      <c r="L248" s="8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8"/>
      <c r="AH248" s="7"/>
      <c r="AI248" s="7"/>
      <c r="AJ248" s="7"/>
      <c r="AK248" s="7"/>
      <c r="AL248" s="8"/>
      <c r="AM248" s="8"/>
      <c r="AN248" s="7"/>
      <c r="AO248" s="7"/>
      <c r="AP248" s="7"/>
      <c r="AQ248" s="7"/>
      <c r="AR248" s="8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9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8"/>
      <c r="AM249" s="8"/>
      <c r="AN249" s="7"/>
      <c r="AO249" s="7"/>
      <c r="AP249" s="7"/>
      <c r="AQ249" s="7"/>
      <c r="AR249" s="8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9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8"/>
      <c r="AM250" s="8"/>
      <c r="AN250" s="7"/>
      <c r="AO250" s="7"/>
      <c r="AP250" s="7"/>
      <c r="AQ250" s="7"/>
      <c r="AR250" s="8"/>
      <c r="AS250" s="8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9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8"/>
      <c r="AH251" s="7"/>
      <c r="AI251" s="7"/>
      <c r="AJ251" s="7"/>
      <c r="AK251" s="7"/>
      <c r="AL251" s="8"/>
      <c r="AM251" s="8"/>
      <c r="AN251" s="7"/>
      <c r="AO251" s="7"/>
      <c r="AP251" s="7"/>
      <c r="AQ251" s="7"/>
      <c r="AR251" s="8"/>
      <c r="AS251" s="8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9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8"/>
      <c r="AJ252" s="8"/>
      <c r="AK252" s="7"/>
      <c r="AL252" s="7"/>
      <c r="AM252" s="7"/>
      <c r="AN252" s="7"/>
      <c r="AO252" s="7"/>
      <c r="AP252" s="7"/>
      <c r="AQ252" s="7"/>
      <c r="AR252" s="8"/>
      <c r="AS252" s="8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9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8"/>
      <c r="AM253" s="8"/>
      <c r="AN253" s="7"/>
      <c r="AO253" s="7"/>
      <c r="AP253" s="7"/>
      <c r="AQ253" s="7"/>
      <c r="AR253" s="8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9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8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8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8"/>
      <c r="AM255" s="7"/>
      <c r="AN255" s="7"/>
      <c r="AO255" s="7"/>
      <c r="AP255" s="7"/>
      <c r="AQ255" s="7"/>
      <c r="AR255" s="8"/>
      <c r="AS255" s="8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9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8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8"/>
      <c r="AM257" s="7"/>
      <c r="AN257" s="7"/>
      <c r="AO257" s="7"/>
      <c r="AP257" s="7"/>
      <c r="AQ257" s="7"/>
      <c r="AR257" s="8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8"/>
      <c r="AM258" s="7"/>
      <c r="AN258" s="7"/>
      <c r="AO258" s="7"/>
      <c r="AP258" s="7"/>
      <c r="AQ258" s="7"/>
      <c r="AR258" s="8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8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8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10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8"/>
      <c r="AM261" s="8"/>
      <c r="AN261" s="7"/>
      <c r="AO261" s="7"/>
      <c r="AP261" s="7"/>
      <c r="AQ261" s="7"/>
      <c r="AR261" s="8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9"/>
      <c r="BM261" s="10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8"/>
      <c r="AH262" s="7"/>
      <c r="AI262" s="7"/>
      <c r="AJ262" s="7"/>
      <c r="AK262" s="7"/>
      <c r="AL262" s="8"/>
      <c r="AM262" s="8"/>
      <c r="AN262" s="7"/>
      <c r="AO262" s="7"/>
      <c r="AP262" s="7"/>
      <c r="AQ262" s="7"/>
      <c r="AR262" s="8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10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8"/>
      <c r="AM263" s="7"/>
      <c r="AN263" s="7"/>
      <c r="AO263" s="7"/>
      <c r="AP263" s="7"/>
      <c r="AQ263" s="7"/>
      <c r="AR263" s="8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9"/>
      <c r="BM263" s="10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8"/>
      <c r="AM264" s="7"/>
      <c r="AN264" s="7"/>
      <c r="AO264" s="7"/>
      <c r="AP264" s="7"/>
      <c r="AQ264" s="7"/>
      <c r="AR264" s="8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10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8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9"/>
      <c r="BM265" s="10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8"/>
      <c r="AH266" s="7"/>
      <c r="AI266" s="7"/>
      <c r="AJ266" s="7"/>
      <c r="AK266" s="7"/>
      <c r="AL266" s="8"/>
      <c r="AM266" s="8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10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8"/>
      <c r="AH267" s="7"/>
      <c r="AI267" s="7"/>
      <c r="AJ267" s="7"/>
      <c r="AK267" s="7"/>
      <c r="AL267" s="8"/>
      <c r="AM267" s="8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8"/>
      <c r="AM268" s="8"/>
      <c r="AN268" s="7"/>
      <c r="AO268" s="7"/>
      <c r="AP268" s="7"/>
      <c r="AQ268" s="7"/>
      <c r="AR268" s="8"/>
      <c r="AS268" s="8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9"/>
      <c r="BM268" s="10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8"/>
      <c r="AH269" s="7"/>
      <c r="AI269" s="7"/>
      <c r="AJ269" s="7"/>
      <c r="AK269" s="7"/>
      <c r="AL269" s="8"/>
      <c r="AM269" s="8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8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9"/>
      <c r="BM270" s="10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8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9"/>
      <c r="BM272" s="10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8"/>
      <c r="AM273" s="8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9"/>
      <c r="BM273" s="10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9"/>
      <c r="BM274" s="10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8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8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10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8"/>
      <c r="AM279" s="8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10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8"/>
      <c r="AM280" s="8"/>
      <c r="AN280" s="7"/>
      <c r="AO280" s="7"/>
      <c r="AP280" s="7"/>
      <c r="AQ280" s="7"/>
      <c r="AR280" s="8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8"/>
      <c r="AJ281" s="7"/>
      <c r="AK281" s="7"/>
      <c r="AL281" s="8"/>
      <c r="AM281" s="7"/>
      <c r="AN281" s="7"/>
      <c r="AO281" s="8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9"/>
      <c r="BM281" s="10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8"/>
      <c r="AM282" s="8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9"/>
      <c r="BM282" s="10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7"/>
      <c r="AH283" s="7"/>
      <c r="AI283" s="7"/>
      <c r="AJ283" s="7"/>
      <c r="AK283" s="7"/>
      <c r="AL283" s="8"/>
      <c r="AM283" s="7"/>
      <c r="AN283" s="7"/>
      <c r="AO283" s="7"/>
      <c r="AP283" s="7"/>
      <c r="AQ283" s="7"/>
      <c r="AR283" s="8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9"/>
      <c r="BM283" s="10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8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9"/>
      <c r="BM284" s="10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8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8"/>
      <c r="AS287" s="8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8"/>
      <c r="AM288" s="8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8"/>
      <c r="AM289" s="8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7"/>
      <c r="AM290" s="8"/>
      <c r="AN290" s="7"/>
      <c r="AO290" s="7"/>
      <c r="AP290" s="7"/>
      <c r="AQ290" s="7"/>
      <c r="AR290" s="8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8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8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8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0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8"/>
      <c r="AG295" s="7"/>
      <c r="AH295" s="7"/>
      <c r="AI295" s="7"/>
      <c r="AJ295" s="7"/>
      <c r="AK295" s="7"/>
      <c r="AL295" s="8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8"/>
      <c r="AN296" s="7"/>
      <c r="AO296" s="7"/>
      <c r="AP296" s="7"/>
      <c r="AQ296" s="7"/>
      <c r="AR296" s="8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0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10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8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8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0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8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0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8"/>
      <c r="AM301" s="7"/>
      <c r="AN301" s="7"/>
      <c r="AO301" s="7"/>
      <c r="AP301" s="7"/>
      <c r="AQ301" s="7"/>
      <c r="AR301" s="8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9"/>
      <c r="BM301" s="10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8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0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8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0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9"/>
      <c r="BM307" s="10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8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0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8"/>
      <c r="AG310" s="8"/>
      <c r="AH310" s="7"/>
      <c r="AI310" s="7"/>
      <c r="AJ310" s="7"/>
      <c r="AK310" s="7"/>
      <c r="AL310" s="7"/>
      <c r="AM310" s="8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0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8"/>
      <c r="AH311" s="7"/>
      <c r="AI311" s="7"/>
      <c r="AJ311" s="7"/>
      <c r="AK311" s="7"/>
      <c r="AL311" s="7"/>
      <c r="AM311" s="8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0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0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8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0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0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8"/>
      <c r="AM316" s="8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0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0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8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0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8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0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8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0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0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0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10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0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8"/>
      <c r="AH327" s="7"/>
      <c r="AI327" s="7"/>
      <c r="AJ327" s="7"/>
      <c r="AK327" s="7"/>
      <c r="AL327" s="7"/>
      <c r="AM327" s="8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0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0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8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0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8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8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8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8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8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1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1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1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1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1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1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1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1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1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1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1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1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1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1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2022-12-02T06:15:06Z</dcterms:modified>
</cp:coreProperties>
</file>