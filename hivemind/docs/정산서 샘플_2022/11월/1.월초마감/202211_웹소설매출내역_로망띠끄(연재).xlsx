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08. 콘텐츠사업_매출정산\05. 정산 데이터\22년\11월\1.월초마감\"/>
    </mc:Choice>
  </mc:AlternateContent>
  <bookViews>
    <workbookView xWindow="0" yWindow="0" windowWidth="23040" windowHeight="8952"/>
  </bookViews>
  <sheets>
    <sheet name="합계(11)" sheetId="2" r:id="rId1"/>
  </sheets>
  <definedNames>
    <definedName name="_xlnm._FilterDatabase" localSheetId="0" hidden="1">'합계(11)'!$A$1:$L$1</definedName>
    <definedName name="_xlnm.Extract" localSheetId="0">'합계(11)'!#REF!</definedName>
  </definedNames>
  <calcPr calcId="152511"/>
</workbook>
</file>

<file path=xl/calcChain.xml><?xml version="1.0" encoding="utf-8"?>
<calcChain xmlns="http://schemas.openxmlformats.org/spreadsheetml/2006/main">
  <c r="I11" i="2" l="1"/>
</calcChain>
</file>

<file path=xl/sharedStrings.xml><?xml version="1.0" encoding="utf-8"?>
<sst xmlns="http://schemas.openxmlformats.org/spreadsheetml/2006/main" count="56" uniqueCount="38">
  <si>
    <t>출판사명</t>
  </si>
  <si>
    <t>판매량</t>
  </si>
  <si>
    <t>등록일</t>
  </si>
  <si>
    <t>판매처</t>
  </si>
  <si>
    <t>로망띠끄</t>
  </si>
  <si>
    <t>스내치</t>
  </si>
  <si>
    <t>제목</t>
  </si>
  <si>
    <t>작가명</t>
  </si>
  <si>
    <t>현재회차</t>
  </si>
  <si>
    <t>총회차</t>
  </si>
  <si>
    <t>대여량</t>
  </si>
  <si>
    <t>판매금액</t>
  </si>
  <si>
    <t>정산금액</t>
  </si>
  <si>
    <t>정산율</t>
  </si>
  <si>
    <t>ISBN</t>
  </si>
  <si>
    <t>스토리위즈</t>
  </si>
  <si>
    <t>아래층에 전남편이 산다</t>
  </si>
  <si>
    <t>예렌의 신부</t>
  </si>
  <si>
    <t>sJessi</t>
  </si>
  <si>
    <t>9791166480508</t>
  </si>
  <si>
    <t>들개의 덫</t>
  </si>
  <si>
    <t>9791166480492</t>
  </si>
  <si>
    <t>내가 사랑하는 총리님</t>
  </si>
  <si>
    <t>벨</t>
  </si>
  <si>
    <t>9791166480447</t>
  </si>
  <si>
    <t>불건전한 수컷</t>
  </si>
  <si>
    <t>9791166480294</t>
  </si>
  <si>
    <t>완벽한 계략 남편</t>
  </si>
  <si>
    <t>블 루 스 카 이</t>
  </si>
  <si>
    <t>사냥꾼</t>
  </si>
  <si>
    <t>라돌체</t>
  </si>
  <si>
    <t>9791166482526</t>
  </si>
  <si>
    <t>귀수: 나비가 머문 별</t>
  </si>
  <si>
    <t>키도</t>
  </si>
  <si>
    <t>9791166481536</t>
  </si>
  <si>
    <t>개만도 못한,</t>
  </si>
  <si>
    <t>진도넛</t>
  </si>
  <si>
    <t>9791166482014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</si>
</sst>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3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33" borderId="0" xfId="0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/>
    </xf>
    <xf numFmtId="9" fontId="0" fillId="34" borderId="10" xfId="0" applyNumberFormat="1" applyFill="1" applyBorder="1" applyAlignment="1">
      <alignment horizontal="center" vertical="center"/>
    </xf>
    <xf numFmtId="49" fontId="0" fillId="34" borderId="10" xfId="0" applyNumberFormat="1" applyFill="1" applyBorder="1" applyAlignment="1">
      <alignment horizontal="center" vertical="center"/>
    </xf>
    <xf numFmtId="0" fontId="0" fillId="34" borderId="0" xfId="0" applyFill="1" applyAlignment="1">
      <alignment horizontal="center" vertical="center"/>
    </xf>
    <xf numFmtId="3" fontId="0" fillId="34" borderId="10" xfId="0" applyNumberFormat="1" applyFill="1" applyBorder="1" applyAlignment="1">
      <alignment horizontal="right" vertical="center" wrapText="1"/>
    </xf>
    <xf numFmtId="0" fontId="0" fillId="34" borderId="10" xfId="0" applyFill="1" applyBorder="1" applyAlignment="1">
      <alignment horizontal="right" vertical="center" wrapText="1"/>
    </xf>
    <xf numFmtId="41" fontId="0" fillId="0" borderId="0" xfId="42" applyFont="1">
      <alignment vertical="center"/>
    </xf>
    <xf numFmtId="41" fontId="18" fillId="33" borderId="10" xfId="42" applyFont="1" applyFill="1" applyBorder="1" applyAlignment="1">
      <alignment horizontal="center" vertical="center" wrapText="1"/>
    </xf>
    <xf numFmtId="41" fontId="0" fillId="35" borderId="10" xfId="42" applyFont="1" applyFill="1" applyBorder="1" applyAlignment="1">
      <alignment horizontal="right" vertical="center" wrapText="1"/>
    </xf>
    <xf numFmtId="41" fontId="0" fillId="36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1"/>
  <sheetViews>
    <sheetView showGridLines="0" tabSelected="1" workbookViewId="0">
      <selection activeCell="B14" sqref="B14"/>
    </sheetView>
  </sheetViews>
  <sheetFormatPr defaultRowHeight="17.399999999999999" x14ac:dyDescent="0.4"/>
  <cols>
    <col min="1" max="1" width="10.3984375" bestFit="1" customWidth="1"/>
    <col min="2" max="2" width="21.5" bestFit="1" customWidth="1"/>
    <col min="3" max="3" width="13" bestFit="1" customWidth="1"/>
    <col min="4" max="4" width="8.59765625" bestFit="1" customWidth="1"/>
    <col min="5" max="7" width="6.69921875" bestFit="1" customWidth="1"/>
    <col min="8" max="8" width="8.59765625" bestFit="1" customWidth="1"/>
    <col min="9" max="9" width="9.3984375" style="10" bestFit="1" customWidth="1"/>
    <col min="10" max="10" width="6.69921875" bestFit="1" customWidth="1"/>
    <col min="11" max="11" width="9.3984375" bestFit="1" customWidth="1"/>
    <col min="12" max="12" width="8.59765625" bestFit="1" customWidth="1"/>
  </cols>
  <sheetData>
    <row r="1" spans="1:13" s="1" customFormat="1" ht="18" customHeight="1" x14ac:dyDescent="0.4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</v>
      </c>
      <c r="G1" s="2" t="s">
        <v>10</v>
      </c>
      <c r="H1" s="2" t="s">
        <v>11</v>
      </c>
      <c r="I1" s="11" t="s">
        <v>12</v>
      </c>
      <c r="J1" s="2" t="s">
        <v>13</v>
      </c>
      <c r="K1" s="2" t="s">
        <v>2</v>
      </c>
      <c r="L1" s="2" t="s">
        <v>3</v>
      </c>
      <c r="M1" s="2" t="s">
        <v>14</v>
      </c>
    </row>
    <row r="2" spans="1:13" s="7" customFormat="1" x14ac:dyDescent="0.4">
      <c r="A2" s="3" t="s">
        <v>15</v>
      </c>
      <c r="B2" s="3" t="s">
        <v>16</v>
      </c>
      <c r="C2" s="4" t="s">
        <v>5</v>
      </c>
      <c r="D2" s="4">
        <v>83</v>
      </c>
      <c r="E2" s="4">
        <v>83</v>
      </c>
      <c r="F2" s="4">
        <v>0</v>
      </c>
      <c r="G2" s="4">
        <v>1</v>
      </c>
      <c r="H2" s="9">
        <v>100</v>
      </c>
      <c r="I2" s="12">
        <v>70</v>
      </c>
      <c r="J2" s="5">
        <v>0.7</v>
      </c>
      <c r="K2" s="4">
        <v>20220429</v>
      </c>
      <c r="L2" s="4" t="s">
        <v>4</v>
      </c>
      <c r="M2" s="6"/>
    </row>
    <row r="3" spans="1:13" s="7" customFormat="1" x14ac:dyDescent="0.4">
      <c r="A3" s="3" t="s">
        <v>15</v>
      </c>
      <c r="B3" s="3" t="s">
        <v>27</v>
      </c>
      <c r="C3" s="4" t="s">
        <v>28</v>
      </c>
      <c r="D3" s="4">
        <v>67</v>
      </c>
      <c r="E3" s="4">
        <v>67</v>
      </c>
      <c r="F3" s="4">
        <v>2</v>
      </c>
      <c r="G3" s="4">
        <v>0</v>
      </c>
      <c r="H3" s="9">
        <v>200</v>
      </c>
      <c r="I3" s="12">
        <v>140</v>
      </c>
      <c r="J3" s="5">
        <v>0.7</v>
      </c>
      <c r="K3" s="4">
        <v>20220429</v>
      </c>
      <c r="L3" s="4" t="s">
        <v>4</v>
      </c>
      <c r="M3" s="6"/>
    </row>
    <row r="4" spans="1:13" s="7" customFormat="1" x14ac:dyDescent="0.4">
      <c r="A4" s="3" t="s">
        <v>15</v>
      </c>
      <c r="B4" s="3" t="s">
        <v>17</v>
      </c>
      <c r="C4" s="4" t="s">
        <v>18</v>
      </c>
      <c r="D4" s="4">
        <v>29</v>
      </c>
      <c r="E4" s="4">
        <v>29</v>
      </c>
      <c r="F4" s="4">
        <v>12</v>
      </c>
      <c r="G4" s="4">
        <v>0</v>
      </c>
      <c r="H4" s="8">
        <v>1200</v>
      </c>
      <c r="I4" s="12">
        <v>840</v>
      </c>
      <c r="J4" s="5">
        <v>0.7</v>
      </c>
      <c r="K4" s="4">
        <v>20220923</v>
      </c>
      <c r="L4" s="4" t="s">
        <v>4</v>
      </c>
      <c r="M4" s="6" t="s">
        <v>19</v>
      </c>
    </row>
    <row r="5" spans="1:13" s="7" customFormat="1" x14ac:dyDescent="0.4">
      <c r="A5" s="3" t="s">
        <v>15</v>
      </c>
      <c r="B5" s="3" t="s">
        <v>20</v>
      </c>
      <c r="C5" s="4" t="s">
        <v>18</v>
      </c>
      <c r="D5" s="4">
        <v>28</v>
      </c>
      <c r="E5" s="4">
        <v>28</v>
      </c>
      <c r="F5" s="4">
        <v>4</v>
      </c>
      <c r="G5" s="4">
        <v>0</v>
      </c>
      <c r="H5" s="9">
        <v>400</v>
      </c>
      <c r="I5" s="12">
        <v>280</v>
      </c>
      <c r="J5" s="5">
        <v>0.7</v>
      </c>
      <c r="K5" s="4">
        <v>20220923</v>
      </c>
      <c r="L5" s="4" t="s">
        <v>4</v>
      </c>
      <c r="M5" s="6" t="s">
        <v>21</v>
      </c>
    </row>
    <row r="6" spans="1:13" s="7" customFormat="1" x14ac:dyDescent="0.4">
      <c r="A6" s="3" t="s">
        <v>15</v>
      </c>
      <c r="B6" s="3" t="s">
        <v>22</v>
      </c>
      <c r="C6" s="4" t="s">
        <v>23</v>
      </c>
      <c r="D6" s="4">
        <v>79</v>
      </c>
      <c r="E6" s="4">
        <v>79</v>
      </c>
      <c r="F6" s="4">
        <v>111</v>
      </c>
      <c r="G6" s="4">
        <v>1</v>
      </c>
      <c r="H6" s="8">
        <v>11200</v>
      </c>
      <c r="I6" s="12">
        <v>7840</v>
      </c>
      <c r="J6" s="5">
        <v>0.7</v>
      </c>
      <c r="K6" s="4">
        <v>20220923</v>
      </c>
      <c r="L6" s="4" t="s">
        <v>4</v>
      </c>
      <c r="M6" s="6" t="s">
        <v>24</v>
      </c>
    </row>
    <row r="7" spans="1:13" s="7" customFormat="1" x14ac:dyDescent="0.4">
      <c r="A7" s="3" t="s">
        <v>15</v>
      </c>
      <c r="B7" s="3" t="s">
        <v>25</v>
      </c>
      <c r="C7" s="4" t="s">
        <v>18</v>
      </c>
      <c r="D7" s="4">
        <v>71</v>
      </c>
      <c r="E7" s="4">
        <v>71</v>
      </c>
      <c r="F7" s="4">
        <v>259</v>
      </c>
      <c r="G7" s="4">
        <v>21</v>
      </c>
      <c r="H7" s="8">
        <v>28000</v>
      </c>
      <c r="I7" s="12">
        <v>19600</v>
      </c>
      <c r="J7" s="5">
        <v>0.7</v>
      </c>
      <c r="K7" s="4">
        <v>20220923</v>
      </c>
      <c r="L7" s="4" t="s">
        <v>4</v>
      </c>
      <c r="M7" s="6" t="s">
        <v>26</v>
      </c>
    </row>
    <row r="8" spans="1:13" s="7" customFormat="1" x14ac:dyDescent="0.4">
      <c r="A8" s="3" t="s">
        <v>15</v>
      </c>
      <c r="B8" s="3" t="s">
        <v>29</v>
      </c>
      <c r="C8" s="4" t="s">
        <v>30</v>
      </c>
      <c r="D8" s="4">
        <v>44</v>
      </c>
      <c r="E8" s="4">
        <v>60</v>
      </c>
      <c r="F8" s="4">
        <v>29</v>
      </c>
      <c r="G8" s="4">
        <v>0</v>
      </c>
      <c r="H8" s="8">
        <v>2900</v>
      </c>
      <c r="I8" s="12">
        <v>2030</v>
      </c>
      <c r="J8" s="5">
        <v>0.7</v>
      </c>
      <c r="K8" s="4">
        <v>20221109</v>
      </c>
      <c r="L8" s="4" t="s">
        <v>4</v>
      </c>
      <c r="M8" s="6" t="s">
        <v>31</v>
      </c>
    </row>
    <row r="9" spans="1:13" s="7" customFormat="1" x14ac:dyDescent="0.4">
      <c r="A9" s="3" t="s">
        <v>15</v>
      </c>
      <c r="B9" s="3" t="s">
        <v>32</v>
      </c>
      <c r="C9" s="4" t="s">
        <v>33</v>
      </c>
      <c r="D9" s="4">
        <v>42</v>
      </c>
      <c r="E9" s="4">
        <v>77</v>
      </c>
      <c r="F9" s="4">
        <v>5</v>
      </c>
      <c r="G9" s="4">
        <v>0</v>
      </c>
      <c r="H9" s="9">
        <v>500</v>
      </c>
      <c r="I9" s="12">
        <v>350</v>
      </c>
      <c r="J9" s="5">
        <v>0.7</v>
      </c>
      <c r="K9" s="4">
        <v>20221109</v>
      </c>
      <c r="L9" s="4" t="s">
        <v>4</v>
      </c>
      <c r="M9" s="6" t="s">
        <v>34</v>
      </c>
    </row>
    <row r="10" spans="1:13" s="7" customFormat="1" x14ac:dyDescent="0.4">
      <c r="A10" s="3" t="s">
        <v>15</v>
      </c>
      <c r="B10" s="3" t="s">
        <v>35</v>
      </c>
      <c r="C10" s="4" t="s">
        <v>36</v>
      </c>
      <c r="D10" s="4">
        <v>37</v>
      </c>
      <c r="E10" s="4">
        <v>37</v>
      </c>
      <c r="F10" s="4">
        <v>1</v>
      </c>
      <c r="G10" s="4">
        <v>0</v>
      </c>
      <c r="H10" s="9">
        <v>100</v>
      </c>
      <c r="I10" s="12">
        <v>70</v>
      </c>
      <c r="J10" s="5">
        <v>0.7</v>
      </c>
      <c r="K10" s="4">
        <v>20221109</v>
      </c>
      <c r="L10" s="4" t="s">
        <v>4</v>
      </c>
      <c r="M10" s="6" t="s">
        <v>37</v>
      </c>
    </row>
    <row r="11" spans="1:13" x14ac:dyDescent="0.4">
      <c r="I11" s="13">
        <f>SUM(I2:I10)</f>
        <v>31220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2021-10-05T03:08:35Z</dcterms:created>
  <dcterms:modified xsi:type="dcterms:W3CDTF">2022-12-05T08:27:54Z</dcterms:modified>
</cp:coreProperties>
</file>