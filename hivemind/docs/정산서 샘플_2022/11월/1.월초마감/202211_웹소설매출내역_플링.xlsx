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ownloads\"/>
    </mc:Choice>
  </mc:AlternateContent>
  <bookViews>
    <workbookView xWindow="0" yWindow="0" windowWidth="23040" windowHeight="9030"/>
  </bookViews>
  <sheets>
    <sheet name="정산내역(11)" sheetId="1" r:id="rId1"/>
  </sheets>
  <calcPr calcId="152511"/>
</workbook>
</file>

<file path=xl/calcChain.xml><?xml version="1.0" encoding="utf-8"?>
<calcChain xmlns="http://schemas.openxmlformats.org/spreadsheetml/2006/main">
  <c r="L7" i="1" l="1"/>
  <c r="L6" i="1"/>
  <c r="L5" i="1"/>
  <c r="L4" i="1"/>
  <c r="L3" i="1"/>
  <c r="L2" i="1"/>
  <c r="K8" i="1"/>
  <c r="L8" i="1" l="1"/>
</calcChain>
</file>

<file path=xl/sharedStrings.xml><?xml version="1.0" encoding="utf-8"?>
<sst xmlns="http://schemas.openxmlformats.org/spreadsheetml/2006/main" count="66" uniqueCount="27">
  <si>
    <t>NO</t>
  </si>
  <si>
    <t>일자</t>
  </si>
  <si>
    <t>작품명</t>
  </si>
  <si>
    <t>회차 제목</t>
  </si>
  <si>
    <t>출판사명</t>
  </si>
  <si>
    <t>작가명</t>
  </si>
  <si>
    <t>장르</t>
  </si>
  <si>
    <t>이용권 종류</t>
  </si>
  <si>
    <t>상태</t>
  </si>
  <si>
    <t>건수</t>
  </si>
  <si>
    <t>6</t>
  </si>
  <si>
    <t>환영합니다 마이클 본부장님 외전 (단행본)</t>
  </si>
  <si>
    <t>도서출판 태랑</t>
  </si>
  <si>
    <t>퍼리딩딩</t>
  </si>
  <si>
    <t>BL</t>
  </si>
  <si>
    <t>일반소장권</t>
  </si>
  <si>
    <t>승인</t>
  </si>
  <si>
    <t>1</t>
  </si>
  <si>
    <t>5</t>
  </si>
  <si>
    <t>트리거 (외전증보판) (단행본)</t>
  </si>
  <si>
    <t>블랙커피</t>
  </si>
  <si>
    <t>4</t>
  </si>
  <si>
    <t>3</t>
  </si>
  <si>
    <t>2</t>
  </si>
  <si>
    <t>환영합니다 마이클 본부장님 (단행본)</t>
  </si>
  <si>
    <t>판매금</t>
    <phoneticPr fontId="2" type="noConversion"/>
  </si>
  <si>
    <t>정산금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</si>
</sst>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[$-409]yyyy\.mm\.dd\ hh:mm:ss"/>
  </numFmts>
  <fonts count="5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sz val="8"/>
      <name val="바탕"/>
      <family val="1"/>
      <charset val="129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 applyFont="1"/>
    <xf numFmtId="0" fontId="3" fillId="0" borderId="0" xfId="0" applyFont="1" applyAlignment="1">
      <alignment horizontal="center" vertical="center" wrapText="1" shrinkToFit="1"/>
    </xf>
    <xf numFmtId="0" fontId="4" fillId="0" borderId="0" xfId="0" applyFont="1"/>
    <xf numFmtId="0" fontId="4" fillId="0" borderId="0" xfId="0" applyFont="1" applyAlignment="1">
      <alignment horizontal="center" vertical="center" wrapText="1" shrinkToFit="1"/>
    </xf>
    <xf numFmtId="176" fontId="4" fillId="0" borderId="0" xfId="0" applyNumberFormat="1" applyFont="1" applyAlignment="1">
      <alignment horizontal="center" vertical="center" wrapText="1" shrinkToFit="1"/>
    </xf>
    <xf numFmtId="0" fontId="4" fillId="0" borderId="0" xfId="0" applyNumberFormat="1" applyFont="1" applyAlignment="1">
      <alignment horizontal="center" vertical="center" wrapText="1" shrinkToFit="1"/>
    </xf>
    <xf numFmtId="3" fontId="4" fillId="0" borderId="0" xfId="0" applyNumberFormat="1" applyFont="1" applyAlignment="1">
      <alignment horizontal="center" vertical="center" wrapText="1" shrinkToFit="1"/>
    </xf>
    <xf numFmtId="0" fontId="3" fillId="2" borderId="0" xfId="0" applyFont="1" applyFill="1" applyAlignment="1">
      <alignment horizontal="center"/>
    </xf>
    <xf numFmtId="41" fontId="3" fillId="2" borderId="0" xfId="1" applyFont="1" applyFill="1" applyAlignment="1"/>
    <xf numFmtId="41" fontId="4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Normal="100" workbookViewId="0"/>
  </sheetViews>
  <sheetFormatPr defaultColWidth="11" defaultRowHeight="15.75" x14ac:dyDescent="0.25"/>
  <cols>
    <col min="1" max="1" width="10" customWidth="1"/>
    <col min="2" max="2" width="20" customWidth="1"/>
    <col min="3" max="3" width="32.875" customWidth="1"/>
    <col min="4" max="4" width="35" customWidth="1"/>
    <col min="8" max="8" width="15" customWidth="1"/>
    <col min="11" max="11" width="15" customWidth="1"/>
  </cols>
  <sheetData>
    <row r="1" spans="1:12" s="2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7" t="s">
        <v>26</v>
      </c>
    </row>
    <row r="2" spans="1:12" s="2" customFormat="1" ht="15.75" customHeight="1" x14ac:dyDescent="0.25">
      <c r="A2" s="3" t="s">
        <v>10</v>
      </c>
      <c r="B2" s="4">
        <v>44893.773407200002</v>
      </c>
      <c r="C2" s="3" t="s">
        <v>11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5">
        <v>960</v>
      </c>
      <c r="L2" s="2">
        <f>K2*0.49</f>
        <v>470.4</v>
      </c>
    </row>
    <row r="3" spans="1:12" s="2" customFormat="1" ht="15.75" customHeight="1" x14ac:dyDescent="0.25">
      <c r="A3" s="3" t="s">
        <v>18</v>
      </c>
      <c r="B3" s="4">
        <v>44893.377682799997</v>
      </c>
      <c r="C3" s="3" t="s">
        <v>19</v>
      </c>
      <c r="D3" s="3" t="s">
        <v>19</v>
      </c>
      <c r="E3" s="3" t="s">
        <v>12</v>
      </c>
      <c r="F3" s="3" t="s">
        <v>20</v>
      </c>
      <c r="G3" s="3" t="s">
        <v>14</v>
      </c>
      <c r="H3" s="3" t="s">
        <v>15</v>
      </c>
      <c r="I3" s="3" t="s">
        <v>16</v>
      </c>
      <c r="J3" s="3" t="s">
        <v>17</v>
      </c>
      <c r="K3" s="6">
        <v>4560</v>
      </c>
      <c r="L3" s="2">
        <f t="shared" ref="L3:L7" si="0">K3*0.49</f>
        <v>2234.4</v>
      </c>
    </row>
    <row r="4" spans="1:12" s="2" customFormat="1" ht="15.75" customHeight="1" x14ac:dyDescent="0.25">
      <c r="A4" s="3" t="s">
        <v>21</v>
      </c>
      <c r="B4" s="4">
        <v>44892.987257699999</v>
      </c>
      <c r="C4" s="3" t="s">
        <v>19</v>
      </c>
      <c r="D4" s="3" t="s">
        <v>19</v>
      </c>
      <c r="E4" s="3" t="s">
        <v>12</v>
      </c>
      <c r="F4" s="3" t="s">
        <v>20</v>
      </c>
      <c r="G4" s="3" t="s">
        <v>14</v>
      </c>
      <c r="H4" s="3" t="s">
        <v>15</v>
      </c>
      <c r="I4" s="3" t="s">
        <v>16</v>
      </c>
      <c r="J4" s="3" t="s">
        <v>17</v>
      </c>
      <c r="K4" s="6">
        <v>4560</v>
      </c>
      <c r="L4" s="2">
        <f t="shared" si="0"/>
        <v>2234.4</v>
      </c>
    </row>
    <row r="5" spans="1:12" s="2" customFormat="1" ht="15.75" customHeight="1" x14ac:dyDescent="0.25">
      <c r="A5" s="3" t="s">
        <v>22</v>
      </c>
      <c r="B5" s="4">
        <v>44892.966278799999</v>
      </c>
      <c r="C5" s="3" t="s">
        <v>19</v>
      </c>
      <c r="D5" s="3" t="s">
        <v>19</v>
      </c>
      <c r="E5" s="3" t="s">
        <v>12</v>
      </c>
      <c r="F5" s="3" t="s">
        <v>20</v>
      </c>
      <c r="G5" s="3" t="s">
        <v>14</v>
      </c>
      <c r="H5" s="3" t="s">
        <v>15</v>
      </c>
      <c r="I5" s="3" t="s">
        <v>16</v>
      </c>
      <c r="J5" s="3" t="s">
        <v>17</v>
      </c>
      <c r="K5" s="6">
        <v>4560</v>
      </c>
      <c r="L5" s="2">
        <f t="shared" si="0"/>
        <v>2234.4</v>
      </c>
    </row>
    <row r="6" spans="1:12" s="2" customFormat="1" ht="15.75" customHeight="1" x14ac:dyDescent="0.25">
      <c r="A6" s="3" t="s">
        <v>23</v>
      </c>
      <c r="B6" s="4">
        <v>44892.703512200002</v>
      </c>
      <c r="C6" s="3" t="s">
        <v>24</v>
      </c>
      <c r="D6" s="3" t="s">
        <v>24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6">
        <v>2640</v>
      </c>
      <c r="L6" s="2">
        <f t="shared" si="0"/>
        <v>1293.5999999999999</v>
      </c>
    </row>
    <row r="7" spans="1:12" s="2" customFormat="1" ht="15.75" customHeight="1" x14ac:dyDescent="0.25">
      <c r="A7" s="3" t="s">
        <v>17</v>
      </c>
      <c r="B7" s="4">
        <v>44889.490487199997</v>
      </c>
      <c r="C7" s="3" t="s">
        <v>19</v>
      </c>
      <c r="D7" s="3" t="s">
        <v>19</v>
      </c>
      <c r="E7" s="3" t="s">
        <v>12</v>
      </c>
      <c r="F7" s="3" t="s">
        <v>20</v>
      </c>
      <c r="G7" s="3" t="s">
        <v>14</v>
      </c>
      <c r="H7" s="3" t="s">
        <v>15</v>
      </c>
      <c r="I7" s="3" t="s">
        <v>16</v>
      </c>
      <c r="J7" s="3" t="s">
        <v>17</v>
      </c>
      <c r="K7" s="6">
        <v>4560</v>
      </c>
      <c r="L7" s="2">
        <f t="shared" si="0"/>
        <v>2234.4</v>
      </c>
    </row>
    <row r="8" spans="1:12" s="2" customFormat="1" ht="15.75" customHeight="1" x14ac:dyDescent="0.25">
      <c r="K8" s="9">
        <f>SUM(K2:K7)</f>
        <v>21840</v>
      </c>
      <c r="L8" s="8">
        <f>SUM(L2:L7)</f>
        <v>10701.6</v>
      </c>
    </row>
    <row r="9" spans="1:12" ht="15.75" customHeight="1" x14ac:dyDescent="0.25"/>
    <row r="10" spans="1:12" ht="15.75" customHeight="1" x14ac:dyDescent="0.25"/>
    <row r="11" spans="1:12" ht="15.75" customHeight="1" x14ac:dyDescent="0.25"/>
    <row r="12" spans="1:12" ht="15.75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storywiz</cp:lastModifiedBy>
  <dcterms:created xsi:type="dcterms:W3CDTF">2022-12-06T02:48:46Z</dcterms:created>
  <dcterms:modified xsi:type="dcterms:W3CDTF">2022-12-06T02:54:47Z</dcterms:modified>
</cp:coreProperties>
</file>