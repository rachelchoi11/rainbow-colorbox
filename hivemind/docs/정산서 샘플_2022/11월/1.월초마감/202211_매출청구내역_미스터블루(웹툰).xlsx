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25" r:id="rId1"/>
  </sheets>
  <definedNames>
    <definedName name="_xlnm._FilterDatabase" localSheetId="0" hidden="1">'합계(11)'!$A$1:$AV$1</definedName>
    <definedName name="_xlnm.Extract" localSheetId="0">'합계(11)'!#REF!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5" i="125" l="1"/>
</calcChain>
</file>

<file path=xl/sharedStrings.xml><?xml version="1.0" encoding="utf-8"?>
<sst xmlns="http://schemas.openxmlformats.org/spreadsheetml/2006/main" count="96" uniqueCount="96">
  <si>
    <t>작품명</t>
  </si>
  <si>
    <t>작가명</t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</si>
  <si>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</si>
  <si>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</si>
  <si>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</si>
  <si>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</si>
  <si>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</si>
  <si>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</si>
  <si>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</si>
  <si>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</si>
  <si>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정액_건수</t>
    <phoneticPr fontId="26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</si>
  <si>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</si>
  <si>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</si>
  <si>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블루머니_권별소장_매출액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</si>
  <si>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</si>
  <si>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</si>
  <si>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</si>
  <si>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</si>
  <si>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계_매출액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</si>
  <si>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</si>
  <si>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</si>
  <si>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</si>
  <si>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</si>
  <si>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I.앱머니_권별대여_건수</t>
    <phoneticPr fontId="2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</si>
  <si>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</si>
  <si>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</si>
  <si>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</si>
  <si>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</si>
  <si>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</si>
  <si>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</si>
  <si>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</si>
  <si>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내 남편의 스토커</t>
  </si>
  <si>
    <t>혜원</t>
  </si>
  <si>
    <t>정액_매출액</t>
    <phoneticPr fontId="26" type="noConversion"/>
  </si>
  <si>
    <t>정액_취소액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</si>
  <si>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</si>
  <si>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</si>
  <si>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블루머니_권별대여_판매볼륨수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</si>
  <si>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</si>
  <si>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</si>
  <si>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</si>
  <si>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블루머니_권별소장_판매볼륨수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</si>
  <si>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</si>
  <si>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</si>
  <si>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</si>
  <si>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블루머니_전권대여_건수</t>
    <phoneticPr fontId="95" type="noConversion"/>
  </si>
  <si>
    <t>블루머니_전권대여_판매볼륨수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</si>
  <si>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</si>
  <si>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</si>
  <si>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</si>
  <si>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</si>
  <si>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</si>
  <si>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</si>
  <si>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</si>
  <si>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</si>
  <si>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</si>
  <si>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</si>
  <si>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</si>
  <si>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</si>
  <si>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</si>
  <si>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</si>
  <si>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</si>
  <si>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A.앱머니_전권대여_판매볼륨수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</si>
  <si>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</si>
  <si>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</si>
  <si>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</si>
  <si>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</si>
  <si>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</si>
  <si>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</si>
  <si>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</si>
  <si>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I.앱머니_권별대여_판매볼륨수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</si>
  <si>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</si>
  <si>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</si>
  <si>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</si>
  <si>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I.앱머니_권별소장_건수</t>
    <phoneticPr fontId="26" type="noConversion"/>
  </si>
  <si>
    <t>I.앱머니_권별소장_매출액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</si>
  <si>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</si>
  <si>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</si>
  <si>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</si>
  <si>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</si>
  <si>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</si>
  <si>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</si>
  <si>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</si>
  <si>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</si>
  <si>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</si>
  <si>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</si>
  <si>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</si>
  <si>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</si>
  <si>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</si>
  <si>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</si>
  <si>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계_정산액</t>
    <phoneticPr fontId="95" type="noConversion"/>
  </si>
  <si>
    <t>취소액</t>
    <phoneticPr fontId="26" type="noConversion"/>
  </si>
  <si>
    <t>일월성신</t>
  </si>
  <si>
    <t>이름표/김숙지</t>
  </si>
  <si>
    <t>옹주의 호위무사</t>
  </si>
  <si>
    <t>수국/정훈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</si>
</sst>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  <numFmt numFmtId="185" formatCode="#,##0.##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  <xf numFmtId="0" fontId="0" fillId="0" borderId="0" xfId="0" applyNumberFormat="1" applyFill="1" applyAlignment="1" applyProtection="1"/>
    <xf numFmtId="3" fontId="0" fillId="0" borderId="0" xfId="0" applyNumberFormat="1" applyFill="1" applyAlignment="1" applyProtection="1"/>
    <xf numFmtId="185" fontId="0" fillId="0" borderId="0" xfId="0" applyNumberFormat="1" applyFill="1" applyAlignment="1" applyProtection="1"/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5"/>
  <sheetViews>
    <sheetView tabSelected="1" topLeftCell="BG1" zoomScale="85" zoomScaleNormal="85" workbookViewId="0">
      <selection activeCell="CJ6" sqref="CJ6"/>
    </sheetView>
  </sheetViews>
  <sheetFormatPr defaultRowHeight="16.5"/>
  <cols>
    <col min="1" max="1" width="24.25" bestFit="1" customWidth="1"/>
    <col min="5" max="5" width="10" customWidth="1"/>
    <col min="6" max="6" width="10.25" customWidth="1"/>
    <col min="45" max="46" width="9.875" bestFit="1" customWidth="1"/>
    <col min="47" max="47" width="13.25" customWidth="1"/>
    <col min="48" max="48" width="13.5" style="1" bestFit="1" customWidth="1"/>
    <col min="88" max="88" width="9.875" bestFit="1" customWidth="1"/>
  </cols>
  <sheetData>
    <row r="1" spans="1:90" s="11" customFormat="1" ht="36">
      <c r="A1" s="2" t="s">
        <v>0</v>
      </c>
      <c r="B1" s="2" t="s">
        <v>1</v>
      </c>
      <c r="C1" s="3" t="s">
        <v>10</v>
      </c>
      <c r="D1" s="3" t="s">
        <v>33</v>
      </c>
      <c r="E1" s="3" t="s">
        <v>34</v>
      </c>
      <c r="F1" s="3" t="s">
        <v>35</v>
      </c>
      <c r="G1" s="4" t="s">
        <v>36</v>
      </c>
      <c r="H1" s="4" t="s">
        <v>37</v>
      </c>
      <c r="I1" s="4" t="s">
        <v>11</v>
      </c>
      <c r="J1" s="4" t="s">
        <v>38</v>
      </c>
      <c r="K1" s="4" t="s">
        <v>39</v>
      </c>
      <c r="L1" s="4" t="s">
        <v>40</v>
      </c>
      <c r="M1" s="4" t="s">
        <v>12</v>
      </c>
      <c r="N1" s="4" t="s">
        <v>41</v>
      </c>
      <c r="O1" s="4" t="s">
        <v>13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14</v>
      </c>
      <c r="V1" s="4" t="s">
        <v>47</v>
      </c>
      <c r="W1" s="4" t="s">
        <v>48</v>
      </c>
      <c r="X1" s="4" t="s">
        <v>49</v>
      </c>
      <c r="Y1" s="4" t="s">
        <v>15</v>
      </c>
      <c r="Z1" s="4" t="s">
        <v>50</v>
      </c>
      <c r="AA1" s="4" t="s">
        <v>16</v>
      </c>
      <c r="AB1" s="4" t="s">
        <v>51</v>
      </c>
      <c r="AC1" s="4" t="s">
        <v>52</v>
      </c>
      <c r="AD1" s="4" t="s">
        <v>53</v>
      </c>
      <c r="AE1" s="5" t="s">
        <v>2</v>
      </c>
      <c r="AF1" s="5" t="s">
        <v>54</v>
      </c>
      <c r="AG1" s="5" t="s">
        <v>3</v>
      </c>
      <c r="AH1" s="5" t="s">
        <v>55</v>
      </c>
      <c r="AI1" s="5" t="s">
        <v>56</v>
      </c>
      <c r="AJ1" s="5" t="s">
        <v>57</v>
      </c>
      <c r="AK1" s="5" t="s">
        <v>4</v>
      </c>
      <c r="AL1" s="5" t="s">
        <v>58</v>
      </c>
      <c r="AM1" s="5" t="s">
        <v>5</v>
      </c>
      <c r="AN1" s="5" t="s">
        <v>59</v>
      </c>
      <c r="AO1" s="5" t="s">
        <v>60</v>
      </c>
      <c r="AP1" s="5" t="s">
        <v>61</v>
      </c>
      <c r="AQ1" s="5" t="s">
        <v>6</v>
      </c>
      <c r="AR1" s="5" t="s">
        <v>62</v>
      </c>
      <c r="AS1" s="5" t="s">
        <v>7</v>
      </c>
      <c r="AT1" s="5" t="s">
        <v>63</v>
      </c>
      <c r="AU1" s="5" t="s">
        <v>64</v>
      </c>
      <c r="AV1" s="5" t="s">
        <v>65</v>
      </c>
      <c r="AW1" s="5" t="s">
        <v>8</v>
      </c>
      <c r="AX1" s="5" t="s">
        <v>66</v>
      </c>
      <c r="AY1" s="5" t="s">
        <v>9</v>
      </c>
      <c r="AZ1" s="5" t="s">
        <v>67</v>
      </c>
      <c r="BA1" s="5" t="s">
        <v>68</v>
      </c>
      <c r="BB1" s="5" t="s">
        <v>69</v>
      </c>
      <c r="BC1" s="12" t="s">
        <v>23</v>
      </c>
      <c r="BD1" s="12" t="s">
        <v>70</v>
      </c>
      <c r="BE1" s="12" t="s">
        <v>24</v>
      </c>
      <c r="BF1" s="12" t="s">
        <v>71</v>
      </c>
      <c r="BG1" s="12" t="s">
        <v>72</v>
      </c>
      <c r="BH1" s="12" t="s">
        <v>73</v>
      </c>
      <c r="BI1" s="12" t="s">
        <v>74</v>
      </c>
      <c r="BJ1" s="12" t="s">
        <v>25</v>
      </c>
      <c r="BK1" s="12" t="s">
        <v>75</v>
      </c>
      <c r="BL1" s="12" t="s">
        <v>76</v>
      </c>
      <c r="BM1" s="12" t="s">
        <v>77</v>
      </c>
      <c r="BN1" s="12" t="s">
        <v>78</v>
      </c>
      <c r="BO1" s="12" t="s">
        <v>26</v>
      </c>
      <c r="BP1" s="12" t="s">
        <v>27</v>
      </c>
      <c r="BQ1" s="12" t="s">
        <v>28</v>
      </c>
      <c r="BR1" s="12" t="s">
        <v>79</v>
      </c>
      <c r="BS1" s="12" t="s">
        <v>80</v>
      </c>
      <c r="BT1" s="12" t="s">
        <v>81</v>
      </c>
      <c r="BU1" s="12" t="s">
        <v>82</v>
      </c>
      <c r="BV1" s="12" t="s">
        <v>29</v>
      </c>
      <c r="BW1" s="12" t="s">
        <v>30</v>
      </c>
      <c r="BX1" s="12" t="s">
        <v>83</v>
      </c>
      <c r="BY1" s="12" t="s">
        <v>84</v>
      </c>
      <c r="BZ1" s="12" t="s">
        <v>85</v>
      </c>
      <c r="CA1" s="6" t="s">
        <v>17</v>
      </c>
      <c r="CB1" s="6" t="s">
        <v>86</v>
      </c>
      <c r="CC1" s="6" t="s">
        <v>18</v>
      </c>
      <c r="CD1" s="6" t="s">
        <v>87</v>
      </c>
      <c r="CE1" s="6" t="s">
        <v>88</v>
      </c>
      <c r="CF1" s="6" t="s">
        <v>89</v>
      </c>
      <c r="CG1" s="6" t="s">
        <v>90</v>
      </c>
      <c r="CH1" s="7" t="s">
        <v>19</v>
      </c>
      <c r="CI1" s="7" t="s">
        <v>91</v>
      </c>
      <c r="CJ1" s="8" t="s">
        <v>20</v>
      </c>
      <c r="CK1" s="9" t="s">
        <v>21</v>
      </c>
      <c r="CL1" s="10" t="s">
        <v>22</v>
      </c>
    </row>
    <row r="2" spans="1:90">
      <c r="A2" s="14" t="s">
        <v>31</v>
      </c>
      <c r="B2" s="14" t="s">
        <v>32</v>
      </c>
      <c r="C2" s="15">
        <v>0</v>
      </c>
      <c r="D2" s="15">
        <v>0</v>
      </c>
      <c r="E2" s="15">
        <v>0</v>
      </c>
      <c r="F2" s="15">
        <v>0</v>
      </c>
      <c r="G2" s="15">
        <v>17</v>
      </c>
      <c r="H2" s="15">
        <v>17</v>
      </c>
      <c r="I2" s="15">
        <v>3400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1</v>
      </c>
      <c r="T2" s="15">
        <v>62</v>
      </c>
      <c r="U2" s="15">
        <v>11160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62</v>
      </c>
      <c r="AF2" s="15">
        <v>62</v>
      </c>
      <c r="AG2" s="15">
        <v>14880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80</v>
      </c>
      <c r="CB2" s="15">
        <v>141</v>
      </c>
      <c r="CC2" s="15">
        <v>29440</v>
      </c>
      <c r="CD2" s="15">
        <v>0</v>
      </c>
      <c r="CE2" s="15">
        <v>0</v>
      </c>
      <c r="CF2" s="15">
        <v>0</v>
      </c>
      <c r="CG2" s="16">
        <v>18110.400000000001</v>
      </c>
      <c r="CH2" s="15">
        <v>29440</v>
      </c>
      <c r="CI2" s="15">
        <v>0</v>
      </c>
      <c r="CJ2" s="16">
        <v>18110.400000000001</v>
      </c>
    </row>
    <row r="3" spans="1:90">
      <c r="A3" s="14" t="s">
        <v>94</v>
      </c>
      <c r="B3" s="14" t="s">
        <v>95</v>
      </c>
      <c r="C3" s="15">
        <v>0</v>
      </c>
      <c r="D3" s="15">
        <v>0</v>
      </c>
      <c r="E3" s="15">
        <v>0</v>
      </c>
      <c r="F3" s="15">
        <v>0</v>
      </c>
      <c r="G3" s="15">
        <v>522</v>
      </c>
      <c r="H3" s="15">
        <v>522</v>
      </c>
      <c r="I3" s="15">
        <v>104400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6</v>
      </c>
      <c r="T3" s="15">
        <v>378</v>
      </c>
      <c r="U3" s="15">
        <v>68040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447</v>
      </c>
      <c r="AF3" s="15">
        <v>447</v>
      </c>
      <c r="AG3" s="15">
        <v>107280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4</v>
      </c>
      <c r="AR3" s="15">
        <v>252</v>
      </c>
      <c r="AS3" s="15">
        <v>54432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2</v>
      </c>
      <c r="BD3" s="15">
        <v>2</v>
      </c>
      <c r="BE3" s="15">
        <v>480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981</v>
      </c>
      <c r="CB3" s="15">
        <v>1601</v>
      </c>
      <c r="CC3" s="15">
        <v>334632</v>
      </c>
      <c r="CD3" s="15">
        <v>0</v>
      </c>
      <c r="CE3" s="15">
        <v>0</v>
      </c>
      <c r="CF3" s="15">
        <v>0</v>
      </c>
      <c r="CG3" s="16">
        <v>205577.76</v>
      </c>
      <c r="CH3" s="15">
        <v>334632</v>
      </c>
      <c r="CI3" s="15">
        <v>0</v>
      </c>
      <c r="CJ3" s="16">
        <v>205577.76</v>
      </c>
    </row>
    <row r="4" spans="1:90">
      <c r="A4" s="14" t="s">
        <v>92</v>
      </c>
      <c r="B4" s="14" t="s">
        <v>93</v>
      </c>
      <c r="C4" s="15">
        <v>0</v>
      </c>
      <c r="D4" s="15">
        <v>0</v>
      </c>
      <c r="E4" s="15">
        <v>0</v>
      </c>
      <c r="F4" s="15">
        <v>0</v>
      </c>
      <c r="G4" s="15">
        <v>1</v>
      </c>
      <c r="H4" s="15">
        <v>1</v>
      </c>
      <c r="I4" s="15">
        <v>200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1</v>
      </c>
      <c r="CB4" s="15">
        <v>1</v>
      </c>
      <c r="CC4" s="15">
        <v>200</v>
      </c>
      <c r="CD4" s="15">
        <v>0</v>
      </c>
      <c r="CE4" s="15">
        <v>0</v>
      </c>
      <c r="CF4" s="15">
        <v>0</v>
      </c>
      <c r="CG4" s="15">
        <v>120</v>
      </c>
      <c r="CH4" s="15">
        <v>200</v>
      </c>
      <c r="CI4" s="15">
        <v>0</v>
      </c>
      <c r="CJ4" s="15">
        <v>120</v>
      </c>
    </row>
    <row r="5" spans="1:90">
      <c r="CJ5" s="13">
        <f>SUM(CJ2:CJ4)</f>
        <v>223808.16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2022-12-05T01:23:37Z</dcterms:modified>
</cp:coreProperties>
</file>