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15570" yWindow="45" windowWidth="28035" windowHeight="12570" tabRatio="853"/>
  </bookViews>
  <sheets>
    <sheet name="전체 (11)" sheetId="134" r:id="rId1"/>
  </sheets>
  <definedNames>
    <definedName name="_xlnm._FilterDatabase" localSheetId="0" hidden="1">'전체 (11)'!#REF!</definedName>
    <definedName name="_xlnm.Extract" localSheetId="0">'전체 (11)'!#REF!</definedName>
  </definedNames>
  <calcPr calcId="152511"/>
</workbook>
</file>

<file path=xl/calcChain.xml><?xml version="1.0" encoding="utf-8"?>
<calcChain xmlns="http://schemas.openxmlformats.org/spreadsheetml/2006/main">
  <c r="AG19" i="134" l="1"/>
</calcChain>
</file>

<file path=xl/sharedStrings.xml><?xml version="1.0" encoding="utf-8"?>
<sst xmlns="http://schemas.openxmlformats.org/spreadsheetml/2006/main" count="188" uniqueCount="66">
  <si>
    <t>작품명</t>
  </si>
  <si>
    <t>결제유형</t>
  </si>
  <si>
    <t>플랫폼</t>
  </si>
  <si>
    <t>언어</t>
  </si>
  <si>
    <t>작가</t>
  </si>
  <si>
    <t>한국코미코</t>
  </si>
  <si>
    <t>Korean</t>
  </si>
  <si>
    <t>마스터작품명</t>
  </si>
  <si>
    <t>코인합계</t>
  </si>
  <si>
    <t>KRW</t>
  </si>
  <si>
    <t>일반결제</t>
  </si>
  <si>
    <t>매출년도</t>
  </si>
  <si>
    <t>매출월</t>
  </si>
  <si>
    <t>Content Type</t>
  </si>
  <si>
    <t>Content ID</t>
  </si>
  <si>
    <t>출판사</t>
  </si>
  <si>
    <t>정산대상분배금</t>
  </si>
  <si>
    <t>판매화수</t>
  </si>
  <si>
    <t>통화</t>
  </si>
  <si>
    <t>novel</t>
  </si>
  <si>
    <t/>
  </si>
  <si>
    <t>대여코인_사용</t>
    <phoneticPr fontId="2" type="noConversion"/>
  </si>
  <si>
    <t>대여코인_취소</t>
    <phoneticPr fontId="2" type="noConversion"/>
  </si>
  <si>
    <t>대여코인_무료사용</t>
    <phoneticPr fontId="2" type="noConversion"/>
  </si>
  <si>
    <t>대여코인_무료취소</t>
    <phoneticPr fontId="2" type="noConversion"/>
  </si>
  <si>
    <t>구매코인_사용</t>
    <phoneticPr fontId="2" type="noConversion"/>
  </si>
  <si>
    <t>구매코인_취소</t>
    <phoneticPr fontId="2" type="noConversion"/>
  </si>
  <si>
    <t>구매코인_무료사용</t>
    <phoneticPr fontId="2" type="noConversion"/>
  </si>
  <si>
    <t>구매코인_무료취소</t>
    <phoneticPr fontId="2" type="noConversion"/>
  </si>
  <si>
    <t>유상코인_(A)코인매출액</t>
    <phoneticPr fontId="2" type="noConversion"/>
  </si>
  <si>
    <t>유상코인_(B)마켓수수료율</t>
    <phoneticPr fontId="2" type="noConversion"/>
  </si>
  <si>
    <t>유상코인_(C)분배전매출[(A)×(1-B)]</t>
    <phoneticPr fontId="2" type="noConversion"/>
  </si>
  <si>
    <t>유상코인_(D)RS율</t>
    <phoneticPr fontId="2" type="noConversion"/>
  </si>
  <si>
    <t>유상코인_배분금액[(C)×(D)]</t>
    <phoneticPr fontId="2" type="noConversion"/>
  </si>
  <si>
    <t>무상코인_(A')코인매출액</t>
    <phoneticPr fontId="2" type="noConversion"/>
  </si>
  <si>
    <t>무상코인_(B')마켓수수료율</t>
    <phoneticPr fontId="2" type="noConversion"/>
  </si>
  <si>
    <t>무상코인_(C')분배전매출[(A')×(1-B')]</t>
    <phoneticPr fontId="2" type="noConversion"/>
  </si>
  <si>
    <t>무상코인_(D')RS율</t>
    <phoneticPr fontId="2" type="noConversion"/>
  </si>
  <si>
    <t>무상코인_(E')배분금액[(C')×(D')]</t>
    <phoneticPr fontId="2" type="noConversion"/>
  </si>
  <si>
    <t>코인매출 합계</t>
    <phoneticPr fontId="2" type="noConversion"/>
  </si>
  <si>
    <t>배분금액 합계</t>
    <phoneticPr fontId="2" type="noConversion"/>
  </si>
  <si>
    <t>Google</t>
  </si>
  <si>
    <t>OneStore</t>
  </si>
  <si>
    <t>Ios</t>
  </si>
  <si>
    <t>디버프 마스터</t>
  </si>
  <si>
    <t>담화공</t>
  </si>
  <si>
    <t>나쁜 이혼</t>
  </si>
  <si>
    <t>나쁜 이혼 [연재][완]</t>
  </si>
  <si>
    <t>진숙</t>
  </si>
  <si>
    <t>magazine_novel</t>
  </si>
  <si>
    <t>격렬하게, 다시 한번</t>
  </si>
  <si>
    <t>허니레몬</t>
  </si>
  <si>
    <t>본능에 눈뜨다 (개정증보판)</t>
  </si>
  <si>
    <t>욕망에 눈뜨다</t>
  </si>
  <si>
    <t>셔틀</t>
  </si>
  <si>
    <t>혼자서는 못 해요</t>
  </si>
  <si>
    <t>몸서리</t>
  </si>
  <si>
    <t>기어이 사랑</t>
  </si>
  <si>
    <t>기어이 사랑 [연재][완]</t>
  </si>
  <si>
    <t>차홍주</t>
  </si>
  <si>
    <t>사랑을 놓치고</t>
  </si>
  <si>
    <t>사랑을 놓치고 [연재][완]</t>
  </si>
  <si>
    <t>성군이십니다 [완]</t>
  </si>
  <si>
    <t>이준영</t>
  </si>
  <si>
    <t>형사의 게임 [E]</t>
  </si>
  <si>
    <t>무장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</si>
</sst>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####"/>
    <numFmt numFmtId="178" formatCode="#####"/>
    <numFmt numFmtId="179" formatCode="000.00%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FFFF00"/>
        <bgColor indexed="64"/>
      </patternFill>
    </fill>
    <fill>
      <patternFill patternType="solid">
        <fgColor rgb="FFEEF2F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051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1" fontId="0" fillId="0" borderId="0" xfId="30050" applyFont="1">
      <alignment vertical="center"/>
    </xf>
    <xf numFmtId="0" fontId="0" fillId="33" borderId="10" xfId="0" applyNumberFormat="1" applyFill="1" applyBorder="1" applyAlignment="1">
      <alignment horizontal="center" vertical="center"/>
    </xf>
    <xf numFmtId="0" fontId="0" fillId="33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center" vertical="center"/>
    </xf>
    <xf numFmtId="177" fontId="0" fillId="35" borderId="10" xfId="0" applyNumberFormat="1" applyFill="1" applyBorder="1" applyAlignment="1">
      <alignment horizontal="center" vertical="center"/>
    </xf>
    <xf numFmtId="3" fontId="0" fillId="35" borderId="10" xfId="0" applyNumberFormat="1" applyFill="1" applyBorder="1" applyAlignment="1">
      <alignment horizontal="center" vertical="center"/>
    </xf>
    <xf numFmtId="0" fontId="0" fillId="35" borderId="10" xfId="0" applyNumberFormat="1" applyFill="1" applyBorder="1" applyAlignment="1">
      <alignment horizontal="center" vertical="center"/>
    </xf>
    <xf numFmtId="178" fontId="0" fillId="35" borderId="10" xfId="0" applyNumberFormat="1" applyFill="1" applyBorder="1" applyAlignment="1">
      <alignment horizontal="right" vertical="center"/>
    </xf>
    <xf numFmtId="0" fontId="0" fillId="35" borderId="10" xfId="0" applyNumberFormat="1" applyFill="1" applyBorder="1" applyAlignment="1">
      <alignment horizontal="left" vertical="center"/>
    </xf>
    <xf numFmtId="3" fontId="0" fillId="35" borderId="10" xfId="0" applyNumberFormat="1" applyFill="1" applyBorder="1" applyAlignment="1">
      <alignment horizontal="right" vertical="center"/>
    </xf>
    <xf numFmtId="4" fontId="0" fillId="35" borderId="10" xfId="0" applyNumberFormat="1" applyFill="1" applyBorder="1" applyAlignment="1">
      <alignment horizontal="right" vertical="center"/>
    </xf>
    <xf numFmtId="179" fontId="0" fillId="35" borderId="10" xfId="0" applyNumberFormat="1" applyFill="1" applyBorder="1" applyAlignment="1">
      <alignment horizontal="right" vertical="center"/>
    </xf>
    <xf numFmtId="41" fontId="23" fillId="34" borderId="0" xfId="30050" applyFont="1" applyFill="1">
      <alignment vertical="center"/>
    </xf>
  </cellXfs>
  <cellStyles count="30051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50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35" xfId="30049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19"/>
  <sheetViews>
    <sheetView tabSelected="1" topLeftCell="N1" zoomScale="81" zoomScaleNormal="81" workbookViewId="0">
      <selection activeCell="AG19" sqref="AG19"/>
    </sheetView>
  </sheetViews>
  <sheetFormatPr defaultRowHeight="16.5" x14ac:dyDescent="0.3"/>
  <cols>
    <col min="5" max="5" width="10.75" bestFit="1" customWidth="1"/>
    <col min="6" max="6" width="19.75" bestFit="1" customWidth="1"/>
    <col min="7" max="7" width="7.375" bestFit="1" customWidth="1"/>
    <col min="8" max="8" width="11.5" bestFit="1" customWidth="1"/>
    <col min="9" max="9" width="10.75" bestFit="1" customWidth="1"/>
    <col min="10" max="10" width="7" bestFit="1" customWidth="1"/>
    <col min="11" max="11" width="8.875" bestFit="1" customWidth="1"/>
    <col min="12" max="12" width="13.75" bestFit="1" customWidth="1"/>
    <col min="13" max="13" width="5.25" bestFit="1" customWidth="1"/>
    <col min="14" max="14" width="6.875" customWidth="1"/>
    <col min="18" max="18" width="13.5" customWidth="1"/>
    <col min="19" max="19" width="12" customWidth="1"/>
    <col min="20" max="20" width="12.25" customWidth="1"/>
    <col min="21" max="21" width="11.125" customWidth="1"/>
    <col min="27" max="27" width="9.25" style="1" bestFit="1" customWidth="1"/>
    <col min="30" max="30" width="11.375" customWidth="1"/>
    <col min="31" max="32" width="13.625" bestFit="1" customWidth="1"/>
    <col min="33" max="33" width="14.875" bestFit="1" customWidth="1"/>
  </cols>
  <sheetData>
    <row r="1" spans="1:35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2</v>
      </c>
      <c r="F1" s="3" t="s">
        <v>7</v>
      </c>
      <c r="G1" s="3" t="s">
        <v>3</v>
      </c>
      <c r="H1" s="3" t="s">
        <v>0</v>
      </c>
      <c r="I1" s="4" t="s">
        <v>4</v>
      </c>
      <c r="J1" s="3" t="s">
        <v>15</v>
      </c>
      <c r="K1" s="3" t="s">
        <v>1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3" t="s">
        <v>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4" t="s">
        <v>16</v>
      </c>
      <c r="AH1" s="3" t="s">
        <v>17</v>
      </c>
      <c r="AI1" s="3" t="s">
        <v>18</v>
      </c>
    </row>
    <row r="2" spans="1:35" x14ac:dyDescent="0.3">
      <c r="A2" s="5">
        <v>2022</v>
      </c>
      <c r="B2" s="6">
        <v>11</v>
      </c>
      <c r="C2" s="7" t="s">
        <v>19</v>
      </c>
      <c r="D2" s="8">
        <v>18938</v>
      </c>
      <c r="E2" s="7" t="s">
        <v>5</v>
      </c>
      <c r="F2" s="9" t="s">
        <v>50</v>
      </c>
      <c r="G2" s="9" t="s">
        <v>6</v>
      </c>
      <c r="H2" s="9" t="s">
        <v>50</v>
      </c>
      <c r="I2" s="9" t="s">
        <v>51</v>
      </c>
      <c r="J2" s="9" t="s">
        <v>20</v>
      </c>
      <c r="K2" s="7" t="s">
        <v>41</v>
      </c>
      <c r="L2" s="10">
        <v>0</v>
      </c>
      <c r="M2" s="10">
        <v>0</v>
      </c>
      <c r="N2" s="10">
        <v>0</v>
      </c>
      <c r="O2" s="10">
        <v>0</v>
      </c>
      <c r="P2" s="10">
        <v>112</v>
      </c>
      <c r="Q2" s="10">
        <v>0</v>
      </c>
      <c r="R2" s="10">
        <v>0</v>
      </c>
      <c r="S2" s="10">
        <v>0</v>
      </c>
      <c r="T2" s="10">
        <v>112</v>
      </c>
      <c r="U2" s="11">
        <v>11200</v>
      </c>
      <c r="V2" s="12">
        <v>0.3</v>
      </c>
      <c r="W2" s="11">
        <v>7840</v>
      </c>
      <c r="X2" s="12">
        <v>0.7</v>
      </c>
      <c r="Y2" s="11">
        <v>5488</v>
      </c>
      <c r="Z2" s="11">
        <v>0</v>
      </c>
      <c r="AA2" s="12">
        <v>0.3</v>
      </c>
      <c r="AB2" s="11">
        <v>0</v>
      </c>
      <c r="AC2" s="12">
        <v>0.7</v>
      </c>
      <c r="AD2" s="11">
        <v>0</v>
      </c>
      <c r="AE2" s="11">
        <v>11200</v>
      </c>
      <c r="AF2" s="11">
        <v>5488</v>
      </c>
      <c r="AG2" s="11">
        <v>5488</v>
      </c>
      <c r="AH2" s="10">
        <v>112</v>
      </c>
      <c r="AI2" s="7" t="s">
        <v>9</v>
      </c>
    </row>
    <row r="3" spans="1:35" x14ac:dyDescent="0.3">
      <c r="A3" s="5">
        <v>2022</v>
      </c>
      <c r="B3" s="6">
        <v>11</v>
      </c>
      <c r="C3" s="7" t="s">
        <v>19</v>
      </c>
      <c r="D3" s="8">
        <v>18247</v>
      </c>
      <c r="E3" s="7" t="s">
        <v>5</v>
      </c>
      <c r="F3" s="9" t="s">
        <v>57</v>
      </c>
      <c r="G3" s="9" t="s">
        <v>6</v>
      </c>
      <c r="H3" s="9" t="s">
        <v>58</v>
      </c>
      <c r="I3" s="9" t="s">
        <v>59</v>
      </c>
      <c r="J3" s="9" t="s">
        <v>20</v>
      </c>
      <c r="K3" s="7" t="s">
        <v>41</v>
      </c>
      <c r="L3" s="10">
        <v>0</v>
      </c>
      <c r="M3" s="10">
        <v>0</v>
      </c>
      <c r="N3" s="10">
        <v>0</v>
      </c>
      <c r="O3" s="10">
        <v>0</v>
      </c>
      <c r="P3" s="10">
        <v>1</v>
      </c>
      <c r="Q3" s="10">
        <v>0</v>
      </c>
      <c r="R3" s="10">
        <v>0</v>
      </c>
      <c r="S3" s="10">
        <v>0</v>
      </c>
      <c r="T3" s="10">
        <v>1</v>
      </c>
      <c r="U3" s="11">
        <v>100</v>
      </c>
      <c r="V3" s="12">
        <v>0.3</v>
      </c>
      <c r="W3" s="11">
        <v>70</v>
      </c>
      <c r="X3" s="12">
        <v>0.7</v>
      </c>
      <c r="Y3" s="11">
        <v>49</v>
      </c>
      <c r="Z3" s="11">
        <v>0</v>
      </c>
      <c r="AA3" s="12">
        <v>0.3</v>
      </c>
      <c r="AB3" s="11">
        <v>0</v>
      </c>
      <c r="AC3" s="12">
        <v>0.7</v>
      </c>
      <c r="AD3" s="11">
        <v>0</v>
      </c>
      <c r="AE3" s="11">
        <v>100</v>
      </c>
      <c r="AF3" s="11">
        <v>49</v>
      </c>
      <c r="AG3" s="11">
        <v>49</v>
      </c>
      <c r="AH3" s="10">
        <v>1</v>
      </c>
      <c r="AI3" s="7" t="s">
        <v>9</v>
      </c>
    </row>
    <row r="4" spans="1:35" x14ac:dyDescent="0.3">
      <c r="A4" s="5">
        <v>2022</v>
      </c>
      <c r="B4" s="6">
        <v>11</v>
      </c>
      <c r="C4" s="7" t="s">
        <v>19</v>
      </c>
      <c r="D4" s="8">
        <v>18246</v>
      </c>
      <c r="E4" s="7" t="s">
        <v>5</v>
      </c>
      <c r="F4" s="9" t="s">
        <v>46</v>
      </c>
      <c r="G4" s="9" t="s">
        <v>6</v>
      </c>
      <c r="H4" s="9" t="s">
        <v>47</v>
      </c>
      <c r="I4" s="9" t="s">
        <v>48</v>
      </c>
      <c r="J4" s="9" t="s">
        <v>20</v>
      </c>
      <c r="K4" s="7" t="s">
        <v>41</v>
      </c>
      <c r="L4" s="10">
        <v>0</v>
      </c>
      <c r="M4" s="10">
        <v>0</v>
      </c>
      <c r="N4" s="10">
        <v>0</v>
      </c>
      <c r="O4" s="10">
        <v>0</v>
      </c>
      <c r="P4" s="10">
        <v>5</v>
      </c>
      <c r="Q4" s="10">
        <v>0</v>
      </c>
      <c r="R4" s="10">
        <v>0</v>
      </c>
      <c r="S4" s="10">
        <v>0</v>
      </c>
      <c r="T4" s="10">
        <v>5</v>
      </c>
      <c r="U4" s="11">
        <v>500</v>
      </c>
      <c r="V4" s="12">
        <v>0.3</v>
      </c>
      <c r="W4" s="11">
        <v>350</v>
      </c>
      <c r="X4" s="12">
        <v>0.7</v>
      </c>
      <c r="Y4" s="11">
        <v>245</v>
      </c>
      <c r="Z4" s="11">
        <v>0</v>
      </c>
      <c r="AA4" s="12">
        <v>0.3</v>
      </c>
      <c r="AB4" s="11">
        <v>0</v>
      </c>
      <c r="AC4" s="12">
        <v>0.7</v>
      </c>
      <c r="AD4" s="11">
        <v>0</v>
      </c>
      <c r="AE4" s="11">
        <v>500</v>
      </c>
      <c r="AF4" s="11">
        <v>245</v>
      </c>
      <c r="AG4" s="11">
        <v>245</v>
      </c>
      <c r="AH4" s="10">
        <v>5</v>
      </c>
      <c r="AI4" s="7" t="s">
        <v>9</v>
      </c>
    </row>
    <row r="5" spans="1:35" x14ac:dyDescent="0.3">
      <c r="A5" s="5">
        <v>2022</v>
      </c>
      <c r="B5" s="6">
        <v>11</v>
      </c>
      <c r="C5" s="7" t="s">
        <v>19</v>
      </c>
      <c r="D5" s="8">
        <v>15883</v>
      </c>
      <c r="E5" s="7" t="s">
        <v>5</v>
      </c>
      <c r="F5" s="9" t="s">
        <v>44</v>
      </c>
      <c r="G5" s="9" t="s">
        <v>6</v>
      </c>
      <c r="H5" s="9" t="s">
        <v>44</v>
      </c>
      <c r="I5" s="9" t="s">
        <v>45</v>
      </c>
      <c r="J5" s="9" t="s">
        <v>20</v>
      </c>
      <c r="K5" s="7" t="s">
        <v>10</v>
      </c>
      <c r="L5" s="10">
        <v>0</v>
      </c>
      <c r="M5" s="10">
        <v>0</v>
      </c>
      <c r="N5" s="10">
        <v>0</v>
      </c>
      <c r="O5" s="10">
        <v>0</v>
      </c>
      <c r="P5" s="10">
        <v>167</v>
      </c>
      <c r="Q5" s="10">
        <v>0</v>
      </c>
      <c r="R5" s="10">
        <v>5</v>
      </c>
      <c r="S5" s="10">
        <v>0</v>
      </c>
      <c r="T5" s="10">
        <v>172</v>
      </c>
      <c r="U5" s="11">
        <v>16700</v>
      </c>
      <c r="V5" s="12">
        <v>0</v>
      </c>
      <c r="W5" s="11">
        <v>16700</v>
      </c>
      <c r="X5" s="12">
        <v>0.7</v>
      </c>
      <c r="Y5" s="11">
        <v>11690</v>
      </c>
      <c r="Z5" s="11">
        <v>500</v>
      </c>
      <c r="AA5" s="12">
        <v>0</v>
      </c>
      <c r="AB5" s="11">
        <v>500</v>
      </c>
      <c r="AC5" s="12">
        <v>0.7</v>
      </c>
      <c r="AD5" s="11">
        <v>350</v>
      </c>
      <c r="AE5" s="11">
        <v>17200</v>
      </c>
      <c r="AF5" s="11">
        <v>12040</v>
      </c>
      <c r="AG5" s="11">
        <v>12040</v>
      </c>
      <c r="AH5" s="10">
        <v>172</v>
      </c>
      <c r="AI5" s="7" t="s">
        <v>9</v>
      </c>
    </row>
    <row r="6" spans="1:35" x14ac:dyDescent="0.3">
      <c r="A6" s="5">
        <v>2022</v>
      </c>
      <c r="B6" s="6">
        <v>11</v>
      </c>
      <c r="C6" s="7" t="s">
        <v>19</v>
      </c>
      <c r="D6" s="8">
        <v>15883</v>
      </c>
      <c r="E6" s="7" t="s">
        <v>5</v>
      </c>
      <c r="F6" s="9" t="s">
        <v>44</v>
      </c>
      <c r="G6" s="9" t="s">
        <v>6</v>
      </c>
      <c r="H6" s="9" t="s">
        <v>44</v>
      </c>
      <c r="I6" s="9" t="s">
        <v>45</v>
      </c>
      <c r="J6" s="9" t="s">
        <v>20</v>
      </c>
      <c r="K6" s="7" t="s">
        <v>43</v>
      </c>
      <c r="L6" s="10">
        <v>0</v>
      </c>
      <c r="M6" s="10">
        <v>0</v>
      </c>
      <c r="N6" s="10">
        <v>0</v>
      </c>
      <c r="O6" s="10">
        <v>0</v>
      </c>
      <c r="P6" s="10">
        <v>113</v>
      </c>
      <c r="Q6" s="10">
        <v>0</v>
      </c>
      <c r="R6" s="10">
        <v>0</v>
      </c>
      <c r="S6" s="10">
        <v>0</v>
      </c>
      <c r="T6" s="10">
        <v>113</v>
      </c>
      <c r="U6" s="11">
        <v>11300</v>
      </c>
      <c r="V6" s="12">
        <v>0.3</v>
      </c>
      <c r="W6" s="11">
        <v>7910</v>
      </c>
      <c r="X6" s="12">
        <v>0.7</v>
      </c>
      <c r="Y6" s="11">
        <v>5537</v>
      </c>
      <c r="Z6" s="11">
        <v>0</v>
      </c>
      <c r="AA6" s="12">
        <v>0.3</v>
      </c>
      <c r="AB6" s="11">
        <v>0</v>
      </c>
      <c r="AC6" s="12">
        <v>0.7</v>
      </c>
      <c r="AD6" s="11">
        <v>0</v>
      </c>
      <c r="AE6" s="11">
        <v>11300</v>
      </c>
      <c r="AF6" s="11">
        <v>5537</v>
      </c>
      <c r="AG6" s="11">
        <v>5537</v>
      </c>
      <c r="AH6" s="10">
        <v>113</v>
      </c>
      <c r="AI6" s="7" t="s">
        <v>9</v>
      </c>
    </row>
    <row r="7" spans="1:35" x14ac:dyDescent="0.3">
      <c r="A7" s="5">
        <v>2022</v>
      </c>
      <c r="B7" s="6">
        <v>11</v>
      </c>
      <c r="C7" s="7" t="s">
        <v>19</v>
      </c>
      <c r="D7" s="8">
        <v>15883</v>
      </c>
      <c r="E7" s="7" t="s">
        <v>5</v>
      </c>
      <c r="F7" s="9" t="s">
        <v>44</v>
      </c>
      <c r="G7" s="9" t="s">
        <v>6</v>
      </c>
      <c r="H7" s="9" t="s">
        <v>44</v>
      </c>
      <c r="I7" s="9" t="s">
        <v>45</v>
      </c>
      <c r="J7" s="9" t="s">
        <v>20</v>
      </c>
      <c r="K7" s="7" t="s">
        <v>41</v>
      </c>
      <c r="L7" s="10">
        <v>0</v>
      </c>
      <c r="M7" s="10">
        <v>0</v>
      </c>
      <c r="N7" s="10">
        <v>0</v>
      </c>
      <c r="O7" s="10">
        <v>0</v>
      </c>
      <c r="P7" s="10">
        <v>57</v>
      </c>
      <c r="Q7" s="10">
        <v>0</v>
      </c>
      <c r="R7" s="10">
        <v>25</v>
      </c>
      <c r="S7" s="10">
        <v>0</v>
      </c>
      <c r="T7" s="10">
        <v>82</v>
      </c>
      <c r="U7" s="11">
        <v>5700</v>
      </c>
      <c r="V7" s="12">
        <v>0.3</v>
      </c>
      <c r="W7" s="11">
        <v>3990</v>
      </c>
      <c r="X7" s="12">
        <v>0.7</v>
      </c>
      <c r="Y7" s="11">
        <v>2793</v>
      </c>
      <c r="Z7" s="11">
        <v>2500</v>
      </c>
      <c r="AA7" s="12">
        <v>0.3</v>
      </c>
      <c r="AB7" s="11">
        <v>1750</v>
      </c>
      <c r="AC7" s="12">
        <v>0.7</v>
      </c>
      <c r="AD7" s="11">
        <v>1225</v>
      </c>
      <c r="AE7" s="11">
        <v>8200</v>
      </c>
      <c r="AF7" s="11">
        <v>4018</v>
      </c>
      <c r="AG7" s="11">
        <v>4018</v>
      </c>
      <c r="AH7" s="10">
        <v>82</v>
      </c>
      <c r="AI7" s="7" t="s">
        <v>9</v>
      </c>
    </row>
    <row r="8" spans="1:35" x14ac:dyDescent="0.3">
      <c r="A8" s="5">
        <v>2022</v>
      </c>
      <c r="B8" s="6">
        <v>11</v>
      </c>
      <c r="C8" s="7" t="s">
        <v>19</v>
      </c>
      <c r="D8" s="8">
        <v>15883</v>
      </c>
      <c r="E8" s="7" t="s">
        <v>5</v>
      </c>
      <c r="F8" s="9" t="s">
        <v>44</v>
      </c>
      <c r="G8" s="9" t="s">
        <v>6</v>
      </c>
      <c r="H8" s="9" t="s">
        <v>44</v>
      </c>
      <c r="I8" s="9" t="s">
        <v>45</v>
      </c>
      <c r="J8" s="9" t="s">
        <v>20</v>
      </c>
      <c r="K8" s="7" t="s">
        <v>42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1">
        <v>0</v>
      </c>
      <c r="V8" s="12">
        <v>0</v>
      </c>
      <c r="W8" s="11">
        <v>0</v>
      </c>
      <c r="X8" s="12">
        <v>0.7</v>
      </c>
      <c r="Y8" s="11">
        <v>0</v>
      </c>
      <c r="Z8" s="11">
        <v>0</v>
      </c>
      <c r="AA8" s="12">
        <v>0</v>
      </c>
      <c r="AB8" s="11">
        <v>0</v>
      </c>
      <c r="AC8" s="12">
        <v>0.7</v>
      </c>
      <c r="AD8" s="11">
        <v>0</v>
      </c>
      <c r="AE8" s="11">
        <v>0</v>
      </c>
      <c r="AF8" s="11">
        <v>0</v>
      </c>
      <c r="AG8" s="11">
        <v>0</v>
      </c>
      <c r="AH8" s="10">
        <v>0</v>
      </c>
      <c r="AI8" s="7" t="s">
        <v>9</v>
      </c>
    </row>
    <row r="9" spans="1:35" x14ac:dyDescent="0.3">
      <c r="A9" s="5">
        <v>2022</v>
      </c>
      <c r="B9" s="6">
        <v>11</v>
      </c>
      <c r="C9" s="7" t="s">
        <v>19</v>
      </c>
      <c r="D9" s="8">
        <v>18939</v>
      </c>
      <c r="E9" s="7" t="s">
        <v>5</v>
      </c>
      <c r="F9" s="9" t="s">
        <v>52</v>
      </c>
      <c r="G9" s="9" t="s">
        <v>6</v>
      </c>
      <c r="H9" s="9" t="s">
        <v>52</v>
      </c>
      <c r="I9" s="9" t="s">
        <v>51</v>
      </c>
      <c r="J9" s="9" t="s">
        <v>20</v>
      </c>
      <c r="K9" s="7" t="s">
        <v>43</v>
      </c>
      <c r="L9" s="10">
        <v>0</v>
      </c>
      <c r="M9" s="10">
        <v>0</v>
      </c>
      <c r="N9" s="10">
        <v>0</v>
      </c>
      <c r="O9" s="10">
        <v>0</v>
      </c>
      <c r="P9" s="10">
        <v>6</v>
      </c>
      <c r="Q9" s="10">
        <v>0</v>
      </c>
      <c r="R9" s="10">
        <v>0</v>
      </c>
      <c r="S9" s="10">
        <v>0</v>
      </c>
      <c r="T9" s="10">
        <v>6</v>
      </c>
      <c r="U9" s="11">
        <v>600</v>
      </c>
      <c r="V9" s="12">
        <v>0.3</v>
      </c>
      <c r="W9" s="11">
        <v>420</v>
      </c>
      <c r="X9" s="12">
        <v>0.7</v>
      </c>
      <c r="Y9" s="11">
        <v>294</v>
      </c>
      <c r="Z9" s="11">
        <v>0</v>
      </c>
      <c r="AA9" s="12">
        <v>0.3</v>
      </c>
      <c r="AB9" s="11">
        <v>0</v>
      </c>
      <c r="AC9" s="12">
        <v>0.7</v>
      </c>
      <c r="AD9" s="11">
        <v>0</v>
      </c>
      <c r="AE9" s="11">
        <v>600</v>
      </c>
      <c r="AF9" s="11">
        <v>294</v>
      </c>
      <c r="AG9" s="11">
        <v>294</v>
      </c>
      <c r="AH9" s="10">
        <v>6</v>
      </c>
      <c r="AI9" s="7" t="s">
        <v>9</v>
      </c>
    </row>
    <row r="10" spans="1:35" x14ac:dyDescent="0.3">
      <c r="A10" s="5">
        <v>2022</v>
      </c>
      <c r="B10" s="6">
        <v>11</v>
      </c>
      <c r="C10" s="7" t="s">
        <v>19</v>
      </c>
      <c r="D10" s="8">
        <v>18939</v>
      </c>
      <c r="E10" s="7" t="s">
        <v>5</v>
      </c>
      <c r="F10" s="9" t="s">
        <v>52</v>
      </c>
      <c r="G10" s="9" t="s">
        <v>6</v>
      </c>
      <c r="H10" s="9" t="s">
        <v>52</v>
      </c>
      <c r="I10" s="9" t="s">
        <v>51</v>
      </c>
      <c r="J10" s="9" t="s">
        <v>20</v>
      </c>
      <c r="K10" s="7" t="s">
        <v>41</v>
      </c>
      <c r="L10" s="10">
        <v>0</v>
      </c>
      <c r="M10" s="10">
        <v>0</v>
      </c>
      <c r="N10" s="10">
        <v>0</v>
      </c>
      <c r="O10" s="10">
        <v>0</v>
      </c>
      <c r="P10" s="10">
        <v>60</v>
      </c>
      <c r="Q10" s="10">
        <v>0</v>
      </c>
      <c r="R10" s="10">
        <v>0</v>
      </c>
      <c r="S10" s="10">
        <v>0</v>
      </c>
      <c r="T10" s="10">
        <v>60</v>
      </c>
      <c r="U10" s="11">
        <v>6000</v>
      </c>
      <c r="V10" s="12">
        <v>0.3</v>
      </c>
      <c r="W10" s="11">
        <v>4200</v>
      </c>
      <c r="X10" s="12">
        <v>0.7</v>
      </c>
      <c r="Y10" s="11">
        <v>2940</v>
      </c>
      <c r="Z10" s="11">
        <v>0</v>
      </c>
      <c r="AA10" s="12">
        <v>0.3</v>
      </c>
      <c r="AB10" s="11">
        <v>0</v>
      </c>
      <c r="AC10" s="12">
        <v>0.7</v>
      </c>
      <c r="AD10" s="11">
        <v>0</v>
      </c>
      <c r="AE10" s="11">
        <v>6000</v>
      </c>
      <c r="AF10" s="11">
        <v>2940</v>
      </c>
      <c r="AG10" s="11">
        <v>2940</v>
      </c>
      <c r="AH10" s="10">
        <v>60</v>
      </c>
      <c r="AI10" s="7" t="s">
        <v>9</v>
      </c>
    </row>
    <row r="11" spans="1:35" x14ac:dyDescent="0.3">
      <c r="A11" s="5">
        <v>2022</v>
      </c>
      <c r="B11" s="6">
        <v>11</v>
      </c>
      <c r="C11" s="7" t="s">
        <v>19</v>
      </c>
      <c r="D11" s="8">
        <v>18248</v>
      </c>
      <c r="E11" s="7" t="s">
        <v>5</v>
      </c>
      <c r="F11" s="9" t="s">
        <v>60</v>
      </c>
      <c r="G11" s="9" t="s">
        <v>6</v>
      </c>
      <c r="H11" s="9" t="s">
        <v>61</v>
      </c>
      <c r="I11" s="9" t="s">
        <v>59</v>
      </c>
      <c r="J11" s="9" t="s">
        <v>20</v>
      </c>
      <c r="K11" s="7" t="s">
        <v>41</v>
      </c>
      <c r="L11" s="10">
        <v>0</v>
      </c>
      <c r="M11" s="10">
        <v>0</v>
      </c>
      <c r="N11" s="10">
        <v>0</v>
      </c>
      <c r="O11" s="10">
        <v>0</v>
      </c>
      <c r="P11" s="10">
        <v>5</v>
      </c>
      <c r="Q11" s="10">
        <v>0</v>
      </c>
      <c r="R11" s="10">
        <v>0</v>
      </c>
      <c r="S11" s="10">
        <v>0</v>
      </c>
      <c r="T11" s="10">
        <v>5</v>
      </c>
      <c r="U11" s="11">
        <v>500</v>
      </c>
      <c r="V11" s="12">
        <v>0.3</v>
      </c>
      <c r="W11" s="11">
        <v>350</v>
      </c>
      <c r="X11" s="12">
        <v>0.7</v>
      </c>
      <c r="Y11" s="11">
        <v>245</v>
      </c>
      <c r="Z11" s="11">
        <v>0</v>
      </c>
      <c r="AA11" s="12">
        <v>0.3</v>
      </c>
      <c r="AB11" s="11">
        <v>0</v>
      </c>
      <c r="AC11" s="12">
        <v>0.7</v>
      </c>
      <c r="AD11" s="11">
        <v>0</v>
      </c>
      <c r="AE11" s="11">
        <v>500</v>
      </c>
      <c r="AF11" s="11">
        <v>245</v>
      </c>
      <c r="AG11" s="11">
        <v>245</v>
      </c>
      <c r="AH11" s="10">
        <v>5</v>
      </c>
      <c r="AI11" s="7" t="s">
        <v>9</v>
      </c>
    </row>
    <row r="12" spans="1:35" x14ac:dyDescent="0.3">
      <c r="A12" s="5">
        <v>2022</v>
      </c>
      <c r="B12" s="6">
        <v>11</v>
      </c>
      <c r="C12" s="7" t="s">
        <v>19</v>
      </c>
      <c r="D12" s="8">
        <v>7981</v>
      </c>
      <c r="E12" s="7" t="s">
        <v>5</v>
      </c>
      <c r="F12" s="9" t="s">
        <v>62</v>
      </c>
      <c r="G12" s="9" t="s">
        <v>6</v>
      </c>
      <c r="H12" s="9" t="s">
        <v>62</v>
      </c>
      <c r="I12" s="9" t="s">
        <v>63</v>
      </c>
      <c r="J12" s="9" t="s">
        <v>20</v>
      </c>
      <c r="K12" s="7" t="s">
        <v>10</v>
      </c>
      <c r="L12" s="10">
        <v>0</v>
      </c>
      <c r="M12" s="10">
        <v>0</v>
      </c>
      <c r="N12" s="10">
        <v>0</v>
      </c>
      <c r="O12" s="10">
        <v>0</v>
      </c>
      <c r="P12" s="10">
        <v>25</v>
      </c>
      <c r="Q12" s="10">
        <v>0</v>
      </c>
      <c r="R12" s="10">
        <v>0</v>
      </c>
      <c r="S12" s="10">
        <v>0</v>
      </c>
      <c r="T12" s="10">
        <v>25</v>
      </c>
      <c r="U12" s="11">
        <v>2500</v>
      </c>
      <c r="V12" s="12">
        <v>0</v>
      </c>
      <c r="W12" s="11">
        <v>2500</v>
      </c>
      <c r="X12" s="12">
        <v>0.7</v>
      </c>
      <c r="Y12" s="11">
        <v>1750</v>
      </c>
      <c r="Z12" s="11">
        <v>0</v>
      </c>
      <c r="AA12" s="12">
        <v>0</v>
      </c>
      <c r="AB12" s="11">
        <v>0</v>
      </c>
      <c r="AC12" s="12">
        <v>0.7</v>
      </c>
      <c r="AD12" s="11">
        <v>0</v>
      </c>
      <c r="AE12" s="11">
        <v>2500</v>
      </c>
      <c r="AF12" s="11">
        <v>1750</v>
      </c>
      <c r="AG12" s="11">
        <v>1750</v>
      </c>
      <c r="AH12" s="10">
        <v>25</v>
      </c>
      <c r="AI12" s="7" t="s">
        <v>9</v>
      </c>
    </row>
    <row r="13" spans="1:35" x14ac:dyDescent="0.3">
      <c r="A13" s="5">
        <v>2022</v>
      </c>
      <c r="B13" s="6">
        <v>11</v>
      </c>
      <c r="C13" s="7" t="s">
        <v>19</v>
      </c>
      <c r="D13" s="8">
        <v>18937</v>
      </c>
      <c r="E13" s="7" t="s">
        <v>5</v>
      </c>
      <c r="F13" s="9" t="s">
        <v>53</v>
      </c>
      <c r="G13" s="9" t="s">
        <v>6</v>
      </c>
      <c r="H13" s="9" t="s">
        <v>53</v>
      </c>
      <c r="I13" s="9" t="s">
        <v>54</v>
      </c>
      <c r="J13" s="9" t="s">
        <v>20</v>
      </c>
      <c r="K13" s="7" t="s">
        <v>41</v>
      </c>
      <c r="L13" s="10">
        <v>0</v>
      </c>
      <c r="M13" s="10">
        <v>0</v>
      </c>
      <c r="N13" s="10">
        <v>0</v>
      </c>
      <c r="O13" s="10">
        <v>0</v>
      </c>
      <c r="P13" s="10">
        <v>9</v>
      </c>
      <c r="Q13" s="10">
        <v>0</v>
      </c>
      <c r="R13" s="10">
        <v>2</v>
      </c>
      <c r="S13" s="10">
        <v>0</v>
      </c>
      <c r="T13" s="10">
        <v>11</v>
      </c>
      <c r="U13" s="11">
        <v>900</v>
      </c>
      <c r="V13" s="12">
        <v>0.3</v>
      </c>
      <c r="W13" s="11">
        <v>630</v>
      </c>
      <c r="X13" s="12">
        <v>0.7</v>
      </c>
      <c r="Y13" s="11">
        <v>441</v>
      </c>
      <c r="Z13" s="11">
        <v>200</v>
      </c>
      <c r="AA13" s="12">
        <v>0.3</v>
      </c>
      <c r="AB13" s="11">
        <v>140</v>
      </c>
      <c r="AC13" s="12">
        <v>0.7</v>
      </c>
      <c r="AD13" s="11">
        <v>98</v>
      </c>
      <c r="AE13" s="11">
        <v>1100</v>
      </c>
      <c r="AF13" s="11">
        <v>539</v>
      </c>
      <c r="AG13" s="11">
        <v>539</v>
      </c>
      <c r="AH13" s="10">
        <v>11</v>
      </c>
      <c r="AI13" s="7" t="s">
        <v>9</v>
      </c>
    </row>
    <row r="14" spans="1:35" x14ac:dyDescent="0.3">
      <c r="A14" s="5">
        <v>2022</v>
      </c>
      <c r="B14" s="6">
        <v>11</v>
      </c>
      <c r="C14" s="7" t="s">
        <v>49</v>
      </c>
      <c r="D14" s="8">
        <v>4621</v>
      </c>
      <c r="E14" s="7" t="s">
        <v>5</v>
      </c>
      <c r="F14" s="9" t="s">
        <v>64</v>
      </c>
      <c r="G14" s="9" t="s">
        <v>6</v>
      </c>
      <c r="H14" s="9" t="s">
        <v>64</v>
      </c>
      <c r="I14" s="9" t="s">
        <v>65</v>
      </c>
      <c r="J14" s="9" t="s">
        <v>20</v>
      </c>
      <c r="K14" s="7" t="s">
        <v>10</v>
      </c>
      <c r="L14" s="10">
        <v>4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4</v>
      </c>
      <c r="U14" s="11">
        <v>400</v>
      </c>
      <c r="V14" s="12">
        <v>0</v>
      </c>
      <c r="W14" s="11">
        <v>400</v>
      </c>
      <c r="X14" s="12">
        <v>0.7</v>
      </c>
      <c r="Y14" s="11">
        <v>280</v>
      </c>
      <c r="Z14" s="11">
        <v>0</v>
      </c>
      <c r="AA14" s="12">
        <v>0</v>
      </c>
      <c r="AB14" s="11">
        <v>0</v>
      </c>
      <c r="AC14" s="12">
        <v>0.7</v>
      </c>
      <c r="AD14" s="11">
        <v>0</v>
      </c>
      <c r="AE14" s="11">
        <v>400</v>
      </c>
      <c r="AF14" s="11">
        <v>280</v>
      </c>
      <c r="AG14" s="11">
        <v>280</v>
      </c>
      <c r="AH14" s="10">
        <v>4</v>
      </c>
      <c r="AI14" s="7" t="s">
        <v>9</v>
      </c>
    </row>
    <row r="15" spans="1:35" x14ac:dyDescent="0.3">
      <c r="A15" s="5">
        <v>2022</v>
      </c>
      <c r="B15" s="6">
        <v>11</v>
      </c>
      <c r="C15" s="7" t="s">
        <v>49</v>
      </c>
      <c r="D15" s="8">
        <v>4621</v>
      </c>
      <c r="E15" s="7" t="s">
        <v>5</v>
      </c>
      <c r="F15" s="9" t="s">
        <v>64</v>
      </c>
      <c r="G15" s="9" t="s">
        <v>6</v>
      </c>
      <c r="H15" s="9" t="s">
        <v>64</v>
      </c>
      <c r="I15" s="9" t="s">
        <v>65</v>
      </c>
      <c r="J15" s="9" t="s">
        <v>20</v>
      </c>
      <c r="K15" s="7" t="s">
        <v>41</v>
      </c>
      <c r="L15" s="10">
        <v>90</v>
      </c>
      <c r="M15" s="10">
        <v>0</v>
      </c>
      <c r="N15" s="10">
        <v>5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95</v>
      </c>
      <c r="U15" s="11">
        <v>9000</v>
      </c>
      <c r="V15" s="12">
        <v>0.3</v>
      </c>
      <c r="W15" s="11">
        <v>6300</v>
      </c>
      <c r="X15" s="12">
        <v>0.7</v>
      </c>
      <c r="Y15" s="11">
        <v>4410</v>
      </c>
      <c r="Z15" s="11">
        <v>500</v>
      </c>
      <c r="AA15" s="12">
        <v>0.3</v>
      </c>
      <c r="AB15" s="11">
        <v>350</v>
      </c>
      <c r="AC15" s="12">
        <v>0.7</v>
      </c>
      <c r="AD15" s="11">
        <v>245</v>
      </c>
      <c r="AE15" s="11">
        <v>9500</v>
      </c>
      <c r="AF15" s="11">
        <v>4655</v>
      </c>
      <c r="AG15" s="11">
        <v>4655</v>
      </c>
      <c r="AH15" s="10">
        <v>95</v>
      </c>
      <c r="AI15" s="7" t="s">
        <v>9</v>
      </c>
    </row>
    <row r="16" spans="1:35" x14ac:dyDescent="0.3">
      <c r="A16" s="5">
        <v>2022</v>
      </c>
      <c r="B16" s="6">
        <v>11</v>
      </c>
      <c r="C16" s="7" t="s">
        <v>19</v>
      </c>
      <c r="D16" s="8">
        <v>18935</v>
      </c>
      <c r="E16" s="7" t="s">
        <v>5</v>
      </c>
      <c r="F16" s="9" t="s">
        <v>55</v>
      </c>
      <c r="G16" s="9" t="s">
        <v>6</v>
      </c>
      <c r="H16" s="9" t="s">
        <v>55</v>
      </c>
      <c r="I16" s="9" t="s">
        <v>56</v>
      </c>
      <c r="J16" s="9" t="s">
        <v>20</v>
      </c>
      <c r="K16" s="7" t="s">
        <v>10</v>
      </c>
      <c r="L16" s="10">
        <v>0</v>
      </c>
      <c r="M16" s="10">
        <v>0</v>
      </c>
      <c r="N16" s="10">
        <v>0</v>
      </c>
      <c r="O16" s="10">
        <v>0</v>
      </c>
      <c r="P16" s="10">
        <v>34</v>
      </c>
      <c r="Q16" s="10">
        <v>0</v>
      </c>
      <c r="R16" s="10">
        <v>5</v>
      </c>
      <c r="S16" s="10">
        <v>0</v>
      </c>
      <c r="T16" s="10">
        <v>39</v>
      </c>
      <c r="U16" s="11">
        <v>3400</v>
      </c>
      <c r="V16" s="12">
        <v>0</v>
      </c>
      <c r="W16" s="11">
        <v>3400</v>
      </c>
      <c r="X16" s="12">
        <v>0.7</v>
      </c>
      <c r="Y16" s="11">
        <v>2380</v>
      </c>
      <c r="Z16" s="11">
        <v>500</v>
      </c>
      <c r="AA16" s="12">
        <v>0</v>
      </c>
      <c r="AB16" s="11">
        <v>500</v>
      </c>
      <c r="AC16" s="12">
        <v>0.7</v>
      </c>
      <c r="AD16" s="11">
        <v>350</v>
      </c>
      <c r="AE16" s="11">
        <v>3900</v>
      </c>
      <c r="AF16" s="11">
        <v>2730</v>
      </c>
      <c r="AG16" s="11">
        <v>2730</v>
      </c>
      <c r="AH16" s="10">
        <v>39</v>
      </c>
      <c r="AI16" s="7" t="s">
        <v>9</v>
      </c>
    </row>
    <row r="17" spans="1:35" x14ac:dyDescent="0.3">
      <c r="A17" s="5">
        <v>2022</v>
      </c>
      <c r="B17" s="6">
        <v>11</v>
      </c>
      <c r="C17" s="7" t="s">
        <v>19</v>
      </c>
      <c r="D17" s="8">
        <v>18935</v>
      </c>
      <c r="E17" s="7" t="s">
        <v>5</v>
      </c>
      <c r="F17" s="9" t="s">
        <v>55</v>
      </c>
      <c r="G17" s="9" t="s">
        <v>6</v>
      </c>
      <c r="H17" s="9" t="s">
        <v>55</v>
      </c>
      <c r="I17" s="9" t="s">
        <v>56</v>
      </c>
      <c r="J17" s="9" t="s">
        <v>20</v>
      </c>
      <c r="K17" s="7" t="s">
        <v>43</v>
      </c>
      <c r="L17" s="10">
        <v>0</v>
      </c>
      <c r="M17" s="10">
        <v>0</v>
      </c>
      <c r="N17" s="10">
        <v>0</v>
      </c>
      <c r="O17" s="10">
        <v>0</v>
      </c>
      <c r="P17" s="10">
        <v>8</v>
      </c>
      <c r="Q17" s="10">
        <v>0</v>
      </c>
      <c r="R17" s="10">
        <v>0</v>
      </c>
      <c r="S17" s="10">
        <v>0</v>
      </c>
      <c r="T17" s="10">
        <v>8</v>
      </c>
      <c r="U17" s="11">
        <v>800</v>
      </c>
      <c r="V17" s="12">
        <v>0.3</v>
      </c>
      <c r="W17" s="11">
        <v>560</v>
      </c>
      <c r="X17" s="12">
        <v>0.7</v>
      </c>
      <c r="Y17" s="11">
        <v>392</v>
      </c>
      <c r="Z17" s="11">
        <v>0</v>
      </c>
      <c r="AA17" s="12">
        <v>0.3</v>
      </c>
      <c r="AB17" s="11">
        <v>0</v>
      </c>
      <c r="AC17" s="12">
        <v>0.7</v>
      </c>
      <c r="AD17" s="11">
        <v>0</v>
      </c>
      <c r="AE17" s="11">
        <v>800</v>
      </c>
      <c r="AF17" s="11">
        <v>392</v>
      </c>
      <c r="AG17" s="11">
        <v>392</v>
      </c>
      <c r="AH17" s="10">
        <v>8</v>
      </c>
      <c r="AI17" s="7" t="s">
        <v>9</v>
      </c>
    </row>
    <row r="18" spans="1:35" x14ac:dyDescent="0.3">
      <c r="A18" s="5">
        <v>2022</v>
      </c>
      <c r="B18" s="6">
        <v>11</v>
      </c>
      <c r="C18" s="7" t="s">
        <v>19</v>
      </c>
      <c r="D18" s="8">
        <v>18935</v>
      </c>
      <c r="E18" s="7" t="s">
        <v>5</v>
      </c>
      <c r="F18" s="9" t="s">
        <v>55</v>
      </c>
      <c r="G18" s="9" t="s">
        <v>6</v>
      </c>
      <c r="H18" s="9" t="s">
        <v>55</v>
      </c>
      <c r="I18" s="9" t="s">
        <v>56</v>
      </c>
      <c r="J18" s="9" t="s">
        <v>20</v>
      </c>
      <c r="K18" s="7" t="s">
        <v>41</v>
      </c>
      <c r="L18" s="10">
        <v>0</v>
      </c>
      <c r="M18" s="10">
        <v>0</v>
      </c>
      <c r="N18" s="10">
        <v>0</v>
      </c>
      <c r="O18" s="10">
        <v>0</v>
      </c>
      <c r="P18" s="10">
        <v>186</v>
      </c>
      <c r="Q18" s="10">
        <v>0</v>
      </c>
      <c r="R18" s="10">
        <v>107</v>
      </c>
      <c r="S18" s="10">
        <v>0</v>
      </c>
      <c r="T18" s="10">
        <v>293</v>
      </c>
      <c r="U18" s="11">
        <v>18600</v>
      </c>
      <c r="V18" s="12">
        <v>0.3</v>
      </c>
      <c r="W18" s="11">
        <v>13020</v>
      </c>
      <c r="X18" s="12">
        <v>0.7</v>
      </c>
      <c r="Y18" s="11">
        <v>9114</v>
      </c>
      <c r="Z18" s="11">
        <v>10700</v>
      </c>
      <c r="AA18" s="12">
        <v>0.3</v>
      </c>
      <c r="AB18" s="11">
        <v>7490</v>
      </c>
      <c r="AC18" s="12">
        <v>0.7</v>
      </c>
      <c r="AD18" s="11">
        <v>5243</v>
      </c>
      <c r="AE18" s="11">
        <v>29300</v>
      </c>
      <c r="AF18" s="11">
        <v>14357</v>
      </c>
      <c r="AG18" s="11">
        <v>14357</v>
      </c>
      <c r="AH18" s="10">
        <v>293</v>
      </c>
      <c r="AI18" s="7" t="s">
        <v>9</v>
      </c>
    </row>
    <row r="19" spans="1:35" x14ac:dyDescent="0.3">
      <c r="AG19" s="13">
        <f>SUM(AG2:AG18)</f>
        <v>55559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2022-12-02T02:46:46Z</dcterms:modified>
</cp:coreProperties>
</file>