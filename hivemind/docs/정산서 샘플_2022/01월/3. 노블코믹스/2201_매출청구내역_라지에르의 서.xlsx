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1월매출\3. 노블코믹스\"/>
    </mc:Choice>
  </mc:AlternateContent>
  <bookViews>
    <workbookView xWindow="4008" yWindow="1176" windowWidth="22092" windowHeight="14280" activeTab="1"/>
  </bookViews>
  <sheets>
    <sheet name="서비스현황" sheetId="28" r:id="rId1"/>
    <sheet name="합계(12)" sheetId="62" r:id="rId2"/>
    <sheet name="202112" sheetId="67" r:id="rId3"/>
    <sheet name="202111" sheetId="66" r:id="rId4"/>
    <sheet name="202110" sheetId="65" r:id="rId5"/>
    <sheet name="202109" sheetId="64" r:id="rId6"/>
    <sheet name="202108" sheetId="63" r:id="rId7"/>
    <sheet name="202107" sheetId="60" r:id="rId8"/>
  </sheets>
  <calcPr calcId="152511"/>
</workbook>
</file>

<file path=xl/calcChain.xml><?xml version="1.0" encoding="utf-8"?>
<calcChain xmlns="http://schemas.openxmlformats.org/spreadsheetml/2006/main">
  <c r="F10" i="62" l="1"/>
  <c r="E10" i="62"/>
  <c r="D10" i="62"/>
  <c r="J5" i="67"/>
  <c r="J4" i="67"/>
  <c r="J6" i="67" s="1"/>
  <c r="F6" i="67"/>
  <c r="E6" i="67"/>
  <c r="D6" i="67"/>
  <c r="C6" i="67"/>
  <c r="H5" i="67"/>
  <c r="I5" i="67" s="1"/>
  <c r="G4" i="67"/>
  <c r="G6" i="67" s="1"/>
  <c r="H4" i="67" l="1"/>
  <c r="I4" i="67" s="1"/>
  <c r="I6" i="67" s="1"/>
  <c r="H6" i="67"/>
  <c r="F9" i="62" l="1"/>
  <c r="E9" i="62"/>
  <c r="D9" i="62"/>
  <c r="F6" i="66"/>
  <c r="E6" i="66"/>
  <c r="D6" i="66"/>
  <c r="C6" i="66"/>
  <c r="H5" i="66"/>
  <c r="I5" i="66" s="1"/>
  <c r="J5" i="66" s="1"/>
  <c r="G4" i="66"/>
  <c r="H4" i="66" s="1"/>
  <c r="I4" i="66" l="1"/>
  <c r="H6" i="66"/>
  <c r="G6" i="66"/>
  <c r="H8" i="65"/>
  <c r="D8" i="62"/>
  <c r="E8" i="62"/>
  <c r="F8" i="62"/>
  <c r="J9" i="65"/>
  <c r="G8" i="65"/>
  <c r="I9" i="65" s="1"/>
  <c r="H7" i="65"/>
  <c r="I7" i="65" s="1"/>
  <c r="J7" i="65" s="1"/>
  <c r="G6" i="65"/>
  <c r="H6" i="65" s="1"/>
  <c r="I6" i="65" s="1"/>
  <c r="J6" i="65" s="1"/>
  <c r="J5" i="65"/>
  <c r="F9" i="65"/>
  <c r="E9" i="65"/>
  <c r="D9" i="65"/>
  <c r="C9" i="65"/>
  <c r="H5" i="65"/>
  <c r="I5" i="65" s="1"/>
  <c r="G4" i="65"/>
  <c r="G9" i="65" s="1"/>
  <c r="I6" i="66" l="1"/>
  <c r="J4" i="66"/>
  <c r="J6" i="66" s="1"/>
  <c r="H4" i="65"/>
  <c r="H9" i="65" l="1"/>
  <c r="I4" i="65"/>
  <c r="J4" i="65" l="1"/>
  <c r="F7" i="62" l="1"/>
  <c r="F6" i="62"/>
  <c r="G6" i="64"/>
  <c r="G5" i="64"/>
  <c r="G4" i="64"/>
  <c r="E6" i="62"/>
  <c r="D6" i="62"/>
  <c r="D6" i="64"/>
  <c r="C6" i="64"/>
  <c r="E5" i="64"/>
  <c r="F5" i="64" s="1"/>
  <c r="E4" i="64"/>
  <c r="E6" i="64" s="1"/>
  <c r="F4" i="64" l="1"/>
  <c r="F6" i="64" s="1"/>
  <c r="F5" i="62" l="1"/>
  <c r="G4" i="63"/>
  <c r="G5" i="63" s="1"/>
  <c r="D5" i="63"/>
  <c r="D5" i="62" s="1"/>
  <c r="C5" i="63"/>
  <c r="E4" i="63"/>
  <c r="F4" i="63" s="1"/>
  <c r="F5" i="63" s="1"/>
  <c r="E5" i="62" s="1"/>
  <c r="E5" i="63" l="1"/>
  <c r="E3" i="62"/>
  <c r="F3" i="62"/>
  <c r="D3" i="62"/>
  <c r="F4" i="62"/>
  <c r="E4" i="62"/>
  <c r="D4" i="62"/>
  <c r="G4" i="60"/>
  <c r="G5" i="60" s="1"/>
  <c r="E4" i="60" l="1"/>
  <c r="F4" i="60" s="1"/>
  <c r="D5" i="60" l="1"/>
  <c r="C5" i="60"/>
  <c r="F5" i="60" l="1"/>
  <c r="E5" i="60"/>
</calcChain>
</file>

<file path=xl/sharedStrings.xml><?xml version="1.0" encoding="utf-8"?>
<sst xmlns="http://schemas.openxmlformats.org/spreadsheetml/2006/main" count="144" uniqueCount="85">
  <si>
    <t>플랫폼</t>
    <phoneticPr fontId="32" type="noConversion"/>
  </si>
  <si>
    <t>서비스 시작일</t>
    <phoneticPr fontId="32" type="noConversion"/>
  </si>
  <si>
    <t>서비스 사이트</t>
    <phoneticPr fontId="32" type="noConversion"/>
  </si>
  <si>
    <t>비고</t>
    <phoneticPr fontId="32" type="noConversion"/>
  </si>
  <si>
    <t>웹/앱 서비스</t>
    <phoneticPr fontId="30" type="noConversion"/>
  </si>
  <si>
    <t>해당월</t>
    <phoneticPr fontId="32" type="noConversion"/>
  </si>
  <si>
    <t>합계</t>
    <phoneticPr fontId="32" type="noConversion"/>
  </si>
  <si>
    <t>구분</t>
    <phoneticPr fontId="32" type="noConversion"/>
  </si>
  <si>
    <t>고료(또는 MG) 수익(2)</t>
    <phoneticPr fontId="32" type="noConversion"/>
  </si>
  <si>
    <t>유료 정산 수익(3)</t>
    <phoneticPr fontId="32" type="noConversion"/>
  </si>
  <si>
    <t>유료 정산 초과 수익(4)</t>
    <phoneticPr fontId="32" type="noConversion"/>
  </si>
  <si>
    <t>*(2) 고료(또는 MG) 수익 = 화당 비용 * 해당월 업데이트 분량</t>
    <phoneticPr fontId="32" type="noConversion"/>
  </si>
  <si>
    <t>*(3) 유료 정산 수익 = 플랫폼 순매출 * 수익배분율(RS%)</t>
    <phoneticPr fontId="32" type="noConversion"/>
  </si>
  <si>
    <t>*(4) 유료정산초과수익 = 유료 정산 수익 - MG 수익( - 일 경우 0)</t>
    <phoneticPr fontId="32" type="noConversion"/>
  </si>
  <si>
    <t>원작사 배분 수익 합계(5)</t>
    <phoneticPr fontId="32" type="noConversion"/>
  </si>
  <si>
    <t>*(5) 원작사 배분 수익 합계 = (고료(또는 MG) 수익 + 유료 정산 초과 수익)  * 15%</t>
    <phoneticPr fontId="32" type="noConversion"/>
  </si>
  <si>
    <t>카카오페이지</t>
    <phoneticPr fontId="30" type="noConversion"/>
  </si>
  <si>
    <t>2021.07.14</t>
    <phoneticPr fontId="30" type="noConversion"/>
  </si>
  <si>
    <t>https://page.kakao.com/home?seriesId=57419661</t>
    <phoneticPr fontId="30" type="noConversion"/>
  </si>
  <si>
    <t>o (라지에르의서) '원작사 배분 수익 합계' 세부 내역</t>
  </si>
  <si>
    <t>카카오페이지</t>
    <phoneticPr fontId="32" type="noConversion"/>
  </si>
  <si>
    <t>라지에르의서</t>
    <phoneticPr fontId="32" type="noConversion"/>
  </si>
  <si>
    <t>*(6) 원작가 배분 수익 합계 = ((5)원작사 배분 수익 합계)  * 20%</t>
    <phoneticPr fontId="32" type="noConversion"/>
  </si>
  <si>
    <t>작가 배분 수익 합계(6)</t>
    <phoneticPr fontId="32" type="noConversion"/>
  </si>
  <si>
    <t>총 판매액</t>
    <phoneticPr fontId="30" type="noConversion"/>
  </si>
  <si>
    <r>
      <t>2</t>
    </r>
    <r>
      <rPr>
        <sz val="11"/>
        <color rgb="FF000000"/>
        <rFont val="맑은 고딕"/>
        <family val="3"/>
        <charset val="129"/>
      </rPr>
      <t>1년 07월</t>
    </r>
    <phoneticPr fontId="30" type="noConversion"/>
  </si>
  <si>
    <t>21년 08월</t>
    <phoneticPr fontId="30" type="noConversion"/>
  </si>
  <si>
    <t>SW 매출(15%)</t>
    <phoneticPr fontId="30" type="noConversion"/>
  </si>
  <si>
    <t>작가 분배(20%)</t>
    <phoneticPr fontId="30" type="noConversion"/>
  </si>
  <si>
    <t>누적 합계</t>
    <phoneticPr fontId="30" type="noConversion"/>
  </si>
  <si>
    <t>정산 월</t>
    <phoneticPr fontId="30" type="noConversion"/>
  </si>
  <si>
    <t>판매 월</t>
    <phoneticPr fontId="30" type="noConversion"/>
  </si>
  <si>
    <t>원작사 배분 수익 합계(5)</t>
    <phoneticPr fontId="32" type="noConversion"/>
  </si>
  <si>
    <t>카카오페이지</t>
    <phoneticPr fontId="32" type="noConversion"/>
  </si>
  <si>
    <t>*(2) 고료(또는 MG) 수익 = 화당 비용 * 해당월 업데이트 분량</t>
    <phoneticPr fontId="32" type="noConversion"/>
  </si>
  <si>
    <t>21년 09월</t>
    <phoneticPr fontId="30" type="noConversion"/>
  </si>
  <si>
    <t>21년 08월</t>
    <phoneticPr fontId="30" type="noConversion"/>
  </si>
  <si>
    <t>카카오페이지</t>
  </si>
  <si>
    <t>카카오웹툰</t>
  </si>
  <si>
    <t>21년 10월</t>
    <phoneticPr fontId="30" type="noConversion"/>
  </si>
  <si>
    <t>21년 11월</t>
    <phoneticPr fontId="30" type="noConversion"/>
  </si>
  <si>
    <t>해당월</t>
    <phoneticPr fontId="32" type="noConversion"/>
  </si>
  <si>
    <t>구분</t>
    <phoneticPr fontId="32" type="noConversion"/>
  </si>
  <si>
    <t>고료(또는 MG) 수익(2)</t>
    <phoneticPr fontId="32" type="noConversion"/>
  </si>
  <si>
    <t>카카오페이지 (3)</t>
    <phoneticPr fontId="32" type="noConversion"/>
  </si>
  <si>
    <t>카카오웹툰 (3)</t>
    <phoneticPr fontId="32" type="noConversion"/>
  </si>
  <si>
    <t>유료 정산 (3)</t>
    <phoneticPr fontId="30" type="noConversion"/>
  </si>
  <si>
    <t>유료 정산 초과 수익(4)</t>
    <phoneticPr fontId="32" type="noConversion"/>
  </si>
  <si>
    <t>총 수익(5)</t>
    <phoneticPr fontId="32" type="noConversion"/>
  </si>
  <si>
    <t>카카오페이지+카카오웹툰</t>
    <phoneticPr fontId="32" type="noConversion"/>
  </si>
  <si>
    <t>타파스틱_미국MG(7)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</si>
  <si>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</si>
  <si>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</si>
  <si>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 수익 = 플랫폼 순매출 * 수익배분율(RS%)</t>
    <phoneticPr fontId="32" type="noConversion"/>
  </si>
  <si>
    <t>*(4) 유료정산초과수익 = 유료 정산 수익 - MG 수익( - 일 경우 0)</t>
    <phoneticPr fontId="32" type="noConversion"/>
  </si>
  <si>
    <t>*(5) 총수익 = 각 플랫폼 별 (고료(또는 MG) 수익 + 유료 정산 수익)</t>
  </si>
  <si>
    <t>*(6) 원작사 배분 수익 합계 = (고료(또는 MG) 수익 + 유료 정산 초과 수익)  * 15%</t>
    <phoneticPr fontId="32" type="noConversion"/>
  </si>
  <si>
    <t>*(7) 해외 정산 = 플랫폼 순매출 * 수익배분율(RS%)</t>
    <phoneticPr fontId="32" type="noConversion"/>
  </si>
  <si>
    <t>21년 11월</t>
    <phoneticPr fontId="30" type="noConversion"/>
  </si>
  <si>
    <t>21년 10월</t>
    <phoneticPr fontId="30" type="noConversion"/>
  </si>
  <si>
    <t>SW 수익 합계(6)</t>
    <phoneticPr fontId="32" type="noConversion"/>
  </si>
  <si>
    <t>비고</t>
    <phoneticPr fontId="30" type="noConversion"/>
  </si>
  <si>
    <t>작가 10월 정산서에 9월 정산금 반영해야하나 8월 정산금 중복 정산함/ 당월 차액 보정</t>
    <phoneticPr fontId="30" type="noConversion"/>
  </si>
  <si>
    <r>
      <t xml:space="preserve">작가 </t>
    </r>
    <r>
      <rPr>
        <sz val="11"/>
        <color rgb="FF000000"/>
        <rFont val="맑은 고딕"/>
        <family val="3"/>
        <charset val="129"/>
      </rPr>
      <t>11월 정산내역서에 반영예정</t>
    </r>
    <phoneticPr fontId="30" type="noConversion"/>
  </si>
  <si>
    <t>작가 10월 정산 차액 보정(9월 정산금이 아닌 8월 정산금으로 중복 정산)</t>
    <phoneticPr fontId="30" type="noConversion"/>
  </si>
  <si>
    <t>해당월</t>
    <phoneticPr fontId="32" type="noConversion"/>
  </si>
  <si>
    <t>구분</t>
    <phoneticPr fontId="32" type="noConversion"/>
  </si>
  <si>
    <t>고료(또는 MG) 수익(2)</t>
    <phoneticPr fontId="32" type="noConversion"/>
  </si>
  <si>
    <t>카카오페이지 (3)</t>
    <phoneticPr fontId="32" type="noConversion"/>
  </si>
  <si>
    <t>카카오웹툰 (3)</t>
    <phoneticPr fontId="32" type="noConversion"/>
  </si>
  <si>
    <t>유료 정산 (3)</t>
    <phoneticPr fontId="30" type="noConversion"/>
  </si>
  <si>
    <t>유료 정산 초과 수익(4)</t>
    <phoneticPr fontId="32" type="noConversion"/>
  </si>
  <si>
    <t>총 수익(5)</t>
    <phoneticPr fontId="32" type="noConversion"/>
  </si>
  <si>
    <t>카카오페이지+카카오웹툰</t>
    <phoneticPr fontId="32" type="noConversion"/>
  </si>
  <si>
    <t>상계중</t>
    <phoneticPr fontId="30" type="noConversion"/>
  </si>
  <si>
    <t>타파스틱_미국MG(7)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</si>
  <si>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</si>
  <si>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</si>
  <si>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21년 12월</t>
    <phoneticPr fontId="30" type="noConversion"/>
  </si>
  <si>
    <t>유료 정산 초과 수익(4)</t>
    <phoneticPr fontId="32" type="noConversion"/>
  </si>
  <si>
    <t>원작사 배분 수익 합계(6)</t>
    <phoneticPr fontId="32" type="noConversion"/>
  </si>
  <si>
    <t>상계중</t>
    <phoneticPr fontId="30" type="noConversion"/>
  </si>
  <si>
    <t>*(4) 유료정산초과수익 = 유료 정산 수익 - MG 수익( - 일 경우 0)</t>
    <phoneticPr fontId="32" type="noConversion"/>
  </si>
  <si>
    <t>22년 1월</t>
    <phoneticPr fontId="30" type="noConversion"/>
  </si>
  <si>
    <t>21년 12월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</si>
</sst>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0.0"/>
    <numFmt numFmtId="177" formatCode="&quot;Yes&quot;;&quot;Yes&quot;;&quot;No&quot;"/>
    <numFmt numFmtId="178" formatCode="&quot;₩&quot;#,##0;[Red]&quot;₩&quot;&quot;₩&quot;&quot;₩&quot;&quot;₩&quot;\-&quot;₩&quot;#,##0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&quot;₩&quot;#,##0.00;[Red]&quot;₩&quot;&quot;₩&quot;&quot;₩&quot;&quot;₩&quot;&quot;₩&quot;&quot;₩&quot;&quot;₩&quot;\-#,##0.00"/>
    <numFmt numFmtId="183" formatCode="_ * #,##0_ ;_ * &quot;₩&quot;&quot;₩&quot;&quot;₩&quot;&quot;₩&quot;&quot;₩&quot;&quot;₩&quot;\-#,##0_ ;_ * &quot;-&quot;_ ;_ @_ "/>
    <numFmt numFmtId="184" formatCode="_-* #,##0.00_-;\-* #,##0.00_-;_-* &quot;-&quot;_-;_-@_-"/>
  </numFmts>
  <fonts count="52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2"/>
      <color rgb="FF000000"/>
      <name val="한컴바탕"/>
      <family val="1"/>
      <charset val="129"/>
    </font>
    <font>
      <sz val="11"/>
      <color rgb="FF000000"/>
      <name val="한컴바탕"/>
      <family val="1"/>
      <charset val="129"/>
    </font>
    <font>
      <sz val="10"/>
      <color rgb="FF000000"/>
      <name val="한컴바탕"/>
      <family val="1"/>
      <charset val="129"/>
    </font>
    <font>
      <b/>
      <sz val="10"/>
      <color rgb="FF000000"/>
      <name val="한컴바탕"/>
      <family val="1"/>
      <charset val="129"/>
    </font>
    <font>
      <sz val="10"/>
      <color rgb="FF000000"/>
      <name val="굴림체"/>
      <family val="3"/>
      <charset val="129"/>
    </font>
    <font>
      <sz val="8"/>
      <color rgb="FF000000"/>
      <name val="Arial"/>
      <family val="2"/>
    </font>
    <font>
      <sz val="16"/>
      <color rgb="FF000000"/>
      <name val="굴림체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한컴바탕"/>
      <family val="1"/>
      <charset val="129"/>
    </font>
    <font>
      <sz val="10"/>
      <color rgb="FF000000"/>
      <name val="Times New Roman"/>
      <family val="1"/>
    </font>
    <font>
      <b/>
      <i/>
      <sz val="10"/>
      <color rgb="FF000000"/>
      <name val="Arial"/>
      <family val="2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800000"/>
      <name val="Times New Roman"/>
      <family val="1"/>
    </font>
    <font>
      <b/>
      <sz val="1"/>
      <color rgb="FF000000"/>
      <name val="한컴바탕"/>
      <family val="1"/>
      <charset val="129"/>
    </font>
    <font>
      <sz val="1"/>
      <color rgb="FF000000"/>
      <name val="한컴바탕"/>
      <family val="1"/>
      <charset val="129"/>
    </font>
    <font>
      <u/>
      <sz val="8"/>
      <color rgb="FF800080"/>
      <name val="돋움"/>
      <family val="3"/>
      <charset val="129"/>
    </font>
    <font>
      <sz val="14"/>
      <color rgb="FF000000"/>
      <name val="한컴바탕"/>
      <family val="1"/>
      <charset val="129"/>
    </font>
    <font>
      <sz val="10"/>
      <color rgb="FF000000"/>
      <name val="돋움체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1"/>
      <color theme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indexed="8"/>
      <name val="Apple SD 산돌고딕 Neo 일반체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8"/>
      <color rgb="FF222222"/>
      <name val="맑은 고딕"/>
      <family val="3"/>
      <charset val="129"/>
    </font>
    <font>
      <sz val="8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rgb="FF0000FF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2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43" fontId="4" fillId="0" borderId="0"/>
    <xf numFmtId="0" fontId="2" fillId="0" borderId="0"/>
    <xf numFmtId="0" fontId="2" fillId="0" borderId="0"/>
    <xf numFmtId="43" fontId="4" fillId="0" borderId="0"/>
    <xf numFmtId="43" fontId="4" fillId="0" borderId="0"/>
    <xf numFmtId="43" fontId="4" fillId="0" borderId="0"/>
    <xf numFmtId="0" fontId="3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9" fillId="0" borderId="0">
      <alignment vertical="center"/>
    </xf>
    <xf numFmtId="0" fontId="2" fillId="0" borderId="0"/>
    <xf numFmtId="0" fontId="4" fillId="0" borderId="0"/>
    <xf numFmtId="178" fontId="2" fillId="0" borderId="0"/>
    <xf numFmtId="0" fontId="4" fillId="0" borderId="0"/>
    <xf numFmtId="179" fontId="4" fillId="0" borderId="0"/>
    <xf numFmtId="0" fontId="4" fillId="0" borderId="0"/>
    <xf numFmtId="0" fontId="10" fillId="0" borderId="0"/>
    <xf numFmtId="180" fontId="4" fillId="0" borderId="0"/>
    <xf numFmtId="181" fontId="4" fillId="0" borderId="0"/>
    <xf numFmtId="182" fontId="2" fillId="0" borderId="0"/>
    <xf numFmtId="0" fontId="11" fillId="0" borderId="1">
      <alignment horizontal="center" vertical="center"/>
    </xf>
    <xf numFmtId="0" fontId="12" fillId="0" borderId="0"/>
    <xf numFmtId="0" fontId="2" fillId="0" borderId="0"/>
    <xf numFmtId="0" fontId="2" fillId="0" borderId="0"/>
    <xf numFmtId="183" fontId="2" fillId="0" borderId="0"/>
    <xf numFmtId="0" fontId="12" fillId="0" borderId="0"/>
    <xf numFmtId="0" fontId="10" fillId="3" borderId="0"/>
    <xf numFmtId="0" fontId="13" fillId="0" borderId="0">
      <alignment horizontal="left"/>
    </xf>
    <xf numFmtId="0" fontId="14" fillId="0" borderId="2">
      <alignment horizontal="left" vertical="center"/>
    </xf>
    <xf numFmtId="0" fontId="14" fillId="0" borderId="3">
      <alignment horizontal="left" vertical="center"/>
    </xf>
    <xf numFmtId="0" fontId="8" fillId="0" borderId="0"/>
    <xf numFmtId="0" fontId="15" fillId="0" borderId="0"/>
    <xf numFmtId="0" fontId="14" fillId="0" borderId="0"/>
    <xf numFmtId="0" fontId="4" fillId="0" borderId="0">
      <alignment horizontal="center"/>
    </xf>
    <xf numFmtId="0" fontId="10" fillId="2" borderId="4"/>
    <xf numFmtId="43" fontId="4" fillId="0" borderId="0"/>
    <xf numFmtId="0" fontId="4" fillId="0" borderId="0"/>
    <xf numFmtId="0" fontId="4" fillId="0" borderId="0">
      <alignment horizontal="center"/>
    </xf>
    <xf numFmtId="0" fontId="16" fillId="0" borderId="5"/>
    <xf numFmtId="176" fontId="17" fillId="3" borderId="6">
      <alignment horizontal="center"/>
    </xf>
    <xf numFmtId="184" fontId="4" fillId="0" borderId="0"/>
    <xf numFmtId="0" fontId="4" fillId="0" borderId="0"/>
    <xf numFmtId="0" fontId="4" fillId="0" borderId="0"/>
    <xf numFmtId="0" fontId="18" fillId="0" borderId="0"/>
    <xf numFmtId="0" fontId="19" fillId="4" borderId="0">
      <alignment horizontal="right"/>
    </xf>
    <xf numFmtId="0" fontId="20" fillId="4" borderId="0">
      <alignment horizontal="right"/>
    </xf>
    <xf numFmtId="0" fontId="21" fillId="4" borderId="7"/>
    <xf numFmtId="0" fontId="21" fillId="0" borderId="0">
      <alignment horizontal="centerContinuous"/>
    </xf>
    <xf numFmtId="0" fontId="4" fillId="0" borderId="0"/>
    <xf numFmtId="0" fontId="12" fillId="0" borderId="0"/>
    <xf numFmtId="0" fontId="7" fillId="5" borderId="0"/>
    <xf numFmtId="0" fontId="16" fillId="0" borderId="0"/>
    <xf numFmtId="0" fontId="12" fillId="0" borderId="8"/>
    <xf numFmtId="0" fontId="4" fillId="0" borderId="0">
      <alignment horizontal="center" textRotation="180"/>
    </xf>
    <xf numFmtId="0" fontId="2" fillId="0" borderId="0"/>
    <xf numFmtId="0" fontId="2" fillId="0" borderId="0"/>
    <xf numFmtId="0" fontId="3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4" fillId="0" borderId="0">
      <alignment vertical="top"/>
      <protection locked="0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6" borderId="4">
      <alignment vertical="center"/>
    </xf>
    <xf numFmtId="0" fontId="2" fillId="0" borderId="4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7" fontId="2" fillId="0" borderId="0"/>
    <xf numFmtId="41" fontId="2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" fillId="0" borderId="0"/>
    <xf numFmtId="0" fontId="2" fillId="0" borderId="4">
      <alignment vertical="center"/>
    </xf>
    <xf numFmtId="0" fontId="23" fillId="0" borderId="0">
      <protection locked="0"/>
    </xf>
    <xf numFmtId="0" fontId="3" fillId="0" borderId="0">
      <protection locked="0"/>
    </xf>
    <xf numFmtId="0" fontId="3" fillId="0" borderId="0"/>
    <xf numFmtId="0" fontId="2" fillId="0" borderId="0"/>
    <xf numFmtId="0" fontId="3" fillId="0" borderId="0"/>
    <xf numFmtId="0" fontId="2" fillId="0" borderId="0">
      <protection locked="0"/>
    </xf>
    <xf numFmtId="0" fontId="2" fillId="0" borderId="0"/>
    <xf numFmtId="0" fontId="2" fillId="0" borderId="0"/>
    <xf numFmtId="0" fontId="2" fillId="0" borderId="0">
      <alignment vertical="center"/>
    </xf>
    <xf numFmtId="0" fontId="29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9" fillId="0" borderId="0">
      <alignment vertical="center"/>
    </xf>
    <xf numFmtId="0" fontId="2" fillId="0" borderId="0"/>
    <xf numFmtId="0" fontId="27" fillId="0" borderId="0">
      <alignment vertical="center"/>
    </xf>
    <xf numFmtId="0" fontId="28" fillId="0" borderId="0"/>
    <xf numFmtId="0" fontId="2" fillId="0" borderId="0"/>
    <xf numFmtId="0" fontId="26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3" fillId="0" borderId="9">
      <protection locked="0"/>
    </xf>
    <xf numFmtId="0" fontId="2" fillId="0" borderId="0">
      <protection locked="0"/>
    </xf>
    <xf numFmtId="0" fontId="3" fillId="0" borderId="0">
      <protection locked="0"/>
    </xf>
    <xf numFmtId="41" fontId="29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9" fillId="0" borderId="0"/>
    <xf numFmtId="41" fontId="3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41" fontId="39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7" fillId="0" borderId="0" applyNumberFormat="0" applyFill="0" applyBorder="0" applyProtection="0">
      <alignment vertical="top" wrapText="1"/>
    </xf>
    <xf numFmtId="41" fontId="47" fillId="0" borderId="0" applyFont="0" applyFill="0" applyBorder="0" applyAlignment="0" applyProtection="0">
      <alignment vertical="center"/>
    </xf>
  </cellStyleXfs>
  <cellXfs count="68">
    <xf numFmtId="0" fontId="0" fillId="0" borderId="0" xfId="0" applyNumberFormat="1">
      <alignment vertical="center"/>
    </xf>
    <xf numFmtId="0" fontId="33" fillId="0" borderId="4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27" fillId="0" borderId="4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36" fillId="0" borderId="0" xfId="0" applyFont="1">
      <alignment vertical="center"/>
    </xf>
    <xf numFmtId="0" fontId="33" fillId="0" borderId="0" xfId="0" applyFont="1">
      <alignment vertical="center"/>
    </xf>
    <xf numFmtId="0" fontId="33" fillId="0" borderId="4" xfId="0" applyFont="1" applyBorder="1" applyAlignment="1">
      <alignment horizontal="center" vertical="center"/>
    </xf>
    <xf numFmtId="0" fontId="33" fillId="0" borderId="4" xfId="0" applyFont="1" applyBorder="1">
      <alignment vertical="center"/>
    </xf>
    <xf numFmtId="0" fontId="37" fillId="0" borderId="0" xfId="0" applyFont="1">
      <alignment vertical="center"/>
    </xf>
    <xf numFmtId="3" fontId="33" fillId="0" borderId="4" xfId="164" applyNumberFormat="1" applyFont="1" applyBorder="1">
      <alignment vertical="center"/>
    </xf>
    <xf numFmtId="3" fontId="33" fillId="8" borderId="4" xfId="164" applyNumberFormat="1" applyFont="1" applyFill="1" applyBorder="1">
      <alignment vertical="center"/>
    </xf>
    <xf numFmtId="0" fontId="43" fillId="0" borderId="0" xfId="0" applyFont="1">
      <alignment vertical="center"/>
    </xf>
    <xf numFmtId="0" fontId="44" fillId="0" borderId="0" xfId="0" applyNumberFormat="1" applyFont="1">
      <alignment vertical="center"/>
    </xf>
    <xf numFmtId="0" fontId="45" fillId="0" borderId="4" xfId="165" applyNumberFormat="1" applyFont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right" vertical="center"/>
    </xf>
    <xf numFmtId="0" fontId="29" fillId="9" borderId="4" xfId="0" applyNumberFormat="1" applyFont="1" applyFill="1" applyBorder="1" applyAlignment="1">
      <alignment horizontal="center" vertical="center"/>
    </xf>
    <xf numFmtId="3" fontId="29" fillId="9" borderId="4" xfId="0" applyNumberFormat="1" applyFont="1" applyFill="1" applyBorder="1" applyAlignment="1">
      <alignment horizontal="right" vertical="center"/>
    </xf>
    <xf numFmtId="0" fontId="33" fillId="0" borderId="0" xfId="136" applyFont="1">
      <alignment vertical="center"/>
    </xf>
    <xf numFmtId="0" fontId="29" fillId="0" borderId="0" xfId="136">
      <alignment vertical="center"/>
    </xf>
    <xf numFmtId="0" fontId="33" fillId="0" borderId="4" xfId="136" applyFont="1" applyBorder="1" applyAlignment="1">
      <alignment horizontal="center" vertical="center"/>
    </xf>
    <xf numFmtId="0" fontId="37" fillId="0" borderId="0" xfId="136" applyFont="1">
      <alignment vertical="center"/>
    </xf>
    <xf numFmtId="0" fontId="36" fillId="0" borderId="0" xfId="136" applyFont="1">
      <alignment vertical="center"/>
    </xf>
    <xf numFmtId="0" fontId="29" fillId="0" borderId="0" xfId="136" applyNumberFormat="1">
      <alignment vertical="center"/>
    </xf>
    <xf numFmtId="0" fontId="35" fillId="7" borderId="4" xfId="136" applyFont="1" applyFill="1" applyBorder="1" applyAlignment="1">
      <alignment horizontal="center" vertical="center"/>
    </xf>
    <xf numFmtId="0" fontId="33" fillId="0" borderId="4" xfId="136" applyFont="1" applyBorder="1">
      <alignment vertical="center"/>
    </xf>
    <xf numFmtId="0" fontId="43" fillId="0" borderId="0" xfId="136" applyFont="1">
      <alignment vertical="center"/>
    </xf>
    <xf numFmtId="0" fontId="44" fillId="0" borderId="0" xfId="136" applyNumberFormat="1" applyFont="1">
      <alignment vertical="center"/>
    </xf>
    <xf numFmtId="0" fontId="46" fillId="0" borderId="0" xfId="136" applyFont="1">
      <alignment vertical="center"/>
    </xf>
    <xf numFmtId="41" fontId="29" fillId="0" borderId="0" xfId="164">
      <alignment vertical="center"/>
    </xf>
    <xf numFmtId="0" fontId="37" fillId="0" borderId="0" xfId="136" applyFont="1" applyAlignment="1">
      <alignment horizontal="left" vertical="center"/>
    </xf>
    <xf numFmtId="0" fontId="43" fillId="0" borderId="0" xfId="136" applyFont="1" applyAlignment="1">
      <alignment horizontal="left" vertical="center"/>
    </xf>
    <xf numFmtId="0" fontId="48" fillId="0" borderId="4" xfId="180" applyFont="1" applyBorder="1" applyAlignment="1">
      <alignment horizontal="center" vertical="center"/>
    </xf>
    <xf numFmtId="3" fontId="48" fillId="0" borderId="4" xfId="181" applyNumberFormat="1" applyFont="1" applyBorder="1">
      <alignment vertical="center"/>
    </xf>
    <xf numFmtId="3" fontId="48" fillId="10" borderId="4" xfId="181" applyNumberFormat="1" applyFont="1" applyFill="1" applyBorder="1">
      <alignment vertical="center"/>
    </xf>
    <xf numFmtId="3" fontId="0" fillId="0" borderId="0" xfId="0" applyNumberFormat="1">
      <alignment vertical="center"/>
    </xf>
    <xf numFmtId="0" fontId="29" fillId="0" borderId="4" xfId="0" applyNumberFormat="1" applyFont="1" applyFill="1" applyBorder="1" applyAlignment="1">
      <alignment horizontal="center" vertical="center"/>
    </xf>
    <xf numFmtId="0" fontId="37" fillId="0" borderId="0" xfId="136" applyFont="1" applyAlignment="1">
      <alignment horizontal="left" vertical="center"/>
    </xf>
    <xf numFmtId="0" fontId="43" fillId="0" borderId="0" xfId="136" applyFont="1" applyAlignment="1">
      <alignment horizontal="left" vertical="center"/>
    </xf>
    <xf numFmtId="0" fontId="48" fillId="0" borderId="4" xfId="136" applyFont="1" applyBorder="1" applyAlignment="1">
      <alignment horizontal="center" vertical="center"/>
    </xf>
    <xf numFmtId="0" fontId="38" fillId="0" borderId="0" xfId="136" applyFont="1" applyBorder="1" applyAlignment="1">
      <alignment horizontal="left" vertical="center"/>
    </xf>
    <xf numFmtId="0" fontId="49" fillId="7" borderId="4" xfId="136" applyFont="1" applyFill="1" applyBorder="1" applyAlignment="1">
      <alignment horizontal="center" vertical="center"/>
    </xf>
    <xf numFmtId="0" fontId="48" fillId="0" borderId="4" xfId="136" applyFont="1" applyBorder="1" applyAlignment="1">
      <alignment vertical="center"/>
    </xf>
    <xf numFmtId="3" fontId="48" fillId="0" borderId="4" xfId="107" applyNumberFormat="1" applyFont="1" applyBorder="1">
      <alignment vertical="center"/>
    </xf>
    <xf numFmtId="3" fontId="48" fillId="10" borderId="4" xfId="107" applyNumberFormat="1" applyFont="1" applyFill="1" applyBorder="1">
      <alignment vertical="center"/>
    </xf>
    <xf numFmtId="0" fontId="29" fillId="0" borderId="0" xfId="136" applyAlignment="1">
      <alignment vertical="center"/>
    </xf>
    <xf numFmtId="0" fontId="29" fillId="0" borderId="0" xfId="136" applyFont="1" applyAlignment="1">
      <alignment vertical="top" wrapText="1"/>
    </xf>
    <xf numFmtId="0" fontId="48" fillId="10" borderId="4" xfId="180" applyFont="1" applyFill="1" applyBorder="1" applyAlignment="1">
      <alignment horizontal="center" vertical="center"/>
    </xf>
    <xf numFmtId="3" fontId="33" fillId="10" borderId="4" xfId="164" applyNumberFormat="1" applyFont="1" applyFill="1" applyBorder="1">
      <alignment vertical="center"/>
    </xf>
    <xf numFmtId="0" fontId="33" fillId="10" borderId="4" xfId="136" applyFont="1" applyFill="1" applyBorder="1" applyAlignment="1">
      <alignment horizontal="center" vertical="center"/>
    </xf>
    <xf numFmtId="0" fontId="29" fillId="0" borderId="0" xfId="0" applyNumberFormat="1" applyFont="1">
      <alignment vertical="center"/>
    </xf>
    <xf numFmtId="3" fontId="0" fillId="8" borderId="4" xfId="0" applyNumberFormat="1" applyFill="1" applyBorder="1">
      <alignment vertical="center"/>
    </xf>
    <xf numFmtId="0" fontId="37" fillId="0" borderId="0" xfId="136" applyFont="1" applyAlignment="1">
      <alignment horizontal="left" vertical="center"/>
    </xf>
    <xf numFmtId="0" fontId="43" fillId="0" borderId="0" xfId="136" applyFont="1" applyAlignment="1">
      <alignment horizontal="left" vertical="center"/>
    </xf>
    <xf numFmtId="3" fontId="48" fillId="0" borderId="4" xfId="181" applyNumberFormat="1" applyFont="1" applyFill="1" applyBorder="1">
      <alignment vertical="center"/>
    </xf>
    <xf numFmtId="0" fontId="31" fillId="0" borderId="10" xfId="0" applyFont="1" applyBorder="1" applyAlignment="1">
      <alignment horizontal="center" vertical="center"/>
    </xf>
    <xf numFmtId="0" fontId="29" fillId="9" borderId="11" xfId="0" applyNumberFormat="1" applyFont="1" applyFill="1" applyBorder="1" applyAlignment="1">
      <alignment horizontal="center" vertical="center"/>
    </xf>
    <xf numFmtId="0" fontId="29" fillId="9" borderId="12" xfId="0" applyNumberFormat="1" applyFont="1" applyFill="1" applyBorder="1" applyAlignment="1">
      <alignment horizontal="center" vertical="center"/>
    </xf>
    <xf numFmtId="0" fontId="29" fillId="0" borderId="4" xfId="0" applyNumberFormat="1" applyFont="1" applyFill="1" applyBorder="1" applyAlignment="1">
      <alignment horizontal="center" vertical="center"/>
    </xf>
    <xf numFmtId="0" fontId="50" fillId="0" borderId="0" xfId="136" applyNumberFormat="1" applyFont="1" applyAlignment="1">
      <alignment horizontal="left" vertical="center"/>
    </xf>
    <xf numFmtId="0" fontId="37" fillId="0" borderId="0" xfId="136" applyFont="1" applyAlignment="1">
      <alignment horizontal="left" vertical="center"/>
    </xf>
    <xf numFmtId="0" fontId="51" fillId="0" borderId="0" xfId="136" applyFont="1" applyAlignment="1">
      <alignment horizontal="left" vertical="center"/>
    </xf>
    <xf numFmtId="0" fontId="38" fillId="0" borderId="10" xfId="136" applyFont="1" applyBorder="1" applyAlignment="1">
      <alignment horizontal="left" vertical="center"/>
    </xf>
    <xf numFmtId="0" fontId="43" fillId="0" borderId="0" xfId="136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8" fillId="0" borderId="10" xfId="0" applyFont="1" applyBorder="1" applyAlignment="1">
      <alignment horizontal="left" vertical="center"/>
    </xf>
    <xf numFmtId="0" fontId="43" fillId="0" borderId="0" xfId="0" applyFont="1" applyAlignment="1">
      <alignment horizontal="left" vertical="center"/>
    </xf>
  </cellXfs>
  <cellStyles count="182">
    <cellStyle name="??&amp;O?&amp;H?_x0008__x000f__x0007_?_x0007__x0001__x0001_" xfId="2"/>
    <cellStyle name="??&amp;O?&amp;H?_x0008_??_x0007__x0001__x0001_" xfId="3"/>
    <cellStyle name="_나우콤반기조서2002.7.18" xfId="4"/>
    <cellStyle name="_분기조서(hds)" xfId="5"/>
    <cellStyle name="_정산표2Q" xfId="6"/>
    <cellStyle name="᠀ŀ" xfId="7"/>
    <cellStyle name="᠀ŀŀ䅀᠀ŀŀ䅀᠀ŀ" xfId="8"/>
    <cellStyle name="᠀ŀŀ䅀᠀ŀŀ䅀᠀ŀŀ䅀᠀ŀŀ䅀᠀ŀŀ䅀᠀ŀŀ䅀᠀ŀŀ䅀᠀ŀŀ䅀᠀ŀŀ䅀᠀ŀ" xfId="9"/>
    <cellStyle name="16" xfId="10"/>
    <cellStyle name="ÅëÈ­ [0]_´ë¿©±Ý" xfId="11"/>
    <cellStyle name="AeE­ [0]_°øAa¸eA|½AA≫" xfId="12"/>
    <cellStyle name="ÅëÈ­ [0]_INQUIRY ¿µ¾÷ÃßÁø " xfId="13"/>
    <cellStyle name="AeE­ [0]_INQUIRY ¿μ¾÷AßAø " xfId="14"/>
    <cellStyle name="ÅëÈ­_´ë¿©±Ý" xfId="15"/>
    <cellStyle name="AeE­_°øAa¸eA|½AA≫" xfId="16"/>
    <cellStyle name="ÅëÈ­_INQUIRY ¿µ¾÷ÃßÁø " xfId="17"/>
    <cellStyle name="AeE­_INQUIRY ¿μ¾÷AßAø " xfId="18"/>
    <cellStyle name="ÄÞ¸¶ [0]_´ë¿©±Ý" xfId="19"/>
    <cellStyle name="AÞ¸¶ [0]_½CAuCoE² " xfId="20"/>
    <cellStyle name="ÄÞ¸¶ [0]_INQUIRY ¿µ¾÷ÃßÁø " xfId="21"/>
    <cellStyle name="AÞ¸¶ [0]_INQUIRY ¿μ¾÷AßAø " xfId="22"/>
    <cellStyle name="ÄÞ¸¶_´ë¿©±Ý" xfId="23"/>
    <cellStyle name="AÞ¸¶_½CAuCoE² " xfId="24"/>
    <cellStyle name="ÄÞ¸¶_INQUIRY ¿µ¾÷ÃßÁø " xfId="25"/>
    <cellStyle name="AÞ¸¶_INQUIRY ¿μ¾÷AßAø " xfId="26"/>
    <cellStyle name="Ç¥ÁØ_´ç¿ùÀÚ±Ý¼öÁö" xfId="27"/>
    <cellStyle name="C￥AØ_¿μ¾÷CoE² " xfId="28"/>
    <cellStyle name="Ç¥ÁØ_»ç¾÷ºÎº° ÃÑ°è " xfId="29"/>
    <cellStyle name="C￥AØ_≫c¾÷ºIº° AN°e " xfId="30"/>
    <cellStyle name="Ç¥ÁØ_0N-HANDLING " xfId="31"/>
    <cellStyle name="C￥AØ_5-1±¤°i " xfId="32"/>
    <cellStyle name="Ç¥ÁØ_5-1±¤°í " xfId="33"/>
    <cellStyle name="C￥AØ_Æ÷ÆRCoE²" xfId="34"/>
    <cellStyle name="Ç¥ÁØ_Áý°èÇ¥(2¿ù) " xfId="35"/>
    <cellStyle name="C￥AØ_CoAo¹yAI °A¾×¿ⓒ½A " xfId="36"/>
    <cellStyle name="Ç¥ÁØ_Sheet1_¿µ¾÷ÇöÈ² " xfId="37"/>
    <cellStyle name="C￥AØ_Sheet1_¿μ¾÷CoE² " xfId="38"/>
    <cellStyle name="Ç¥ÁØ_Sheet1_0N-HANDLING " xfId="39"/>
    <cellStyle name="C￥AØ_Sheet1_Ay°eC￥(2¿u) " xfId="40"/>
    <cellStyle name="Ç¥ÁØ_Sheet1_Áý°èÇ¥(2¿ù) " xfId="41"/>
    <cellStyle name="category" xfId="42"/>
    <cellStyle name="choi" xfId="43"/>
    <cellStyle name="comma" xfId="44"/>
    <cellStyle name="Comma [0]" xfId="45"/>
    <cellStyle name="comma zerodec" xfId="46"/>
    <cellStyle name="Comma^ODCOS " xfId="47"/>
    <cellStyle name="Comma_ SG&amp;A Bridge " xfId="48"/>
    <cellStyle name="Currency [0]" xfId="49"/>
    <cellStyle name="Currency [0]?1" xfId="50"/>
    <cellStyle name="Currency [0]_ SG&amp;A Bridge " xfId="51"/>
    <cellStyle name="Currency_ SG&amp;A Bridge " xfId="52"/>
    <cellStyle name="Currency1" xfId="53"/>
    <cellStyle name="d" xfId="54"/>
    <cellStyle name="Date" xfId="55"/>
    <cellStyle name="Dezimal [0]_laroux" xfId="56"/>
    <cellStyle name="Dezimal_laroux" xfId="57"/>
    <cellStyle name="Dollar (zero dec)" xfId="58"/>
    <cellStyle name="Fixed" xfId="59"/>
    <cellStyle name="Grey" xfId="60"/>
    <cellStyle name="HEADER" xfId="61"/>
    <cellStyle name="Header1" xfId="62"/>
    <cellStyle name="Header2" xfId="63"/>
    <cellStyle name="Heading" xfId="64"/>
    <cellStyle name="HEADING1" xfId="65"/>
    <cellStyle name="HEADING2" xfId="66"/>
    <cellStyle name="Horizontal" xfId="67"/>
    <cellStyle name="Hyperlink" xfId="175"/>
    <cellStyle name="Input [yellow]" xfId="68"/>
    <cellStyle name="ŀ䅀᠀ŀŀ䅀᠀ŀŀ䅀᠀ŀŀ䅀᠀ŀŀ䅀᠀ŀŀ䅀᠀ŀ" xfId="69"/>
    <cellStyle name="ŀ䅀਀ŀŀ䅀᠀ŀŀ䅀਀ŀŀ䅀᠀ŀŀ䅀᠀ŀŀ䅀᠀ŀŀ䅀᠀ŀŀ䅀᠀ŀŀ䅀᠀ŀŀ䅀᠀ŀŀ䅀᠀ŀ" xfId="70"/>
    <cellStyle name="Matrix" xfId="71"/>
    <cellStyle name="Model" xfId="72"/>
    <cellStyle name="NEW" xfId="73"/>
    <cellStyle name="Normal - Style1" xfId="74"/>
    <cellStyle name="Normal 2" xfId="176"/>
    <cellStyle name="Normal_ SG&amp;A Bridge " xfId="75"/>
    <cellStyle name="Option" xfId="76"/>
    <cellStyle name="OptionHeading" xfId="77"/>
    <cellStyle name="Output Amounts" xfId="78"/>
    <cellStyle name="Output Column Headings" xfId="79"/>
    <cellStyle name="Output Line Items" xfId="80"/>
    <cellStyle name="Output Report Heading" xfId="81"/>
    <cellStyle name="Percent [2]" xfId="82"/>
    <cellStyle name="Percent_laroux" xfId="83"/>
    <cellStyle name="Standard_laroux" xfId="84"/>
    <cellStyle name="subhead" xfId="85"/>
    <cellStyle name="Total" xfId="86"/>
    <cellStyle name="Vertical" xfId="87"/>
    <cellStyle name="Währung [0]_laroux" xfId="88"/>
    <cellStyle name="Währung_laroux" xfId="89"/>
    <cellStyle name="고정소숫점" xfId="90"/>
    <cellStyle name="고정출력1" xfId="91"/>
    <cellStyle name="고정출력2" xfId="92"/>
    <cellStyle name="날짜" xfId="93"/>
    <cellStyle name="달러" xfId="94"/>
    <cellStyle name="뒤에 오는 하이퍼링크_01년손익종합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백분율 2" xfId="172"/>
    <cellStyle name="백분율 3" xfId="173"/>
    <cellStyle name="뷭?_BOOKSHIP" xfId="100"/>
    <cellStyle name="삼일-금지" xfId="101"/>
    <cellStyle name="삼일-입력" xfId="102"/>
    <cellStyle name="새귑[0]_롤痰삠悧 " xfId="103"/>
    <cellStyle name="새귑_롤痰삠悧 " xfId="104"/>
    <cellStyle name="숫자(R)" xfId="105"/>
    <cellStyle name="쉼표 [0]" xfId="164" builtinId="6"/>
    <cellStyle name="쉼표 [0] 11" xfId="106"/>
    <cellStyle name="쉼표 [0] 2" xfId="107"/>
    <cellStyle name="쉼표 [0] 2 2" xfId="108"/>
    <cellStyle name="쉼표 [0] 2 2 2" xfId="109"/>
    <cellStyle name="쉼표 [0] 2 2 3" xfId="174"/>
    <cellStyle name="쉼표 [0] 2 3" xfId="168"/>
    <cellStyle name="쉼표 [0] 2 4" xfId="181"/>
    <cellStyle name="쉼표 [0] 3" xfId="110"/>
    <cellStyle name="쉼표 [0] 3 2" xfId="170"/>
    <cellStyle name="쉼표 [0] 4" xfId="111"/>
    <cellStyle name="쉼표 [0] 4 2" xfId="178"/>
    <cellStyle name="쉼표 [0] 5" xfId="167"/>
    <cellStyle name="스타일 1" xfId="112"/>
    <cellStyle name="스타일 10" xfId="113"/>
    <cellStyle name="스타일 11" xfId="114"/>
    <cellStyle name="스타일 12" xfId="115"/>
    <cellStyle name="스타일 13" xfId="116"/>
    <cellStyle name="스타일 2" xfId="117"/>
    <cellStyle name="스타일 3" xfId="118"/>
    <cellStyle name="스타일 4" xfId="119"/>
    <cellStyle name="스타일 5" xfId="120"/>
    <cellStyle name="스타일 6" xfId="121"/>
    <cellStyle name="스타일 7" xfId="122"/>
    <cellStyle name="스타일 8" xfId="123"/>
    <cellStyle name="스타일 9" xfId="124"/>
    <cellStyle name="원" xfId="125"/>
    <cellStyle name="입력 2" xfId="126"/>
    <cellStyle name="자리수" xfId="127"/>
    <cellStyle name="자리수0" xfId="128"/>
    <cellStyle name="지정되지 않음" xfId="129"/>
    <cellStyle name="콤마 [0]_  종  합  " xfId="130"/>
    <cellStyle name="콤마_  종  합  " xfId="131"/>
    <cellStyle name="퍼센트" xfId="132"/>
    <cellStyle name="표준" xfId="0" builtinId="0"/>
    <cellStyle name="표준 10" xfId="133"/>
    <cellStyle name="표준 11" xfId="134"/>
    <cellStyle name="표준 12" xfId="135"/>
    <cellStyle name="표준 13" xfId="136"/>
    <cellStyle name="표준 14" xfId="137"/>
    <cellStyle name="표준 15" xfId="138"/>
    <cellStyle name="표준 16" xfId="1"/>
    <cellStyle name="표준 17" xfId="166"/>
    <cellStyle name="표준 18" xfId="180"/>
    <cellStyle name="표준 2" xfId="139"/>
    <cellStyle name="표준 2 2" xfId="140"/>
    <cellStyle name="표준 2 2 2" xfId="141"/>
    <cellStyle name="표준 2 2 2 2" xfId="142"/>
    <cellStyle name="표준 2 3" xfId="143"/>
    <cellStyle name="표준 2 4" xfId="144"/>
    <cellStyle name="표준 2 5" xfId="145"/>
    <cellStyle name="표준 2 6" xfId="146"/>
    <cellStyle name="표준 2 7" xfId="147"/>
    <cellStyle name="표준 2 8" xfId="148"/>
    <cellStyle name="표준 2 9" xfId="171"/>
    <cellStyle name="표준 3" xfId="149"/>
    <cellStyle name="표준 3 2" xfId="150"/>
    <cellStyle name="표준 3 3" xfId="151"/>
    <cellStyle name="표준 3 4" xfId="177"/>
    <cellStyle name="표준 4" xfId="152"/>
    <cellStyle name="표준 4 2" xfId="153"/>
    <cellStyle name="표준 5" xfId="154"/>
    <cellStyle name="표준 5 2" xfId="155"/>
    <cellStyle name="표준 5 3" xfId="179"/>
    <cellStyle name="표준 6" xfId="156"/>
    <cellStyle name="표준 6 2" xfId="157"/>
    <cellStyle name="표준 7" xfId="158"/>
    <cellStyle name="표준 8" xfId="159"/>
    <cellStyle name="표준 9" xfId="160"/>
    <cellStyle name="하이퍼링크" xfId="165" builtinId="8"/>
    <cellStyle name="하이퍼링크 2" xfId="169"/>
    <cellStyle name="합산" xfId="161"/>
    <cellStyle name="화폐기호" xfId="162"/>
    <cellStyle name="화폐기호0" xfId="1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age.kakao.com/home?seriesId=5741966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3" sqref="C3"/>
    </sheetView>
  </sheetViews>
  <sheetFormatPr defaultRowHeight="17.399999999999999"/>
  <cols>
    <col min="1" max="2" width="13.59765625" customWidth="1"/>
    <col min="3" max="3" width="65.19921875" customWidth="1"/>
    <col min="4" max="4" width="13.59765625" customWidth="1"/>
  </cols>
  <sheetData>
    <row r="1" spans="1:4" ht="21" customHeight="1">
      <c r="A1" s="56" t="s">
        <v>21</v>
      </c>
      <c r="B1" s="56"/>
      <c r="C1" s="56"/>
      <c r="D1" s="56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16</v>
      </c>
      <c r="B3" s="3" t="s">
        <v>17</v>
      </c>
      <c r="C3" s="14" t="s">
        <v>18</v>
      </c>
      <c r="D3" s="1" t="s">
        <v>4</v>
      </c>
    </row>
  </sheetData>
  <mergeCells count="1">
    <mergeCell ref="A1:D1"/>
  </mergeCells>
  <phoneticPr fontId="30" type="noConversion"/>
  <hyperlinks>
    <hyperlink ref="C3" r:id="rId1"/>
  </hyperlinks>
  <pageMargins left="0.7" right="0.7" top="0.75" bottom="0.75" header="0.3" footer="0.3"/>
  <pageSetup paperSize="9"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tabSelected="1" workbookViewId="0">
      <selection activeCell="C19" sqref="C19"/>
    </sheetView>
  </sheetViews>
  <sheetFormatPr defaultRowHeight="17.399999999999999"/>
  <cols>
    <col min="1" max="1" width="3.8984375" customWidth="1"/>
    <col min="2" max="2" width="10.796875" customWidth="1"/>
    <col min="3" max="3" width="11.09765625" customWidth="1"/>
    <col min="4" max="4" width="15.5" customWidth="1"/>
    <col min="5" max="5" width="15.59765625" customWidth="1"/>
    <col min="6" max="6" width="15.3984375" customWidth="1"/>
  </cols>
  <sheetData>
    <row r="2" spans="2:7">
      <c r="B2" s="17" t="s">
        <v>30</v>
      </c>
      <c r="C2" s="17" t="s">
        <v>31</v>
      </c>
      <c r="D2" s="17" t="s">
        <v>24</v>
      </c>
      <c r="E2" s="17" t="s">
        <v>27</v>
      </c>
      <c r="F2" s="17" t="s">
        <v>28</v>
      </c>
    </row>
    <row r="3" spans="2:7">
      <c r="B3" s="57" t="s">
        <v>29</v>
      </c>
      <c r="C3" s="58"/>
      <c r="D3" s="18">
        <f>SUM(D4:D7)</f>
        <v>67069218</v>
      </c>
      <c r="E3" s="18">
        <f t="shared" ref="E3:F3" si="0">SUM(E4:E7)</f>
        <v>10060382.700000001</v>
      </c>
      <c r="F3" s="18">
        <f t="shared" si="0"/>
        <v>1853406.7500000002</v>
      </c>
    </row>
    <row r="4" spans="2:7">
      <c r="B4" s="15" t="s">
        <v>26</v>
      </c>
      <c r="C4" s="15" t="s">
        <v>25</v>
      </c>
      <c r="D4" s="16">
        <f>'202107'!D5</f>
        <v>36061513</v>
      </c>
      <c r="E4" s="16">
        <f>'202107'!F5</f>
        <v>5409226.9500000002</v>
      </c>
      <c r="F4" s="16">
        <f>'202107'!G5</f>
        <v>1081845.3900000001</v>
      </c>
    </row>
    <row r="5" spans="2:7">
      <c r="B5" s="15" t="s">
        <v>35</v>
      </c>
      <c r="C5" s="15" t="s">
        <v>36</v>
      </c>
      <c r="D5" s="16">
        <f>'202108'!D5</f>
        <v>18148349</v>
      </c>
      <c r="E5" s="16">
        <f>'202108'!F5</f>
        <v>2722252.35</v>
      </c>
      <c r="F5" s="16">
        <f>'202108'!G5</f>
        <v>544450.47000000009</v>
      </c>
    </row>
    <row r="6" spans="2:7">
      <c r="B6" s="15" t="s">
        <v>39</v>
      </c>
      <c r="C6" s="15" t="s">
        <v>35</v>
      </c>
      <c r="D6" s="16">
        <f>'202109'!D6</f>
        <v>12859356</v>
      </c>
      <c r="E6" s="16">
        <f>'202109'!F6</f>
        <v>1928903.4</v>
      </c>
      <c r="F6" s="16">
        <f>'202109'!G6</f>
        <v>385780.68</v>
      </c>
    </row>
    <row r="7" spans="2:7">
      <c r="B7" s="37" t="s">
        <v>40</v>
      </c>
      <c r="C7" s="59" t="s">
        <v>64</v>
      </c>
      <c r="D7" s="59"/>
      <c r="E7" s="59"/>
      <c r="F7" s="16">
        <f>F6-F5</f>
        <v>-158669.7900000001</v>
      </c>
      <c r="G7" s="51" t="s">
        <v>63</v>
      </c>
    </row>
    <row r="8" spans="2:7">
      <c r="B8" s="15" t="s">
        <v>58</v>
      </c>
      <c r="C8" s="15" t="s">
        <v>59</v>
      </c>
      <c r="D8" s="16">
        <f>'202110'!H4+'202110'!H5</f>
        <v>18500790</v>
      </c>
      <c r="E8" s="16">
        <f>'202110'!I4+'202110'!I5</f>
        <v>2775118.5</v>
      </c>
      <c r="F8" s="16">
        <f>'202110'!J4+'202110'!J5</f>
        <v>555023.69999999995</v>
      </c>
      <c r="G8" s="51" t="s">
        <v>63</v>
      </c>
    </row>
    <row r="9" spans="2:7">
      <c r="B9" s="15" t="s">
        <v>78</v>
      </c>
      <c r="C9" s="15" t="s">
        <v>58</v>
      </c>
      <c r="D9" s="16">
        <f>'202111'!H6</f>
        <v>2280755</v>
      </c>
      <c r="E9" s="16">
        <f>'202111'!I6</f>
        <v>342113.25</v>
      </c>
      <c r="F9" s="16">
        <f>'202111'!J6</f>
        <v>68422.650000000009</v>
      </c>
      <c r="G9" s="51"/>
    </row>
    <row r="10" spans="2:7">
      <c r="B10" s="15" t="s">
        <v>83</v>
      </c>
      <c r="C10" s="15" t="s">
        <v>84</v>
      </c>
      <c r="D10" s="16">
        <f>'202112'!H6</f>
        <v>4489273</v>
      </c>
      <c r="E10" s="16">
        <f>'202112'!I6</f>
        <v>673390.95</v>
      </c>
      <c r="F10" s="16">
        <f>'202112'!J6</f>
        <v>134678.19</v>
      </c>
      <c r="G10" s="51"/>
    </row>
  </sheetData>
  <mergeCells count="2">
    <mergeCell ref="B3:C3"/>
    <mergeCell ref="C7:E7"/>
  </mergeCells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zoomScale="85" zoomScaleNormal="85" workbookViewId="0">
      <selection activeCell="J27" sqref="J27"/>
    </sheetView>
  </sheetViews>
  <sheetFormatPr defaultRowHeight="17.399999999999999"/>
  <cols>
    <col min="1" max="1" width="6.59765625" style="20" customWidth="1"/>
    <col min="2" max="9" width="19.59765625" style="20" customWidth="1"/>
    <col min="10" max="10" width="19.59765625" style="4" customWidth="1"/>
    <col min="11" max="16384" width="8.796875" style="24"/>
  </cols>
  <sheetData>
    <row r="2" spans="1:10">
      <c r="A2" s="63" t="s">
        <v>19</v>
      </c>
      <c r="B2" s="63"/>
      <c r="C2" s="63"/>
      <c r="D2" s="63"/>
      <c r="E2" s="63"/>
      <c r="F2" s="63"/>
      <c r="G2" s="63"/>
      <c r="H2" s="41"/>
      <c r="I2" s="23"/>
      <c r="J2" s="5"/>
    </row>
    <row r="3" spans="1:10">
      <c r="A3" s="25" t="s">
        <v>5</v>
      </c>
      <c r="B3" s="25" t="s">
        <v>7</v>
      </c>
      <c r="C3" s="25" t="s">
        <v>8</v>
      </c>
      <c r="D3" s="42" t="s">
        <v>44</v>
      </c>
      <c r="E3" s="42" t="s">
        <v>45</v>
      </c>
      <c r="F3" s="42" t="s">
        <v>46</v>
      </c>
      <c r="G3" s="25" t="s">
        <v>79</v>
      </c>
      <c r="H3" s="25" t="s">
        <v>48</v>
      </c>
      <c r="I3" s="25" t="s">
        <v>80</v>
      </c>
      <c r="J3" s="2" t="s">
        <v>23</v>
      </c>
    </row>
    <row r="4" spans="1:10">
      <c r="A4" s="40">
        <v>202112</v>
      </c>
      <c r="B4" s="43" t="s">
        <v>49</v>
      </c>
      <c r="C4" s="44">
        <v>1600000</v>
      </c>
      <c r="D4" s="44">
        <v>3980343</v>
      </c>
      <c r="E4" s="44">
        <v>508930</v>
      </c>
      <c r="F4" s="45"/>
      <c r="G4" s="10">
        <f>(D4+E4)-C4</f>
        <v>2889273</v>
      </c>
      <c r="H4" s="10">
        <f>C4+G4</f>
        <v>4489273</v>
      </c>
      <c r="I4" s="10">
        <f>H4*0.15</f>
        <v>673390.95</v>
      </c>
      <c r="J4" s="10">
        <f>I4*0.2</f>
        <v>134678.19</v>
      </c>
    </row>
    <row r="5" spans="1:10">
      <c r="A5" s="40" t="s">
        <v>81</v>
      </c>
      <c r="B5" s="40" t="s">
        <v>50</v>
      </c>
      <c r="C5" s="35"/>
      <c r="D5" s="35"/>
      <c r="E5" s="35"/>
      <c r="F5" s="55">
        <v>0</v>
      </c>
      <c r="G5" s="45"/>
      <c r="H5" s="10">
        <f>C5</f>
        <v>0</v>
      </c>
      <c r="I5" s="10">
        <f>H5*0.15</f>
        <v>0</v>
      </c>
      <c r="J5" s="10">
        <f>I5*0.2</f>
        <v>0</v>
      </c>
    </row>
    <row r="6" spans="1:10">
      <c r="A6" s="21" t="s">
        <v>6</v>
      </c>
      <c r="B6" s="26"/>
      <c r="C6" s="10">
        <f>SUM(C4:C5)</f>
        <v>1600000</v>
      </c>
      <c r="D6" s="10">
        <f t="shared" ref="D6:I6" si="0">SUM(D4:D5)</f>
        <v>3980343</v>
      </c>
      <c r="E6" s="10">
        <f t="shared" si="0"/>
        <v>508930</v>
      </c>
      <c r="F6" s="10">
        <f t="shared" si="0"/>
        <v>0</v>
      </c>
      <c r="G6" s="10">
        <f t="shared" si="0"/>
        <v>2889273</v>
      </c>
      <c r="H6" s="10">
        <f t="shared" si="0"/>
        <v>4489273</v>
      </c>
      <c r="I6" s="11">
        <f t="shared" si="0"/>
        <v>673390.95</v>
      </c>
      <c r="J6" s="52">
        <f>SUM(J4:J5)</f>
        <v>134678.19</v>
      </c>
    </row>
    <row r="7" spans="1:10">
      <c r="J7" s="9"/>
    </row>
    <row r="8" spans="1:10" ht="11.25" customHeight="1">
      <c r="A8" s="61" t="s">
        <v>11</v>
      </c>
      <c r="B8" s="61"/>
      <c r="C8" s="61"/>
      <c r="D8" s="61"/>
      <c r="E8" s="61"/>
      <c r="F8" s="61"/>
      <c r="G8" s="61"/>
      <c r="H8" s="53"/>
      <c r="I8" s="22"/>
      <c r="J8" s="9"/>
    </row>
    <row r="9" spans="1:10" ht="11.25" customHeight="1">
      <c r="A9" s="61" t="s">
        <v>12</v>
      </c>
      <c r="B9" s="61"/>
      <c r="C9" s="61"/>
      <c r="D9" s="61"/>
      <c r="E9" s="61"/>
      <c r="F9" s="61"/>
      <c r="G9" s="61"/>
      <c r="H9" s="53"/>
      <c r="I9" s="22"/>
      <c r="J9" s="12"/>
    </row>
    <row r="10" spans="1:10" s="28" customFormat="1" ht="11.25" customHeight="1">
      <c r="A10" s="64" t="s">
        <v>82</v>
      </c>
      <c r="B10" s="64"/>
      <c r="C10" s="64"/>
      <c r="D10" s="64"/>
      <c r="E10" s="64"/>
      <c r="F10" s="64"/>
      <c r="G10" s="64"/>
      <c r="H10" s="54"/>
      <c r="I10" s="27"/>
      <c r="J10" s="9"/>
    </row>
    <row r="11" spans="1:10" s="28" customFormat="1" ht="11.25" customHeight="1">
      <c r="A11" s="60" t="s">
        <v>55</v>
      </c>
      <c r="B11" s="60"/>
      <c r="C11" s="60"/>
      <c r="D11" s="60"/>
      <c r="E11" s="60"/>
      <c r="F11" s="60"/>
      <c r="G11" s="60"/>
      <c r="H11" s="60"/>
      <c r="I11" s="27"/>
      <c r="J11" s="9"/>
    </row>
    <row r="12" spans="1:10" ht="11.25" customHeight="1">
      <c r="A12" s="61" t="s">
        <v>56</v>
      </c>
      <c r="B12" s="61"/>
      <c r="C12" s="61"/>
      <c r="D12" s="61"/>
      <c r="E12" s="61"/>
      <c r="F12" s="61"/>
      <c r="G12" s="61"/>
      <c r="H12" s="22"/>
      <c r="I12" s="22"/>
    </row>
    <row r="13" spans="1:10" s="47" customFormat="1" ht="11.25" customHeight="1">
      <c r="A13" s="62" t="s">
        <v>57</v>
      </c>
      <c r="B13" s="62"/>
      <c r="C13" s="62"/>
      <c r="D13" s="62"/>
      <c r="E13" s="62"/>
      <c r="F13" s="62"/>
      <c r="G13" s="62"/>
      <c r="H13" s="46"/>
      <c r="I13" s="46"/>
      <c r="J13" s="4"/>
    </row>
  </sheetData>
  <mergeCells count="7">
    <mergeCell ref="A11:H11"/>
    <mergeCell ref="A12:G12"/>
    <mergeCell ref="A13:G13"/>
    <mergeCell ref="A2:G2"/>
    <mergeCell ref="A8:G8"/>
    <mergeCell ref="A9:G9"/>
    <mergeCell ref="A10:G10"/>
  </mergeCells>
  <phoneticPr fontId="3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workbookViewId="0">
      <selection activeCell="J1" sqref="J1:J1048576"/>
    </sheetView>
  </sheetViews>
  <sheetFormatPr defaultRowHeight="17.399999999999999"/>
  <cols>
    <col min="1" max="1" width="6.59765625" style="20" customWidth="1"/>
    <col min="2" max="9" width="19.59765625" style="20" customWidth="1"/>
    <col min="10" max="10" width="19.59765625" style="4" customWidth="1"/>
    <col min="11" max="16384" width="8.796875" style="24"/>
  </cols>
  <sheetData>
    <row r="2" spans="1:10">
      <c r="A2" s="63" t="s">
        <v>19</v>
      </c>
      <c r="B2" s="63"/>
      <c r="C2" s="63"/>
      <c r="D2" s="63"/>
      <c r="E2" s="63"/>
      <c r="F2" s="63"/>
      <c r="G2" s="63"/>
      <c r="H2" s="41"/>
      <c r="I2" s="23"/>
      <c r="J2" s="5"/>
    </row>
    <row r="3" spans="1:10">
      <c r="A3" s="25" t="s">
        <v>65</v>
      </c>
      <c r="B3" s="25" t="s">
        <v>66</v>
      </c>
      <c r="C3" s="25" t="s">
        <v>67</v>
      </c>
      <c r="D3" s="42" t="s">
        <v>68</v>
      </c>
      <c r="E3" s="42" t="s">
        <v>69</v>
      </c>
      <c r="F3" s="42" t="s">
        <v>70</v>
      </c>
      <c r="G3" s="25" t="s">
        <v>71</v>
      </c>
      <c r="H3" s="25" t="s">
        <v>72</v>
      </c>
      <c r="I3" s="25" t="s">
        <v>60</v>
      </c>
      <c r="J3" s="2" t="s">
        <v>23</v>
      </c>
    </row>
    <row r="4" spans="1:10">
      <c r="A4" s="40">
        <v>202111</v>
      </c>
      <c r="B4" s="43" t="s">
        <v>73</v>
      </c>
      <c r="C4" s="44">
        <v>1200000</v>
      </c>
      <c r="D4" s="44">
        <v>1956954</v>
      </c>
      <c r="E4" s="44">
        <v>323801</v>
      </c>
      <c r="F4" s="45"/>
      <c r="G4" s="10">
        <f>(D4+E4)-C4</f>
        <v>1080755</v>
      </c>
      <c r="H4" s="10">
        <f>C4+G4</f>
        <v>2280755</v>
      </c>
      <c r="I4" s="10">
        <f>H4*0.15</f>
        <v>342113.25</v>
      </c>
      <c r="J4" s="10">
        <f>I4*0.2</f>
        <v>68422.650000000009</v>
      </c>
    </row>
    <row r="5" spans="1:10">
      <c r="A5" s="40" t="s">
        <v>74</v>
      </c>
      <c r="B5" s="40" t="s">
        <v>75</v>
      </c>
      <c r="C5" s="35"/>
      <c r="D5" s="35"/>
      <c r="E5" s="35"/>
      <c r="F5" s="55">
        <v>0</v>
      </c>
      <c r="G5" s="45"/>
      <c r="H5" s="10">
        <f>C5</f>
        <v>0</v>
      </c>
      <c r="I5" s="10">
        <f>H5*0.15</f>
        <v>0</v>
      </c>
      <c r="J5" s="10">
        <f>I5*0.2</f>
        <v>0</v>
      </c>
    </row>
    <row r="6" spans="1:10">
      <c r="A6" s="21" t="s">
        <v>76</v>
      </c>
      <c r="B6" s="26"/>
      <c r="C6" s="10">
        <f>SUM(C4:C5)</f>
        <v>1200000</v>
      </c>
      <c r="D6" s="10">
        <f t="shared" ref="D6:I6" si="0">SUM(D4:D5)</f>
        <v>1956954</v>
      </c>
      <c r="E6" s="10">
        <f t="shared" si="0"/>
        <v>323801</v>
      </c>
      <c r="F6" s="10">
        <f t="shared" si="0"/>
        <v>0</v>
      </c>
      <c r="G6" s="10">
        <f t="shared" si="0"/>
        <v>1080755</v>
      </c>
      <c r="H6" s="10">
        <f t="shared" si="0"/>
        <v>2280755</v>
      </c>
      <c r="I6" s="11">
        <f t="shared" si="0"/>
        <v>342113.25</v>
      </c>
      <c r="J6" s="52">
        <f>SUM(J4:J5)</f>
        <v>68422.650000000009</v>
      </c>
    </row>
    <row r="7" spans="1:10">
      <c r="J7" s="9"/>
    </row>
    <row r="8" spans="1:10" ht="11.25" customHeight="1">
      <c r="A8" s="61" t="s">
        <v>77</v>
      </c>
      <c r="B8" s="61"/>
      <c r="C8" s="61"/>
      <c r="D8" s="61"/>
      <c r="E8" s="61"/>
      <c r="F8" s="61"/>
      <c r="G8" s="61"/>
      <c r="H8" s="38"/>
      <c r="I8" s="22"/>
      <c r="J8" s="9"/>
    </row>
    <row r="9" spans="1:10" ht="11.25" customHeight="1">
      <c r="A9" s="61" t="s">
        <v>53</v>
      </c>
      <c r="B9" s="61"/>
      <c r="C9" s="61"/>
      <c r="D9" s="61"/>
      <c r="E9" s="61"/>
      <c r="F9" s="61"/>
      <c r="G9" s="61"/>
      <c r="H9" s="38"/>
      <c r="I9" s="22"/>
      <c r="J9" s="12"/>
    </row>
    <row r="10" spans="1:10" s="28" customFormat="1" ht="11.25" customHeight="1">
      <c r="A10" s="64" t="s">
        <v>54</v>
      </c>
      <c r="B10" s="64"/>
      <c r="C10" s="64"/>
      <c r="D10" s="64"/>
      <c r="E10" s="64"/>
      <c r="F10" s="64"/>
      <c r="G10" s="64"/>
      <c r="H10" s="39"/>
      <c r="I10" s="27"/>
      <c r="J10" s="9"/>
    </row>
    <row r="11" spans="1:10" s="28" customFormat="1" ht="11.25" customHeight="1">
      <c r="A11" s="60" t="s">
        <v>55</v>
      </c>
      <c r="B11" s="60"/>
      <c r="C11" s="60"/>
      <c r="D11" s="60"/>
      <c r="E11" s="60"/>
      <c r="F11" s="60"/>
      <c r="G11" s="60"/>
      <c r="H11" s="60"/>
      <c r="I11" s="27"/>
      <c r="J11" s="9"/>
    </row>
    <row r="12" spans="1:10" ht="11.25" customHeight="1">
      <c r="A12" s="61" t="s">
        <v>56</v>
      </c>
      <c r="B12" s="61"/>
      <c r="C12" s="61"/>
      <c r="D12" s="61"/>
      <c r="E12" s="61"/>
      <c r="F12" s="61"/>
      <c r="G12" s="61"/>
      <c r="H12" s="22"/>
      <c r="I12" s="22"/>
    </row>
    <row r="13" spans="1:10" s="47" customFormat="1" ht="11.25" customHeight="1">
      <c r="A13" s="62" t="s">
        <v>57</v>
      </c>
      <c r="B13" s="62"/>
      <c r="C13" s="62"/>
      <c r="D13" s="62"/>
      <c r="E13" s="62"/>
      <c r="F13" s="62"/>
      <c r="G13" s="62"/>
      <c r="H13" s="46"/>
      <c r="I13" s="46"/>
      <c r="J13" s="4"/>
    </row>
  </sheetData>
  <mergeCells count="7">
    <mergeCell ref="A11:H11"/>
    <mergeCell ref="A12:G12"/>
    <mergeCell ref="A13:G13"/>
    <mergeCell ref="A2:G2"/>
    <mergeCell ref="A8:G8"/>
    <mergeCell ref="A9:G9"/>
    <mergeCell ref="A10:G10"/>
  </mergeCells>
  <phoneticPr fontId="3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"/>
  <sheetViews>
    <sheetView zoomScale="82" zoomScaleNormal="82" workbookViewId="0">
      <selection activeCell="I4" sqref="I4:I5"/>
    </sheetView>
  </sheetViews>
  <sheetFormatPr defaultRowHeight="17.399999999999999"/>
  <cols>
    <col min="1" max="1" width="6.59765625" style="20" customWidth="1"/>
    <col min="2" max="9" width="19.59765625" style="20" customWidth="1"/>
    <col min="10" max="10" width="19.59765625" style="4" customWidth="1"/>
    <col min="11" max="16384" width="8.796875" style="24"/>
  </cols>
  <sheetData>
    <row r="2" spans="1:11">
      <c r="A2" s="63" t="s">
        <v>19</v>
      </c>
      <c r="B2" s="63"/>
      <c r="C2" s="63"/>
      <c r="D2" s="63"/>
      <c r="E2" s="63"/>
      <c r="F2" s="63"/>
      <c r="G2" s="63"/>
      <c r="H2" s="41"/>
      <c r="I2" s="23"/>
      <c r="J2" s="5"/>
    </row>
    <row r="3" spans="1:11">
      <c r="A3" s="25" t="s">
        <v>41</v>
      </c>
      <c r="B3" s="25" t="s">
        <v>42</v>
      </c>
      <c r="C3" s="25" t="s">
        <v>43</v>
      </c>
      <c r="D3" s="42" t="s">
        <v>44</v>
      </c>
      <c r="E3" s="42" t="s">
        <v>45</v>
      </c>
      <c r="F3" s="42" t="s">
        <v>46</v>
      </c>
      <c r="G3" s="25" t="s">
        <v>47</v>
      </c>
      <c r="H3" s="25" t="s">
        <v>48</v>
      </c>
      <c r="I3" s="25" t="s">
        <v>60</v>
      </c>
      <c r="J3" s="2" t="s">
        <v>23</v>
      </c>
      <c r="K3" s="24" t="s">
        <v>61</v>
      </c>
    </row>
    <row r="4" spans="1:11">
      <c r="A4" s="40">
        <v>202110</v>
      </c>
      <c r="B4" s="43" t="s">
        <v>49</v>
      </c>
      <c r="C4" s="44">
        <v>2000000</v>
      </c>
      <c r="D4" s="44">
        <v>6917093</v>
      </c>
      <c r="E4" s="44">
        <v>1583697</v>
      </c>
      <c r="F4" s="45"/>
      <c r="G4" s="10">
        <f>(D4+E4)-C4</f>
        <v>6500790</v>
      </c>
      <c r="H4" s="10">
        <f>C4+G4</f>
        <v>8500790</v>
      </c>
      <c r="I4" s="10">
        <f>H4*0.15</f>
        <v>1275118.5</v>
      </c>
      <c r="J4" s="10">
        <f>I4*0.2</f>
        <v>255023.7</v>
      </c>
    </row>
    <row r="5" spans="1:11">
      <c r="A5" s="40">
        <v>202110</v>
      </c>
      <c r="B5" s="40" t="s">
        <v>50</v>
      </c>
      <c r="C5" s="34">
        <v>10000000</v>
      </c>
      <c r="D5" s="35"/>
      <c r="E5" s="35"/>
      <c r="F5" s="35"/>
      <c r="G5" s="45"/>
      <c r="H5" s="10">
        <f>C5</f>
        <v>10000000</v>
      </c>
      <c r="I5" s="10">
        <f>H5*0.15</f>
        <v>1500000</v>
      </c>
      <c r="J5" s="10">
        <f>I5*0.2</f>
        <v>300000</v>
      </c>
    </row>
    <row r="6" spans="1:11">
      <c r="A6" s="48">
        <v>202109</v>
      </c>
      <c r="B6" s="48" t="s">
        <v>37</v>
      </c>
      <c r="C6" s="35">
        <v>3200000</v>
      </c>
      <c r="D6" s="35">
        <v>11594499</v>
      </c>
      <c r="E6" s="35"/>
      <c r="F6" s="35"/>
      <c r="G6" s="45">
        <f>D6-C6</f>
        <v>8394499</v>
      </c>
      <c r="H6" s="49">
        <f>C6+G6</f>
        <v>11594499</v>
      </c>
      <c r="I6" s="49">
        <f>(F6+H6)*0.15</f>
        <v>1739174.8499999999</v>
      </c>
      <c r="J6" s="49">
        <f>I6*0.2</f>
        <v>347834.97</v>
      </c>
      <c r="K6" s="24" t="s">
        <v>62</v>
      </c>
    </row>
    <row r="7" spans="1:11">
      <c r="A7" s="48">
        <v>202109</v>
      </c>
      <c r="B7" s="48" t="s">
        <v>38</v>
      </c>
      <c r="C7" s="35"/>
      <c r="D7" s="35"/>
      <c r="E7" s="35">
        <v>1264857</v>
      </c>
      <c r="F7" s="35"/>
      <c r="G7" s="45"/>
      <c r="H7" s="49">
        <f>E7</f>
        <v>1264857</v>
      </c>
      <c r="I7" s="49">
        <f>(F7+H7)*0.15</f>
        <v>189728.55</v>
      </c>
      <c r="J7" s="49">
        <f>I7*0.2</f>
        <v>37945.71</v>
      </c>
      <c r="K7" s="24" t="s">
        <v>62</v>
      </c>
    </row>
    <row r="8" spans="1:11">
      <c r="A8" s="50">
        <v>202108</v>
      </c>
      <c r="B8" s="50" t="s">
        <v>33</v>
      </c>
      <c r="C8" s="49">
        <v>-4000000</v>
      </c>
      <c r="D8" s="49">
        <v>-18148349</v>
      </c>
      <c r="E8" s="35"/>
      <c r="F8" s="35"/>
      <c r="G8" s="45">
        <f>D8-C8</f>
        <v>-14148349</v>
      </c>
      <c r="H8" s="49">
        <f>C8+G8</f>
        <v>-18148349</v>
      </c>
      <c r="I8" s="49">
        <v>-2722252.35</v>
      </c>
      <c r="J8" s="49">
        <v>-544450.47</v>
      </c>
      <c r="K8" s="24" t="s">
        <v>62</v>
      </c>
    </row>
    <row r="9" spans="1:11">
      <c r="A9" s="21" t="s">
        <v>51</v>
      </c>
      <c r="B9" s="26"/>
      <c r="C9" s="10">
        <f>SUM(C4:C5)</f>
        <v>12000000</v>
      </c>
      <c r="D9" s="10">
        <f t="shared" ref="D9:H9" si="0">SUM(D4:D5)</f>
        <v>6917093</v>
      </c>
      <c r="E9" s="10">
        <f t="shared" si="0"/>
        <v>1583697</v>
      </c>
      <c r="F9" s="10">
        <f t="shared" si="0"/>
        <v>0</v>
      </c>
      <c r="G9" s="10">
        <f t="shared" si="0"/>
        <v>6500790</v>
      </c>
      <c r="H9" s="10">
        <f t="shared" si="0"/>
        <v>18500790</v>
      </c>
      <c r="I9" s="11">
        <f>SUM(I4:I8)</f>
        <v>1981769.5499999993</v>
      </c>
      <c r="J9" s="52">
        <f>SUM(J4:J8)</f>
        <v>396353.90999999992</v>
      </c>
    </row>
    <row r="10" spans="1:11">
      <c r="J10" s="9"/>
    </row>
    <row r="11" spans="1:11" ht="11.25" customHeight="1">
      <c r="A11" s="61" t="s">
        <v>52</v>
      </c>
      <c r="B11" s="61"/>
      <c r="C11" s="61"/>
      <c r="D11" s="61"/>
      <c r="E11" s="61"/>
      <c r="F11" s="61"/>
      <c r="G11" s="61"/>
      <c r="H11" s="31"/>
      <c r="I11" s="22"/>
      <c r="J11" s="9"/>
    </row>
    <row r="12" spans="1:11" ht="11.25" customHeight="1">
      <c r="A12" s="61" t="s">
        <v>53</v>
      </c>
      <c r="B12" s="61"/>
      <c r="C12" s="61"/>
      <c r="D12" s="61"/>
      <c r="E12" s="61"/>
      <c r="F12" s="61"/>
      <c r="G12" s="61"/>
      <c r="H12" s="31"/>
      <c r="I12" s="22"/>
      <c r="J12" s="12"/>
    </row>
    <row r="13" spans="1:11" s="28" customFormat="1" ht="11.25" customHeight="1">
      <c r="A13" s="64" t="s">
        <v>54</v>
      </c>
      <c r="B13" s="64"/>
      <c r="C13" s="64"/>
      <c r="D13" s="64"/>
      <c r="E13" s="64"/>
      <c r="F13" s="64"/>
      <c r="G13" s="64"/>
      <c r="H13" s="32"/>
      <c r="I13" s="27"/>
      <c r="J13" s="9"/>
    </row>
    <row r="14" spans="1:11" s="28" customFormat="1" ht="11.25" customHeight="1">
      <c r="A14" s="60" t="s">
        <v>55</v>
      </c>
      <c r="B14" s="60"/>
      <c r="C14" s="60"/>
      <c r="D14" s="60"/>
      <c r="E14" s="60"/>
      <c r="F14" s="60"/>
      <c r="G14" s="60"/>
      <c r="H14" s="60"/>
      <c r="I14" s="27"/>
      <c r="J14" s="9"/>
    </row>
    <row r="15" spans="1:11" ht="11.25" customHeight="1">
      <c r="A15" s="61" t="s">
        <v>56</v>
      </c>
      <c r="B15" s="61"/>
      <c r="C15" s="61"/>
      <c r="D15" s="61"/>
      <c r="E15" s="61"/>
      <c r="F15" s="61"/>
      <c r="G15" s="61"/>
      <c r="H15" s="22"/>
      <c r="I15" s="22"/>
    </row>
    <row r="16" spans="1:11" s="47" customFormat="1" ht="11.25" customHeight="1">
      <c r="A16" s="62" t="s">
        <v>57</v>
      </c>
      <c r="B16" s="62"/>
      <c r="C16" s="62"/>
      <c r="D16" s="62"/>
      <c r="E16" s="62"/>
      <c r="F16" s="62"/>
      <c r="G16" s="62"/>
      <c r="H16" s="46"/>
      <c r="I16" s="46"/>
      <c r="J16" s="4"/>
    </row>
  </sheetData>
  <mergeCells count="7">
    <mergeCell ref="A14:H14"/>
    <mergeCell ref="A15:G15"/>
    <mergeCell ref="A16:G16"/>
    <mergeCell ref="A2:G2"/>
    <mergeCell ref="A11:G11"/>
    <mergeCell ref="A12:G12"/>
    <mergeCell ref="A13:G13"/>
  </mergeCells>
  <phoneticPr fontId="3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D21" sqref="D21"/>
    </sheetView>
  </sheetViews>
  <sheetFormatPr defaultRowHeight="17.399999999999999"/>
  <cols>
    <col min="1" max="1" width="6.59765625" style="20" customWidth="1"/>
    <col min="2" max="6" width="19.59765625" style="20" customWidth="1"/>
    <col min="7" max="7" width="19.59765625" style="4" customWidth="1"/>
    <col min="8" max="8" width="19.59765625" style="20" customWidth="1"/>
    <col min="9" max="16384" width="8.796875" style="24"/>
  </cols>
  <sheetData>
    <row r="2" spans="1:8">
      <c r="A2" s="63" t="s">
        <v>19</v>
      </c>
      <c r="B2" s="63"/>
      <c r="C2" s="63"/>
      <c r="D2" s="63"/>
      <c r="E2" s="63"/>
      <c r="F2" s="63"/>
      <c r="G2" s="5"/>
      <c r="H2" s="23"/>
    </row>
    <row r="3" spans="1:8">
      <c r="A3" s="25" t="s">
        <v>5</v>
      </c>
      <c r="B3" s="25" t="s">
        <v>7</v>
      </c>
      <c r="C3" s="25" t="s">
        <v>8</v>
      </c>
      <c r="D3" s="25" t="s">
        <v>9</v>
      </c>
      <c r="E3" s="25" t="s">
        <v>10</v>
      </c>
      <c r="F3" s="25" t="s">
        <v>14</v>
      </c>
      <c r="G3" s="2" t="s">
        <v>23</v>
      </c>
      <c r="H3" s="19"/>
    </row>
    <row r="4" spans="1:8">
      <c r="A4" s="33">
        <v>202109</v>
      </c>
      <c r="B4" s="33" t="s">
        <v>37</v>
      </c>
      <c r="C4" s="34">
        <v>3200000</v>
      </c>
      <c r="D4" s="34">
        <v>11594499</v>
      </c>
      <c r="E4" s="10">
        <f>D4-C4</f>
        <v>8394499</v>
      </c>
      <c r="F4" s="10">
        <f>(C4+E4)*0.15</f>
        <v>1739174.8499999999</v>
      </c>
      <c r="G4" s="10">
        <f>F4*0.2</f>
        <v>347834.97</v>
      </c>
      <c r="H4" s="19"/>
    </row>
    <row r="5" spans="1:8">
      <c r="A5" s="33">
        <v>202109</v>
      </c>
      <c r="B5" s="33" t="s">
        <v>38</v>
      </c>
      <c r="C5" s="35"/>
      <c r="D5" s="34">
        <v>1264857</v>
      </c>
      <c r="E5" s="10">
        <f>D5-C5</f>
        <v>1264857</v>
      </c>
      <c r="F5" s="10">
        <f>(C5+E5)*0.15</f>
        <v>189728.55</v>
      </c>
      <c r="G5" s="10">
        <f>F5*0.2</f>
        <v>37945.71</v>
      </c>
      <c r="H5" s="19"/>
    </row>
    <row r="6" spans="1:8">
      <c r="A6" s="21" t="s">
        <v>6</v>
      </c>
      <c r="B6" s="26"/>
      <c r="C6" s="10">
        <f>SUM(C4:C5)</f>
        <v>3200000</v>
      </c>
      <c r="D6" s="10">
        <f t="shared" ref="D6:F6" si="0">SUM(D4:D5)</f>
        <v>12859356</v>
      </c>
      <c r="E6" s="10">
        <f t="shared" si="0"/>
        <v>9659356</v>
      </c>
      <c r="F6" s="11">
        <f t="shared" si="0"/>
        <v>1928903.4</v>
      </c>
      <c r="G6" s="36">
        <f>SUM(G4:G5)</f>
        <v>385780.68</v>
      </c>
      <c r="H6" s="19"/>
    </row>
    <row r="7" spans="1:8">
      <c r="G7" s="9"/>
    </row>
    <row r="8" spans="1:8" ht="11.25" customHeight="1">
      <c r="A8" s="61" t="s">
        <v>11</v>
      </c>
      <c r="B8" s="61"/>
      <c r="C8" s="61"/>
      <c r="D8" s="61"/>
      <c r="E8" s="61"/>
      <c r="F8" s="61"/>
      <c r="G8" s="9"/>
      <c r="H8" s="22"/>
    </row>
    <row r="9" spans="1:8" ht="11.25" customHeight="1">
      <c r="A9" s="61" t="s">
        <v>12</v>
      </c>
      <c r="B9" s="61"/>
      <c r="C9" s="61"/>
      <c r="D9" s="61"/>
      <c r="E9" s="61"/>
      <c r="F9" s="61"/>
      <c r="G9" s="12"/>
      <c r="H9" s="22"/>
    </row>
    <row r="10" spans="1:8" s="28" customFormat="1" ht="11.25" customHeight="1">
      <c r="A10" s="64" t="s">
        <v>13</v>
      </c>
      <c r="B10" s="64"/>
      <c r="C10" s="64"/>
      <c r="D10" s="64"/>
      <c r="E10" s="64"/>
      <c r="F10" s="64"/>
      <c r="G10" s="9"/>
      <c r="H10" s="27"/>
    </row>
    <row r="11" spans="1:8" ht="11.25" customHeight="1">
      <c r="A11" s="61" t="s">
        <v>15</v>
      </c>
      <c r="B11" s="61"/>
      <c r="C11" s="61"/>
      <c r="D11" s="61"/>
      <c r="E11" s="61"/>
      <c r="F11" s="61"/>
      <c r="G11" s="9"/>
      <c r="H11" s="22"/>
    </row>
    <row r="12" spans="1:8">
      <c r="A12" s="29"/>
      <c r="B12" s="29"/>
      <c r="C12" s="29"/>
      <c r="D12" s="29"/>
      <c r="E12" s="30"/>
      <c r="F12" s="29"/>
      <c r="H12" s="29"/>
    </row>
  </sheetData>
  <mergeCells count="5">
    <mergeCell ref="A11:F11"/>
    <mergeCell ref="A2:F2"/>
    <mergeCell ref="A8:F8"/>
    <mergeCell ref="A9:F9"/>
    <mergeCell ref="A10:F10"/>
  </mergeCells>
  <phoneticPr fontId="3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F4" sqref="F4"/>
    </sheetView>
  </sheetViews>
  <sheetFormatPr defaultRowHeight="17.399999999999999"/>
  <cols>
    <col min="1" max="1" width="6.59765625" style="20" customWidth="1"/>
    <col min="2" max="6" width="19.59765625" style="20" customWidth="1"/>
    <col min="7" max="7" width="19.59765625" style="4" customWidth="1"/>
    <col min="8" max="8" width="19.59765625" style="20" customWidth="1"/>
    <col min="9" max="16384" width="8.796875" style="24"/>
  </cols>
  <sheetData>
    <row r="2" spans="1:8">
      <c r="A2" s="63" t="s">
        <v>19</v>
      </c>
      <c r="B2" s="63"/>
      <c r="C2" s="63"/>
      <c r="D2" s="63"/>
      <c r="E2" s="63"/>
      <c r="F2" s="63"/>
      <c r="G2" s="5"/>
      <c r="H2" s="23"/>
    </row>
    <row r="3" spans="1:8">
      <c r="A3" s="25" t="s">
        <v>5</v>
      </c>
      <c r="B3" s="25" t="s">
        <v>7</v>
      </c>
      <c r="C3" s="25" t="s">
        <v>8</v>
      </c>
      <c r="D3" s="25" t="s">
        <v>9</v>
      </c>
      <c r="E3" s="25" t="s">
        <v>10</v>
      </c>
      <c r="F3" s="25" t="s">
        <v>32</v>
      </c>
      <c r="G3" s="2" t="s">
        <v>23</v>
      </c>
      <c r="H3" s="19"/>
    </row>
    <row r="4" spans="1:8">
      <c r="A4" s="21">
        <v>202108</v>
      </c>
      <c r="B4" s="26" t="s">
        <v>33</v>
      </c>
      <c r="C4" s="10">
        <v>4000000</v>
      </c>
      <c r="D4" s="10">
        <v>18148349</v>
      </c>
      <c r="E4" s="10">
        <f>D4-C4</f>
        <v>14148349</v>
      </c>
      <c r="F4" s="10">
        <f>(C4+E4)*0.15</f>
        <v>2722252.35</v>
      </c>
      <c r="G4" s="10">
        <f>F4*0.2</f>
        <v>544450.47000000009</v>
      </c>
      <c r="H4" s="19"/>
    </row>
    <row r="5" spans="1:8">
      <c r="A5" s="21" t="s">
        <v>6</v>
      </c>
      <c r="B5" s="26"/>
      <c r="C5" s="10">
        <f>SUM(C4:C4)</f>
        <v>4000000</v>
      </c>
      <c r="D5" s="10">
        <f>SUM(D4:D4)</f>
        <v>18148349</v>
      </c>
      <c r="E5" s="10">
        <f>SUM(E4:E4)</f>
        <v>14148349</v>
      </c>
      <c r="F5" s="11">
        <f>SUM(F4:F4)</f>
        <v>2722252.35</v>
      </c>
      <c r="G5" s="11">
        <f>SUM(G4:G4)</f>
        <v>544450.47000000009</v>
      </c>
      <c r="H5" s="19"/>
    </row>
    <row r="7" spans="1:8" ht="11.25" customHeight="1">
      <c r="A7" s="61" t="s">
        <v>34</v>
      </c>
      <c r="B7" s="61"/>
      <c r="C7" s="61"/>
      <c r="D7" s="61"/>
      <c r="E7" s="61"/>
      <c r="F7" s="61"/>
      <c r="G7" s="9"/>
      <c r="H7" s="22"/>
    </row>
    <row r="8" spans="1:8" ht="11.25" customHeight="1">
      <c r="A8" s="61" t="s">
        <v>12</v>
      </c>
      <c r="B8" s="61"/>
      <c r="C8" s="61"/>
      <c r="D8" s="61"/>
      <c r="E8" s="61"/>
      <c r="F8" s="61"/>
      <c r="G8" s="9"/>
      <c r="H8" s="22"/>
    </row>
    <row r="9" spans="1:8" s="28" customFormat="1" ht="11.25" customHeight="1">
      <c r="A9" s="64" t="s">
        <v>13</v>
      </c>
      <c r="B9" s="64"/>
      <c r="C9" s="64"/>
      <c r="D9" s="64"/>
      <c r="E9" s="64"/>
      <c r="F9" s="64"/>
      <c r="G9" s="12"/>
      <c r="H9" s="27"/>
    </row>
    <row r="10" spans="1:8" ht="11.25" customHeight="1">
      <c r="A10" s="61" t="s">
        <v>15</v>
      </c>
      <c r="B10" s="61"/>
      <c r="C10" s="61"/>
      <c r="D10" s="61"/>
      <c r="E10" s="61"/>
      <c r="F10" s="61"/>
      <c r="G10" s="9"/>
      <c r="H10" s="22"/>
    </row>
    <row r="11" spans="1:8">
      <c r="A11" s="29"/>
      <c r="B11" s="29"/>
      <c r="C11" s="29"/>
      <c r="D11" s="29"/>
      <c r="E11" s="30"/>
      <c r="F11" s="29"/>
      <c r="G11" s="9"/>
      <c r="H11" s="29"/>
    </row>
  </sheetData>
  <mergeCells count="5">
    <mergeCell ref="A10:F10"/>
    <mergeCell ref="A2:F2"/>
    <mergeCell ref="A7:F7"/>
    <mergeCell ref="A8:F8"/>
    <mergeCell ref="A9:F9"/>
  </mergeCells>
  <phoneticPr fontId="3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G1" sqref="G1:G1048576"/>
    </sheetView>
  </sheetViews>
  <sheetFormatPr defaultRowHeight="17.399999999999999"/>
  <cols>
    <col min="1" max="1" width="6.59765625" style="4" customWidth="1"/>
    <col min="2" max="8" width="19.59765625" style="4" customWidth="1"/>
  </cols>
  <sheetData>
    <row r="2" spans="1:8">
      <c r="A2" s="66" t="s">
        <v>19</v>
      </c>
      <c r="B2" s="66"/>
      <c r="C2" s="66"/>
      <c r="D2" s="66"/>
      <c r="E2" s="66"/>
      <c r="F2" s="66"/>
      <c r="G2" s="5"/>
      <c r="H2" s="5"/>
    </row>
    <row r="3" spans="1:8">
      <c r="A3" s="2" t="s">
        <v>5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14</v>
      </c>
      <c r="G3" s="2" t="s">
        <v>23</v>
      </c>
      <c r="H3" s="6"/>
    </row>
    <row r="4" spans="1:8">
      <c r="A4" s="7">
        <v>202107</v>
      </c>
      <c r="B4" s="8" t="s">
        <v>20</v>
      </c>
      <c r="C4" s="10">
        <v>16000000</v>
      </c>
      <c r="D4" s="10">
        <v>36061513</v>
      </c>
      <c r="E4" s="10">
        <f>D4-C4</f>
        <v>20061513</v>
      </c>
      <c r="F4" s="10">
        <f>(C4+E4)*0.15</f>
        <v>5409226.9500000002</v>
      </c>
      <c r="G4" s="10">
        <f>F4*0.2</f>
        <v>1081845.3900000001</v>
      </c>
      <c r="H4" s="6"/>
    </row>
    <row r="5" spans="1:8">
      <c r="A5" s="7" t="s">
        <v>6</v>
      </c>
      <c r="B5" s="8"/>
      <c r="C5" s="10">
        <f>SUM(C4:C4)</f>
        <v>16000000</v>
      </c>
      <c r="D5" s="10">
        <f>SUM(D4:D4)</f>
        <v>36061513</v>
      </c>
      <c r="E5" s="10">
        <f>SUM(E4:E4)</f>
        <v>20061513</v>
      </c>
      <c r="F5" s="11">
        <f>SUM(F4:F4)</f>
        <v>5409226.9500000002</v>
      </c>
      <c r="G5" s="11">
        <f>SUM(G4:G4)</f>
        <v>1081845.3900000001</v>
      </c>
      <c r="H5" s="6"/>
    </row>
    <row r="7" spans="1:8" ht="11.25" customHeight="1">
      <c r="A7" s="65" t="s">
        <v>11</v>
      </c>
      <c r="B7" s="65"/>
      <c r="C7" s="65"/>
      <c r="D7" s="65"/>
      <c r="E7" s="65"/>
      <c r="F7" s="65"/>
      <c r="G7" s="9"/>
      <c r="H7" s="9"/>
    </row>
    <row r="8" spans="1:8" ht="11.25" customHeight="1">
      <c r="A8" s="65" t="s">
        <v>12</v>
      </c>
      <c r="B8" s="65"/>
      <c r="C8" s="65"/>
      <c r="D8" s="65"/>
      <c r="E8" s="65"/>
      <c r="F8" s="65"/>
      <c r="G8" s="9"/>
      <c r="H8" s="9"/>
    </row>
    <row r="9" spans="1:8" s="13" customFormat="1" ht="11.25" customHeight="1">
      <c r="A9" s="67" t="s">
        <v>13</v>
      </c>
      <c r="B9" s="67"/>
      <c r="C9" s="67"/>
      <c r="D9" s="67"/>
      <c r="E9" s="67"/>
      <c r="F9" s="67"/>
      <c r="G9" s="12"/>
      <c r="H9" s="12"/>
    </row>
    <row r="10" spans="1:8" ht="11.25" customHeight="1">
      <c r="A10" s="65" t="s">
        <v>15</v>
      </c>
      <c r="B10" s="65"/>
      <c r="C10" s="65"/>
      <c r="D10" s="65"/>
      <c r="E10" s="65"/>
      <c r="F10" s="65"/>
      <c r="G10" s="9"/>
      <c r="H10" s="9"/>
    </row>
    <row r="11" spans="1:8" ht="11.25" customHeight="1">
      <c r="A11" s="65" t="s">
        <v>22</v>
      </c>
      <c r="B11" s="65"/>
      <c r="C11" s="65"/>
      <c r="D11" s="65"/>
      <c r="E11" s="65"/>
      <c r="F11" s="65"/>
      <c r="G11" s="9"/>
      <c r="H11" s="9"/>
    </row>
  </sheetData>
  <mergeCells count="6">
    <mergeCell ref="A11:F11"/>
    <mergeCell ref="A10:F10"/>
    <mergeCell ref="A2:F2"/>
    <mergeCell ref="A7:F7"/>
    <mergeCell ref="A8:F8"/>
    <mergeCell ref="A9:F9"/>
  </mergeCells>
  <phoneticPr fontId="3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서비스현황</vt:lpstr>
      <vt:lpstr>합계(12)</vt:lpstr>
      <vt:lpstr>202112</vt:lpstr>
      <vt:lpstr>202111</vt:lpstr>
      <vt:lpstr>202110</vt:lpstr>
      <vt:lpstr>202109</vt:lpstr>
      <vt:lpstr>202108</vt:lpstr>
      <vt:lpstr>202107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월별 정산금액 조회</dc:title>
  <dc:creator>B-SHLEE</dc:creator>
  <cp:lastModifiedBy>jihui</cp:lastModifiedBy>
  <cp:revision>16</cp:revision>
  <cp:lastPrinted>2015-04-29T11:42:30Z</cp:lastPrinted>
  <dcterms:created xsi:type="dcterms:W3CDTF">2012-11-29T06:46:34Z</dcterms:created>
  <dcterms:modified xsi:type="dcterms:W3CDTF">2022-01-26T02:28:15Z</dcterms:modified>
</cp:coreProperties>
</file>