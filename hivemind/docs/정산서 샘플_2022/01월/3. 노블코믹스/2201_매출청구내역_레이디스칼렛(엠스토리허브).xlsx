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1월매출\3. 노블코믹스\"/>
    </mc:Choice>
  </mc:AlternateContent>
  <bookViews>
    <workbookView xWindow="0" yWindow="0" windowWidth="23040" windowHeight="8952" tabRatio="898"/>
  </bookViews>
  <sheets>
    <sheet name="정산서" sheetId="2" r:id="rId1"/>
    <sheet name="상세내역" sheetId="15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2" i="15" l="1"/>
  <c r="B6" i="2" l="1"/>
  <c r="D15" i="2"/>
  <c r="C15" i="2"/>
  <c r="F14" i="2" l="1"/>
  <c r="F15" i="2" s="1"/>
  <c r="C6" i="2" s="1"/>
  <c r="D6" i="2" s="1" a="1"/>
  <c r="D6" i="2" s="1"/>
  <c r="E6" i="2" s="1"/>
  <c r="E15" i="2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<sst xmlns="http://schemas.openxmlformats.org/spreadsheetml/2006/main" count="586" uniqueCount="100">
  <si>
    <t>1. (세금)계산서 발행 안내</t>
    <phoneticPr fontId="2" type="noConversion"/>
  </si>
  <si>
    <t>품목</t>
    <phoneticPr fontId="2" type="noConversion"/>
  </si>
  <si>
    <t>공급가액</t>
    <phoneticPr fontId="2" type="noConversion"/>
  </si>
  <si>
    <t>세액</t>
    <phoneticPr fontId="2" type="noConversion"/>
  </si>
  <si>
    <t>합계</t>
    <phoneticPr fontId="2" type="noConversion"/>
  </si>
  <si>
    <t>과세여부</t>
    <phoneticPr fontId="2" type="noConversion"/>
  </si>
  <si>
    <t>지급예정일</t>
    <phoneticPr fontId="2" type="noConversion"/>
  </si>
  <si>
    <t>사업자용</t>
    <phoneticPr fontId="2" type="noConversion"/>
  </si>
  <si>
    <t>면세</t>
    <phoneticPr fontId="2" type="noConversion"/>
  </si>
  <si>
    <t>2. 정산내역</t>
    <phoneticPr fontId="2" type="noConversion"/>
  </si>
  <si>
    <t>내용</t>
    <phoneticPr fontId="2" type="noConversion"/>
  </si>
  <si>
    <t xml:space="preserve"> - 정산관련문의 : tax@mstoryhub.com</t>
    <phoneticPr fontId="2" type="noConversion"/>
  </si>
  <si>
    <t xml:space="preserve"> - (세금)계산서 미발행 시 지급이 이월될 수 있습니다.</t>
    <phoneticPr fontId="2" type="noConversion"/>
  </si>
  <si>
    <t>순번</t>
    <phoneticPr fontId="2" type="noConversion"/>
  </si>
  <si>
    <t>판매월</t>
    <phoneticPr fontId="2" type="noConversion"/>
  </si>
  <si>
    <t>서비스</t>
    <phoneticPr fontId="2" type="noConversion"/>
  </si>
  <si>
    <t>제목</t>
  </si>
  <si>
    <t>저자</t>
  </si>
  <si>
    <t>출판사</t>
  </si>
  <si>
    <t>구매 건수</t>
    <phoneticPr fontId="2" type="noConversion"/>
  </si>
  <si>
    <t>구매 금액</t>
    <phoneticPr fontId="2" type="noConversion"/>
  </si>
  <si>
    <t>대여 건수</t>
    <phoneticPr fontId="2" type="noConversion"/>
  </si>
  <si>
    <t>대여 금액</t>
    <phoneticPr fontId="2" type="noConversion"/>
  </si>
  <si>
    <t>취소 건수</t>
    <phoneticPr fontId="2" type="noConversion"/>
  </si>
  <si>
    <t>취소 금액</t>
    <phoneticPr fontId="2" type="noConversion"/>
  </si>
  <si>
    <t>매출
(구매금액+대여금액-취소금액-제휴사 수수료)</t>
  </si>
  <si>
    <t>저작권자 정산율</t>
    <phoneticPr fontId="2" type="noConversion"/>
  </si>
  <si>
    <t>저작권자 정산금</t>
    <phoneticPr fontId="2" type="noConversion"/>
  </si>
  <si>
    <t>매출(정산대상)(A)</t>
    <phoneticPr fontId="2" type="noConversion"/>
  </si>
  <si>
    <t>정산금(B)</t>
    <phoneticPr fontId="2" type="noConversion"/>
  </si>
  <si>
    <t>선급 차감(C)</t>
    <phoneticPr fontId="2" type="noConversion"/>
  </si>
  <si>
    <t>지급 예정(B-C)</t>
    <phoneticPr fontId="2" type="noConversion"/>
  </si>
  <si>
    <t xml:space="preserve"> - 정산에 대한 상세 내역은 하단의 상세내역 시트에서 확인할 수 있습니다.</t>
    <phoneticPr fontId="2" type="noConversion"/>
  </si>
  <si>
    <t>웹툰</t>
    <phoneticPr fontId="2" type="noConversion"/>
  </si>
  <si>
    <t>네이버 만화</t>
  </si>
  <si>
    <t>레이디 스칼렛</t>
  </si>
  <si>
    <t>별찌</t>
  </si>
  <si>
    <t>엠스토리허브</t>
  </si>
  <si>
    <t>레진</t>
  </si>
  <si>
    <t>불고기자리&amp;별찌</t>
  </si>
  <si>
    <t>미스터블루 만화</t>
  </si>
  <si>
    <t>레이디 스칼렛 [스크롤]</t>
  </si>
  <si>
    <t>별찌/불고기자리</t>
  </si>
  <si>
    <t>버프툰 웹툰</t>
  </si>
  <si>
    <t>봄툰</t>
  </si>
  <si>
    <t>카카오페이지</t>
  </si>
  <si>
    <t>불고기자리,별찌</t>
  </si>
  <si>
    <t>코미코 웹툰</t>
  </si>
  <si>
    <t>해외 네이버 글로벌</t>
  </si>
  <si>
    <t>해외 코미코 태국</t>
  </si>
  <si>
    <t>Fisces,Byuljji</t>
  </si>
  <si>
    <t>MSTORYHUB</t>
  </si>
  <si>
    <t>2022년 01월 정산</t>
  </si>
  <si>
    <t>2021-12</t>
  </si>
  <si>
    <t>레이디 스칼렛 1화</t>
  </si>
  <si>
    <t>레이디 스칼렛 2화</t>
  </si>
  <si>
    <t>레이디 스칼렛 3화</t>
  </si>
  <si>
    <t>레이디 스칼렛 4화</t>
  </si>
  <si>
    <t>레이디 스칼렛 5화</t>
  </si>
  <si>
    <t>레이디 스칼렛 6화</t>
  </si>
  <si>
    <t>레이디 스칼렛 7화</t>
  </si>
  <si>
    <t>레이디 스칼렛 8화</t>
  </si>
  <si>
    <t>레이디 스칼렛 9화</t>
  </si>
  <si>
    <t>레이디 스칼렛 10화</t>
  </si>
  <si>
    <t>레이디 스칼렛 11화</t>
  </si>
  <si>
    <t>레이디 스칼렛 12화</t>
  </si>
  <si>
    <t>레이디 스칼렛 13화</t>
  </si>
  <si>
    <t>레이디 스칼렛 14화</t>
  </si>
  <si>
    <t>레이디 스칼렛 15화</t>
  </si>
  <si>
    <t>레이디 스칼렛 16화</t>
  </si>
  <si>
    <t>레이디 스칼렛 17화</t>
  </si>
  <si>
    <t>레이디 스칼렛 18화</t>
  </si>
  <si>
    <t>레이디 스칼렛 19화</t>
  </si>
  <si>
    <t>레이디 스칼렛 20화</t>
  </si>
  <si>
    <t>레이디 스칼렛 21화</t>
  </si>
  <si>
    <t>레이디 스칼렛 22화</t>
  </si>
  <si>
    <t>레이디 스칼렛 23화</t>
  </si>
  <si>
    <t>레이디 스칼렛 24화</t>
  </si>
  <si>
    <t>레이디 스칼렛 25화</t>
  </si>
  <si>
    <t>레이디 스칼렛 26화</t>
  </si>
  <si>
    <t>레이디 스칼렛 27화</t>
  </si>
  <si>
    <t>레이디 스칼렛 28화</t>
  </si>
  <si>
    <t>레이디 스칼렛 29화</t>
  </si>
  <si>
    <t>레이디 스칼렛 30화</t>
  </si>
  <si>
    <t>레이디 스칼렛 31화</t>
  </si>
  <si>
    <t>레이디 스칼렛 32화</t>
  </si>
  <si>
    <t>레이디 스칼렛 33화</t>
  </si>
  <si>
    <t>레이디 스칼렛 34화</t>
  </si>
  <si>
    <t>레이디 스칼렛 35화</t>
  </si>
  <si>
    <t>레이디 스칼렛 36화</t>
  </si>
  <si>
    <t>레이디 스칼렛 37화</t>
  </si>
  <si>
    <t>레이디 스칼렛 38화</t>
  </si>
  <si>
    <t>레이디 스칼렛 39화</t>
  </si>
  <si>
    <t>레이디 스칼렛 40화</t>
  </si>
  <si>
    <t>레이디 스칼렛 41화</t>
  </si>
  <si>
    <t>레이디 스칼렛 42화</t>
  </si>
  <si>
    <t>레이디 스칼렛 43화</t>
  </si>
  <si>
    <t>리디북스</t>
  </si>
  <si>
    <t>불고기자리</t>
  </si>
  <si>
    <t>레이디 스칼렛_2021 12 LINE WEBTOON_FR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</si>
</sst>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color theme="1" tint="0.1499984740745262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1" fontId="4" fillId="0" borderId="5" xfId="1" applyFont="1" applyBorder="1">
      <alignment vertical="center"/>
    </xf>
    <xf numFmtId="0" fontId="4" fillId="0" borderId="7" xfId="0" applyFont="1" applyBorder="1" applyAlignment="1">
      <alignment horizontal="center" vertical="center"/>
    </xf>
    <xf numFmtId="41" fontId="4" fillId="0" borderId="8" xfId="1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31" fontId="4" fillId="0" borderId="9" xfId="0" applyNumberFormat="1" applyFont="1" applyBorder="1" applyAlignment="1">
      <alignment horizontal="center" vertical="center"/>
    </xf>
    <xf numFmtId="41" fontId="4" fillId="0" borderId="5" xfId="0" applyNumberFormat="1" applyFont="1" applyBorder="1">
      <alignment vertical="center"/>
    </xf>
    <xf numFmtId="41" fontId="4" fillId="0" borderId="4" xfId="1" applyFont="1" applyBorder="1" applyAlignment="1">
      <alignment horizontal="center" vertical="center"/>
    </xf>
    <xf numFmtId="41" fontId="4" fillId="0" borderId="6" xfId="0" applyNumberFormat="1" applyFont="1" applyBorder="1">
      <alignment vertical="center"/>
    </xf>
    <xf numFmtId="0" fontId="6" fillId="0" borderId="0" xfId="0" applyFont="1">
      <alignment vertical="center"/>
    </xf>
    <xf numFmtId="41" fontId="4" fillId="3" borderId="7" xfId="1" applyFont="1" applyFill="1" applyBorder="1" applyAlignment="1">
      <alignment horizontal="center" vertical="center"/>
    </xf>
    <xf numFmtId="41" fontId="4" fillId="3" borderId="8" xfId="1" applyFont="1" applyFill="1" applyBorder="1">
      <alignment vertical="center"/>
    </xf>
    <xf numFmtId="41" fontId="4" fillId="3" borderId="8" xfId="0" applyNumberFormat="1" applyFont="1" applyFill="1" applyBorder="1">
      <alignment vertical="center"/>
    </xf>
    <xf numFmtId="41" fontId="4" fillId="3" borderId="9" xfId="0" applyNumberFormat="1" applyFont="1" applyFill="1" applyBorder="1">
      <alignment vertical="center"/>
    </xf>
    <xf numFmtId="0" fontId="7" fillId="0" borderId="0" xfId="0" applyFont="1">
      <alignment vertical="center"/>
    </xf>
    <xf numFmtId="0" fontId="8" fillId="2" borderId="5" xfId="0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/>
    </xf>
    <xf numFmtId="41" fontId="8" fillId="2" borderId="5" xfId="1" applyFont="1" applyFill="1" applyBorder="1" applyAlignment="1">
      <alignment horizontal="center" vertical="center" wrapText="1"/>
    </xf>
    <xf numFmtId="9" fontId="8" fillId="2" borderId="5" xfId="2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1" fontId="4" fillId="0" borderId="0" xfId="1" applyFont="1">
      <alignment vertical="center"/>
    </xf>
    <xf numFmtId="9" fontId="4" fillId="0" borderId="0" xfId="2" applyFont="1">
      <alignment vertical="center"/>
    </xf>
    <xf numFmtId="0" fontId="3" fillId="0" borderId="0" xfId="0" applyFont="1" applyAlignment="1">
      <alignment horizontal="center" vertical="center"/>
    </xf>
    <xf numFmtId="41" fontId="4" fillId="4" borderId="0" xfId="1" applyFont="1" applyFill="1">
      <alignment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"/>
  <sheetViews>
    <sheetView showGridLines="0" tabSelected="1" workbookViewId="0">
      <selection activeCell="B22" sqref="B22"/>
    </sheetView>
  </sheetViews>
  <sheetFormatPr defaultColWidth="0" defaultRowHeight="16.95" customHeight="1" zeroHeight="1" x14ac:dyDescent="0.4"/>
  <cols>
    <col min="1" max="1" width="3.3984375" style="1" customWidth="1"/>
    <col min="2" max="2" width="25.796875" style="1" customWidth="1"/>
    <col min="3" max="7" width="16.5" style="1" customWidth="1"/>
    <col min="8" max="8" width="3.3984375" style="1" customWidth="1"/>
    <col min="9" max="11" width="8.69921875" style="1" hidden="1" customWidth="1"/>
    <col min="12" max="14" width="0" style="1" hidden="1" customWidth="1"/>
    <col min="15" max="16384" width="8.69921875" hidden="1"/>
  </cols>
  <sheetData>
    <row r="1" spans="1:9" ht="49.95" customHeight="1" x14ac:dyDescent="0.4">
      <c r="A1" s="26" t="s">
        <v>52</v>
      </c>
      <c r="B1" s="26"/>
      <c r="C1" s="26"/>
      <c r="D1" s="26"/>
      <c r="E1" s="26"/>
      <c r="F1" s="26"/>
      <c r="G1" s="26"/>
      <c r="H1" s="26"/>
    </row>
    <row r="2" spans="1:9" ht="16.95" customHeight="1" x14ac:dyDescent="0.4"/>
    <row r="3" spans="1:9" ht="16.95" customHeight="1" x14ac:dyDescent="0.4"/>
    <row r="4" spans="1:9" ht="18" thickBot="1" x14ac:dyDescent="0.45">
      <c r="B4" s="13" t="s">
        <v>0</v>
      </c>
    </row>
    <row r="5" spans="1:9" ht="19.95" customHeight="1" x14ac:dyDescent="0.4">
      <c r="B5" s="2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4" t="s">
        <v>6</v>
      </c>
      <c r="I5" s="1" t="s">
        <v>7</v>
      </c>
    </row>
    <row r="6" spans="1:9" ht="19.95" customHeight="1" thickBot="1" x14ac:dyDescent="0.45">
      <c r="B6" s="6" t="str">
        <f>RIGHT(A1,6)</f>
        <v>01월 정산</v>
      </c>
      <c r="C6" s="7">
        <f>IF(F15&gt;0,ROUND(F15,0),"발행없음")</f>
        <v>457094</v>
      </c>
      <c r="D6" s="7" cm="1">
        <f t="array" ref="D6">_xlfn.IFS(F6="면세",0,F6="과세(부가세별도)",ROUNDDOWN(C6*0.1,0),F6="과세(부가세포함)",ROUNDDOWN(C6/1.1,0))</f>
        <v>0</v>
      </c>
      <c r="E6" s="7">
        <f>C6+D6</f>
        <v>457094</v>
      </c>
      <c r="F6" s="8" t="s">
        <v>8</v>
      </c>
      <c r="G6" s="9">
        <v>44620</v>
      </c>
    </row>
    <row r="7" spans="1:9" ht="16.95" customHeight="1" x14ac:dyDescent="0.4"/>
    <row r="8" spans="1:9" ht="16.95" customHeight="1" x14ac:dyDescent="0.4"/>
    <row r="9" spans="1:9" ht="16.95" customHeight="1" x14ac:dyDescent="0.4"/>
    <row r="10" spans="1:9" ht="16.95" customHeight="1" x14ac:dyDescent="0.4"/>
    <row r="11" spans="1:9" ht="16.95" customHeight="1" x14ac:dyDescent="0.4"/>
    <row r="12" spans="1:9" ht="19.95" customHeight="1" thickBot="1" x14ac:dyDescent="0.45">
      <c r="B12" s="13" t="s">
        <v>9</v>
      </c>
    </row>
    <row r="13" spans="1:9" ht="19.95" customHeight="1" x14ac:dyDescent="0.4">
      <c r="B13" s="2" t="s">
        <v>10</v>
      </c>
      <c r="C13" s="3" t="s">
        <v>28</v>
      </c>
      <c r="D13" s="3" t="s">
        <v>29</v>
      </c>
      <c r="E13" s="3" t="s">
        <v>30</v>
      </c>
      <c r="F13" s="4" t="s">
        <v>31</v>
      </c>
    </row>
    <row r="14" spans="1:9" ht="19.95" customHeight="1" x14ac:dyDescent="0.4">
      <c r="B14" s="11" t="s">
        <v>33</v>
      </c>
      <c r="C14" s="5">
        <v>4573487.4265000001</v>
      </c>
      <c r="D14" s="5">
        <v>457094.06143299991</v>
      </c>
      <c r="E14" s="10">
        <v>0</v>
      </c>
      <c r="F14" s="12">
        <f>D14-E14</f>
        <v>457094.06143299991</v>
      </c>
    </row>
    <row r="15" spans="1:9" ht="19.95" customHeight="1" thickBot="1" x14ac:dyDescent="0.45">
      <c r="B15" s="14" t="s">
        <v>4</v>
      </c>
      <c r="C15" s="15">
        <f>SUM(C14:C14)</f>
        <v>4573487.4265000001</v>
      </c>
      <c r="D15" s="15">
        <f>SUM(D14:D14)</f>
        <v>457094.06143299991</v>
      </c>
      <c r="E15" s="16">
        <f>SUM(E14:E14)</f>
        <v>0</v>
      </c>
      <c r="F15" s="17">
        <f>SUM(F14:F14)</f>
        <v>457094.06143299991</v>
      </c>
    </row>
    <row r="16" spans="1:9" ht="16.95" customHeight="1" x14ac:dyDescent="0.4"/>
    <row r="17" spans="2:14" ht="16.95" customHeight="1" x14ac:dyDescent="0.4"/>
    <row r="18" spans="2:14" ht="16.95" customHeight="1" x14ac:dyDescent="0.4">
      <c r="B18" s="1" t="s">
        <v>32</v>
      </c>
      <c r="I18"/>
      <c r="J18"/>
      <c r="K18"/>
      <c r="L18"/>
      <c r="M18"/>
      <c r="N18"/>
    </row>
    <row r="19" spans="2:14" ht="16.95" customHeight="1" x14ac:dyDescent="0.4">
      <c r="B19" s="1" t="s">
        <v>11</v>
      </c>
      <c r="I19"/>
      <c r="J19"/>
      <c r="K19"/>
      <c r="L19"/>
      <c r="M19"/>
      <c r="N19"/>
    </row>
    <row r="20" spans="2:14" ht="16.95" customHeight="1" x14ac:dyDescent="0.4">
      <c r="B20" s="1" t="s">
        <v>12</v>
      </c>
    </row>
    <row r="21" spans="2:14" ht="16.95" customHeight="1" x14ac:dyDescent="0.4"/>
    <row r="22" spans="2:14" ht="16.95" customHeight="1" x14ac:dyDescent="0.4"/>
    <row r="23" spans="2:14" ht="16.95" customHeight="1" x14ac:dyDescent="0.4"/>
    <row r="24" spans="2:14" ht="16.95" customHeight="1" x14ac:dyDescent="0.4"/>
    <row r="25" spans="2:14" ht="16.95" customHeight="1" x14ac:dyDescent="0.4"/>
    <row r="26" spans="2:14" ht="16.95" customHeight="1" x14ac:dyDescent="0.4"/>
    <row r="27" spans="2:14" ht="16.95" customHeight="1" x14ac:dyDescent="0.4"/>
    <row r="28" spans="2:14" ht="16.95" customHeight="1" x14ac:dyDescent="0.4"/>
    <row r="29" spans="2:14" ht="16.95" customHeight="1" x14ac:dyDescent="0.4"/>
    <row r="30" spans="2:14" ht="16.95" customHeight="1" x14ac:dyDescent="0.4"/>
    <row r="31" spans="2:14" ht="16.95" customHeight="1" x14ac:dyDescent="0.4"/>
    <row r="32" spans="2:14" ht="16.95" customHeight="1" x14ac:dyDescent="0.4"/>
    <row r="33" ht="16.95" customHeight="1" x14ac:dyDescent="0.4"/>
    <row r="34" ht="16.95" customHeight="1" x14ac:dyDescent="0.4"/>
    <row r="35" ht="16.95" customHeight="1" x14ac:dyDescent="0.4"/>
    <row r="36" ht="16.95" customHeight="1" x14ac:dyDescent="0.4"/>
    <row r="37" ht="16.95" customHeight="1" x14ac:dyDescent="0.4"/>
  </sheetData>
  <mergeCells count="1">
    <mergeCell ref="A1:H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2"/>
  <sheetViews>
    <sheetView topLeftCell="A85" zoomScale="83" zoomScaleNormal="83" workbookViewId="0">
      <selection activeCell="P112" sqref="P112"/>
    </sheetView>
  </sheetViews>
  <sheetFormatPr defaultRowHeight="17.399999999999999" x14ac:dyDescent="0.4"/>
  <cols>
    <col min="1" max="2" width="8.69921875" style="23"/>
    <col min="3" max="3" width="14.59765625" style="23" bestFit="1" customWidth="1"/>
    <col min="4" max="4" width="20.59765625" style="1" customWidth="1"/>
    <col min="5" max="6" width="9.09765625" style="1" customWidth="1"/>
    <col min="7" max="13" width="8.69921875" style="24"/>
    <col min="14" max="14" width="33.5" style="24" bestFit="1" customWidth="1"/>
    <col min="15" max="15" width="12.296875" style="25" bestFit="1" customWidth="1"/>
    <col min="16" max="16" width="13.59765625" style="24" bestFit="1" customWidth="1"/>
  </cols>
  <sheetData>
    <row r="1" spans="1:37" ht="34.049999999999997" customHeight="1" x14ac:dyDescent="0.4">
      <c r="A1" s="19" t="s">
        <v>13</v>
      </c>
      <c r="B1" s="19" t="s">
        <v>14</v>
      </c>
      <c r="C1" s="19" t="s">
        <v>15</v>
      </c>
      <c r="D1" s="19" t="s">
        <v>16</v>
      </c>
      <c r="E1" s="19" t="s">
        <v>17</v>
      </c>
      <c r="F1" s="19" t="s">
        <v>18</v>
      </c>
      <c r="G1" s="20" t="s">
        <v>19</v>
      </c>
      <c r="H1" s="20" t="s">
        <v>20</v>
      </c>
      <c r="I1" s="21" t="s">
        <v>21</v>
      </c>
      <c r="J1" s="21" t="s">
        <v>22</v>
      </c>
      <c r="K1" s="20" t="s">
        <v>23</v>
      </c>
      <c r="L1" s="20" t="s">
        <v>24</v>
      </c>
      <c r="M1" s="20"/>
      <c r="N1" s="21" t="s">
        <v>25</v>
      </c>
      <c r="O1" s="22" t="s">
        <v>26</v>
      </c>
      <c r="P1" s="20" t="s">
        <v>27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</row>
    <row r="2" spans="1:37" x14ac:dyDescent="0.4">
      <c r="A2" s="23">
        <v>1</v>
      </c>
      <c r="B2" s="23" t="s">
        <v>53</v>
      </c>
      <c r="C2" s="23" t="s">
        <v>34</v>
      </c>
      <c r="D2" s="1" t="s">
        <v>35</v>
      </c>
      <c r="E2" s="1" t="s">
        <v>36</v>
      </c>
      <c r="F2" s="1" t="s">
        <v>37</v>
      </c>
      <c r="G2" s="24">
        <v>12</v>
      </c>
      <c r="H2" s="24">
        <v>4800</v>
      </c>
      <c r="I2" s="24">
        <v>179</v>
      </c>
      <c r="J2" s="24">
        <v>35800</v>
      </c>
      <c r="N2" s="24">
        <v>28420</v>
      </c>
      <c r="O2" s="25">
        <v>0.1</v>
      </c>
      <c r="P2" s="24">
        <v>2842</v>
      </c>
    </row>
    <row r="3" spans="1:37" x14ac:dyDescent="0.4">
      <c r="A3" s="23">
        <v>2</v>
      </c>
      <c r="B3" s="23" t="s">
        <v>53</v>
      </c>
      <c r="C3" s="23" t="s">
        <v>34</v>
      </c>
      <c r="D3" s="1" t="s">
        <v>35</v>
      </c>
      <c r="E3" s="1" t="s">
        <v>36</v>
      </c>
      <c r="F3" s="1" t="s">
        <v>37</v>
      </c>
      <c r="G3" s="24">
        <v>9</v>
      </c>
      <c r="H3" s="24">
        <v>4320</v>
      </c>
      <c r="I3" s="24">
        <v>40</v>
      </c>
      <c r="J3" s="24">
        <v>9144</v>
      </c>
      <c r="N3" s="24">
        <v>6597.36</v>
      </c>
      <c r="O3" s="25">
        <v>0.1</v>
      </c>
      <c r="P3" s="24">
        <v>659.73599999999999</v>
      </c>
    </row>
    <row r="4" spans="1:37" x14ac:dyDescent="0.4">
      <c r="A4" s="23">
        <v>3</v>
      </c>
      <c r="B4" s="23" t="s">
        <v>53</v>
      </c>
      <c r="C4" s="23" t="s">
        <v>38</v>
      </c>
      <c r="D4" s="1" t="s">
        <v>54</v>
      </c>
      <c r="E4" s="1" t="s">
        <v>36</v>
      </c>
      <c r="F4" s="1" t="s">
        <v>37</v>
      </c>
      <c r="H4" s="24">
        <v>150</v>
      </c>
      <c r="N4" s="24">
        <v>150</v>
      </c>
      <c r="O4" s="25">
        <v>0.1</v>
      </c>
      <c r="P4" s="24">
        <v>15</v>
      </c>
    </row>
    <row r="5" spans="1:37" x14ac:dyDescent="0.4">
      <c r="A5" s="23">
        <v>4</v>
      </c>
      <c r="B5" s="23" t="s">
        <v>53</v>
      </c>
      <c r="C5" s="23" t="s">
        <v>38</v>
      </c>
      <c r="D5" s="1" t="s">
        <v>55</v>
      </c>
      <c r="E5" s="1" t="s">
        <v>36</v>
      </c>
      <c r="F5" s="1" t="s">
        <v>37</v>
      </c>
      <c r="H5" s="24">
        <v>150</v>
      </c>
      <c r="N5" s="24">
        <v>150</v>
      </c>
      <c r="O5" s="25">
        <v>0.1</v>
      </c>
      <c r="P5" s="24">
        <v>15</v>
      </c>
    </row>
    <row r="6" spans="1:37" x14ac:dyDescent="0.4">
      <c r="A6" s="23">
        <v>5</v>
      </c>
      <c r="B6" s="23" t="s">
        <v>53</v>
      </c>
      <c r="C6" s="23" t="s">
        <v>38</v>
      </c>
      <c r="D6" s="1" t="s">
        <v>56</v>
      </c>
      <c r="E6" s="1" t="s">
        <v>36</v>
      </c>
      <c r="F6" s="1" t="s">
        <v>37</v>
      </c>
      <c r="H6" s="24">
        <v>150</v>
      </c>
      <c r="N6" s="24">
        <v>150</v>
      </c>
      <c r="O6" s="25">
        <v>0.1</v>
      </c>
      <c r="P6" s="24">
        <v>15</v>
      </c>
    </row>
    <row r="7" spans="1:37" x14ac:dyDescent="0.4">
      <c r="A7" s="23">
        <v>6</v>
      </c>
      <c r="B7" s="23" t="s">
        <v>53</v>
      </c>
      <c r="C7" s="23" t="s">
        <v>38</v>
      </c>
      <c r="D7" s="1" t="s">
        <v>57</v>
      </c>
      <c r="E7" s="1" t="s">
        <v>36</v>
      </c>
      <c r="F7" s="1" t="s">
        <v>37</v>
      </c>
      <c r="H7" s="24">
        <v>150</v>
      </c>
      <c r="N7" s="24">
        <v>150</v>
      </c>
      <c r="O7" s="25">
        <v>0.1</v>
      </c>
      <c r="P7" s="24">
        <v>15</v>
      </c>
    </row>
    <row r="8" spans="1:37" x14ac:dyDescent="0.4">
      <c r="A8" s="23">
        <v>7</v>
      </c>
      <c r="B8" s="23" t="s">
        <v>53</v>
      </c>
      <c r="C8" s="23" t="s">
        <v>38</v>
      </c>
      <c r="D8" s="1" t="s">
        <v>58</v>
      </c>
      <c r="E8" s="1" t="s">
        <v>36</v>
      </c>
      <c r="F8" s="1" t="s">
        <v>37</v>
      </c>
      <c r="H8" s="24">
        <v>150</v>
      </c>
      <c r="N8" s="24">
        <v>150</v>
      </c>
      <c r="O8" s="25">
        <v>0.1</v>
      </c>
      <c r="P8" s="24">
        <v>15</v>
      </c>
    </row>
    <row r="9" spans="1:37" x14ac:dyDescent="0.4">
      <c r="A9" s="23">
        <v>8</v>
      </c>
      <c r="B9" s="23" t="s">
        <v>53</v>
      </c>
      <c r="C9" s="23" t="s">
        <v>38</v>
      </c>
      <c r="D9" s="1" t="s">
        <v>59</v>
      </c>
      <c r="E9" s="1" t="s">
        <v>36</v>
      </c>
      <c r="F9" s="1" t="s">
        <v>37</v>
      </c>
      <c r="H9" s="24">
        <v>450</v>
      </c>
      <c r="N9" s="24">
        <v>450</v>
      </c>
      <c r="O9" s="25">
        <v>0.1</v>
      </c>
      <c r="P9" s="24">
        <v>45</v>
      </c>
    </row>
    <row r="10" spans="1:37" x14ac:dyDescent="0.4">
      <c r="A10" s="23">
        <v>9</v>
      </c>
      <c r="B10" s="23" t="s">
        <v>53</v>
      </c>
      <c r="C10" s="23" t="s">
        <v>38</v>
      </c>
      <c r="D10" s="1" t="s">
        <v>60</v>
      </c>
      <c r="E10" s="1" t="s">
        <v>36</v>
      </c>
      <c r="F10" s="1" t="s">
        <v>37</v>
      </c>
      <c r="H10" s="24">
        <v>450</v>
      </c>
      <c r="N10" s="24">
        <v>450</v>
      </c>
      <c r="O10" s="25">
        <v>0.1</v>
      </c>
      <c r="P10" s="24">
        <v>45</v>
      </c>
    </row>
    <row r="11" spans="1:37" x14ac:dyDescent="0.4">
      <c r="A11" s="23">
        <v>10</v>
      </c>
      <c r="B11" s="23" t="s">
        <v>53</v>
      </c>
      <c r="C11" s="23" t="s">
        <v>38</v>
      </c>
      <c r="D11" s="1" t="s">
        <v>61</v>
      </c>
      <c r="E11" s="1" t="s">
        <v>36</v>
      </c>
      <c r="F11" s="1" t="s">
        <v>37</v>
      </c>
      <c r="H11" s="24">
        <v>450</v>
      </c>
      <c r="N11" s="24">
        <v>450</v>
      </c>
      <c r="O11" s="25">
        <v>0.1</v>
      </c>
      <c r="P11" s="24">
        <v>45</v>
      </c>
    </row>
    <row r="12" spans="1:37" x14ac:dyDescent="0.4">
      <c r="A12" s="23">
        <v>11</v>
      </c>
      <c r="B12" s="23" t="s">
        <v>53</v>
      </c>
      <c r="C12" s="23" t="s">
        <v>38</v>
      </c>
      <c r="D12" s="1" t="s">
        <v>62</v>
      </c>
      <c r="E12" s="1" t="s">
        <v>36</v>
      </c>
      <c r="F12" s="1" t="s">
        <v>37</v>
      </c>
      <c r="H12" s="24">
        <v>600</v>
      </c>
      <c r="N12" s="24">
        <v>600</v>
      </c>
      <c r="O12" s="25">
        <v>0.1</v>
      </c>
      <c r="P12" s="24">
        <v>60</v>
      </c>
    </row>
    <row r="13" spans="1:37" x14ac:dyDescent="0.4">
      <c r="A13" s="23">
        <v>12</v>
      </c>
      <c r="B13" s="23" t="s">
        <v>53</v>
      </c>
      <c r="C13" s="23" t="s">
        <v>38</v>
      </c>
      <c r="D13" s="1" t="s">
        <v>63</v>
      </c>
      <c r="E13" s="1" t="s">
        <v>36</v>
      </c>
      <c r="F13" s="1" t="s">
        <v>37</v>
      </c>
      <c r="H13" s="24">
        <v>300</v>
      </c>
      <c r="N13" s="24">
        <v>300</v>
      </c>
      <c r="O13" s="25">
        <v>0.1</v>
      </c>
      <c r="P13" s="24">
        <v>30</v>
      </c>
    </row>
    <row r="14" spans="1:37" x14ac:dyDescent="0.4">
      <c r="A14" s="23">
        <v>13</v>
      </c>
      <c r="B14" s="23" t="s">
        <v>53</v>
      </c>
      <c r="C14" s="23" t="s">
        <v>38</v>
      </c>
      <c r="D14" s="1" t="s">
        <v>64</v>
      </c>
      <c r="E14" s="1" t="s">
        <v>36</v>
      </c>
      <c r="F14" s="1" t="s">
        <v>37</v>
      </c>
      <c r="H14" s="24">
        <v>300</v>
      </c>
      <c r="N14" s="24">
        <v>300</v>
      </c>
      <c r="O14" s="25">
        <v>0.1</v>
      </c>
      <c r="P14" s="24">
        <v>30</v>
      </c>
    </row>
    <row r="15" spans="1:37" x14ac:dyDescent="0.4">
      <c r="A15" s="23">
        <v>14</v>
      </c>
      <c r="B15" s="23" t="s">
        <v>53</v>
      </c>
      <c r="C15" s="23" t="s">
        <v>38</v>
      </c>
      <c r="D15" s="1" t="s">
        <v>65</v>
      </c>
      <c r="E15" s="1" t="s">
        <v>36</v>
      </c>
      <c r="F15" s="1" t="s">
        <v>37</v>
      </c>
      <c r="H15" s="24">
        <v>300</v>
      </c>
      <c r="N15" s="24">
        <v>300</v>
      </c>
      <c r="O15" s="25">
        <v>0.1</v>
      </c>
      <c r="P15" s="24">
        <v>30</v>
      </c>
    </row>
    <row r="16" spans="1:37" x14ac:dyDescent="0.4">
      <c r="A16" s="23">
        <v>15</v>
      </c>
      <c r="B16" s="23" t="s">
        <v>53</v>
      </c>
      <c r="C16" s="23" t="s">
        <v>38</v>
      </c>
      <c r="D16" s="1" t="s">
        <v>66</v>
      </c>
      <c r="E16" s="1" t="s">
        <v>36</v>
      </c>
      <c r="F16" s="1" t="s">
        <v>37</v>
      </c>
      <c r="H16" s="24">
        <v>300</v>
      </c>
      <c r="N16" s="24">
        <v>300</v>
      </c>
      <c r="O16" s="25">
        <v>0.1</v>
      </c>
      <c r="P16" s="24">
        <v>30</v>
      </c>
    </row>
    <row r="17" spans="1:16" x14ac:dyDescent="0.4">
      <c r="A17" s="23">
        <v>16</v>
      </c>
      <c r="B17" s="23" t="s">
        <v>53</v>
      </c>
      <c r="C17" s="23" t="s">
        <v>38</v>
      </c>
      <c r="D17" s="1" t="s">
        <v>67</v>
      </c>
      <c r="E17" s="1" t="s">
        <v>36</v>
      </c>
      <c r="F17" s="1" t="s">
        <v>37</v>
      </c>
      <c r="H17" s="24">
        <v>300</v>
      </c>
      <c r="N17" s="24">
        <v>300</v>
      </c>
      <c r="O17" s="25">
        <v>0.1</v>
      </c>
      <c r="P17" s="24">
        <v>30</v>
      </c>
    </row>
    <row r="18" spans="1:16" x14ac:dyDescent="0.4">
      <c r="A18" s="23">
        <v>17</v>
      </c>
      <c r="B18" s="23" t="s">
        <v>53</v>
      </c>
      <c r="C18" s="23" t="s">
        <v>38</v>
      </c>
      <c r="D18" s="1" t="s">
        <v>68</v>
      </c>
      <c r="E18" s="1" t="s">
        <v>36</v>
      </c>
      <c r="F18" s="1" t="s">
        <v>37</v>
      </c>
      <c r="H18" s="24">
        <v>300</v>
      </c>
      <c r="N18" s="24">
        <v>300</v>
      </c>
      <c r="O18" s="25">
        <v>0.1</v>
      </c>
      <c r="P18" s="24">
        <v>30</v>
      </c>
    </row>
    <row r="19" spans="1:16" x14ac:dyDescent="0.4">
      <c r="A19" s="23">
        <v>18</v>
      </c>
      <c r="B19" s="23" t="s">
        <v>53</v>
      </c>
      <c r="C19" s="23" t="s">
        <v>38</v>
      </c>
      <c r="D19" s="1" t="s">
        <v>69</v>
      </c>
      <c r="E19" s="1" t="s">
        <v>36</v>
      </c>
      <c r="F19" s="1" t="s">
        <v>37</v>
      </c>
      <c r="H19" s="24">
        <v>300</v>
      </c>
      <c r="N19" s="24">
        <v>300</v>
      </c>
      <c r="O19" s="25">
        <v>0.1</v>
      </c>
      <c r="P19" s="24">
        <v>30</v>
      </c>
    </row>
    <row r="20" spans="1:16" x14ac:dyDescent="0.4">
      <c r="A20" s="23">
        <v>19</v>
      </c>
      <c r="B20" s="23" t="s">
        <v>53</v>
      </c>
      <c r="C20" s="23" t="s">
        <v>38</v>
      </c>
      <c r="D20" s="1" t="s">
        <v>70</v>
      </c>
      <c r="E20" s="1" t="s">
        <v>36</v>
      </c>
      <c r="F20" s="1" t="s">
        <v>37</v>
      </c>
      <c r="H20" s="24">
        <v>300</v>
      </c>
      <c r="N20" s="24">
        <v>300</v>
      </c>
      <c r="O20" s="25">
        <v>0.1</v>
      </c>
      <c r="P20" s="24">
        <v>30</v>
      </c>
    </row>
    <row r="21" spans="1:16" x14ac:dyDescent="0.4">
      <c r="A21" s="23">
        <v>20</v>
      </c>
      <c r="B21" s="23" t="s">
        <v>53</v>
      </c>
      <c r="C21" s="23" t="s">
        <v>38</v>
      </c>
      <c r="D21" s="1" t="s">
        <v>71</v>
      </c>
      <c r="E21" s="1" t="s">
        <v>36</v>
      </c>
      <c r="F21" s="1" t="s">
        <v>37</v>
      </c>
      <c r="H21" s="24">
        <v>300</v>
      </c>
      <c r="N21" s="24">
        <v>300</v>
      </c>
      <c r="O21" s="25">
        <v>0.1</v>
      </c>
      <c r="P21" s="24">
        <v>30</v>
      </c>
    </row>
    <row r="22" spans="1:16" x14ac:dyDescent="0.4">
      <c r="A22" s="23">
        <v>21</v>
      </c>
      <c r="B22" s="23" t="s">
        <v>53</v>
      </c>
      <c r="C22" s="23" t="s">
        <v>38</v>
      </c>
      <c r="D22" s="1" t="s">
        <v>72</v>
      </c>
      <c r="E22" s="1" t="s">
        <v>36</v>
      </c>
      <c r="F22" s="1" t="s">
        <v>37</v>
      </c>
      <c r="H22" s="24">
        <v>300</v>
      </c>
      <c r="N22" s="24">
        <v>300</v>
      </c>
      <c r="O22" s="25">
        <v>0.1</v>
      </c>
      <c r="P22" s="24">
        <v>30</v>
      </c>
    </row>
    <row r="23" spans="1:16" x14ac:dyDescent="0.4">
      <c r="A23" s="23">
        <v>22</v>
      </c>
      <c r="B23" s="23" t="s">
        <v>53</v>
      </c>
      <c r="C23" s="23" t="s">
        <v>38</v>
      </c>
      <c r="D23" s="1" t="s">
        <v>73</v>
      </c>
      <c r="E23" s="1" t="s">
        <v>36</v>
      </c>
      <c r="F23" s="1" t="s">
        <v>37</v>
      </c>
      <c r="H23" s="24">
        <v>300</v>
      </c>
      <c r="N23" s="24">
        <v>300</v>
      </c>
      <c r="O23" s="25">
        <v>0.1</v>
      </c>
      <c r="P23" s="24">
        <v>30</v>
      </c>
    </row>
    <row r="24" spans="1:16" x14ac:dyDescent="0.4">
      <c r="A24" s="23">
        <v>23</v>
      </c>
      <c r="B24" s="23" t="s">
        <v>53</v>
      </c>
      <c r="C24" s="23" t="s">
        <v>38</v>
      </c>
      <c r="D24" s="1" t="s">
        <v>74</v>
      </c>
      <c r="E24" s="1" t="s">
        <v>36</v>
      </c>
      <c r="F24" s="1" t="s">
        <v>37</v>
      </c>
      <c r="H24" s="24">
        <v>300</v>
      </c>
      <c r="N24" s="24">
        <v>300</v>
      </c>
      <c r="O24" s="25">
        <v>0.1</v>
      </c>
      <c r="P24" s="24">
        <v>30</v>
      </c>
    </row>
    <row r="25" spans="1:16" x14ac:dyDescent="0.4">
      <c r="A25" s="23">
        <v>24</v>
      </c>
      <c r="B25" s="23" t="s">
        <v>53</v>
      </c>
      <c r="C25" s="23" t="s">
        <v>38</v>
      </c>
      <c r="D25" s="1" t="s">
        <v>75</v>
      </c>
      <c r="E25" s="1" t="s">
        <v>36</v>
      </c>
      <c r="F25" s="1" t="s">
        <v>37</v>
      </c>
      <c r="H25" s="24">
        <v>300</v>
      </c>
      <c r="N25" s="24">
        <v>300</v>
      </c>
      <c r="O25" s="25">
        <v>0.1</v>
      </c>
      <c r="P25" s="24">
        <v>30</v>
      </c>
    </row>
    <row r="26" spans="1:16" x14ac:dyDescent="0.4">
      <c r="A26" s="23">
        <v>25</v>
      </c>
      <c r="B26" s="23" t="s">
        <v>53</v>
      </c>
      <c r="C26" s="23" t="s">
        <v>38</v>
      </c>
      <c r="D26" s="1" t="s">
        <v>76</v>
      </c>
      <c r="E26" s="1" t="s">
        <v>36</v>
      </c>
      <c r="F26" s="1" t="s">
        <v>37</v>
      </c>
      <c r="H26" s="24">
        <v>300</v>
      </c>
      <c r="N26" s="24">
        <v>300</v>
      </c>
      <c r="O26" s="25">
        <v>0.1</v>
      </c>
      <c r="P26" s="24">
        <v>30</v>
      </c>
    </row>
    <row r="27" spans="1:16" x14ac:dyDescent="0.4">
      <c r="A27" s="23">
        <v>26</v>
      </c>
      <c r="B27" s="23" t="s">
        <v>53</v>
      </c>
      <c r="C27" s="23" t="s">
        <v>38</v>
      </c>
      <c r="D27" s="1" t="s">
        <v>77</v>
      </c>
      <c r="E27" s="1" t="s">
        <v>36</v>
      </c>
      <c r="F27" s="1" t="s">
        <v>37</v>
      </c>
      <c r="H27" s="24">
        <v>300</v>
      </c>
      <c r="N27" s="24">
        <v>300</v>
      </c>
      <c r="O27" s="25">
        <v>0.1</v>
      </c>
      <c r="P27" s="24">
        <v>30</v>
      </c>
    </row>
    <row r="28" spans="1:16" x14ac:dyDescent="0.4">
      <c r="A28" s="23">
        <v>27</v>
      </c>
      <c r="B28" s="23" t="s">
        <v>53</v>
      </c>
      <c r="C28" s="23" t="s">
        <v>38</v>
      </c>
      <c r="D28" s="1" t="s">
        <v>78</v>
      </c>
      <c r="E28" s="1" t="s">
        <v>36</v>
      </c>
      <c r="F28" s="1" t="s">
        <v>37</v>
      </c>
      <c r="H28" s="24">
        <v>300</v>
      </c>
      <c r="N28" s="24">
        <v>300</v>
      </c>
      <c r="O28" s="25">
        <v>0.1</v>
      </c>
      <c r="P28" s="24">
        <v>30</v>
      </c>
    </row>
    <row r="29" spans="1:16" x14ac:dyDescent="0.4">
      <c r="A29" s="23">
        <v>28</v>
      </c>
      <c r="B29" s="23" t="s">
        <v>53</v>
      </c>
      <c r="C29" s="23" t="s">
        <v>38</v>
      </c>
      <c r="D29" s="1" t="s">
        <v>79</v>
      </c>
      <c r="E29" s="1" t="s">
        <v>36</v>
      </c>
      <c r="F29" s="1" t="s">
        <v>37</v>
      </c>
      <c r="H29" s="24">
        <v>300</v>
      </c>
      <c r="N29" s="24">
        <v>300</v>
      </c>
      <c r="O29" s="25">
        <v>0.1</v>
      </c>
      <c r="P29" s="24">
        <v>30</v>
      </c>
    </row>
    <row r="30" spans="1:16" x14ac:dyDescent="0.4">
      <c r="A30" s="23">
        <v>29</v>
      </c>
      <c r="B30" s="23" t="s">
        <v>53</v>
      </c>
      <c r="C30" s="23" t="s">
        <v>38</v>
      </c>
      <c r="D30" s="1" t="s">
        <v>80</v>
      </c>
      <c r="E30" s="1" t="s">
        <v>36</v>
      </c>
      <c r="F30" s="1" t="s">
        <v>37</v>
      </c>
      <c r="H30" s="24">
        <v>300</v>
      </c>
      <c r="N30" s="24">
        <v>300</v>
      </c>
      <c r="O30" s="25">
        <v>0.1</v>
      </c>
      <c r="P30" s="24">
        <v>30</v>
      </c>
    </row>
    <row r="31" spans="1:16" x14ac:dyDescent="0.4">
      <c r="A31" s="23">
        <v>30</v>
      </c>
      <c r="B31" s="23" t="s">
        <v>53</v>
      </c>
      <c r="C31" s="23" t="s">
        <v>38</v>
      </c>
      <c r="D31" s="1" t="s">
        <v>81</v>
      </c>
      <c r="E31" s="1" t="s">
        <v>36</v>
      </c>
      <c r="F31" s="1" t="s">
        <v>37</v>
      </c>
      <c r="H31" s="24">
        <v>300</v>
      </c>
      <c r="N31" s="24">
        <v>300</v>
      </c>
      <c r="O31" s="25">
        <v>0.1</v>
      </c>
      <c r="P31" s="24">
        <v>30</v>
      </c>
    </row>
    <row r="32" spans="1:16" x14ac:dyDescent="0.4">
      <c r="A32" s="23">
        <v>31</v>
      </c>
      <c r="B32" s="23" t="s">
        <v>53</v>
      </c>
      <c r="C32" s="23" t="s">
        <v>38</v>
      </c>
      <c r="D32" s="1" t="s">
        <v>82</v>
      </c>
      <c r="E32" s="1" t="s">
        <v>36</v>
      </c>
      <c r="F32" s="1" t="s">
        <v>37</v>
      </c>
      <c r="H32" s="24">
        <v>300</v>
      </c>
      <c r="N32" s="24">
        <v>300</v>
      </c>
      <c r="O32" s="25">
        <v>0.1</v>
      </c>
      <c r="P32" s="24">
        <v>30</v>
      </c>
    </row>
    <row r="33" spans="1:16" x14ac:dyDescent="0.4">
      <c r="A33" s="23">
        <v>32</v>
      </c>
      <c r="B33" s="23" t="s">
        <v>53</v>
      </c>
      <c r="C33" s="23" t="s">
        <v>38</v>
      </c>
      <c r="D33" s="1" t="s">
        <v>83</v>
      </c>
      <c r="E33" s="1" t="s">
        <v>36</v>
      </c>
      <c r="F33" s="1" t="s">
        <v>37</v>
      </c>
      <c r="H33" s="24">
        <v>300</v>
      </c>
      <c r="N33" s="24">
        <v>300</v>
      </c>
      <c r="O33" s="25">
        <v>0.1</v>
      </c>
      <c r="P33" s="24">
        <v>30</v>
      </c>
    </row>
    <row r="34" spans="1:16" x14ac:dyDescent="0.4">
      <c r="A34" s="23">
        <v>33</v>
      </c>
      <c r="B34" s="23" t="s">
        <v>53</v>
      </c>
      <c r="C34" s="23" t="s">
        <v>38</v>
      </c>
      <c r="D34" s="1" t="s">
        <v>84</v>
      </c>
      <c r="E34" s="1" t="s">
        <v>36</v>
      </c>
      <c r="F34" s="1" t="s">
        <v>37</v>
      </c>
      <c r="H34" s="24">
        <v>300</v>
      </c>
      <c r="N34" s="24">
        <v>300</v>
      </c>
      <c r="O34" s="25">
        <v>0.1</v>
      </c>
      <c r="P34" s="24">
        <v>30</v>
      </c>
    </row>
    <row r="35" spans="1:16" x14ac:dyDescent="0.4">
      <c r="A35" s="23">
        <v>34</v>
      </c>
      <c r="B35" s="23" t="s">
        <v>53</v>
      </c>
      <c r="C35" s="23" t="s">
        <v>38</v>
      </c>
      <c r="D35" s="1" t="s">
        <v>85</v>
      </c>
      <c r="E35" s="1" t="s">
        <v>36</v>
      </c>
      <c r="F35" s="1" t="s">
        <v>37</v>
      </c>
      <c r="H35" s="24">
        <v>300</v>
      </c>
      <c r="N35" s="24">
        <v>300</v>
      </c>
      <c r="O35" s="25">
        <v>0.1</v>
      </c>
      <c r="P35" s="24">
        <v>30</v>
      </c>
    </row>
    <row r="36" spans="1:16" x14ac:dyDescent="0.4">
      <c r="A36" s="23">
        <v>35</v>
      </c>
      <c r="B36" s="23" t="s">
        <v>53</v>
      </c>
      <c r="C36" s="23" t="s">
        <v>38</v>
      </c>
      <c r="D36" s="1" t="s">
        <v>86</v>
      </c>
      <c r="E36" s="1" t="s">
        <v>36</v>
      </c>
      <c r="F36" s="1" t="s">
        <v>37</v>
      </c>
      <c r="H36" s="24">
        <v>300</v>
      </c>
      <c r="N36" s="24">
        <v>300</v>
      </c>
      <c r="O36" s="25">
        <v>0.1</v>
      </c>
      <c r="P36" s="24">
        <v>30</v>
      </c>
    </row>
    <row r="37" spans="1:16" x14ac:dyDescent="0.4">
      <c r="A37" s="23">
        <v>36</v>
      </c>
      <c r="B37" s="23" t="s">
        <v>53</v>
      </c>
      <c r="C37" s="23" t="s">
        <v>38</v>
      </c>
      <c r="D37" s="1" t="s">
        <v>87</v>
      </c>
      <c r="E37" s="1" t="s">
        <v>36</v>
      </c>
      <c r="F37" s="1" t="s">
        <v>37</v>
      </c>
      <c r="H37" s="24">
        <v>300</v>
      </c>
      <c r="N37" s="24">
        <v>300</v>
      </c>
      <c r="O37" s="25">
        <v>0.1</v>
      </c>
      <c r="P37" s="24">
        <v>30</v>
      </c>
    </row>
    <row r="38" spans="1:16" x14ac:dyDescent="0.4">
      <c r="A38" s="23">
        <v>37</v>
      </c>
      <c r="B38" s="23" t="s">
        <v>53</v>
      </c>
      <c r="C38" s="23" t="s">
        <v>38</v>
      </c>
      <c r="D38" s="1" t="s">
        <v>88</v>
      </c>
      <c r="E38" s="1" t="s">
        <v>36</v>
      </c>
      <c r="F38" s="1" t="s">
        <v>37</v>
      </c>
      <c r="H38" s="24">
        <v>300</v>
      </c>
      <c r="N38" s="24">
        <v>300</v>
      </c>
      <c r="O38" s="25">
        <v>0.1</v>
      </c>
      <c r="P38" s="24">
        <v>30</v>
      </c>
    </row>
    <row r="39" spans="1:16" x14ac:dyDescent="0.4">
      <c r="A39" s="23">
        <v>38</v>
      </c>
      <c r="B39" s="23" t="s">
        <v>53</v>
      </c>
      <c r="C39" s="23" t="s">
        <v>38</v>
      </c>
      <c r="D39" s="1" t="s">
        <v>89</v>
      </c>
      <c r="E39" s="1" t="s">
        <v>36</v>
      </c>
      <c r="F39" s="1" t="s">
        <v>37</v>
      </c>
      <c r="H39" s="24">
        <v>300</v>
      </c>
      <c r="N39" s="24">
        <v>300</v>
      </c>
      <c r="O39" s="25">
        <v>0.1</v>
      </c>
      <c r="P39" s="24">
        <v>30</v>
      </c>
    </row>
    <row r="40" spans="1:16" x14ac:dyDescent="0.4">
      <c r="A40" s="23">
        <v>39</v>
      </c>
      <c r="B40" s="23" t="s">
        <v>53</v>
      </c>
      <c r="C40" s="23" t="s">
        <v>38</v>
      </c>
      <c r="D40" s="1" t="s">
        <v>90</v>
      </c>
      <c r="E40" s="1" t="s">
        <v>36</v>
      </c>
      <c r="F40" s="1" t="s">
        <v>37</v>
      </c>
      <c r="H40" s="24">
        <v>300</v>
      </c>
      <c r="N40" s="24">
        <v>300</v>
      </c>
      <c r="O40" s="25">
        <v>0.1</v>
      </c>
      <c r="P40" s="24">
        <v>30</v>
      </c>
    </row>
    <row r="41" spans="1:16" x14ac:dyDescent="0.4">
      <c r="A41" s="23">
        <v>40</v>
      </c>
      <c r="B41" s="23" t="s">
        <v>53</v>
      </c>
      <c r="C41" s="23" t="s">
        <v>38</v>
      </c>
      <c r="D41" s="1" t="s">
        <v>91</v>
      </c>
      <c r="E41" s="1" t="s">
        <v>36</v>
      </c>
      <c r="F41" s="1" t="s">
        <v>37</v>
      </c>
      <c r="H41" s="24">
        <v>300</v>
      </c>
      <c r="N41" s="24">
        <v>300</v>
      </c>
      <c r="O41" s="25">
        <v>0.1</v>
      </c>
      <c r="P41" s="24">
        <v>30</v>
      </c>
    </row>
    <row r="42" spans="1:16" x14ac:dyDescent="0.4">
      <c r="A42" s="23">
        <v>41</v>
      </c>
      <c r="B42" s="23" t="s">
        <v>53</v>
      </c>
      <c r="C42" s="23" t="s">
        <v>38</v>
      </c>
      <c r="D42" s="1" t="s">
        <v>92</v>
      </c>
      <c r="E42" s="1" t="s">
        <v>36</v>
      </c>
      <c r="F42" s="1" t="s">
        <v>37</v>
      </c>
      <c r="H42" s="24">
        <v>300</v>
      </c>
      <c r="N42" s="24">
        <v>300</v>
      </c>
      <c r="O42" s="25">
        <v>0.1</v>
      </c>
      <c r="P42" s="24">
        <v>30</v>
      </c>
    </row>
    <row r="43" spans="1:16" x14ac:dyDescent="0.4">
      <c r="A43" s="23">
        <v>42</v>
      </c>
      <c r="B43" s="23" t="s">
        <v>53</v>
      </c>
      <c r="C43" s="23" t="s">
        <v>38</v>
      </c>
      <c r="D43" s="1" t="s">
        <v>93</v>
      </c>
      <c r="E43" s="1" t="s">
        <v>36</v>
      </c>
      <c r="F43" s="1" t="s">
        <v>37</v>
      </c>
      <c r="H43" s="24">
        <v>300</v>
      </c>
      <c r="N43" s="24">
        <v>300</v>
      </c>
      <c r="O43" s="25">
        <v>0.1</v>
      </c>
      <c r="P43" s="24">
        <v>30</v>
      </c>
    </row>
    <row r="44" spans="1:16" x14ac:dyDescent="0.4">
      <c r="A44" s="23">
        <v>43</v>
      </c>
      <c r="B44" s="23" t="s">
        <v>53</v>
      </c>
      <c r="C44" s="23" t="s">
        <v>38</v>
      </c>
      <c r="D44" s="1" t="s">
        <v>94</v>
      </c>
      <c r="E44" s="1" t="s">
        <v>36</v>
      </c>
      <c r="F44" s="1" t="s">
        <v>37</v>
      </c>
      <c r="H44" s="24">
        <v>300</v>
      </c>
      <c r="N44" s="24">
        <v>300</v>
      </c>
      <c r="O44" s="25">
        <v>0.1</v>
      </c>
      <c r="P44" s="24">
        <v>30</v>
      </c>
    </row>
    <row r="45" spans="1:16" x14ac:dyDescent="0.4">
      <c r="A45" s="23">
        <v>44</v>
      </c>
      <c r="B45" s="23" t="s">
        <v>53</v>
      </c>
      <c r="C45" s="23" t="s">
        <v>38</v>
      </c>
      <c r="D45" s="1" t="s">
        <v>95</v>
      </c>
      <c r="E45" s="1" t="s">
        <v>36</v>
      </c>
      <c r="F45" s="1" t="s">
        <v>37</v>
      </c>
      <c r="H45" s="24">
        <v>450</v>
      </c>
      <c r="N45" s="24">
        <v>450</v>
      </c>
      <c r="O45" s="25">
        <v>0.1</v>
      </c>
      <c r="P45" s="24">
        <v>45</v>
      </c>
    </row>
    <row r="46" spans="1:16" x14ac:dyDescent="0.4">
      <c r="A46" s="23">
        <v>45</v>
      </c>
      <c r="B46" s="23" t="s">
        <v>53</v>
      </c>
      <c r="C46" s="23" t="s">
        <v>38</v>
      </c>
      <c r="D46" s="1" t="s">
        <v>96</v>
      </c>
      <c r="E46" s="1" t="s">
        <v>36</v>
      </c>
      <c r="F46" s="1" t="s">
        <v>37</v>
      </c>
      <c r="H46" s="24">
        <v>450</v>
      </c>
      <c r="N46" s="24">
        <v>450</v>
      </c>
      <c r="O46" s="25">
        <v>0.1</v>
      </c>
      <c r="P46" s="24">
        <v>45</v>
      </c>
    </row>
    <row r="47" spans="1:16" x14ac:dyDescent="0.4">
      <c r="A47" s="23">
        <v>46</v>
      </c>
      <c r="B47" s="23" t="s">
        <v>53</v>
      </c>
      <c r="C47" s="23" t="s">
        <v>97</v>
      </c>
      <c r="D47" s="1" t="s">
        <v>57</v>
      </c>
      <c r="E47" s="1" t="s">
        <v>98</v>
      </c>
      <c r="F47" s="1" t="s">
        <v>37</v>
      </c>
      <c r="G47" s="24">
        <v>9</v>
      </c>
      <c r="H47" s="24">
        <v>3600</v>
      </c>
      <c r="I47" s="24">
        <v>0</v>
      </c>
      <c r="J47" s="24">
        <v>14600</v>
      </c>
      <c r="K47" s="24">
        <v>0</v>
      </c>
      <c r="L47" s="24">
        <v>0</v>
      </c>
      <c r="M47" s="24">
        <v>-251.43000000000029</v>
      </c>
      <c r="N47" s="24">
        <v>12563.999</v>
      </c>
      <c r="O47" s="25">
        <v>0.1</v>
      </c>
      <c r="P47" s="24">
        <v>1256.3999000000001</v>
      </c>
    </row>
    <row r="48" spans="1:16" x14ac:dyDescent="0.4">
      <c r="A48" s="23">
        <v>47</v>
      </c>
      <c r="B48" s="23" t="s">
        <v>53</v>
      </c>
      <c r="C48" s="23" t="s">
        <v>97</v>
      </c>
      <c r="D48" s="1" t="s">
        <v>58</v>
      </c>
      <c r="E48" s="1" t="s">
        <v>98</v>
      </c>
      <c r="F48" s="1" t="s">
        <v>37</v>
      </c>
      <c r="G48" s="24">
        <v>8</v>
      </c>
      <c r="H48" s="24">
        <v>3200</v>
      </c>
      <c r="I48" s="24">
        <v>0</v>
      </c>
      <c r="J48" s="24">
        <v>10200</v>
      </c>
      <c r="K48" s="24">
        <v>0</v>
      </c>
      <c r="L48" s="24">
        <v>0</v>
      </c>
      <c r="M48" s="24">
        <v>-219.43000000000029</v>
      </c>
      <c r="N48" s="24">
        <v>9226.3989999999994</v>
      </c>
      <c r="O48" s="25">
        <v>0.1</v>
      </c>
      <c r="P48" s="24">
        <v>922.63990000000001</v>
      </c>
    </row>
    <row r="49" spans="1:16" x14ac:dyDescent="0.4">
      <c r="A49" s="23">
        <v>48</v>
      </c>
      <c r="B49" s="23" t="s">
        <v>53</v>
      </c>
      <c r="C49" s="23" t="s">
        <v>97</v>
      </c>
      <c r="D49" s="1" t="s">
        <v>59</v>
      </c>
      <c r="E49" s="1" t="s">
        <v>98</v>
      </c>
      <c r="F49" s="1" t="s">
        <v>37</v>
      </c>
      <c r="G49" s="24">
        <v>8</v>
      </c>
      <c r="H49" s="24">
        <v>3200</v>
      </c>
      <c r="I49" s="24">
        <v>0</v>
      </c>
      <c r="J49" s="24">
        <v>9600</v>
      </c>
      <c r="K49" s="24">
        <v>0</v>
      </c>
      <c r="L49" s="24">
        <v>0</v>
      </c>
      <c r="M49" s="24">
        <v>-156</v>
      </c>
      <c r="N49" s="24">
        <v>8850.7999999999993</v>
      </c>
      <c r="O49" s="25">
        <v>0.1</v>
      </c>
      <c r="P49" s="24">
        <v>885.07999999999993</v>
      </c>
    </row>
    <row r="50" spans="1:16" x14ac:dyDescent="0.4">
      <c r="A50" s="23">
        <v>49</v>
      </c>
      <c r="B50" s="23" t="s">
        <v>53</v>
      </c>
      <c r="C50" s="23" t="s">
        <v>97</v>
      </c>
      <c r="D50" s="1" t="s">
        <v>60</v>
      </c>
      <c r="E50" s="1" t="s">
        <v>98</v>
      </c>
      <c r="F50" s="1" t="s">
        <v>37</v>
      </c>
      <c r="G50" s="24">
        <v>8</v>
      </c>
      <c r="H50" s="24">
        <v>3200</v>
      </c>
      <c r="I50" s="24">
        <v>0</v>
      </c>
      <c r="J50" s="24">
        <v>9200</v>
      </c>
      <c r="K50" s="24">
        <v>0</v>
      </c>
      <c r="L50" s="24">
        <v>0</v>
      </c>
      <c r="M50" s="24">
        <v>-156</v>
      </c>
      <c r="N50" s="24">
        <v>8570.7999999999993</v>
      </c>
      <c r="O50" s="25">
        <v>0.1</v>
      </c>
      <c r="P50" s="24">
        <v>857.07999999999993</v>
      </c>
    </row>
    <row r="51" spans="1:16" x14ac:dyDescent="0.4">
      <c r="A51" s="23">
        <v>50</v>
      </c>
      <c r="B51" s="23" t="s">
        <v>53</v>
      </c>
      <c r="C51" s="23" t="s">
        <v>97</v>
      </c>
      <c r="D51" s="1" t="s">
        <v>61</v>
      </c>
      <c r="E51" s="1" t="s">
        <v>98</v>
      </c>
      <c r="F51" s="1" t="s">
        <v>37</v>
      </c>
      <c r="G51" s="24">
        <v>7</v>
      </c>
      <c r="H51" s="24">
        <v>2800</v>
      </c>
      <c r="I51" s="24">
        <v>0</v>
      </c>
      <c r="J51" s="24">
        <v>8600</v>
      </c>
      <c r="K51" s="24">
        <v>0</v>
      </c>
      <c r="L51" s="24">
        <v>0</v>
      </c>
      <c r="M51" s="24">
        <v>-160</v>
      </c>
      <c r="N51" s="24">
        <v>7867.9999999999991</v>
      </c>
      <c r="O51" s="25">
        <v>0.1</v>
      </c>
      <c r="P51" s="24">
        <v>786.8</v>
      </c>
    </row>
    <row r="52" spans="1:16" x14ac:dyDescent="0.4">
      <c r="A52" s="23">
        <v>51</v>
      </c>
      <c r="B52" s="23" t="s">
        <v>53</v>
      </c>
      <c r="C52" s="23" t="s">
        <v>97</v>
      </c>
      <c r="D52" s="1" t="s">
        <v>62</v>
      </c>
      <c r="E52" s="1" t="s">
        <v>98</v>
      </c>
      <c r="F52" s="1" t="s">
        <v>37</v>
      </c>
      <c r="G52" s="24">
        <v>7</v>
      </c>
      <c r="H52" s="24">
        <v>2800</v>
      </c>
      <c r="I52" s="24">
        <v>0</v>
      </c>
      <c r="J52" s="24">
        <v>8200</v>
      </c>
      <c r="K52" s="24">
        <v>0</v>
      </c>
      <c r="L52" s="24">
        <v>0</v>
      </c>
      <c r="M52" s="24">
        <v>-160</v>
      </c>
      <c r="N52" s="24">
        <v>7587.9999999999991</v>
      </c>
      <c r="O52" s="25">
        <v>0.1</v>
      </c>
      <c r="P52" s="24">
        <v>758.8</v>
      </c>
    </row>
    <row r="53" spans="1:16" x14ac:dyDescent="0.4">
      <c r="A53" s="23">
        <v>52</v>
      </c>
      <c r="B53" s="23" t="s">
        <v>53</v>
      </c>
      <c r="C53" s="23" t="s">
        <v>97</v>
      </c>
      <c r="D53" s="1" t="s">
        <v>63</v>
      </c>
      <c r="E53" s="1" t="s">
        <v>98</v>
      </c>
      <c r="F53" s="1" t="s">
        <v>37</v>
      </c>
      <c r="G53" s="24">
        <v>7</v>
      </c>
      <c r="H53" s="24">
        <v>2800</v>
      </c>
      <c r="I53" s="24">
        <v>0</v>
      </c>
      <c r="J53" s="24">
        <v>6200</v>
      </c>
      <c r="K53" s="24">
        <v>0</v>
      </c>
      <c r="L53" s="24">
        <v>0</v>
      </c>
      <c r="M53" s="24">
        <v>-64</v>
      </c>
      <c r="N53" s="24">
        <v>6255.2</v>
      </c>
      <c r="O53" s="25">
        <v>0.1</v>
      </c>
      <c r="P53" s="24">
        <v>625.52</v>
      </c>
    </row>
    <row r="54" spans="1:16" x14ac:dyDescent="0.4">
      <c r="A54" s="23">
        <v>53</v>
      </c>
      <c r="B54" s="23" t="s">
        <v>53</v>
      </c>
      <c r="C54" s="23" t="s">
        <v>97</v>
      </c>
      <c r="D54" s="1" t="s">
        <v>64</v>
      </c>
      <c r="E54" s="1" t="s">
        <v>98</v>
      </c>
      <c r="F54" s="1" t="s">
        <v>37</v>
      </c>
      <c r="G54" s="24">
        <v>5</v>
      </c>
      <c r="H54" s="24">
        <v>2000</v>
      </c>
      <c r="I54" s="24">
        <v>0</v>
      </c>
      <c r="J54" s="24">
        <v>5800</v>
      </c>
      <c r="K54" s="24">
        <v>0</v>
      </c>
      <c r="L54" s="24">
        <v>0</v>
      </c>
      <c r="M54" s="24">
        <v>-64</v>
      </c>
      <c r="N54" s="24">
        <v>5415.2</v>
      </c>
      <c r="O54" s="25">
        <v>0.1</v>
      </c>
      <c r="P54" s="24">
        <v>541.52</v>
      </c>
    </row>
    <row r="55" spans="1:16" x14ac:dyDescent="0.4">
      <c r="A55" s="23">
        <v>54</v>
      </c>
      <c r="B55" s="23" t="s">
        <v>53</v>
      </c>
      <c r="C55" s="23" t="s">
        <v>97</v>
      </c>
      <c r="D55" s="1" t="s">
        <v>65</v>
      </c>
      <c r="E55" s="1" t="s">
        <v>98</v>
      </c>
      <c r="F55" s="1" t="s">
        <v>37</v>
      </c>
      <c r="G55" s="24">
        <v>5</v>
      </c>
      <c r="H55" s="24">
        <v>2000</v>
      </c>
      <c r="I55" s="24">
        <v>0</v>
      </c>
      <c r="J55" s="24">
        <v>5400</v>
      </c>
      <c r="K55" s="24">
        <v>0</v>
      </c>
      <c r="L55" s="24">
        <v>0</v>
      </c>
      <c r="M55" s="24">
        <v>-64</v>
      </c>
      <c r="N55" s="24">
        <v>5135.2</v>
      </c>
      <c r="O55" s="25">
        <v>0.1</v>
      </c>
      <c r="P55" s="24">
        <v>513.52</v>
      </c>
    </row>
    <row r="56" spans="1:16" x14ac:dyDescent="0.4">
      <c r="A56" s="23">
        <v>55</v>
      </c>
      <c r="B56" s="23" t="s">
        <v>53</v>
      </c>
      <c r="C56" s="23" t="s">
        <v>97</v>
      </c>
      <c r="D56" s="1" t="s">
        <v>66</v>
      </c>
      <c r="E56" s="1" t="s">
        <v>98</v>
      </c>
      <c r="F56" s="1" t="s">
        <v>37</v>
      </c>
      <c r="G56" s="24">
        <v>5</v>
      </c>
      <c r="H56" s="24">
        <v>2000</v>
      </c>
      <c r="I56" s="24">
        <v>0</v>
      </c>
      <c r="J56" s="24">
        <v>4800</v>
      </c>
      <c r="K56" s="24">
        <v>0</v>
      </c>
      <c r="L56" s="24">
        <v>0</v>
      </c>
      <c r="M56" s="24">
        <v>-128</v>
      </c>
      <c r="N56" s="24">
        <v>4670.3999999999996</v>
      </c>
      <c r="O56" s="25">
        <v>0.1</v>
      </c>
      <c r="P56" s="24">
        <v>467.03999999999996</v>
      </c>
    </row>
    <row r="57" spans="1:16" x14ac:dyDescent="0.4">
      <c r="A57" s="23">
        <v>56</v>
      </c>
      <c r="B57" s="23" t="s">
        <v>53</v>
      </c>
      <c r="C57" s="23" t="s">
        <v>97</v>
      </c>
      <c r="D57" s="1" t="s">
        <v>67</v>
      </c>
      <c r="E57" s="1" t="s">
        <v>98</v>
      </c>
      <c r="F57" s="1" t="s">
        <v>37</v>
      </c>
      <c r="G57" s="24">
        <v>5</v>
      </c>
      <c r="H57" s="24">
        <v>2000</v>
      </c>
      <c r="I57" s="24">
        <v>0</v>
      </c>
      <c r="J57" s="24">
        <v>5000</v>
      </c>
      <c r="K57" s="24">
        <v>0</v>
      </c>
      <c r="L57" s="24">
        <v>0</v>
      </c>
      <c r="M57" s="24">
        <v>-128</v>
      </c>
      <c r="N57" s="24">
        <v>4810.3999999999996</v>
      </c>
      <c r="O57" s="25">
        <v>0.1</v>
      </c>
      <c r="P57" s="24">
        <v>481.03999999999996</v>
      </c>
    </row>
    <row r="58" spans="1:16" x14ac:dyDescent="0.4">
      <c r="A58" s="23">
        <v>57</v>
      </c>
      <c r="B58" s="23" t="s">
        <v>53</v>
      </c>
      <c r="C58" s="23" t="s">
        <v>97</v>
      </c>
      <c r="D58" s="1" t="s">
        <v>68</v>
      </c>
      <c r="E58" s="1" t="s">
        <v>98</v>
      </c>
      <c r="F58" s="1" t="s">
        <v>37</v>
      </c>
      <c r="G58" s="24">
        <v>5</v>
      </c>
      <c r="H58" s="24">
        <v>2000</v>
      </c>
      <c r="I58" s="24">
        <v>0</v>
      </c>
      <c r="J58" s="24">
        <v>5000</v>
      </c>
      <c r="K58" s="24">
        <v>0</v>
      </c>
      <c r="L58" s="24">
        <v>0</v>
      </c>
      <c r="M58" s="24">
        <v>-128</v>
      </c>
      <c r="N58" s="24">
        <v>4810.3999999999996</v>
      </c>
      <c r="O58" s="25">
        <v>0.1</v>
      </c>
      <c r="P58" s="24">
        <v>481.03999999999996</v>
      </c>
    </row>
    <row r="59" spans="1:16" x14ac:dyDescent="0.4">
      <c r="A59" s="23">
        <v>58</v>
      </c>
      <c r="B59" s="23" t="s">
        <v>53</v>
      </c>
      <c r="C59" s="23" t="s">
        <v>97</v>
      </c>
      <c r="D59" s="1" t="s">
        <v>69</v>
      </c>
      <c r="E59" s="1" t="s">
        <v>98</v>
      </c>
      <c r="F59" s="1" t="s">
        <v>37</v>
      </c>
      <c r="G59" s="24">
        <v>5</v>
      </c>
      <c r="H59" s="24">
        <v>2000</v>
      </c>
      <c r="I59" s="24">
        <v>0</v>
      </c>
      <c r="J59" s="24">
        <v>4800</v>
      </c>
      <c r="K59" s="24">
        <v>0</v>
      </c>
      <c r="L59" s="24">
        <v>0</v>
      </c>
      <c r="M59" s="24">
        <v>-128</v>
      </c>
      <c r="N59" s="24">
        <v>4670.3999999999996</v>
      </c>
      <c r="O59" s="25">
        <v>0.1</v>
      </c>
      <c r="P59" s="24">
        <v>467.03999999999996</v>
      </c>
    </row>
    <row r="60" spans="1:16" x14ac:dyDescent="0.4">
      <c r="A60" s="23">
        <v>59</v>
      </c>
      <c r="B60" s="23" t="s">
        <v>53</v>
      </c>
      <c r="C60" s="23" t="s">
        <v>97</v>
      </c>
      <c r="D60" s="1" t="s">
        <v>70</v>
      </c>
      <c r="E60" s="1" t="s">
        <v>98</v>
      </c>
      <c r="F60" s="1" t="s">
        <v>37</v>
      </c>
      <c r="G60" s="24">
        <v>5</v>
      </c>
      <c r="H60" s="24">
        <v>2000</v>
      </c>
      <c r="I60" s="24">
        <v>0</v>
      </c>
      <c r="J60" s="24">
        <v>4200</v>
      </c>
      <c r="K60" s="24">
        <v>0</v>
      </c>
      <c r="L60" s="24">
        <v>0</v>
      </c>
      <c r="M60" s="24">
        <v>-128</v>
      </c>
      <c r="N60" s="24">
        <v>4250.3999999999996</v>
      </c>
      <c r="O60" s="25">
        <v>0.1</v>
      </c>
      <c r="P60" s="24">
        <v>425.03999999999996</v>
      </c>
    </row>
    <row r="61" spans="1:16" x14ac:dyDescent="0.4">
      <c r="A61" s="23">
        <v>60</v>
      </c>
      <c r="B61" s="23" t="s">
        <v>53</v>
      </c>
      <c r="C61" s="23" t="s">
        <v>97</v>
      </c>
      <c r="D61" s="1" t="s">
        <v>71</v>
      </c>
      <c r="E61" s="1" t="s">
        <v>98</v>
      </c>
      <c r="F61" s="1" t="s">
        <v>37</v>
      </c>
      <c r="G61" s="24">
        <v>5</v>
      </c>
      <c r="H61" s="24">
        <v>2000</v>
      </c>
      <c r="I61" s="24">
        <v>0</v>
      </c>
      <c r="J61" s="24">
        <v>4000</v>
      </c>
      <c r="K61" s="24">
        <v>0</v>
      </c>
      <c r="L61" s="24">
        <v>0</v>
      </c>
      <c r="M61" s="24">
        <v>-128</v>
      </c>
      <c r="N61" s="24">
        <v>4110.3999999999996</v>
      </c>
      <c r="O61" s="25">
        <v>0.1</v>
      </c>
      <c r="P61" s="24">
        <v>411.03999999999996</v>
      </c>
    </row>
    <row r="62" spans="1:16" x14ac:dyDescent="0.4">
      <c r="A62" s="23">
        <v>61</v>
      </c>
      <c r="B62" s="23" t="s">
        <v>53</v>
      </c>
      <c r="C62" s="23" t="s">
        <v>97</v>
      </c>
      <c r="D62" s="1" t="s">
        <v>72</v>
      </c>
      <c r="E62" s="1" t="s">
        <v>98</v>
      </c>
      <c r="F62" s="1" t="s">
        <v>37</v>
      </c>
      <c r="G62" s="24">
        <v>5</v>
      </c>
      <c r="H62" s="24">
        <v>2000</v>
      </c>
      <c r="I62" s="24">
        <v>0</v>
      </c>
      <c r="J62" s="24">
        <v>3800</v>
      </c>
      <c r="K62" s="24">
        <v>0</v>
      </c>
      <c r="L62" s="24">
        <v>0</v>
      </c>
      <c r="M62" s="24">
        <v>-128</v>
      </c>
      <c r="N62" s="24">
        <v>3970.3999999999996</v>
      </c>
      <c r="O62" s="25">
        <v>0.1</v>
      </c>
      <c r="P62" s="24">
        <v>397.03999999999996</v>
      </c>
    </row>
    <row r="63" spans="1:16" x14ac:dyDescent="0.4">
      <c r="A63" s="23">
        <v>62</v>
      </c>
      <c r="B63" s="23" t="s">
        <v>53</v>
      </c>
      <c r="C63" s="23" t="s">
        <v>97</v>
      </c>
      <c r="D63" s="1" t="s">
        <v>73</v>
      </c>
      <c r="E63" s="1" t="s">
        <v>98</v>
      </c>
      <c r="F63" s="1" t="s">
        <v>37</v>
      </c>
      <c r="G63" s="24">
        <v>5</v>
      </c>
      <c r="H63" s="24">
        <v>2000</v>
      </c>
      <c r="I63" s="24">
        <v>0</v>
      </c>
      <c r="J63" s="24">
        <v>3800</v>
      </c>
      <c r="K63" s="24">
        <v>0</v>
      </c>
      <c r="L63" s="24">
        <v>0</v>
      </c>
      <c r="M63" s="24">
        <v>-128</v>
      </c>
      <c r="N63" s="24">
        <v>3970.3999999999996</v>
      </c>
      <c r="O63" s="25">
        <v>0.1</v>
      </c>
      <c r="P63" s="24">
        <v>397.03999999999996</v>
      </c>
    </row>
    <row r="64" spans="1:16" x14ac:dyDescent="0.4">
      <c r="A64" s="23">
        <v>63</v>
      </c>
      <c r="B64" s="23" t="s">
        <v>53</v>
      </c>
      <c r="C64" s="23" t="s">
        <v>97</v>
      </c>
      <c r="D64" s="1" t="s">
        <v>74</v>
      </c>
      <c r="E64" s="1" t="s">
        <v>98</v>
      </c>
      <c r="F64" s="1" t="s">
        <v>37</v>
      </c>
      <c r="G64" s="24">
        <v>5</v>
      </c>
      <c r="H64" s="24">
        <v>2000</v>
      </c>
      <c r="I64" s="24">
        <v>0</v>
      </c>
      <c r="J64" s="24">
        <v>3400</v>
      </c>
      <c r="K64" s="24">
        <v>0</v>
      </c>
      <c r="L64" s="24">
        <v>0</v>
      </c>
      <c r="M64" s="24">
        <v>-128</v>
      </c>
      <c r="N64" s="24">
        <v>3690.3999999999996</v>
      </c>
      <c r="O64" s="25">
        <v>0.1</v>
      </c>
      <c r="P64" s="24">
        <v>369.03999999999996</v>
      </c>
    </row>
    <row r="65" spans="1:16" x14ac:dyDescent="0.4">
      <c r="A65" s="23">
        <v>64</v>
      </c>
      <c r="B65" s="23" t="s">
        <v>53</v>
      </c>
      <c r="C65" s="23" t="s">
        <v>97</v>
      </c>
      <c r="D65" s="1" t="s">
        <v>75</v>
      </c>
      <c r="E65" s="1" t="s">
        <v>98</v>
      </c>
      <c r="F65" s="1" t="s">
        <v>37</v>
      </c>
      <c r="G65" s="24">
        <v>5</v>
      </c>
      <c r="H65" s="24">
        <v>2000</v>
      </c>
      <c r="I65" s="24">
        <v>0</v>
      </c>
      <c r="J65" s="24">
        <v>3400</v>
      </c>
      <c r="K65" s="24">
        <v>0</v>
      </c>
      <c r="L65" s="24">
        <v>0</v>
      </c>
      <c r="M65" s="24">
        <v>-128</v>
      </c>
      <c r="N65" s="24">
        <v>3690.3999999999996</v>
      </c>
      <c r="O65" s="25">
        <v>0.1</v>
      </c>
      <c r="P65" s="24">
        <v>369.03999999999996</v>
      </c>
    </row>
    <row r="66" spans="1:16" x14ac:dyDescent="0.4">
      <c r="A66" s="23">
        <v>65</v>
      </c>
      <c r="B66" s="23" t="s">
        <v>53</v>
      </c>
      <c r="C66" s="23" t="s">
        <v>97</v>
      </c>
      <c r="D66" s="1" t="s">
        <v>76</v>
      </c>
      <c r="E66" s="1" t="s">
        <v>98</v>
      </c>
      <c r="F66" s="1" t="s">
        <v>37</v>
      </c>
      <c r="G66" s="24">
        <v>5</v>
      </c>
      <c r="H66" s="24">
        <v>2000</v>
      </c>
      <c r="I66" s="24">
        <v>0</v>
      </c>
      <c r="J66" s="24">
        <v>3400</v>
      </c>
      <c r="K66" s="24">
        <v>0</v>
      </c>
      <c r="L66" s="24">
        <v>0</v>
      </c>
      <c r="M66" s="24">
        <v>-112</v>
      </c>
      <c r="N66" s="24">
        <v>3701.6</v>
      </c>
      <c r="O66" s="25">
        <v>0.1</v>
      </c>
      <c r="P66" s="24">
        <v>370.16</v>
      </c>
    </row>
    <row r="67" spans="1:16" x14ac:dyDescent="0.4">
      <c r="A67" s="23">
        <v>66</v>
      </c>
      <c r="B67" s="23" t="s">
        <v>53</v>
      </c>
      <c r="C67" s="23" t="s">
        <v>97</v>
      </c>
      <c r="D67" s="1" t="s">
        <v>77</v>
      </c>
      <c r="E67" s="1" t="s">
        <v>98</v>
      </c>
      <c r="F67" s="1" t="s">
        <v>37</v>
      </c>
      <c r="G67" s="24">
        <v>5</v>
      </c>
      <c r="H67" s="24">
        <v>2000</v>
      </c>
      <c r="I67" s="24">
        <v>0</v>
      </c>
      <c r="J67" s="24">
        <v>3400</v>
      </c>
      <c r="K67" s="24">
        <v>0</v>
      </c>
      <c r="L67" s="24">
        <v>0</v>
      </c>
      <c r="M67" s="24">
        <v>-128</v>
      </c>
      <c r="N67" s="24">
        <v>3690.3999999999996</v>
      </c>
      <c r="O67" s="25">
        <v>0.1</v>
      </c>
      <c r="P67" s="24">
        <v>369.03999999999996</v>
      </c>
    </row>
    <row r="68" spans="1:16" x14ac:dyDescent="0.4">
      <c r="A68" s="23">
        <v>67</v>
      </c>
      <c r="B68" s="23" t="s">
        <v>53</v>
      </c>
      <c r="C68" s="23" t="s">
        <v>97</v>
      </c>
      <c r="D68" s="1" t="s">
        <v>78</v>
      </c>
      <c r="E68" s="1" t="s">
        <v>98</v>
      </c>
      <c r="F68" s="1" t="s">
        <v>37</v>
      </c>
      <c r="G68" s="24">
        <v>5</v>
      </c>
      <c r="H68" s="24">
        <v>2000</v>
      </c>
      <c r="I68" s="24">
        <v>0</v>
      </c>
      <c r="J68" s="24">
        <v>3200</v>
      </c>
      <c r="K68" s="24">
        <v>0</v>
      </c>
      <c r="L68" s="24">
        <v>0</v>
      </c>
      <c r="M68" s="24">
        <v>-128</v>
      </c>
      <c r="N68" s="24">
        <v>3550.3999999999996</v>
      </c>
      <c r="O68" s="25">
        <v>0.1</v>
      </c>
      <c r="P68" s="24">
        <v>355.03999999999996</v>
      </c>
    </row>
    <row r="69" spans="1:16" x14ac:dyDescent="0.4">
      <c r="A69" s="23">
        <v>68</v>
      </c>
      <c r="B69" s="23" t="s">
        <v>53</v>
      </c>
      <c r="C69" s="23" t="s">
        <v>97</v>
      </c>
      <c r="D69" s="1" t="s">
        <v>79</v>
      </c>
      <c r="E69" s="1" t="s">
        <v>98</v>
      </c>
      <c r="F69" s="1" t="s">
        <v>37</v>
      </c>
      <c r="G69" s="24">
        <v>5</v>
      </c>
      <c r="H69" s="24">
        <v>2000</v>
      </c>
      <c r="I69" s="24">
        <v>0</v>
      </c>
      <c r="J69" s="24">
        <v>3000</v>
      </c>
      <c r="K69" s="24">
        <v>0</v>
      </c>
      <c r="L69" s="24">
        <v>0</v>
      </c>
      <c r="M69" s="24">
        <v>-128</v>
      </c>
      <c r="N69" s="24">
        <v>3410.3999999999996</v>
      </c>
      <c r="O69" s="25">
        <v>0.1</v>
      </c>
      <c r="P69" s="24">
        <v>341.03999999999996</v>
      </c>
    </row>
    <row r="70" spans="1:16" x14ac:dyDescent="0.4">
      <c r="A70" s="23">
        <v>69</v>
      </c>
      <c r="B70" s="23" t="s">
        <v>53</v>
      </c>
      <c r="C70" s="23" t="s">
        <v>97</v>
      </c>
      <c r="D70" s="1" t="s">
        <v>80</v>
      </c>
      <c r="E70" s="1" t="s">
        <v>98</v>
      </c>
      <c r="F70" s="1" t="s">
        <v>37</v>
      </c>
      <c r="G70" s="24">
        <v>5</v>
      </c>
      <c r="H70" s="24">
        <v>2000</v>
      </c>
      <c r="I70" s="24">
        <v>0</v>
      </c>
      <c r="J70" s="24">
        <v>3000</v>
      </c>
      <c r="K70" s="24">
        <v>0</v>
      </c>
      <c r="L70" s="24">
        <v>0</v>
      </c>
      <c r="M70" s="24">
        <v>-128</v>
      </c>
      <c r="N70" s="24">
        <v>3410.3999999999996</v>
      </c>
      <c r="O70" s="25">
        <v>0.1</v>
      </c>
      <c r="P70" s="24">
        <v>341.03999999999996</v>
      </c>
    </row>
    <row r="71" spans="1:16" x14ac:dyDescent="0.4">
      <c r="A71" s="23">
        <v>70</v>
      </c>
      <c r="B71" s="23" t="s">
        <v>53</v>
      </c>
      <c r="C71" s="23" t="s">
        <v>97</v>
      </c>
      <c r="D71" s="1" t="s">
        <v>81</v>
      </c>
      <c r="E71" s="1" t="s">
        <v>98</v>
      </c>
      <c r="F71" s="1" t="s">
        <v>37</v>
      </c>
      <c r="G71" s="24">
        <v>5</v>
      </c>
      <c r="H71" s="24">
        <v>2000</v>
      </c>
      <c r="I71" s="24">
        <v>0</v>
      </c>
      <c r="J71" s="24">
        <v>3200</v>
      </c>
      <c r="K71" s="24">
        <v>0</v>
      </c>
      <c r="L71" s="24">
        <v>0</v>
      </c>
      <c r="M71" s="24">
        <v>-112</v>
      </c>
      <c r="N71" s="24">
        <v>3561.6</v>
      </c>
      <c r="O71" s="25">
        <v>0.1</v>
      </c>
      <c r="P71" s="24">
        <v>356.16</v>
      </c>
    </row>
    <row r="72" spans="1:16" x14ac:dyDescent="0.4">
      <c r="A72" s="23">
        <v>71</v>
      </c>
      <c r="B72" s="23" t="s">
        <v>53</v>
      </c>
      <c r="C72" s="23" t="s">
        <v>97</v>
      </c>
      <c r="D72" s="1" t="s">
        <v>82</v>
      </c>
      <c r="E72" s="1" t="s">
        <v>98</v>
      </c>
      <c r="F72" s="1" t="s">
        <v>37</v>
      </c>
      <c r="G72" s="24">
        <v>5</v>
      </c>
      <c r="H72" s="24">
        <v>2000</v>
      </c>
      <c r="I72" s="24">
        <v>0</v>
      </c>
      <c r="J72" s="24">
        <v>2800</v>
      </c>
      <c r="K72" s="24">
        <v>0</v>
      </c>
      <c r="L72" s="24">
        <v>0</v>
      </c>
      <c r="M72" s="24">
        <v>-96</v>
      </c>
      <c r="N72" s="24">
        <v>3292.7999999999997</v>
      </c>
      <c r="O72" s="25">
        <v>0.1</v>
      </c>
      <c r="P72" s="24">
        <v>329.28</v>
      </c>
    </row>
    <row r="73" spans="1:16" x14ac:dyDescent="0.4">
      <c r="A73" s="23">
        <v>72</v>
      </c>
      <c r="B73" s="23" t="s">
        <v>53</v>
      </c>
      <c r="C73" s="23" t="s">
        <v>97</v>
      </c>
      <c r="D73" s="1" t="s">
        <v>84</v>
      </c>
      <c r="E73" s="1" t="s">
        <v>98</v>
      </c>
      <c r="F73" s="1" t="s">
        <v>37</v>
      </c>
      <c r="G73" s="24">
        <v>5</v>
      </c>
      <c r="H73" s="24">
        <v>2000</v>
      </c>
      <c r="I73" s="24">
        <v>0</v>
      </c>
      <c r="J73" s="24">
        <v>2800</v>
      </c>
      <c r="K73" s="24">
        <v>0</v>
      </c>
      <c r="L73" s="24">
        <v>0</v>
      </c>
      <c r="M73" s="24">
        <v>-48</v>
      </c>
      <c r="N73" s="24">
        <v>3326.3999999999996</v>
      </c>
      <c r="O73" s="25">
        <v>0.1</v>
      </c>
      <c r="P73" s="24">
        <v>332.64</v>
      </c>
    </row>
    <row r="74" spans="1:16" x14ac:dyDescent="0.4">
      <c r="A74" s="23">
        <v>73</v>
      </c>
      <c r="B74" s="23" t="s">
        <v>53</v>
      </c>
      <c r="C74" s="23" t="s">
        <v>97</v>
      </c>
      <c r="D74" s="1" t="s">
        <v>85</v>
      </c>
      <c r="E74" s="1" t="s">
        <v>98</v>
      </c>
      <c r="F74" s="1" t="s">
        <v>37</v>
      </c>
      <c r="G74" s="24">
        <v>5</v>
      </c>
      <c r="H74" s="24">
        <v>2000</v>
      </c>
      <c r="I74" s="24">
        <v>0</v>
      </c>
      <c r="J74" s="24">
        <v>2800</v>
      </c>
      <c r="K74" s="24">
        <v>0</v>
      </c>
      <c r="L74" s="24">
        <v>0</v>
      </c>
      <c r="M74" s="24">
        <v>-64</v>
      </c>
      <c r="N74" s="24">
        <v>3315.2</v>
      </c>
      <c r="O74" s="25">
        <v>0.1</v>
      </c>
      <c r="P74" s="24">
        <v>331.52</v>
      </c>
    </row>
    <row r="75" spans="1:16" x14ac:dyDescent="0.4">
      <c r="A75" s="23">
        <v>74</v>
      </c>
      <c r="B75" s="23" t="s">
        <v>53</v>
      </c>
      <c r="C75" s="23" t="s">
        <v>97</v>
      </c>
      <c r="D75" s="1" t="s">
        <v>86</v>
      </c>
      <c r="E75" s="1" t="s">
        <v>98</v>
      </c>
      <c r="F75" s="1" t="s">
        <v>37</v>
      </c>
      <c r="G75" s="24">
        <v>5</v>
      </c>
      <c r="H75" s="24">
        <v>2000</v>
      </c>
      <c r="I75" s="24">
        <v>0</v>
      </c>
      <c r="J75" s="24">
        <v>2800</v>
      </c>
      <c r="K75" s="24">
        <v>0</v>
      </c>
      <c r="L75" s="24">
        <v>0</v>
      </c>
      <c r="M75" s="24">
        <v>-64</v>
      </c>
      <c r="N75" s="24">
        <v>3315.2</v>
      </c>
      <c r="O75" s="25">
        <v>0.1</v>
      </c>
      <c r="P75" s="24">
        <v>331.52</v>
      </c>
    </row>
    <row r="76" spans="1:16" x14ac:dyDescent="0.4">
      <c r="A76" s="23">
        <v>75</v>
      </c>
      <c r="B76" s="23" t="s">
        <v>53</v>
      </c>
      <c r="C76" s="23" t="s">
        <v>97</v>
      </c>
      <c r="D76" s="1" t="s">
        <v>87</v>
      </c>
      <c r="E76" s="1" t="s">
        <v>98</v>
      </c>
      <c r="F76" s="1" t="s">
        <v>37</v>
      </c>
      <c r="G76" s="24">
        <v>5</v>
      </c>
      <c r="H76" s="24">
        <v>2000</v>
      </c>
      <c r="I76" s="24">
        <v>0</v>
      </c>
      <c r="J76" s="24">
        <v>2800</v>
      </c>
      <c r="K76" s="24">
        <v>0</v>
      </c>
      <c r="L76" s="24">
        <v>0</v>
      </c>
      <c r="M76" s="24">
        <v>-64</v>
      </c>
      <c r="N76" s="24">
        <v>3315.2</v>
      </c>
      <c r="O76" s="25">
        <v>0.1</v>
      </c>
      <c r="P76" s="24">
        <v>331.52</v>
      </c>
    </row>
    <row r="77" spans="1:16" x14ac:dyDescent="0.4">
      <c r="A77" s="23">
        <v>76</v>
      </c>
      <c r="B77" s="23" t="s">
        <v>53</v>
      </c>
      <c r="C77" s="23" t="s">
        <v>97</v>
      </c>
      <c r="D77" s="1" t="s">
        <v>95</v>
      </c>
      <c r="E77" s="1" t="s">
        <v>98</v>
      </c>
      <c r="F77" s="1" t="s">
        <v>37</v>
      </c>
      <c r="G77" s="24">
        <v>5</v>
      </c>
      <c r="H77" s="24">
        <v>2000</v>
      </c>
      <c r="I77" s="24">
        <v>0</v>
      </c>
      <c r="J77" s="24">
        <v>5200</v>
      </c>
      <c r="K77" s="24">
        <v>0</v>
      </c>
      <c r="L77" s="24">
        <v>0</v>
      </c>
      <c r="M77" s="24">
        <v>-64</v>
      </c>
      <c r="N77" s="24">
        <v>4995.2</v>
      </c>
      <c r="O77" s="25">
        <v>0.1</v>
      </c>
      <c r="P77" s="24">
        <v>499.52</v>
      </c>
    </row>
    <row r="78" spans="1:16" x14ac:dyDescent="0.4">
      <c r="A78" s="23">
        <v>77</v>
      </c>
      <c r="B78" s="23" t="s">
        <v>53</v>
      </c>
      <c r="C78" s="23" t="s">
        <v>97</v>
      </c>
      <c r="D78" s="1" t="s">
        <v>83</v>
      </c>
      <c r="E78" s="1" t="s">
        <v>98</v>
      </c>
      <c r="F78" s="1" t="s">
        <v>37</v>
      </c>
      <c r="G78" s="24">
        <v>4</v>
      </c>
      <c r="H78" s="24">
        <v>1600</v>
      </c>
      <c r="I78" s="24">
        <v>0</v>
      </c>
      <c r="J78" s="24">
        <v>3200</v>
      </c>
      <c r="K78" s="24">
        <v>0</v>
      </c>
      <c r="L78" s="24">
        <v>0</v>
      </c>
      <c r="M78" s="24">
        <v>-32</v>
      </c>
      <c r="N78" s="24">
        <v>3337.6</v>
      </c>
      <c r="O78" s="25">
        <v>0.1</v>
      </c>
      <c r="P78" s="24">
        <v>333.76</v>
      </c>
    </row>
    <row r="79" spans="1:16" x14ac:dyDescent="0.4">
      <c r="A79" s="23">
        <v>78</v>
      </c>
      <c r="B79" s="23" t="s">
        <v>53</v>
      </c>
      <c r="C79" s="23" t="s">
        <v>97</v>
      </c>
      <c r="D79" s="1" t="s">
        <v>88</v>
      </c>
      <c r="E79" s="1" t="s">
        <v>98</v>
      </c>
      <c r="F79" s="1" t="s">
        <v>37</v>
      </c>
      <c r="G79" s="24">
        <v>4</v>
      </c>
      <c r="H79" s="24">
        <v>1600</v>
      </c>
      <c r="I79" s="24">
        <v>0</v>
      </c>
      <c r="J79" s="24">
        <v>2600</v>
      </c>
      <c r="K79" s="24">
        <v>0</v>
      </c>
      <c r="L79" s="24">
        <v>0</v>
      </c>
      <c r="M79" s="24">
        <v>-64</v>
      </c>
      <c r="N79" s="24">
        <v>2895.2</v>
      </c>
      <c r="O79" s="25">
        <v>0.1</v>
      </c>
      <c r="P79" s="24">
        <v>289.52</v>
      </c>
    </row>
    <row r="80" spans="1:16" x14ac:dyDescent="0.4">
      <c r="A80" s="23">
        <v>79</v>
      </c>
      <c r="B80" s="23" t="s">
        <v>53</v>
      </c>
      <c r="C80" s="23" t="s">
        <v>97</v>
      </c>
      <c r="D80" s="1" t="s">
        <v>89</v>
      </c>
      <c r="E80" s="1" t="s">
        <v>98</v>
      </c>
      <c r="F80" s="1" t="s">
        <v>37</v>
      </c>
      <c r="G80" s="24">
        <v>4</v>
      </c>
      <c r="H80" s="24">
        <v>1600</v>
      </c>
      <c r="I80" s="24">
        <v>0</v>
      </c>
      <c r="J80" s="24">
        <v>2600</v>
      </c>
      <c r="K80" s="24">
        <v>0</v>
      </c>
      <c r="L80" s="24">
        <v>0</v>
      </c>
      <c r="M80" s="24">
        <v>-64</v>
      </c>
      <c r="N80" s="24">
        <v>2895.2</v>
      </c>
      <c r="O80" s="25">
        <v>0.1</v>
      </c>
      <c r="P80" s="24">
        <v>289.52</v>
      </c>
    </row>
    <row r="81" spans="1:16" x14ac:dyDescent="0.4">
      <c r="A81" s="23">
        <v>80</v>
      </c>
      <c r="B81" s="23" t="s">
        <v>53</v>
      </c>
      <c r="C81" s="23" t="s">
        <v>97</v>
      </c>
      <c r="D81" s="1" t="s">
        <v>90</v>
      </c>
      <c r="E81" s="1" t="s">
        <v>98</v>
      </c>
      <c r="F81" s="1" t="s">
        <v>37</v>
      </c>
      <c r="G81" s="24">
        <v>4</v>
      </c>
      <c r="H81" s="24">
        <v>1600</v>
      </c>
      <c r="I81" s="24">
        <v>0</v>
      </c>
      <c r="J81" s="24">
        <v>2600</v>
      </c>
      <c r="K81" s="24">
        <v>0</v>
      </c>
      <c r="L81" s="24">
        <v>0</v>
      </c>
      <c r="M81" s="24">
        <v>-64</v>
      </c>
      <c r="N81" s="24">
        <v>2895.2</v>
      </c>
      <c r="O81" s="25">
        <v>0.1</v>
      </c>
      <c r="P81" s="24">
        <v>289.52</v>
      </c>
    </row>
    <row r="82" spans="1:16" x14ac:dyDescent="0.4">
      <c r="A82" s="23">
        <v>81</v>
      </c>
      <c r="B82" s="23" t="s">
        <v>53</v>
      </c>
      <c r="C82" s="23" t="s">
        <v>97</v>
      </c>
      <c r="D82" s="1" t="s">
        <v>91</v>
      </c>
      <c r="E82" s="1" t="s">
        <v>98</v>
      </c>
      <c r="F82" s="1" t="s">
        <v>37</v>
      </c>
      <c r="G82" s="24">
        <v>4</v>
      </c>
      <c r="H82" s="24">
        <v>1600</v>
      </c>
      <c r="I82" s="24">
        <v>0</v>
      </c>
      <c r="J82" s="24">
        <v>3000</v>
      </c>
      <c r="K82" s="24">
        <v>0</v>
      </c>
      <c r="L82" s="24">
        <v>0</v>
      </c>
      <c r="M82" s="24">
        <v>-64</v>
      </c>
      <c r="N82" s="24">
        <v>3175.2</v>
      </c>
      <c r="O82" s="25">
        <v>0.1</v>
      </c>
      <c r="P82" s="24">
        <v>317.52</v>
      </c>
    </row>
    <row r="83" spans="1:16" x14ac:dyDescent="0.4">
      <c r="A83" s="23">
        <v>82</v>
      </c>
      <c r="B83" s="23" t="s">
        <v>53</v>
      </c>
      <c r="C83" s="23" t="s">
        <v>97</v>
      </c>
      <c r="D83" s="1" t="s">
        <v>92</v>
      </c>
      <c r="E83" s="1" t="s">
        <v>98</v>
      </c>
      <c r="F83" s="1" t="s">
        <v>37</v>
      </c>
      <c r="G83" s="24">
        <v>4</v>
      </c>
      <c r="H83" s="24">
        <v>1600</v>
      </c>
      <c r="I83" s="24">
        <v>0</v>
      </c>
      <c r="J83" s="24">
        <v>2800</v>
      </c>
      <c r="K83" s="24">
        <v>0</v>
      </c>
      <c r="L83" s="24">
        <v>0</v>
      </c>
      <c r="M83" s="24">
        <v>-64</v>
      </c>
      <c r="N83" s="24">
        <v>3035.2</v>
      </c>
      <c r="O83" s="25">
        <v>0.1</v>
      </c>
      <c r="P83" s="24">
        <v>303.52</v>
      </c>
    </row>
    <row r="84" spans="1:16" x14ac:dyDescent="0.4">
      <c r="A84" s="23">
        <v>83</v>
      </c>
      <c r="B84" s="23" t="s">
        <v>53</v>
      </c>
      <c r="C84" s="23" t="s">
        <v>97</v>
      </c>
      <c r="D84" s="1" t="s">
        <v>93</v>
      </c>
      <c r="E84" s="1" t="s">
        <v>98</v>
      </c>
      <c r="F84" s="1" t="s">
        <v>37</v>
      </c>
      <c r="G84" s="24">
        <v>4</v>
      </c>
      <c r="H84" s="24">
        <v>1600</v>
      </c>
      <c r="I84" s="24">
        <v>0</v>
      </c>
      <c r="J84" s="24">
        <v>3000</v>
      </c>
      <c r="K84" s="24">
        <v>0</v>
      </c>
      <c r="L84" s="24">
        <v>0</v>
      </c>
      <c r="M84" s="24">
        <v>-64</v>
      </c>
      <c r="N84" s="24">
        <v>3175.2</v>
      </c>
      <c r="O84" s="25">
        <v>0.1</v>
      </c>
      <c r="P84" s="24">
        <v>317.52</v>
      </c>
    </row>
    <row r="85" spans="1:16" x14ac:dyDescent="0.4">
      <c r="A85" s="23">
        <v>84</v>
      </c>
      <c r="B85" s="23" t="s">
        <v>53</v>
      </c>
      <c r="C85" s="23" t="s">
        <v>97</v>
      </c>
      <c r="D85" s="1" t="s">
        <v>94</v>
      </c>
      <c r="E85" s="1" t="s">
        <v>98</v>
      </c>
      <c r="F85" s="1" t="s">
        <v>37</v>
      </c>
      <c r="G85" s="24">
        <v>4</v>
      </c>
      <c r="H85" s="24">
        <v>1600</v>
      </c>
      <c r="I85" s="24">
        <v>0</v>
      </c>
      <c r="J85" s="24">
        <v>3000</v>
      </c>
      <c r="K85" s="24">
        <v>0</v>
      </c>
      <c r="L85" s="24">
        <v>0</v>
      </c>
      <c r="M85" s="24">
        <v>-64</v>
      </c>
      <c r="N85" s="24">
        <v>3175.2</v>
      </c>
      <c r="O85" s="25">
        <v>0.1</v>
      </c>
      <c r="P85" s="24">
        <v>317.52</v>
      </c>
    </row>
    <row r="86" spans="1:16" x14ac:dyDescent="0.4">
      <c r="A86" s="23">
        <v>85</v>
      </c>
      <c r="B86" s="23" t="s">
        <v>53</v>
      </c>
      <c r="C86" s="23" t="s">
        <v>97</v>
      </c>
      <c r="D86" s="1" t="s">
        <v>96</v>
      </c>
      <c r="E86" s="1" t="s">
        <v>98</v>
      </c>
      <c r="F86" s="1" t="s">
        <v>37</v>
      </c>
      <c r="G86" s="24">
        <v>3</v>
      </c>
      <c r="H86" s="24">
        <v>1200</v>
      </c>
      <c r="I86" s="24">
        <v>0</v>
      </c>
      <c r="J86" s="24">
        <v>2000</v>
      </c>
      <c r="K86" s="24">
        <v>0</v>
      </c>
      <c r="L86" s="24">
        <v>0</v>
      </c>
      <c r="M86" s="24">
        <v>-31.429999999999836</v>
      </c>
      <c r="N86" s="24">
        <v>2217.9989999999998</v>
      </c>
      <c r="O86" s="25">
        <v>0.1</v>
      </c>
      <c r="P86" s="24">
        <v>221.79989999999998</v>
      </c>
    </row>
    <row r="87" spans="1:16" x14ac:dyDescent="0.4">
      <c r="A87" s="23">
        <v>86</v>
      </c>
      <c r="B87" s="23" t="s">
        <v>53</v>
      </c>
      <c r="C87" s="23" t="s">
        <v>40</v>
      </c>
      <c r="D87" s="1" t="s">
        <v>41</v>
      </c>
      <c r="E87" s="1" t="s">
        <v>42</v>
      </c>
      <c r="F87" s="1" t="s">
        <v>37</v>
      </c>
      <c r="G87" s="24">
        <v>0</v>
      </c>
      <c r="H87" s="24">
        <v>0</v>
      </c>
      <c r="I87" s="24">
        <v>131</v>
      </c>
      <c r="J87" s="24">
        <v>26200</v>
      </c>
      <c r="N87" s="24">
        <v>15720</v>
      </c>
      <c r="O87" s="25">
        <v>0.1</v>
      </c>
      <c r="P87" s="24">
        <v>1572</v>
      </c>
    </row>
    <row r="88" spans="1:16" x14ac:dyDescent="0.4">
      <c r="A88" s="23">
        <v>87</v>
      </c>
      <c r="B88" s="23" t="s">
        <v>53</v>
      </c>
      <c r="C88" s="23" t="s">
        <v>43</v>
      </c>
      <c r="D88" s="1" t="s">
        <v>35</v>
      </c>
      <c r="E88" s="1" t="s">
        <v>36</v>
      </c>
      <c r="F88" s="1" t="s">
        <v>37</v>
      </c>
      <c r="J88" s="24">
        <v>7600</v>
      </c>
      <c r="N88" s="24">
        <v>4788</v>
      </c>
      <c r="O88" s="25">
        <v>0.1</v>
      </c>
      <c r="P88" s="24">
        <v>478.8</v>
      </c>
    </row>
    <row r="89" spans="1:16" x14ac:dyDescent="0.4">
      <c r="A89" s="23">
        <v>88</v>
      </c>
      <c r="B89" s="23" t="s">
        <v>53</v>
      </c>
      <c r="C89" s="23" t="s">
        <v>44</v>
      </c>
      <c r="D89" s="1" t="s">
        <v>35</v>
      </c>
      <c r="E89" s="1" t="s">
        <v>39</v>
      </c>
      <c r="F89" s="1" t="s">
        <v>37</v>
      </c>
      <c r="H89" s="24">
        <v>19980</v>
      </c>
      <c r="N89" s="24">
        <v>10789.2</v>
      </c>
      <c r="O89" s="25">
        <v>0.1</v>
      </c>
      <c r="P89" s="24">
        <v>1078.92</v>
      </c>
    </row>
    <row r="90" spans="1:16" x14ac:dyDescent="0.4">
      <c r="A90" s="23">
        <v>89</v>
      </c>
      <c r="B90" s="23" t="s">
        <v>53</v>
      </c>
      <c r="C90" s="23" t="s">
        <v>44</v>
      </c>
      <c r="D90" s="1" t="s">
        <v>35</v>
      </c>
      <c r="E90" s="1" t="s">
        <v>39</v>
      </c>
      <c r="F90" s="1" t="s">
        <v>37</v>
      </c>
      <c r="H90" s="24">
        <v>31140</v>
      </c>
      <c r="N90" s="24">
        <v>13078.799999999997</v>
      </c>
      <c r="O90" s="25">
        <v>0.1</v>
      </c>
      <c r="P90" s="24">
        <v>1307.8799999999999</v>
      </c>
    </row>
    <row r="91" spans="1:16" x14ac:dyDescent="0.4">
      <c r="A91" s="23">
        <v>90</v>
      </c>
      <c r="B91" s="23" t="s">
        <v>53</v>
      </c>
      <c r="C91" s="23" t="s">
        <v>45</v>
      </c>
      <c r="D91" s="1" t="s">
        <v>35</v>
      </c>
      <c r="E91" s="1" t="s">
        <v>46</v>
      </c>
      <c r="F91" s="1" t="s">
        <v>37</v>
      </c>
      <c r="H91" s="24">
        <v>40800</v>
      </c>
      <c r="N91" s="24">
        <v>28560</v>
      </c>
      <c r="O91" s="25">
        <v>0.1</v>
      </c>
      <c r="P91" s="24">
        <v>2856</v>
      </c>
    </row>
    <row r="92" spans="1:16" x14ac:dyDescent="0.4">
      <c r="A92" s="23">
        <v>91</v>
      </c>
      <c r="B92" s="23" t="s">
        <v>53</v>
      </c>
      <c r="C92" s="23" t="s">
        <v>45</v>
      </c>
      <c r="D92" s="1" t="s">
        <v>35</v>
      </c>
      <c r="E92" s="1" t="s">
        <v>46</v>
      </c>
      <c r="F92" s="1" t="s">
        <v>37</v>
      </c>
      <c r="H92" s="24">
        <v>104400</v>
      </c>
      <c r="N92" s="24">
        <v>73080</v>
      </c>
      <c r="O92" s="25">
        <v>0.1</v>
      </c>
      <c r="P92" s="24">
        <v>7308</v>
      </c>
    </row>
    <row r="93" spans="1:16" x14ac:dyDescent="0.4">
      <c r="A93" s="23">
        <v>92</v>
      </c>
      <c r="B93" s="23" t="s">
        <v>53</v>
      </c>
      <c r="C93" s="23" t="s">
        <v>45</v>
      </c>
      <c r="D93" s="1" t="s">
        <v>35</v>
      </c>
      <c r="E93" s="1" t="s">
        <v>46</v>
      </c>
      <c r="F93" s="1" t="s">
        <v>37</v>
      </c>
      <c r="H93" s="24">
        <v>21600</v>
      </c>
      <c r="N93" s="24">
        <v>15119.999999999998</v>
      </c>
      <c r="O93" s="25">
        <v>0.1</v>
      </c>
      <c r="P93" s="24">
        <v>1512</v>
      </c>
    </row>
    <row r="94" spans="1:16" x14ac:dyDescent="0.4">
      <c r="A94" s="23">
        <v>93</v>
      </c>
      <c r="B94" s="23" t="s">
        <v>53</v>
      </c>
      <c r="C94" s="23" t="s">
        <v>45</v>
      </c>
      <c r="D94" s="1" t="s">
        <v>35</v>
      </c>
      <c r="E94" s="1" t="s">
        <v>46</v>
      </c>
      <c r="F94" s="1" t="s">
        <v>37</v>
      </c>
      <c r="H94" s="24">
        <v>186800</v>
      </c>
      <c r="N94" s="24">
        <v>130759.99999999999</v>
      </c>
      <c r="O94" s="25">
        <v>0.1</v>
      </c>
      <c r="P94" s="24">
        <v>13076</v>
      </c>
    </row>
    <row r="95" spans="1:16" x14ac:dyDescent="0.4">
      <c r="A95" s="23">
        <v>94</v>
      </c>
      <c r="B95" s="23" t="s">
        <v>53</v>
      </c>
      <c r="C95" s="23" t="s">
        <v>45</v>
      </c>
      <c r="D95" s="1" t="s">
        <v>35</v>
      </c>
      <c r="E95" s="1" t="s">
        <v>46</v>
      </c>
      <c r="F95" s="1" t="s">
        <v>37</v>
      </c>
      <c r="H95" s="24">
        <v>1166300</v>
      </c>
      <c r="N95" s="24">
        <v>816410</v>
      </c>
      <c r="O95" s="25">
        <v>0.1</v>
      </c>
      <c r="P95" s="24">
        <v>81641</v>
      </c>
    </row>
    <row r="96" spans="1:16" x14ac:dyDescent="0.4">
      <c r="A96" s="23">
        <v>95</v>
      </c>
      <c r="B96" s="23" t="s">
        <v>53</v>
      </c>
      <c r="C96" s="23" t="s">
        <v>45</v>
      </c>
      <c r="D96" s="1" t="s">
        <v>35</v>
      </c>
      <c r="E96" s="1" t="s">
        <v>46</v>
      </c>
      <c r="F96" s="1" t="s">
        <v>37</v>
      </c>
      <c r="H96" s="24">
        <v>2114450</v>
      </c>
      <c r="N96" s="24">
        <v>1480115</v>
      </c>
      <c r="O96" s="25">
        <v>0.1</v>
      </c>
      <c r="P96" s="24">
        <v>148011.5</v>
      </c>
    </row>
    <row r="97" spans="1:16" x14ac:dyDescent="0.4">
      <c r="A97" s="23">
        <v>96</v>
      </c>
      <c r="B97" s="23" t="s">
        <v>53</v>
      </c>
      <c r="C97" s="23" t="s">
        <v>45</v>
      </c>
      <c r="D97" s="1" t="s">
        <v>35</v>
      </c>
      <c r="E97" s="1" t="s">
        <v>46</v>
      </c>
      <c r="F97" s="1" t="s">
        <v>37</v>
      </c>
      <c r="H97" s="24">
        <v>527900</v>
      </c>
      <c r="N97" s="24">
        <v>369530</v>
      </c>
      <c r="O97" s="25">
        <v>0.1</v>
      </c>
      <c r="P97" s="24">
        <v>36953</v>
      </c>
    </row>
    <row r="98" spans="1:16" x14ac:dyDescent="0.4">
      <c r="A98" s="23">
        <v>97</v>
      </c>
      <c r="B98" s="23" t="s">
        <v>53</v>
      </c>
      <c r="C98" s="23" t="s">
        <v>45</v>
      </c>
      <c r="D98" s="1" t="s">
        <v>35</v>
      </c>
      <c r="E98" s="1" t="s">
        <v>46</v>
      </c>
      <c r="F98" s="1" t="s">
        <v>37</v>
      </c>
      <c r="H98" s="24">
        <v>823800</v>
      </c>
      <c r="N98" s="24">
        <v>576660</v>
      </c>
      <c r="O98" s="25">
        <v>0.1</v>
      </c>
      <c r="P98" s="24">
        <v>57666</v>
      </c>
    </row>
    <row r="99" spans="1:16" x14ac:dyDescent="0.4">
      <c r="A99" s="23">
        <v>98</v>
      </c>
      <c r="B99" s="23" t="s">
        <v>53</v>
      </c>
      <c r="C99" s="23" t="s">
        <v>45</v>
      </c>
      <c r="D99" s="1" t="s">
        <v>35</v>
      </c>
      <c r="E99" s="1" t="s">
        <v>46</v>
      </c>
      <c r="F99" s="1" t="s">
        <v>37</v>
      </c>
      <c r="H99" s="24">
        <v>3960</v>
      </c>
      <c r="N99" s="24">
        <v>2376</v>
      </c>
      <c r="O99" s="25">
        <v>0.1</v>
      </c>
      <c r="P99" s="24">
        <v>237.60000000000002</v>
      </c>
    </row>
    <row r="100" spans="1:16" x14ac:dyDescent="0.4">
      <c r="A100" s="23">
        <v>99</v>
      </c>
      <c r="B100" s="23" t="s">
        <v>53</v>
      </c>
      <c r="C100" s="23" t="s">
        <v>45</v>
      </c>
      <c r="D100" s="1" t="s">
        <v>35</v>
      </c>
      <c r="E100" s="1" t="s">
        <v>46</v>
      </c>
      <c r="F100" s="1" t="s">
        <v>37</v>
      </c>
      <c r="H100" s="24">
        <v>3960</v>
      </c>
      <c r="N100" s="24">
        <v>2376</v>
      </c>
      <c r="O100" s="25">
        <v>0.1</v>
      </c>
      <c r="P100" s="24">
        <v>237.60000000000002</v>
      </c>
    </row>
    <row r="101" spans="1:16" x14ac:dyDescent="0.4">
      <c r="A101" s="23">
        <v>100</v>
      </c>
      <c r="B101" s="23" t="s">
        <v>53</v>
      </c>
      <c r="C101" s="23" t="s">
        <v>45</v>
      </c>
      <c r="D101" s="1" t="s">
        <v>35</v>
      </c>
      <c r="E101" s="1" t="s">
        <v>46</v>
      </c>
      <c r="F101" s="1" t="s">
        <v>37</v>
      </c>
      <c r="H101" s="24">
        <v>11950</v>
      </c>
      <c r="N101" s="24">
        <v>7170</v>
      </c>
      <c r="O101" s="25">
        <v>0.1</v>
      </c>
      <c r="P101" s="24">
        <v>717</v>
      </c>
    </row>
    <row r="102" spans="1:16" x14ac:dyDescent="0.4">
      <c r="A102" s="23">
        <v>101</v>
      </c>
      <c r="B102" s="23" t="s">
        <v>53</v>
      </c>
      <c r="C102" s="23" t="s">
        <v>45</v>
      </c>
      <c r="D102" s="1" t="s">
        <v>35</v>
      </c>
      <c r="E102" s="1" t="s">
        <v>46</v>
      </c>
      <c r="F102" s="1" t="s">
        <v>37</v>
      </c>
      <c r="H102" s="24">
        <v>120258</v>
      </c>
      <c r="N102" s="24">
        <v>72154.8</v>
      </c>
      <c r="O102" s="25">
        <v>0.1</v>
      </c>
      <c r="P102" s="24">
        <v>7215.4800000000005</v>
      </c>
    </row>
    <row r="103" spans="1:16" x14ac:dyDescent="0.4">
      <c r="A103" s="23">
        <v>102</v>
      </c>
      <c r="B103" s="23" t="s">
        <v>53</v>
      </c>
      <c r="C103" s="23" t="s">
        <v>45</v>
      </c>
      <c r="D103" s="1" t="s">
        <v>35</v>
      </c>
      <c r="E103" s="1" t="s">
        <v>46</v>
      </c>
      <c r="F103" s="1" t="s">
        <v>37</v>
      </c>
      <c r="H103" s="24">
        <v>101260</v>
      </c>
      <c r="N103" s="24">
        <v>60756</v>
      </c>
      <c r="O103" s="25">
        <v>0.1</v>
      </c>
      <c r="P103" s="24">
        <v>6075.6</v>
      </c>
    </row>
    <row r="104" spans="1:16" x14ac:dyDescent="0.4">
      <c r="A104" s="23">
        <v>103</v>
      </c>
      <c r="B104" s="23" t="s">
        <v>53</v>
      </c>
      <c r="C104" s="23" t="s">
        <v>45</v>
      </c>
      <c r="D104" s="1" t="s">
        <v>35</v>
      </c>
      <c r="E104" s="1" t="s">
        <v>46</v>
      </c>
      <c r="F104" s="1" t="s">
        <v>37</v>
      </c>
      <c r="H104" s="24">
        <v>43455</v>
      </c>
      <c r="N104" s="24">
        <v>26073</v>
      </c>
      <c r="O104" s="25">
        <v>0.1</v>
      </c>
      <c r="P104" s="24">
        <v>2607.3000000000002</v>
      </c>
    </row>
    <row r="105" spans="1:16" x14ac:dyDescent="0.4">
      <c r="A105" s="23">
        <v>104</v>
      </c>
      <c r="B105" s="23" t="s">
        <v>53</v>
      </c>
      <c r="C105" s="23" t="s">
        <v>45</v>
      </c>
      <c r="D105" s="1" t="s">
        <v>35</v>
      </c>
      <c r="E105" s="1" t="s">
        <v>46</v>
      </c>
      <c r="F105" s="1" t="s">
        <v>37</v>
      </c>
      <c r="H105" s="24">
        <v>95430</v>
      </c>
      <c r="N105" s="24">
        <v>57258</v>
      </c>
      <c r="O105" s="25">
        <v>0.1</v>
      </c>
      <c r="P105" s="24">
        <v>5725.8</v>
      </c>
    </row>
    <row r="106" spans="1:16" x14ac:dyDescent="0.4">
      <c r="A106" s="23">
        <v>105</v>
      </c>
      <c r="B106" s="23" t="s">
        <v>53</v>
      </c>
      <c r="C106" s="23" t="s">
        <v>47</v>
      </c>
      <c r="D106" s="1" t="s">
        <v>35</v>
      </c>
      <c r="E106" s="1" t="s">
        <v>50</v>
      </c>
      <c r="F106" s="1" t="s">
        <v>51</v>
      </c>
      <c r="G106" s="24">
        <v>1456</v>
      </c>
      <c r="H106" s="24">
        <v>145600</v>
      </c>
      <c r="I106" s="24">
        <v>1628</v>
      </c>
      <c r="J106" s="24">
        <v>162800</v>
      </c>
      <c r="N106" s="24">
        <v>215880</v>
      </c>
      <c r="O106" s="25">
        <v>0.1</v>
      </c>
      <c r="P106" s="24">
        <v>21588</v>
      </c>
    </row>
    <row r="107" spans="1:16" x14ac:dyDescent="0.4">
      <c r="A107" s="23">
        <v>106</v>
      </c>
      <c r="B107" s="23" t="s">
        <v>53</v>
      </c>
      <c r="C107" s="23" t="s">
        <v>47</v>
      </c>
      <c r="D107" s="1" t="s">
        <v>35</v>
      </c>
      <c r="E107" s="1" t="s">
        <v>50</v>
      </c>
      <c r="F107" s="1" t="s">
        <v>51</v>
      </c>
      <c r="G107" s="24">
        <v>104</v>
      </c>
      <c r="H107" s="24">
        <v>10400</v>
      </c>
      <c r="I107" s="24">
        <v>198</v>
      </c>
      <c r="J107" s="24">
        <v>19800</v>
      </c>
      <c r="N107" s="24">
        <v>21140</v>
      </c>
      <c r="O107" s="25">
        <v>0.1</v>
      </c>
      <c r="P107" s="24">
        <v>2114</v>
      </c>
    </row>
    <row r="108" spans="1:16" x14ac:dyDescent="0.4">
      <c r="A108" s="23">
        <v>107</v>
      </c>
      <c r="B108" s="23" t="s">
        <v>53</v>
      </c>
      <c r="C108" s="23" t="s">
        <v>47</v>
      </c>
      <c r="D108" s="1" t="s">
        <v>35</v>
      </c>
      <c r="E108" s="1" t="s">
        <v>50</v>
      </c>
      <c r="F108" s="1" t="s">
        <v>51</v>
      </c>
      <c r="G108" s="24">
        <v>264</v>
      </c>
      <c r="H108" s="24">
        <v>26400</v>
      </c>
      <c r="I108" s="24">
        <v>277</v>
      </c>
      <c r="J108" s="24">
        <v>27700</v>
      </c>
      <c r="N108" s="24">
        <v>26509</v>
      </c>
      <c r="O108" s="25">
        <v>0.1</v>
      </c>
      <c r="P108" s="24">
        <v>2650.9</v>
      </c>
    </row>
    <row r="109" spans="1:16" x14ac:dyDescent="0.4">
      <c r="A109" s="23">
        <v>108</v>
      </c>
      <c r="B109" s="23" t="s">
        <v>53</v>
      </c>
      <c r="C109" s="23" t="s">
        <v>47</v>
      </c>
      <c r="D109" s="1" t="s">
        <v>35</v>
      </c>
      <c r="E109" s="1" t="s">
        <v>50</v>
      </c>
      <c r="F109" s="1" t="s">
        <v>51</v>
      </c>
      <c r="G109" s="24">
        <v>144</v>
      </c>
      <c r="H109" s="24">
        <v>14400</v>
      </c>
      <c r="I109" s="24">
        <v>283</v>
      </c>
      <c r="J109" s="24">
        <v>28300</v>
      </c>
      <c r="N109" s="24">
        <v>20923</v>
      </c>
      <c r="O109" s="25">
        <v>0.1</v>
      </c>
      <c r="P109" s="24">
        <v>2092.3000000000002</v>
      </c>
    </row>
    <row r="110" spans="1:16" x14ac:dyDescent="0.4">
      <c r="A110" s="23">
        <v>109</v>
      </c>
      <c r="B110" s="23" t="s">
        <v>53</v>
      </c>
      <c r="C110" s="23" t="s">
        <v>48</v>
      </c>
      <c r="D110" s="1" t="s">
        <v>99</v>
      </c>
      <c r="E110" s="1" t="s">
        <v>36</v>
      </c>
      <c r="F110" s="1" t="s">
        <v>37</v>
      </c>
      <c r="H110" s="24">
        <v>251792</v>
      </c>
      <c r="N110" s="24">
        <v>251792</v>
      </c>
      <c r="O110" s="25">
        <v>0.1</v>
      </c>
      <c r="P110" s="24">
        <v>25179.200000000001</v>
      </c>
    </row>
    <row r="111" spans="1:16" x14ac:dyDescent="0.4">
      <c r="A111" s="23">
        <v>110</v>
      </c>
      <c r="B111" s="23" t="s">
        <v>53</v>
      </c>
      <c r="C111" s="23" t="s">
        <v>49</v>
      </c>
      <c r="D111" s="1" t="s">
        <v>35</v>
      </c>
      <c r="E111" s="1" t="s">
        <v>39</v>
      </c>
      <c r="F111" s="1" t="s">
        <v>37</v>
      </c>
      <c r="H111" s="24">
        <v>42446.869500000008</v>
      </c>
      <c r="N111" s="24">
        <v>42446.869500000008</v>
      </c>
      <c r="O111" s="25">
        <v>0.1</v>
      </c>
      <c r="P111" s="24">
        <v>3990.0057330000004</v>
      </c>
    </row>
    <row r="112" spans="1:16" x14ac:dyDescent="0.4">
      <c r="P112" s="27">
        <f>SUM(P2:P111)</f>
        <v>457094.06143299991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정산서</vt:lpstr>
      <vt:lpstr>상세내역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woon</dc:creator>
  <cp:lastModifiedBy>jihui</cp:lastModifiedBy>
  <cp:lastPrinted>2021-11-10T23:56:12Z</cp:lastPrinted>
  <dcterms:created xsi:type="dcterms:W3CDTF">2021-10-28T04:20:52Z</dcterms:created>
  <dcterms:modified xsi:type="dcterms:W3CDTF">2022-01-28T00:46:39Z</dcterms:modified>
</cp:coreProperties>
</file>