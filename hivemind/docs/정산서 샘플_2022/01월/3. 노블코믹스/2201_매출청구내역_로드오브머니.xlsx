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3. 노블코믹스\"/>
    </mc:Choice>
  </mc:AlternateContent>
  <bookViews>
    <workbookView xWindow="0" yWindow="0" windowWidth="23040" windowHeight="8952" activeTab="1"/>
  </bookViews>
  <sheets>
    <sheet name="서비스현황" sheetId="28" r:id="rId1"/>
    <sheet name="합계(12)" sheetId="73" r:id="rId2"/>
    <sheet name="202112" sheetId="84" r:id="rId3"/>
    <sheet name="202111" sheetId="83" r:id="rId4"/>
    <sheet name="202110" sheetId="82" r:id="rId5"/>
    <sheet name="202109" sheetId="81" r:id="rId6"/>
    <sheet name="202108" sheetId="80" r:id="rId7"/>
    <sheet name="202107" sheetId="79" r:id="rId8"/>
    <sheet name="202106" sheetId="78" r:id="rId9"/>
    <sheet name="202105" sheetId="77" r:id="rId10"/>
    <sheet name="202104" sheetId="76" r:id="rId11"/>
    <sheet name="202103" sheetId="75" r:id="rId12"/>
    <sheet name="202102" sheetId="74" r:id="rId13"/>
    <sheet name="202101" sheetId="71" r:id="rId14"/>
    <sheet name="202012" sheetId="72" r:id="rId15"/>
  </sheets>
  <calcPr calcId="152511"/>
</workbook>
</file>

<file path=xl/calcChain.xml><?xml version="1.0" encoding="utf-8"?>
<calcChain xmlns="http://schemas.openxmlformats.org/spreadsheetml/2006/main">
  <c r="C16" i="73" l="1"/>
  <c r="F16" i="73"/>
  <c r="E16" i="73"/>
  <c r="D16" i="73"/>
  <c r="J7" i="84"/>
  <c r="J6" i="84"/>
  <c r="J5" i="84"/>
  <c r="J4" i="84"/>
  <c r="J8" i="84" s="1"/>
  <c r="F8" i="84"/>
  <c r="D8" i="84"/>
  <c r="C8" i="84"/>
  <c r="H7" i="84"/>
  <c r="I7" i="84" s="1"/>
  <c r="H6" i="84"/>
  <c r="I6" i="84" s="1"/>
  <c r="H5" i="84"/>
  <c r="I5" i="84" s="1"/>
  <c r="H4" i="84"/>
  <c r="I4" i="84" s="1"/>
  <c r="G4" i="84"/>
  <c r="G8" i="84" s="1"/>
  <c r="I8" i="84" l="1"/>
  <c r="H8" i="84"/>
  <c r="F15" i="73" l="1"/>
  <c r="E15" i="73"/>
  <c r="D15" i="73"/>
  <c r="C15" i="73"/>
  <c r="J8" i="83"/>
  <c r="J5" i="83"/>
  <c r="F8" i="83"/>
  <c r="D8" i="83"/>
  <c r="C8" i="83"/>
  <c r="H7" i="83"/>
  <c r="I7" i="83" s="1"/>
  <c r="J7" i="83" s="1"/>
  <c r="H6" i="83"/>
  <c r="I6" i="83" s="1"/>
  <c r="J6" i="83" s="1"/>
  <c r="H5" i="83"/>
  <c r="I5" i="83" s="1"/>
  <c r="G4" i="83"/>
  <c r="G8" i="83" s="1"/>
  <c r="H4" i="83" l="1"/>
  <c r="I13" i="82"/>
  <c r="J13" i="82"/>
  <c r="H12" i="82"/>
  <c r="G11" i="82"/>
  <c r="H11" i="82" s="1"/>
  <c r="J10" i="82"/>
  <c r="H10" i="82"/>
  <c r="J9" i="82"/>
  <c r="J8" i="82"/>
  <c r="H9" i="82"/>
  <c r="H8" i="82"/>
  <c r="G8" i="82"/>
  <c r="E14" i="73"/>
  <c r="F14" i="73" s="1"/>
  <c r="D14" i="73"/>
  <c r="C14" i="73"/>
  <c r="E13" i="82"/>
  <c r="J6" i="82"/>
  <c r="J7" i="82"/>
  <c r="J5" i="82"/>
  <c r="J4" i="82"/>
  <c r="F13" i="82"/>
  <c r="D13" i="82"/>
  <c r="C13" i="82"/>
  <c r="H7" i="82"/>
  <c r="I7" i="82" s="1"/>
  <c r="H6" i="82"/>
  <c r="I6" i="82" s="1"/>
  <c r="H5" i="82"/>
  <c r="I5" i="82" s="1"/>
  <c r="G4" i="82"/>
  <c r="G13" i="82" s="1"/>
  <c r="H8" i="83" l="1"/>
  <c r="I4" i="83"/>
  <c r="H4" i="82"/>
  <c r="F13" i="73"/>
  <c r="I8" i="83" l="1"/>
  <c r="J4" i="83"/>
  <c r="H13" i="82"/>
  <c r="I4" i="82"/>
  <c r="C12" i="73"/>
  <c r="E12" i="73"/>
  <c r="F12" i="73" s="1"/>
  <c r="D12" i="73"/>
  <c r="D11" i="73"/>
  <c r="D9" i="81"/>
  <c r="C9" i="81"/>
  <c r="F8" i="81"/>
  <c r="G8" i="81" s="1"/>
  <c r="F7" i="81"/>
  <c r="G7" i="81" s="1"/>
  <c r="F6" i="81"/>
  <c r="G6" i="81" s="1"/>
  <c r="F5" i="81"/>
  <c r="G5" i="81" s="1"/>
  <c r="E4" i="81"/>
  <c r="E9" i="81" s="1"/>
  <c r="F4" i="81" l="1"/>
  <c r="F9" i="81" l="1"/>
  <c r="G4" i="81"/>
  <c r="G9" i="81" s="1"/>
  <c r="C11" i="73" l="1"/>
  <c r="E11" i="73"/>
  <c r="F11" i="73" s="1"/>
  <c r="H7" i="80"/>
  <c r="H6" i="80"/>
  <c r="H5" i="80"/>
  <c r="H4" i="80"/>
  <c r="D7" i="80"/>
  <c r="C7" i="80"/>
  <c r="F6" i="80"/>
  <c r="G6" i="80" s="1"/>
  <c r="F5" i="80"/>
  <c r="G5" i="80" s="1"/>
  <c r="E4" i="80"/>
  <c r="E7" i="80" s="1"/>
  <c r="F4" i="80" l="1"/>
  <c r="D10" i="73"/>
  <c r="F7" i="80" l="1"/>
  <c r="G4" i="80"/>
  <c r="G7" i="80" s="1"/>
  <c r="H5" i="79"/>
  <c r="E10" i="73"/>
  <c r="F10" i="73" s="1"/>
  <c r="D6" i="79"/>
  <c r="C10" i="73" s="1"/>
  <c r="C6" i="79"/>
  <c r="F5" i="79"/>
  <c r="G5" i="79" s="1"/>
  <c r="E4" i="79"/>
  <c r="F4" i="79" s="1"/>
  <c r="F6" i="79" l="1"/>
  <c r="G4" i="79"/>
  <c r="E6" i="79"/>
  <c r="E9" i="73"/>
  <c r="G19" i="78"/>
  <c r="H19" i="78"/>
  <c r="G6" i="79" l="1"/>
  <c r="H6" i="79" s="1"/>
  <c r="H4" i="79"/>
  <c r="H12" i="78"/>
  <c r="H11" i="78"/>
  <c r="D9" i="73"/>
  <c r="F9" i="73" s="1"/>
  <c r="C9" i="73"/>
  <c r="D12" i="78"/>
  <c r="C12" i="78"/>
  <c r="E11" i="78"/>
  <c r="F11" i="78" s="1"/>
  <c r="F12" i="78" l="1"/>
  <c r="G11" i="78"/>
  <c r="G12" i="78" s="1"/>
  <c r="B4" i="78" s="1"/>
  <c r="C4" i="78" s="1"/>
  <c r="E12" i="78"/>
  <c r="H19" i="77"/>
  <c r="G19" i="77"/>
  <c r="H12" i="77" l="1"/>
  <c r="H11" i="77"/>
  <c r="D8" i="73"/>
  <c r="E8" i="73" s="1"/>
  <c r="F8" i="73" s="1"/>
  <c r="C8" i="73"/>
  <c r="D12" i="77"/>
  <c r="C12" i="77"/>
  <c r="E11" i="77"/>
  <c r="E12" i="77" s="1"/>
  <c r="F11" i="77" l="1"/>
  <c r="F12" i="77" l="1"/>
  <c r="G11" i="77"/>
  <c r="G12" i="77" s="1"/>
  <c r="B4" i="77" s="1"/>
  <c r="C4" i="77" s="1"/>
  <c r="G11" i="76" l="1"/>
  <c r="G12" i="76" s="1"/>
  <c r="H12" i="76" s="1"/>
  <c r="F7" i="73"/>
  <c r="F6" i="73"/>
  <c r="D7" i="73"/>
  <c r="E7" i="73"/>
  <c r="C7" i="73"/>
  <c r="D12" i="76"/>
  <c r="C12" i="76"/>
  <c r="E11" i="76"/>
  <c r="E12" i="76" s="1"/>
  <c r="H11" i="76" l="1"/>
  <c r="F11" i="76"/>
  <c r="F12" i="76" l="1"/>
  <c r="B4" i="76"/>
  <c r="C4" i="76" s="1"/>
  <c r="E6" i="73" l="1"/>
  <c r="D6" i="73"/>
  <c r="C6" i="73"/>
  <c r="H12" i="75"/>
  <c r="H11" i="75"/>
  <c r="D12" i="75"/>
  <c r="C12" i="75"/>
  <c r="E11" i="75"/>
  <c r="E12" i="75" s="1"/>
  <c r="F11" i="75" l="1"/>
  <c r="F12" i="75" l="1"/>
  <c r="G11" i="75"/>
  <c r="G12" i="75" s="1"/>
  <c r="B4" i="75" s="1"/>
  <c r="C4" i="75" s="1"/>
  <c r="C5" i="73" l="1"/>
  <c r="C4" i="73"/>
  <c r="C3" i="73"/>
  <c r="F5" i="73"/>
  <c r="E5" i="73"/>
  <c r="D5" i="73"/>
  <c r="H12" i="74"/>
  <c r="H11" i="74"/>
  <c r="E12" i="74"/>
  <c r="D12" i="74"/>
  <c r="C12" i="74"/>
  <c r="E11" i="74"/>
  <c r="F11" i="74" s="1"/>
  <c r="G11" i="74" l="1"/>
  <c r="G12" i="74" s="1"/>
  <c r="B4" i="74" s="1"/>
  <c r="C4" i="74" s="1"/>
  <c r="F12" i="74"/>
  <c r="F4" i="73" l="1"/>
  <c r="E4" i="73"/>
  <c r="E3" i="73"/>
  <c r="F3" i="73" s="1"/>
  <c r="H12" i="71" l="1"/>
  <c r="H11" i="71"/>
  <c r="E11" i="71" l="1"/>
  <c r="E12" i="72"/>
  <c r="D12" i="72"/>
  <c r="C11" i="72"/>
  <c r="C12" i="72" s="1"/>
  <c r="F11" i="72" l="1"/>
  <c r="F12" i="72" l="1"/>
  <c r="G11" i="72"/>
  <c r="G12" i="72" s="1"/>
  <c r="B4" i="72" s="1"/>
  <c r="C4" i="72" s="1"/>
  <c r="E12" i="71" l="1"/>
  <c r="D12" i="71"/>
  <c r="C12" i="71"/>
  <c r="F11" i="71" l="1"/>
  <c r="F12" i="71" l="1"/>
  <c r="G11" i="71"/>
  <c r="G12" i="71" s="1"/>
  <c r="B4" i="71" s="1"/>
  <c r="C4" i="71" s="1"/>
</calcChain>
</file>

<file path=xl/comments1.xml><?xml version="1.0" encoding="utf-8"?>
<comments xmlns="http://schemas.openxmlformats.org/spreadsheetml/2006/main">
  <authors>
    <author>jihui</author>
  </authors>
  <commentList>
    <comment ref="C2" authorId="0" shapeId="0">
      <text>
        <r>
          <rPr>
            <b/>
            <sz val="9"/>
            <color indexed="81"/>
            <rFont val="돋움"/>
            <family val="3"/>
            <charset val="129"/>
          </rPr>
          <t>유료정산</t>
        </r>
        <r>
          <rPr>
            <b/>
            <sz val="9"/>
            <color indexed="81"/>
            <rFont val="Tahoma"/>
            <family val="2"/>
          </rPr>
          <t>/60%</t>
        </r>
      </text>
    </comment>
  </commentList>
</comments>
</file>

<file path=xl/sharedStrings.xml><?xml version="1.0" encoding="utf-8"?>
<sst xmlns="http://schemas.openxmlformats.org/spreadsheetml/2006/main" count="317" uniqueCount="164">
  <si>
    <t>플랫폼</t>
    <phoneticPr fontId="32" type="noConversion"/>
  </si>
  <si>
    <t>서비스 시작일</t>
    <phoneticPr fontId="32" type="noConversion"/>
  </si>
  <si>
    <t>서비스 사이트</t>
    <phoneticPr fontId="32" type="noConversion"/>
  </si>
  <si>
    <t>비고</t>
    <phoneticPr fontId="32" type="noConversion"/>
  </si>
  <si>
    <t>웹/앱 서비스</t>
    <phoneticPr fontId="30" type="noConversion"/>
  </si>
  <si>
    <t>카카오페이지</t>
    <phoneticPr fontId="30" type="noConversion"/>
  </si>
  <si>
    <t>해당월</t>
    <phoneticPr fontId="32" type="noConversion"/>
  </si>
  <si>
    <t>카카오페이지</t>
    <phoneticPr fontId="32" type="noConversion"/>
  </si>
  <si>
    <t>합계</t>
    <phoneticPr fontId="32" type="noConversion"/>
  </si>
  <si>
    <t>구분</t>
    <phoneticPr fontId="32" type="noConversion"/>
  </si>
  <si>
    <t>고료(또는 MG) 수익(2)</t>
    <phoneticPr fontId="32" type="noConversion"/>
  </si>
  <si>
    <t>*(2) 고료(또는 MG) 수익 = 화당 비용 * 해당월 업데이트 분량</t>
    <phoneticPr fontId="32" type="noConversion"/>
  </si>
  <si>
    <t>공급가액</t>
    <phoneticPr fontId="32" type="noConversion"/>
  </si>
  <si>
    <t>합계금액</t>
  </si>
  <si>
    <t>유료 정산 수익(4)</t>
    <phoneticPr fontId="32" type="noConversion"/>
  </si>
  <si>
    <t>유료 정산 (3)</t>
    <phoneticPr fontId="32" type="noConversion"/>
  </si>
  <si>
    <t>총 수익(5)</t>
    <phoneticPr fontId="32" type="noConversion"/>
  </si>
  <si>
    <t>*(4) 유료정산수익 = 유료 정산 수익 - MG 수익( - 일 경우 0)</t>
    <phoneticPr fontId="32" type="noConversion"/>
  </si>
  <si>
    <t>*(3) 유료 정산= 플랫폼 순매출 * 수익배분율(RS%)</t>
    <phoneticPr fontId="32" type="noConversion"/>
  </si>
  <si>
    <t>*(5) 총수익 = 각 플랫폼 별 (고료(또는 MG) 수익 + 유료 정산 수익)</t>
  </si>
  <si>
    <t>*(1) 공급가액 = 원작사 배분 수익 합계</t>
    <phoneticPr fontId="32" type="noConversion"/>
  </si>
  <si>
    <t>원작사 배분 수익 합계(6)</t>
    <phoneticPr fontId="32" type="noConversion"/>
  </si>
  <si>
    <t>[ (로드 오브 머니) 계산서 내역]</t>
  </si>
  <si>
    <t>o (로드 오브 머니) '직전 월 잔여 선MG(국내) 합계' 세부 내역</t>
  </si>
  <si>
    <t>*(6) 원작사 배분 수익 합계 = (고료(또는 MG) 수익 + 유료 정산 초과 수익)  * 15%</t>
    <phoneticPr fontId="32" type="noConversion"/>
  </si>
  <si>
    <t>로드 오브 머니</t>
    <phoneticPr fontId="32" type="noConversion"/>
  </si>
  <si>
    <t>https://page.kakao.com/home?seriesId=56237804&amp;page=2</t>
  </si>
  <si>
    <t>20.12.26</t>
    <phoneticPr fontId="30" type="noConversion"/>
  </si>
  <si>
    <t>sw 배분 수익 합계(6)</t>
    <phoneticPr fontId="32" type="noConversion"/>
  </si>
  <si>
    <t>작가 정산(50%)</t>
    <phoneticPr fontId="32" type="noConversion"/>
  </si>
  <si>
    <t>소비자 매출</t>
    <phoneticPr fontId="30" type="noConversion"/>
  </si>
  <si>
    <t>정산 대상 금액</t>
    <phoneticPr fontId="30" type="noConversion"/>
  </si>
  <si>
    <t>1월</t>
    <phoneticPr fontId="30" type="noConversion"/>
  </si>
  <si>
    <t>2월</t>
    <phoneticPr fontId="30" type="noConversion"/>
  </si>
  <si>
    <t>해당월</t>
    <phoneticPr fontId="32" type="noConversion"/>
  </si>
  <si>
    <t>공급가액</t>
    <phoneticPr fontId="32" type="noConversion"/>
  </si>
  <si>
    <t>*(1) 공급가액 = 원작사 배분 수익 합계</t>
    <phoneticPr fontId="32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</si>
  <si>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</si>
  <si>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</si>
  <si>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</si>
  <si>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유료 정산 (3)</t>
    <phoneticPr fontId="32" type="noConversion"/>
  </si>
  <si>
    <t>유료 정산 수익(4)</t>
    <phoneticPr fontId="32" type="noConversion"/>
  </si>
  <si>
    <t>총 수익(5)</t>
    <phoneticPr fontId="32" type="noConversion"/>
  </si>
  <si>
    <t>카카오페이지</t>
    <phoneticPr fontId="32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</si>
  <si>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</si>
  <si>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</si>
  <si>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</si>
  <si>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</si>
  <si>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</si>
  <si>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작가정산(50%)</t>
    <phoneticPr fontId="32" type="noConversion"/>
  </si>
  <si>
    <t>SW배분 수익 합계(6)</t>
    <phoneticPr fontId="32" type="noConversion"/>
  </si>
  <si>
    <t>스토리위즈 정산금(15%)</t>
    <phoneticPr fontId="30" type="noConversion"/>
  </si>
  <si>
    <t>해당월</t>
    <phoneticPr fontId="32" type="noConversion"/>
  </si>
  <si>
    <t>공급가액</t>
    <phoneticPr fontId="32" type="noConversion"/>
  </si>
  <si>
    <t>해당월</t>
    <phoneticPr fontId="32" type="noConversion"/>
  </si>
  <si>
    <t>카카오페이지</t>
  </si>
  <si>
    <t>SW 배분 수익 합계(6)</t>
    <phoneticPr fontId="32" type="noConversion"/>
  </si>
  <si>
    <t>3월</t>
    <phoneticPr fontId="30" type="noConversion"/>
  </si>
  <si>
    <t>4월</t>
    <phoneticPr fontId="30" type="noConversion"/>
  </si>
  <si>
    <t>해당월</t>
    <phoneticPr fontId="32" type="noConversion"/>
  </si>
  <si>
    <t>공급가액</t>
    <phoneticPr fontId="32" type="noConversion"/>
  </si>
  <si>
    <t>유료 정산 (3)</t>
    <phoneticPr fontId="32" type="noConversion"/>
  </si>
  <si>
    <t>유료 정산 수익(4)</t>
    <phoneticPr fontId="32" type="noConversion"/>
  </si>
  <si>
    <t>총 수익(5)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</si>
  <si>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</si>
  <si>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</si>
  <si>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</si>
  <si>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5월</t>
    <phoneticPr fontId="30" type="noConversion"/>
  </si>
  <si>
    <t>구분</t>
    <phoneticPr fontId="32" type="noConversion"/>
  </si>
  <si>
    <t>유료 정산 (3)</t>
    <phoneticPr fontId="32" type="noConversion"/>
  </si>
  <si>
    <t>합계</t>
    <phoneticPr fontId="32" type="noConversion"/>
  </si>
  <si>
    <t>6월</t>
    <phoneticPr fontId="30" type="noConversion"/>
  </si>
  <si>
    <t>원저작자 정산(50%)</t>
    <phoneticPr fontId="30" type="noConversion"/>
  </si>
  <si>
    <t>해당월</t>
    <phoneticPr fontId="32" type="noConversion"/>
  </si>
  <si>
    <t>*(1) 공급가액 = 원작사 배분 수익 합계</t>
    <phoneticPr fontId="32" type="noConversion"/>
  </si>
  <si>
    <t>총 수익(5)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</si>
  <si>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</si>
  <si>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</si>
  <si>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</si>
  <si>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7월</t>
    <phoneticPr fontId="30" type="noConversion"/>
  </si>
  <si>
    <t>해당월</t>
    <phoneticPr fontId="32" type="noConversion"/>
  </si>
  <si>
    <t>고료(또는 MG) 수익(2)</t>
    <phoneticPr fontId="32" type="noConversion"/>
  </si>
  <si>
    <t>유료 정산 (3)</t>
    <phoneticPr fontId="32" type="noConversion"/>
  </si>
  <si>
    <t>유료 정산 수익(4)</t>
    <phoneticPr fontId="32" type="noConversion"/>
  </si>
  <si>
    <t>총 수익(5)</t>
    <phoneticPr fontId="32" type="noConversion"/>
  </si>
  <si>
    <t>원작사 배분 수익 합계(6)</t>
    <phoneticPr fontId="32" type="noConversion"/>
  </si>
  <si>
    <t>카카오페이지</t>
    <phoneticPr fontId="32" type="noConversion"/>
  </si>
  <si>
    <t>네오바자르(인도네시아)MG(10)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</si>
  <si>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</si>
  <si>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</si>
  <si>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</si>
  <si>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</si>
  <si>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8월</t>
    <phoneticPr fontId="30" type="noConversion"/>
  </si>
  <si>
    <t>구분</t>
    <phoneticPr fontId="32" type="noConversion"/>
  </si>
  <si>
    <t>고료(또는 MG) 수익(2)</t>
    <phoneticPr fontId="32" type="noConversion"/>
  </si>
  <si>
    <t>유료 정산 (3)</t>
    <phoneticPr fontId="32" type="noConversion"/>
  </si>
  <si>
    <t>카카오웹툰_글로벌 MG</t>
    <phoneticPr fontId="30" type="noConversion"/>
  </si>
  <si>
    <t>MG상계중</t>
    <phoneticPr fontId="30" type="noConversion"/>
  </si>
  <si>
    <t>네오바자르(인도네시아)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</si>
  <si>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</si>
  <si>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</si>
  <si>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</si>
  <si>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</si>
  <si>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</si>
  <si>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9월</t>
    <phoneticPr fontId="30" type="noConversion"/>
  </si>
  <si>
    <t>구분</t>
    <phoneticPr fontId="32" type="noConversion"/>
  </si>
  <si>
    <t>고료(또는 MG) 수익(2)</t>
    <phoneticPr fontId="32" type="noConversion"/>
  </si>
  <si>
    <t>유료 정산 (3)</t>
    <phoneticPr fontId="32" type="noConversion"/>
  </si>
  <si>
    <t>유료 정산 수익(4)</t>
    <phoneticPr fontId="32" type="noConversion"/>
  </si>
  <si>
    <t>카카오웹툰</t>
  </si>
  <si>
    <t>MG상계중</t>
  </si>
  <si>
    <t>카카오웹툰_글로벌(7)</t>
    <phoneticPr fontId="30" type="noConversion"/>
  </si>
  <si>
    <t>네오바자르(인도네시아)(7)</t>
    <phoneticPr fontId="30" type="noConversion"/>
  </si>
  <si>
    <t>픽코마(일본) MG 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</si>
  <si>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</si>
  <si>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</si>
  <si>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</si>
  <si>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</si>
  <si>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*(7) 해외 정산 = 플랫폼 순매출 * 수익배분율(RS%)</t>
    <phoneticPr fontId="30" type="noConversion"/>
  </si>
  <si>
    <t>10월</t>
    <phoneticPr fontId="30" type="noConversion"/>
  </si>
  <si>
    <t>11월</t>
    <phoneticPr fontId="30" type="noConversion"/>
  </si>
  <si>
    <t>10월 정산 차액 보정(10월 정산시 8월 판매금으로 중복 정산)</t>
    <phoneticPr fontId="30" type="noConversion"/>
  </si>
  <si>
    <t>해당월</t>
    <phoneticPr fontId="32" type="noConversion"/>
  </si>
  <si>
    <t>구분</t>
    <phoneticPr fontId="32" type="noConversion"/>
  </si>
  <si>
    <t>고료(또는 MG) 수익(2)</t>
    <phoneticPr fontId="32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</si>
  <si>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</si>
  <si>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</si>
  <si>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</si>
  <si>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유료 정산 수익(4)</t>
    <phoneticPr fontId="32" type="noConversion"/>
  </si>
  <si>
    <t>총 수익(5)</t>
    <phoneticPr fontId="32" type="noConversion"/>
  </si>
  <si>
    <t>원작사 배분 수익 합계(6)</t>
    <phoneticPr fontId="32" type="noConversion"/>
  </si>
  <si>
    <t>카카오페이지+카카오웹툰</t>
    <phoneticPr fontId="32" type="noConversion"/>
  </si>
  <si>
    <t>픽코마(일본) MG (7)</t>
    <phoneticPr fontId="30" type="noConversion"/>
  </si>
  <si>
    <t>MG상계중</t>
    <phoneticPr fontId="30" type="noConversion"/>
  </si>
  <si>
    <t>카카오웹툰_글로벌(7)</t>
    <phoneticPr fontId="30" type="noConversion"/>
  </si>
  <si>
    <t>네오바자르(인도네시아)(7)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</si>
  <si>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</si>
  <si>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</si>
  <si>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*(4) 유료정산수익 = 유료 정산 수익 - MG 수익( - 일 경우 0)</t>
    <phoneticPr fontId="32" type="noConversion"/>
  </si>
  <si>
    <t>*(7) 해외 정산 = 플랫폼 순매출 * 수익배분율(RS%)</t>
    <phoneticPr fontId="30" type="noConversion"/>
  </si>
  <si>
    <t>21.10</t>
    <phoneticPr fontId="30" type="noConversion"/>
  </si>
  <si>
    <t>픽코마(일본) MG (7)</t>
  </si>
  <si>
    <t>카카오웹툰_글로벌 MG</t>
  </si>
  <si>
    <t>10월 정산서에 9월 판매분 정산했어야 하나 8월 정산금 중복 정산함/ 당월 차액 보정</t>
    <phoneticPr fontId="30" type="noConversion"/>
  </si>
  <si>
    <t>카카오페이지 (3)</t>
    <phoneticPr fontId="32" type="noConversion"/>
  </si>
  <si>
    <t>카카오웹툰 (3)</t>
    <phoneticPr fontId="32" type="noConversion"/>
  </si>
  <si>
    <t>유료 정산 (3)</t>
    <phoneticPr fontId="30" type="noConversion"/>
  </si>
  <si>
    <t>카카오페이지+카카오웹툰</t>
    <phoneticPr fontId="32" type="noConversion"/>
  </si>
  <si>
    <t>픽코마(일본) MG (7)</t>
    <phoneticPr fontId="30" type="noConversion"/>
  </si>
  <si>
    <t>MG상계중</t>
    <phoneticPr fontId="30" type="noConversion"/>
  </si>
  <si>
    <t>카카오웹툰_글로벌(7)</t>
    <phoneticPr fontId="30" type="noConversion"/>
  </si>
  <si>
    <t>MG상계중</t>
    <phoneticPr fontId="30" type="noConversion"/>
  </si>
  <si>
    <t>네오바자르(인도네시아)(7)</t>
    <phoneticPr fontId="30" type="noConversion"/>
  </si>
  <si>
    <t>합계</t>
    <phoneticPr fontId="32" type="noConversion"/>
  </si>
  <si>
    <t>*(2) 고료(또는 MG) 수익 = 화당 비용 * 해당월 업데이트 분량</t>
    <phoneticPr fontId="32" type="noConversion"/>
  </si>
  <si>
    <t>*(3) 유료 정산= 플랫폼 순매출 * 수익배분율(RS%)</t>
    <phoneticPr fontId="32" type="noConversion"/>
  </si>
  <si>
    <t>*(4) 유료정산수익 = 유료 정산 수익 - MG 수익( - 일 경우 0)</t>
    <phoneticPr fontId="32" type="noConversion"/>
  </si>
  <si>
    <t>*(6) 원작사 배분 수익 합계 = (고료(또는 MG) 수익 + 유료 정산 초과 수익)  * 15%</t>
    <phoneticPr fontId="32" type="noConversion"/>
  </si>
  <si>
    <t>*(7) 해외 정산 = 플랫폼 순매출 * 수익배분율(RS%)</t>
    <phoneticPr fontId="30" type="noConversion"/>
  </si>
  <si>
    <t>12월</t>
    <phoneticPr fontId="30" type="noConversion"/>
  </si>
  <si>
    <t>유료 정산 수익(4)</t>
    <phoneticPr fontId="32" type="noConversion"/>
  </si>
  <si>
    <t>카카오웹툰_글로벌(7)</t>
    <phoneticPr fontId="30" type="noConversion"/>
  </si>
  <si>
    <t>판매 월</t>
    <phoneticPr fontId="30" type="noConversion"/>
  </si>
  <si>
    <t>정산월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</si>
</sst>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0.0"/>
    <numFmt numFmtId="177" formatCode="&quot;Yes&quot;;&quot;Yes&quot;;&quot;No&quot;"/>
    <numFmt numFmtId="178" formatCode="&quot;₩&quot;#,##0;[Red]&quot;₩&quot;&quot;₩&quot;&quot;₩&quot;&quot;₩&quot;\-&quot;₩&quot;#,##0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.00;[Red]&quot;₩&quot;&quot;₩&quot;&quot;₩&quot;&quot;₩&quot;&quot;₩&quot;&quot;₩&quot;&quot;₩&quot;\-#,##0.00"/>
    <numFmt numFmtId="183" formatCode="_ * #,##0_ ;_ * &quot;₩&quot;&quot;₩&quot;&quot;₩&quot;&quot;₩&quot;&quot;₩&quot;&quot;₩&quot;\-#,##0_ ;_ * &quot;-&quot;_ ;_ @_ "/>
    <numFmt numFmtId="184" formatCode="_-* #,##0.00_-;\-* #,##0.00_-;_-* &quot;-&quot;_-;_-@_-"/>
  </numFmts>
  <fonts count="56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2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sz val="10"/>
      <color rgb="FF000000"/>
      <name val="굴림체"/>
      <family val="3"/>
      <charset val="129"/>
    </font>
    <font>
      <sz val="8"/>
      <color rgb="FF000000"/>
      <name val="Arial"/>
      <family val="2"/>
    </font>
    <font>
      <sz val="16"/>
      <color rgb="FF000000"/>
      <name val="굴림체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Times New Roman"/>
      <family val="1"/>
    </font>
    <font>
      <b/>
      <i/>
      <sz val="10"/>
      <color rgb="FF000000"/>
      <name val="Arial"/>
      <family val="2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800000"/>
      <name val="Times New Roman"/>
      <family val="1"/>
    </font>
    <font>
      <b/>
      <sz val="1"/>
      <color rgb="FF000000"/>
      <name val="한컴바탕"/>
      <family val="1"/>
      <charset val="129"/>
    </font>
    <font>
      <sz val="1"/>
      <color rgb="FF000000"/>
      <name val="한컴바탕"/>
      <family val="1"/>
      <charset val="129"/>
    </font>
    <font>
      <u/>
      <sz val="8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indexed="8"/>
      <name val="Apple SD 산돌고딕 Neo 일반체"/>
      <family val="3"/>
      <charset val="129"/>
    </font>
    <font>
      <sz val="8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rgb="FF0000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2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43" fontId="4" fillId="0" borderId="0"/>
    <xf numFmtId="0" fontId="2" fillId="0" borderId="0"/>
    <xf numFmtId="0" fontId="2" fillId="0" borderId="0"/>
    <xf numFmtId="43" fontId="4" fillId="0" borderId="0"/>
    <xf numFmtId="43" fontId="4" fillId="0" borderId="0"/>
    <xf numFmtId="43" fontId="4" fillId="0" borderId="0"/>
    <xf numFmtId="0" fontId="3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>
      <alignment vertical="center"/>
    </xf>
    <xf numFmtId="0" fontId="2" fillId="0" borderId="0"/>
    <xf numFmtId="0" fontId="4" fillId="0" borderId="0"/>
    <xf numFmtId="178" fontId="2" fillId="0" borderId="0"/>
    <xf numFmtId="0" fontId="4" fillId="0" borderId="0"/>
    <xf numFmtId="179" fontId="4" fillId="0" borderId="0"/>
    <xf numFmtId="0" fontId="4" fillId="0" borderId="0"/>
    <xf numFmtId="0" fontId="10" fillId="0" borderId="0"/>
    <xf numFmtId="180" fontId="4" fillId="0" borderId="0"/>
    <xf numFmtId="181" fontId="4" fillId="0" borderId="0"/>
    <xf numFmtId="182" fontId="2" fillId="0" borderId="0"/>
    <xf numFmtId="0" fontId="11" fillId="0" borderId="1">
      <alignment horizontal="center" vertical="center"/>
    </xf>
    <xf numFmtId="0" fontId="12" fillId="0" borderId="0"/>
    <xf numFmtId="0" fontId="2" fillId="0" borderId="0"/>
    <xf numFmtId="0" fontId="2" fillId="0" borderId="0"/>
    <xf numFmtId="183" fontId="2" fillId="0" borderId="0"/>
    <xf numFmtId="0" fontId="12" fillId="0" borderId="0"/>
    <xf numFmtId="0" fontId="10" fillId="3" borderId="0"/>
    <xf numFmtId="0" fontId="13" fillId="0" borderId="0">
      <alignment horizontal="left"/>
    </xf>
    <xf numFmtId="0" fontId="14" fillId="0" borderId="2">
      <alignment horizontal="left" vertical="center"/>
    </xf>
    <xf numFmtId="0" fontId="14" fillId="0" borderId="3">
      <alignment horizontal="left" vertical="center"/>
    </xf>
    <xf numFmtId="0" fontId="8" fillId="0" borderId="0"/>
    <xf numFmtId="0" fontId="15" fillId="0" borderId="0"/>
    <xf numFmtId="0" fontId="14" fillId="0" borderId="0"/>
    <xf numFmtId="0" fontId="4" fillId="0" borderId="0">
      <alignment horizontal="center"/>
    </xf>
    <xf numFmtId="0" fontId="10" fillId="2" borderId="4"/>
    <xf numFmtId="43" fontId="4" fillId="0" borderId="0"/>
    <xf numFmtId="0" fontId="4" fillId="0" borderId="0"/>
    <xf numFmtId="0" fontId="4" fillId="0" borderId="0">
      <alignment horizontal="center"/>
    </xf>
    <xf numFmtId="0" fontId="16" fillId="0" borderId="5"/>
    <xf numFmtId="176" fontId="17" fillId="3" borderId="6">
      <alignment horizontal="center"/>
    </xf>
    <xf numFmtId="184" fontId="4" fillId="0" borderId="0"/>
    <xf numFmtId="0" fontId="4" fillId="0" borderId="0"/>
    <xf numFmtId="0" fontId="4" fillId="0" borderId="0"/>
    <xf numFmtId="0" fontId="18" fillId="0" borderId="0"/>
    <xf numFmtId="0" fontId="19" fillId="4" borderId="0">
      <alignment horizontal="right"/>
    </xf>
    <xf numFmtId="0" fontId="20" fillId="4" borderId="0">
      <alignment horizontal="right"/>
    </xf>
    <xf numFmtId="0" fontId="21" fillId="4" borderId="7"/>
    <xf numFmtId="0" fontId="21" fillId="0" borderId="0">
      <alignment horizontal="centerContinuous"/>
    </xf>
    <xf numFmtId="0" fontId="4" fillId="0" borderId="0"/>
    <xf numFmtId="0" fontId="12" fillId="0" borderId="0"/>
    <xf numFmtId="0" fontId="7" fillId="5" borderId="0"/>
    <xf numFmtId="0" fontId="16" fillId="0" borderId="0"/>
    <xf numFmtId="0" fontId="12" fillId="0" borderId="8"/>
    <xf numFmtId="0" fontId="4" fillId="0" borderId="0">
      <alignment horizontal="center" textRotation="180"/>
    </xf>
    <xf numFmtId="0" fontId="2" fillId="0" borderId="0"/>
    <xf numFmtId="0" fontId="2" fillId="0" borderId="0"/>
    <xf numFmtId="0" fontId="3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0">
      <alignment vertical="top"/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6" borderId="4">
      <alignment vertical="center"/>
    </xf>
    <xf numFmtId="0" fontId="2" fillId="0" borderId="4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7" fontId="2" fillId="0" borderId="0"/>
    <xf numFmtId="41" fontId="2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" fillId="0" borderId="0"/>
    <xf numFmtId="0" fontId="2" fillId="0" borderId="4">
      <alignment vertical="center"/>
    </xf>
    <xf numFmtId="0" fontId="23" fillId="0" borderId="0">
      <protection locked="0"/>
    </xf>
    <xf numFmtId="0" fontId="3" fillId="0" borderId="0">
      <protection locked="0"/>
    </xf>
    <xf numFmtId="0" fontId="3" fillId="0" borderId="0"/>
    <xf numFmtId="0" fontId="2" fillId="0" borderId="0"/>
    <xf numFmtId="0" fontId="3" fillId="0" borderId="0"/>
    <xf numFmtId="0" fontId="2" fillId="0" borderId="0">
      <protection locked="0"/>
    </xf>
    <xf numFmtId="0" fontId="2" fillId="0" borderId="0"/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9" fillId="0" borderId="0">
      <alignment vertical="center"/>
    </xf>
    <xf numFmtId="0" fontId="2" fillId="0" borderId="0"/>
    <xf numFmtId="0" fontId="27" fillId="0" borderId="0">
      <alignment vertical="center"/>
    </xf>
    <xf numFmtId="0" fontId="28" fillId="0" borderId="0"/>
    <xf numFmtId="0" fontId="2" fillId="0" borderId="0"/>
    <xf numFmtId="0" fontId="2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3" fillId="0" borderId="9">
      <protection locked="0"/>
    </xf>
    <xf numFmtId="0" fontId="2" fillId="0" borderId="0">
      <protection locked="0"/>
    </xf>
    <xf numFmtId="0" fontId="3" fillId="0" borderId="0">
      <protection locked="0"/>
    </xf>
    <xf numFmtId="41" fontId="29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/>
    <xf numFmtId="41" fontId="4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41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53" fillId="0" borderId="0" applyNumberFormat="0" applyFill="0" applyBorder="0" applyProtection="0">
      <alignment vertical="top" wrapText="1"/>
    </xf>
    <xf numFmtId="41" fontId="53" fillId="0" borderId="0" applyFont="0" applyFill="0" applyBorder="0" applyAlignment="0" applyProtection="0">
      <alignment vertical="center"/>
    </xf>
  </cellStyleXfs>
  <cellXfs count="80">
    <xf numFmtId="0" fontId="0" fillId="0" borderId="0" xfId="0" applyNumberFormat="1">
      <alignment vertical="center"/>
    </xf>
    <xf numFmtId="0" fontId="33" fillId="0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36" fillId="0" borderId="0" xfId="0" applyFont="1">
      <alignment vertical="center"/>
    </xf>
    <xf numFmtId="0" fontId="35" fillId="8" borderId="4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3" fontId="33" fillId="0" borderId="4" xfId="164" applyNumberFormat="1" applyFont="1" applyBorder="1">
      <alignment vertical="center"/>
    </xf>
    <xf numFmtId="3" fontId="33" fillId="9" borderId="4" xfId="164" applyNumberFormat="1" applyFont="1" applyFill="1" applyBorder="1">
      <alignment vertical="center"/>
    </xf>
    <xf numFmtId="41" fontId="29" fillId="0" borderId="0" xfId="164">
      <alignment vertical="center"/>
    </xf>
    <xf numFmtId="0" fontId="45" fillId="0" borderId="0" xfId="0" applyFont="1">
      <alignment vertical="center"/>
    </xf>
    <xf numFmtId="0" fontId="46" fillId="0" borderId="0" xfId="0" applyNumberFormat="1" applyFont="1">
      <alignment vertical="center"/>
    </xf>
    <xf numFmtId="0" fontId="29" fillId="0" borderId="0" xfId="0" applyFont="1">
      <alignment vertical="center"/>
    </xf>
    <xf numFmtId="3" fontId="33" fillId="0" borderId="4" xfId="0" applyNumberFormat="1" applyFont="1" applyBorder="1">
      <alignment vertical="center"/>
    </xf>
    <xf numFmtId="0" fontId="47" fillId="0" borderId="4" xfId="165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3" fontId="33" fillId="0" borderId="4" xfId="164" applyNumberFormat="1" applyFont="1" applyFill="1" applyBorder="1">
      <alignment vertical="center"/>
    </xf>
    <xf numFmtId="41" fontId="27" fillId="9" borderId="4" xfId="164" applyFont="1" applyFill="1" applyBorder="1">
      <alignment vertical="center"/>
    </xf>
    <xf numFmtId="0" fontId="48" fillId="0" borderId="4" xfId="0" applyFont="1" applyBorder="1" applyAlignment="1">
      <alignment vertical="center"/>
    </xf>
    <xf numFmtId="0" fontId="29" fillId="10" borderId="4" xfId="136" applyNumberFormat="1" applyFont="1" applyFill="1" applyBorder="1" applyAlignment="1">
      <alignment horizontal="center" vertical="center"/>
    </xf>
    <xf numFmtId="0" fontId="29" fillId="0" borderId="0" xfId="136" applyNumberFormat="1">
      <alignment vertical="center"/>
    </xf>
    <xf numFmtId="0" fontId="29" fillId="0" borderId="4" xfId="136" applyNumberFormat="1" applyBorder="1">
      <alignment vertical="center"/>
    </xf>
    <xf numFmtId="41" fontId="29" fillId="0" borderId="4" xfId="164" applyBorder="1">
      <alignment vertical="center"/>
    </xf>
    <xf numFmtId="0" fontId="50" fillId="0" borderId="0" xfId="136" applyNumberFormat="1" applyFont="1">
      <alignment vertical="center"/>
    </xf>
    <xf numFmtId="0" fontId="39" fillId="0" borderId="0" xfId="136" applyFont="1">
      <alignment vertical="center"/>
    </xf>
    <xf numFmtId="0" fontId="29" fillId="0" borderId="0" xfId="136" applyFont="1">
      <alignment vertical="center"/>
    </xf>
    <xf numFmtId="0" fontId="35" fillId="8" borderId="4" xfId="136" applyFont="1" applyFill="1" applyBorder="1" applyAlignment="1">
      <alignment horizontal="center" vertical="center"/>
    </xf>
    <xf numFmtId="0" fontId="33" fillId="0" borderId="0" xfId="136" applyFont="1">
      <alignment vertical="center"/>
    </xf>
    <xf numFmtId="0" fontId="29" fillId="0" borderId="0" xfId="136">
      <alignment vertical="center"/>
    </xf>
    <xf numFmtId="0" fontId="48" fillId="0" borderId="4" xfId="136" applyFont="1" applyBorder="1" applyAlignment="1">
      <alignment horizontal="center" vertical="center"/>
    </xf>
    <xf numFmtId="3" fontId="33" fillId="0" borderId="4" xfId="136" applyNumberFormat="1" applyFont="1" applyBorder="1">
      <alignment vertical="center"/>
    </xf>
    <xf numFmtId="0" fontId="37" fillId="0" borderId="0" xfId="136" applyFont="1">
      <alignment vertical="center"/>
    </xf>
    <xf numFmtId="0" fontId="35" fillId="7" borderId="4" xfId="136" applyFont="1" applyFill="1" applyBorder="1" applyAlignment="1">
      <alignment horizontal="center" vertical="center"/>
    </xf>
    <xf numFmtId="0" fontId="48" fillId="0" borderId="4" xfId="136" applyFont="1" applyBorder="1" applyAlignment="1">
      <alignment vertical="center"/>
    </xf>
    <xf numFmtId="0" fontId="33" fillId="0" borderId="4" xfId="136" applyFont="1" applyBorder="1" applyAlignment="1">
      <alignment horizontal="center" vertical="center"/>
    </xf>
    <xf numFmtId="0" fontId="33" fillId="0" borderId="4" xfId="136" applyFont="1" applyBorder="1">
      <alignment vertical="center"/>
    </xf>
    <xf numFmtId="0" fontId="45" fillId="0" borderId="0" xfId="136" applyFont="1">
      <alignment vertical="center"/>
    </xf>
    <xf numFmtId="0" fontId="46" fillId="0" borderId="0" xfId="136" applyNumberFormat="1" applyFont="1">
      <alignment vertical="center"/>
    </xf>
    <xf numFmtId="0" fontId="38" fillId="0" borderId="0" xfId="136" applyFont="1">
      <alignment vertical="center"/>
    </xf>
    <xf numFmtId="0" fontId="50" fillId="0" borderId="0" xfId="136" applyNumberFormat="1" applyFont="1" applyAlignment="1">
      <alignment horizontal="center" vertical="center"/>
    </xf>
    <xf numFmtId="3" fontId="48" fillId="0" borderId="4" xfId="164" applyNumberFormat="1" applyFont="1" applyBorder="1">
      <alignment vertical="center"/>
    </xf>
    <xf numFmtId="3" fontId="48" fillId="10" borderId="4" xfId="164" applyNumberFormat="1" applyFont="1" applyFill="1" applyBorder="1">
      <alignment vertical="center"/>
    </xf>
    <xf numFmtId="0" fontId="48" fillId="0" borderId="4" xfId="180" applyFont="1" applyBorder="1" applyAlignment="1">
      <alignment horizontal="center" vertical="center"/>
    </xf>
    <xf numFmtId="0" fontId="36" fillId="0" borderId="0" xfId="136" applyFont="1">
      <alignment vertical="center"/>
    </xf>
    <xf numFmtId="3" fontId="48" fillId="0" borderId="4" xfId="181" applyNumberFormat="1" applyFont="1" applyBorder="1">
      <alignment vertical="center"/>
    </xf>
    <xf numFmtId="3" fontId="48" fillId="10" borderId="4" xfId="181" applyNumberFormat="1" applyFont="1" applyFill="1" applyBorder="1">
      <alignment vertical="center"/>
    </xf>
    <xf numFmtId="3" fontId="48" fillId="0" borderId="4" xfId="181" applyNumberFormat="1" applyFont="1" applyFill="1" applyBorder="1">
      <alignment vertical="center"/>
    </xf>
    <xf numFmtId="0" fontId="54" fillId="0" borderId="0" xfId="180" applyFont="1" applyAlignment="1">
      <alignment vertical="center"/>
    </xf>
    <xf numFmtId="0" fontId="53" fillId="0" borderId="0" xfId="180" applyAlignment="1">
      <alignment vertical="center"/>
    </xf>
    <xf numFmtId="41" fontId="29" fillId="0" borderId="12" xfId="136" applyNumberFormat="1" applyBorder="1">
      <alignment vertical="center"/>
    </xf>
    <xf numFmtId="0" fontId="55" fillId="7" borderId="4" xfId="136" applyFont="1" applyFill="1" applyBorder="1" applyAlignment="1">
      <alignment horizontal="center" vertical="center"/>
    </xf>
    <xf numFmtId="3" fontId="48" fillId="0" borderId="4" xfId="107" applyNumberFormat="1" applyFont="1" applyBorder="1">
      <alignment vertical="center"/>
    </xf>
    <xf numFmtId="3" fontId="48" fillId="10" borderId="4" xfId="107" applyNumberFormat="1" applyFont="1" applyFill="1" applyBorder="1">
      <alignment vertical="center"/>
    </xf>
    <xf numFmtId="41" fontId="27" fillId="0" borderId="0" xfId="164" applyFont="1">
      <alignment vertical="center"/>
    </xf>
    <xf numFmtId="0" fontId="29" fillId="0" borderId="4" xfId="136" applyBorder="1">
      <alignment vertical="center"/>
    </xf>
    <xf numFmtId="0" fontId="29" fillId="0" borderId="4" xfId="136" quotePrefix="1" applyNumberFormat="1" applyBorder="1" applyAlignment="1">
      <alignment horizontal="right" vertical="center"/>
    </xf>
    <xf numFmtId="0" fontId="48" fillId="11" borderId="4" xfId="136" applyFont="1" applyFill="1" applyBorder="1" applyAlignment="1">
      <alignment horizontal="center" vertical="center"/>
    </xf>
    <xf numFmtId="0" fontId="48" fillId="11" borderId="4" xfId="180" applyFont="1" applyFill="1" applyBorder="1" applyAlignment="1">
      <alignment horizontal="center" vertical="center"/>
    </xf>
    <xf numFmtId="3" fontId="48" fillId="11" borderId="4" xfId="107" applyNumberFormat="1" applyFont="1" applyFill="1" applyBorder="1">
      <alignment vertical="center"/>
    </xf>
    <xf numFmtId="0" fontId="29" fillId="11" borderId="4" xfId="136" applyFill="1" applyBorder="1">
      <alignment vertical="center"/>
    </xf>
    <xf numFmtId="3" fontId="33" fillId="11" borderId="4" xfId="164" applyNumberFormat="1" applyFont="1" applyFill="1" applyBorder="1">
      <alignment vertical="center"/>
    </xf>
    <xf numFmtId="0" fontId="31" fillId="0" borderId="10" xfId="0" applyFont="1" applyBorder="1" applyAlignment="1">
      <alignment horizontal="center" vertical="center"/>
    </xf>
    <xf numFmtId="0" fontId="29" fillId="0" borderId="11" xfId="136" applyNumberFormat="1" applyBorder="1" applyAlignment="1">
      <alignment horizontal="center" vertical="center"/>
    </xf>
    <xf numFmtId="0" fontId="29" fillId="0" borderId="3" xfId="136" applyNumberFormat="1" applyBorder="1" applyAlignment="1">
      <alignment horizontal="center" vertical="center"/>
    </xf>
    <xf numFmtId="0" fontId="49" fillId="0" borderId="0" xfId="136" applyNumberFormat="1" applyFont="1" applyAlignment="1">
      <alignment horizontal="left" vertical="center"/>
    </xf>
    <xf numFmtId="0" fontId="37" fillId="0" borderId="0" xfId="136" applyFont="1" applyAlignment="1">
      <alignment horizontal="left" vertical="center"/>
    </xf>
    <xf numFmtId="0" fontId="54" fillId="0" borderId="0" xfId="180" applyFont="1" applyAlignment="1">
      <alignment horizontal="left" vertical="center"/>
    </xf>
    <xf numFmtId="0" fontId="40" fillId="0" borderId="10" xfId="136" applyFont="1" applyBorder="1" applyAlignment="1">
      <alignment horizontal="left" vertical="center"/>
    </xf>
    <xf numFmtId="0" fontId="45" fillId="0" borderId="0" xfId="136" applyFont="1" applyAlignment="1">
      <alignment horizontal="left" vertical="center"/>
    </xf>
    <xf numFmtId="0" fontId="49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43" fontId="29" fillId="0" borderId="4" xfId="164" applyNumberFormat="1" applyBorder="1">
      <alignment vertical="center"/>
    </xf>
  </cellXfs>
  <cellStyles count="182">
    <cellStyle name="??&amp;O?&amp;H?_x0008__x000f__x0007_?_x0007__x0001__x0001_" xfId="2"/>
    <cellStyle name="??&amp;O?&amp;H?_x0008_??_x0007__x0001__x0001_" xfId="3"/>
    <cellStyle name="_나우콤반기조서2002.7.18" xfId="4"/>
    <cellStyle name="_분기조서(hds)" xfId="5"/>
    <cellStyle name="_정산표2Q" xfId="6"/>
    <cellStyle name="᠀ŀ" xfId="7"/>
    <cellStyle name="᠀ŀŀ䅀᠀ŀŀ䅀᠀ŀ" xfId="8"/>
    <cellStyle name="᠀ŀŀ䅀᠀ŀŀ䅀᠀ŀŀ䅀᠀ŀŀ䅀᠀ŀŀ䅀᠀ŀŀ䅀᠀ŀŀ䅀᠀ŀŀ䅀᠀ŀŀ䅀᠀ŀ" xfId="9"/>
    <cellStyle name="16" xfId="10"/>
    <cellStyle name="ÅëÈ­ [0]_´ë¿©±Ý" xfId="11"/>
    <cellStyle name="AeE­ [0]_°øAa¸eA|½AA≫" xfId="12"/>
    <cellStyle name="ÅëÈ­ [0]_INQUIRY ¿µ¾÷ÃßÁø " xfId="13"/>
    <cellStyle name="AeE­ [0]_INQUIRY ¿μ¾÷AßAø " xfId="14"/>
    <cellStyle name="ÅëÈ­_´ë¿©±Ý" xfId="15"/>
    <cellStyle name="AeE­_°øAa¸eA|½AA≫" xfId="16"/>
    <cellStyle name="ÅëÈ­_INQUIRY ¿µ¾÷ÃßÁø " xfId="17"/>
    <cellStyle name="AeE­_INQUIRY ¿μ¾÷AßAø " xfId="18"/>
    <cellStyle name="ÄÞ¸¶ [0]_´ë¿©±Ý" xfId="19"/>
    <cellStyle name="AÞ¸¶ [0]_½CAuCoE² " xfId="20"/>
    <cellStyle name="ÄÞ¸¶ [0]_INQUIRY ¿µ¾÷ÃßÁø " xfId="21"/>
    <cellStyle name="AÞ¸¶ [0]_INQUIRY ¿μ¾÷AßAø " xfId="22"/>
    <cellStyle name="ÄÞ¸¶_´ë¿©±Ý" xfId="23"/>
    <cellStyle name="AÞ¸¶_½CAuCoE² " xfId="24"/>
    <cellStyle name="ÄÞ¸¶_INQUIRY ¿µ¾÷ÃßÁø " xfId="25"/>
    <cellStyle name="AÞ¸¶_INQUIRY ¿μ¾÷AßAø " xfId="26"/>
    <cellStyle name="Ç¥ÁØ_´ç¿ùÀÚ±Ý¼öÁö" xfId="27"/>
    <cellStyle name="C￥AØ_¿μ¾÷CoE² " xfId="28"/>
    <cellStyle name="Ç¥ÁØ_»ç¾÷ºÎº° ÃÑ°è " xfId="29"/>
    <cellStyle name="C￥AØ_≫c¾÷ºIº° AN°e " xfId="30"/>
    <cellStyle name="Ç¥ÁØ_0N-HANDLING " xfId="31"/>
    <cellStyle name="C￥AØ_5-1±¤°i " xfId="32"/>
    <cellStyle name="Ç¥ÁØ_5-1±¤°í " xfId="33"/>
    <cellStyle name="C￥AØ_Æ÷ÆRCoE²" xfId="34"/>
    <cellStyle name="Ç¥ÁØ_Áý°èÇ¥(2¿ù) " xfId="35"/>
    <cellStyle name="C￥AØ_CoAo¹yAI °A¾×¿ⓒ½A " xfId="36"/>
    <cellStyle name="Ç¥ÁØ_Sheet1_¿µ¾÷ÇöÈ² " xfId="37"/>
    <cellStyle name="C￥AØ_Sheet1_¿μ¾÷CoE² " xfId="38"/>
    <cellStyle name="Ç¥ÁØ_Sheet1_0N-HANDLING " xfId="39"/>
    <cellStyle name="C￥AØ_Sheet1_Ay°eC￥(2¿u) " xfId="40"/>
    <cellStyle name="Ç¥ÁØ_Sheet1_Áý°èÇ¥(2¿ù) " xfId="41"/>
    <cellStyle name="category" xfId="42"/>
    <cellStyle name="choi" xfId="43"/>
    <cellStyle name="comma" xfId="44"/>
    <cellStyle name="Comma [0]" xfId="45"/>
    <cellStyle name="comma zerodec" xfId="46"/>
    <cellStyle name="Comma^ODCOS " xfId="47"/>
    <cellStyle name="Comma_ SG&amp;A Bridge " xfId="48"/>
    <cellStyle name="Currency [0]" xfId="49"/>
    <cellStyle name="Currency [0]?1" xfId="50"/>
    <cellStyle name="Currency [0]_ SG&amp;A Bridge " xfId="51"/>
    <cellStyle name="Currency_ SG&amp;A Bridge " xfId="52"/>
    <cellStyle name="Currency1" xfId="53"/>
    <cellStyle name="d" xfId="54"/>
    <cellStyle name="Date" xfId="55"/>
    <cellStyle name="Dezimal [0]_laroux" xfId="56"/>
    <cellStyle name="Dezimal_laroux" xfId="57"/>
    <cellStyle name="Dollar (zero dec)" xfId="58"/>
    <cellStyle name="Fixed" xfId="59"/>
    <cellStyle name="Grey" xfId="60"/>
    <cellStyle name="HEADER" xfId="61"/>
    <cellStyle name="Header1" xfId="62"/>
    <cellStyle name="Header2" xfId="63"/>
    <cellStyle name="Heading" xfId="64"/>
    <cellStyle name="HEADING1" xfId="65"/>
    <cellStyle name="HEADING2" xfId="66"/>
    <cellStyle name="Horizontal" xfId="67"/>
    <cellStyle name="Hyperlink" xfId="175"/>
    <cellStyle name="Input [yellow]" xfId="68"/>
    <cellStyle name="ŀ䅀᠀ŀŀ䅀᠀ŀŀ䅀᠀ŀŀ䅀᠀ŀŀ䅀᠀ŀŀ䅀᠀ŀ" xfId="69"/>
    <cellStyle name="ŀ䅀਀ŀŀ䅀᠀ŀŀ䅀਀ŀŀ䅀᠀ŀŀ䅀᠀ŀŀ䅀᠀ŀŀ䅀᠀ŀŀ䅀᠀ŀŀ䅀᠀ŀŀ䅀᠀ŀŀ䅀᠀ŀ" xfId="70"/>
    <cellStyle name="Matrix" xfId="71"/>
    <cellStyle name="Model" xfId="72"/>
    <cellStyle name="NEW" xfId="73"/>
    <cellStyle name="Normal - Style1" xfId="74"/>
    <cellStyle name="Normal 2" xfId="176"/>
    <cellStyle name="Normal_ SG&amp;A Bridge " xfId="75"/>
    <cellStyle name="Option" xfId="76"/>
    <cellStyle name="OptionHeading" xfId="77"/>
    <cellStyle name="Output Amounts" xfId="78"/>
    <cellStyle name="Output Column Headings" xfId="79"/>
    <cellStyle name="Output Line Items" xfId="80"/>
    <cellStyle name="Output Report Heading" xfId="81"/>
    <cellStyle name="Percent [2]" xfId="82"/>
    <cellStyle name="Percent_laroux" xfId="83"/>
    <cellStyle name="Standard_laroux" xfId="84"/>
    <cellStyle name="subhead" xfId="85"/>
    <cellStyle name="Total" xfId="86"/>
    <cellStyle name="Vertical" xfId="87"/>
    <cellStyle name="Währung [0]_laroux" xfId="88"/>
    <cellStyle name="Währung_laroux" xfId="89"/>
    <cellStyle name="고정소숫점" xfId="90"/>
    <cellStyle name="고정출력1" xfId="91"/>
    <cellStyle name="고정출력2" xfId="92"/>
    <cellStyle name="날짜" xfId="93"/>
    <cellStyle name="달러" xfId="94"/>
    <cellStyle name="뒤에 오는 하이퍼링크_01년손익종합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백분율 2" xfId="172"/>
    <cellStyle name="백분율 3" xfId="173"/>
    <cellStyle name="뷭?_BOOKSHIP" xfId="100"/>
    <cellStyle name="삼일-금지" xfId="101"/>
    <cellStyle name="삼일-입력" xfId="102"/>
    <cellStyle name="새귑[0]_롤痰삠悧 " xfId="103"/>
    <cellStyle name="새귑_롤痰삠悧 " xfId="104"/>
    <cellStyle name="숫자(R)" xfId="105"/>
    <cellStyle name="쉼표 [0]" xfId="164" builtinId="6"/>
    <cellStyle name="쉼표 [0] 11" xfId="106"/>
    <cellStyle name="쉼표 [0] 2" xfId="107"/>
    <cellStyle name="쉼표 [0] 2 2" xfId="108"/>
    <cellStyle name="쉼표 [0] 2 2 2" xfId="109"/>
    <cellStyle name="쉼표 [0] 2 2 3" xfId="174"/>
    <cellStyle name="쉼표 [0] 2 3" xfId="168"/>
    <cellStyle name="쉼표 [0] 2 4" xfId="181"/>
    <cellStyle name="쉼표 [0] 3" xfId="110"/>
    <cellStyle name="쉼표 [0] 3 2" xfId="170"/>
    <cellStyle name="쉼표 [0] 4" xfId="111"/>
    <cellStyle name="쉼표 [0] 4 2" xfId="178"/>
    <cellStyle name="쉼표 [0] 5" xfId="167"/>
    <cellStyle name="스타일 1" xfId="112"/>
    <cellStyle name="스타일 10" xfId="113"/>
    <cellStyle name="스타일 11" xfId="114"/>
    <cellStyle name="스타일 12" xfId="115"/>
    <cellStyle name="스타일 13" xfId="116"/>
    <cellStyle name="스타일 2" xfId="117"/>
    <cellStyle name="스타일 3" xfId="118"/>
    <cellStyle name="스타일 4" xfId="119"/>
    <cellStyle name="스타일 5" xfId="120"/>
    <cellStyle name="스타일 6" xfId="121"/>
    <cellStyle name="스타일 7" xfId="122"/>
    <cellStyle name="스타일 8" xfId="123"/>
    <cellStyle name="스타일 9" xfId="124"/>
    <cellStyle name="원" xfId="125"/>
    <cellStyle name="입력 2" xfId="126"/>
    <cellStyle name="자리수" xfId="127"/>
    <cellStyle name="자리수0" xfId="128"/>
    <cellStyle name="지정되지 않음" xfId="129"/>
    <cellStyle name="콤마 [0]_  종  합  " xfId="130"/>
    <cellStyle name="콤마_  종  합  " xfId="131"/>
    <cellStyle name="퍼센트" xfId="132"/>
    <cellStyle name="표준" xfId="0" builtinId="0"/>
    <cellStyle name="표준 10" xfId="133"/>
    <cellStyle name="표준 11" xfId="134"/>
    <cellStyle name="표준 12" xfId="135"/>
    <cellStyle name="표준 13" xfId="136"/>
    <cellStyle name="표준 14" xfId="137"/>
    <cellStyle name="표준 15" xfId="138"/>
    <cellStyle name="표준 16" xfId="1"/>
    <cellStyle name="표준 17" xfId="166"/>
    <cellStyle name="표준 18" xfId="180"/>
    <cellStyle name="표준 2" xfId="139"/>
    <cellStyle name="표준 2 2" xfId="140"/>
    <cellStyle name="표준 2 2 2" xfId="141"/>
    <cellStyle name="표준 2 2 2 2" xfId="142"/>
    <cellStyle name="표준 2 3" xfId="143"/>
    <cellStyle name="표준 2 4" xfId="144"/>
    <cellStyle name="표준 2 5" xfId="145"/>
    <cellStyle name="표준 2 6" xfId="146"/>
    <cellStyle name="표준 2 7" xfId="147"/>
    <cellStyle name="표준 2 8" xfId="148"/>
    <cellStyle name="표준 2 9" xfId="171"/>
    <cellStyle name="표준 3" xfId="149"/>
    <cellStyle name="표준 3 2" xfId="150"/>
    <cellStyle name="표준 3 3" xfId="151"/>
    <cellStyle name="표준 3 4" xfId="177"/>
    <cellStyle name="표준 4" xfId="152"/>
    <cellStyle name="표준 4 2" xfId="153"/>
    <cellStyle name="표준 5" xfId="154"/>
    <cellStyle name="표준 5 2" xfId="155"/>
    <cellStyle name="표준 5 3" xfId="179"/>
    <cellStyle name="표준 6" xfId="156"/>
    <cellStyle name="표준 6 2" xfId="157"/>
    <cellStyle name="표준 7" xfId="158"/>
    <cellStyle name="표준 8" xfId="159"/>
    <cellStyle name="표준 9" xfId="160"/>
    <cellStyle name="하이퍼링크" xfId="165" builtinId="8"/>
    <cellStyle name="하이퍼링크 2" xfId="169"/>
    <cellStyle name="합산" xfId="161"/>
    <cellStyle name="화폐기호" xfId="162"/>
    <cellStyle name="화폐기호0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4" sqref="B4"/>
    </sheetView>
  </sheetViews>
  <sheetFormatPr defaultRowHeight="17.399999999999999"/>
  <cols>
    <col min="1" max="2" width="13.59765625" customWidth="1"/>
    <col min="3" max="3" width="65.19921875" customWidth="1"/>
    <col min="4" max="4" width="13.59765625" customWidth="1"/>
  </cols>
  <sheetData>
    <row r="1" spans="1:4" ht="21" customHeight="1">
      <c r="A1" s="67" t="s">
        <v>25</v>
      </c>
      <c r="B1" s="67"/>
      <c r="C1" s="67"/>
      <c r="D1" s="67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5</v>
      </c>
      <c r="B3" s="3" t="s">
        <v>27</v>
      </c>
      <c r="C3" s="20" t="s">
        <v>26</v>
      </c>
      <c r="D3" s="1" t="s">
        <v>4</v>
      </c>
    </row>
  </sheetData>
  <mergeCells count="1">
    <mergeCell ref="A1:D1"/>
  </mergeCells>
  <phoneticPr fontId="30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C18" sqref="C18"/>
    </sheetView>
  </sheetViews>
  <sheetFormatPr defaultRowHeight="17.399999999999999"/>
  <cols>
    <col min="1" max="1" width="6.19921875" style="29" customWidth="1"/>
    <col min="2" max="2" width="7.3984375" style="26" customWidth="1"/>
    <col min="3" max="3" width="14.19921875" style="26" customWidth="1"/>
    <col min="4" max="4" width="15.09765625" style="26" customWidth="1"/>
    <col min="5" max="5" width="20.796875" style="26" customWidth="1"/>
    <col min="6" max="6" width="17.796875" style="26" customWidth="1"/>
    <col min="7" max="8" width="8.796875" style="26"/>
    <col min="9" max="9" width="18" style="26" customWidth="1"/>
    <col min="10" max="16384" width="8.796875" style="26"/>
  </cols>
  <sheetData>
    <row r="2" spans="1:6">
      <c r="A2" s="45" t="s">
        <v>163</v>
      </c>
      <c r="B2" s="25" t="s">
        <v>162</v>
      </c>
      <c r="C2" s="25" t="s">
        <v>30</v>
      </c>
      <c r="D2" s="25" t="s">
        <v>31</v>
      </c>
      <c r="E2" s="25" t="s">
        <v>51</v>
      </c>
      <c r="F2" s="25" t="s">
        <v>72</v>
      </c>
    </row>
    <row r="3" spans="1:6">
      <c r="A3" s="45" t="s">
        <v>32</v>
      </c>
      <c r="B3" s="27">
        <v>20.12</v>
      </c>
      <c r="C3" s="28">
        <f>'202012'!D11/60%</f>
        <v>30365676.666666668</v>
      </c>
      <c r="D3" s="28">
        <v>21000000</v>
      </c>
      <c r="E3" s="28">
        <f>D3*0.15</f>
        <v>3150000</v>
      </c>
      <c r="F3" s="28">
        <f>E3*0.5</f>
        <v>1575000</v>
      </c>
    </row>
    <row r="4" spans="1:6">
      <c r="A4" s="45" t="s">
        <v>33</v>
      </c>
      <c r="B4" s="27">
        <v>21.01</v>
      </c>
      <c r="C4" s="28">
        <f>'202101'!D12/60%</f>
        <v>39100448.333333336</v>
      </c>
      <c r="D4" s="28">
        <v>23460269</v>
      </c>
      <c r="E4" s="28">
        <f>'202101'!G12</f>
        <v>3519040.35</v>
      </c>
      <c r="F4" s="28">
        <f>'202101'!H12</f>
        <v>1759520.175</v>
      </c>
    </row>
    <row r="5" spans="1:6">
      <c r="A5" s="45" t="s">
        <v>57</v>
      </c>
      <c r="B5" s="27">
        <v>21.02</v>
      </c>
      <c r="C5" s="28">
        <f>'202102'!D11/60%</f>
        <v>31177463.333333336</v>
      </c>
      <c r="D5" s="28">
        <f>'202102'!F12</f>
        <v>18706478</v>
      </c>
      <c r="E5" s="28">
        <f>'202102'!G12</f>
        <v>2805971.6999999997</v>
      </c>
      <c r="F5" s="28">
        <f>'202102'!H12</f>
        <v>1402985.8499999999</v>
      </c>
    </row>
    <row r="6" spans="1:6">
      <c r="A6" s="45" t="s">
        <v>58</v>
      </c>
      <c r="B6" s="27">
        <v>21.03</v>
      </c>
      <c r="C6" s="28">
        <f>'202103'!D11/60%</f>
        <v>33952471.666666672</v>
      </c>
      <c r="D6" s="28">
        <f>'202103'!F12</f>
        <v>20371483</v>
      </c>
      <c r="E6" s="28">
        <f t="shared" ref="E6:E11" si="0">D6*15%</f>
        <v>3055722.4499999997</v>
      </c>
      <c r="F6" s="28">
        <f t="shared" ref="F6:F12" si="1">ROUND(E6*50%,0)</f>
        <v>1527861</v>
      </c>
    </row>
    <row r="7" spans="1:6">
      <c r="A7" s="45" t="s">
        <v>67</v>
      </c>
      <c r="B7" s="27">
        <v>21.04</v>
      </c>
      <c r="C7" s="28">
        <f>'202104'!D11/60%</f>
        <v>19149570</v>
      </c>
      <c r="D7" s="28">
        <f>'202104'!F12</f>
        <v>11489742</v>
      </c>
      <c r="E7" s="28">
        <f t="shared" si="0"/>
        <v>1723461.3</v>
      </c>
      <c r="F7" s="28">
        <f t="shared" si="1"/>
        <v>861731</v>
      </c>
    </row>
    <row r="8" spans="1:6">
      <c r="A8" s="45" t="s">
        <v>71</v>
      </c>
      <c r="B8" s="27">
        <v>21.05</v>
      </c>
      <c r="C8" s="28">
        <f>'202105'!D11/60%</f>
        <v>28206771.666666668</v>
      </c>
      <c r="D8" s="28">
        <f>'202105'!F11</f>
        <v>16924063</v>
      </c>
      <c r="E8" s="28">
        <f t="shared" si="0"/>
        <v>2538609.4499999997</v>
      </c>
      <c r="F8" s="28">
        <f t="shared" si="1"/>
        <v>1269305</v>
      </c>
    </row>
    <row r="9" spans="1:6">
      <c r="A9" s="45" t="s">
        <v>79</v>
      </c>
      <c r="B9" s="27">
        <v>21.06</v>
      </c>
      <c r="C9" s="28">
        <f>'202106'!D11/60%</f>
        <v>24224636.666666668</v>
      </c>
      <c r="D9" s="28">
        <f>'202106'!F11</f>
        <v>14534782</v>
      </c>
      <c r="E9" s="28">
        <f t="shared" si="0"/>
        <v>2180217.2999999998</v>
      </c>
      <c r="F9" s="28">
        <f t="shared" si="1"/>
        <v>1090109</v>
      </c>
    </row>
    <row r="10" spans="1:6">
      <c r="A10" s="45" t="s">
        <v>92</v>
      </c>
      <c r="B10" s="27">
        <v>21.07</v>
      </c>
      <c r="C10" s="28">
        <f>'202107'!D6/60%</f>
        <v>23985425</v>
      </c>
      <c r="D10" s="28">
        <f>'202107'!F6</f>
        <v>17391255</v>
      </c>
      <c r="E10" s="28">
        <f t="shared" si="0"/>
        <v>2608688.25</v>
      </c>
      <c r="F10" s="28">
        <f t="shared" si="1"/>
        <v>1304344</v>
      </c>
    </row>
    <row r="11" spans="1:6">
      <c r="A11" s="45" t="s">
        <v>104</v>
      </c>
      <c r="B11" s="27">
        <v>21.08</v>
      </c>
      <c r="C11" s="28">
        <f>'202108'!D7/60%</f>
        <v>37596578.333333336</v>
      </c>
      <c r="D11" s="28">
        <f>'202108'!F7</f>
        <v>32557947</v>
      </c>
      <c r="E11" s="28">
        <f t="shared" si="0"/>
        <v>4883692.05</v>
      </c>
      <c r="F11" s="28">
        <f t="shared" si="1"/>
        <v>2441846</v>
      </c>
    </row>
    <row r="12" spans="1:6" ht="16.8" customHeight="1">
      <c r="A12" s="29" t="s">
        <v>119</v>
      </c>
      <c r="B12" s="27">
        <v>21.09</v>
      </c>
      <c r="C12" s="28">
        <f>D12/60%</f>
        <v>38193683.333333336</v>
      </c>
      <c r="D12" s="28">
        <f>'202109'!F9</f>
        <v>22916210</v>
      </c>
      <c r="E12" s="28">
        <f>'202109'!G9</f>
        <v>3437431.5</v>
      </c>
      <c r="F12" s="28">
        <f t="shared" si="1"/>
        <v>1718716</v>
      </c>
    </row>
    <row r="13" spans="1:6">
      <c r="A13" s="29" t="s">
        <v>120</v>
      </c>
      <c r="B13" s="68" t="s">
        <v>121</v>
      </c>
      <c r="C13" s="69"/>
      <c r="D13" s="69"/>
      <c r="E13" s="69"/>
      <c r="F13" s="55">
        <f>F12-F11</f>
        <v>-723130</v>
      </c>
    </row>
    <row r="14" spans="1:6" ht="16.8" customHeight="1">
      <c r="A14" s="29" t="s">
        <v>120</v>
      </c>
      <c r="B14" s="61" t="s">
        <v>140</v>
      </c>
      <c r="C14" s="28">
        <f>SUM('202110'!D4+'202110'!E4+'202110'!F5)/60%</f>
        <v>43083785</v>
      </c>
      <c r="D14" s="28">
        <f>'202110'!H4+'202110'!H5</f>
        <v>25850271</v>
      </c>
      <c r="E14" s="28">
        <f>'202110'!I4+'202110'!I5</f>
        <v>3877540.65</v>
      </c>
      <c r="F14" s="28">
        <f t="shared" ref="F14" si="2">ROUND(E14*50%,0)</f>
        <v>1938770</v>
      </c>
    </row>
    <row r="15" spans="1:6" ht="16.8" customHeight="1">
      <c r="A15" s="29" t="s">
        <v>159</v>
      </c>
      <c r="B15" s="61">
        <v>21.11</v>
      </c>
      <c r="C15" s="28">
        <f>SUM('202111'!H8)/60%</f>
        <v>35053060</v>
      </c>
      <c r="D15" s="28">
        <f>'202111'!H8</f>
        <v>21031836</v>
      </c>
      <c r="E15" s="28">
        <f>'202111'!I8</f>
        <v>3154775.4</v>
      </c>
      <c r="F15" s="28">
        <f>'202111'!J8</f>
        <v>1577387.7</v>
      </c>
    </row>
    <row r="16" spans="1:6" ht="16.8" customHeight="1">
      <c r="A16" s="29" t="s">
        <v>32</v>
      </c>
      <c r="B16" s="61">
        <v>21.12</v>
      </c>
      <c r="C16" s="79">
        <f>D16/60%</f>
        <v>43258693.333333336</v>
      </c>
      <c r="D16" s="28">
        <f>'202112'!H8</f>
        <v>25955216</v>
      </c>
      <c r="E16" s="28">
        <f>'202112'!I8</f>
        <v>3893282.4</v>
      </c>
      <c r="F16" s="28">
        <f>'202112'!J8</f>
        <v>1946641.2</v>
      </c>
    </row>
  </sheetData>
  <mergeCells count="1">
    <mergeCell ref="B13:E13"/>
  </mergeCells>
  <phoneticPr fontId="30" type="noConversion"/>
  <pageMargins left="0.7" right="0.7" top="0.75" bottom="0.75" header="0.3" footer="0.3"/>
  <ignoredErrors>
    <ignoredError sqref="B14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zoomScale="85" zoomScaleNormal="85" workbookViewId="0">
      <selection activeCell="L24" sqref="L24"/>
    </sheetView>
  </sheetViews>
  <sheetFormatPr defaultRowHeight="17.399999999999999"/>
  <cols>
    <col min="1" max="1" width="12" style="34" customWidth="1"/>
    <col min="2" max="2" width="20.69921875" style="34" customWidth="1"/>
    <col min="3" max="8" width="19.5976562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0" s="30" customFormat="1">
      <c r="A2" s="73" t="s">
        <v>23</v>
      </c>
      <c r="B2" s="73"/>
      <c r="C2" s="73"/>
      <c r="D2" s="73"/>
    </row>
    <row r="3" spans="1:10">
      <c r="A3" s="38" t="s">
        <v>34</v>
      </c>
      <c r="B3" s="38" t="s">
        <v>38</v>
      </c>
      <c r="C3" s="38" t="s">
        <v>39</v>
      </c>
      <c r="D3" s="56" t="s">
        <v>125</v>
      </c>
      <c r="E3" s="56" t="s">
        <v>126</v>
      </c>
      <c r="F3" s="56" t="s">
        <v>127</v>
      </c>
      <c r="G3" s="38" t="s">
        <v>160</v>
      </c>
      <c r="H3" s="38" t="s">
        <v>42</v>
      </c>
      <c r="I3" s="38" t="s">
        <v>85</v>
      </c>
      <c r="J3" s="38" t="s">
        <v>49</v>
      </c>
    </row>
    <row r="4" spans="1:10">
      <c r="A4" s="35">
        <v>202112</v>
      </c>
      <c r="B4" s="35" t="s">
        <v>131</v>
      </c>
      <c r="C4" s="57">
        <v>4000000</v>
      </c>
      <c r="D4" s="57">
        <v>19571773</v>
      </c>
      <c r="E4" s="57">
        <v>2833587</v>
      </c>
      <c r="F4" s="58"/>
      <c r="G4" s="13">
        <f>(D4+E4)-C4</f>
        <v>18405360</v>
      </c>
      <c r="H4" s="13">
        <f>(C4+G4)</f>
        <v>22405360</v>
      </c>
      <c r="I4" s="13">
        <f>H4*0.15</f>
        <v>3360804</v>
      </c>
      <c r="J4" s="13">
        <f>I4*50%</f>
        <v>1680402</v>
      </c>
    </row>
    <row r="5" spans="1:10">
      <c r="A5" s="35">
        <v>202111</v>
      </c>
      <c r="B5" s="48" t="s">
        <v>113</v>
      </c>
      <c r="C5" s="58"/>
      <c r="D5" s="58"/>
      <c r="E5" s="58"/>
      <c r="F5" s="59">
        <v>3549856</v>
      </c>
      <c r="G5" s="58"/>
      <c r="H5" s="13">
        <f>F5</f>
        <v>3549856</v>
      </c>
      <c r="I5" s="13">
        <f>H5*0.15</f>
        <v>532478.4</v>
      </c>
      <c r="J5" s="13">
        <f>I5*50%</f>
        <v>266239.2</v>
      </c>
    </row>
    <row r="6" spans="1:10">
      <c r="A6" s="35" t="s">
        <v>97</v>
      </c>
      <c r="B6" s="48" t="s">
        <v>161</v>
      </c>
      <c r="C6" s="58"/>
      <c r="D6" s="58"/>
      <c r="E6" s="58"/>
      <c r="F6" s="60">
        <v>0</v>
      </c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0">
      <c r="A7" s="35" t="s">
        <v>97</v>
      </c>
      <c r="B7" s="48" t="s">
        <v>112</v>
      </c>
      <c r="C7" s="58"/>
      <c r="D7" s="58"/>
      <c r="E7" s="58"/>
      <c r="F7" s="60">
        <v>0</v>
      </c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0">
      <c r="A8" s="40" t="s">
        <v>44</v>
      </c>
      <c r="B8" s="41"/>
      <c r="C8" s="13">
        <f>SUM(C3:C7)</f>
        <v>4000000</v>
      </c>
      <c r="D8" s="13">
        <f>SUM(D3:D7)</f>
        <v>19571773</v>
      </c>
      <c r="E8" s="13"/>
      <c r="F8" s="13">
        <f>SUM(F3:F7)</f>
        <v>3549856</v>
      </c>
      <c r="G8" s="13">
        <f>SUM(G3:G7)</f>
        <v>18405360</v>
      </c>
      <c r="H8" s="13">
        <f>SUM(H3:H7)</f>
        <v>25955216</v>
      </c>
      <c r="I8" s="14">
        <f>SUM(I3:I7)</f>
        <v>3893282.4</v>
      </c>
      <c r="J8" s="14">
        <f>SUM(J4:J7)</f>
        <v>1946641.2</v>
      </c>
    </row>
    <row r="10" spans="1:10" ht="11.25" customHeight="1">
      <c r="A10" s="71" t="s">
        <v>45</v>
      </c>
      <c r="B10" s="71"/>
      <c r="C10" s="71"/>
      <c r="D10" s="71"/>
      <c r="E10" s="71"/>
      <c r="F10" s="71"/>
      <c r="G10" s="37"/>
      <c r="H10" s="37"/>
      <c r="J10" s="43"/>
    </row>
    <row r="11" spans="1:10" ht="11.25" customHeight="1">
      <c r="A11" s="71" t="s">
        <v>46</v>
      </c>
      <c r="B11" s="71"/>
      <c r="C11" s="71"/>
      <c r="D11" s="71"/>
      <c r="E11" s="71"/>
      <c r="F11" s="71"/>
      <c r="G11" s="37"/>
      <c r="H11" s="37"/>
      <c r="J11" s="43"/>
    </row>
    <row r="12" spans="1:10" s="43" customFormat="1" ht="11.25" customHeight="1">
      <c r="A12" s="74" t="s">
        <v>47</v>
      </c>
      <c r="B12" s="74"/>
      <c r="C12" s="74"/>
      <c r="D12" s="74"/>
      <c r="E12" s="74"/>
      <c r="F12" s="74"/>
      <c r="G12" s="42"/>
      <c r="H12" s="42"/>
      <c r="J12" s="26"/>
    </row>
    <row r="13" spans="1:10" s="43" customFormat="1" ht="11.25" customHeight="1">
      <c r="A13" s="70" t="s">
        <v>19</v>
      </c>
      <c r="B13" s="70"/>
      <c r="C13" s="70"/>
      <c r="D13" s="70"/>
      <c r="E13" s="70"/>
      <c r="F13" s="70"/>
      <c r="G13" s="70"/>
      <c r="H13" s="42"/>
      <c r="J13" s="26"/>
    </row>
    <row r="14" spans="1:10" ht="11.25" customHeight="1">
      <c r="A14" s="71" t="s">
        <v>24</v>
      </c>
      <c r="B14" s="71"/>
      <c r="C14" s="71"/>
      <c r="D14" s="71"/>
      <c r="E14" s="71"/>
      <c r="F14" s="71"/>
      <c r="G14" s="37"/>
      <c r="H14" s="37"/>
    </row>
    <row r="15" spans="1:10" ht="11.25" customHeight="1">
      <c r="A15" s="72" t="s">
        <v>118</v>
      </c>
      <c r="B15" s="72"/>
      <c r="C15" s="72"/>
      <c r="D15" s="72"/>
      <c r="E15" s="72"/>
      <c r="F15" s="72"/>
      <c r="G15" s="53"/>
      <c r="H15" s="54"/>
    </row>
    <row r="16" spans="1:10">
      <c r="G16" s="33"/>
      <c r="H16" s="33"/>
    </row>
  </sheetData>
  <mergeCells count="7">
    <mergeCell ref="A13:G13"/>
    <mergeCell ref="A14:F14"/>
    <mergeCell ref="A15:F15"/>
    <mergeCell ref="A2:D2"/>
    <mergeCell ref="A10:F10"/>
    <mergeCell ref="A11:F11"/>
    <mergeCell ref="A12:F12"/>
  </mergeCells>
  <phoneticPr fontId="3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workbookViewId="0">
      <selection activeCell="J1" sqref="J1:J1048576"/>
    </sheetView>
  </sheetViews>
  <sheetFormatPr defaultRowHeight="17.399999999999999"/>
  <cols>
    <col min="1" max="1" width="12" style="34" customWidth="1"/>
    <col min="2" max="2" width="20.69921875" style="34" customWidth="1"/>
    <col min="3" max="3" width="18.296875" style="34" customWidth="1"/>
    <col min="4" max="4" width="18" style="34" customWidth="1"/>
    <col min="5" max="5" width="18.3984375" style="34" customWidth="1"/>
    <col min="6" max="6" width="17" style="34" customWidth="1"/>
    <col min="7" max="7" width="16.8984375" style="34" customWidth="1"/>
    <col min="8" max="8" width="17.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0" s="30" customFormat="1">
      <c r="A2" s="73" t="s">
        <v>23</v>
      </c>
      <c r="B2" s="73"/>
      <c r="C2" s="73"/>
      <c r="D2" s="73"/>
    </row>
    <row r="3" spans="1:10">
      <c r="A3" s="38" t="s">
        <v>6</v>
      </c>
      <c r="B3" s="38" t="s">
        <v>68</v>
      </c>
      <c r="C3" s="38" t="s">
        <v>81</v>
      </c>
      <c r="D3" s="56" t="s">
        <v>144</v>
      </c>
      <c r="E3" s="56" t="s">
        <v>145</v>
      </c>
      <c r="F3" s="56" t="s">
        <v>146</v>
      </c>
      <c r="G3" s="38" t="s">
        <v>83</v>
      </c>
      <c r="H3" s="38" t="s">
        <v>84</v>
      </c>
      <c r="I3" s="38" t="s">
        <v>21</v>
      </c>
      <c r="J3" s="38" t="s">
        <v>49</v>
      </c>
    </row>
    <row r="4" spans="1:10">
      <c r="A4" s="35">
        <v>202111</v>
      </c>
      <c r="B4" s="35" t="s">
        <v>147</v>
      </c>
      <c r="C4" s="57">
        <v>5000000</v>
      </c>
      <c r="D4" s="57">
        <v>13179720</v>
      </c>
      <c r="E4" s="57">
        <v>3776434</v>
      </c>
      <c r="F4" s="58"/>
      <c r="G4" s="13">
        <f>(D4+E4)-C4</f>
        <v>11956154</v>
      </c>
      <c r="H4" s="13">
        <f>(C4+G4)</f>
        <v>16956154</v>
      </c>
      <c r="I4" s="13">
        <f>H4*0.15</f>
        <v>2543423.1</v>
      </c>
      <c r="J4" s="13">
        <f>I4*50%</f>
        <v>1271711.55</v>
      </c>
    </row>
    <row r="5" spans="1:10">
      <c r="A5" s="35">
        <v>202110</v>
      </c>
      <c r="B5" s="48" t="s">
        <v>148</v>
      </c>
      <c r="C5" s="58"/>
      <c r="D5" s="58"/>
      <c r="E5" s="58"/>
      <c r="F5" s="59">
        <v>4075682</v>
      </c>
      <c r="G5" s="58"/>
      <c r="H5" s="13">
        <f>F5</f>
        <v>4075682</v>
      </c>
      <c r="I5" s="13">
        <f>H5*0.15</f>
        <v>611352.29999999993</v>
      </c>
      <c r="J5" s="13">
        <f>I5*50%</f>
        <v>305676.14999999997</v>
      </c>
    </row>
    <row r="6" spans="1:10">
      <c r="A6" s="35" t="s">
        <v>149</v>
      </c>
      <c r="B6" s="48" t="s">
        <v>150</v>
      </c>
      <c r="C6" s="58"/>
      <c r="D6" s="58"/>
      <c r="E6" s="58"/>
      <c r="F6" s="60">
        <v>0</v>
      </c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0">
      <c r="A7" s="35" t="s">
        <v>151</v>
      </c>
      <c r="B7" s="48" t="s">
        <v>152</v>
      </c>
      <c r="C7" s="58"/>
      <c r="D7" s="58"/>
      <c r="E7" s="58"/>
      <c r="F7" s="60">
        <v>0</v>
      </c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0">
      <c r="A8" s="40" t="s">
        <v>153</v>
      </c>
      <c r="B8" s="41"/>
      <c r="C8" s="13">
        <f>SUM(C3:C7)</f>
        <v>5000000</v>
      </c>
      <c r="D8" s="13">
        <f>SUM(D3:D7)</f>
        <v>13179720</v>
      </c>
      <c r="E8" s="13"/>
      <c r="F8" s="13">
        <f>SUM(F3:F7)</f>
        <v>4075682</v>
      </c>
      <c r="G8" s="13">
        <f>SUM(G3:G7)</f>
        <v>11956154</v>
      </c>
      <c r="H8" s="13">
        <f>SUM(H3:H7)</f>
        <v>21031836</v>
      </c>
      <c r="I8" s="14">
        <f>SUM(I3:I7)</f>
        <v>3154775.4</v>
      </c>
      <c r="J8" s="14">
        <f>SUM(J4:J7)</f>
        <v>1577387.7</v>
      </c>
    </row>
    <row r="10" spans="1:10" ht="11.25" customHeight="1">
      <c r="A10" s="71" t="s">
        <v>154</v>
      </c>
      <c r="B10" s="71"/>
      <c r="C10" s="71"/>
      <c r="D10" s="71"/>
      <c r="E10" s="71"/>
      <c r="F10" s="71"/>
      <c r="G10" s="37"/>
      <c r="H10" s="37"/>
      <c r="J10" s="43"/>
    </row>
    <row r="11" spans="1:10" ht="11.25" customHeight="1">
      <c r="A11" s="71" t="s">
        <v>155</v>
      </c>
      <c r="B11" s="71"/>
      <c r="C11" s="71"/>
      <c r="D11" s="71"/>
      <c r="E11" s="71"/>
      <c r="F11" s="71"/>
      <c r="G11" s="37"/>
      <c r="H11" s="37"/>
      <c r="J11" s="43"/>
    </row>
    <row r="12" spans="1:10" s="43" customFormat="1" ht="11.25" customHeight="1">
      <c r="A12" s="74" t="s">
        <v>156</v>
      </c>
      <c r="B12" s="74"/>
      <c r="C12" s="74"/>
      <c r="D12" s="74"/>
      <c r="E12" s="74"/>
      <c r="F12" s="74"/>
      <c r="G12" s="42"/>
      <c r="H12" s="42"/>
      <c r="J12" s="26"/>
    </row>
    <row r="13" spans="1:10" s="43" customFormat="1" ht="11.25" customHeight="1">
      <c r="A13" s="70" t="s">
        <v>19</v>
      </c>
      <c r="B13" s="70"/>
      <c r="C13" s="70"/>
      <c r="D13" s="70"/>
      <c r="E13" s="70"/>
      <c r="F13" s="70"/>
      <c r="G13" s="70"/>
      <c r="H13" s="42"/>
      <c r="J13" s="26"/>
    </row>
    <row r="14" spans="1:10" ht="11.25" customHeight="1">
      <c r="A14" s="71" t="s">
        <v>157</v>
      </c>
      <c r="B14" s="71"/>
      <c r="C14" s="71"/>
      <c r="D14" s="71"/>
      <c r="E14" s="71"/>
      <c r="F14" s="71"/>
      <c r="G14" s="37"/>
      <c r="H14" s="37"/>
    </row>
    <row r="15" spans="1:10" ht="11.25" customHeight="1">
      <c r="A15" s="72" t="s">
        <v>158</v>
      </c>
      <c r="B15" s="72"/>
      <c r="C15" s="72"/>
      <c r="D15" s="72"/>
      <c r="E15" s="72"/>
      <c r="F15" s="72"/>
      <c r="G15" s="53"/>
      <c r="H15" s="54"/>
    </row>
    <row r="16" spans="1:10">
      <c r="G16" s="33"/>
      <c r="H16" s="33"/>
    </row>
  </sheetData>
  <mergeCells count="7">
    <mergeCell ref="A13:G13"/>
    <mergeCell ref="A14:F14"/>
    <mergeCell ref="A15:F15"/>
    <mergeCell ref="A2:D2"/>
    <mergeCell ref="A10:F10"/>
    <mergeCell ref="A11:F11"/>
    <mergeCell ref="A12:F12"/>
  </mergeCells>
  <phoneticPr fontId="3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zoomScale="81" zoomScaleNormal="81" workbookViewId="0">
      <selection activeCell="D4" sqref="D4:E4"/>
    </sheetView>
  </sheetViews>
  <sheetFormatPr defaultRowHeight="17.399999999999999"/>
  <cols>
    <col min="1" max="1" width="12" style="34" customWidth="1"/>
    <col min="2" max="2" width="20.69921875" style="34" customWidth="1"/>
    <col min="3" max="8" width="19.59765625" style="34" customWidth="1"/>
    <col min="9" max="9" width="19.59765625" style="26" customWidth="1"/>
    <col min="10" max="10" width="19.19921875" style="26" customWidth="1"/>
    <col min="11" max="16384" width="8.796875" style="26"/>
  </cols>
  <sheetData>
    <row r="2" spans="1:11" s="30" customFormat="1">
      <c r="A2" s="73" t="s">
        <v>23</v>
      </c>
      <c r="B2" s="73"/>
      <c r="C2" s="73"/>
      <c r="D2" s="73"/>
    </row>
    <row r="3" spans="1:11">
      <c r="A3" s="38" t="s">
        <v>122</v>
      </c>
      <c r="B3" s="38" t="s">
        <v>123</v>
      </c>
      <c r="C3" s="38" t="s">
        <v>124</v>
      </c>
      <c r="D3" s="56" t="s">
        <v>125</v>
      </c>
      <c r="E3" s="56" t="s">
        <v>126</v>
      </c>
      <c r="F3" s="56" t="s">
        <v>127</v>
      </c>
      <c r="G3" s="38" t="s">
        <v>128</v>
      </c>
      <c r="H3" s="38" t="s">
        <v>129</v>
      </c>
      <c r="I3" s="38" t="s">
        <v>130</v>
      </c>
      <c r="J3" s="38" t="s">
        <v>49</v>
      </c>
    </row>
    <row r="4" spans="1:11">
      <c r="A4" s="35">
        <v>202110</v>
      </c>
      <c r="B4" s="35" t="s">
        <v>131</v>
      </c>
      <c r="C4" s="57">
        <v>4000000</v>
      </c>
      <c r="D4" s="57">
        <v>15856096</v>
      </c>
      <c r="E4" s="57">
        <v>8559674</v>
      </c>
      <c r="F4" s="58"/>
      <c r="G4" s="13">
        <f>(D4+E4)-C4</f>
        <v>20415770</v>
      </c>
      <c r="H4" s="13">
        <f>(C4+G4)</f>
        <v>24415770</v>
      </c>
      <c r="I4" s="13">
        <f>H4*0.15</f>
        <v>3662365.5</v>
      </c>
      <c r="J4" s="13">
        <f>I4*50%</f>
        <v>1831182.75</v>
      </c>
    </row>
    <row r="5" spans="1:11">
      <c r="A5" s="35">
        <v>202109</v>
      </c>
      <c r="B5" s="48" t="s">
        <v>132</v>
      </c>
      <c r="C5" s="58"/>
      <c r="D5" s="58"/>
      <c r="E5" s="58"/>
      <c r="F5" s="59">
        <v>1434501</v>
      </c>
      <c r="G5" s="58"/>
      <c r="H5" s="13">
        <f>F5</f>
        <v>1434501</v>
      </c>
      <c r="I5" s="13">
        <f>H5*0.15</f>
        <v>215175.15</v>
      </c>
      <c r="J5" s="13">
        <f>I5*50%</f>
        <v>107587.575</v>
      </c>
    </row>
    <row r="6" spans="1:11">
      <c r="A6" s="35" t="s">
        <v>133</v>
      </c>
      <c r="B6" s="48" t="s">
        <v>134</v>
      </c>
      <c r="C6" s="58"/>
      <c r="D6" s="58"/>
      <c r="E6" s="58"/>
      <c r="F6" s="60"/>
      <c r="G6" s="58"/>
      <c r="H6" s="13">
        <f t="shared" ref="H6:H7" si="0">(D6+G6)</f>
        <v>0</v>
      </c>
      <c r="I6" s="13">
        <f t="shared" ref="I6:I7" si="1">H6*0.2</f>
        <v>0</v>
      </c>
      <c r="J6" s="13">
        <f t="shared" ref="J6:J7" si="2">I6*50%</f>
        <v>0</v>
      </c>
    </row>
    <row r="7" spans="1:11">
      <c r="A7" s="35" t="s">
        <v>133</v>
      </c>
      <c r="B7" s="48" t="s">
        <v>135</v>
      </c>
      <c r="C7" s="58"/>
      <c r="D7" s="58"/>
      <c r="E7" s="58"/>
      <c r="F7" s="60"/>
      <c r="G7" s="58"/>
      <c r="H7" s="13">
        <f t="shared" si="0"/>
        <v>0</v>
      </c>
      <c r="I7" s="13">
        <f t="shared" si="1"/>
        <v>0</v>
      </c>
      <c r="J7" s="13">
        <f t="shared" si="2"/>
        <v>0</v>
      </c>
    </row>
    <row r="8" spans="1:11">
      <c r="A8" s="62">
        <v>202109</v>
      </c>
      <c r="B8" s="63" t="s">
        <v>55</v>
      </c>
      <c r="C8" s="64">
        <v>4000000</v>
      </c>
      <c r="D8" s="64">
        <v>15348979</v>
      </c>
      <c r="E8" s="64"/>
      <c r="F8" s="65"/>
      <c r="G8" s="64">
        <f>D8-C8</f>
        <v>11348979</v>
      </c>
      <c r="H8" s="66">
        <f>C8+G8</f>
        <v>15348979</v>
      </c>
      <c r="I8" s="66">
        <v>2302346.85</v>
      </c>
      <c r="J8" s="66">
        <f>I8*50%</f>
        <v>1151173.425</v>
      </c>
      <c r="K8" s="26" t="s">
        <v>143</v>
      </c>
    </row>
    <row r="9" spans="1:11">
      <c r="A9" s="62">
        <v>202109</v>
      </c>
      <c r="B9" s="63" t="s">
        <v>109</v>
      </c>
      <c r="C9" s="64"/>
      <c r="D9" s="64"/>
      <c r="E9" s="64">
        <v>6043452</v>
      </c>
      <c r="F9" s="65"/>
      <c r="G9" s="64"/>
      <c r="H9" s="66">
        <f>E9</f>
        <v>6043452</v>
      </c>
      <c r="I9" s="66">
        <v>906517.79999999993</v>
      </c>
      <c r="J9" s="66">
        <f>I9*50%</f>
        <v>453258.89999999997</v>
      </c>
      <c r="K9" s="26" t="s">
        <v>143</v>
      </c>
    </row>
    <row r="10" spans="1:11">
      <c r="A10" s="62">
        <v>202109</v>
      </c>
      <c r="B10" s="63" t="s">
        <v>141</v>
      </c>
      <c r="C10" s="64">
        <v>1523779</v>
      </c>
      <c r="D10" s="64"/>
      <c r="E10" s="64"/>
      <c r="F10" s="65"/>
      <c r="G10" s="64"/>
      <c r="H10" s="66">
        <f>C10</f>
        <v>1523779</v>
      </c>
      <c r="I10" s="66">
        <v>228566.85</v>
      </c>
      <c r="J10" s="66">
        <f>I10*50%</f>
        <v>114283.425</v>
      </c>
      <c r="K10" s="26" t="s">
        <v>143</v>
      </c>
    </row>
    <row r="11" spans="1:11">
      <c r="A11" s="62">
        <v>202108</v>
      </c>
      <c r="B11" s="63" t="s">
        <v>55</v>
      </c>
      <c r="C11" s="64">
        <v>-5000000</v>
      </c>
      <c r="D11" s="64">
        <v>-22557947</v>
      </c>
      <c r="E11" s="64"/>
      <c r="F11" s="65"/>
      <c r="G11" s="64">
        <f>D11-C11</f>
        <v>-17557947</v>
      </c>
      <c r="H11" s="66">
        <f>G11+C11</f>
        <v>-22557947</v>
      </c>
      <c r="I11" s="66">
        <v>-3383692.05</v>
      </c>
      <c r="J11" s="66">
        <v>-1691846.0249999999</v>
      </c>
      <c r="K11" s="26" t="s">
        <v>143</v>
      </c>
    </row>
    <row r="12" spans="1:11">
      <c r="A12" s="62">
        <v>202108</v>
      </c>
      <c r="B12" s="63" t="s">
        <v>142</v>
      </c>
      <c r="C12" s="64">
        <v>-10000000</v>
      </c>
      <c r="D12" s="64"/>
      <c r="E12" s="64"/>
      <c r="F12" s="65"/>
      <c r="G12" s="64"/>
      <c r="H12" s="66">
        <f>C12</f>
        <v>-10000000</v>
      </c>
      <c r="I12" s="66">
        <v>-1500000</v>
      </c>
      <c r="J12" s="66">
        <v>-750000</v>
      </c>
      <c r="K12" s="26" t="s">
        <v>143</v>
      </c>
    </row>
    <row r="13" spans="1:11">
      <c r="A13" s="40" t="s">
        <v>136</v>
      </c>
      <c r="B13" s="41"/>
      <c r="C13" s="13">
        <f t="shared" ref="C13:H13" si="3">SUM(C3:C7)</f>
        <v>4000000</v>
      </c>
      <c r="D13" s="13">
        <f t="shared" si="3"/>
        <v>15856096</v>
      </c>
      <c r="E13" s="13">
        <f t="shared" si="3"/>
        <v>8559674</v>
      </c>
      <c r="F13" s="13">
        <f t="shared" si="3"/>
        <v>1434501</v>
      </c>
      <c r="G13" s="13">
        <f t="shared" si="3"/>
        <v>20415770</v>
      </c>
      <c r="H13" s="13">
        <f t="shared" si="3"/>
        <v>25850271</v>
      </c>
      <c r="I13" s="14">
        <f>SUM(I3:I12)</f>
        <v>2431280.0999999996</v>
      </c>
      <c r="J13" s="14">
        <f>SUM(J3:J12)</f>
        <v>1215640.0499999998</v>
      </c>
    </row>
    <row r="15" spans="1:11" ht="11.25" customHeight="1">
      <c r="A15" s="71" t="s">
        <v>137</v>
      </c>
      <c r="B15" s="71"/>
      <c r="C15" s="71"/>
      <c r="D15" s="71"/>
      <c r="E15" s="71"/>
      <c r="F15" s="71"/>
      <c r="G15" s="37"/>
      <c r="H15" s="37"/>
      <c r="J15" s="43"/>
    </row>
    <row r="16" spans="1:11" ht="11.25" customHeight="1">
      <c r="A16" s="71" t="s">
        <v>18</v>
      </c>
      <c r="B16" s="71"/>
      <c r="C16" s="71"/>
      <c r="D16" s="71"/>
      <c r="E16" s="71"/>
      <c r="F16" s="71"/>
      <c r="G16" s="37"/>
      <c r="H16" s="37"/>
      <c r="J16" s="43"/>
    </row>
    <row r="17" spans="1:10" s="43" customFormat="1" ht="11.25" customHeight="1">
      <c r="A17" s="74" t="s">
        <v>138</v>
      </c>
      <c r="B17" s="74"/>
      <c r="C17" s="74"/>
      <c r="D17" s="74"/>
      <c r="E17" s="74"/>
      <c r="F17" s="74"/>
      <c r="G17" s="42"/>
      <c r="H17" s="42"/>
      <c r="J17" s="26"/>
    </row>
    <row r="18" spans="1:10" s="43" customFormat="1" ht="11.25" customHeight="1">
      <c r="A18" s="70" t="s">
        <v>19</v>
      </c>
      <c r="B18" s="70"/>
      <c r="C18" s="70"/>
      <c r="D18" s="70"/>
      <c r="E18" s="70"/>
      <c r="F18" s="70"/>
      <c r="G18" s="70"/>
      <c r="H18" s="42"/>
      <c r="J18" s="26"/>
    </row>
    <row r="19" spans="1:10" ht="11.25" customHeight="1">
      <c r="A19" s="71" t="s">
        <v>24</v>
      </c>
      <c r="B19" s="71"/>
      <c r="C19" s="71"/>
      <c r="D19" s="71"/>
      <c r="E19" s="71"/>
      <c r="F19" s="71"/>
      <c r="G19" s="37"/>
      <c r="H19" s="37"/>
    </row>
    <row r="20" spans="1:10" ht="11.25" customHeight="1">
      <c r="A20" s="72" t="s">
        <v>139</v>
      </c>
      <c r="B20" s="72"/>
      <c r="C20" s="72"/>
      <c r="D20" s="72"/>
      <c r="E20" s="72"/>
      <c r="F20" s="72"/>
      <c r="G20" s="53"/>
      <c r="H20" s="54"/>
    </row>
    <row r="21" spans="1:10">
      <c r="G21" s="33"/>
      <c r="H21" s="33"/>
    </row>
  </sheetData>
  <mergeCells count="7">
    <mergeCell ref="A20:F20"/>
    <mergeCell ref="A2:D2"/>
    <mergeCell ref="A15:F15"/>
    <mergeCell ref="A16:F16"/>
    <mergeCell ref="A17:F17"/>
    <mergeCell ref="A18:G18"/>
    <mergeCell ref="A19:F19"/>
  </mergeCells>
  <phoneticPr fontId="3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G8" sqref="G8"/>
    </sheetView>
  </sheetViews>
  <sheetFormatPr defaultRowHeight="17.399999999999999"/>
  <cols>
    <col min="1" max="1" width="12" style="34" customWidth="1"/>
    <col min="2" max="2" width="24.5" style="34" customWidth="1"/>
    <col min="3" max="8" width="19.59765625" style="34" customWidth="1"/>
    <col min="9" max="16384" width="8.796875" style="26"/>
  </cols>
  <sheetData>
    <row r="2" spans="1:8" s="30" customFormat="1">
      <c r="A2" s="73" t="s">
        <v>23</v>
      </c>
      <c r="B2" s="73"/>
      <c r="C2" s="73"/>
      <c r="D2" s="73"/>
    </row>
    <row r="3" spans="1:8">
      <c r="A3" s="38" t="s">
        <v>6</v>
      </c>
      <c r="B3" s="38" t="s">
        <v>105</v>
      </c>
      <c r="C3" s="38" t="s">
        <v>106</v>
      </c>
      <c r="D3" s="38" t="s">
        <v>107</v>
      </c>
      <c r="E3" s="38" t="s">
        <v>108</v>
      </c>
      <c r="F3" s="38" t="s">
        <v>16</v>
      </c>
      <c r="G3" s="38" t="s">
        <v>21</v>
      </c>
      <c r="H3" s="49"/>
    </row>
    <row r="4" spans="1:8">
      <c r="A4" s="48">
        <v>202109</v>
      </c>
      <c r="B4" s="48" t="s">
        <v>55</v>
      </c>
      <c r="C4" s="50">
        <v>4000000</v>
      </c>
      <c r="D4" s="50">
        <v>15348979</v>
      </c>
      <c r="E4" s="13">
        <f>D4-C4</f>
        <v>11348979</v>
      </c>
      <c r="F4" s="13">
        <f>(C4+E4)</f>
        <v>15348979</v>
      </c>
      <c r="G4" s="13">
        <f>F4*0.15</f>
        <v>2302346.85</v>
      </c>
      <c r="H4" s="33"/>
    </row>
    <row r="5" spans="1:8">
      <c r="A5" s="48">
        <v>202109</v>
      </c>
      <c r="B5" s="48" t="s">
        <v>109</v>
      </c>
      <c r="C5" s="51"/>
      <c r="D5" s="50">
        <v>6043452</v>
      </c>
      <c r="E5" s="51"/>
      <c r="F5" s="13">
        <f>D5</f>
        <v>6043452</v>
      </c>
      <c r="G5" s="13">
        <f t="shared" ref="G5:G8" si="0">F5*0.15</f>
        <v>906517.79999999993</v>
      </c>
      <c r="H5" s="33"/>
    </row>
    <row r="6" spans="1:8">
      <c r="A6" s="48" t="s">
        <v>110</v>
      </c>
      <c r="B6" s="48" t="s">
        <v>111</v>
      </c>
      <c r="C6" s="51"/>
      <c r="D6" s="52">
        <v>0</v>
      </c>
      <c r="E6" s="51"/>
      <c r="F6" s="13">
        <f t="shared" ref="F6:F7" si="1">D6</f>
        <v>0</v>
      </c>
      <c r="G6" s="13">
        <f t="shared" si="0"/>
        <v>0</v>
      </c>
      <c r="H6" s="33"/>
    </row>
    <row r="7" spans="1:8">
      <c r="A7" s="48" t="s">
        <v>110</v>
      </c>
      <c r="B7" s="48" t="s">
        <v>112</v>
      </c>
      <c r="C7" s="51"/>
      <c r="D7" s="52">
        <v>0</v>
      </c>
      <c r="E7" s="51"/>
      <c r="F7" s="13">
        <f t="shared" si="1"/>
        <v>0</v>
      </c>
      <c r="G7" s="13">
        <f t="shared" si="0"/>
        <v>0</v>
      </c>
      <c r="H7" s="33"/>
    </row>
    <row r="8" spans="1:8">
      <c r="A8" s="48">
        <v>202109</v>
      </c>
      <c r="B8" s="48" t="s">
        <v>113</v>
      </c>
      <c r="C8" s="52">
        <v>1523779</v>
      </c>
      <c r="D8" s="51"/>
      <c r="E8" s="51"/>
      <c r="F8" s="13">
        <f t="shared" ref="F8" si="2">(C8+E8)</f>
        <v>1523779</v>
      </c>
      <c r="G8" s="13">
        <f t="shared" si="0"/>
        <v>228566.85</v>
      </c>
      <c r="H8" s="33"/>
    </row>
    <row r="9" spans="1:8">
      <c r="A9" s="40" t="s">
        <v>114</v>
      </c>
      <c r="B9" s="41"/>
      <c r="C9" s="13">
        <f>SUM(C4:C8)</f>
        <v>5523779</v>
      </c>
      <c r="D9" s="13">
        <f t="shared" ref="D9:G9" si="3">SUM(D4:D8)</f>
        <v>21392431</v>
      </c>
      <c r="E9" s="13">
        <f t="shared" si="3"/>
        <v>11348979</v>
      </c>
      <c r="F9" s="13">
        <f t="shared" si="3"/>
        <v>22916210</v>
      </c>
      <c r="G9" s="14">
        <f t="shared" si="3"/>
        <v>3437431.5</v>
      </c>
      <c r="H9" s="33"/>
    </row>
    <row r="11" spans="1:8" ht="11.25" customHeight="1">
      <c r="A11" s="71" t="s">
        <v>115</v>
      </c>
      <c r="B11" s="71"/>
      <c r="C11" s="71"/>
      <c r="D11" s="71"/>
      <c r="E11" s="71"/>
      <c r="F11" s="71"/>
      <c r="G11" s="37"/>
      <c r="H11" s="37"/>
    </row>
    <row r="12" spans="1:8" ht="11.25" customHeight="1">
      <c r="A12" s="71" t="s">
        <v>116</v>
      </c>
      <c r="B12" s="71"/>
      <c r="C12" s="71"/>
      <c r="D12" s="71"/>
      <c r="E12" s="71"/>
      <c r="F12" s="71"/>
      <c r="G12" s="37"/>
      <c r="H12" s="37"/>
    </row>
    <row r="13" spans="1:8" s="43" customFormat="1" ht="11.25" customHeight="1">
      <c r="A13" s="74" t="s">
        <v>117</v>
      </c>
      <c r="B13" s="74"/>
      <c r="C13" s="74"/>
      <c r="D13" s="74"/>
      <c r="E13" s="74"/>
      <c r="F13" s="74"/>
      <c r="G13" s="42"/>
      <c r="H13" s="42"/>
    </row>
    <row r="14" spans="1:8" s="43" customFormat="1" ht="11.25" customHeight="1">
      <c r="A14" s="70" t="s">
        <v>19</v>
      </c>
      <c r="B14" s="70"/>
      <c r="C14" s="70"/>
      <c r="D14" s="70"/>
      <c r="E14" s="70"/>
      <c r="F14" s="70"/>
      <c r="G14" s="70"/>
      <c r="H14" s="42"/>
    </row>
    <row r="15" spans="1:8" ht="11.25" customHeight="1">
      <c r="A15" s="71" t="s">
        <v>24</v>
      </c>
      <c r="B15" s="71"/>
      <c r="C15" s="71"/>
      <c r="D15" s="71"/>
      <c r="E15" s="71"/>
      <c r="F15" s="71"/>
      <c r="G15" s="37"/>
      <c r="H15" s="37"/>
    </row>
    <row r="16" spans="1:8" ht="11.25" customHeight="1">
      <c r="A16" s="72" t="s">
        <v>118</v>
      </c>
      <c r="B16" s="72"/>
      <c r="C16" s="72"/>
      <c r="D16" s="72"/>
      <c r="E16" s="72"/>
      <c r="F16" s="72"/>
      <c r="G16" s="53"/>
      <c r="H16" s="54"/>
    </row>
    <row r="17" spans="7:8">
      <c r="G17" s="33"/>
      <c r="H17" s="33"/>
    </row>
  </sheetData>
  <mergeCells count="7">
    <mergeCell ref="A14:G14"/>
    <mergeCell ref="A15:F15"/>
    <mergeCell ref="A16:F16"/>
    <mergeCell ref="A2:D2"/>
    <mergeCell ref="A11:F11"/>
    <mergeCell ref="A12:F12"/>
    <mergeCell ref="A13:F13"/>
  </mergeCells>
  <phoneticPr fontId="3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G4" sqref="G4:H5"/>
    </sheetView>
  </sheetViews>
  <sheetFormatPr defaultRowHeight="17.399999999999999"/>
  <cols>
    <col min="1" max="1" width="12" style="34" customWidth="1"/>
    <col min="2" max="2" width="24.5" style="34" customWidth="1"/>
    <col min="3" max="7" width="19.59765625" style="34" customWidth="1"/>
    <col min="8" max="8" width="19.19921875" style="26" customWidth="1"/>
    <col min="9" max="16384" width="8.796875" style="26"/>
  </cols>
  <sheetData>
    <row r="2" spans="1:8" s="30" customFormat="1">
      <c r="A2" s="73" t="s">
        <v>23</v>
      </c>
      <c r="B2" s="73"/>
      <c r="C2" s="73"/>
      <c r="D2" s="73"/>
    </row>
    <row r="3" spans="1:8">
      <c r="A3" s="38" t="s">
        <v>6</v>
      </c>
      <c r="B3" s="38" t="s">
        <v>93</v>
      </c>
      <c r="C3" s="38" t="s">
        <v>94</v>
      </c>
      <c r="D3" s="38" t="s">
        <v>95</v>
      </c>
      <c r="E3" s="38" t="s">
        <v>83</v>
      </c>
      <c r="F3" s="38" t="s">
        <v>75</v>
      </c>
      <c r="G3" s="38" t="s">
        <v>85</v>
      </c>
      <c r="H3" s="38" t="s">
        <v>49</v>
      </c>
    </row>
    <row r="4" spans="1:8">
      <c r="A4" s="35">
        <v>202108</v>
      </c>
      <c r="B4" s="35" t="s">
        <v>86</v>
      </c>
      <c r="C4" s="46">
        <v>5000000</v>
      </c>
      <c r="D4" s="46">
        <v>22557947</v>
      </c>
      <c r="E4" s="13">
        <f>D4-C4</f>
        <v>17557947</v>
      </c>
      <c r="F4" s="13">
        <f>(C4+E4)</f>
        <v>22557947</v>
      </c>
      <c r="G4" s="13">
        <f>F4*0.15</f>
        <v>3383692.05</v>
      </c>
      <c r="H4" s="13">
        <f>G4*50%</f>
        <v>1691846.0249999999</v>
      </c>
    </row>
    <row r="5" spans="1:8">
      <c r="A5" s="35">
        <v>202108</v>
      </c>
      <c r="B5" s="35" t="s">
        <v>96</v>
      </c>
      <c r="C5" s="46">
        <v>10000000</v>
      </c>
      <c r="D5" s="47"/>
      <c r="E5" s="47"/>
      <c r="F5" s="13">
        <f t="shared" ref="F5:F6" si="0">(C5+E5)</f>
        <v>10000000</v>
      </c>
      <c r="G5" s="13">
        <f t="shared" ref="G5:G6" si="1">F5*0.15</f>
        <v>1500000</v>
      </c>
      <c r="H5" s="13">
        <f>G5*50%</f>
        <v>750000</v>
      </c>
    </row>
    <row r="6" spans="1:8">
      <c r="A6" s="35" t="s">
        <v>97</v>
      </c>
      <c r="B6" s="35" t="s">
        <v>98</v>
      </c>
      <c r="C6" s="47"/>
      <c r="D6" s="47"/>
      <c r="E6" s="13">
        <v>0</v>
      </c>
      <c r="F6" s="13">
        <f t="shared" si="0"/>
        <v>0</v>
      </c>
      <c r="G6" s="13">
        <f t="shared" si="1"/>
        <v>0</v>
      </c>
      <c r="H6" s="13">
        <f>G6*50%</f>
        <v>0</v>
      </c>
    </row>
    <row r="7" spans="1:8">
      <c r="A7" s="40" t="s">
        <v>99</v>
      </c>
      <c r="B7" s="41"/>
      <c r="C7" s="13">
        <f>SUM(C4:C6)</f>
        <v>15000000</v>
      </c>
      <c r="D7" s="13">
        <f t="shared" ref="D7:H7" si="2">SUM(D4:D6)</f>
        <v>22557947</v>
      </c>
      <c r="E7" s="13">
        <f t="shared" si="2"/>
        <v>17557947</v>
      </c>
      <c r="F7" s="13">
        <f t="shared" si="2"/>
        <v>32557947</v>
      </c>
      <c r="G7" s="14">
        <f t="shared" si="2"/>
        <v>4883692.05</v>
      </c>
      <c r="H7" s="14">
        <f t="shared" si="2"/>
        <v>2441846.0249999999</v>
      </c>
    </row>
    <row r="9" spans="1:8" ht="11.25" customHeight="1">
      <c r="A9" s="71" t="s">
        <v>100</v>
      </c>
      <c r="B9" s="71"/>
      <c r="C9" s="71"/>
      <c r="D9" s="71"/>
      <c r="E9" s="71"/>
      <c r="F9" s="71"/>
      <c r="G9" s="37"/>
    </row>
    <row r="10" spans="1:8" ht="11.25" customHeight="1">
      <c r="A10" s="71" t="s">
        <v>101</v>
      </c>
      <c r="B10" s="71"/>
      <c r="C10" s="71"/>
      <c r="D10" s="71"/>
      <c r="E10" s="71"/>
      <c r="F10" s="71"/>
      <c r="G10" s="37"/>
      <c r="H10" s="43"/>
    </row>
    <row r="11" spans="1:8" s="43" customFormat="1" ht="11.25" customHeight="1">
      <c r="A11" s="74" t="s">
        <v>102</v>
      </c>
      <c r="B11" s="74"/>
      <c r="C11" s="74"/>
      <c r="D11" s="74"/>
      <c r="E11" s="74"/>
      <c r="F11" s="74"/>
      <c r="G11" s="42"/>
    </row>
    <row r="12" spans="1:8" s="43" customFormat="1" ht="11.25" customHeight="1">
      <c r="A12" s="70" t="s">
        <v>19</v>
      </c>
      <c r="B12" s="70"/>
      <c r="C12" s="70"/>
      <c r="D12" s="70"/>
      <c r="E12" s="70"/>
      <c r="F12" s="70"/>
      <c r="G12" s="70"/>
      <c r="H12" s="26"/>
    </row>
    <row r="13" spans="1:8" ht="11.25" customHeight="1">
      <c r="A13" s="71" t="s">
        <v>103</v>
      </c>
      <c r="B13" s="71"/>
      <c r="C13" s="71"/>
      <c r="D13" s="71"/>
      <c r="E13" s="71"/>
      <c r="F13" s="71"/>
      <c r="G13" s="37"/>
    </row>
    <row r="14" spans="1:8">
      <c r="A14" s="44"/>
      <c r="B14" s="44"/>
      <c r="C14" s="44"/>
      <c r="D14" s="44"/>
      <c r="E14" s="15"/>
      <c r="F14" s="33"/>
      <c r="G14" s="33"/>
    </row>
    <row r="15" spans="1:8">
      <c r="G15" s="33"/>
    </row>
  </sheetData>
  <mergeCells count="6">
    <mergeCell ref="A12:G12"/>
    <mergeCell ref="A13:F13"/>
    <mergeCell ref="A2:D2"/>
    <mergeCell ref="A9:F9"/>
    <mergeCell ref="A10:F10"/>
    <mergeCell ref="A11:F11"/>
  </mergeCells>
  <phoneticPr fontId="3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H1" sqref="H1:H1048576"/>
    </sheetView>
  </sheetViews>
  <sheetFormatPr defaultRowHeight="17.399999999999999"/>
  <cols>
    <col min="1" max="1" width="6.59765625" style="34" customWidth="1"/>
    <col min="2" max="2" width="24.5" style="34" customWidth="1"/>
    <col min="3" max="6" width="19.59765625" style="34" customWidth="1"/>
    <col min="7" max="7" width="23.09765625" style="34" customWidth="1"/>
    <col min="8" max="8" width="19.19921875" style="26" customWidth="1"/>
    <col min="9" max="16384" width="8.796875" style="26"/>
  </cols>
  <sheetData>
    <row r="2" spans="1:8" s="30" customFormat="1">
      <c r="A2" s="73" t="s">
        <v>23</v>
      </c>
      <c r="B2" s="73"/>
      <c r="C2" s="73"/>
      <c r="D2" s="73"/>
    </row>
    <row r="3" spans="1:8">
      <c r="A3" s="38" t="s">
        <v>80</v>
      </c>
      <c r="B3" s="38" t="s">
        <v>68</v>
      </c>
      <c r="C3" s="38" t="s">
        <v>81</v>
      </c>
      <c r="D3" s="38" t="s">
        <v>82</v>
      </c>
      <c r="E3" s="38" t="s">
        <v>83</v>
      </c>
      <c r="F3" s="38" t="s">
        <v>84</v>
      </c>
      <c r="G3" s="38" t="s">
        <v>85</v>
      </c>
      <c r="H3" s="38" t="s">
        <v>49</v>
      </c>
    </row>
    <row r="4" spans="1:8">
      <c r="A4" s="35">
        <v>202107</v>
      </c>
      <c r="B4" s="35" t="s">
        <v>86</v>
      </c>
      <c r="C4" s="46">
        <v>4000000</v>
      </c>
      <c r="D4" s="13">
        <v>14391255</v>
      </c>
      <c r="E4" s="13">
        <f>D4-C4</f>
        <v>10391255</v>
      </c>
      <c r="F4" s="13">
        <f>(C4+E4)</f>
        <v>14391255</v>
      </c>
      <c r="G4" s="13">
        <f>F4*0.15</f>
        <v>2158688.25</v>
      </c>
      <c r="H4" s="13">
        <f>G4*50%</f>
        <v>1079344.125</v>
      </c>
    </row>
    <row r="5" spans="1:8">
      <c r="A5" s="35">
        <v>202107</v>
      </c>
      <c r="B5" s="35" t="s">
        <v>87</v>
      </c>
      <c r="C5" s="46">
        <v>3000000</v>
      </c>
      <c r="D5" s="47"/>
      <c r="E5" s="47"/>
      <c r="F5" s="13">
        <f>(C5+E5)</f>
        <v>3000000</v>
      </c>
      <c r="G5" s="13">
        <f>F5*0.15</f>
        <v>450000</v>
      </c>
      <c r="H5" s="13">
        <f>G5*50%</f>
        <v>225000</v>
      </c>
    </row>
    <row r="6" spans="1:8">
      <c r="A6" s="40" t="s">
        <v>88</v>
      </c>
      <c r="B6" s="41"/>
      <c r="C6" s="13">
        <f>SUM(C4:C5)</f>
        <v>7000000</v>
      </c>
      <c r="D6" s="13">
        <f t="shared" ref="D6:G6" si="0">SUM(D4:D5)</f>
        <v>14391255</v>
      </c>
      <c r="E6" s="13">
        <f t="shared" si="0"/>
        <v>10391255</v>
      </c>
      <c r="F6" s="13">
        <f t="shared" si="0"/>
        <v>17391255</v>
      </c>
      <c r="G6" s="14">
        <f t="shared" si="0"/>
        <v>2608688.25</v>
      </c>
      <c r="H6" s="14">
        <f>G6*50%</f>
        <v>1304344.125</v>
      </c>
    </row>
    <row r="8" spans="1:8" ht="11.25" customHeight="1">
      <c r="A8" s="71" t="s">
        <v>89</v>
      </c>
      <c r="B8" s="71"/>
      <c r="C8" s="71"/>
      <c r="D8" s="71"/>
      <c r="E8" s="71"/>
      <c r="F8" s="71"/>
      <c r="G8" s="37"/>
    </row>
    <row r="9" spans="1:8" ht="11.25" customHeight="1">
      <c r="A9" s="71" t="s">
        <v>18</v>
      </c>
      <c r="B9" s="71"/>
      <c r="C9" s="71"/>
      <c r="D9" s="71"/>
      <c r="E9" s="71"/>
      <c r="F9" s="71"/>
      <c r="G9" s="37"/>
    </row>
    <row r="10" spans="1:8" s="43" customFormat="1" ht="11.25" customHeight="1">
      <c r="A10" s="74" t="s">
        <v>90</v>
      </c>
      <c r="B10" s="74"/>
      <c r="C10" s="74"/>
      <c r="D10" s="74"/>
      <c r="E10" s="74"/>
      <c r="F10" s="74"/>
      <c r="G10" s="42"/>
    </row>
    <row r="11" spans="1:8" s="43" customFormat="1" ht="11.25" customHeight="1">
      <c r="A11" s="70" t="s">
        <v>19</v>
      </c>
      <c r="B11" s="70"/>
      <c r="C11" s="70"/>
      <c r="D11" s="70"/>
      <c r="E11" s="70"/>
      <c r="F11" s="70"/>
      <c r="G11" s="70"/>
    </row>
    <row r="12" spans="1:8" ht="11.25" customHeight="1">
      <c r="A12" s="71" t="s">
        <v>91</v>
      </c>
      <c r="B12" s="71"/>
      <c r="C12" s="71"/>
      <c r="D12" s="71"/>
      <c r="E12" s="71"/>
      <c r="F12" s="71"/>
      <c r="G12" s="37"/>
    </row>
    <row r="13" spans="1:8">
      <c r="A13" s="44"/>
      <c r="B13" s="44"/>
      <c r="C13" s="44"/>
      <c r="D13" s="44"/>
      <c r="E13" s="15"/>
      <c r="F13" s="33"/>
      <c r="G13" s="33"/>
    </row>
    <row r="14" spans="1:8">
      <c r="G14" s="33"/>
    </row>
  </sheetData>
  <mergeCells count="6">
    <mergeCell ref="A11:G11"/>
    <mergeCell ref="A12:F12"/>
    <mergeCell ref="A2:D2"/>
    <mergeCell ref="A8:F8"/>
    <mergeCell ref="A9:F9"/>
    <mergeCell ref="A10:F10"/>
  </mergeCells>
  <phoneticPr fontId="3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H10" sqref="H10:H12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73</v>
      </c>
      <c r="B3" s="32" t="s">
        <v>53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202106</v>
      </c>
      <c r="B4" s="23">
        <f>G12</f>
        <v>2180217.2999999998</v>
      </c>
      <c r="C4" s="36">
        <f>B4</f>
        <v>2180217.2999999998</v>
      </c>
      <c r="F4" s="37"/>
      <c r="G4" s="37"/>
      <c r="H4" s="37"/>
    </row>
    <row r="6" spans="1:8" s="37" customFormat="1" ht="11.25" customHeight="1">
      <c r="A6" s="71" t="s">
        <v>74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34</v>
      </c>
      <c r="B10" s="38" t="s">
        <v>9</v>
      </c>
      <c r="C10" s="38" t="s">
        <v>10</v>
      </c>
      <c r="D10" s="38" t="s">
        <v>15</v>
      </c>
      <c r="E10" s="38" t="s">
        <v>14</v>
      </c>
      <c r="F10" s="38" t="s">
        <v>75</v>
      </c>
      <c r="G10" s="38" t="s">
        <v>21</v>
      </c>
      <c r="H10" s="38" t="s">
        <v>49</v>
      </c>
    </row>
    <row r="11" spans="1:8">
      <c r="A11" s="35">
        <v>202106</v>
      </c>
      <c r="B11" s="39" t="s">
        <v>55</v>
      </c>
      <c r="C11" s="13">
        <v>5000000</v>
      </c>
      <c r="D11" s="13">
        <v>14534782</v>
      </c>
      <c r="E11" s="13">
        <f>D11-C11</f>
        <v>9534782</v>
      </c>
      <c r="F11" s="13">
        <f>(C11+E11)</f>
        <v>14534782</v>
      </c>
      <c r="G11" s="13">
        <f>F11*0.15</f>
        <v>2180217.2999999998</v>
      </c>
      <c r="H11" s="13">
        <f>G11*50%</f>
        <v>1090108.6499999999</v>
      </c>
    </row>
    <row r="12" spans="1:8">
      <c r="A12" s="40" t="s">
        <v>44</v>
      </c>
      <c r="B12" s="41"/>
      <c r="C12" s="13">
        <f>SUM(C11:C11)</f>
        <v>5000000</v>
      </c>
      <c r="D12" s="13">
        <f>SUM(D11:D11)</f>
        <v>14534782</v>
      </c>
      <c r="E12" s="13">
        <f>SUM(E11:E11)</f>
        <v>9534782</v>
      </c>
      <c r="F12" s="22">
        <f>SUM(F11:F11)</f>
        <v>14534782</v>
      </c>
      <c r="G12" s="14">
        <f>SUM(G11:G11)</f>
        <v>2180217.2999999998</v>
      </c>
      <c r="H12" s="14">
        <f>G12*50%</f>
        <v>1090108.6499999999</v>
      </c>
    </row>
    <row r="14" spans="1:8" ht="11.25" customHeight="1">
      <c r="A14" s="71" t="s">
        <v>11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76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77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78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>
        <f>G11/F11</f>
        <v>0.15</v>
      </c>
      <c r="H19" s="33">
        <f>H11/F11</f>
        <v>7.4999999999999997E-2</v>
      </c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D26" sqref="D26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6</v>
      </c>
      <c r="B3" s="32" t="s">
        <v>12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202105</v>
      </c>
      <c r="B4" s="23">
        <f>G12</f>
        <v>2538609.4499999997</v>
      </c>
      <c r="C4" s="36">
        <f>B4</f>
        <v>2538609.4499999997</v>
      </c>
      <c r="F4" s="37"/>
      <c r="G4" s="37"/>
      <c r="H4" s="37"/>
    </row>
    <row r="5" spans="1:8" ht="8.4" customHeight="1"/>
    <row r="6" spans="1:8" s="37" customFormat="1" ht="14.4" customHeight="1">
      <c r="A6" s="71" t="s">
        <v>20</v>
      </c>
      <c r="B6" s="71"/>
      <c r="C6" s="71"/>
      <c r="D6" s="71"/>
      <c r="E6" s="71"/>
      <c r="F6" s="71"/>
    </row>
    <row r="7" spans="1:8" ht="7.8" customHeight="1"/>
    <row r="9" spans="1:8" s="30" customFormat="1" ht="15" customHeight="1">
      <c r="A9" s="73" t="s">
        <v>23</v>
      </c>
      <c r="B9" s="73"/>
      <c r="C9" s="73"/>
      <c r="D9" s="73"/>
    </row>
    <row r="10" spans="1:8">
      <c r="A10" s="38" t="s">
        <v>6</v>
      </c>
      <c r="B10" s="38" t="s">
        <v>68</v>
      </c>
      <c r="C10" s="38" t="s">
        <v>10</v>
      </c>
      <c r="D10" s="38" t="s">
        <v>69</v>
      </c>
      <c r="E10" s="38" t="s">
        <v>14</v>
      </c>
      <c r="F10" s="38" t="s">
        <v>16</v>
      </c>
      <c r="G10" s="38" t="s">
        <v>21</v>
      </c>
      <c r="H10" s="38" t="s">
        <v>49</v>
      </c>
    </row>
    <row r="11" spans="1:8">
      <c r="A11" s="35">
        <v>202105</v>
      </c>
      <c r="B11" s="39" t="s">
        <v>55</v>
      </c>
      <c r="C11" s="13">
        <v>5000000</v>
      </c>
      <c r="D11" s="13">
        <v>16924063</v>
      </c>
      <c r="E11" s="13">
        <f>D11-C11</f>
        <v>11924063</v>
      </c>
      <c r="F11" s="13">
        <f>(C11+E11)</f>
        <v>16924063</v>
      </c>
      <c r="G11" s="13">
        <f>F11*0.15</f>
        <v>2538609.4499999997</v>
      </c>
      <c r="H11" s="13">
        <f>G11*50%</f>
        <v>1269304.7249999999</v>
      </c>
    </row>
    <row r="12" spans="1:8">
      <c r="A12" s="40" t="s">
        <v>70</v>
      </c>
      <c r="B12" s="41"/>
      <c r="C12" s="13">
        <f>SUM(C11:C11)</f>
        <v>5000000</v>
      </c>
      <c r="D12" s="13">
        <f>SUM(D11:D11)</f>
        <v>16924063</v>
      </c>
      <c r="E12" s="13">
        <f>SUM(E11:E11)</f>
        <v>11924063</v>
      </c>
      <c r="F12" s="22">
        <f>SUM(F11:F11)</f>
        <v>16924063</v>
      </c>
      <c r="G12" s="14">
        <f>SUM(G11:G11)</f>
        <v>2538609.4499999997</v>
      </c>
      <c r="H12" s="14">
        <f>G12*50%</f>
        <v>1269304.7249999999</v>
      </c>
    </row>
    <row r="13" spans="1:8" ht="12" customHeight="1"/>
    <row r="14" spans="1:8" ht="11.25" customHeight="1">
      <c r="A14" s="71" t="s">
        <v>11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18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17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0.199999999999999" customHeight="1">
      <c r="A18" s="71" t="s">
        <v>24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>
        <f>G11/F11</f>
        <v>0.15</v>
      </c>
      <c r="H19" s="33">
        <f>H11/F11</f>
        <v>7.4999999999999997E-2</v>
      </c>
    </row>
    <row r="20" spans="1:8" ht="9.6" customHeight="1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H1" sqref="H1:H1048576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59</v>
      </c>
      <c r="B3" s="32" t="s">
        <v>60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202104</v>
      </c>
      <c r="B4" s="23">
        <f>G12</f>
        <v>1723461.3</v>
      </c>
      <c r="C4" s="36">
        <f>B4</f>
        <v>1723461.3</v>
      </c>
      <c r="F4" s="37"/>
      <c r="G4" s="37"/>
      <c r="H4" s="37"/>
    </row>
    <row r="6" spans="1:8" s="37" customFormat="1" ht="11.25" customHeight="1">
      <c r="A6" s="71" t="s">
        <v>36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34</v>
      </c>
      <c r="B10" s="38" t="s">
        <v>38</v>
      </c>
      <c r="C10" s="38" t="s">
        <v>39</v>
      </c>
      <c r="D10" s="38" t="s">
        <v>61</v>
      </c>
      <c r="E10" s="38" t="s">
        <v>62</v>
      </c>
      <c r="F10" s="38" t="s">
        <v>63</v>
      </c>
      <c r="G10" s="38" t="s">
        <v>56</v>
      </c>
      <c r="H10" s="38" t="s">
        <v>49</v>
      </c>
    </row>
    <row r="11" spans="1:8">
      <c r="A11" s="35">
        <v>202104</v>
      </c>
      <c r="B11" s="39" t="s">
        <v>55</v>
      </c>
      <c r="C11" s="13">
        <v>4000000</v>
      </c>
      <c r="D11" s="13">
        <v>11489742</v>
      </c>
      <c r="E11" s="13">
        <f>D11-C11</f>
        <v>7489742</v>
      </c>
      <c r="F11" s="13">
        <f>(C11+E11)</f>
        <v>11489742</v>
      </c>
      <c r="G11" s="13">
        <f>F11*0.15</f>
        <v>1723461.3</v>
      </c>
      <c r="H11" s="13">
        <f>G11*50%</f>
        <v>861730.65</v>
      </c>
    </row>
    <row r="12" spans="1:8">
      <c r="A12" s="40" t="s">
        <v>44</v>
      </c>
      <c r="B12" s="41"/>
      <c r="C12" s="13">
        <f>SUM(C11:C11)</f>
        <v>4000000</v>
      </c>
      <c r="D12" s="13">
        <f>SUM(D11:D11)</f>
        <v>11489742</v>
      </c>
      <c r="E12" s="13">
        <f>SUM(E11:E11)</f>
        <v>7489742</v>
      </c>
      <c r="F12" s="22">
        <f>SUM(F11:F11)</f>
        <v>11489742</v>
      </c>
      <c r="G12" s="14">
        <f>SUM(G11:G11)</f>
        <v>1723461.3</v>
      </c>
      <c r="H12" s="14">
        <f>G12*50%</f>
        <v>861730.65</v>
      </c>
    </row>
    <row r="14" spans="1:8" ht="11.25" customHeight="1">
      <c r="A14" s="71" t="s">
        <v>64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65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66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24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/>
      <c r="H19" s="33"/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G10" sqref="G10:H12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52</v>
      </c>
      <c r="B3" s="32" t="s">
        <v>53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202103</v>
      </c>
      <c r="B4" s="23">
        <f>G12</f>
        <v>3055722.4499999997</v>
      </c>
      <c r="C4" s="36">
        <f>B4</f>
        <v>3055722.4499999997</v>
      </c>
      <c r="F4" s="37"/>
      <c r="G4" s="37"/>
      <c r="H4" s="37"/>
    </row>
    <row r="6" spans="1:8" s="37" customFormat="1" ht="11.25" customHeight="1">
      <c r="A6" s="71" t="s">
        <v>20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54</v>
      </c>
      <c r="B10" s="38" t="s">
        <v>9</v>
      </c>
      <c r="C10" s="38" t="s">
        <v>10</v>
      </c>
      <c r="D10" s="38" t="s">
        <v>15</v>
      </c>
      <c r="E10" s="38" t="s">
        <v>14</v>
      </c>
      <c r="F10" s="38" t="s">
        <v>16</v>
      </c>
      <c r="G10" s="38" t="s">
        <v>56</v>
      </c>
      <c r="H10" s="38" t="s">
        <v>49</v>
      </c>
    </row>
    <row r="11" spans="1:8">
      <c r="A11" s="35">
        <v>202103</v>
      </c>
      <c r="B11" s="39" t="s">
        <v>55</v>
      </c>
      <c r="C11" s="13">
        <v>5000000</v>
      </c>
      <c r="D11" s="13">
        <v>20371483</v>
      </c>
      <c r="E11" s="13">
        <f>D11-C11</f>
        <v>15371483</v>
      </c>
      <c r="F11" s="13">
        <f>(C11+E11)</f>
        <v>20371483</v>
      </c>
      <c r="G11" s="13">
        <f>F11*0.15</f>
        <v>3055722.4499999997</v>
      </c>
      <c r="H11" s="13">
        <f>G11*50%</f>
        <v>1527861.2249999999</v>
      </c>
    </row>
    <row r="12" spans="1:8">
      <c r="A12" s="40" t="s">
        <v>8</v>
      </c>
      <c r="B12" s="41"/>
      <c r="C12" s="13">
        <f>SUM(C11:C11)</f>
        <v>5000000</v>
      </c>
      <c r="D12" s="13">
        <f>SUM(D11:D11)</f>
        <v>20371483</v>
      </c>
      <c r="E12" s="13">
        <f>SUM(E11:E11)</f>
        <v>15371483</v>
      </c>
      <c r="F12" s="22">
        <f>SUM(F11:F11)</f>
        <v>20371483</v>
      </c>
      <c r="G12" s="14">
        <f>SUM(G11:G11)</f>
        <v>3055722.4499999997</v>
      </c>
      <c r="H12" s="14">
        <f>G12*50%</f>
        <v>1527861.2249999999</v>
      </c>
    </row>
    <row r="14" spans="1:8" ht="11.25" customHeight="1">
      <c r="A14" s="71" t="s">
        <v>11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18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17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24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/>
      <c r="H19" s="33"/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D23" sqref="D23"/>
    </sheetView>
  </sheetViews>
  <sheetFormatPr defaultRowHeight="17.399999999999999"/>
  <cols>
    <col min="1" max="1" width="6.59765625" style="34" customWidth="1"/>
    <col min="2" max="8" width="19.59765625" style="34" customWidth="1"/>
    <col min="9" max="16384" width="8.796875" style="26"/>
  </cols>
  <sheetData>
    <row r="2" spans="1:8" s="31" customFormat="1">
      <c r="A2" s="73" t="s">
        <v>22</v>
      </c>
      <c r="B2" s="73"/>
      <c r="C2" s="73"/>
      <c r="D2" s="30"/>
      <c r="E2" s="30"/>
      <c r="F2" s="30"/>
      <c r="G2" s="30"/>
      <c r="H2" s="30"/>
    </row>
    <row r="3" spans="1:8" s="33" customFormat="1">
      <c r="A3" s="32" t="s">
        <v>34</v>
      </c>
      <c r="B3" s="32" t="s">
        <v>35</v>
      </c>
      <c r="C3" s="32" t="s">
        <v>13</v>
      </c>
      <c r="F3" s="34"/>
      <c r="G3" s="34"/>
      <c r="H3" s="34"/>
    </row>
    <row r="4" spans="1:8" s="33" customFormat="1" ht="16.5" customHeight="1">
      <c r="A4" s="35">
        <v>202102</v>
      </c>
      <c r="B4" s="23">
        <f>G12</f>
        <v>2805971.6999999997</v>
      </c>
      <c r="C4" s="36">
        <f>B4</f>
        <v>2805971.6999999997</v>
      </c>
      <c r="F4" s="37"/>
      <c r="G4" s="37"/>
      <c r="H4" s="37"/>
    </row>
    <row r="6" spans="1:8" s="37" customFormat="1" ht="11.25" customHeight="1">
      <c r="A6" s="71" t="s">
        <v>36</v>
      </c>
      <c r="B6" s="71"/>
      <c r="C6" s="71"/>
      <c r="D6" s="71"/>
      <c r="E6" s="71"/>
      <c r="F6" s="71"/>
    </row>
    <row r="9" spans="1:8" s="30" customFormat="1">
      <c r="A9" s="73" t="s">
        <v>23</v>
      </c>
      <c r="B9" s="73"/>
      <c r="C9" s="73"/>
      <c r="D9" s="73"/>
    </row>
    <row r="10" spans="1:8">
      <c r="A10" s="38" t="s">
        <v>37</v>
      </c>
      <c r="B10" s="38" t="s">
        <v>38</v>
      </c>
      <c r="C10" s="38" t="s">
        <v>39</v>
      </c>
      <c r="D10" s="38" t="s">
        <v>40</v>
      </c>
      <c r="E10" s="38" t="s">
        <v>41</v>
      </c>
      <c r="F10" s="38" t="s">
        <v>42</v>
      </c>
      <c r="G10" s="38" t="s">
        <v>50</v>
      </c>
      <c r="H10" s="38" t="s">
        <v>49</v>
      </c>
    </row>
    <row r="11" spans="1:8">
      <c r="A11" s="35">
        <v>202102</v>
      </c>
      <c r="B11" s="39" t="s">
        <v>43</v>
      </c>
      <c r="C11" s="13">
        <v>4000000</v>
      </c>
      <c r="D11" s="13">
        <v>18706478</v>
      </c>
      <c r="E11" s="13">
        <f>D11-C11</f>
        <v>14706478</v>
      </c>
      <c r="F11" s="13">
        <f>(C11+E11)</f>
        <v>18706478</v>
      </c>
      <c r="G11" s="13">
        <f>F11*0.15</f>
        <v>2805971.6999999997</v>
      </c>
      <c r="H11" s="13">
        <f>G11*50%</f>
        <v>1402985.8499999999</v>
      </c>
    </row>
    <row r="12" spans="1:8">
      <c r="A12" s="40" t="s">
        <v>44</v>
      </c>
      <c r="B12" s="41"/>
      <c r="C12" s="13">
        <f>SUM(C11:C11)</f>
        <v>4000000</v>
      </c>
      <c r="D12" s="13">
        <f>SUM(D11:D11)</f>
        <v>18706478</v>
      </c>
      <c r="E12" s="13">
        <f>SUM(E11:E11)</f>
        <v>14706478</v>
      </c>
      <c r="F12" s="22">
        <f>SUM(F11:F11)</f>
        <v>18706478</v>
      </c>
      <c r="G12" s="14">
        <f>SUM(G11:G11)</f>
        <v>2805971.6999999997</v>
      </c>
      <c r="H12" s="14">
        <f>G12*50%</f>
        <v>1402985.8499999999</v>
      </c>
    </row>
    <row r="14" spans="1:8" ht="11.25" customHeight="1">
      <c r="A14" s="71" t="s">
        <v>45</v>
      </c>
      <c r="B14" s="71"/>
      <c r="C14" s="71"/>
      <c r="D14" s="71"/>
      <c r="E14" s="71"/>
      <c r="F14" s="71"/>
      <c r="G14" s="37"/>
      <c r="H14" s="37"/>
    </row>
    <row r="15" spans="1:8" ht="11.25" customHeight="1">
      <c r="A15" s="71" t="s">
        <v>46</v>
      </c>
      <c r="B15" s="71"/>
      <c r="C15" s="71"/>
      <c r="D15" s="71"/>
      <c r="E15" s="71"/>
      <c r="F15" s="71"/>
      <c r="G15" s="37"/>
      <c r="H15" s="37"/>
    </row>
    <row r="16" spans="1:8" s="43" customFormat="1" ht="11.25" customHeight="1">
      <c r="A16" s="74" t="s">
        <v>47</v>
      </c>
      <c r="B16" s="74"/>
      <c r="C16" s="74"/>
      <c r="D16" s="74"/>
      <c r="E16" s="74"/>
      <c r="F16" s="74"/>
      <c r="G16" s="42"/>
      <c r="H16" s="42"/>
    </row>
    <row r="17" spans="1:8" s="43" customFormat="1" ht="11.25" customHeight="1">
      <c r="A17" s="70" t="s">
        <v>19</v>
      </c>
      <c r="B17" s="70"/>
      <c r="C17" s="70"/>
      <c r="D17" s="70"/>
      <c r="E17" s="70"/>
      <c r="F17" s="70"/>
      <c r="G17" s="70"/>
      <c r="H17" s="42"/>
    </row>
    <row r="18" spans="1:8" ht="11.25" customHeight="1">
      <c r="A18" s="71" t="s">
        <v>48</v>
      </c>
      <c r="B18" s="71"/>
      <c r="C18" s="71"/>
      <c r="D18" s="71"/>
      <c r="E18" s="71"/>
      <c r="F18" s="71"/>
      <c r="G18" s="37"/>
      <c r="H18" s="37"/>
    </row>
    <row r="19" spans="1:8">
      <c r="A19" s="44"/>
      <c r="B19" s="44"/>
      <c r="C19" s="44"/>
      <c r="D19" s="44"/>
      <c r="E19" s="15"/>
      <c r="F19" s="33"/>
      <c r="G19" s="33"/>
      <c r="H19" s="33"/>
    </row>
    <row r="20" spans="1:8">
      <c r="G20" s="33"/>
      <c r="H20" s="33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F11" sqref="F11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2" spans="1:8" s="18" customFormat="1">
      <c r="A2" s="77" t="s">
        <v>22</v>
      </c>
      <c r="B2" s="77"/>
      <c r="C2" s="77"/>
      <c r="D2" s="12"/>
      <c r="E2" s="12"/>
      <c r="F2" s="12"/>
      <c r="G2" s="12"/>
      <c r="H2" s="12"/>
    </row>
    <row r="3" spans="1:8" s="7" customFormat="1">
      <c r="A3" s="6" t="s">
        <v>6</v>
      </c>
      <c r="B3" s="6" t="s">
        <v>12</v>
      </c>
      <c r="C3" s="6" t="s">
        <v>13</v>
      </c>
      <c r="F3" s="4"/>
      <c r="G3" s="4"/>
      <c r="H3" s="4"/>
    </row>
    <row r="4" spans="1:8" s="7" customFormat="1" ht="16.5" customHeight="1">
      <c r="A4" s="21">
        <v>202101</v>
      </c>
      <c r="B4" s="23">
        <f>G12</f>
        <v>3519040.35</v>
      </c>
      <c r="C4" s="19">
        <f>B4</f>
        <v>3519040.35</v>
      </c>
      <c r="F4" s="10"/>
      <c r="G4" s="10"/>
      <c r="H4" s="10"/>
    </row>
    <row r="6" spans="1:8" s="10" customFormat="1" ht="11.25" customHeight="1">
      <c r="A6" s="76" t="s">
        <v>20</v>
      </c>
      <c r="B6" s="76"/>
      <c r="C6" s="76"/>
      <c r="D6" s="76"/>
      <c r="E6" s="76"/>
      <c r="F6" s="76"/>
    </row>
    <row r="9" spans="1:8" s="12" customFormat="1">
      <c r="A9" s="77" t="s">
        <v>23</v>
      </c>
      <c r="B9" s="77"/>
      <c r="C9" s="77"/>
      <c r="D9" s="77"/>
    </row>
    <row r="10" spans="1:8">
      <c r="A10" s="2" t="s">
        <v>6</v>
      </c>
      <c r="B10" s="2" t="s">
        <v>9</v>
      </c>
      <c r="C10" s="2" t="s">
        <v>10</v>
      </c>
      <c r="D10" s="2" t="s">
        <v>15</v>
      </c>
      <c r="E10" s="2" t="s">
        <v>14</v>
      </c>
      <c r="F10" s="2" t="s">
        <v>16</v>
      </c>
      <c r="G10" s="2" t="s">
        <v>28</v>
      </c>
      <c r="H10" s="2" t="s">
        <v>29</v>
      </c>
    </row>
    <row r="11" spans="1:8">
      <c r="A11" s="21">
        <v>202101</v>
      </c>
      <c r="B11" s="24" t="s">
        <v>7</v>
      </c>
      <c r="C11" s="13">
        <v>4000000</v>
      </c>
      <c r="D11" s="13">
        <v>23460269</v>
      </c>
      <c r="E11" s="13">
        <f>D11-C11</f>
        <v>19460269</v>
      </c>
      <c r="F11" s="13">
        <f>(C11+E11)</f>
        <v>23460269</v>
      </c>
      <c r="G11" s="13">
        <f>F11*0.15</f>
        <v>3519040.35</v>
      </c>
      <c r="H11" s="15">
        <f>G11*50%</f>
        <v>1759520.175</v>
      </c>
    </row>
    <row r="12" spans="1:8">
      <c r="A12" s="8" t="s">
        <v>8</v>
      </c>
      <c r="B12" s="9"/>
      <c r="C12" s="13">
        <f>SUM(C11:C11)</f>
        <v>4000000</v>
      </c>
      <c r="D12" s="13">
        <f>SUM(D11:D11)</f>
        <v>23460269</v>
      </c>
      <c r="E12" s="13">
        <f>SUM(E11:E11)</f>
        <v>19460269</v>
      </c>
      <c r="F12" s="22">
        <f>SUM(F11:F11)</f>
        <v>23460269</v>
      </c>
      <c r="G12" s="14">
        <f>SUM(G11:G11)</f>
        <v>3519040.35</v>
      </c>
      <c r="H12" s="15">
        <f>G12*50%</f>
        <v>1759520.175</v>
      </c>
    </row>
    <row r="14" spans="1:8" ht="11.25" customHeight="1">
      <c r="A14" s="76" t="s">
        <v>11</v>
      </c>
      <c r="B14" s="76"/>
      <c r="C14" s="76"/>
      <c r="D14" s="76"/>
      <c r="E14" s="76"/>
      <c r="F14" s="76"/>
      <c r="G14" s="10"/>
      <c r="H14" s="10"/>
    </row>
    <row r="15" spans="1:8" ht="11.25" customHeight="1">
      <c r="A15" s="76" t="s">
        <v>18</v>
      </c>
      <c r="B15" s="76"/>
      <c r="C15" s="76"/>
      <c r="D15" s="76"/>
      <c r="E15" s="76"/>
      <c r="F15" s="76"/>
      <c r="G15" s="10"/>
      <c r="H15" s="10"/>
    </row>
    <row r="16" spans="1:8" s="17" customFormat="1" ht="11.25" customHeight="1">
      <c r="A16" s="78" t="s">
        <v>17</v>
      </c>
      <c r="B16" s="78"/>
      <c r="C16" s="78"/>
      <c r="D16" s="78"/>
      <c r="E16" s="78"/>
      <c r="F16" s="78"/>
      <c r="G16" s="16"/>
      <c r="H16" s="16"/>
    </row>
    <row r="17" spans="1:8" s="17" customFormat="1" ht="11.25" customHeight="1">
      <c r="A17" s="75" t="s">
        <v>19</v>
      </c>
      <c r="B17" s="75"/>
      <c r="C17" s="75"/>
      <c r="D17" s="75"/>
      <c r="E17" s="75"/>
      <c r="F17" s="75"/>
      <c r="G17" s="75"/>
      <c r="H17" s="16"/>
    </row>
    <row r="18" spans="1:8" ht="11.25" customHeight="1">
      <c r="A18" s="76" t="s">
        <v>24</v>
      </c>
      <c r="B18" s="76"/>
      <c r="C18" s="76"/>
      <c r="D18" s="76"/>
      <c r="E18" s="76"/>
      <c r="F18" s="76"/>
      <c r="G18" s="10"/>
      <c r="H18" s="10"/>
    </row>
    <row r="19" spans="1:8">
      <c r="A19" s="11"/>
      <c r="B19" s="11"/>
      <c r="C19" s="11"/>
      <c r="D19" s="11"/>
      <c r="E19" s="15"/>
      <c r="F19" s="7"/>
      <c r="G19" s="7"/>
      <c r="H19" s="7"/>
    </row>
    <row r="20" spans="1:8">
      <c r="G20" s="7"/>
      <c r="H20" s="7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E20" sqref="E20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2" spans="1:8" s="18" customFormat="1">
      <c r="A2" s="77" t="s">
        <v>22</v>
      </c>
      <c r="B2" s="77"/>
      <c r="C2" s="77"/>
      <c r="D2" s="12"/>
      <c r="E2" s="12"/>
      <c r="F2" s="12"/>
      <c r="G2" s="12"/>
      <c r="H2" s="12"/>
    </row>
    <row r="3" spans="1:8" s="7" customFormat="1">
      <c r="A3" s="6" t="s">
        <v>6</v>
      </c>
      <c r="B3" s="6" t="s">
        <v>12</v>
      </c>
      <c r="C3" s="6" t="s">
        <v>13</v>
      </c>
      <c r="F3" s="4"/>
      <c r="G3" s="4"/>
      <c r="H3" s="4"/>
    </row>
    <row r="4" spans="1:8" s="7" customFormat="1" ht="16.5" customHeight="1">
      <c r="A4" s="21">
        <v>202012</v>
      </c>
      <c r="B4" s="23">
        <f>G12</f>
        <v>3150000</v>
      </c>
      <c r="C4" s="19">
        <f>B4</f>
        <v>3150000</v>
      </c>
      <c r="F4" s="10"/>
      <c r="G4" s="10"/>
      <c r="H4" s="10"/>
    </row>
    <row r="6" spans="1:8" s="10" customFormat="1" ht="11.25" customHeight="1">
      <c r="A6" s="76" t="s">
        <v>20</v>
      </c>
      <c r="B6" s="76"/>
      <c r="C6" s="76"/>
      <c r="D6" s="76"/>
      <c r="E6" s="76"/>
      <c r="F6" s="76"/>
    </row>
    <row r="9" spans="1:8" s="12" customFormat="1">
      <c r="A9" s="77" t="s">
        <v>23</v>
      </c>
      <c r="B9" s="77"/>
      <c r="C9" s="77"/>
      <c r="D9" s="77"/>
    </row>
    <row r="10" spans="1:8">
      <c r="A10" s="2" t="s">
        <v>6</v>
      </c>
      <c r="B10" s="2" t="s">
        <v>9</v>
      </c>
      <c r="C10" s="2" t="s">
        <v>10</v>
      </c>
      <c r="D10" s="2" t="s">
        <v>15</v>
      </c>
      <c r="E10" s="2" t="s">
        <v>14</v>
      </c>
      <c r="F10" s="2" t="s">
        <v>16</v>
      </c>
      <c r="G10" s="2" t="s">
        <v>21</v>
      </c>
      <c r="H10" s="5"/>
    </row>
    <row r="11" spans="1:8">
      <c r="A11" s="21">
        <v>202012</v>
      </c>
      <c r="B11" s="24" t="s">
        <v>7</v>
      </c>
      <c r="C11" s="13">
        <f>1000000*21</f>
        <v>21000000</v>
      </c>
      <c r="D11" s="13">
        <v>18219406</v>
      </c>
      <c r="E11" s="13">
        <v>0</v>
      </c>
      <c r="F11" s="13">
        <f>(C11+E11)</f>
        <v>21000000</v>
      </c>
      <c r="G11" s="13">
        <f>F11*0.15</f>
        <v>3150000</v>
      </c>
      <c r="H11" s="7"/>
    </row>
    <row r="12" spans="1:8">
      <c r="A12" s="8" t="s">
        <v>8</v>
      </c>
      <c r="B12" s="9"/>
      <c r="C12" s="13">
        <f>SUM(C11:C11)</f>
        <v>21000000</v>
      </c>
      <c r="D12" s="13">
        <f>SUM(D11:D11)</f>
        <v>18219406</v>
      </c>
      <c r="E12" s="13">
        <f>SUM(E11:E11)</f>
        <v>0</v>
      </c>
      <c r="F12" s="22">
        <f>SUM(F11:F11)</f>
        <v>21000000</v>
      </c>
      <c r="G12" s="14">
        <f>SUM(G11:G11)</f>
        <v>3150000</v>
      </c>
      <c r="H12" s="7"/>
    </row>
    <row r="14" spans="1:8" ht="11.25" customHeight="1">
      <c r="A14" s="76" t="s">
        <v>11</v>
      </c>
      <c r="B14" s="76"/>
      <c r="C14" s="76"/>
      <c r="D14" s="76"/>
      <c r="E14" s="76"/>
      <c r="F14" s="76"/>
      <c r="G14" s="10"/>
      <c r="H14" s="10"/>
    </row>
    <row r="15" spans="1:8" ht="11.25" customHeight="1">
      <c r="A15" s="76" t="s">
        <v>18</v>
      </c>
      <c r="B15" s="76"/>
      <c r="C15" s="76"/>
      <c r="D15" s="76"/>
      <c r="E15" s="76"/>
      <c r="F15" s="76"/>
      <c r="G15" s="10"/>
      <c r="H15" s="10"/>
    </row>
    <row r="16" spans="1:8" s="17" customFormat="1" ht="11.25" customHeight="1">
      <c r="A16" s="78" t="s">
        <v>17</v>
      </c>
      <c r="B16" s="78"/>
      <c r="C16" s="78"/>
      <c r="D16" s="78"/>
      <c r="E16" s="78"/>
      <c r="F16" s="78"/>
      <c r="G16" s="16"/>
      <c r="H16" s="16"/>
    </row>
    <row r="17" spans="1:8" s="17" customFormat="1" ht="11.25" customHeight="1">
      <c r="A17" s="75" t="s">
        <v>19</v>
      </c>
      <c r="B17" s="75"/>
      <c r="C17" s="75"/>
      <c r="D17" s="75"/>
      <c r="E17" s="75"/>
      <c r="F17" s="75"/>
      <c r="G17" s="75"/>
      <c r="H17" s="16"/>
    </row>
    <row r="18" spans="1:8" ht="11.25" customHeight="1">
      <c r="A18" s="76" t="s">
        <v>24</v>
      </c>
      <c r="B18" s="76"/>
      <c r="C18" s="76"/>
      <c r="D18" s="76"/>
      <c r="E18" s="76"/>
      <c r="F18" s="76"/>
      <c r="G18" s="10"/>
      <c r="H18" s="10"/>
    </row>
    <row r="19" spans="1:8">
      <c r="A19" s="11"/>
      <c r="B19" s="11"/>
      <c r="C19" s="11"/>
      <c r="D19" s="11"/>
      <c r="E19" s="15"/>
      <c r="F19" s="7"/>
      <c r="G19" s="7"/>
      <c r="H19" s="7"/>
    </row>
    <row r="20" spans="1:8">
      <c r="G20" s="7"/>
      <c r="H20" s="7"/>
    </row>
  </sheetData>
  <mergeCells count="8">
    <mergeCell ref="A17:G17"/>
    <mergeCell ref="A18:F18"/>
    <mergeCell ref="A2:C2"/>
    <mergeCell ref="A6:F6"/>
    <mergeCell ref="A9:D9"/>
    <mergeCell ref="A14:F14"/>
    <mergeCell ref="A15:F15"/>
    <mergeCell ref="A16:F16"/>
  </mergeCells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서비스현황</vt:lpstr>
      <vt:lpstr>합계(12)</vt:lpstr>
      <vt:lpstr>202112</vt:lpstr>
      <vt:lpstr>202111</vt:lpstr>
      <vt:lpstr>202110</vt:lpstr>
      <vt:lpstr>202109</vt:lpstr>
      <vt:lpstr>202108</vt:lpstr>
      <vt:lpstr>202107</vt:lpstr>
      <vt:lpstr>202106</vt:lpstr>
      <vt:lpstr>202105</vt:lpstr>
      <vt:lpstr>202104</vt:lpstr>
      <vt:lpstr>202103</vt:lpstr>
      <vt:lpstr>202102</vt:lpstr>
      <vt:lpstr>202101</vt:lpstr>
      <vt:lpstr>202012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월별 정산금액 조회</dc:title>
  <dc:creator>B-SHLEE</dc:creator>
  <cp:lastModifiedBy>jihui</cp:lastModifiedBy>
  <cp:revision>16</cp:revision>
  <cp:lastPrinted>2015-04-29T11:42:30Z</cp:lastPrinted>
  <dcterms:created xsi:type="dcterms:W3CDTF">2012-11-29T06:46:34Z</dcterms:created>
  <dcterms:modified xsi:type="dcterms:W3CDTF">2022-01-26T02:24:35Z</dcterms:modified>
</cp:coreProperties>
</file>