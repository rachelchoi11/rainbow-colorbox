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)" sheetId="2" r:id="rId1"/>
    <sheet name="더컴퍼니" sheetId="3" r:id="rId2"/>
    <sheet name="밀리의 서재" sheetId="4" r:id="rId3"/>
  </sheets>
  <definedNames>
    <definedName name="_xlnm._FilterDatabase" localSheetId="1" hidden="1">더컴퍼니!$A$1:$Q$1</definedName>
    <definedName name="_xlnm._FilterDatabase" localSheetId="2" hidden="1">'밀리의 서재'!$A$1:$Q$1</definedName>
    <definedName name="_xlnm._FilterDatabase" localSheetId="0" hidden="1">'합계(1)'!$A$1:$Q$1</definedName>
    <definedName name="_xlnm.Extract" localSheetId="1">더컴퍼니!#REF!</definedName>
    <definedName name="_xlnm.Extract" localSheetId="2">'밀리의 서재'!#REF!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AB4" i="4" l="1"/>
  <c r="AB18" i="3"/>
  <c r="AB19" i="2" l="1"/>
</calcChain>
</file>

<file path=xl/sharedStrings.xml><?xml version="1.0" encoding="utf-8"?>
<sst xmlns="http://schemas.openxmlformats.org/spreadsheetml/2006/main" count="323" uniqueCount="51">
  <si>
    <t>작품명</t>
  </si>
  <si>
    <t>출판사</t>
  </si>
  <si>
    <t>결제유형</t>
  </si>
  <si>
    <t>플랫폼</t>
  </si>
  <si>
    <t>언어</t>
  </si>
  <si>
    <t>작가</t>
  </si>
  <si>
    <t>배분금액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</si>
  <si>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</si>
  <si>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</si>
  <si>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</si>
  <si>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</si>
  <si>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</si>
  <si>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</si>
  <si>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</si>
  <si>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</si>
  <si>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</si>
  <si>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</si>
  <si>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</si>
  <si>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</si>
  <si>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</si>
  <si>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</si>
  <si>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</si>
  <si>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</si>
  <si>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</si>
  <si>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</si>
  <si>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</si>
  <si>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</si>
  <si>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</si>
  <si>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</si>
  <si>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한국코미코</t>
  </si>
  <si>
    <t>[BL] 그을린 신기루 [완]</t>
  </si>
  <si>
    <t>Korean</t>
  </si>
  <si>
    <t>녹지</t>
  </si>
  <si>
    <t>일반결제</t>
  </si>
  <si>
    <t>OneStore</t>
  </si>
  <si>
    <t>[BL] 뉴욕 키스 스캔들 [완]</t>
  </si>
  <si>
    <t>용가리맛쿠키</t>
  </si>
  <si>
    <t>[BL] 모어 댄 블루(More than BLUE) [완]</t>
  </si>
  <si>
    <t>나나코</t>
  </si>
  <si>
    <t>[BL] 소년연애담 [완]</t>
  </si>
  <si>
    <t>[BL] 얼음이 녹아내리는 동안 [완]</t>
  </si>
  <si>
    <t>[BL] 엠프티(Empty) [완]</t>
  </si>
  <si>
    <t>라돌체</t>
  </si>
  <si>
    <t>[BL] 음양상열지사 [완]</t>
  </si>
  <si>
    <t>이염</t>
  </si>
  <si>
    <t>꼭꼭 숨어라(Wherever you are)</t>
  </si>
  <si>
    <t>감또개</t>
  </si>
  <si>
    <t>낯선 밤에 마주친 [완]</t>
  </si>
  <si>
    <t>춈춈</t>
  </si>
  <si>
    <t>더컴퍼니</t>
  </si>
  <si>
    <t>밀리의 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</si>
</sst>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.##%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EE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4" fontId="0" fillId="4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41" fontId="0" fillId="2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right" vertical="center"/>
    </xf>
    <xf numFmtId="41" fontId="0" fillId="0" borderId="0" xfId="1" applyFont="1">
      <alignment vertical="center"/>
    </xf>
    <xf numFmtId="41" fontId="0" fillId="3" borderId="0" xfId="1" applyFont="1" applyFill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>
      <alignment vertical="center"/>
    </xf>
    <xf numFmtId="0" fontId="0" fillId="0" borderId="2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2"/>
  <sheetViews>
    <sheetView tabSelected="1" zoomScale="72" zoomScaleNormal="72" workbookViewId="0">
      <selection activeCell="E5" sqref="E5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296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bestFit="1" customWidth="1"/>
  </cols>
  <sheetData>
    <row r="1" spans="1:28" x14ac:dyDescent="0.4">
      <c r="A1" s="12" t="s">
        <v>3</v>
      </c>
      <c r="B1" s="12" t="s">
        <v>7</v>
      </c>
      <c r="C1" s="12" t="s">
        <v>4</v>
      </c>
      <c r="D1" s="12" t="s">
        <v>0</v>
      </c>
      <c r="E1" s="12" t="s">
        <v>5</v>
      </c>
      <c r="F1" s="12" t="s">
        <v>1</v>
      </c>
      <c r="G1" s="12" t="s">
        <v>2</v>
      </c>
      <c r="H1" s="12" t="s">
        <v>8</v>
      </c>
      <c r="I1" s="14"/>
      <c r="J1" s="14"/>
      <c r="K1" s="13"/>
      <c r="L1" s="12" t="s">
        <v>9</v>
      </c>
      <c r="M1" s="14"/>
      <c r="N1" s="14"/>
      <c r="O1" s="13"/>
      <c r="P1" s="12" t="s">
        <v>10</v>
      </c>
      <c r="Q1" s="12" t="s">
        <v>11</v>
      </c>
      <c r="R1" s="14"/>
      <c r="S1" s="14"/>
      <c r="T1" s="14"/>
      <c r="U1" s="13"/>
      <c r="V1" s="12" t="s">
        <v>12</v>
      </c>
      <c r="W1" s="14"/>
      <c r="X1" s="14"/>
      <c r="Y1" s="14"/>
      <c r="Z1" s="13"/>
      <c r="AA1" s="12" t="s">
        <v>13</v>
      </c>
      <c r="AB1" s="13"/>
    </row>
    <row r="2" spans="1:28" x14ac:dyDescent="0.4">
      <c r="A2" s="12"/>
      <c r="B2" s="12"/>
      <c r="C2" s="12"/>
      <c r="D2" s="12"/>
      <c r="E2" s="12"/>
      <c r="F2" s="12"/>
      <c r="G2" s="12"/>
      <c r="H2" s="1" t="s">
        <v>14</v>
      </c>
      <c r="I2" s="1" t="s">
        <v>15</v>
      </c>
      <c r="J2" s="1" t="s">
        <v>16</v>
      </c>
      <c r="K2" s="1" t="s">
        <v>17</v>
      </c>
      <c r="L2" s="1" t="s">
        <v>14</v>
      </c>
      <c r="M2" s="1" t="s">
        <v>15</v>
      </c>
      <c r="N2" s="1" t="s">
        <v>16</v>
      </c>
      <c r="O2" s="1" t="s">
        <v>17</v>
      </c>
      <c r="P2" s="12"/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8" t="s">
        <v>6</v>
      </c>
    </row>
    <row r="3" spans="1:28" x14ac:dyDescent="0.4">
      <c r="A3" s="3" t="s">
        <v>29</v>
      </c>
      <c r="B3" s="4" t="s">
        <v>30</v>
      </c>
      <c r="C3" s="4" t="s">
        <v>31</v>
      </c>
      <c r="D3" s="4" t="s">
        <v>30</v>
      </c>
      <c r="E3" s="4" t="s">
        <v>32</v>
      </c>
      <c r="F3" s="4" t="s">
        <v>49</v>
      </c>
      <c r="G3" s="3" t="s">
        <v>33</v>
      </c>
      <c r="H3" s="5">
        <v>0</v>
      </c>
      <c r="I3" s="5">
        <v>0</v>
      </c>
      <c r="J3" s="5">
        <v>0</v>
      </c>
      <c r="K3" s="5">
        <v>0</v>
      </c>
      <c r="L3" s="5">
        <v>58</v>
      </c>
      <c r="M3" s="5">
        <v>0</v>
      </c>
      <c r="N3" s="5">
        <v>0</v>
      </c>
      <c r="O3" s="5">
        <v>0</v>
      </c>
      <c r="P3" s="5">
        <v>58</v>
      </c>
      <c r="Q3" s="6">
        <v>5800</v>
      </c>
      <c r="R3" s="7">
        <v>0</v>
      </c>
      <c r="S3" s="6">
        <v>5800</v>
      </c>
      <c r="T3" s="7">
        <v>0.7</v>
      </c>
      <c r="U3" s="6">
        <v>4060</v>
      </c>
      <c r="V3" s="6">
        <v>0</v>
      </c>
      <c r="W3" s="7">
        <v>0</v>
      </c>
      <c r="X3" s="6">
        <v>0</v>
      </c>
      <c r="Y3" s="7">
        <v>0.7</v>
      </c>
      <c r="Z3" s="6">
        <v>0</v>
      </c>
      <c r="AA3" s="6">
        <v>5800</v>
      </c>
      <c r="AB3" s="9">
        <v>4060</v>
      </c>
    </row>
    <row r="4" spans="1:28" x14ac:dyDescent="0.4">
      <c r="A4" s="3" t="s">
        <v>29</v>
      </c>
      <c r="B4" s="4" t="s">
        <v>30</v>
      </c>
      <c r="C4" s="4" t="s">
        <v>31</v>
      </c>
      <c r="D4" s="4" t="s">
        <v>30</v>
      </c>
      <c r="E4" s="4" t="s">
        <v>32</v>
      </c>
      <c r="F4" s="4" t="s">
        <v>49</v>
      </c>
      <c r="G4" s="3" t="s">
        <v>34</v>
      </c>
      <c r="H4" s="5">
        <v>0</v>
      </c>
      <c r="I4" s="5">
        <v>0</v>
      </c>
      <c r="J4" s="5">
        <v>0</v>
      </c>
      <c r="K4" s="5">
        <v>0</v>
      </c>
      <c r="L4" s="5">
        <v>29</v>
      </c>
      <c r="M4" s="5">
        <v>0</v>
      </c>
      <c r="N4" s="5">
        <v>0</v>
      </c>
      <c r="O4" s="5">
        <v>0</v>
      </c>
      <c r="P4" s="5">
        <v>29</v>
      </c>
      <c r="Q4" s="6">
        <v>2900</v>
      </c>
      <c r="R4" s="7">
        <v>0</v>
      </c>
      <c r="S4" s="6">
        <v>2900</v>
      </c>
      <c r="T4" s="7">
        <v>0.7</v>
      </c>
      <c r="U4" s="6">
        <v>2030</v>
      </c>
      <c r="V4" s="6">
        <v>0</v>
      </c>
      <c r="W4" s="7">
        <v>0</v>
      </c>
      <c r="X4" s="6">
        <v>0</v>
      </c>
      <c r="Y4" s="7">
        <v>0.7</v>
      </c>
      <c r="Z4" s="6">
        <v>0</v>
      </c>
      <c r="AA4" s="6">
        <v>2900</v>
      </c>
      <c r="AB4" s="9">
        <v>2030</v>
      </c>
    </row>
    <row r="5" spans="1:28" x14ac:dyDescent="0.4">
      <c r="A5" s="3" t="s">
        <v>29</v>
      </c>
      <c r="B5" s="4" t="s">
        <v>35</v>
      </c>
      <c r="C5" s="4" t="s">
        <v>31</v>
      </c>
      <c r="D5" s="4" t="s">
        <v>35</v>
      </c>
      <c r="E5" s="4" t="s">
        <v>36</v>
      </c>
      <c r="F5" s="4" t="s">
        <v>49</v>
      </c>
      <c r="G5" s="3" t="s">
        <v>33</v>
      </c>
      <c r="H5" s="5">
        <v>0</v>
      </c>
      <c r="I5" s="5">
        <v>0</v>
      </c>
      <c r="J5" s="5">
        <v>0</v>
      </c>
      <c r="K5" s="5">
        <v>0</v>
      </c>
      <c r="L5" s="5">
        <v>78</v>
      </c>
      <c r="M5" s="5">
        <v>0</v>
      </c>
      <c r="N5" s="5">
        <v>0</v>
      </c>
      <c r="O5" s="5">
        <v>0</v>
      </c>
      <c r="P5" s="5">
        <v>78</v>
      </c>
      <c r="Q5" s="6">
        <v>7800</v>
      </c>
      <c r="R5" s="7">
        <v>0</v>
      </c>
      <c r="S5" s="6">
        <v>7800</v>
      </c>
      <c r="T5" s="7">
        <v>0.7</v>
      </c>
      <c r="U5" s="6">
        <v>5460</v>
      </c>
      <c r="V5" s="6">
        <v>0</v>
      </c>
      <c r="W5" s="7">
        <v>0</v>
      </c>
      <c r="X5" s="6">
        <v>0</v>
      </c>
      <c r="Y5" s="7">
        <v>0.7</v>
      </c>
      <c r="Z5" s="6">
        <v>0</v>
      </c>
      <c r="AA5" s="6">
        <v>7800</v>
      </c>
      <c r="AB5" s="9">
        <v>5460</v>
      </c>
    </row>
    <row r="6" spans="1:28" x14ac:dyDescent="0.4">
      <c r="A6" s="3" t="s">
        <v>29</v>
      </c>
      <c r="B6" s="4" t="s">
        <v>35</v>
      </c>
      <c r="C6" s="4" t="s">
        <v>31</v>
      </c>
      <c r="D6" s="4" t="s">
        <v>35</v>
      </c>
      <c r="E6" s="4" t="s">
        <v>36</v>
      </c>
      <c r="F6" s="4" t="s">
        <v>49</v>
      </c>
      <c r="G6" s="3" t="s">
        <v>34</v>
      </c>
      <c r="H6" s="5">
        <v>0</v>
      </c>
      <c r="I6" s="5">
        <v>0</v>
      </c>
      <c r="J6" s="5">
        <v>0</v>
      </c>
      <c r="K6" s="5">
        <v>0</v>
      </c>
      <c r="L6" s="5">
        <v>39</v>
      </c>
      <c r="M6" s="5">
        <v>0</v>
      </c>
      <c r="N6" s="5">
        <v>0</v>
      </c>
      <c r="O6" s="5">
        <v>0</v>
      </c>
      <c r="P6" s="5">
        <v>39</v>
      </c>
      <c r="Q6" s="6">
        <v>3900</v>
      </c>
      <c r="R6" s="7">
        <v>0</v>
      </c>
      <c r="S6" s="6">
        <v>3900</v>
      </c>
      <c r="T6" s="7">
        <v>0.7</v>
      </c>
      <c r="U6" s="6">
        <v>2730</v>
      </c>
      <c r="V6" s="6">
        <v>0</v>
      </c>
      <c r="W6" s="7">
        <v>0</v>
      </c>
      <c r="X6" s="6">
        <v>0</v>
      </c>
      <c r="Y6" s="7">
        <v>0.7</v>
      </c>
      <c r="Z6" s="6">
        <v>0</v>
      </c>
      <c r="AA6" s="6">
        <v>3900</v>
      </c>
      <c r="AB6" s="9">
        <v>2730</v>
      </c>
    </row>
    <row r="7" spans="1:28" x14ac:dyDescent="0.4">
      <c r="A7" s="3" t="s">
        <v>29</v>
      </c>
      <c r="B7" s="4" t="s">
        <v>37</v>
      </c>
      <c r="C7" s="4" t="s">
        <v>31</v>
      </c>
      <c r="D7" s="4" t="s">
        <v>37</v>
      </c>
      <c r="E7" s="4" t="s">
        <v>38</v>
      </c>
      <c r="F7" s="4" t="s">
        <v>49</v>
      </c>
      <c r="G7" s="3" t="s">
        <v>33</v>
      </c>
      <c r="H7" s="5">
        <v>0</v>
      </c>
      <c r="I7" s="5">
        <v>0</v>
      </c>
      <c r="J7" s="5">
        <v>0</v>
      </c>
      <c r="K7" s="5">
        <v>0</v>
      </c>
      <c r="L7" s="5">
        <v>280</v>
      </c>
      <c r="M7" s="5">
        <v>0</v>
      </c>
      <c r="N7" s="5">
        <v>0</v>
      </c>
      <c r="O7" s="5">
        <v>0</v>
      </c>
      <c r="P7" s="5">
        <v>280</v>
      </c>
      <c r="Q7" s="6">
        <v>28000</v>
      </c>
      <c r="R7" s="7">
        <v>0</v>
      </c>
      <c r="S7" s="6">
        <v>28000</v>
      </c>
      <c r="T7" s="7">
        <v>0.7</v>
      </c>
      <c r="U7" s="6">
        <v>19600</v>
      </c>
      <c r="V7" s="6">
        <v>0</v>
      </c>
      <c r="W7" s="7">
        <v>0</v>
      </c>
      <c r="X7" s="6">
        <v>0</v>
      </c>
      <c r="Y7" s="7">
        <v>0.7</v>
      </c>
      <c r="Z7" s="6">
        <v>0</v>
      </c>
      <c r="AA7" s="6">
        <v>28000</v>
      </c>
      <c r="AB7" s="9">
        <v>19600</v>
      </c>
    </row>
    <row r="8" spans="1:28" x14ac:dyDescent="0.4">
      <c r="A8" s="3" t="s">
        <v>29</v>
      </c>
      <c r="B8" s="4" t="s">
        <v>37</v>
      </c>
      <c r="C8" s="4" t="s">
        <v>31</v>
      </c>
      <c r="D8" s="4" t="s">
        <v>37</v>
      </c>
      <c r="E8" s="4" t="s">
        <v>38</v>
      </c>
      <c r="F8" s="4" t="s">
        <v>49</v>
      </c>
      <c r="G8" s="3" t="s">
        <v>34</v>
      </c>
      <c r="H8" s="5">
        <v>0</v>
      </c>
      <c r="I8" s="5">
        <v>0</v>
      </c>
      <c r="J8" s="5">
        <v>0</v>
      </c>
      <c r="K8" s="5">
        <v>0</v>
      </c>
      <c r="L8" s="5">
        <v>255</v>
      </c>
      <c r="M8" s="5">
        <v>0</v>
      </c>
      <c r="N8" s="5">
        <v>25</v>
      </c>
      <c r="O8" s="5">
        <v>0</v>
      </c>
      <c r="P8" s="5">
        <v>280</v>
      </c>
      <c r="Q8" s="6">
        <v>25500</v>
      </c>
      <c r="R8" s="7">
        <v>0</v>
      </c>
      <c r="S8" s="6">
        <v>25500</v>
      </c>
      <c r="T8" s="7">
        <v>0.7</v>
      </c>
      <c r="U8" s="6">
        <v>17850</v>
      </c>
      <c r="V8" s="6">
        <v>2500</v>
      </c>
      <c r="W8" s="7">
        <v>0</v>
      </c>
      <c r="X8" s="6">
        <v>2500</v>
      </c>
      <c r="Y8" s="7">
        <v>0.7</v>
      </c>
      <c r="Z8" s="6">
        <v>1750</v>
      </c>
      <c r="AA8" s="6">
        <v>28000</v>
      </c>
      <c r="AB8" s="9">
        <v>19600</v>
      </c>
    </row>
    <row r="9" spans="1:28" x14ac:dyDescent="0.4">
      <c r="A9" s="3" t="s">
        <v>29</v>
      </c>
      <c r="B9" s="4" t="s">
        <v>39</v>
      </c>
      <c r="C9" s="4" t="s">
        <v>31</v>
      </c>
      <c r="D9" s="4" t="s">
        <v>39</v>
      </c>
      <c r="E9" s="4" t="s">
        <v>38</v>
      </c>
      <c r="F9" s="4" t="s">
        <v>49</v>
      </c>
      <c r="G9" s="3" t="s">
        <v>33</v>
      </c>
      <c r="H9" s="5">
        <v>0</v>
      </c>
      <c r="I9" s="5">
        <v>0</v>
      </c>
      <c r="J9" s="5">
        <v>0</v>
      </c>
      <c r="K9" s="5">
        <v>0</v>
      </c>
      <c r="L9" s="5">
        <v>25</v>
      </c>
      <c r="M9" s="5">
        <v>0</v>
      </c>
      <c r="N9" s="5">
        <v>0</v>
      </c>
      <c r="O9" s="5">
        <v>0</v>
      </c>
      <c r="P9" s="5">
        <v>25</v>
      </c>
      <c r="Q9" s="6">
        <v>2500</v>
      </c>
      <c r="R9" s="7">
        <v>0</v>
      </c>
      <c r="S9" s="6">
        <v>2500</v>
      </c>
      <c r="T9" s="7">
        <v>0.7</v>
      </c>
      <c r="U9" s="6">
        <v>1750</v>
      </c>
      <c r="V9" s="6">
        <v>0</v>
      </c>
      <c r="W9" s="7">
        <v>0</v>
      </c>
      <c r="X9" s="6">
        <v>0</v>
      </c>
      <c r="Y9" s="7">
        <v>0.7</v>
      </c>
      <c r="Z9" s="6">
        <v>0</v>
      </c>
      <c r="AA9" s="6">
        <v>2500</v>
      </c>
      <c r="AB9" s="9">
        <v>1750</v>
      </c>
    </row>
    <row r="10" spans="1:28" x14ac:dyDescent="0.4">
      <c r="A10" s="3" t="s">
        <v>29</v>
      </c>
      <c r="B10" s="4" t="s">
        <v>39</v>
      </c>
      <c r="C10" s="4" t="s">
        <v>31</v>
      </c>
      <c r="D10" s="4" t="s">
        <v>39</v>
      </c>
      <c r="E10" s="4" t="s">
        <v>38</v>
      </c>
      <c r="F10" s="4" t="s">
        <v>49</v>
      </c>
      <c r="G10" s="3" t="s">
        <v>34</v>
      </c>
      <c r="H10" s="5">
        <v>0</v>
      </c>
      <c r="I10" s="5">
        <v>0</v>
      </c>
      <c r="J10" s="5">
        <v>0</v>
      </c>
      <c r="K10" s="5">
        <v>0</v>
      </c>
      <c r="L10" s="5">
        <v>35</v>
      </c>
      <c r="M10" s="5">
        <v>0</v>
      </c>
      <c r="N10" s="5">
        <v>15</v>
      </c>
      <c r="O10" s="5">
        <v>0</v>
      </c>
      <c r="P10" s="5">
        <v>50</v>
      </c>
      <c r="Q10" s="6">
        <v>3500</v>
      </c>
      <c r="R10" s="7">
        <v>0</v>
      </c>
      <c r="S10" s="6">
        <v>3500</v>
      </c>
      <c r="T10" s="7">
        <v>0.7</v>
      </c>
      <c r="U10" s="6">
        <v>2450</v>
      </c>
      <c r="V10" s="6">
        <v>1500</v>
      </c>
      <c r="W10" s="7">
        <v>0</v>
      </c>
      <c r="X10" s="6">
        <v>1500</v>
      </c>
      <c r="Y10" s="7">
        <v>0.7</v>
      </c>
      <c r="Z10" s="6">
        <v>1050</v>
      </c>
      <c r="AA10" s="6">
        <v>5000</v>
      </c>
      <c r="AB10" s="9">
        <v>3500</v>
      </c>
    </row>
    <row r="11" spans="1:28" x14ac:dyDescent="0.4">
      <c r="A11" s="3" t="s">
        <v>29</v>
      </c>
      <c r="B11" s="4" t="s">
        <v>40</v>
      </c>
      <c r="C11" s="4" t="s">
        <v>31</v>
      </c>
      <c r="D11" s="4" t="s">
        <v>40</v>
      </c>
      <c r="E11" s="4" t="s">
        <v>36</v>
      </c>
      <c r="F11" s="4" t="s">
        <v>49</v>
      </c>
      <c r="G11" s="3" t="s">
        <v>33</v>
      </c>
      <c r="H11" s="5">
        <v>0</v>
      </c>
      <c r="I11" s="5">
        <v>0</v>
      </c>
      <c r="J11" s="5">
        <v>0</v>
      </c>
      <c r="K11" s="5">
        <v>0</v>
      </c>
      <c r="L11" s="5">
        <v>135</v>
      </c>
      <c r="M11" s="5">
        <v>0</v>
      </c>
      <c r="N11" s="5">
        <v>0</v>
      </c>
      <c r="O11" s="5">
        <v>0</v>
      </c>
      <c r="P11" s="5">
        <v>135</v>
      </c>
      <c r="Q11" s="6">
        <v>13500</v>
      </c>
      <c r="R11" s="7">
        <v>0</v>
      </c>
      <c r="S11" s="6">
        <v>13500</v>
      </c>
      <c r="T11" s="7">
        <v>0.7</v>
      </c>
      <c r="U11" s="6">
        <v>9450</v>
      </c>
      <c r="V11" s="6">
        <v>0</v>
      </c>
      <c r="W11" s="7">
        <v>0</v>
      </c>
      <c r="X11" s="6">
        <v>0</v>
      </c>
      <c r="Y11" s="7">
        <v>0.7</v>
      </c>
      <c r="Z11" s="6">
        <v>0</v>
      </c>
      <c r="AA11" s="6">
        <v>13500</v>
      </c>
      <c r="AB11" s="9">
        <v>9450</v>
      </c>
    </row>
    <row r="12" spans="1:28" x14ac:dyDescent="0.4">
      <c r="A12" s="3" t="s">
        <v>29</v>
      </c>
      <c r="B12" s="4" t="s">
        <v>40</v>
      </c>
      <c r="C12" s="4" t="s">
        <v>31</v>
      </c>
      <c r="D12" s="4" t="s">
        <v>40</v>
      </c>
      <c r="E12" s="4" t="s">
        <v>36</v>
      </c>
      <c r="F12" s="4" t="s">
        <v>49</v>
      </c>
      <c r="G12" s="3" t="s">
        <v>34</v>
      </c>
      <c r="H12" s="5">
        <v>0</v>
      </c>
      <c r="I12" s="5">
        <v>0</v>
      </c>
      <c r="J12" s="5">
        <v>0</v>
      </c>
      <c r="K12" s="5">
        <v>0</v>
      </c>
      <c r="L12" s="5">
        <v>54</v>
      </c>
      <c r="M12" s="5">
        <v>0</v>
      </c>
      <c r="N12" s="5">
        <v>0</v>
      </c>
      <c r="O12" s="5">
        <v>0</v>
      </c>
      <c r="P12" s="5">
        <v>54</v>
      </c>
      <c r="Q12" s="6">
        <v>5400</v>
      </c>
      <c r="R12" s="7">
        <v>0</v>
      </c>
      <c r="S12" s="6">
        <v>5400</v>
      </c>
      <c r="T12" s="7">
        <v>0.7</v>
      </c>
      <c r="U12" s="6">
        <v>3780</v>
      </c>
      <c r="V12" s="6">
        <v>0</v>
      </c>
      <c r="W12" s="7">
        <v>0</v>
      </c>
      <c r="X12" s="6">
        <v>0</v>
      </c>
      <c r="Y12" s="7">
        <v>0.7</v>
      </c>
      <c r="Z12" s="6">
        <v>0</v>
      </c>
      <c r="AA12" s="6">
        <v>5400</v>
      </c>
      <c r="AB12" s="9">
        <v>3780</v>
      </c>
    </row>
    <row r="13" spans="1:28" x14ac:dyDescent="0.4">
      <c r="A13" s="3" t="s">
        <v>29</v>
      </c>
      <c r="B13" s="4" t="s">
        <v>41</v>
      </c>
      <c r="C13" s="4" t="s">
        <v>31</v>
      </c>
      <c r="D13" s="4" t="s">
        <v>41</v>
      </c>
      <c r="E13" s="4" t="s">
        <v>42</v>
      </c>
      <c r="F13" s="4" t="s">
        <v>49</v>
      </c>
      <c r="G13" s="3" t="s">
        <v>33</v>
      </c>
      <c r="H13" s="5">
        <v>0</v>
      </c>
      <c r="I13" s="5">
        <v>0</v>
      </c>
      <c r="J13" s="5">
        <v>0</v>
      </c>
      <c r="K13" s="5">
        <v>0</v>
      </c>
      <c r="L13" s="5">
        <v>327</v>
      </c>
      <c r="M13" s="5">
        <v>0</v>
      </c>
      <c r="N13" s="5">
        <v>20</v>
      </c>
      <c r="O13" s="5">
        <v>0</v>
      </c>
      <c r="P13" s="5">
        <v>347</v>
      </c>
      <c r="Q13" s="6">
        <v>32700</v>
      </c>
      <c r="R13" s="7">
        <v>0</v>
      </c>
      <c r="S13" s="6">
        <v>32700</v>
      </c>
      <c r="T13" s="7">
        <v>0.7</v>
      </c>
      <c r="U13" s="6">
        <v>22890</v>
      </c>
      <c r="V13" s="6">
        <v>2000</v>
      </c>
      <c r="W13" s="7">
        <v>0</v>
      </c>
      <c r="X13" s="6">
        <v>2000</v>
      </c>
      <c r="Y13" s="7">
        <v>0.7</v>
      </c>
      <c r="Z13" s="6">
        <v>1400</v>
      </c>
      <c r="AA13" s="6">
        <v>34700</v>
      </c>
      <c r="AB13" s="9">
        <v>24290</v>
      </c>
    </row>
    <row r="14" spans="1:28" x14ac:dyDescent="0.4">
      <c r="A14" s="3" t="s">
        <v>29</v>
      </c>
      <c r="B14" s="4" t="s">
        <v>41</v>
      </c>
      <c r="C14" s="4" t="s">
        <v>31</v>
      </c>
      <c r="D14" s="4" t="s">
        <v>41</v>
      </c>
      <c r="E14" s="4" t="s">
        <v>42</v>
      </c>
      <c r="F14" s="4" t="s">
        <v>49</v>
      </c>
      <c r="G14" s="3" t="s">
        <v>34</v>
      </c>
      <c r="H14" s="5">
        <v>0</v>
      </c>
      <c r="I14" s="5">
        <v>0</v>
      </c>
      <c r="J14" s="5">
        <v>0</v>
      </c>
      <c r="K14" s="5">
        <v>0</v>
      </c>
      <c r="L14" s="5">
        <v>20</v>
      </c>
      <c r="M14" s="5">
        <v>0</v>
      </c>
      <c r="N14" s="5">
        <v>5</v>
      </c>
      <c r="O14" s="5">
        <v>0</v>
      </c>
      <c r="P14" s="5">
        <v>25</v>
      </c>
      <c r="Q14" s="6">
        <v>2000</v>
      </c>
      <c r="R14" s="7">
        <v>0</v>
      </c>
      <c r="S14" s="6">
        <v>2000</v>
      </c>
      <c r="T14" s="7">
        <v>0.7</v>
      </c>
      <c r="U14" s="6">
        <v>1400</v>
      </c>
      <c r="V14" s="6">
        <v>500</v>
      </c>
      <c r="W14" s="7">
        <v>0</v>
      </c>
      <c r="X14" s="6">
        <v>500</v>
      </c>
      <c r="Y14" s="7">
        <v>0.7</v>
      </c>
      <c r="Z14" s="6">
        <v>350</v>
      </c>
      <c r="AA14" s="6">
        <v>2500</v>
      </c>
      <c r="AB14" s="9">
        <v>1750</v>
      </c>
    </row>
    <row r="15" spans="1:28" x14ac:dyDescent="0.4">
      <c r="A15" s="3" t="s">
        <v>29</v>
      </c>
      <c r="B15" s="4" t="s">
        <v>43</v>
      </c>
      <c r="C15" s="4" t="s">
        <v>31</v>
      </c>
      <c r="D15" s="4" t="s">
        <v>43</v>
      </c>
      <c r="E15" s="4" t="s">
        <v>44</v>
      </c>
      <c r="F15" s="4" t="s">
        <v>49</v>
      </c>
      <c r="G15" s="3" t="s">
        <v>33</v>
      </c>
      <c r="H15" s="5">
        <v>0</v>
      </c>
      <c r="I15" s="5">
        <v>0</v>
      </c>
      <c r="J15" s="5">
        <v>0</v>
      </c>
      <c r="K15" s="5">
        <v>0</v>
      </c>
      <c r="L15" s="5">
        <v>254</v>
      </c>
      <c r="M15" s="5">
        <v>0</v>
      </c>
      <c r="N15" s="5">
        <v>15</v>
      </c>
      <c r="O15" s="5">
        <v>0</v>
      </c>
      <c r="P15" s="5">
        <v>269</v>
      </c>
      <c r="Q15" s="6">
        <v>25400</v>
      </c>
      <c r="R15" s="7">
        <v>0</v>
      </c>
      <c r="S15" s="6">
        <v>25400</v>
      </c>
      <c r="T15" s="7">
        <v>0.7</v>
      </c>
      <c r="U15" s="6">
        <v>17780</v>
      </c>
      <c r="V15" s="6">
        <v>1500</v>
      </c>
      <c r="W15" s="7">
        <v>0</v>
      </c>
      <c r="X15" s="6">
        <v>1500</v>
      </c>
      <c r="Y15" s="7">
        <v>0.7</v>
      </c>
      <c r="Z15" s="6">
        <v>1050</v>
      </c>
      <c r="AA15" s="6">
        <v>26900</v>
      </c>
      <c r="AB15" s="9">
        <v>18830</v>
      </c>
    </row>
    <row r="16" spans="1:28" x14ac:dyDescent="0.4">
      <c r="A16" s="3" t="s">
        <v>29</v>
      </c>
      <c r="B16" s="4" t="s">
        <v>43</v>
      </c>
      <c r="C16" s="4" t="s">
        <v>31</v>
      </c>
      <c r="D16" s="4" t="s">
        <v>43</v>
      </c>
      <c r="E16" s="4" t="s">
        <v>44</v>
      </c>
      <c r="F16" s="4" t="s">
        <v>49</v>
      </c>
      <c r="G16" s="3" t="s">
        <v>34</v>
      </c>
      <c r="H16" s="5">
        <v>0</v>
      </c>
      <c r="I16" s="5">
        <v>0</v>
      </c>
      <c r="J16" s="5">
        <v>0</v>
      </c>
      <c r="K16" s="5">
        <v>0</v>
      </c>
      <c r="L16" s="5">
        <v>119</v>
      </c>
      <c r="M16" s="5">
        <v>0</v>
      </c>
      <c r="N16" s="5">
        <v>37</v>
      </c>
      <c r="O16" s="5">
        <v>0</v>
      </c>
      <c r="P16" s="5">
        <v>156</v>
      </c>
      <c r="Q16" s="6">
        <v>11900</v>
      </c>
      <c r="R16" s="7">
        <v>0</v>
      </c>
      <c r="S16" s="6">
        <v>11900</v>
      </c>
      <c r="T16" s="7">
        <v>0.7</v>
      </c>
      <c r="U16" s="6">
        <v>8330</v>
      </c>
      <c r="V16" s="6">
        <v>3700</v>
      </c>
      <c r="W16" s="7">
        <v>0</v>
      </c>
      <c r="X16" s="6">
        <v>3700</v>
      </c>
      <c r="Y16" s="7">
        <v>0.7</v>
      </c>
      <c r="Z16" s="6">
        <v>2590</v>
      </c>
      <c r="AA16" s="6">
        <v>15600</v>
      </c>
      <c r="AB16" s="9">
        <v>10920</v>
      </c>
    </row>
    <row r="17" spans="1:28" x14ac:dyDescent="0.4">
      <c r="A17" s="3" t="s">
        <v>29</v>
      </c>
      <c r="B17" s="4" t="s">
        <v>45</v>
      </c>
      <c r="C17" s="4" t="s">
        <v>31</v>
      </c>
      <c r="D17" s="4" t="s">
        <v>45</v>
      </c>
      <c r="E17" s="4" t="s">
        <v>46</v>
      </c>
      <c r="F17" s="4" t="s">
        <v>49</v>
      </c>
      <c r="G17" s="3" t="s">
        <v>33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  <c r="O17" s="5">
        <v>0</v>
      </c>
      <c r="P17" s="5">
        <v>2</v>
      </c>
      <c r="Q17" s="6">
        <v>200</v>
      </c>
      <c r="R17" s="7">
        <v>0</v>
      </c>
      <c r="S17" s="6">
        <v>200</v>
      </c>
      <c r="T17" s="7">
        <v>0.7</v>
      </c>
      <c r="U17" s="6">
        <v>140</v>
      </c>
      <c r="V17" s="6">
        <v>0</v>
      </c>
      <c r="W17" s="7">
        <v>0</v>
      </c>
      <c r="X17" s="6">
        <v>0</v>
      </c>
      <c r="Y17" s="7">
        <v>0.7</v>
      </c>
      <c r="Z17" s="6">
        <v>0</v>
      </c>
      <c r="AA17" s="6">
        <v>200</v>
      </c>
      <c r="AB17" s="9">
        <v>140</v>
      </c>
    </row>
    <row r="18" spans="1:28" x14ac:dyDescent="0.4">
      <c r="A18" s="3" t="s">
        <v>29</v>
      </c>
      <c r="B18" s="4" t="s">
        <v>47</v>
      </c>
      <c r="C18" s="4" t="s">
        <v>31</v>
      </c>
      <c r="D18" s="4" t="s">
        <v>47</v>
      </c>
      <c r="E18" s="4" t="s">
        <v>48</v>
      </c>
      <c r="F18" s="4" t="s">
        <v>50</v>
      </c>
      <c r="G18" s="3" t="s">
        <v>33</v>
      </c>
      <c r="H18" s="5">
        <v>0</v>
      </c>
      <c r="I18" s="5">
        <v>0</v>
      </c>
      <c r="J18" s="5">
        <v>0</v>
      </c>
      <c r="K18" s="5">
        <v>0</v>
      </c>
      <c r="L18" s="5">
        <v>20</v>
      </c>
      <c r="M18" s="5">
        <v>0</v>
      </c>
      <c r="N18" s="5">
        <v>0</v>
      </c>
      <c r="O18" s="5">
        <v>0</v>
      </c>
      <c r="P18" s="5">
        <v>20</v>
      </c>
      <c r="Q18" s="6">
        <v>2000</v>
      </c>
      <c r="R18" s="7">
        <v>0</v>
      </c>
      <c r="S18" s="6">
        <v>2000</v>
      </c>
      <c r="T18" s="7">
        <v>0.7</v>
      </c>
      <c r="U18" s="6">
        <v>1400</v>
      </c>
      <c r="V18" s="6">
        <v>0</v>
      </c>
      <c r="W18" s="7">
        <v>0</v>
      </c>
      <c r="X18" s="6">
        <v>0</v>
      </c>
      <c r="Y18" s="7">
        <v>0.7</v>
      </c>
      <c r="Z18" s="6">
        <v>0</v>
      </c>
      <c r="AA18" s="6">
        <v>2000</v>
      </c>
      <c r="AB18" s="9">
        <v>1400</v>
      </c>
    </row>
    <row r="19" spans="1:28" x14ac:dyDescent="0.4">
      <c r="AB19" s="11">
        <f>SUM(AB3:AB18)</f>
        <v>129290</v>
      </c>
    </row>
    <row r="20" spans="1:28" x14ac:dyDescent="0.4">
      <c r="AB20" s="10"/>
    </row>
    <row r="21" spans="1:28" x14ac:dyDescent="0.4">
      <c r="AB21" s="10"/>
    </row>
    <row r="22" spans="1:28" x14ac:dyDescent="0.4">
      <c r="AB22" s="10"/>
    </row>
  </sheetData>
  <mergeCells count="13">
    <mergeCell ref="F1:F2"/>
    <mergeCell ref="A1:A2"/>
    <mergeCell ref="B1:B2"/>
    <mergeCell ref="C1:C2"/>
    <mergeCell ref="D1:D2"/>
    <mergeCell ref="E1:E2"/>
    <mergeCell ref="AA1:AB1"/>
    <mergeCell ref="G1:G2"/>
    <mergeCell ref="H1:K1"/>
    <mergeCell ref="L1:O1"/>
    <mergeCell ref="P1:P2"/>
    <mergeCell ref="Q1:U1"/>
    <mergeCell ref="V1:Z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topLeftCell="E1" zoomScale="72" zoomScaleNormal="72" workbookViewId="0">
      <selection activeCell="B22" sqref="B22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296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bestFit="1" customWidth="1"/>
  </cols>
  <sheetData>
    <row r="1" spans="1:28" x14ac:dyDescent="0.4">
      <c r="A1" s="12" t="s">
        <v>3</v>
      </c>
      <c r="B1" s="12" t="s">
        <v>7</v>
      </c>
      <c r="C1" s="12" t="s">
        <v>4</v>
      </c>
      <c r="D1" s="12" t="s">
        <v>0</v>
      </c>
      <c r="E1" s="12" t="s">
        <v>5</v>
      </c>
      <c r="F1" s="12" t="s">
        <v>1</v>
      </c>
      <c r="G1" s="12" t="s">
        <v>2</v>
      </c>
      <c r="H1" s="12" t="s">
        <v>8</v>
      </c>
      <c r="I1" s="14"/>
      <c r="J1" s="14"/>
      <c r="K1" s="13"/>
      <c r="L1" s="12" t="s">
        <v>9</v>
      </c>
      <c r="M1" s="14"/>
      <c r="N1" s="14"/>
      <c r="O1" s="13"/>
      <c r="P1" s="12" t="s">
        <v>10</v>
      </c>
      <c r="Q1" s="12" t="s">
        <v>11</v>
      </c>
      <c r="R1" s="14"/>
      <c r="S1" s="14"/>
      <c r="T1" s="14"/>
      <c r="U1" s="13"/>
      <c r="V1" s="12" t="s">
        <v>12</v>
      </c>
      <c r="W1" s="14"/>
      <c r="X1" s="14"/>
      <c r="Y1" s="14"/>
      <c r="Z1" s="13"/>
      <c r="AA1" s="12" t="s">
        <v>13</v>
      </c>
      <c r="AB1" s="13"/>
    </row>
    <row r="2" spans="1:28" x14ac:dyDescent="0.4">
      <c r="A2" s="12"/>
      <c r="B2" s="12"/>
      <c r="C2" s="12"/>
      <c r="D2" s="12"/>
      <c r="E2" s="12"/>
      <c r="F2" s="12"/>
      <c r="G2" s="12"/>
      <c r="H2" s="2" t="s">
        <v>14</v>
      </c>
      <c r="I2" s="2" t="s">
        <v>15</v>
      </c>
      <c r="J2" s="2" t="s">
        <v>16</v>
      </c>
      <c r="K2" s="2" t="s">
        <v>17</v>
      </c>
      <c r="L2" s="2" t="s">
        <v>14</v>
      </c>
      <c r="M2" s="2" t="s">
        <v>15</v>
      </c>
      <c r="N2" s="2" t="s">
        <v>16</v>
      </c>
      <c r="O2" s="2" t="s">
        <v>17</v>
      </c>
      <c r="P2" s="12"/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8" t="s">
        <v>6</v>
      </c>
    </row>
    <row r="3" spans="1:28" x14ac:dyDescent="0.4">
      <c r="A3" s="3" t="s">
        <v>29</v>
      </c>
      <c r="B3" s="4" t="s">
        <v>30</v>
      </c>
      <c r="C3" s="4" t="s">
        <v>31</v>
      </c>
      <c r="D3" s="4" t="s">
        <v>30</v>
      </c>
      <c r="E3" s="4" t="s">
        <v>32</v>
      </c>
      <c r="F3" s="4" t="s">
        <v>49</v>
      </c>
      <c r="G3" s="3" t="s">
        <v>33</v>
      </c>
      <c r="H3" s="5">
        <v>0</v>
      </c>
      <c r="I3" s="5">
        <v>0</v>
      </c>
      <c r="J3" s="5">
        <v>0</v>
      </c>
      <c r="K3" s="5">
        <v>0</v>
      </c>
      <c r="L3" s="5">
        <v>58</v>
      </c>
      <c r="M3" s="5">
        <v>0</v>
      </c>
      <c r="N3" s="5">
        <v>0</v>
      </c>
      <c r="O3" s="5">
        <v>0</v>
      </c>
      <c r="P3" s="5">
        <v>58</v>
      </c>
      <c r="Q3" s="6">
        <v>5800</v>
      </c>
      <c r="R3" s="7">
        <v>0</v>
      </c>
      <c r="S3" s="6">
        <v>5800</v>
      </c>
      <c r="T3" s="7">
        <v>0.7</v>
      </c>
      <c r="U3" s="6">
        <v>4060</v>
      </c>
      <c r="V3" s="6">
        <v>0</v>
      </c>
      <c r="W3" s="7">
        <v>0</v>
      </c>
      <c r="X3" s="6">
        <v>0</v>
      </c>
      <c r="Y3" s="7">
        <v>0.7</v>
      </c>
      <c r="Z3" s="6">
        <v>0</v>
      </c>
      <c r="AA3" s="6">
        <v>5800</v>
      </c>
      <c r="AB3" s="9">
        <v>4060</v>
      </c>
    </row>
    <row r="4" spans="1:28" x14ac:dyDescent="0.4">
      <c r="A4" s="3" t="s">
        <v>29</v>
      </c>
      <c r="B4" s="4" t="s">
        <v>30</v>
      </c>
      <c r="C4" s="4" t="s">
        <v>31</v>
      </c>
      <c r="D4" s="4" t="s">
        <v>30</v>
      </c>
      <c r="E4" s="4" t="s">
        <v>32</v>
      </c>
      <c r="F4" s="4" t="s">
        <v>49</v>
      </c>
      <c r="G4" s="3" t="s">
        <v>34</v>
      </c>
      <c r="H4" s="5">
        <v>0</v>
      </c>
      <c r="I4" s="5">
        <v>0</v>
      </c>
      <c r="J4" s="5">
        <v>0</v>
      </c>
      <c r="K4" s="5">
        <v>0</v>
      </c>
      <c r="L4" s="5">
        <v>29</v>
      </c>
      <c r="M4" s="5">
        <v>0</v>
      </c>
      <c r="N4" s="5">
        <v>0</v>
      </c>
      <c r="O4" s="5">
        <v>0</v>
      </c>
      <c r="P4" s="5">
        <v>29</v>
      </c>
      <c r="Q4" s="6">
        <v>2900</v>
      </c>
      <c r="R4" s="7">
        <v>0</v>
      </c>
      <c r="S4" s="6">
        <v>2900</v>
      </c>
      <c r="T4" s="7">
        <v>0.7</v>
      </c>
      <c r="U4" s="6">
        <v>2030</v>
      </c>
      <c r="V4" s="6">
        <v>0</v>
      </c>
      <c r="W4" s="7">
        <v>0</v>
      </c>
      <c r="X4" s="6">
        <v>0</v>
      </c>
      <c r="Y4" s="7">
        <v>0.7</v>
      </c>
      <c r="Z4" s="6">
        <v>0</v>
      </c>
      <c r="AA4" s="6">
        <v>2900</v>
      </c>
      <c r="AB4" s="9">
        <v>2030</v>
      </c>
    </row>
    <row r="5" spans="1:28" x14ac:dyDescent="0.4">
      <c r="A5" s="3" t="s">
        <v>29</v>
      </c>
      <c r="B5" s="4" t="s">
        <v>35</v>
      </c>
      <c r="C5" s="4" t="s">
        <v>31</v>
      </c>
      <c r="D5" s="4" t="s">
        <v>35</v>
      </c>
      <c r="E5" s="4" t="s">
        <v>36</v>
      </c>
      <c r="F5" s="4" t="s">
        <v>49</v>
      </c>
      <c r="G5" s="3" t="s">
        <v>33</v>
      </c>
      <c r="H5" s="5">
        <v>0</v>
      </c>
      <c r="I5" s="5">
        <v>0</v>
      </c>
      <c r="J5" s="5">
        <v>0</v>
      </c>
      <c r="K5" s="5">
        <v>0</v>
      </c>
      <c r="L5" s="5">
        <v>78</v>
      </c>
      <c r="M5" s="5">
        <v>0</v>
      </c>
      <c r="N5" s="5">
        <v>0</v>
      </c>
      <c r="O5" s="5">
        <v>0</v>
      </c>
      <c r="P5" s="5">
        <v>78</v>
      </c>
      <c r="Q5" s="6">
        <v>7800</v>
      </c>
      <c r="R5" s="7">
        <v>0</v>
      </c>
      <c r="S5" s="6">
        <v>7800</v>
      </c>
      <c r="T5" s="7">
        <v>0.7</v>
      </c>
      <c r="U5" s="6">
        <v>5460</v>
      </c>
      <c r="V5" s="6">
        <v>0</v>
      </c>
      <c r="W5" s="7">
        <v>0</v>
      </c>
      <c r="X5" s="6">
        <v>0</v>
      </c>
      <c r="Y5" s="7">
        <v>0.7</v>
      </c>
      <c r="Z5" s="6">
        <v>0</v>
      </c>
      <c r="AA5" s="6">
        <v>7800</v>
      </c>
      <c r="AB5" s="9">
        <v>5460</v>
      </c>
    </row>
    <row r="6" spans="1:28" x14ac:dyDescent="0.4">
      <c r="A6" s="3" t="s">
        <v>29</v>
      </c>
      <c r="B6" s="4" t="s">
        <v>35</v>
      </c>
      <c r="C6" s="4" t="s">
        <v>31</v>
      </c>
      <c r="D6" s="4" t="s">
        <v>35</v>
      </c>
      <c r="E6" s="4" t="s">
        <v>36</v>
      </c>
      <c r="F6" s="4" t="s">
        <v>49</v>
      </c>
      <c r="G6" s="3" t="s">
        <v>34</v>
      </c>
      <c r="H6" s="5">
        <v>0</v>
      </c>
      <c r="I6" s="5">
        <v>0</v>
      </c>
      <c r="J6" s="5">
        <v>0</v>
      </c>
      <c r="K6" s="5">
        <v>0</v>
      </c>
      <c r="L6" s="5">
        <v>39</v>
      </c>
      <c r="M6" s="5">
        <v>0</v>
      </c>
      <c r="N6" s="5">
        <v>0</v>
      </c>
      <c r="O6" s="5">
        <v>0</v>
      </c>
      <c r="P6" s="5">
        <v>39</v>
      </c>
      <c r="Q6" s="6">
        <v>3900</v>
      </c>
      <c r="R6" s="7">
        <v>0</v>
      </c>
      <c r="S6" s="6">
        <v>3900</v>
      </c>
      <c r="T6" s="7">
        <v>0.7</v>
      </c>
      <c r="U6" s="6">
        <v>2730</v>
      </c>
      <c r="V6" s="6">
        <v>0</v>
      </c>
      <c r="W6" s="7">
        <v>0</v>
      </c>
      <c r="X6" s="6">
        <v>0</v>
      </c>
      <c r="Y6" s="7">
        <v>0.7</v>
      </c>
      <c r="Z6" s="6">
        <v>0</v>
      </c>
      <c r="AA6" s="6">
        <v>3900</v>
      </c>
      <c r="AB6" s="9">
        <v>2730</v>
      </c>
    </row>
    <row r="7" spans="1:28" x14ac:dyDescent="0.4">
      <c r="A7" s="3" t="s">
        <v>29</v>
      </c>
      <c r="B7" s="4" t="s">
        <v>37</v>
      </c>
      <c r="C7" s="4" t="s">
        <v>31</v>
      </c>
      <c r="D7" s="4" t="s">
        <v>37</v>
      </c>
      <c r="E7" s="4" t="s">
        <v>38</v>
      </c>
      <c r="F7" s="4" t="s">
        <v>49</v>
      </c>
      <c r="G7" s="3" t="s">
        <v>33</v>
      </c>
      <c r="H7" s="5">
        <v>0</v>
      </c>
      <c r="I7" s="5">
        <v>0</v>
      </c>
      <c r="J7" s="5">
        <v>0</v>
      </c>
      <c r="K7" s="5">
        <v>0</v>
      </c>
      <c r="L7" s="5">
        <v>280</v>
      </c>
      <c r="M7" s="5">
        <v>0</v>
      </c>
      <c r="N7" s="5">
        <v>0</v>
      </c>
      <c r="O7" s="5">
        <v>0</v>
      </c>
      <c r="P7" s="5">
        <v>280</v>
      </c>
      <c r="Q7" s="6">
        <v>28000</v>
      </c>
      <c r="R7" s="7">
        <v>0</v>
      </c>
      <c r="S7" s="6">
        <v>28000</v>
      </c>
      <c r="T7" s="7">
        <v>0.7</v>
      </c>
      <c r="U7" s="6">
        <v>19600</v>
      </c>
      <c r="V7" s="6">
        <v>0</v>
      </c>
      <c r="W7" s="7">
        <v>0</v>
      </c>
      <c r="X7" s="6">
        <v>0</v>
      </c>
      <c r="Y7" s="7">
        <v>0.7</v>
      </c>
      <c r="Z7" s="6">
        <v>0</v>
      </c>
      <c r="AA7" s="6">
        <v>28000</v>
      </c>
      <c r="AB7" s="9">
        <v>19600</v>
      </c>
    </row>
    <row r="8" spans="1:28" x14ac:dyDescent="0.4">
      <c r="A8" s="3" t="s">
        <v>29</v>
      </c>
      <c r="B8" s="4" t="s">
        <v>37</v>
      </c>
      <c r="C8" s="4" t="s">
        <v>31</v>
      </c>
      <c r="D8" s="4" t="s">
        <v>37</v>
      </c>
      <c r="E8" s="4" t="s">
        <v>38</v>
      </c>
      <c r="F8" s="4" t="s">
        <v>49</v>
      </c>
      <c r="G8" s="3" t="s">
        <v>34</v>
      </c>
      <c r="H8" s="5">
        <v>0</v>
      </c>
      <c r="I8" s="5">
        <v>0</v>
      </c>
      <c r="J8" s="5">
        <v>0</v>
      </c>
      <c r="K8" s="5">
        <v>0</v>
      </c>
      <c r="L8" s="5">
        <v>255</v>
      </c>
      <c r="M8" s="5">
        <v>0</v>
      </c>
      <c r="N8" s="5">
        <v>25</v>
      </c>
      <c r="O8" s="5">
        <v>0</v>
      </c>
      <c r="P8" s="5">
        <v>280</v>
      </c>
      <c r="Q8" s="6">
        <v>25500</v>
      </c>
      <c r="R8" s="7">
        <v>0</v>
      </c>
      <c r="S8" s="6">
        <v>25500</v>
      </c>
      <c r="T8" s="7">
        <v>0.7</v>
      </c>
      <c r="U8" s="6">
        <v>17850</v>
      </c>
      <c r="V8" s="6">
        <v>2500</v>
      </c>
      <c r="W8" s="7">
        <v>0</v>
      </c>
      <c r="X8" s="6">
        <v>2500</v>
      </c>
      <c r="Y8" s="7">
        <v>0.7</v>
      </c>
      <c r="Z8" s="6">
        <v>1750</v>
      </c>
      <c r="AA8" s="6">
        <v>28000</v>
      </c>
      <c r="AB8" s="9">
        <v>19600</v>
      </c>
    </row>
    <row r="9" spans="1:28" x14ac:dyDescent="0.4">
      <c r="A9" s="3" t="s">
        <v>29</v>
      </c>
      <c r="B9" s="4" t="s">
        <v>39</v>
      </c>
      <c r="C9" s="4" t="s">
        <v>31</v>
      </c>
      <c r="D9" s="4" t="s">
        <v>39</v>
      </c>
      <c r="E9" s="4" t="s">
        <v>38</v>
      </c>
      <c r="F9" s="4" t="s">
        <v>49</v>
      </c>
      <c r="G9" s="3" t="s">
        <v>33</v>
      </c>
      <c r="H9" s="5">
        <v>0</v>
      </c>
      <c r="I9" s="5">
        <v>0</v>
      </c>
      <c r="J9" s="5">
        <v>0</v>
      </c>
      <c r="K9" s="5">
        <v>0</v>
      </c>
      <c r="L9" s="5">
        <v>25</v>
      </c>
      <c r="M9" s="5">
        <v>0</v>
      </c>
      <c r="N9" s="5">
        <v>0</v>
      </c>
      <c r="O9" s="5">
        <v>0</v>
      </c>
      <c r="P9" s="5">
        <v>25</v>
      </c>
      <c r="Q9" s="6">
        <v>2500</v>
      </c>
      <c r="R9" s="7">
        <v>0</v>
      </c>
      <c r="S9" s="6">
        <v>2500</v>
      </c>
      <c r="T9" s="7">
        <v>0.7</v>
      </c>
      <c r="U9" s="6">
        <v>1750</v>
      </c>
      <c r="V9" s="6">
        <v>0</v>
      </c>
      <c r="W9" s="7">
        <v>0</v>
      </c>
      <c r="X9" s="6">
        <v>0</v>
      </c>
      <c r="Y9" s="7">
        <v>0.7</v>
      </c>
      <c r="Z9" s="6">
        <v>0</v>
      </c>
      <c r="AA9" s="6">
        <v>2500</v>
      </c>
      <c r="AB9" s="9">
        <v>1750</v>
      </c>
    </row>
    <row r="10" spans="1:28" x14ac:dyDescent="0.4">
      <c r="A10" s="3" t="s">
        <v>29</v>
      </c>
      <c r="B10" s="4" t="s">
        <v>39</v>
      </c>
      <c r="C10" s="4" t="s">
        <v>31</v>
      </c>
      <c r="D10" s="4" t="s">
        <v>39</v>
      </c>
      <c r="E10" s="4" t="s">
        <v>38</v>
      </c>
      <c r="F10" s="4" t="s">
        <v>49</v>
      </c>
      <c r="G10" s="3" t="s">
        <v>34</v>
      </c>
      <c r="H10" s="5">
        <v>0</v>
      </c>
      <c r="I10" s="5">
        <v>0</v>
      </c>
      <c r="J10" s="5">
        <v>0</v>
      </c>
      <c r="K10" s="5">
        <v>0</v>
      </c>
      <c r="L10" s="5">
        <v>35</v>
      </c>
      <c r="M10" s="5">
        <v>0</v>
      </c>
      <c r="N10" s="5">
        <v>15</v>
      </c>
      <c r="O10" s="5">
        <v>0</v>
      </c>
      <c r="P10" s="5">
        <v>50</v>
      </c>
      <c r="Q10" s="6">
        <v>3500</v>
      </c>
      <c r="R10" s="7">
        <v>0</v>
      </c>
      <c r="S10" s="6">
        <v>3500</v>
      </c>
      <c r="T10" s="7">
        <v>0.7</v>
      </c>
      <c r="U10" s="6">
        <v>2450</v>
      </c>
      <c r="V10" s="6">
        <v>1500</v>
      </c>
      <c r="W10" s="7">
        <v>0</v>
      </c>
      <c r="X10" s="6">
        <v>1500</v>
      </c>
      <c r="Y10" s="7">
        <v>0.7</v>
      </c>
      <c r="Z10" s="6">
        <v>1050</v>
      </c>
      <c r="AA10" s="6">
        <v>5000</v>
      </c>
      <c r="AB10" s="9">
        <v>3500</v>
      </c>
    </row>
    <row r="11" spans="1:28" x14ac:dyDescent="0.4">
      <c r="A11" s="3" t="s">
        <v>29</v>
      </c>
      <c r="B11" s="4" t="s">
        <v>40</v>
      </c>
      <c r="C11" s="4" t="s">
        <v>31</v>
      </c>
      <c r="D11" s="4" t="s">
        <v>40</v>
      </c>
      <c r="E11" s="4" t="s">
        <v>36</v>
      </c>
      <c r="F11" s="4" t="s">
        <v>49</v>
      </c>
      <c r="G11" s="3" t="s">
        <v>33</v>
      </c>
      <c r="H11" s="5">
        <v>0</v>
      </c>
      <c r="I11" s="5">
        <v>0</v>
      </c>
      <c r="J11" s="5">
        <v>0</v>
      </c>
      <c r="K11" s="5">
        <v>0</v>
      </c>
      <c r="L11" s="5">
        <v>135</v>
      </c>
      <c r="M11" s="5">
        <v>0</v>
      </c>
      <c r="N11" s="5">
        <v>0</v>
      </c>
      <c r="O11" s="5">
        <v>0</v>
      </c>
      <c r="P11" s="5">
        <v>135</v>
      </c>
      <c r="Q11" s="6">
        <v>13500</v>
      </c>
      <c r="R11" s="7">
        <v>0</v>
      </c>
      <c r="S11" s="6">
        <v>13500</v>
      </c>
      <c r="T11" s="7">
        <v>0.7</v>
      </c>
      <c r="U11" s="6">
        <v>9450</v>
      </c>
      <c r="V11" s="6">
        <v>0</v>
      </c>
      <c r="W11" s="7">
        <v>0</v>
      </c>
      <c r="X11" s="6">
        <v>0</v>
      </c>
      <c r="Y11" s="7">
        <v>0.7</v>
      </c>
      <c r="Z11" s="6">
        <v>0</v>
      </c>
      <c r="AA11" s="6">
        <v>13500</v>
      </c>
      <c r="AB11" s="9">
        <v>9450</v>
      </c>
    </row>
    <row r="12" spans="1:28" x14ac:dyDescent="0.4">
      <c r="A12" s="3" t="s">
        <v>29</v>
      </c>
      <c r="B12" s="4" t="s">
        <v>40</v>
      </c>
      <c r="C12" s="4" t="s">
        <v>31</v>
      </c>
      <c r="D12" s="4" t="s">
        <v>40</v>
      </c>
      <c r="E12" s="4" t="s">
        <v>36</v>
      </c>
      <c r="F12" s="4" t="s">
        <v>49</v>
      </c>
      <c r="G12" s="3" t="s">
        <v>34</v>
      </c>
      <c r="H12" s="5">
        <v>0</v>
      </c>
      <c r="I12" s="5">
        <v>0</v>
      </c>
      <c r="J12" s="5">
        <v>0</v>
      </c>
      <c r="K12" s="5">
        <v>0</v>
      </c>
      <c r="L12" s="5">
        <v>54</v>
      </c>
      <c r="M12" s="5">
        <v>0</v>
      </c>
      <c r="N12" s="5">
        <v>0</v>
      </c>
      <c r="O12" s="5">
        <v>0</v>
      </c>
      <c r="P12" s="5">
        <v>54</v>
      </c>
      <c r="Q12" s="6">
        <v>5400</v>
      </c>
      <c r="R12" s="7">
        <v>0</v>
      </c>
      <c r="S12" s="6">
        <v>5400</v>
      </c>
      <c r="T12" s="7">
        <v>0.7</v>
      </c>
      <c r="U12" s="6">
        <v>3780</v>
      </c>
      <c r="V12" s="6">
        <v>0</v>
      </c>
      <c r="W12" s="7">
        <v>0</v>
      </c>
      <c r="X12" s="6">
        <v>0</v>
      </c>
      <c r="Y12" s="7">
        <v>0.7</v>
      </c>
      <c r="Z12" s="6">
        <v>0</v>
      </c>
      <c r="AA12" s="6">
        <v>5400</v>
      </c>
      <c r="AB12" s="9">
        <v>3780</v>
      </c>
    </row>
    <row r="13" spans="1:28" x14ac:dyDescent="0.4">
      <c r="A13" s="3" t="s">
        <v>29</v>
      </c>
      <c r="B13" s="4" t="s">
        <v>41</v>
      </c>
      <c r="C13" s="4" t="s">
        <v>31</v>
      </c>
      <c r="D13" s="4" t="s">
        <v>41</v>
      </c>
      <c r="E13" s="4" t="s">
        <v>42</v>
      </c>
      <c r="F13" s="4" t="s">
        <v>49</v>
      </c>
      <c r="G13" s="3" t="s">
        <v>33</v>
      </c>
      <c r="H13" s="5">
        <v>0</v>
      </c>
      <c r="I13" s="5">
        <v>0</v>
      </c>
      <c r="J13" s="5">
        <v>0</v>
      </c>
      <c r="K13" s="5">
        <v>0</v>
      </c>
      <c r="L13" s="5">
        <v>327</v>
      </c>
      <c r="M13" s="5">
        <v>0</v>
      </c>
      <c r="N13" s="5">
        <v>20</v>
      </c>
      <c r="O13" s="5">
        <v>0</v>
      </c>
      <c r="P13" s="5">
        <v>347</v>
      </c>
      <c r="Q13" s="6">
        <v>32700</v>
      </c>
      <c r="R13" s="7">
        <v>0</v>
      </c>
      <c r="S13" s="6">
        <v>32700</v>
      </c>
      <c r="T13" s="7">
        <v>0.7</v>
      </c>
      <c r="U13" s="6">
        <v>22890</v>
      </c>
      <c r="V13" s="6">
        <v>2000</v>
      </c>
      <c r="W13" s="7">
        <v>0</v>
      </c>
      <c r="X13" s="6">
        <v>2000</v>
      </c>
      <c r="Y13" s="7">
        <v>0.7</v>
      </c>
      <c r="Z13" s="6">
        <v>1400</v>
      </c>
      <c r="AA13" s="6">
        <v>34700</v>
      </c>
      <c r="AB13" s="9">
        <v>24290</v>
      </c>
    </row>
    <row r="14" spans="1:28" x14ac:dyDescent="0.4">
      <c r="A14" s="3" t="s">
        <v>29</v>
      </c>
      <c r="B14" s="4" t="s">
        <v>41</v>
      </c>
      <c r="C14" s="4" t="s">
        <v>31</v>
      </c>
      <c r="D14" s="4" t="s">
        <v>41</v>
      </c>
      <c r="E14" s="4" t="s">
        <v>42</v>
      </c>
      <c r="F14" s="4" t="s">
        <v>49</v>
      </c>
      <c r="G14" s="3" t="s">
        <v>34</v>
      </c>
      <c r="H14" s="5">
        <v>0</v>
      </c>
      <c r="I14" s="5">
        <v>0</v>
      </c>
      <c r="J14" s="5">
        <v>0</v>
      </c>
      <c r="K14" s="5">
        <v>0</v>
      </c>
      <c r="L14" s="5">
        <v>20</v>
      </c>
      <c r="M14" s="5">
        <v>0</v>
      </c>
      <c r="N14" s="5">
        <v>5</v>
      </c>
      <c r="O14" s="5">
        <v>0</v>
      </c>
      <c r="P14" s="5">
        <v>25</v>
      </c>
      <c r="Q14" s="6">
        <v>2000</v>
      </c>
      <c r="R14" s="7">
        <v>0</v>
      </c>
      <c r="S14" s="6">
        <v>2000</v>
      </c>
      <c r="T14" s="7">
        <v>0.7</v>
      </c>
      <c r="U14" s="6">
        <v>1400</v>
      </c>
      <c r="V14" s="6">
        <v>500</v>
      </c>
      <c r="W14" s="7">
        <v>0</v>
      </c>
      <c r="X14" s="6">
        <v>500</v>
      </c>
      <c r="Y14" s="7">
        <v>0.7</v>
      </c>
      <c r="Z14" s="6">
        <v>350</v>
      </c>
      <c r="AA14" s="6">
        <v>2500</v>
      </c>
      <c r="AB14" s="9">
        <v>1750</v>
      </c>
    </row>
    <row r="15" spans="1:28" x14ac:dyDescent="0.4">
      <c r="A15" s="3" t="s">
        <v>29</v>
      </c>
      <c r="B15" s="4" t="s">
        <v>43</v>
      </c>
      <c r="C15" s="4" t="s">
        <v>31</v>
      </c>
      <c r="D15" s="4" t="s">
        <v>43</v>
      </c>
      <c r="E15" s="4" t="s">
        <v>44</v>
      </c>
      <c r="F15" s="4" t="s">
        <v>49</v>
      </c>
      <c r="G15" s="3" t="s">
        <v>33</v>
      </c>
      <c r="H15" s="5">
        <v>0</v>
      </c>
      <c r="I15" s="5">
        <v>0</v>
      </c>
      <c r="J15" s="5">
        <v>0</v>
      </c>
      <c r="K15" s="5">
        <v>0</v>
      </c>
      <c r="L15" s="5">
        <v>254</v>
      </c>
      <c r="M15" s="5">
        <v>0</v>
      </c>
      <c r="N15" s="5">
        <v>15</v>
      </c>
      <c r="O15" s="5">
        <v>0</v>
      </c>
      <c r="P15" s="5">
        <v>269</v>
      </c>
      <c r="Q15" s="6">
        <v>25400</v>
      </c>
      <c r="R15" s="7">
        <v>0</v>
      </c>
      <c r="S15" s="6">
        <v>25400</v>
      </c>
      <c r="T15" s="7">
        <v>0.7</v>
      </c>
      <c r="U15" s="6">
        <v>17780</v>
      </c>
      <c r="V15" s="6">
        <v>1500</v>
      </c>
      <c r="W15" s="7">
        <v>0</v>
      </c>
      <c r="X15" s="6">
        <v>1500</v>
      </c>
      <c r="Y15" s="7">
        <v>0.7</v>
      </c>
      <c r="Z15" s="6">
        <v>1050</v>
      </c>
      <c r="AA15" s="6">
        <v>26900</v>
      </c>
      <c r="AB15" s="9">
        <v>18830</v>
      </c>
    </row>
    <row r="16" spans="1:28" x14ac:dyDescent="0.4">
      <c r="A16" s="3" t="s">
        <v>29</v>
      </c>
      <c r="B16" s="4" t="s">
        <v>43</v>
      </c>
      <c r="C16" s="4" t="s">
        <v>31</v>
      </c>
      <c r="D16" s="4" t="s">
        <v>43</v>
      </c>
      <c r="E16" s="4" t="s">
        <v>44</v>
      </c>
      <c r="F16" s="4" t="s">
        <v>49</v>
      </c>
      <c r="G16" s="3" t="s">
        <v>34</v>
      </c>
      <c r="H16" s="5">
        <v>0</v>
      </c>
      <c r="I16" s="5">
        <v>0</v>
      </c>
      <c r="J16" s="5">
        <v>0</v>
      </c>
      <c r="K16" s="5">
        <v>0</v>
      </c>
      <c r="L16" s="5">
        <v>119</v>
      </c>
      <c r="M16" s="5">
        <v>0</v>
      </c>
      <c r="N16" s="5">
        <v>37</v>
      </c>
      <c r="O16" s="5">
        <v>0</v>
      </c>
      <c r="P16" s="5">
        <v>156</v>
      </c>
      <c r="Q16" s="6">
        <v>11900</v>
      </c>
      <c r="R16" s="7">
        <v>0</v>
      </c>
      <c r="S16" s="6">
        <v>11900</v>
      </c>
      <c r="T16" s="7">
        <v>0.7</v>
      </c>
      <c r="U16" s="6">
        <v>8330</v>
      </c>
      <c r="V16" s="6">
        <v>3700</v>
      </c>
      <c r="W16" s="7">
        <v>0</v>
      </c>
      <c r="X16" s="6">
        <v>3700</v>
      </c>
      <c r="Y16" s="7">
        <v>0.7</v>
      </c>
      <c r="Z16" s="6">
        <v>2590</v>
      </c>
      <c r="AA16" s="6">
        <v>15600</v>
      </c>
      <c r="AB16" s="9">
        <v>10920</v>
      </c>
    </row>
    <row r="17" spans="1:28" x14ac:dyDescent="0.4">
      <c r="A17" s="3" t="s">
        <v>29</v>
      </c>
      <c r="B17" s="4" t="s">
        <v>45</v>
      </c>
      <c r="C17" s="4" t="s">
        <v>31</v>
      </c>
      <c r="D17" s="4" t="s">
        <v>45</v>
      </c>
      <c r="E17" s="4" t="s">
        <v>46</v>
      </c>
      <c r="F17" s="4" t="s">
        <v>49</v>
      </c>
      <c r="G17" s="3" t="s">
        <v>33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  <c r="O17" s="5">
        <v>0</v>
      </c>
      <c r="P17" s="5">
        <v>2</v>
      </c>
      <c r="Q17" s="6">
        <v>200</v>
      </c>
      <c r="R17" s="7">
        <v>0</v>
      </c>
      <c r="S17" s="6">
        <v>200</v>
      </c>
      <c r="T17" s="7">
        <v>0.7</v>
      </c>
      <c r="U17" s="6">
        <v>140</v>
      </c>
      <c r="V17" s="6">
        <v>0</v>
      </c>
      <c r="W17" s="7">
        <v>0</v>
      </c>
      <c r="X17" s="6">
        <v>0</v>
      </c>
      <c r="Y17" s="7">
        <v>0.7</v>
      </c>
      <c r="Z17" s="6">
        <v>0</v>
      </c>
      <c r="AA17" s="6">
        <v>200</v>
      </c>
      <c r="AB17" s="9">
        <v>140</v>
      </c>
    </row>
    <row r="18" spans="1:28" x14ac:dyDescent="0.4">
      <c r="AB18" s="11">
        <f>SUM(AB3:AB17)</f>
        <v>127890</v>
      </c>
    </row>
    <row r="19" spans="1:28" x14ac:dyDescent="0.4">
      <c r="AB19" s="10"/>
    </row>
    <row r="20" spans="1:28" x14ac:dyDescent="0.4">
      <c r="AB20" s="10"/>
    </row>
    <row r="21" spans="1:28" x14ac:dyDescent="0.4">
      <c r="AB21" s="10"/>
    </row>
  </sheetData>
  <mergeCells count="13">
    <mergeCell ref="AA1:AB1"/>
    <mergeCell ref="G1:G2"/>
    <mergeCell ref="H1:K1"/>
    <mergeCell ref="L1:O1"/>
    <mergeCell ref="P1:P2"/>
    <mergeCell ref="Q1:U1"/>
    <mergeCell ref="V1:Z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zoomScale="72" zoomScaleNormal="72" workbookViewId="0">
      <selection activeCell="D24" sqref="D24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296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bestFit="1" customWidth="1"/>
  </cols>
  <sheetData>
    <row r="1" spans="1:28" x14ac:dyDescent="0.4">
      <c r="A1" s="12" t="s">
        <v>3</v>
      </c>
      <c r="B1" s="12" t="s">
        <v>7</v>
      </c>
      <c r="C1" s="12" t="s">
        <v>4</v>
      </c>
      <c r="D1" s="12" t="s">
        <v>0</v>
      </c>
      <c r="E1" s="12" t="s">
        <v>5</v>
      </c>
      <c r="F1" s="12" t="s">
        <v>1</v>
      </c>
      <c r="G1" s="12" t="s">
        <v>2</v>
      </c>
      <c r="H1" s="12" t="s">
        <v>8</v>
      </c>
      <c r="I1" s="14"/>
      <c r="J1" s="14"/>
      <c r="K1" s="13"/>
      <c r="L1" s="12" t="s">
        <v>9</v>
      </c>
      <c r="M1" s="14"/>
      <c r="N1" s="14"/>
      <c r="O1" s="13"/>
      <c r="P1" s="12" t="s">
        <v>10</v>
      </c>
      <c r="Q1" s="12" t="s">
        <v>11</v>
      </c>
      <c r="R1" s="14"/>
      <c r="S1" s="14"/>
      <c r="T1" s="14"/>
      <c r="U1" s="13"/>
      <c r="V1" s="12" t="s">
        <v>12</v>
      </c>
      <c r="W1" s="14"/>
      <c r="X1" s="14"/>
      <c r="Y1" s="14"/>
      <c r="Z1" s="13"/>
      <c r="AA1" s="12" t="s">
        <v>13</v>
      </c>
      <c r="AB1" s="13"/>
    </row>
    <row r="2" spans="1:28" x14ac:dyDescent="0.4">
      <c r="A2" s="12"/>
      <c r="B2" s="12"/>
      <c r="C2" s="12"/>
      <c r="D2" s="12"/>
      <c r="E2" s="12"/>
      <c r="F2" s="12"/>
      <c r="G2" s="12"/>
      <c r="H2" s="2" t="s">
        <v>14</v>
      </c>
      <c r="I2" s="2" t="s">
        <v>15</v>
      </c>
      <c r="J2" s="2" t="s">
        <v>16</v>
      </c>
      <c r="K2" s="2" t="s">
        <v>17</v>
      </c>
      <c r="L2" s="2" t="s">
        <v>14</v>
      </c>
      <c r="M2" s="2" t="s">
        <v>15</v>
      </c>
      <c r="N2" s="2" t="s">
        <v>16</v>
      </c>
      <c r="O2" s="2" t="s">
        <v>17</v>
      </c>
      <c r="P2" s="12"/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8" t="s">
        <v>6</v>
      </c>
    </row>
    <row r="3" spans="1:28" x14ac:dyDescent="0.4">
      <c r="A3" s="3" t="s">
        <v>29</v>
      </c>
      <c r="B3" s="4" t="s">
        <v>47</v>
      </c>
      <c r="C3" s="4" t="s">
        <v>31</v>
      </c>
      <c r="D3" s="4" t="s">
        <v>47</v>
      </c>
      <c r="E3" s="4" t="s">
        <v>48</v>
      </c>
      <c r="F3" s="4" t="s">
        <v>50</v>
      </c>
      <c r="G3" s="3" t="s">
        <v>33</v>
      </c>
      <c r="H3" s="5">
        <v>0</v>
      </c>
      <c r="I3" s="5">
        <v>0</v>
      </c>
      <c r="J3" s="5">
        <v>0</v>
      </c>
      <c r="K3" s="5">
        <v>0</v>
      </c>
      <c r="L3" s="5">
        <v>20</v>
      </c>
      <c r="M3" s="5">
        <v>0</v>
      </c>
      <c r="N3" s="5">
        <v>0</v>
      </c>
      <c r="O3" s="5">
        <v>0</v>
      </c>
      <c r="P3" s="5">
        <v>20</v>
      </c>
      <c r="Q3" s="6">
        <v>2000</v>
      </c>
      <c r="R3" s="7">
        <v>0</v>
      </c>
      <c r="S3" s="6">
        <v>2000</v>
      </c>
      <c r="T3" s="7">
        <v>0.7</v>
      </c>
      <c r="U3" s="6">
        <v>1400</v>
      </c>
      <c r="V3" s="6">
        <v>0</v>
      </c>
      <c r="W3" s="7">
        <v>0</v>
      </c>
      <c r="X3" s="6">
        <v>0</v>
      </c>
      <c r="Y3" s="7">
        <v>0.7</v>
      </c>
      <c r="Z3" s="6">
        <v>0</v>
      </c>
      <c r="AA3" s="6">
        <v>2000</v>
      </c>
      <c r="AB3" s="9">
        <v>1400</v>
      </c>
    </row>
    <row r="4" spans="1:28" x14ac:dyDescent="0.4">
      <c r="AB4" s="11">
        <f>SUM(AB3:AB3)</f>
        <v>1400</v>
      </c>
    </row>
    <row r="5" spans="1:28" x14ac:dyDescent="0.4">
      <c r="AB5" s="10"/>
    </row>
    <row r="6" spans="1:28" x14ac:dyDescent="0.4">
      <c r="AB6" s="10"/>
    </row>
    <row r="7" spans="1:28" x14ac:dyDescent="0.4">
      <c r="AB7" s="10"/>
    </row>
  </sheetData>
  <mergeCells count="13">
    <mergeCell ref="AA1:AB1"/>
    <mergeCell ref="G1:G2"/>
    <mergeCell ref="H1:K1"/>
    <mergeCell ref="L1:O1"/>
    <mergeCell ref="P1:P2"/>
    <mergeCell ref="Q1:U1"/>
    <mergeCell ref="V1:Z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합계(1)</vt:lpstr>
      <vt:lpstr>더컴퍼니</vt:lpstr>
      <vt:lpstr>밀리의 서재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2021-09-02T08:36:54Z</dcterms:created>
  <dcterms:modified xsi:type="dcterms:W3CDTF">2022-02-07T06:12:07Z</dcterms:modified>
</cp:coreProperties>
</file>