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930" activeTab="21"/>
  </bookViews>
  <sheets>
    <sheet name="합계 (12)" sheetId="563" r:id="rId1"/>
    <sheet name="무장" sheetId="564" r:id="rId2"/>
    <sheet name="독고진" sheetId="565" r:id="rId3"/>
    <sheet name="김광수" sheetId="566" r:id="rId4"/>
    <sheet name="전혁" sheetId="570" r:id="rId5"/>
    <sheet name="권용찬" sheetId="571" r:id="rId6"/>
    <sheet name="벗우" sheetId="572" r:id="rId7"/>
    <sheet name="파란영" sheetId="573" r:id="rId8"/>
    <sheet name="이동열" sheetId="574" r:id="rId9"/>
    <sheet name="예로나" sheetId="575" r:id="rId10"/>
    <sheet name="구유" sheetId="576" r:id="rId11"/>
    <sheet name="청빙" sheetId="577" r:id="rId12"/>
    <sheet name="루이세" sheetId="578" r:id="rId13"/>
    <sheet name="윤비밀" sheetId="579" r:id="rId14"/>
    <sheet name="온서" sheetId="580" r:id="rId15"/>
    <sheet name="만렙도끼" sheetId="581" r:id="rId16"/>
    <sheet name="무성매직" sheetId="582" r:id="rId17"/>
    <sheet name="세상" sheetId="583" r:id="rId18"/>
    <sheet name="단팥크림빵7" sheetId="584" r:id="rId19"/>
    <sheet name="덕킹" sheetId="585" r:id="rId20"/>
    <sheet name="돈문어" sheetId="586" r:id="rId21"/>
    <sheet name="징구빙구" sheetId="587" r:id="rId22"/>
  </sheets>
  <definedNames>
    <definedName name="_xlnm._FilterDatabase" localSheetId="0" hidden="1">'합계 (12)'!$A$1:$I$47</definedName>
    <definedName name="_xlnm.Extract" localSheetId="10">구유!$A$1:$I$1</definedName>
    <definedName name="_xlnm.Extract" localSheetId="5">권용찬!$A$1:$I$1</definedName>
    <definedName name="_xlnm.Extract" localSheetId="3">김광수!$A$1:$I$1</definedName>
    <definedName name="_xlnm.Extract" localSheetId="18">단팥크림빵7!$A$1:$I$1</definedName>
    <definedName name="_xlnm.Extract" localSheetId="19">덕킹!$A$1:$I$1</definedName>
    <definedName name="_xlnm.Extract" localSheetId="2">독고진!$A$1:$I$1</definedName>
    <definedName name="_xlnm.Extract" localSheetId="20">돈문어!$A$1:$I$1</definedName>
    <definedName name="_xlnm.Extract" localSheetId="12">루이세!$A$1:$I$1</definedName>
    <definedName name="_xlnm.Extract" localSheetId="15">만렙도끼!$A$1:$I$1</definedName>
    <definedName name="_xlnm.Extract" localSheetId="16">무성매직!$A$1:$I$1</definedName>
    <definedName name="_xlnm.Extract" localSheetId="1">무장!$A$1:$I$1</definedName>
    <definedName name="_xlnm.Extract" localSheetId="6">벗우!$A$1:$I$1</definedName>
    <definedName name="_xlnm.Extract" localSheetId="17">세상!$A$1:$I$1</definedName>
    <definedName name="_xlnm.Extract" localSheetId="9">예로나!$A$1:$I$1</definedName>
    <definedName name="_xlnm.Extract" localSheetId="14">온서!$A$1:$I$1</definedName>
    <definedName name="_xlnm.Extract" localSheetId="13">윤비밀!$A$1:$I$1</definedName>
    <definedName name="_xlnm.Extract" localSheetId="8">이동열!$A$1:$I$1</definedName>
    <definedName name="_xlnm.Extract" localSheetId="4">전혁!$A$1:$I$1</definedName>
    <definedName name="_xlnm.Extract" localSheetId="21">징구빙구!$A$1:$I$1</definedName>
    <definedName name="_xlnm.Extract" localSheetId="11">청빙!$A$1:$I$1</definedName>
    <definedName name="_xlnm.Extract" localSheetId="7">파란영!$A$1:$I$1</definedName>
    <definedName name="_xlnm.Extract" localSheetId="0">'합계 (12)'!#REF!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580" l="1"/>
  <c r="G5" i="577"/>
  <c r="G9" i="566"/>
  <c r="G7" i="564"/>
  <c r="G40" i="563" l="1"/>
  <c r="E43" i="563" s="1"/>
  <c r="E45" i="563" l="1"/>
  <c r="E46" i="563" s="1"/>
  <c r="E47" i="563" l="1"/>
</calcChain>
</file>

<file path=xl/sharedStrings.xml><?xml version="1.0" encoding="utf-8"?>
<sst xmlns="http://schemas.openxmlformats.org/spreadsheetml/2006/main" count="400" uniqueCount="81">
  <si>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</si>
  <si>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</si>
  <si>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</si>
  <si>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</si>
  <si>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</si>
  <si>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</si>
  <si>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</si>
  <si>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무장</t>
  </si>
  <si>
    <t>전혁</t>
  </si>
  <si>
    <t>예로나</t>
  </si>
  <si>
    <t>독고진</t>
  </si>
  <si>
    <t>다물</t>
  </si>
  <si>
    <t>이동열</t>
  </si>
  <si>
    <t>후원쿠폰정산금액</t>
    <phoneticPr fontId="2" type="noConversion"/>
  </si>
  <si>
    <t>권용찬</t>
  </si>
  <si>
    <t>청빙</t>
  </si>
  <si>
    <t>K석우</t>
  </si>
  <si>
    <t>온서</t>
  </si>
  <si>
    <t>세상</t>
  </si>
  <si>
    <t>작가명</t>
  </si>
  <si>
    <t>단가</t>
  </si>
  <si>
    <t>작품명</t>
  </si>
  <si>
    <t>비율</t>
  </si>
  <si>
    <t>공작가의 남루한 신부</t>
  </si>
  <si>
    <t>임신부터 할까요?</t>
  </si>
  <si>
    <t>최종 보스 : 빛을 향해 달리는 그림자</t>
  </si>
  <si>
    <t>문답무용 - 삼국지 유비의 모사가 되었다</t>
  </si>
  <si>
    <t>판매건수</t>
  </si>
  <si>
    <t>작품코드</t>
  </si>
  <si>
    <t>정산금액</t>
  </si>
  <si>
    <t>스트라이커</t>
  </si>
  <si>
    <t>회귀의 전설</t>
  </si>
  <si>
    <t>늑대전설</t>
  </si>
  <si>
    <t>조선대혁명</t>
  </si>
  <si>
    <t>형사의 게임</t>
  </si>
  <si>
    <t>스포트라이트</t>
  </si>
  <si>
    <t>로드 오브 머니</t>
  </si>
  <si>
    <t>SSS급 마왕의 귀환</t>
  </si>
  <si>
    <t>쿠폰(VAT포함)</t>
    <phoneticPr fontId="2" type="noConversion"/>
  </si>
  <si>
    <t>구유</t>
  </si>
  <si>
    <t>무성매직</t>
  </si>
  <si>
    <t>출판사명</t>
    <phoneticPr fontId="2" type="noConversion"/>
  </si>
  <si>
    <t>간신이 나라를 살림</t>
  </si>
  <si>
    <t>영웅전기 대고구려</t>
  </si>
  <si>
    <t>루이세</t>
  </si>
  <si>
    <t>호접몽전</t>
  </si>
  <si>
    <t>라스트 서바이버 : 진화로 살아남아라!</t>
  </si>
  <si>
    <t>파계</t>
  </si>
  <si>
    <t>마계대공 연대기</t>
  </si>
  <si>
    <t>갓 오브 블랙필드 [2부 공개]</t>
  </si>
  <si>
    <t>필드의 제왕</t>
  </si>
  <si>
    <t>낚싯대 하나로 세계최강</t>
  </si>
  <si>
    <t>헌터인데 내공이 좀 많네요</t>
  </si>
  <si>
    <t>돈문어</t>
  </si>
  <si>
    <t>그라운드의 지배자</t>
  </si>
  <si>
    <t>소드마스터의 환생</t>
  </si>
  <si>
    <t>21세기 대마법사</t>
  </si>
  <si>
    <t>단팥크림빵7</t>
  </si>
  <si>
    <t>망작 리메이커</t>
  </si>
  <si>
    <t>난길</t>
  </si>
  <si>
    <t>덕킹</t>
  </si>
  <si>
    <t>파란영</t>
  </si>
  <si>
    <t>별자리 살인마 : 너를 추억한다</t>
  </si>
  <si>
    <t>기사가문 망나니는 10클래스</t>
  </si>
  <si>
    <t>바람의 기사  아르테온</t>
  </si>
  <si>
    <t>마스터K</t>
  </si>
  <si>
    <t>화산지애</t>
  </si>
  <si>
    <t>마신부활</t>
  </si>
  <si>
    <t>꿈속의 보스</t>
  </si>
  <si>
    <t>와그작</t>
  </si>
  <si>
    <t>[개정판] 영웅</t>
  </si>
  <si>
    <t>꿈은 이루어진다</t>
  </si>
  <si>
    <t>나 혼자만 일일 보상</t>
  </si>
  <si>
    <t>내일은 이혼해요</t>
  </si>
  <si>
    <t>윤비밀</t>
  </si>
  <si>
    <t>만렙도끼</t>
  </si>
  <si>
    <t>벗우</t>
  </si>
  <si>
    <t>징구빙구</t>
  </si>
  <si>
    <t>케이티</t>
  </si>
  <si>
    <t>e-온누리</t>
  </si>
  <si>
    <t>어울림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</si>
</sst>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9" fontId="5" fillId="0" borderId="0" xfId="4" applyNumberFormat="1">
      <alignment vertical="center"/>
    </xf>
    <xf numFmtId="0" fontId="0" fillId="3" borderId="0" xfId="0" applyFill="1">
      <alignment vertical="center"/>
    </xf>
    <xf numFmtId="176" fontId="0" fillId="3" borderId="0" xfId="1" applyFont="1" applyFill="1">
      <alignment vertical="center"/>
    </xf>
  </cellXfs>
  <cellStyles count="5">
    <cellStyle name="쉼표 [0]" xfId="1" builtinId="6"/>
    <cellStyle name="표준" xfId="0" builtinId="0"/>
    <cellStyle name="표준_합계 (12)" xfId="4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7"/>
  <sheetViews>
    <sheetView topLeftCell="A7" zoomScale="70" zoomScaleNormal="70" workbookViewId="0">
      <selection activeCell="K18" sqref="K18"/>
    </sheetView>
  </sheetViews>
  <sheetFormatPr defaultColWidth="9" defaultRowHeight="17.399999999999999"/>
  <cols>
    <col min="1" max="1" width="25.796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2" customWidth="1"/>
    <col min="8" max="8" width="9" style="2"/>
    <col min="9" max="9" width="9.5" style="2" bestFit="1" customWidth="1"/>
    <col min="10" max="16384" width="9" style="2"/>
  </cols>
  <sheetData>
    <row r="1" spans="1:8" ht="25.05" customHeight="1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49</v>
      </c>
      <c r="B2" s="16">
        <v>912105</v>
      </c>
      <c r="C2" s="16" t="s">
        <v>7</v>
      </c>
      <c r="D2" s="16">
        <v>100</v>
      </c>
      <c r="E2" s="16">
        <v>721</v>
      </c>
      <c r="F2" s="17">
        <v>0.6</v>
      </c>
      <c r="G2" s="16">
        <v>43260</v>
      </c>
      <c r="H2" s="16" t="s">
        <v>78</v>
      </c>
    </row>
    <row r="3" spans="1:8">
      <c r="A3" s="16" t="s">
        <v>54</v>
      </c>
      <c r="B3" s="16">
        <v>964887</v>
      </c>
      <c r="C3" s="16" t="s">
        <v>7</v>
      </c>
      <c r="D3" s="16">
        <v>100</v>
      </c>
      <c r="E3" s="16">
        <v>510</v>
      </c>
      <c r="F3" s="17">
        <v>0.6</v>
      </c>
      <c r="G3" s="16">
        <v>30600</v>
      </c>
      <c r="H3" s="16" t="s">
        <v>78</v>
      </c>
    </row>
    <row r="4" spans="1:8" ht="19.2" customHeight="1">
      <c r="A4" s="16" t="s">
        <v>30</v>
      </c>
      <c r="B4" s="16">
        <v>1065178</v>
      </c>
      <c r="C4" s="16" t="s">
        <v>10</v>
      </c>
      <c r="D4" s="16">
        <v>100</v>
      </c>
      <c r="E4" s="16">
        <v>312</v>
      </c>
      <c r="F4" s="17">
        <v>0.6</v>
      </c>
      <c r="G4" s="16">
        <v>18720</v>
      </c>
      <c r="H4" s="16" t="s">
        <v>78</v>
      </c>
    </row>
    <row r="5" spans="1:8">
      <c r="A5" s="16" t="s">
        <v>70</v>
      </c>
      <c r="B5" s="16">
        <v>1116313</v>
      </c>
      <c r="C5" s="16" t="s">
        <v>6</v>
      </c>
      <c r="D5" s="16">
        <v>100</v>
      </c>
      <c r="E5" s="16">
        <v>458</v>
      </c>
      <c r="F5" s="17">
        <v>0.6</v>
      </c>
      <c r="G5" s="16">
        <v>27480</v>
      </c>
      <c r="H5" s="16" t="s">
        <v>78</v>
      </c>
    </row>
    <row r="6" spans="1:8">
      <c r="A6" s="16" t="s">
        <v>32</v>
      </c>
      <c r="B6" s="16">
        <v>1246248</v>
      </c>
      <c r="C6" s="16" t="s">
        <v>16</v>
      </c>
      <c r="D6" s="16">
        <v>100</v>
      </c>
      <c r="E6" s="16">
        <v>19</v>
      </c>
      <c r="F6" s="17">
        <v>0.6</v>
      </c>
      <c r="G6" s="16">
        <v>1140</v>
      </c>
      <c r="H6" s="16" t="s">
        <v>79</v>
      </c>
    </row>
    <row r="7" spans="1:8">
      <c r="A7" s="16" t="s">
        <v>33</v>
      </c>
      <c r="B7" s="16">
        <v>1246252</v>
      </c>
      <c r="C7" s="16" t="s">
        <v>11</v>
      </c>
      <c r="D7" s="16">
        <v>100</v>
      </c>
      <c r="E7" s="16">
        <v>23883</v>
      </c>
      <c r="F7" s="17">
        <v>0.6</v>
      </c>
      <c r="G7" s="16">
        <v>1432980</v>
      </c>
      <c r="H7" s="16" t="s">
        <v>79</v>
      </c>
    </row>
    <row r="8" spans="1:8">
      <c r="A8" s="16" t="s">
        <v>43</v>
      </c>
      <c r="B8" s="16">
        <v>1247545</v>
      </c>
      <c r="C8" s="16" t="s">
        <v>11</v>
      </c>
      <c r="D8" s="16">
        <v>100</v>
      </c>
      <c r="E8" s="16">
        <v>1</v>
      </c>
      <c r="F8" s="17">
        <v>0.6</v>
      </c>
      <c r="G8" s="16">
        <v>60</v>
      </c>
      <c r="H8" s="16" t="s">
        <v>79</v>
      </c>
    </row>
    <row r="9" spans="1:8">
      <c r="A9" s="16" t="s">
        <v>50</v>
      </c>
      <c r="B9" s="16">
        <v>1247559</v>
      </c>
      <c r="C9" s="16" t="s">
        <v>59</v>
      </c>
      <c r="D9" s="16">
        <v>100</v>
      </c>
      <c r="E9" s="16">
        <v>275</v>
      </c>
      <c r="F9" s="17">
        <v>0.6</v>
      </c>
      <c r="G9" s="16">
        <v>16500</v>
      </c>
      <c r="H9" s="16" t="s">
        <v>80</v>
      </c>
    </row>
    <row r="10" spans="1:8">
      <c r="A10" s="16" t="s">
        <v>34</v>
      </c>
      <c r="B10" s="16">
        <v>1248032</v>
      </c>
      <c r="C10" s="16" t="s">
        <v>7</v>
      </c>
      <c r="D10" s="16">
        <v>100</v>
      </c>
      <c r="E10" s="16">
        <v>490</v>
      </c>
      <c r="F10" s="17">
        <v>0.6</v>
      </c>
      <c r="G10" s="16">
        <v>29400</v>
      </c>
      <c r="H10" s="16" t="s">
        <v>78</v>
      </c>
    </row>
    <row r="11" spans="1:8">
      <c r="A11" s="16" t="s">
        <v>35</v>
      </c>
      <c r="B11" s="16">
        <v>1248497</v>
      </c>
      <c r="C11" s="16" t="s">
        <v>8</v>
      </c>
      <c r="D11" s="16">
        <v>100</v>
      </c>
      <c r="E11" s="16">
        <v>16</v>
      </c>
      <c r="F11" s="17">
        <v>0.6</v>
      </c>
      <c r="G11" s="16">
        <v>960</v>
      </c>
      <c r="H11" s="16" t="s">
        <v>78</v>
      </c>
    </row>
    <row r="12" spans="1:8">
      <c r="A12" s="16" t="s">
        <v>64</v>
      </c>
      <c r="B12" s="16">
        <v>1401936</v>
      </c>
      <c r="C12" s="16" t="s">
        <v>6</v>
      </c>
      <c r="D12" s="16">
        <v>100</v>
      </c>
      <c r="E12" s="16">
        <v>75</v>
      </c>
      <c r="F12" s="17">
        <v>0.6</v>
      </c>
      <c r="G12" s="16">
        <v>4500</v>
      </c>
      <c r="H12" s="16" t="s">
        <v>78</v>
      </c>
    </row>
    <row r="13" spans="1:8">
      <c r="A13" s="16" t="s">
        <v>47</v>
      </c>
      <c r="B13" s="16">
        <v>1408445</v>
      </c>
      <c r="C13" s="16" t="s">
        <v>14</v>
      </c>
      <c r="D13" s="16">
        <v>100</v>
      </c>
      <c r="E13" s="16">
        <v>20</v>
      </c>
      <c r="F13" s="17">
        <v>0.6</v>
      </c>
      <c r="G13" s="16">
        <v>1200</v>
      </c>
      <c r="H13" s="16" t="s">
        <v>78</v>
      </c>
    </row>
    <row r="14" spans="1:8">
      <c r="A14" s="16" t="s">
        <v>71</v>
      </c>
      <c r="B14" s="16">
        <v>1416464</v>
      </c>
      <c r="C14" s="16" t="s">
        <v>76</v>
      </c>
      <c r="D14" s="16">
        <v>100</v>
      </c>
      <c r="E14" s="16">
        <v>56</v>
      </c>
      <c r="F14" s="17">
        <v>0.6</v>
      </c>
      <c r="G14" s="16">
        <v>3360</v>
      </c>
      <c r="H14" s="16" t="s">
        <v>78</v>
      </c>
    </row>
    <row r="15" spans="1:8">
      <c r="A15" s="16" t="s">
        <v>36</v>
      </c>
      <c r="B15" s="16">
        <v>1427726</v>
      </c>
      <c r="C15" s="16" t="s">
        <v>7</v>
      </c>
      <c r="D15" s="16">
        <v>100</v>
      </c>
      <c r="E15" s="16">
        <v>16</v>
      </c>
      <c r="F15" s="17">
        <v>0.6</v>
      </c>
      <c r="G15" s="16">
        <v>960</v>
      </c>
      <c r="H15" s="16" t="s">
        <v>78</v>
      </c>
    </row>
    <row r="16" spans="1:8">
      <c r="A16" s="16" t="s">
        <v>56</v>
      </c>
      <c r="B16" s="16">
        <v>1428661</v>
      </c>
      <c r="C16" s="16" t="s">
        <v>6</v>
      </c>
      <c r="D16" s="16">
        <v>100</v>
      </c>
      <c r="E16" s="16">
        <v>1660</v>
      </c>
      <c r="F16" s="17">
        <v>0.6</v>
      </c>
      <c r="G16" s="16">
        <v>99600</v>
      </c>
      <c r="H16" s="16" t="s">
        <v>78</v>
      </c>
    </row>
    <row r="17" spans="1:8">
      <c r="A17" s="16" t="s">
        <v>65</v>
      </c>
      <c r="B17" s="16">
        <v>1428960</v>
      </c>
      <c r="C17" s="16" t="s">
        <v>6</v>
      </c>
      <c r="D17" s="16">
        <v>100</v>
      </c>
      <c r="E17" s="16">
        <v>562</v>
      </c>
      <c r="F17" s="17">
        <v>0.6</v>
      </c>
      <c r="G17" s="16">
        <v>33720</v>
      </c>
      <c r="H17" s="16" t="s">
        <v>78</v>
      </c>
    </row>
    <row r="18" spans="1:8">
      <c r="A18" s="16" t="s">
        <v>55</v>
      </c>
      <c r="B18" s="16">
        <v>1429173</v>
      </c>
      <c r="C18" s="16" t="s">
        <v>61</v>
      </c>
      <c r="D18" s="16">
        <v>100</v>
      </c>
      <c r="E18" s="16">
        <v>73</v>
      </c>
      <c r="F18" s="17">
        <v>0.6</v>
      </c>
      <c r="G18" s="16">
        <v>4380</v>
      </c>
      <c r="H18" s="16" t="s">
        <v>78</v>
      </c>
    </row>
    <row r="19" spans="1:8">
      <c r="A19" s="16" t="s">
        <v>72</v>
      </c>
      <c r="B19" s="16">
        <v>1430791</v>
      </c>
      <c r="C19" s="16" t="s">
        <v>12</v>
      </c>
      <c r="D19" s="16">
        <v>100</v>
      </c>
      <c r="E19" s="16">
        <v>27</v>
      </c>
      <c r="F19" s="17">
        <v>0.6</v>
      </c>
      <c r="G19" s="16">
        <v>1620</v>
      </c>
      <c r="H19" s="16" t="s">
        <v>78</v>
      </c>
    </row>
    <row r="20" spans="1:8">
      <c r="A20" s="16" t="s">
        <v>63</v>
      </c>
      <c r="B20" s="16">
        <v>1435306</v>
      </c>
      <c r="C20" s="16" t="s">
        <v>9</v>
      </c>
      <c r="D20" s="16">
        <v>100</v>
      </c>
      <c r="E20" s="16">
        <v>21</v>
      </c>
      <c r="F20" s="17">
        <v>0.6</v>
      </c>
      <c r="G20" s="16">
        <v>1260</v>
      </c>
      <c r="H20" s="16" t="s">
        <v>78</v>
      </c>
    </row>
    <row r="21" spans="1:8">
      <c r="A21" s="16" t="s">
        <v>37</v>
      </c>
      <c r="B21" s="16">
        <v>1436755</v>
      </c>
      <c r="C21" s="16" t="s">
        <v>39</v>
      </c>
      <c r="D21" s="16">
        <v>100</v>
      </c>
      <c r="E21" s="16">
        <v>304</v>
      </c>
      <c r="F21" s="17">
        <v>0.6</v>
      </c>
      <c r="G21" s="16">
        <v>18240</v>
      </c>
      <c r="H21" s="16" t="s">
        <v>78</v>
      </c>
    </row>
    <row r="22" spans="1:8">
      <c r="A22" s="16" t="s">
        <v>45</v>
      </c>
      <c r="B22" s="16">
        <v>1438404</v>
      </c>
      <c r="C22" s="16" t="s">
        <v>15</v>
      </c>
      <c r="D22" s="16">
        <v>100</v>
      </c>
      <c r="E22" s="16">
        <v>33</v>
      </c>
      <c r="F22" s="17">
        <v>0.6</v>
      </c>
      <c r="G22" s="16">
        <v>1980</v>
      </c>
      <c r="H22" s="16" t="s">
        <v>78</v>
      </c>
    </row>
    <row r="23" spans="1:8">
      <c r="A23" s="16" t="s">
        <v>42</v>
      </c>
      <c r="B23" s="16">
        <v>1438625</v>
      </c>
      <c r="C23" s="16" t="s">
        <v>44</v>
      </c>
      <c r="D23" s="16">
        <v>100</v>
      </c>
      <c r="E23" s="16">
        <v>39</v>
      </c>
      <c r="F23" s="17">
        <v>0.6</v>
      </c>
      <c r="G23" s="16">
        <v>2340</v>
      </c>
      <c r="H23" s="16" t="s">
        <v>78</v>
      </c>
    </row>
    <row r="24" spans="1:8">
      <c r="A24" s="16" t="s">
        <v>31</v>
      </c>
      <c r="B24" s="16">
        <v>1456873</v>
      </c>
      <c r="C24" s="16" t="s">
        <v>6</v>
      </c>
      <c r="D24" s="16">
        <v>100</v>
      </c>
      <c r="E24" s="16">
        <v>201974</v>
      </c>
      <c r="F24" s="17">
        <v>0.6</v>
      </c>
      <c r="G24" s="16">
        <v>12118440</v>
      </c>
      <c r="H24" s="16" t="s">
        <v>78</v>
      </c>
    </row>
    <row r="25" spans="1:8">
      <c r="A25" s="16" t="s">
        <v>48</v>
      </c>
      <c r="B25" s="16">
        <v>1487762</v>
      </c>
      <c r="C25" s="16" t="s">
        <v>6</v>
      </c>
      <c r="D25" s="16">
        <v>100</v>
      </c>
      <c r="E25" s="16">
        <v>1617</v>
      </c>
      <c r="F25" s="17">
        <v>0.6</v>
      </c>
      <c r="G25" s="16">
        <v>97020</v>
      </c>
      <c r="H25" s="16" t="s">
        <v>78</v>
      </c>
    </row>
    <row r="26" spans="1:8">
      <c r="A26" s="16" t="s">
        <v>66</v>
      </c>
      <c r="B26" s="16">
        <v>1491460</v>
      </c>
      <c r="C26" s="16" t="s">
        <v>6</v>
      </c>
      <c r="D26" s="16">
        <v>100</v>
      </c>
      <c r="E26" s="16">
        <v>56</v>
      </c>
      <c r="F26" s="17">
        <v>0.6</v>
      </c>
      <c r="G26" s="16">
        <v>3360</v>
      </c>
      <c r="H26" s="16" t="s">
        <v>78</v>
      </c>
    </row>
    <row r="27" spans="1:8">
      <c r="A27" s="16" t="s">
        <v>73</v>
      </c>
      <c r="B27" s="16">
        <v>1493804</v>
      </c>
      <c r="C27" s="16" t="s">
        <v>74</v>
      </c>
      <c r="D27" s="16">
        <v>100</v>
      </c>
      <c r="E27" s="16">
        <v>4</v>
      </c>
      <c r="F27" s="17">
        <v>0.6</v>
      </c>
      <c r="G27" s="16">
        <v>240</v>
      </c>
      <c r="H27" s="16" t="s">
        <v>78</v>
      </c>
    </row>
    <row r="28" spans="1:8">
      <c r="A28" s="16" t="s">
        <v>68</v>
      </c>
      <c r="B28" s="16">
        <v>1513570</v>
      </c>
      <c r="C28" s="16" t="s">
        <v>17</v>
      </c>
      <c r="D28" s="16">
        <v>100</v>
      </c>
      <c r="E28" s="16">
        <v>63</v>
      </c>
      <c r="F28" s="17">
        <v>0.6</v>
      </c>
      <c r="G28" s="16">
        <v>3780</v>
      </c>
      <c r="H28" s="16" t="s">
        <v>78</v>
      </c>
    </row>
    <row r="29" spans="1:8">
      <c r="A29" s="16" t="s">
        <v>46</v>
      </c>
      <c r="B29" s="16">
        <v>1524966</v>
      </c>
      <c r="C29" s="16" t="s">
        <v>15</v>
      </c>
      <c r="D29" s="16">
        <v>100</v>
      </c>
      <c r="E29" s="16">
        <v>11</v>
      </c>
      <c r="F29" s="17">
        <v>0.6</v>
      </c>
      <c r="G29" s="16">
        <v>660</v>
      </c>
      <c r="H29" s="16" t="s">
        <v>78</v>
      </c>
    </row>
    <row r="30" spans="1:8">
      <c r="A30" s="16" t="s">
        <v>26</v>
      </c>
      <c r="B30" s="16">
        <v>1533756</v>
      </c>
      <c r="C30" s="16" t="s">
        <v>15</v>
      </c>
      <c r="D30" s="16">
        <v>100</v>
      </c>
      <c r="E30" s="16">
        <v>6</v>
      </c>
      <c r="F30" s="17">
        <v>0.6</v>
      </c>
      <c r="G30" s="16">
        <v>360</v>
      </c>
      <c r="H30" s="16" t="s">
        <v>78</v>
      </c>
    </row>
    <row r="31" spans="1:8">
      <c r="A31" s="16" t="s">
        <v>25</v>
      </c>
      <c r="B31" s="16">
        <v>1537574</v>
      </c>
      <c r="C31" s="16" t="s">
        <v>7</v>
      </c>
      <c r="D31" s="16">
        <v>100</v>
      </c>
      <c r="E31" s="16">
        <v>111</v>
      </c>
      <c r="F31" s="17">
        <v>0.6</v>
      </c>
      <c r="G31" s="16">
        <v>6660</v>
      </c>
      <c r="H31" s="16" t="s">
        <v>78</v>
      </c>
    </row>
    <row r="32" spans="1:8">
      <c r="A32" s="16" t="s">
        <v>24</v>
      </c>
      <c r="B32" s="16">
        <v>1544379</v>
      </c>
      <c r="C32" s="16" t="s">
        <v>17</v>
      </c>
      <c r="D32" s="16">
        <v>100</v>
      </c>
      <c r="E32" s="16">
        <v>49</v>
      </c>
      <c r="F32" s="17">
        <v>0.6</v>
      </c>
      <c r="G32" s="16">
        <v>2940</v>
      </c>
      <c r="H32" s="16" t="s">
        <v>78</v>
      </c>
    </row>
    <row r="33" spans="1:9">
      <c r="A33" s="16" t="s">
        <v>67</v>
      </c>
      <c r="B33" s="16">
        <v>1544560</v>
      </c>
      <c r="C33" s="16" t="s">
        <v>75</v>
      </c>
      <c r="D33" s="16">
        <v>100</v>
      </c>
      <c r="E33" s="16">
        <v>8</v>
      </c>
      <c r="F33" s="17">
        <v>0.6</v>
      </c>
      <c r="G33" s="16">
        <v>480</v>
      </c>
      <c r="H33" s="16" t="s">
        <v>78</v>
      </c>
    </row>
    <row r="34" spans="1:9">
      <c r="A34" s="16" t="s">
        <v>23</v>
      </c>
      <c r="B34" s="16">
        <v>1552028</v>
      </c>
      <c r="C34" s="16" t="s">
        <v>40</v>
      </c>
      <c r="D34" s="16">
        <v>100</v>
      </c>
      <c r="E34" s="16">
        <v>2037</v>
      </c>
      <c r="F34" s="17">
        <v>0.6</v>
      </c>
      <c r="G34" s="16">
        <v>122220</v>
      </c>
      <c r="H34" s="16" t="s">
        <v>78</v>
      </c>
    </row>
    <row r="35" spans="1:9">
      <c r="A35" s="16" t="s">
        <v>69</v>
      </c>
      <c r="B35" s="16">
        <v>1569047</v>
      </c>
      <c r="C35" s="16" t="s">
        <v>18</v>
      </c>
      <c r="D35" s="16">
        <v>100</v>
      </c>
      <c r="E35" s="16">
        <v>49</v>
      </c>
      <c r="F35" s="17">
        <v>0.6</v>
      </c>
      <c r="G35" s="16">
        <v>2940</v>
      </c>
      <c r="H35" s="16" t="s">
        <v>78</v>
      </c>
    </row>
    <row r="36" spans="1:9">
      <c r="A36" s="16" t="s">
        <v>51</v>
      </c>
      <c r="B36" s="16">
        <v>1585927</v>
      </c>
      <c r="C36" s="16" t="s">
        <v>57</v>
      </c>
      <c r="D36" s="16">
        <v>100</v>
      </c>
      <c r="E36" s="16">
        <v>364</v>
      </c>
      <c r="F36" s="17">
        <v>0.6</v>
      </c>
      <c r="G36" s="16">
        <v>21840</v>
      </c>
      <c r="H36" s="16" t="s">
        <v>78</v>
      </c>
    </row>
    <row r="37" spans="1:9">
      <c r="A37" s="16" t="s">
        <v>58</v>
      </c>
      <c r="B37" s="16">
        <v>1585929</v>
      </c>
      <c r="C37" s="16" t="s">
        <v>60</v>
      </c>
      <c r="D37" s="16">
        <v>100</v>
      </c>
      <c r="E37" s="16">
        <v>359</v>
      </c>
      <c r="F37" s="17">
        <v>0.6</v>
      </c>
      <c r="G37" s="16">
        <v>21540</v>
      </c>
      <c r="H37" s="16" t="s">
        <v>78</v>
      </c>
    </row>
    <row r="38" spans="1:9">
      <c r="A38" s="16" t="s">
        <v>52</v>
      </c>
      <c r="B38" s="16">
        <v>1585930</v>
      </c>
      <c r="C38" s="16" t="s">
        <v>53</v>
      </c>
      <c r="D38" s="16">
        <v>100</v>
      </c>
      <c r="E38" s="16">
        <v>237</v>
      </c>
      <c r="F38" s="17">
        <v>0.6</v>
      </c>
      <c r="G38" s="16">
        <v>14220</v>
      </c>
      <c r="H38" s="16" t="s">
        <v>78</v>
      </c>
    </row>
    <row r="39" spans="1:9">
      <c r="A39" s="16" t="s">
        <v>62</v>
      </c>
      <c r="B39" s="16">
        <v>1595039</v>
      </c>
      <c r="C39" s="16" t="s">
        <v>77</v>
      </c>
      <c r="D39" s="16">
        <v>100</v>
      </c>
      <c r="E39" s="16">
        <v>1</v>
      </c>
      <c r="F39" s="17">
        <v>0.6</v>
      </c>
      <c r="G39" s="16">
        <v>60</v>
      </c>
      <c r="H39" s="16" t="s">
        <v>78</v>
      </c>
    </row>
    <row r="40" spans="1:9">
      <c r="A40" s="13"/>
      <c r="B40" s="14"/>
      <c r="C40" s="11"/>
      <c r="D40" s="11"/>
      <c r="E40" s="11"/>
      <c r="F40" s="12"/>
      <c r="G40" s="15">
        <f>SUM(G2:G39)</f>
        <v>14191020</v>
      </c>
    </row>
    <row r="41" spans="1:9">
      <c r="A41" s="13"/>
      <c r="B41" s="14"/>
      <c r="C41" s="11"/>
      <c r="D41" s="11"/>
      <c r="E41" s="11"/>
      <c r="F41" s="12"/>
      <c r="G41" s="11"/>
    </row>
    <row r="42" spans="1:9">
      <c r="I42" s="10"/>
    </row>
    <row r="43" spans="1:9" s="3" customFormat="1">
      <c r="B43" s="2"/>
      <c r="C43" s="2"/>
      <c r="D43" s="7" t="s">
        <v>0</v>
      </c>
      <c r="E43" s="1">
        <f>G40</f>
        <v>14191020</v>
      </c>
      <c r="F43" s="5"/>
    </row>
    <row r="44" spans="1:9" s="3" customFormat="1">
      <c r="D44" s="7" t="s">
        <v>38</v>
      </c>
      <c r="E44" s="1">
        <v>0</v>
      </c>
      <c r="F44" s="3" t="s">
        <v>13</v>
      </c>
      <c r="G44" s="3" t="s">
        <v>4</v>
      </c>
    </row>
    <row r="45" spans="1:9" s="3" customFormat="1">
      <c r="B45" s="2"/>
      <c r="C45" s="5"/>
      <c r="D45" s="7" t="s">
        <v>1</v>
      </c>
      <c r="E45" s="1">
        <f>E44/1.1</f>
        <v>0</v>
      </c>
      <c r="F45" s="2"/>
      <c r="G45" s="5" t="s">
        <v>5</v>
      </c>
    </row>
    <row r="46" spans="1:9" s="3" customFormat="1">
      <c r="B46" s="2"/>
      <c r="C46" s="2"/>
      <c r="D46" s="7" t="s">
        <v>2</v>
      </c>
      <c r="E46" s="1">
        <f>E44-E45</f>
        <v>0</v>
      </c>
    </row>
    <row r="47" spans="1:9" s="3" customFormat="1">
      <c r="B47" s="2"/>
      <c r="C47" s="2"/>
      <c r="D47" s="8" t="s">
        <v>3</v>
      </c>
      <c r="E47" s="4">
        <f>E43+E45+E46</f>
        <v>14191020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7"/>
  <sheetViews>
    <sheetView workbookViewId="0">
      <selection activeCell="G7" sqref="G7"/>
    </sheetView>
  </sheetViews>
  <sheetFormatPr defaultRowHeight="17.399999999999999"/>
  <cols>
    <col min="1" max="1" width="32.39843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49</v>
      </c>
      <c r="B2" s="16">
        <v>912105</v>
      </c>
      <c r="C2" s="16" t="s">
        <v>7</v>
      </c>
      <c r="D2" s="16">
        <v>100</v>
      </c>
      <c r="E2" s="16">
        <v>721</v>
      </c>
      <c r="F2" s="17">
        <v>0.6</v>
      </c>
      <c r="G2" s="16">
        <v>43260</v>
      </c>
      <c r="H2" s="16" t="s">
        <v>78</v>
      </c>
    </row>
    <row r="3" spans="1:8">
      <c r="A3" s="16" t="s">
        <v>54</v>
      </c>
      <c r="B3" s="16">
        <v>964887</v>
      </c>
      <c r="C3" s="16" t="s">
        <v>7</v>
      </c>
      <c r="D3" s="16">
        <v>100</v>
      </c>
      <c r="E3" s="16">
        <v>510</v>
      </c>
      <c r="F3" s="17">
        <v>0.6</v>
      </c>
      <c r="G3" s="16">
        <v>30600</v>
      </c>
      <c r="H3" s="16" t="s">
        <v>78</v>
      </c>
    </row>
    <row r="4" spans="1:8">
      <c r="A4" s="16" t="s">
        <v>34</v>
      </c>
      <c r="B4" s="16">
        <v>1248032</v>
      </c>
      <c r="C4" s="16" t="s">
        <v>7</v>
      </c>
      <c r="D4" s="16">
        <v>100</v>
      </c>
      <c r="E4" s="16">
        <v>490</v>
      </c>
      <c r="F4" s="17">
        <v>0.6</v>
      </c>
      <c r="G4" s="16">
        <v>29400</v>
      </c>
      <c r="H4" s="16" t="s">
        <v>78</v>
      </c>
    </row>
    <row r="5" spans="1:8">
      <c r="A5" s="16" t="s">
        <v>36</v>
      </c>
      <c r="B5" s="16">
        <v>1427726</v>
      </c>
      <c r="C5" s="16" t="s">
        <v>7</v>
      </c>
      <c r="D5" s="16">
        <v>100</v>
      </c>
      <c r="E5" s="16">
        <v>16</v>
      </c>
      <c r="F5" s="17">
        <v>0.6</v>
      </c>
      <c r="G5" s="16">
        <v>960</v>
      </c>
      <c r="H5" s="16" t="s">
        <v>78</v>
      </c>
    </row>
    <row r="6" spans="1:8">
      <c r="A6" s="16" t="s">
        <v>25</v>
      </c>
      <c r="B6" s="16">
        <v>1537574</v>
      </c>
      <c r="C6" s="16" t="s">
        <v>7</v>
      </c>
      <c r="D6" s="16">
        <v>100</v>
      </c>
      <c r="E6" s="16">
        <v>111</v>
      </c>
      <c r="F6" s="17">
        <v>0.6</v>
      </c>
      <c r="G6" s="16">
        <v>6660</v>
      </c>
      <c r="H6" s="16" t="s">
        <v>78</v>
      </c>
    </row>
    <row r="7" spans="1:8">
      <c r="G7" s="18">
        <f>SUM(G2:G6)</f>
        <v>110880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"/>
  <sheetViews>
    <sheetView workbookViewId="0"/>
  </sheetViews>
  <sheetFormatPr defaultRowHeight="17.399999999999999"/>
  <cols>
    <col min="1" max="1" width="10.39843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30</v>
      </c>
      <c r="B2" s="16">
        <v>1065178</v>
      </c>
      <c r="C2" s="16" t="s">
        <v>10</v>
      </c>
      <c r="D2" s="16">
        <v>100</v>
      </c>
      <c r="E2" s="16">
        <v>312</v>
      </c>
      <c r="F2" s="17">
        <v>0.6</v>
      </c>
      <c r="G2" s="16">
        <v>18720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9"/>
  <sheetViews>
    <sheetView workbookViewId="0">
      <selection activeCell="G9" sqref="G9"/>
    </sheetView>
  </sheetViews>
  <sheetFormatPr defaultRowHeight="17.399999999999999"/>
  <cols>
    <col min="1" max="1" width="20.1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11.296875" bestFit="1" customWidth="1"/>
    <col min="8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70</v>
      </c>
      <c r="B2" s="16">
        <v>1116313</v>
      </c>
      <c r="C2" s="16" t="s">
        <v>6</v>
      </c>
      <c r="D2" s="16">
        <v>100</v>
      </c>
      <c r="E2" s="16">
        <v>458</v>
      </c>
      <c r="F2" s="17">
        <v>0.6</v>
      </c>
      <c r="G2" s="16">
        <v>27480</v>
      </c>
      <c r="H2" s="16" t="s">
        <v>78</v>
      </c>
    </row>
    <row r="3" spans="1:8">
      <c r="A3" s="16" t="s">
        <v>64</v>
      </c>
      <c r="B3" s="16">
        <v>1401936</v>
      </c>
      <c r="C3" s="16" t="s">
        <v>6</v>
      </c>
      <c r="D3" s="16">
        <v>100</v>
      </c>
      <c r="E3" s="16">
        <v>75</v>
      </c>
      <c r="F3" s="17">
        <v>0.6</v>
      </c>
      <c r="G3" s="16">
        <v>4500</v>
      </c>
      <c r="H3" s="16" t="s">
        <v>78</v>
      </c>
    </row>
    <row r="4" spans="1:8">
      <c r="A4" s="16" t="s">
        <v>56</v>
      </c>
      <c r="B4" s="16">
        <v>1428661</v>
      </c>
      <c r="C4" s="16" t="s">
        <v>6</v>
      </c>
      <c r="D4" s="16">
        <v>100</v>
      </c>
      <c r="E4" s="16">
        <v>1660</v>
      </c>
      <c r="F4" s="17">
        <v>0.6</v>
      </c>
      <c r="G4" s="16">
        <v>99600</v>
      </c>
      <c r="H4" s="16" t="s">
        <v>78</v>
      </c>
    </row>
    <row r="5" spans="1:8">
      <c r="A5" s="16" t="s">
        <v>65</v>
      </c>
      <c r="B5" s="16">
        <v>1428960</v>
      </c>
      <c r="C5" s="16" t="s">
        <v>6</v>
      </c>
      <c r="D5" s="16">
        <v>100</v>
      </c>
      <c r="E5" s="16">
        <v>562</v>
      </c>
      <c r="F5" s="17">
        <v>0.6</v>
      </c>
      <c r="G5" s="16">
        <v>33720</v>
      </c>
      <c r="H5" s="16" t="s">
        <v>78</v>
      </c>
    </row>
    <row r="6" spans="1:8">
      <c r="A6" s="16" t="s">
        <v>31</v>
      </c>
      <c r="B6" s="16">
        <v>1456873</v>
      </c>
      <c r="C6" s="16" t="s">
        <v>6</v>
      </c>
      <c r="D6" s="16">
        <v>100</v>
      </c>
      <c r="E6" s="16">
        <v>201974</v>
      </c>
      <c r="F6" s="17">
        <v>0.6</v>
      </c>
      <c r="G6" s="16">
        <v>12118440</v>
      </c>
      <c r="H6" s="16" t="s">
        <v>78</v>
      </c>
    </row>
    <row r="7" spans="1:8">
      <c r="A7" s="16" t="s">
        <v>48</v>
      </c>
      <c r="B7" s="16">
        <v>1487762</v>
      </c>
      <c r="C7" s="16" t="s">
        <v>6</v>
      </c>
      <c r="D7" s="16">
        <v>100</v>
      </c>
      <c r="E7" s="16">
        <v>1617</v>
      </c>
      <c r="F7" s="17">
        <v>0.6</v>
      </c>
      <c r="G7" s="16">
        <v>97020</v>
      </c>
      <c r="H7" s="16" t="s">
        <v>78</v>
      </c>
    </row>
    <row r="8" spans="1:8">
      <c r="A8" s="16" t="s">
        <v>66</v>
      </c>
      <c r="B8" s="16">
        <v>1491460</v>
      </c>
      <c r="C8" s="16" t="s">
        <v>6</v>
      </c>
      <c r="D8" s="16">
        <v>100</v>
      </c>
      <c r="E8" s="16">
        <v>56</v>
      </c>
      <c r="F8" s="17">
        <v>0.6</v>
      </c>
      <c r="G8" s="16">
        <v>3360</v>
      </c>
      <c r="H8" s="16" t="s">
        <v>78</v>
      </c>
    </row>
    <row r="9" spans="1:8">
      <c r="G9" s="19">
        <f>SUM(G2:G8)</f>
        <v>12384120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"/>
  <sheetViews>
    <sheetView workbookViewId="0"/>
  </sheetViews>
  <sheetFormatPr defaultRowHeight="17.399999999999999"/>
  <cols>
    <col min="1" max="1" width="12.39843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35</v>
      </c>
      <c r="B2" s="16">
        <v>1248497</v>
      </c>
      <c r="C2" s="16" t="s">
        <v>8</v>
      </c>
      <c r="D2" s="16">
        <v>100</v>
      </c>
      <c r="E2" s="16">
        <v>16</v>
      </c>
      <c r="F2" s="17">
        <v>0.6</v>
      </c>
      <c r="G2" s="16">
        <v>960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2"/>
  <sheetViews>
    <sheetView workbookViewId="0"/>
  </sheetViews>
  <sheetFormatPr defaultRowHeight="17.399999999999999"/>
  <cols>
    <col min="1" max="1" width="6.796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47</v>
      </c>
      <c r="B2" s="16">
        <v>1408445</v>
      </c>
      <c r="C2" s="16" t="s">
        <v>14</v>
      </c>
      <c r="D2" s="16">
        <v>100</v>
      </c>
      <c r="E2" s="16">
        <v>20</v>
      </c>
      <c r="F2" s="17">
        <v>0.6</v>
      </c>
      <c r="G2" s="16">
        <v>1200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2"/>
  <sheetViews>
    <sheetView workbookViewId="0"/>
  </sheetViews>
  <sheetFormatPr defaultRowHeight="17.399999999999999"/>
  <cols>
    <col min="1" max="1" width="1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71</v>
      </c>
      <c r="B2" s="16">
        <v>1416464</v>
      </c>
      <c r="C2" s="16" t="s">
        <v>76</v>
      </c>
      <c r="D2" s="16">
        <v>100</v>
      </c>
      <c r="E2" s="16">
        <v>56</v>
      </c>
      <c r="F2" s="17">
        <v>0.6</v>
      </c>
      <c r="G2" s="16">
        <v>3360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2"/>
  <sheetViews>
    <sheetView workbookViewId="0"/>
  </sheetViews>
  <sheetFormatPr defaultRowHeight="17.399999999999999"/>
  <cols>
    <col min="1" max="1" width="17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55</v>
      </c>
      <c r="B2" s="16">
        <v>1429173</v>
      </c>
      <c r="C2" s="16" t="s">
        <v>61</v>
      </c>
      <c r="D2" s="16">
        <v>100</v>
      </c>
      <c r="E2" s="16">
        <v>73</v>
      </c>
      <c r="F2" s="17">
        <v>0.6</v>
      </c>
      <c r="G2" s="16">
        <v>4380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"/>
  <sheetViews>
    <sheetView workbookViewId="0"/>
  </sheetViews>
  <sheetFormatPr defaultRowHeight="17.399999999999999"/>
  <cols>
    <col min="1" max="1" width="18.296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72</v>
      </c>
      <c r="B2" s="16">
        <v>1430791</v>
      </c>
      <c r="C2" s="16" t="s">
        <v>12</v>
      </c>
      <c r="D2" s="16">
        <v>100</v>
      </c>
      <c r="E2" s="16">
        <v>27</v>
      </c>
      <c r="F2" s="17">
        <v>0.6</v>
      </c>
      <c r="G2" s="16">
        <v>1620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2"/>
  <sheetViews>
    <sheetView workbookViewId="0"/>
  </sheetViews>
  <sheetFormatPr defaultRowHeight="17.399999999999999"/>
  <cols>
    <col min="1" max="1" width="25.6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63</v>
      </c>
      <c r="B2" s="16">
        <v>1435306</v>
      </c>
      <c r="C2" s="16" t="s">
        <v>9</v>
      </c>
      <c r="D2" s="16">
        <v>100</v>
      </c>
      <c r="E2" s="16">
        <v>21</v>
      </c>
      <c r="F2" s="17">
        <v>0.6</v>
      </c>
      <c r="G2" s="16">
        <v>1260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2"/>
  <sheetViews>
    <sheetView workbookViewId="0"/>
  </sheetViews>
  <sheetFormatPr defaultRowHeight="17.399999999999999"/>
  <cols>
    <col min="1" max="1" width="17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37</v>
      </c>
      <c r="B2" s="16">
        <v>1436755</v>
      </c>
      <c r="C2" s="16" t="s">
        <v>39</v>
      </c>
      <c r="D2" s="16">
        <v>100</v>
      </c>
      <c r="E2" s="16">
        <v>304</v>
      </c>
      <c r="F2" s="17">
        <v>0.6</v>
      </c>
      <c r="G2" s="16">
        <v>18240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5"/>
  <sheetViews>
    <sheetView workbookViewId="0">
      <selection activeCell="G5" sqref="G5"/>
    </sheetView>
  </sheetViews>
  <sheetFormatPr defaultRowHeight="17.399999999999999"/>
  <cols>
    <col min="1" max="1" width="36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45</v>
      </c>
      <c r="B2" s="16">
        <v>1438404</v>
      </c>
      <c r="C2" s="16" t="s">
        <v>15</v>
      </c>
      <c r="D2" s="16">
        <v>100</v>
      </c>
      <c r="E2" s="16">
        <v>33</v>
      </c>
      <c r="F2" s="17">
        <v>0.6</v>
      </c>
      <c r="G2" s="16">
        <v>1980</v>
      </c>
      <c r="H2" s="16" t="s">
        <v>78</v>
      </c>
    </row>
    <row r="3" spans="1:8">
      <c r="A3" s="16" t="s">
        <v>46</v>
      </c>
      <c r="B3" s="16">
        <v>1524966</v>
      </c>
      <c r="C3" s="16" t="s">
        <v>15</v>
      </c>
      <c r="D3" s="16">
        <v>100</v>
      </c>
      <c r="E3" s="16">
        <v>11</v>
      </c>
      <c r="F3" s="17">
        <v>0.6</v>
      </c>
      <c r="G3" s="16">
        <v>660</v>
      </c>
      <c r="H3" s="16" t="s">
        <v>78</v>
      </c>
    </row>
    <row r="4" spans="1:8">
      <c r="A4" s="16" t="s">
        <v>26</v>
      </c>
      <c r="B4" s="16">
        <v>1533756</v>
      </c>
      <c r="C4" s="16" t="s">
        <v>15</v>
      </c>
      <c r="D4" s="16">
        <v>100</v>
      </c>
      <c r="E4" s="16">
        <v>6</v>
      </c>
      <c r="F4" s="17">
        <v>0.6</v>
      </c>
      <c r="G4" s="16">
        <v>360</v>
      </c>
      <c r="H4" s="16" t="s">
        <v>78</v>
      </c>
    </row>
    <row r="5" spans="1:8">
      <c r="G5" s="18">
        <f>SUM(G2:G4)</f>
        <v>3000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2"/>
  <sheetViews>
    <sheetView workbookViewId="0"/>
  </sheetViews>
  <sheetFormatPr defaultRowHeight="17.399999999999999"/>
  <cols>
    <col min="1" max="1" width="17.5976562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42</v>
      </c>
      <c r="B2" s="16">
        <v>1438625</v>
      </c>
      <c r="C2" s="16" t="s">
        <v>44</v>
      </c>
      <c r="D2" s="16">
        <v>100</v>
      </c>
      <c r="E2" s="16">
        <v>39</v>
      </c>
      <c r="F2" s="17">
        <v>0.6</v>
      </c>
      <c r="G2" s="16">
        <v>2340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"/>
  <sheetViews>
    <sheetView workbookViewId="0"/>
  </sheetViews>
  <sheetFormatPr defaultRowHeight="17.399999999999999"/>
  <cols>
    <col min="1" max="1" width="1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73</v>
      </c>
      <c r="B2" s="16">
        <v>1493804</v>
      </c>
      <c r="C2" s="16" t="s">
        <v>74</v>
      </c>
      <c r="D2" s="16">
        <v>100</v>
      </c>
      <c r="E2" s="16">
        <v>4</v>
      </c>
      <c r="F2" s="17">
        <v>0.6</v>
      </c>
      <c r="G2" s="16">
        <v>240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4"/>
  <sheetViews>
    <sheetView workbookViewId="0">
      <selection activeCell="G4" sqref="G4"/>
    </sheetView>
  </sheetViews>
  <sheetFormatPr defaultRowHeight="17.399999999999999"/>
  <cols>
    <col min="1" max="1" width="15.89843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68</v>
      </c>
      <c r="B2" s="16">
        <v>1513570</v>
      </c>
      <c r="C2" s="16" t="s">
        <v>17</v>
      </c>
      <c r="D2" s="16">
        <v>100</v>
      </c>
      <c r="E2" s="16">
        <v>63</v>
      </c>
      <c r="F2" s="17">
        <v>0.6</v>
      </c>
      <c r="G2" s="16">
        <v>3780</v>
      </c>
      <c r="H2" s="16" t="s">
        <v>78</v>
      </c>
    </row>
    <row r="3" spans="1:8">
      <c r="A3" s="16" t="s">
        <v>24</v>
      </c>
      <c r="B3" s="16">
        <v>1544379</v>
      </c>
      <c r="C3" s="16" t="s">
        <v>17</v>
      </c>
      <c r="D3" s="16">
        <v>100</v>
      </c>
      <c r="E3" s="16">
        <v>49</v>
      </c>
      <c r="F3" s="17">
        <v>0.6</v>
      </c>
      <c r="G3" s="16">
        <v>2940</v>
      </c>
      <c r="H3" s="16" t="s">
        <v>78</v>
      </c>
    </row>
    <row r="4" spans="1:8">
      <c r="G4" s="18">
        <f>SUM(G2:G3)</f>
        <v>6720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2"/>
  <sheetViews>
    <sheetView workbookViewId="0"/>
  </sheetViews>
  <sheetFormatPr defaultRowHeight="17.399999999999999"/>
  <cols>
    <col min="1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67</v>
      </c>
      <c r="B2" s="16">
        <v>1544560</v>
      </c>
      <c r="C2" s="16" t="s">
        <v>75</v>
      </c>
      <c r="D2" s="16">
        <v>100</v>
      </c>
      <c r="E2" s="16">
        <v>8</v>
      </c>
      <c r="F2" s="17">
        <v>0.6</v>
      </c>
      <c r="G2" s="16">
        <v>480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2"/>
  <sheetViews>
    <sheetView workbookViewId="0"/>
  </sheetViews>
  <sheetFormatPr defaultRowHeight="17.399999999999999"/>
  <cols>
    <col min="1" max="1" width="19.59765625" bestFit="1" customWidth="1"/>
    <col min="2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23</v>
      </c>
      <c r="B2" s="16">
        <v>1552028</v>
      </c>
      <c r="C2" s="16" t="s">
        <v>40</v>
      </c>
      <c r="D2" s="16">
        <v>100</v>
      </c>
      <c r="E2" s="16">
        <v>2037</v>
      </c>
      <c r="F2" s="17">
        <v>0.6</v>
      </c>
      <c r="G2" s="16">
        <v>122220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2"/>
  <sheetViews>
    <sheetView workbookViewId="0"/>
  </sheetViews>
  <sheetFormatPr defaultRowHeight="17.399999999999999"/>
  <cols>
    <col min="1" max="1" width="6.796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69</v>
      </c>
      <c r="B2" s="16">
        <v>1569047</v>
      </c>
      <c r="C2" s="16" t="s">
        <v>18</v>
      </c>
      <c r="D2" s="16">
        <v>100</v>
      </c>
      <c r="E2" s="16">
        <v>49</v>
      </c>
      <c r="F2" s="17">
        <v>0.6</v>
      </c>
      <c r="G2" s="16">
        <v>2940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2"/>
  <sheetViews>
    <sheetView workbookViewId="0"/>
  </sheetViews>
  <sheetFormatPr defaultRowHeight="17.399999999999999"/>
  <cols>
    <col min="1" max="1" width="21.5" bestFit="1" customWidth="1"/>
    <col min="2" max="2" width="8.59765625" bestFit="1" customWidth="1"/>
    <col min="3" max="3" width="11.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51</v>
      </c>
      <c r="B2" s="16">
        <v>1585927</v>
      </c>
      <c r="C2" s="16" t="s">
        <v>57</v>
      </c>
      <c r="D2" s="16">
        <v>100</v>
      </c>
      <c r="E2" s="16">
        <v>364</v>
      </c>
      <c r="F2" s="17">
        <v>0.6</v>
      </c>
      <c r="G2" s="16">
        <v>21840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2"/>
  <sheetViews>
    <sheetView workbookViewId="0"/>
  </sheetViews>
  <sheetFormatPr defaultRowHeight="17.399999999999999"/>
  <cols>
    <col min="1" max="1" width="13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58</v>
      </c>
      <c r="B2" s="16">
        <v>1585929</v>
      </c>
      <c r="C2" s="16" t="s">
        <v>60</v>
      </c>
      <c r="D2" s="16">
        <v>100</v>
      </c>
      <c r="E2" s="16">
        <v>359</v>
      </c>
      <c r="F2" s="17">
        <v>0.6</v>
      </c>
      <c r="G2" s="16">
        <v>21540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2"/>
  <sheetViews>
    <sheetView workbookViewId="0"/>
  </sheetViews>
  <sheetFormatPr defaultRowHeight="17.399999999999999"/>
  <cols>
    <col min="1" max="1" width="24.0976562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52</v>
      </c>
      <c r="B2" s="16">
        <v>1585930</v>
      </c>
      <c r="C2" s="16" t="s">
        <v>53</v>
      </c>
      <c r="D2" s="16">
        <v>100</v>
      </c>
      <c r="E2" s="16">
        <v>237</v>
      </c>
      <c r="F2" s="17">
        <v>0.6</v>
      </c>
      <c r="G2" s="16">
        <v>14220</v>
      </c>
      <c r="H2" s="16" t="s">
        <v>78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2"/>
  <sheetViews>
    <sheetView tabSelected="1" workbookViewId="0"/>
  </sheetViews>
  <sheetFormatPr defaultRowHeight="17.399999999999999"/>
  <cols>
    <col min="1" max="1" width="27.19921875" bestFit="1" customWidth="1"/>
    <col min="2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8" width="8.59765625" bestFit="1" customWidth="1"/>
  </cols>
  <sheetData>
    <row r="1" spans="1:8">
      <c r="A1" s="9" t="s">
        <v>21</v>
      </c>
      <c r="B1" s="9" t="s">
        <v>28</v>
      </c>
      <c r="C1" s="9" t="s">
        <v>19</v>
      </c>
      <c r="D1" s="9" t="s">
        <v>20</v>
      </c>
      <c r="E1" s="9" t="s">
        <v>27</v>
      </c>
      <c r="F1" s="9" t="s">
        <v>22</v>
      </c>
      <c r="G1" s="9" t="s">
        <v>29</v>
      </c>
      <c r="H1" s="2" t="s">
        <v>41</v>
      </c>
    </row>
    <row r="2" spans="1:8">
      <c r="A2" s="16" t="s">
        <v>62</v>
      </c>
      <c r="B2" s="16">
        <v>1595039</v>
      </c>
      <c r="C2" s="16" t="s">
        <v>77</v>
      </c>
      <c r="D2" s="16">
        <v>100</v>
      </c>
      <c r="E2" s="16">
        <v>1</v>
      </c>
      <c r="F2" s="17">
        <v>0.6</v>
      </c>
      <c r="G2" s="16">
        <v>60</v>
      </c>
      <c r="H2" s="16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21</vt:i4>
      </vt:variant>
    </vt:vector>
  </HeadingPairs>
  <TitlesOfParts>
    <vt:vector size="43" baseType="lpstr">
      <vt:lpstr>합계 (12)</vt:lpstr>
      <vt:lpstr>무장</vt:lpstr>
      <vt:lpstr>독고진</vt:lpstr>
      <vt:lpstr>김광수</vt:lpstr>
      <vt:lpstr>전혁</vt:lpstr>
      <vt:lpstr>권용찬</vt:lpstr>
      <vt:lpstr>벗우</vt:lpstr>
      <vt:lpstr>파란영</vt:lpstr>
      <vt:lpstr>이동열</vt:lpstr>
      <vt:lpstr>예로나</vt:lpstr>
      <vt:lpstr>구유</vt:lpstr>
      <vt:lpstr>청빙</vt:lpstr>
      <vt:lpstr>루이세</vt:lpstr>
      <vt:lpstr>윤비밀</vt:lpstr>
      <vt:lpstr>온서</vt:lpstr>
      <vt:lpstr>만렙도끼</vt:lpstr>
      <vt:lpstr>무성매직</vt:lpstr>
      <vt:lpstr>세상</vt:lpstr>
      <vt:lpstr>단팥크림빵7</vt:lpstr>
      <vt:lpstr>덕킹</vt:lpstr>
      <vt:lpstr>돈문어</vt:lpstr>
      <vt:lpstr>징구빙구</vt:lpstr>
      <vt:lpstr>구유!Extract</vt:lpstr>
      <vt:lpstr>권용찬!Extract</vt:lpstr>
      <vt:lpstr>김광수!Extract</vt:lpstr>
      <vt:lpstr>단팥크림빵7!Extract</vt:lpstr>
      <vt:lpstr>덕킹!Extract</vt:lpstr>
      <vt:lpstr>독고진!Extract</vt:lpstr>
      <vt:lpstr>돈문어!Extract</vt:lpstr>
      <vt:lpstr>루이세!Extract</vt:lpstr>
      <vt:lpstr>만렙도끼!Extract</vt:lpstr>
      <vt:lpstr>무성매직!Extract</vt:lpstr>
      <vt:lpstr>무장!Extract</vt:lpstr>
      <vt:lpstr>벗우!Extract</vt:lpstr>
      <vt:lpstr>세상!Extract</vt:lpstr>
      <vt:lpstr>예로나!Extract</vt:lpstr>
      <vt:lpstr>온서!Extract</vt:lpstr>
      <vt:lpstr>윤비밀!Extract</vt:lpstr>
      <vt:lpstr>이동열!Extract</vt:lpstr>
      <vt:lpstr>전혁!Extract</vt:lpstr>
      <vt:lpstr>징구빙구!Extract</vt:lpstr>
      <vt:lpstr>청빙!Extract</vt:lpstr>
      <vt:lpstr>파란영!Extract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2019-01-07T11:02:09Z</dcterms:created>
  <dcterms:modified xsi:type="dcterms:W3CDTF">2022-02-07T06:43:11Z</dcterms:modified>
</cp:coreProperties>
</file>