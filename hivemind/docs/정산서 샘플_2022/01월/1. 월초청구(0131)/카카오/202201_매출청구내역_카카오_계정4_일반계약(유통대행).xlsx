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27132" yWindow="0" windowWidth="23040" windowHeight="10812"/>
  </bookViews>
  <sheets>
    <sheet name="전체(1)" sheetId="100" r:id="rId1"/>
    <sheet name="더컴퍼니" sheetId="101" r:id="rId2"/>
    <sheet name="에필로그" sheetId="102" r:id="rId3"/>
    <sheet name="아크스튜디오" sheetId="103" r:id="rId4"/>
    <sheet name="밀리의 서재" sheetId="104" r:id="rId5"/>
  </sheets>
  <definedNames>
    <definedName name="_xlnm._FilterDatabase" localSheetId="0" hidden="1">'전체(1)'!$A$1:$AP$118</definedName>
    <definedName name="_xlnm.Extract" localSheetId="1">더컴퍼니!$A$1:$AP$1</definedName>
    <definedName name="_xlnm.Extract" localSheetId="4">'밀리의 서재'!$A$1:$AP$1</definedName>
    <definedName name="_xlnm.Extract" localSheetId="3">아크스튜디오!$A$1:$AP$1</definedName>
    <definedName name="_xlnm.Extract" localSheetId="2">에필로그!$A$1:$AP$1</definedName>
    <definedName name="_xlnm.Extract" localSheetId="0">'전체(1)'!#REF!</definedName>
  </definedNames>
  <calcPr calcId="152511"/>
</workbook>
</file>

<file path=xl/calcChain.xml><?xml version="1.0" encoding="utf-8"?>
<calcChain xmlns="http://schemas.openxmlformats.org/spreadsheetml/2006/main">
  <c r="AP3" i="104" l="1"/>
  <c r="AP4" i="103"/>
  <c r="AP55" i="102"/>
  <c r="AP62" i="101"/>
  <c r="AP118" i="100" l="1"/>
</calcChain>
</file>

<file path=xl/sharedStrings.xml><?xml version="1.0" encoding="utf-8"?>
<sst xmlns="http://schemas.openxmlformats.org/spreadsheetml/2006/main" count="2994" uniqueCount="168">
  <si>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</si>
  <si>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</si>
  <si>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</si>
  <si>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</si>
  <si>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</si>
  <si>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</si>
  <si>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</si>
  <si>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</si>
  <si>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</si>
  <si>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</si>
  <si>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</si>
  <si>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</si>
  <si>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</si>
  <si>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</si>
  <si>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</si>
  <si>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</si>
  <si>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</si>
  <si>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</si>
  <si>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</si>
  <si>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</si>
  <si>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</si>
  <si>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</si>
  <si>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</si>
  <si>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</si>
  <si>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</si>
  <si>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</si>
  <si>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</si>
  <si>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</si>
  <si>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</si>
  <si>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</si>
  <si>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</si>
  <si>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</si>
  <si>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</si>
  <si>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</si>
  <si>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</si>
  <si>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</si>
  <si>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</si>
  <si>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</si>
  <si>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</si>
  <si>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</si>
  <si>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</si>
  <si>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</si>
  <si>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</si>
  <si>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</si>
  <si>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</si>
  <si>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주식회사 스토리위즈</t>
  </si>
  <si>
    <t>3828601768</t>
  </si>
  <si>
    <t>단일 대여 이용권</t>
  </si>
  <si>
    <t>일반계약</t>
  </si>
  <si>
    <t/>
  </si>
  <si>
    <t>스토리위즈M</t>
  </si>
  <si>
    <t>소설</t>
  </si>
  <si>
    <t>더티 독 [BL]</t>
  </si>
  <si>
    <t>용가리맛쿠키</t>
  </si>
  <si>
    <t>강산(江山)</t>
  </si>
  <si>
    <t>사냥꾼 [BL][외전선공개]</t>
  </si>
  <si>
    <t>라돌체</t>
  </si>
  <si>
    <t>군주, 다시 귀환하다</t>
  </si>
  <si>
    <t>이리 와 봐 [외전선공개]</t>
  </si>
  <si>
    <t>최강주</t>
  </si>
  <si>
    <t>주해나</t>
  </si>
  <si>
    <t>협행마</t>
  </si>
  <si>
    <t>이세계 최강 군바리[단행본]</t>
  </si>
  <si>
    <t>달보드레 [BL][외전선공개]</t>
  </si>
  <si>
    <t>시아</t>
  </si>
  <si>
    <t>남궁세가 건달공자[단행본]</t>
  </si>
  <si>
    <t>나나코</t>
  </si>
  <si>
    <t>sJessi</t>
  </si>
  <si>
    <t>무림병장</t>
  </si>
  <si>
    <t>녹아내리다</t>
  </si>
  <si>
    <t>투즈</t>
  </si>
  <si>
    <t>한슬</t>
  </si>
  <si>
    <t>백양의 귀신 퇴치 매뉴얼 [BL]</t>
  </si>
  <si>
    <t>하바수</t>
  </si>
  <si>
    <t>두근두근 복사실[BL 단독 선공개]</t>
  </si>
  <si>
    <t>파씨</t>
  </si>
  <si>
    <t>이기적인 파트너</t>
  </si>
  <si>
    <t>강소아</t>
  </si>
  <si>
    <t>이세계 최강 군바리</t>
  </si>
  <si>
    <t>더 캡틴</t>
  </si>
  <si>
    <t>김귤</t>
  </si>
  <si>
    <t>진짜 사나이</t>
  </si>
  <si>
    <t>바보가 만드는 멋진 세상</t>
  </si>
  <si>
    <t>티끌 모아 대박</t>
  </si>
  <si>
    <t>반하는 세계[BL]</t>
  </si>
  <si>
    <t>뉴욕 키스 스캔들 [BL]</t>
  </si>
  <si>
    <t>우리 집 악마 새끼 [BL]</t>
  </si>
  <si>
    <t>벗어 주세요</t>
  </si>
  <si>
    <t>피할 수 없으면 즐겨라 [BL][15세 개정증보판]</t>
  </si>
  <si>
    <t>남궁세가 건달공자</t>
  </si>
  <si>
    <t>법보다 주먹</t>
  </si>
  <si>
    <t>모어 댄 블루(More than BLUE) [BL]</t>
  </si>
  <si>
    <t>헌터 킹</t>
  </si>
  <si>
    <t>기획에 산다</t>
  </si>
  <si>
    <t>다정한 내일을 위한 새벽[BL]</t>
  </si>
  <si>
    <t>로맨틱 아이디얼(Romantic Ideal) [BL]</t>
  </si>
  <si>
    <t>폭풍처럼 오다</t>
  </si>
  <si>
    <t>베르사유의 장미 [BL]</t>
  </si>
  <si>
    <t>드래곤 파파 - 지상 최강 육아의 서</t>
  </si>
  <si>
    <t>강명운</t>
  </si>
  <si>
    <t>서향</t>
  </si>
  <si>
    <t>폭군의 공물 [BL]</t>
  </si>
  <si>
    <t>여러해살이풀</t>
  </si>
  <si>
    <t>소년연애담 [BL]</t>
  </si>
  <si>
    <t>꽃길을 깔아주마 [BL]</t>
  </si>
  <si>
    <t>SISSI(시씨)</t>
  </si>
  <si>
    <t>여우비가 내리던 날 [BL]</t>
  </si>
  <si>
    <t>키도</t>
  </si>
  <si>
    <t>도올의 신수</t>
  </si>
  <si>
    <t>들개의 덫</t>
  </si>
  <si>
    <t>출판사(정산처)</t>
    <phoneticPr fontId="1" type="noConversion"/>
  </si>
  <si>
    <t>백범(白帆)</t>
  </si>
  <si>
    <t>로맨스는 아닙니다 [BL]</t>
  </si>
  <si>
    <t>해양정원</t>
  </si>
  <si>
    <t>그 순간, 별이 빛났다 [BL]</t>
  </si>
  <si>
    <t>성실</t>
  </si>
  <si>
    <t>까마귀밥여름나무숲 [BL]</t>
  </si>
  <si>
    <t>용병수칙</t>
  </si>
  <si>
    <t>악마 귀환</t>
  </si>
  <si>
    <t>철수야 뭐하니? [BL]</t>
  </si>
  <si>
    <t>무적살수</t>
  </si>
  <si>
    <t>90일 간의 화양연화 [개정판]</t>
  </si>
  <si>
    <t>도로시</t>
  </si>
  <si>
    <t>지니</t>
  </si>
  <si>
    <t>나를 사 주세요</t>
  </si>
  <si>
    <t>웨인</t>
  </si>
  <si>
    <t>악당의 리턴</t>
  </si>
  <si>
    <t>악당의 리턴 [단행본]</t>
  </si>
  <si>
    <t>젠장 맞을 사랑 [BL]</t>
  </si>
  <si>
    <t>사계(Four Season) [BL]</t>
  </si>
  <si>
    <t>그 꽃을 꺾을 때마다</t>
  </si>
  <si>
    <t>사공설류</t>
  </si>
  <si>
    <t>어딜 봐요?</t>
  </si>
  <si>
    <t>슈트에 입맞춤</t>
  </si>
  <si>
    <t>취한 밤 [15세이용가 개정판]</t>
  </si>
  <si>
    <t>예파란</t>
  </si>
  <si>
    <t>완벽한 이상형</t>
  </si>
  <si>
    <t>너에게 스며들다</t>
  </si>
  <si>
    <t>정감</t>
  </si>
  <si>
    <t>피치 블라썸(Peach Blossom)</t>
  </si>
  <si>
    <t>마왕의 구원자 [BL]</t>
  </si>
  <si>
    <t>호랑아기씨 [전체이용가 개정판]</t>
  </si>
  <si>
    <t>Ashes</t>
  </si>
  <si>
    <t>전장의 금기</t>
  </si>
  <si>
    <t>위사무적</t>
  </si>
  <si>
    <t>마티네(Matinée) [BL]</t>
  </si>
  <si>
    <t>흠뻑 적셔줄게 [BL]</t>
  </si>
  <si>
    <t>묜수</t>
  </si>
  <si>
    <t>낯선 소꿉친구 [BL]</t>
  </si>
  <si>
    <t>사나림</t>
  </si>
  <si>
    <t>거부할 수 없는 계약</t>
  </si>
  <si>
    <t>정민이</t>
  </si>
  <si>
    <t>여신과 수호비</t>
  </si>
  <si>
    <t>구하늬</t>
  </si>
  <si>
    <t>가장 완벽한 인질</t>
  </si>
  <si>
    <t>시선을 훔치다</t>
  </si>
  <si>
    <t>미확인 사고</t>
  </si>
  <si>
    <t>너와 결혼하기까지</t>
  </si>
  <si>
    <t>세이브 미(Save Me) [단행본]</t>
  </si>
  <si>
    <t>우유양</t>
  </si>
  <si>
    <t>달을 쫓는 하운드 [BL]</t>
  </si>
  <si>
    <t>채플린</t>
  </si>
  <si>
    <t>바보가 만드는 멋진 세상 [단행본]</t>
  </si>
  <si>
    <t>슈트의 품격 [외전 선공개]</t>
  </si>
  <si>
    <t>더컴퍼니</t>
  </si>
  <si>
    <t>에필로그</t>
  </si>
  <si>
    <t>아크스튜디오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</si>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</sst>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18"/>
  <sheetViews>
    <sheetView tabSelected="1" zoomScale="55" zoomScaleNormal="55" workbookViewId="0">
      <selection activeCell="O2" sqref="O2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35.796875" style="3" customWidth="1"/>
    <col min="12" max="13" width="2" style="3" customWidth="1"/>
    <col min="14" max="14" width="16.796875" style="3" customWidth="1"/>
    <col min="15" max="15" width="12.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50310041</v>
      </c>
      <c r="K2" s="4" t="s">
        <v>134</v>
      </c>
      <c r="L2" s="4"/>
      <c r="M2" s="4"/>
      <c r="N2" s="4" t="s">
        <v>135</v>
      </c>
      <c r="O2" s="4" t="s">
        <v>164</v>
      </c>
      <c r="P2" s="4">
        <v>0.7</v>
      </c>
      <c r="Q2" s="4">
        <v>0.6</v>
      </c>
      <c r="R2" s="5" t="s">
        <v>22</v>
      </c>
      <c r="S2" s="5">
        <v>100</v>
      </c>
      <c r="T2" s="5">
        <v>3700</v>
      </c>
      <c r="U2" s="5">
        <v>3700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3700</v>
      </c>
      <c r="AE2" s="5">
        <v>3700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2590</v>
      </c>
      <c r="AO2" s="5">
        <v>0</v>
      </c>
      <c r="AP2" s="5">
        <v>2590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53277331</v>
      </c>
      <c r="K3" s="4" t="s">
        <v>132</v>
      </c>
      <c r="L3" s="4"/>
      <c r="M3" s="4"/>
      <c r="N3" s="4" t="s">
        <v>60</v>
      </c>
      <c r="O3" s="4" t="s">
        <v>164</v>
      </c>
      <c r="P3" s="4">
        <v>0.7</v>
      </c>
      <c r="Q3" s="4">
        <v>0.6</v>
      </c>
      <c r="R3" s="5" t="s">
        <v>22</v>
      </c>
      <c r="S3" s="5">
        <v>100</v>
      </c>
      <c r="T3" s="5">
        <v>200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200</v>
      </c>
      <c r="AD3" s="5">
        <v>200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200</v>
      </c>
      <c r="AN3" s="5">
        <v>140</v>
      </c>
      <c r="AO3" s="5">
        <v>0</v>
      </c>
      <c r="AP3" s="5">
        <v>140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48086893</v>
      </c>
      <c r="K4" s="4" t="s">
        <v>90</v>
      </c>
      <c r="L4" s="4"/>
      <c r="M4" s="4"/>
      <c r="N4" s="4" t="s">
        <v>54</v>
      </c>
      <c r="O4" s="4" t="s">
        <v>165</v>
      </c>
      <c r="P4" s="4">
        <v>0.7</v>
      </c>
      <c r="Q4" s="4">
        <v>0.6</v>
      </c>
      <c r="R4" s="5" t="s">
        <v>22</v>
      </c>
      <c r="S4" s="5">
        <v>100</v>
      </c>
      <c r="T4" s="5">
        <v>423300</v>
      </c>
      <c r="U4" s="5">
        <v>161300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262000</v>
      </c>
      <c r="AD4" s="5">
        <v>423300</v>
      </c>
      <c r="AE4" s="5">
        <v>161300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262000</v>
      </c>
      <c r="AN4" s="5">
        <v>296310</v>
      </c>
      <c r="AO4" s="5">
        <v>0</v>
      </c>
      <c r="AP4" s="5">
        <v>296310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48086893</v>
      </c>
      <c r="K5" s="4" t="s">
        <v>90</v>
      </c>
      <c r="L5" s="4"/>
      <c r="M5" s="4"/>
      <c r="N5" s="4" t="s">
        <v>54</v>
      </c>
      <c r="O5" s="4" t="s">
        <v>165</v>
      </c>
      <c r="P5" s="4">
        <v>0.7</v>
      </c>
      <c r="Q5" s="4">
        <v>0.6</v>
      </c>
      <c r="R5" s="5" t="s">
        <v>21</v>
      </c>
      <c r="S5" s="5">
        <v>1800</v>
      </c>
      <c r="T5" s="5">
        <v>377200</v>
      </c>
      <c r="U5" s="5">
        <v>312700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64500</v>
      </c>
      <c r="AD5" s="5">
        <v>377200</v>
      </c>
      <c r="AE5" s="5">
        <v>312700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64500</v>
      </c>
      <c r="AN5" s="5">
        <v>264040</v>
      </c>
      <c r="AO5" s="5">
        <v>0</v>
      </c>
      <c r="AP5" s="5">
        <v>264040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48086893</v>
      </c>
      <c r="K6" s="4" t="s">
        <v>90</v>
      </c>
      <c r="L6" s="4"/>
      <c r="M6" s="4"/>
      <c r="N6" s="4" t="s">
        <v>54</v>
      </c>
      <c r="O6" s="4" t="s">
        <v>165</v>
      </c>
      <c r="P6" s="4">
        <v>0.7</v>
      </c>
      <c r="Q6" s="4">
        <v>0.6</v>
      </c>
      <c r="R6" s="5" t="s">
        <v>21</v>
      </c>
      <c r="S6" s="5">
        <v>4500</v>
      </c>
      <c r="T6" s="5">
        <v>425000</v>
      </c>
      <c r="U6" s="5">
        <v>377600</v>
      </c>
      <c r="V6" s="5">
        <v>0</v>
      </c>
      <c r="W6" s="5">
        <v>0</v>
      </c>
      <c r="X6" s="5">
        <v>0</v>
      </c>
      <c r="Y6" s="5">
        <v>0</v>
      </c>
      <c r="Z6" s="5">
        <v>-400</v>
      </c>
      <c r="AA6" s="5">
        <v>0</v>
      </c>
      <c r="AB6" s="5">
        <v>0</v>
      </c>
      <c r="AC6" s="5">
        <v>47800</v>
      </c>
      <c r="AD6" s="5">
        <v>424960</v>
      </c>
      <c r="AE6" s="5">
        <v>377600</v>
      </c>
      <c r="AF6" s="5">
        <v>0</v>
      </c>
      <c r="AG6" s="5">
        <v>0</v>
      </c>
      <c r="AH6" s="5">
        <v>0</v>
      </c>
      <c r="AI6" s="5">
        <v>0</v>
      </c>
      <c r="AJ6" s="5">
        <v>-440</v>
      </c>
      <c r="AK6" s="5">
        <v>0</v>
      </c>
      <c r="AL6" s="5">
        <v>0</v>
      </c>
      <c r="AM6" s="5">
        <v>47800</v>
      </c>
      <c r="AN6" s="5">
        <v>297516</v>
      </c>
      <c r="AO6" s="5">
        <v>0</v>
      </c>
      <c r="AP6" s="5">
        <v>297516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48086893</v>
      </c>
      <c r="K7" s="4" t="s">
        <v>90</v>
      </c>
      <c r="L7" s="4"/>
      <c r="M7" s="4"/>
      <c r="N7" s="4" t="s">
        <v>54</v>
      </c>
      <c r="O7" s="4" t="s">
        <v>165</v>
      </c>
      <c r="P7" s="4">
        <v>0.7</v>
      </c>
      <c r="Q7" s="4">
        <v>0.6</v>
      </c>
      <c r="R7" s="5" t="s">
        <v>21</v>
      </c>
      <c r="S7" s="5">
        <v>9000</v>
      </c>
      <c r="T7" s="5">
        <v>726900</v>
      </c>
      <c r="U7" s="5">
        <v>697800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-2000</v>
      </c>
      <c r="AB7" s="5">
        <v>0</v>
      </c>
      <c r="AC7" s="5">
        <v>31100</v>
      </c>
      <c r="AD7" s="5">
        <v>726297.05819999997</v>
      </c>
      <c r="AE7" s="5">
        <v>697800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-2602.9418000000001</v>
      </c>
      <c r="AL7" s="5">
        <v>0</v>
      </c>
      <c r="AM7" s="5">
        <v>31100</v>
      </c>
      <c r="AN7" s="5">
        <v>508668</v>
      </c>
      <c r="AO7" s="5">
        <v>0</v>
      </c>
      <c r="AP7" s="5">
        <v>508668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53221708</v>
      </c>
      <c r="K8" s="4" t="s">
        <v>136</v>
      </c>
      <c r="L8" s="4"/>
      <c r="M8" s="4"/>
      <c r="N8" s="4" t="s">
        <v>123</v>
      </c>
      <c r="O8" s="4" t="s">
        <v>164</v>
      </c>
      <c r="P8" s="4">
        <v>0.7</v>
      </c>
      <c r="Q8" s="4">
        <v>0.6</v>
      </c>
      <c r="R8" s="5" t="s">
        <v>22</v>
      </c>
      <c r="S8" s="5">
        <v>100</v>
      </c>
      <c r="T8" s="5">
        <v>100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100</v>
      </c>
      <c r="AD8" s="5">
        <v>100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100</v>
      </c>
      <c r="AN8" s="5">
        <v>70</v>
      </c>
      <c r="AO8" s="5">
        <v>0</v>
      </c>
      <c r="AP8" s="5">
        <v>70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53511233</v>
      </c>
      <c r="K9" s="4" t="s">
        <v>84</v>
      </c>
      <c r="L9" s="4"/>
      <c r="M9" s="4"/>
      <c r="N9" s="4" t="s">
        <v>66</v>
      </c>
      <c r="O9" s="4" t="s">
        <v>164</v>
      </c>
      <c r="P9" s="4">
        <v>0.7</v>
      </c>
      <c r="Q9" s="4">
        <v>0.6</v>
      </c>
      <c r="R9" s="5" t="s">
        <v>22</v>
      </c>
      <c r="S9" s="5">
        <v>100</v>
      </c>
      <c r="T9" s="5">
        <v>18200</v>
      </c>
      <c r="U9" s="5">
        <v>17000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1200</v>
      </c>
      <c r="AD9" s="5">
        <v>18200</v>
      </c>
      <c r="AE9" s="5">
        <v>17000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1200</v>
      </c>
      <c r="AN9" s="5">
        <v>12740</v>
      </c>
      <c r="AO9" s="5">
        <v>0</v>
      </c>
      <c r="AP9" s="5">
        <v>12740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53511233</v>
      </c>
      <c r="K10" s="4" t="s">
        <v>84</v>
      </c>
      <c r="L10" s="4"/>
      <c r="M10" s="4"/>
      <c r="N10" s="4" t="s">
        <v>66</v>
      </c>
      <c r="O10" s="4" t="s">
        <v>164</v>
      </c>
      <c r="P10" s="4">
        <v>0.7</v>
      </c>
      <c r="Q10" s="4">
        <v>0.6</v>
      </c>
      <c r="R10" s="5" t="s">
        <v>21</v>
      </c>
      <c r="S10" s="5">
        <v>9000</v>
      </c>
      <c r="T10" s="5">
        <v>1800</v>
      </c>
      <c r="U10" s="5">
        <v>1800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1800</v>
      </c>
      <c r="AE10" s="5">
        <v>1800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1260</v>
      </c>
      <c r="AO10" s="5">
        <v>0</v>
      </c>
      <c r="AP10" s="5">
        <v>1260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51053565</v>
      </c>
      <c r="K11" s="4" t="s">
        <v>85</v>
      </c>
      <c r="L11" s="4"/>
      <c r="M11" s="4"/>
      <c r="N11" s="4" t="s">
        <v>53</v>
      </c>
      <c r="O11" s="4" t="s">
        <v>164</v>
      </c>
      <c r="P11" s="4">
        <v>0.7</v>
      </c>
      <c r="Q11" s="4">
        <v>0.6</v>
      </c>
      <c r="R11" s="5" t="s">
        <v>22</v>
      </c>
      <c r="S11" s="5">
        <v>100</v>
      </c>
      <c r="T11" s="5">
        <v>100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100</v>
      </c>
      <c r="AD11" s="5">
        <v>100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100</v>
      </c>
      <c r="AN11" s="5">
        <v>70</v>
      </c>
      <c r="AO11" s="5">
        <v>0</v>
      </c>
      <c r="AP11" s="5">
        <v>70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51343023</v>
      </c>
      <c r="K12" s="4" t="s">
        <v>133</v>
      </c>
      <c r="L12" s="4"/>
      <c r="M12" s="4"/>
      <c r="N12" s="4" t="s">
        <v>123</v>
      </c>
      <c r="O12" s="4" t="s">
        <v>164</v>
      </c>
      <c r="P12" s="4">
        <v>0.7</v>
      </c>
      <c r="Q12" s="4">
        <v>0.6</v>
      </c>
      <c r="R12" s="5" t="s">
        <v>22</v>
      </c>
      <c r="S12" s="5">
        <v>100</v>
      </c>
      <c r="T12" s="5">
        <v>3600</v>
      </c>
      <c r="U12" s="5">
        <v>3600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3600</v>
      </c>
      <c r="AE12" s="5">
        <v>3600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2520</v>
      </c>
      <c r="AO12" s="5">
        <v>0</v>
      </c>
      <c r="AP12" s="5">
        <v>2520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52448374</v>
      </c>
      <c r="K13" s="4" t="s">
        <v>87</v>
      </c>
      <c r="L13" s="4"/>
      <c r="M13" s="4"/>
      <c r="N13" s="4" t="s">
        <v>60</v>
      </c>
      <c r="O13" s="4" t="s">
        <v>164</v>
      </c>
      <c r="P13" s="4">
        <v>0.7</v>
      </c>
      <c r="Q13" s="4">
        <v>0.6</v>
      </c>
      <c r="R13" s="5" t="s">
        <v>22</v>
      </c>
      <c r="S13" s="5">
        <v>100</v>
      </c>
      <c r="T13" s="5">
        <v>2400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2400</v>
      </c>
      <c r="AD13" s="5">
        <v>2400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2400</v>
      </c>
      <c r="AN13" s="5">
        <v>1680</v>
      </c>
      <c r="AO13" s="5">
        <v>0</v>
      </c>
      <c r="AP13" s="5">
        <v>1680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58502303</v>
      </c>
      <c r="K14" s="4" t="s">
        <v>126</v>
      </c>
      <c r="L14" s="4"/>
      <c r="M14" s="4"/>
      <c r="N14" s="4" t="s">
        <v>111</v>
      </c>
      <c r="O14" s="4" t="s">
        <v>165</v>
      </c>
      <c r="P14" s="4">
        <v>0.7</v>
      </c>
      <c r="Q14" s="4">
        <v>0.6</v>
      </c>
      <c r="R14" s="5" t="s">
        <v>22</v>
      </c>
      <c r="S14" s="5">
        <v>100</v>
      </c>
      <c r="T14" s="5">
        <v>239100</v>
      </c>
      <c r="U14" s="5">
        <v>173300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65800</v>
      </c>
      <c r="AD14" s="5">
        <v>239100</v>
      </c>
      <c r="AE14" s="5">
        <v>173300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65800</v>
      </c>
      <c r="AN14" s="5">
        <v>167370</v>
      </c>
      <c r="AO14" s="5">
        <v>0</v>
      </c>
      <c r="AP14" s="5">
        <v>167370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58503809</v>
      </c>
      <c r="K15" s="4" t="s">
        <v>127</v>
      </c>
      <c r="L15" s="4"/>
      <c r="M15" s="4"/>
      <c r="N15" s="4" t="s">
        <v>111</v>
      </c>
      <c r="O15" s="4" t="s">
        <v>165</v>
      </c>
      <c r="P15" s="4">
        <v>0.7</v>
      </c>
      <c r="Q15" s="4">
        <v>0.6</v>
      </c>
      <c r="R15" s="5" t="s">
        <v>22</v>
      </c>
      <c r="S15" s="5">
        <v>3200</v>
      </c>
      <c r="T15" s="5">
        <v>35200</v>
      </c>
      <c r="U15" s="5">
        <v>35200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35200</v>
      </c>
      <c r="AE15" s="5">
        <v>35200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24640</v>
      </c>
      <c r="AO15" s="5">
        <v>0</v>
      </c>
      <c r="AP15" s="5">
        <v>24640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58503809</v>
      </c>
      <c r="K16" s="4" t="s">
        <v>127</v>
      </c>
      <c r="L16" s="4"/>
      <c r="M16" s="4"/>
      <c r="N16" s="4" t="s">
        <v>111</v>
      </c>
      <c r="O16" s="4" t="s">
        <v>165</v>
      </c>
      <c r="P16" s="4">
        <v>0.7</v>
      </c>
      <c r="Q16" s="4">
        <v>0.6</v>
      </c>
      <c r="R16" s="5" t="s">
        <v>47</v>
      </c>
      <c r="S16" s="5">
        <v>900</v>
      </c>
      <c r="T16" s="5">
        <v>180900</v>
      </c>
      <c r="U16" s="5">
        <v>127600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53300</v>
      </c>
      <c r="AD16" s="5">
        <v>180900</v>
      </c>
      <c r="AE16" s="5">
        <v>127600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53300</v>
      </c>
      <c r="AN16" s="5">
        <v>126630</v>
      </c>
      <c r="AO16" s="5">
        <v>0</v>
      </c>
      <c r="AP16" s="5">
        <v>126630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51343465</v>
      </c>
      <c r="K17" s="4" t="s">
        <v>137</v>
      </c>
      <c r="L17" s="4"/>
      <c r="M17" s="4"/>
      <c r="N17" s="4" t="s">
        <v>138</v>
      </c>
      <c r="O17" s="4" t="s">
        <v>164</v>
      </c>
      <c r="P17" s="4">
        <v>0.7</v>
      </c>
      <c r="Q17" s="4">
        <v>0.6</v>
      </c>
      <c r="R17" s="5" t="s">
        <v>21</v>
      </c>
      <c r="S17" s="5">
        <v>3000</v>
      </c>
      <c r="T17" s="5">
        <v>2300</v>
      </c>
      <c r="U17" s="5">
        <v>2300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2300</v>
      </c>
      <c r="AE17" s="5">
        <v>2300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1610</v>
      </c>
      <c r="AO17" s="5">
        <v>0</v>
      </c>
      <c r="AP17" s="5">
        <v>1610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51690859</v>
      </c>
      <c r="K18" s="4" t="s">
        <v>128</v>
      </c>
      <c r="L18" s="4"/>
      <c r="M18" s="4"/>
      <c r="N18" s="4" t="s">
        <v>71</v>
      </c>
      <c r="O18" s="4" t="s">
        <v>164</v>
      </c>
      <c r="P18" s="4">
        <v>0.7</v>
      </c>
      <c r="Q18" s="4">
        <v>0.6</v>
      </c>
      <c r="R18" s="5" t="s">
        <v>22</v>
      </c>
      <c r="S18" s="5">
        <v>100</v>
      </c>
      <c r="T18" s="5">
        <v>200</v>
      </c>
      <c r="U18" s="5">
        <v>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200</v>
      </c>
      <c r="AE18" s="5">
        <v>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140</v>
      </c>
      <c r="AO18" s="5">
        <v>0</v>
      </c>
      <c r="AP18" s="5">
        <v>140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52935825</v>
      </c>
      <c r="K19" s="4" t="s">
        <v>89</v>
      </c>
      <c r="L19" s="4"/>
      <c r="M19" s="4"/>
      <c r="N19" s="4" t="s">
        <v>61</v>
      </c>
      <c r="O19" s="4" t="s">
        <v>165</v>
      </c>
      <c r="P19" s="4">
        <v>0.7</v>
      </c>
      <c r="Q19" s="4">
        <v>0.6</v>
      </c>
      <c r="R19" s="5" t="s">
        <v>22</v>
      </c>
      <c r="S19" s="5">
        <v>100</v>
      </c>
      <c r="T19" s="5">
        <v>1800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1800</v>
      </c>
      <c r="AD19" s="5">
        <v>1800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1800</v>
      </c>
      <c r="AN19" s="5">
        <v>1260</v>
      </c>
      <c r="AO19" s="5">
        <v>0</v>
      </c>
      <c r="AP19" s="5">
        <v>1260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52935825</v>
      </c>
      <c r="K20" s="4" t="s">
        <v>89</v>
      </c>
      <c r="L20" s="4"/>
      <c r="M20" s="4"/>
      <c r="N20" s="4" t="s">
        <v>61</v>
      </c>
      <c r="O20" s="4" t="s">
        <v>165</v>
      </c>
      <c r="P20" s="4">
        <v>0.7</v>
      </c>
      <c r="Q20" s="4">
        <v>0.6</v>
      </c>
      <c r="R20" s="5" t="s">
        <v>21</v>
      </c>
      <c r="S20" s="5">
        <v>2400</v>
      </c>
      <c r="T20" s="5">
        <v>2400</v>
      </c>
      <c r="U20" s="5">
        <v>2400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2400</v>
      </c>
      <c r="AE20" s="5">
        <v>2400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1680</v>
      </c>
      <c r="AO20" s="5">
        <v>0</v>
      </c>
      <c r="AP20" s="5">
        <v>1680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50386916</v>
      </c>
      <c r="K21" s="4" t="s">
        <v>139</v>
      </c>
      <c r="L21" s="4"/>
      <c r="M21" s="4"/>
      <c r="N21" s="4" t="s">
        <v>122</v>
      </c>
      <c r="O21" s="4" t="s">
        <v>164</v>
      </c>
      <c r="P21" s="4">
        <v>0.7</v>
      </c>
      <c r="Q21" s="4">
        <v>0.6</v>
      </c>
      <c r="R21" s="5" t="s">
        <v>21</v>
      </c>
      <c r="S21" s="5">
        <v>6400</v>
      </c>
      <c r="T21" s="5">
        <v>2600</v>
      </c>
      <c r="U21" s="5">
        <v>2600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2600</v>
      </c>
      <c r="AE21" s="5">
        <v>2600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1820</v>
      </c>
      <c r="AO21" s="5">
        <v>0</v>
      </c>
      <c r="AP21" s="5">
        <v>1820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47198439</v>
      </c>
      <c r="K22" s="4" t="s">
        <v>79</v>
      </c>
      <c r="L22" s="4"/>
      <c r="M22" s="4"/>
      <c r="N22" s="4" t="s">
        <v>111</v>
      </c>
      <c r="O22" s="4" t="s">
        <v>165</v>
      </c>
      <c r="P22" s="4">
        <v>0.7</v>
      </c>
      <c r="Q22" s="4">
        <v>0.6</v>
      </c>
      <c r="R22" s="5" t="s">
        <v>22</v>
      </c>
      <c r="S22" s="5">
        <v>100</v>
      </c>
      <c r="T22" s="5">
        <v>3700</v>
      </c>
      <c r="U22" s="5">
        <v>400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3300</v>
      </c>
      <c r="AD22" s="5">
        <v>3700</v>
      </c>
      <c r="AE22" s="5">
        <v>400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3300</v>
      </c>
      <c r="AN22" s="5">
        <v>2590</v>
      </c>
      <c r="AO22" s="5">
        <v>0</v>
      </c>
      <c r="AP22" s="5">
        <v>2590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47198439</v>
      </c>
      <c r="K23" s="4" t="s">
        <v>79</v>
      </c>
      <c r="L23" s="4"/>
      <c r="M23" s="4"/>
      <c r="N23" s="4" t="s">
        <v>111</v>
      </c>
      <c r="O23" s="4" t="s">
        <v>165</v>
      </c>
      <c r="P23" s="4">
        <v>0.7</v>
      </c>
      <c r="Q23" s="4">
        <v>0.6</v>
      </c>
      <c r="R23" s="5" t="s">
        <v>21</v>
      </c>
      <c r="S23" s="5">
        <v>1800</v>
      </c>
      <c r="T23" s="5">
        <v>3600</v>
      </c>
      <c r="U23" s="5">
        <v>2200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1400</v>
      </c>
      <c r="AD23" s="5">
        <v>3600</v>
      </c>
      <c r="AE23" s="5">
        <v>2200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1400</v>
      </c>
      <c r="AN23" s="5">
        <v>2520</v>
      </c>
      <c r="AO23" s="5">
        <v>0</v>
      </c>
      <c r="AP23" s="5">
        <v>2520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54800414</v>
      </c>
      <c r="K24" s="4" t="s">
        <v>52</v>
      </c>
      <c r="L24" s="4"/>
      <c r="M24" s="4"/>
      <c r="N24" s="4" t="s">
        <v>53</v>
      </c>
      <c r="O24" s="4" t="s">
        <v>164</v>
      </c>
      <c r="P24" s="4">
        <v>0.7</v>
      </c>
      <c r="Q24" s="4">
        <v>0.6</v>
      </c>
      <c r="R24" s="5" t="s">
        <v>22</v>
      </c>
      <c r="S24" s="5">
        <v>100</v>
      </c>
      <c r="T24" s="5">
        <v>55400</v>
      </c>
      <c r="U24" s="5">
        <v>35400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20000</v>
      </c>
      <c r="AD24" s="5">
        <v>55400</v>
      </c>
      <c r="AE24" s="5">
        <v>35400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20000</v>
      </c>
      <c r="AN24" s="5">
        <v>38780</v>
      </c>
      <c r="AO24" s="5">
        <v>0</v>
      </c>
      <c r="AP24" s="5">
        <v>38780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47198439</v>
      </c>
      <c r="K25" s="4" t="s">
        <v>79</v>
      </c>
      <c r="L25" s="4"/>
      <c r="M25" s="4"/>
      <c r="N25" s="4" t="s">
        <v>111</v>
      </c>
      <c r="O25" s="4" t="s">
        <v>165</v>
      </c>
      <c r="P25" s="4">
        <v>0.7</v>
      </c>
      <c r="Q25" s="4">
        <v>0.6</v>
      </c>
      <c r="R25" s="5" t="s">
        <v>21</v>
      </c>
      <c r="S25" s="5">
        <v>4500</v>
      </c>
      <c r="T25" s="5">
        <v>4500</v>
      </c>
      <c r="U25" s="5">
        <v>4500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4500</v>
      </c>
      <c r="AE25" s="5">
        <v>4500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3150</v>
      </c>
      <c r="AO25" s="5">
        <v>0</v>
      </c>
      <c r="AP25" s="5">
        <v>3150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47198439</v>
      </c>
      <c r="K26" s="4" t="s">
        <v>79</v>
      </c>
      <c r="L26" s="4"/>
      <c r="M26" s="4"/>
      <c r="N26" s="4" t="s">
        <v>111</v>
      </c>
      <c r="O26" s="4" t="s">
        <v>165</v>
      </c>
      <c r="P26" s="4">
        <v>0.7</v>
      </c>
      <c r="Q26" s="4">
        <v>0.6</v>
      </c>
      <c r="R26" s="5" t="s">
        <v>21</v>
      </c>
      <c r="S26" s="5">
        <v>9000</v>
      </c>
      <c r="T26" s="5">
        <v>18000</v>
      </c>
      <c r="U26" s="5">
        <v>18000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18000</v>
      </c>
      <c r="AE26" s="5">
        <v>18000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12600</v>
      </c>
      <c r="AO26" s="5">
        <v>0</v>
      </c>
      <c r="AP26" s="5">
        <v>12600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51970614</v>
      </c>
      <c r="K27" s="4" t="s">
        <v>119</v>
      </c>
      <c r="L27" s="4"/>
      <c r="M27" s="4"/>
      <c r="N27" s="4" t="s">
        <v>66</v>
      </c>
      <c r="O27" s="4" t="s">
        <v>164</v>
      </c>
      <c r="P27" s="4">
        <v>0.7</v>
      </c>
      <c r="Q27" s="4">
        <v>0.6</v>
      </c>
      <c r="R27" s="5" t="s">
        <v>22</v>
      </c>
      <c r="S27" s="5">
        <v>100</v>
      </c>
      <c r="T27" s="5">
        <v>7200</v>
      </c>
      <c r="U27" s="5">
        <v>7200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7200</v>
      </c>
      <c r="AE27" s="5">
        <v>7200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5040</v>
      </c>
      <c r="AO27" s="5">
        <v>0</v>
      </c>
      <c r="AP27" s="5">
        <v>5040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57796158</v>
      </c>
      <c r="K28" s="4" t="s">
        <v>112</v>
      </c>
      <c r="L28" s="4"/>
      <c r="M28" s="4"/>
      <c r="N28" s="4" t="s">
        <v>113</v>
      </c>
      <c r="O28" s="4" t="s">
        <v>164</v>
      </c>
      <c r="P28" s="4">
        <v>0.7</v>
      </c>
      <c r="Q28" s="4">
        <v>0.6</v>
      </c>
      <c r="R28" s="5" t="s">
        <v>22</v>
      </c>
      <c r="S28" s="5">
        <v>100</v>
      </c>
      <c r="T28" s="5">
        <v>1200</v>
      </c>
      <c r="U28" s="5">
        <v>400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800</v>
      </c>
      <c r="AD28" s="5">
        <v>1200</v>
      </c>
      <c r="AE28" s="5">
        <v>400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800</v>
      </c>
      <c r="AN28" s="5">
        <v>840</v>
      </c>
      <c r="AO28" s="5">
        <v>0</v>
      </c>
      <c r="AP28" s="5">
        <v>840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57796536</v>
      </c>
      <c r="K29" s="4" t="s">
        <v>114</v>
      </c>
      <c r="L29" s="4"/>
      <c r="M29" s="4"/>
      <c r="N29" s="4" t="s">
        <v>115</v>
      </c>
      <c r="O29" s="4" t="s">
        <v>164</v>
      </c>
      <c r="P29" s="4">
        <v>0.7</v>
      </c>
      <c r="Q29" s="4">
        <v>0.6</v>
      </c>
      <c r="R29" s="5" t="s">
        <v>22</v>
      </c>
      <c r="S29" s="5">
        <v>100</v>
      </c>
      <c r="T29" s="5">
        <v>8900</v>
      </c>
      <c r="U29" s="5">
        <v>4500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4400</v>
      </c>
      <c r="AD29" s="5">
        <v>8900</v>
      </c>
      <c r="AE29" s="5">
        <v>4500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4400</v>
      </c>
      <c r="AN29" s="5">
        <v>6230</v>
      </c>
      <c r="AO29" s="5">
        <v>0</v>
      </c>
      <c r="AP29" s="5">
        <v>6230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57796782</v>
      </c>
      <c r="K30" s="4" t="s">
        <v>116</v>
      </c>
      <c r="L30" s="4"/>
      <c r="M30" s="4"/>
      <c r="N30" s="4" t="s">
        <v>107</v>
      </c>
      <c r="O30" s="4" t="s">
        <v>164</v>
      </c>
      <c r="P30" s="4">
        <v>0.7</v>
      </c>
      <c r="Q30" s="4">
        <v>0.6</v>
      </c>
      <c r="R30" s="5" t="s">
        <v>22</v>
      </c>
      <c r="S30" s="5">
        <v>100</v>
      </c>
      <c r="T30" s="5">
        <v>500</v>
      </c>
      <c r="U30" s="5">
        <v>400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100</v>
      </c>
      <c r="AD30" s="5">
        <v>500</v>
      </c>
      <c r="AE30" s="5">
        <v>400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100</v>
      </c>
      <c r="AN30" s="5">
        <v>350</v>
      </c>
      <c r="AO30" s="5">
        <v>0</v>
      </c>
      <c r="AP30" s="5">
        <v>350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47353217</v>
      </c>
      <c r="K31" s="4" t="s">
        <v>92</v>
      </c>
      <c r="L31" s="4"/>
      <c r="M31" s="4"/>
      <c r="N31" s="4" t="s">
        <v>111</v>
      </c>
      <c r="O31" s="4" t="s">
        <v>165</v>
      </c>
      <c r="P31" s="4">
        <v>0.7</v>
      </c>
      <c r="Q31" s="4">
        <v>0.6</v>
      </c>
      <c r="R31" s="5" t="s">
        <v>22</v>
      </c>
      <c r="S31" s="5">
        <v>100</v>
      </c>
      <c r="T31" s="5">
        <v>7500</v>
      </c>
      <c r="U31" s="5">
        <v>4400</v>
      </c>
      <c r="V31" s="5">
        <v>0</v>
      </c>
      <c r="W31" s="5">
        <v>0</v>
      </c>
      <c r="X31" s="5">
        <v>0</v>
      </c>
      <c r="Y31" s="5">
        <v>0</v>
      </c>
      <c r="Z31" s="5">
        <v>600</v>
      </c>
      <c r="AA31" s="5">
        <v>0</v>
      </c>
      <c r="AB31" s="5">
        <v>0</v>
      </c>
      <c r="AC31" s="5">
        <v>2500</v>
      </c>
      <c r="AD31" s="5">
        <v>7560</v>
      </c>
      <c r="AE31" s="5">
        <v>4400</v>
      </c>
      <c r="AF31" s="5">
        <v>0</v>
      </c>
      <c r="AG31" s="5">
        <v>0</v>
      </c>
      <c r="AH31" s="5">
        <v>0</v>
      </c>
      <c r="AI31" s="5">
        <v>0</v>
      </c>
      <c r="AJ31" s="5">
        <v>660</v>
      </c>
      <c r="AK31" s="5">
        <v>0</v>
      </c>
      <c r="AL31" s="5">
        <v>0</v>
      </c>
      <c r="AM31" s="5">
        <v>2500</v>
      </c>
      <c r="AN31" s="5">
        <v>5226</v>
      </c>
      <c r="AO31" s="5">
        <v>0</v>
      </c>
      <c r="AP31" s="5">
        <v>5226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47353217</v>
      </c>
      <c r="K32" s="4" t="s">
        <v>92</v>
      </c>
      <c r="L32" s="4"/>
      <c r="M32" s="4"/>
      <c r="N32" s="4" t="s">
        <v>111</v>
      </c>
      <c r="O32" s="4" t="s">
        <v>165</v>
      </c>
      <c r="P32" s="4">
        <v>0.7</v>
      </c>
      <c r="Q32" s="4">
        <v>0.6</v>
      </c>
      <c r="R32" s="5" t="s">
        <v>21</v>
      </c>
      <c r="S32" s="5">
        <v>1800</v>
      </c>
      <c r="T32" s="5">
        <v>19800</v>
      </c>
      <c r="U32" s="5">
        <v>19700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</v>
      </c>
      <c r="AD32" s="5">
        <v>19800</v>
      </c>
      <c r="AE32" s="5">
        <v>19700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</v>
      </c>
      <c r="AN32" s="5">
        <v>13860</v>
      </c>
      <c r="AO32" s="5">
        <v>0</v>
      </c>
      <c r="AP32" s="5">
        <v>13860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47353217</v>
      </c>
      <c r="K33" s="4" t="s">
        <v>92</v>
      </c>
      <c r="L33" s="4"/>
      <c r="M33" s="4"/>
      <c r="N33" s="4" t="s">
        <v>111</v>
      </c>
      <c r="O33" s="4" t="s">
        <v>165</v>
      </c>
      <c r="P33" s="4">
        <v>0.7</v>
      </c>
      <c r="Q33" s="4">
        <v>0.6</v>
      </c>
      <c r="R33" s="5" t="s">
        <v>21</v>
      </c>
      <c r="S33" s="5">
        <v>3600</v>
      </c>
      <c r="T33" s="5">
        <v>28800</v>
      </c>
      <c r="U33" s="5">
        <v>28800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28800</v>
      </c>
      <c r="AE33" s="5">
        <v>28800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20160</v>
      </c>
      <c r="AO33" s="5">
        <v>0</v>
      </c>
      <c r="AP33" s="5">
        <v>20160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50225864</v>
      </c>
      <c r="K34" s="4" t="s">
        <v>88</v>
      </c>
      <c r="L34" s="4"/>
      <c r="M34" s="4"/>
      <c r="N34" s="4" t="s">
        <v>71</v>
      </c>
      <c r="O34" s="4" t="s">
        <v>164</v>
      </c>
      <c r="P34" s="4">
        <v>0.7</v>
      </c>
      <c r="Q34" s="4">
        <v>0.6</v>
      </c>
      <c r="R34" s="5" t="s">
        <v>22</v>
      </c>
      <c r="S34" s="5">
        <v>100</v>
      </c>
      <c r="T34" s="5">
        <v>200</v>
      </c>
      <c r="U34" s="5">
        <v>200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200</v>
      </c>
      <c r="AE34" s="5">
        <v>200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140</v>
      </c>
      <c r="AO34" s="5">
        <v>0</v>
      </c>
      <c r="AP34" s="5">
        <v>140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53944595</v>
      </c>
      <c r="K35" s="4" t="s">
        <v>86</v>
      </c>
      <c r="L35" s="4"/>
      <c r="M35" s="4"/>
      <c r="N35" s="4" t="s">
        <v>53</v>
      </c>
      <c r="O35" s="4" t="s">
        <v>164</v>
      </c>
      <c r="P35" s="4">
        <v>0.7</v>
      </c>
      <c r="Q35" s="4">
        <v>0.6</v>
      </c>
      <c r="R35" s="5" t="s">
        <v>22</v>
      </c>
      <c r="S35" s="5">
        <v>100</v>
      </c>
      <c r="T35" s="5">
        <v>20500</v>
      </c>
      <c r="U35" s="5">
        <v>7700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12800</v>
      </c>
      <c r="AD35" s="5">
        <v>20500</v>
      </c>
      <c r="AE35" s="5">
        <v>7700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12800</v>
      </c>
      <c r="AN35" s="5">
        <v>14350</v>
      </c>
      <c r="AO35" s="5">
        <v>0</v>
      </c>
      <c r="AP35" s="5">
        <v>14350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50225864</v>
      </c>
      <c r="K36" s="4" t="s">
        <v>88</v>
      </c>
      <c r="L36" s="4"/>
      <c r="M36" s="4"/>
      <c r="N36" s="4" t="s">
        <v>71</v>
      </c>
      <c r="O36" s="4" t="s">
        <v>164</v>
      </c>
      <c r="P36" s="4">
        <v>0.7</v>
      </c>
      <c r="Q36" s="4">
        <v>0.6</v>
      </c>
      <c r="R36" s="5" t="s">
        <v>21</v>
      </c>
      <c r="S36" s="5">
        <v>13400</v>
      </c>
      <c r="T36" s="5">
        <v>11100</v>
      </c>
      <c r="U36" s="5">
        <v>2700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8400</v>
      </c>
      <c r="AD36" s="5">
        <v>11100</v>
      </c>
      <c r="AE36" s="5">
        <v>2700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8400</v>
      </c>
      <c r="AN36" s="5">
        <v>7770</v>
      </c>
      <c r="AO36" s="5">
        <v>0</v>
      </c>
      <c r="AP36" s="5">
        <v>7770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53944595</v>
      </c>
      <c r="K37" s="4" t="s">
        <v>86</v>
      </c>
      <c r="L37" s="4"/>
      <c r="M37" s="4"/>
      <c r="N37" s="4" t="s">
        <v>53</v>
      </c>
      <c r="O37" s="4" t="s">
        <v>164</v>
      </c>
      <c r="P37" s="4">
        <v>0.7</v>
      </c>
      <c r="Q37" s="4">
        <v>0.6</v>
      </c>
      <c r="R37" s="5" t="s">
        <v>21</v>
      </c>
      <c r="S37" s="5">
        <v>7000</v>
      </c>
      <c r="T37" s="5">
        <v>13700</v>
      </c>
      <c r="U37" s="5">
        <v>13700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13700</v>
      </c>
      <c r="AE37" s="5">
        <v>13700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9590</v>
      </c>
      <c r="AO37" s="5">
        <v>0</v>
      </c>
      <c r="AP37" s="5">
        <v>9590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57127724</v>
      </c>
      <c r="K38" s="4" t="s">
        <v>140</v>
      </c>
      <c r="L38" s="4"/>
      <c r="M38" s="4"/>
      <c r="N38" s="4" t="s">
        <v>105</v>
      </c>
      <c r="O38" s="4" t="s">
        <v>164</v>
      </c>
      <c r="P38" s="4">
        <v>0.7</v>
      </c>
      <c r="Q38" s="4">
        <v>0.6</v>
      </c>
      <c r="R38" s="5" t="s">
        <v>22</v>
      </c>
      <c r="S38" s="5">
        <v>100</v>
      </c>
      <c r="T38" s="5">
        <v>200</v>
      </c>
      <c r="U38" s="5">
        <v>200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200</v>
      </c>
      <c r="AE38" s="5">
        <v>200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140</v>
      </c>
      <c r="AO38" s="5">
        <v>0</v>
      </c>
      <c r="AP38" s="5">
        <v>140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49302907</v>
      </c>
      <c r="K39" s="4" t="s">
        <v>141</v>
      </c>
      <c r="L39" s="4"/>
      <c r="M39" s="4"/>
      <c r="N39" s="4" t="s">
        <v>142</v>
      </c>
      <c r="O39" s="4" t="s">
        <v>164</v>
      </c>
      <c r="P39" s="4">
        <v>0.7</v>
      </c>
      <c r="Q39" s="4">
        <v>0.6</v>
      </c>
      <c r="R39" s="5" t="s">
        <v>22</v>
      </c>
      <c r="S39" s="5">
        <v>100</v>
      </c>
      <c r="T39" s="5">
        <v>6400</v>
      </c>
      <c r="U39" s="5">
        <v>6400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6400</v>
      </c>
      <c r="AE39" s="5">
        <v>6400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4480</v>
      </c>
      <c r="AO39" s="5">
        <v>0</v>
      </c>
      <c r="AP39" s="5">
        <v>4480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51234142</v>
      </c>
      <c r="K40" s="4" t="s">
        <v>57</v>
      </c>
      <c r="L40" s="4"/>
      <c r="M40" s="4"/>
      <c r="N40" s="4" t="s">
        <v>111</v>
      </c>
      <c r="O40" s="4" t="s">
        <v>165</v>
      </c>
      <c r="P40" s="4">
        <v>0.7</v>
      </c>
      <c r="Q40" s="4">
        <v>0.6</v>
      </c>
      <c r="R40" s="5" t="s">
        <v>22</v>
      </c>
      <c r="S40" s="5">
        <v>100</v>
      </c>
      <c r="T40" s="5">
        <v>400</v>
      </c>
      <c r="U40" s="5">
        <v>100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300</v>
      </c>
      <c r="AD40" s="5">
        <v>400</v>
      </c>
      <c r="AE40" s="5">
        <v>100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300</v>
      </c>
      <c r="AN40" s="5">
        <v>280</v>
      </c>
      <c r="AO40" s="5">
        <v>0</v>
      </c>
      <c r="AP40" s="5">
        <v>280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51234142</v>
      </c>
      <c r="K41" s="4" t="s">
        <v>57</v>
      </c>
      <c r="L41" s="4"/>
      <c r="M41" s="4"/>
      <c r="N41" s="4" t="s">
        <v>111</v>
      </c>
      <c r="O41" s="4" t="s">
        <v>165</v>
      </c>
      <c r="P41" s="4">
        <v>0.7</v>
      </c>
      <c r="Q41" s="4">
        <v>0.6</v>
      </c>
      <c r="R41" s="5" t="s">
        <v>21</v>
      </c>
      <c r="S41" s="5">
        <v>1800</v>
      </c>
      <c r="T41" s="5">
        <v>1800</v>
      </c>
      <c r="U41" s="5">
        <v>1800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1800</v>
      </c>
      <c r="AE41" s="5">
        <v>1800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1260</v>
      </c>
      <c r="AO41" s="5">
        <v>0</v>
      </c>
      <c r="AP41" s="5">
        <v>1260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51234142</v>
      </c>
      <c r="K42" s="4" t="s">
        <v>57</v>
      </c>
      <c r="L42" s="4"/>
      <c r="M42" s="4"/>
      <c r="N42" s="4" t="s">
        <v>111</v>
      </c>
      <c r="O42" s="4" t="s">
        <v>165</v>
      </c>
      <c r="P42" s="4">
        <v>0.7</v>
      </c>
      <c r="Q42" s="4">
        <v>0.6</v>
      </c>
      <c r="R42" s="5" t="s">
        <v>21</v>
      </c>
      <c r="S42" s="5">
        <v>4500</v>
      </c>
      <c r="T42" s="5">
        <v>4500</v>
      </c>
      <c r="U42" s="5">
        <v>4500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4500</v>
      </c>
      <c r="AE42" s="5">
        <v>4500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3150</v>
      </c>
      <c r="AO42" s="5">
        <v>0</v>
      </c>
      <c r="AP42" s="5">
        <v>3150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51234142</v>
      </c>
      <c r="K43" s="4" t="s">
        <v>57</v>
      </c>
      <c r="L43" s="4"/>
      <c r="M43" s="4"/>
      <c r="N43" s="4" t="s">
        <v>111</v>
      </c>
      <c r="O43" s="4" t="s">
        <v>165</v>
      </c>
      <c r="P43" s="4">
        <v>0.7</v>
      </c>
      <c r="Q43" s="4">
        <v>0.6</v>
      </c>
      <c r="R43" s="5" t="s">
        <v>21</v>
      </c>
      <c r="S43" s="5">
        <v>9000</v>
      </c>
      <c r="T43" s="5">
        <v>-7700</v>
      </c>
      <c r="U43" s="5">
        <v>-7700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-7700</v>
      </c>
      <c r="AE43" s="5">
        <v>-7700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-5390</v>
      </c>
      <c r="AO43" s="5">
        <v>0</v>
      </c>
      <c r="AP43" s="5">
        <v>-5390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49619884</v>
      </c>
      <c r="K44" s="4" t="s">
        <v>121</v>
      </c>
      <c r="L44" s="4"/>
      <c r="M44" s="4"/>
      <c r="N44" s="4" t="s">
        <v>122</v>
      </c>
      <c r="O44" s="4" t="s">
        <v>164</v>
      </c>
      <c r="P44" s="4">
        <v>0.7</v>
      </c>
      <c r="Q44" s="4">
        <v>0.6</v>
      </c>
      <c r="R44" s="5" t="s">
        <v>22</v>
      </c>
      <c r="S44" s="5">
        <v>100</v>
      </c>
      <c r="T44" s="5">
        <v>1700</v>
      </c>
      <c r="U44" s="5">
        <v>1700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1700</v>
      </c>
      <c r="AE44" s="5">
        <v>1700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1190</v>
      </c>
      <c r="AO44" s="5">
        <v>0</v>
      </c>
      <c r="AP44" s="5">
        <v>1190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55495517</v>
      </c>
      <c r="K45" s="4" t="s">
        <v>143</v>
      </c>
      <c r="L45" s="4"/>
      <c r="M45" s="4"/>
      <c r="N45" s="4" t="s">
        <v>61</v>
      </c>
      <c r="O45" s="4" t="s">
        <v>165</v>
      </c>
      <c r="P45" s="4">
        <v>0.7</v>
      </c>
      <c r="Q45" s="4">
        <v>0.6</v>
      </c>
      <c r="R45" s="5" t="s">
        <v>22</v>
      </c>
      <c r="S45" s="5">
        <v>100</v>
      </c>
      <c r="T45" s="5">
        <v>100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100</v>
      </c>
      <c r="AD45" s="5">
        <v>100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100</v>
      </c>
      <c r="AN45" s="5">
        <v>70</v>
      </c>
      <c r="AO45" s="5">
        <v>0</v>
      </c>
      <c r="AP45" s="5">
        <v>70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55496218</v>
      </c>
      <c r="K46" s="4" t="s">
        <v>144</v>
      </c>
      <c r="L46" s="4"/>
      <c r="M46" s="4"/>
      <c r="N46" s="4" t="s">
        <v>61</v>
      </c>
      <c r="O46" s="4" t="s">
        <v>165</v>
      </c>
      <c r="P46" s="4">
        <v>0.7</v>
      </c>
      <c r="Q46" s="4">
        <v>0.6</v>
      </c>
      <c r="R46" s="5" t="s">
        <v>22</v>
      </c>
      <c r="S46" s="5">
        <v>100</v>
      </c>
      <c r="T46" s="5">
        <v>7500</v>
      </c>
      <c r="U46" s="5">
        <v>6000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1500</v>
      </c>
      <c r="AD46" s="5">
        <v>7500</v>
      </c>
      <c r="AE46" s="5">
        <v>6000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1500</v>
      </c>
      <c r="AN46" s="5">
        <v>5250</v>
      </c>
      <c r="AO46" s="5">
        <v>0</v>
      </c>
      <c r="AP46" s="5">
        <v>5250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55496218</v>
      </c>
      <c r="K47" s="4" t="s">
        <v>144</v>
      </c>
      <c r="L47" s="4"/>
      <c r="M47" s="4"/>
      <c r="N47" s="4" t="s">
        <v>61</v>
      </c>
      <c r="O47" s="4" t="s">
        <v>165</v>
      </c>
      <c r="P47" s="4">
        <v>0.7</v>
      </c>
      <c r="Q47" s="4">
        <v>0.6</v>
      </c>
      <c r="R47" s="5" t="s">
        <v>21</v>
      </c>
      <c r="S47" s="5">
        <v>1800</v>
      </c>
      <c r="T47" s="5">
        <v>7200</v>
      </c>
      <c r="U47" s="5">
        <v>7200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7200</v>
      </c>
      <c r="AE47" s="5">
        <v>7200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5040</v>
      </c>
      <c r="AO47" s="5">
        <v>0</v>
      </c>
      <c r="AP47" s="5">
        <v>5040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55496218</v>
      </c>
      <c r="K48" s="4" t="s">
        <v>144</v>
      </c>
      <c r="L48" s="4"/>
      <c r="M48" s="4"/>
      <c r="N48" s="4" t="s">
        <v>61</v>
      </c>
      <c r="O48" s="4" t="s">
        <v>165</v>
      </c>
      <c r="P48" s="4">
        <v>0.7</v>
      </c>
      <c r="Q48" s="4">
        <v>0.6</v>
      </c>
      <c r="R48" s="5" t="s">
        <v>21</v>
      </c>
      <c r="S48" s="5">
        <v>4500</v>
      </c>
      <c r="T48" s="5">
        <v>9000</v>
      </c>
      <c r="U48" s="5">
        <v>9000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9000</v>
      </c>
      <c r="AE48" s="5">
        <v>9000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6300</v>
      </c>
      <c r="AO48" s="5">
        <v>0</v>
      </c>
      <c r="AP48" s="5">
        <v>6300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54966161</v>
      </c>
      <c r="K49" s="4" t="s">
        <v>129</v>
      </c>
      <c r="L49" s="4"/>
      <c r="M49" s="4"/>
      <c r="N49" s="4" t="s">
        <v>66</v>
      </c>
      <c r="O49" s="4" t="s">
        <v>164</v>
      </c>
      <c r="P49" s="4">
        <v>0.7</v>
      </c>
      <c r="Q49" s="4">
        <v>0.6</v>
      </c>
      <c r="R49" s="5" t="s">
        <v>22</v>
      </c>
      <c r="S49" s="5">
        <v>100</v>
      </c>
      <c r="T49" s="5">
        <v>3300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3300</v>
      </c>
      <c r="AD49" s="5">
        <v>3300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3300</v>
      </c>
      <c r="AN49" s="5">
        <v>2310</v>
      </c>
      <c r="AO49" s="5">
        <v>0</v>
      </c>
      <c r="AP49" s="5">
        <v>2310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52660201</v>
      </c>
      <c r="K50" s="4" t="s">
        <v>76</v>
      </c>
      <c r="L50" s="4"/>
      <c r="M50" s="4"/>
      <c r="N50" s="4" t="s">
        <v>77</v>
      </c>
      <c r="O50" s="4" t="s">
        <v>164</v>
      </c>
      <c r="P50" s="4">
        <v>0.7</v>
      </c>
      <c r="Q50" s="4">
        <v>0.6</v>
      </c>
      <c r="R50" s="5" t="s">
        <v>22</v>
      </c>
      <c r="S50" s="5">
        <v>100</v>
      </c>
      <c r="T50" s="5">
        <v>100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100</v>
      </c>
      <c r="AD50" s="5">
        <v>100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100</v>
      </c>
      <c r="AN50" s="5">
        <v>70</v>
      </c>
      <c r="AO50" s="5">
        <v>0</v>
      </c>
      <c r="AP50" s="5">
        <v>70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55497163</v>
      </c>
      <c r="K51" s="4" t="s">
        <v>120</v>
      </c>
      <c r="L51" s="4"/>
      <c r="M51" s="4"/>
      <c r="N51" s="4" t="s">
        <v>61</v>
      </c>
      <c r="O51" s="4" t="s">
        <v>165</v>
      </c>
      <c r="P51" s="4">
        <v>0.7</v>
      </c>
      <c r="Q51" s="4">
        <v>0.6</v>
      </c>
      <c r="R51" s="5" t="s">
        <v>22</v>
      </c>
      <c r="S51" s="5">
        <v>100</v>
      </c>
      <c r="T51" s="5">
        <v>200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200</v>
      </c>
      <c r="AD51" s="5">
        <v>200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200</v>
      </c>
      <c r="AN51" s="5">
        <v>140</v>
      </c>
      <c r="AO51" s="5">
        <v>0</v>
      </c>
      <c r="AP51" s="5">
        <v>140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52883680</v>
      </c>
      <c r="K52" s="4" t="s">
        <v>101</v>
      </c>
      <c r="L52" s="4"/>
      <c r="M52" s="4"/>
      <c r="N52" s="4" t="s">
        <v>102</v>
      </c>
      <c r="O52" s="4" t="s">
        <v>164</v>
      </c>
      <c r="P52" s="4">
        <v>0.7</v>
      </c>
      <c r="Q52" s="4">
        <v>0.6</v>
      </c>
      <c r="R52" s="5" t="s">
        <v>22</v>
      </c>
      <c r="S52" s="5">
        <v>100</v>
      </c>
      <c r="T52" s="5">
        <v>42500</v>
      </c>
      <c r="U52" s="5">
        <v>16800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25700</v>
      </c>
      <c r="AD52" s="5">
        <v>42500</v>
      </c>
      <c r="AE52" s="5">
        <v>16800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25700</v>
      </c>
      <c r="AN52" s="5">
        <v>29750</v>
      </c>
      <c r="AO52" s="5">
        <v>0</v>
      </c>
      <c r="AP52" s="5">
        <v>29750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55497489</v>
      </c>
      <c r="K53" s="4" t="s">
        <v>117</v>
      </c>
      <c r="L53" s="4"/>
      <c r="M53" s="4"/>
      <c r="N53" s="4" t="s">
        <v>61</v>
      </c>
      <c r="O53" s="4" t="s">
        <v>165</v>
      </c>
      <c r="P53" s="4">
        <v>0.7</v>
      </c>
      <c r="Q53" s="4">
        <v>0.6</v>
      </c>
      <c r="R53" s="5" t="s">
        <v>22</v>
      </c>
      <c r="S53" s="5">
        <v>100</v>
      </c>
      <c r="T53" s="5">
        <v>600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600</v>
      </c>
      <c r="AD53" s="5">
        <v>600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600</v>
      </c>
      <c r="AN53" s="5">
        <v>420</v>
      </c>
      <c r="AO53" s="5">
        <v>0</v>
      </c>
      <c r="AP53" s="5">
        <v>420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57645754</v>
      </c>
      <c r="K54" s="4" t="s">
        <v>145</v>
      </c>
      <c r="L54" s="4"/>
      <c r="M54" s="4"/>
      <c r="N54" s="4" t="s">
        <v>105</v>
      </c>
      <c r="O54" s="4" t="s">
        <v>164</v>
      </c>
      <c r="P54" s="4">
        <v>0.7</v>
      </c>
      <c r="Q54" s="4">
        <v>0.6</v>
      </c>
      <c r="R54" s="5" t="s">
        <v>22</v>
      </c>
      <c r="S54" s="5">
        <v>100</v>
      </c>
      <c r="T54" s="5">
        <v>7000</v>
      </c>
      <c r="U54" s="5">
        <v>3100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3900</v>
      </c>
      <c r="AD54" s="5">
        <v>7000</v>
      </c>
      <c r="AE54" s="5">
        <v>3100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3900</v>
      </c>
      <c r="AN54" s="5">
        <v>4900</v>
      </c>
      <c r="AO54" s="5">
        <v>0</v>
      </c>
      <c r="AP54" s="5">
        <v>4900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52774425</v>
      </c>
      <c r="K55" s="4" t="s">
        <v>130</v>
      </c>
      <c r="L55" s="4"/>
      <c r="M55" s="4"/>
      <c r="N55" s="4" t="s">
        <v>131</v>
      </c>
      <c r="O55" s="4" t="s">
        <v>164</v>
      </c>
      <c r="P55" s="4">
        <v>0.7</v>
      </c>
      <c r="Q55" s="4">
        <v>0.6</v>
      </c>
      <c r="R55" s="5" t="s">
        <v>22</v>
      </c>
      <c r="S55" s="5">
        <v>100</v>
      </c>
      <c r="T55" s="5">
        <v>3300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3300</v>
      </c>
      <c r="AD55" s="5">
        <v>3300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3300</v>
      </c>
      <c r="AN55" s="5">
        <v>2310</v>
      </c>
      <c r="AO55" s="5">
        <v>0</v>
      </c>
      <c r="AP55" s="5">
        <v>2310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52883680</v>
      </c>
      <c r="K56" s="4" t="s">
        <v>101</v>
      </c>
      <c r="L56" s="4"/>
      <c r="M56" s="4"/>
      <c r="N56" s="4" t="s">
        <v>102</v>
      </c>
      <c r="O56" s="4" t="s">
        <v>164</v>
      </c>
      <c r="P56" s="4">
        <v>0.7</v>
      </c>
      <c r="Q56" s="4">
        <v>0.6</v>
      </c>
      <c r="R56" s="5" t="s">
        <v>21</v>
      </c>
      <c r="S56" s="5">
        <v>7000</v>
      </c>
      <c r="T56" s="5">
        <v>7000</v>
      </c>
      <c r="U56" s="5">
        <v>7000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7000</v>
      </c>
      <c r="AE56" s="5">
        <v>7000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4900</v>
      </c>
      <c r="AO56" s="5">
        <v>0</v>
      </c>
      <c r="AP56" s="5">
        <v>4900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55497489</v>
      </c>
      <c r="K57" s="4" t="s">
        <v>117</v>
      </c>
      <c r="L57" s="4"/>
      <c r="M57" s="4"/>
      <c r="N57" s="4" t="s">
        <v>61</v>
      </c>
      <c r="O57" s="4" t="s">
        <v>165</v>
      </c>
      <c r="P57" s="4">
        <v>0.7</v>
      </c>
      <c r="Q57" s="4">
        <v>0.6</v>
      </c>
      <c r="R57" s="5" t="s">
        <v>21</v>
      </c>
      <c r="S57" s="5">
        <v>1800</v>
      </c>
      <c r="T57" s="5">
        <v>1800</v>
      </c>
      <c r="U57" s="5">
        <v>1800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1800</v>
      </c>
      <c r="AE57" s="5">
        <v>1800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1260</v>
      </c>
      <c r="AO57" s="5">
        <v>0</v>
      </c>
      <c r="AP57" s="5">
        <v>1260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52883680</v>
      </c>
      <c r="K58" s="4" t="s">
        <v>101</v>
      </c>
      <c r="L58" s="4"/>
      <c r="M58" s="4"/>
      <c r="N58" s="4" t="s">
        <v>102</v>
      </c>
      <c r="O58" s="4" t="s">
        <v>164</v>
      </c>
      <c r="P58" s="4">
        <v>0.7</v>
      </c>
      <c r="Q58" s="4">
        <v>0.6</v>
      </c>
      <c r="R58" s="5" t="s">
        <v>21</v>
      </c>
      <c r="S58" s="5">
        <v>7200</v>
      </c>
      <c r="T58" s="5">
        <v>600</v>
      </c>
      <c r="U58" s="5">
        <v>100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500</v>
      </c>
      <c r="AD58" s="5">
        <v>600</v>
      </c>
      <c r="AE58" s="5">
        <v>100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500</v>
      </c>
      <c r="AN58" s="5">
        <v>420</v>
      </c>
      <c r="AO58" s="5">
        <v>0</v>
      </c>
      <c r="AP58" s="5">
        <v>420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54007644</v>
      </c>
      <c r="K59" s="4" t="s">
        <v>98</v>
      </c>
      <c r="L59" s="4"/>
      <c r="M59" s="4"/>
      <c r="N59" s="4" t="s">
        <v>99</v>
      </c>
      <c r="O59" s="4" t="s">
        <v>166</v>
      </c>
      <c r="P59" s="4">
        <v>0.7</v>
      </c>
      <c r="Q59" s="4">
        <v>0.6</v>
      </c>
      <c r="R59" s="5" t="s">
        <v>22</v>
      </c>
      <c r="S59" s="5">
        <v>100</v>
      </c>
      <c r="T59" s="5">
        <v>2900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2900</v>
      </c>
      <c r="AD59" s="5">
        <v>2900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2900</v>
      </c>
      <c r="AN59" s="5">
        <v>2030</v>
      </c>
      <c r="AO59" s="5">
        <v>0</v>
      </c>
      <c r="AP59" s="5">
        <v>2030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54007644</v>
      </c>
      <c r="K60" s="4" t="s">
        <v>98</v>
      </c>
      <c r="L60" s="4"/>
      <c r="M60" s="4"/>
      <c r="N60" s="4" t="s">
        <v>99</v>
      </c>
      <c r="O60" s="4" t="s">
        <v>166</v>
      </c>
      <c r="P60" s="4">
        <v>0.7</v>
      </c>
      <c r="Q60" s="4">
        <v>0.6</v>
      </c>
      <c r="R60" s="5" t="s">
        <v>21</v>
      </c>
      <c r="S60" s="5">
        <v>2300</v>
      </c>
      <c r="T60" s="5">
        <v>-2300</v>
      </c>
      <c r="U60" s="5">
        <v>-3800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1500</v>
      </c>
      <c r="AD60" s="5">
        <v>-2300</v>
      </c>
      <c r="AE60" s="5">
        <v>-3800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1500</v>
      </c>
      <c r="AN60" s="5">
        <v>-1610</v>
      </c>
      <c r="AO60" s="5">
        <v>0</v>
      </c>
      <c r="AP60" s="5">
        <v>-1610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57647613</v>
      </c>
      <c r="K61" s="4" t="s">
        <v>106</v>
      </c>
      <c r="L61" s="4"/>
      <c r="M61" s="4"/>
      <c r="N61" s="4" t="s">
        <v>107</v>
      </c>
      <c r="O61" s="4" t="s">
        <v>164</v>
      </c>
      <c r="P61" s="4">
        <v>0.7</v>
      </c>
      <c r="Q61" s="4">
        <v>0.6</v>
      </c>
      <c r="R61" s="5" t="s">
        <v>22</v>
      </c>
      <c r="S61" s="5">
        <v>100</v>
      </c>
      <c r="T61" s="5">
        <v>6400</v>
      </c>
      <c r="U61" s="5">
        <v>6400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6400</v>
      </c>
      <c r="AE61" s="5">
        <v>6400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4480</v>
      </c>
      <c r="AO61" s="5">
        <v>0</v>
      </c>
      <c r="AP61" s="5">
        <v>4480</v>
      </c>
    </row>
    <row r="62" spans="1:42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53431837</v>
      </c>
      <c r="K62" s="4" t="s">
        <v>94</v>
      </c>
      <c r="L62" s="4"/>
      <c r="M62" s="4"/>
      <c r="N62" s="4" t="s">
        <v>66</v>
      </c>
      <c r="O62" s="4" t="s">
        <v>164</v>
      </c>
      <c r="P62" s="4">
        <v>0.7</v>
      </c>
      <c r="Q62" s="4">
        <v>0.6</v>
      </c>
      <c r="R62" s="5" t="s">
        <v>22</v>
      </c>
      <c r="S62" s="5">
        <v>100</v>
      </c>
      <c r="T62" s="5">
        <v>13400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13400</v>
      </c>
      <c r="AD62" s="5">
        <v>13400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13400</v>
      </c>
      <c r="AN62" s="5">
        <v>9380</v>
      </c>
      <c r="AO62" s="5">
        <v>0</v>
      </c>
      <c r="AP62" s="5">
        <v>9380</v>
      </c>
    </row>
    <row r="63" spans="1:42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57648235</v>
      </c>
      <c r="K63" s="4" t="s">
        <v>108</v>
      </c>
      <c r="L63" s="4"/>
      <c r="M63" s="4"/>
      <c r="N63" s="4" t="s">
        <v>67</v>
      </c>
      <c r="O63" s="4" t="s">
        <v>164</v>
      </c>
      <c r="P63" s="4">
        <v>0.7</v>
      </c>
      <c r="Q63" s="4">
        <v>0.6</v>
      </c>
      <c r="R63" s="5" t="s">
        <v>22</v>
      </c>
      <c r="S63" s="5">
        <v>100</v>
      </c>
      <c r="T63" s="5">
        <v>1400</v>
      </c>
      <c r="U63" s="5">
        <v>1400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1400</v>
      </c>
      <c r="AE63" s="5">
        <v>1400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980</v>
      </c>
      <c r="AO63" s="5">
        <v>0</v>
      </c>
      <c r="AP63" s="5">
        <v>980</v>
      </c>
    </row>
    <row r="64" spans="1:42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57648486</v>
      </c>
      <c r="K64" s="4" t="s">
        <v>109</v>
      </c>
      <c r="L64" s="4"/>
      <c r="M64" s="4"/>
      <c r="N64" s="4" t="s">
        <v>67</v>
      </c>
      <c r="O64" s="4" t="s">
        <v>164</v>
      </c>
      <c r="P64" s="4">
        <v>0.7</v>
      </c>
      <c r="Q64" s="4">
        <v>0.6</v>
      </c>
      <c r="R64" s="5" t="s">
        <v>22</v>
      </c>
      <c r="S64" s="5">
        <v>100</v>
      </c>
      <c r="T64" s="5">
        <v>5700</v>
      </c>
      <c r="U64" s="5">
        <v>5700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5700</v>
      </c>
      <c r="AE64" s="5">
        <v>5700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3990</v>
      </c>
      <c r="AO64" s="5">
        <v>0</v>
      </c>
      <c r="AP64" s="5">
        <v>3990</v>
      </c>
    </row>
    <row r="65" spans="1:42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57648587</v>
      </c>
      <c r="K65" s="4" t="s">
        <v>146</v>
      </c>
      <c r="L65" s="4"/>
      <c r="M65" s="4"/>
      <c r="N65" s="4" t="s">
        <v>147</v>
      </c>
      <c r="O65" s="4" t="s">
        <v>164</v>
      </c>
      <c r="P65" s="4">
        <v>0.7</v>
      </c>
      <c r="Q65" s="4">
        <v>0.6</v>
      </c>
      <c r="R65" s="5" t="s">
        <v>22</v>
      </c>
      <c r="S65" s="5">
        <v>100</v>
      </c>
      <c r="T65" s="5">
        <v>2400</v>
      </c>
      <c r="U65" s="5">
        <v>2400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2400</v>
      </c>
      <c r="AE65" s="5">
        <v>2400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1680</v>
      </c>
      <c r="AO65" s="5">
        <v>0</v>
      </c>
      <c r="AP65" s="5">
        <v>1680</v>
      </c>
    </row>
    <row r="66" spans="1:42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51078450</v>
      </c>
      <c r="K66" s="4" t="s">
        <v>104</v>
      </c>
      <c r="L66" s="4"/>
      <c r="M66" s="4"/>
      <c r="N66" s="4" t="s">
        <v>80</v>
      </c>
      <c r="O66" s="4" t="s">
        <v>164</v>
      </c>
      <c r="P66" s="4">
        <v>0.7</v>
      </c>
      <c r="Q66" s="4">
        <v>0.6</v>
      </c>
      <c r="R66" s="5" t="s">
        <v>22</v>
      </c>
      <c r="S66" s="5">
        <v>100</v>
      </c>
      <c r="T66" s="5">
        <v>500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500</v>
      </c>
      <c r="AD66" s="5">
        <v>500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500</v>
      </c>
      <c r="AN66" s="5">
        <v>350</v>
      </c>
      <c r="AO66" s="5">
        <v>0</v>
      </c>
      <c r="AP66" s="5">
        <v>350</v>
      </c>
    </row>
    <row r="67" spans="1:42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53434486</v>
      </c>
      <c r="K67" s="4" t="s">
        <v>96</v>
      </c>
      <c r="L67" s="4"/>
      <c r="M67" s="4"/>
      <c r="N67" s="4" t="s">
        <v>70</v>
      </c>
      <c r="O67" s="4" t="s">
        <v>164</v>
      </c>
      <c r="P67" s="4">
        <v>0.7</v>
      </c>
      <c r="Q67" s="4">
        <v>0.6</v>
      </c>
      <c r="R67" s="5" t="s">
        <v>22</v>
      </c>
      <c r="S67" s="5">
        <v>100</v>
      </c>
      <c r="T67" s="5">
        <v>300</v>
      </c>
      <c r="U67" s="5">
        <v>100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200</v>
      </c>
      <c r="AD67" s="5">
        <v>300</v>
      </c>
      <c r="AE67" s="5">
        <v>100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200</v>
      </c>
      <c r="AN67" s="5">
        <v>210</v>
      </c>
      <c r="AO67" s="5">
        <v>0</v>
      </c>
      <c r="AP67" s="5">
        <v>210</v>
      </c>
    </row>
    <row r="68" spans="1:42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50952986</v>
      </c>
      <c r="K68" s="4" t="s">
        <v>103</v>
      </c>
      <c r="L68" s="4"/>
      <c r="M68" s="4"/>
      <c r="N68" s="4" t="s">
        <v>66</v>
      </c>
      <c r="O68" s="4" t="s">
        <v>164</v>
      </c>
      <c r="P68" s="4">
        <v>0.7</v>
      </c>
      <c r="Q68" s="4">
        <v>0.6</v>
      </c>
      <c r="R68" s="5" t="s">
        <v>22</v>
      </c>
      <c r="S68" s="5">
        <v>100</v>
      </c>
      <c r="T68" s="5">
        <v>7800</v>
      </c>
      <c r="U68" s="5">
        <v>5300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2500</v>
      </c>
      <c r="AD68" s="5">
        <v>7800</v>
      </c>
      <c r="AE68" s="5">
        <v>5300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2500</v>
      </c>
      <c r="AN68" s="5">
        <v>5460</v>
      </c>
      <c r="AO68" s="5">
        <v>0</v>
      </c>
      <c r="AP68" s="5">
        <v>5460</v>
      </c>
    </row>
    <row r="69" spans="1:42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51016169</v>
      </c>
      <c r="K69" s="4" t="s">
        <v>55</v>
      </c>
      <c r="L69" s="4"/>
      <c r="M69" s="4"/>
      <c r="N69" s="4" t="s">
        <v>56</v>
      </c>
      <c r="O69" s="4" t="s">
        <v>164</v>
      </c>
      <c r="P69" s="4">
        <v>0.7</v>
      </c>
      <c r="Q69" s="4">
        <v>0.6</v>
      </c>
      <c r="R69" s="5" t="s">
        <v>21</v>
      </c>
      <c r="S69" s="5">
        <v>4500</v>
      </c>
      <c r="T69" s="5">
        <v>4500</v>
      </c>
      <c r="U69" s="5">
        <v>4500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4500</v>
      </c>
      <c r="AE69" s="5">
        <v>4500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3150</v>
      </c>
      <c r="AO69" s="5">
        <v>0</v>
      </c>
      <c r="AP69" s="5">
        <v>3150</v>
      </c>
    </row>
    <row r="70" spans="1:42" x14ac:dyDescent="0.4">
      <c r="A70" s="4" t="s">
        <v>48</v>
      </c>
      <c r="B70" s="4" t="s">
        <v>45</v>
      </c>
      <c r="C70" s="4" t="s">
        <v>46</v>
      </c>
      <c r="D70" s="4" t="s">
        <v>50</v>
      </c>
      <c r="E70" s="4"/>
      <c r="F70" s="4" t="s">
        <v>49</v>
      </c>
      <c r="G70" s="4" t="s">
        <v>19</v>
      </c>
      <c r="H70" s="4" t="s">
        <v>20</v>
      </c>
      <c r="I70" s="4" t="s">
        <v>51</v>
      </c>
      <c r="J70" s="4">
        <v>48478081</v>
      </c>
      <c r="K70" s="4" t="s">
        <v>93</v>
      </c>
      <c r="L70" s="4"/>
      <c r="M70" s="4"/>
      <c r="N70" s="4" t="s">
        <v>111</v>
      </c>
      <c r="O70" s="4" t="s">
        <v>165</v>
      </c>
      <c r="P70" s="4">
        <v>0.7</v>
      </c>
      <c r="Q70" s="4">
        <v>0.6</v>
      </c>
      <c r="R70" s="5" t="s">
        <v>22</v>
      </c>
      <c r="S70" s="5">
        <v>100</v>
      </c>
      <c r="T70" s="5">
        <v>5700</v>
      </c>
      <c r="U70" s="5">
        <v>1100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4600</v>
      </c>
      <c r="AD70" s="5">
        <v>5700</v>
      </c>
      <c r="AE70" s="5">
        <v>1100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4600</v>
      </c>
      <c r="AN70" s="5">
        <v>3990</v>
      </c>
      <c r="AO70" s="5">
        <v>0</v>
      </c>
      <c r="AP70" s="5">
        <v>3990</v>
      </c>
    </row>
    <row r="71" spans="1:42" x14ac:dyDescent="0.4">
      <c r="A71" s="4" t="s">
        <v>48</v>
      </c>
      <c r="B71" s="4" t="s">
        <v>45</v>
      </c>
      <c r="C71" s="4" t="s">
        <v>46</v>
      </c>
      <c r="D71" s="4" t="s">
        <v>50</v>
      </c>
      <c r="E71" s="4"/>
      <c r="F71" s="4" t="s">
        <v>49</v>
      </c>
      <c r="G71" s="4" t="s">
        <v>19</v>
      </c>
      <c r="H71" s="4" t="s">
        <v>20</v>
      </c>
      <c r="I71" s="4" t="s">
        <v>51</v>
      </c>
      <c r="J71" s="4">
        <v>57653822</v>
      </c>
      <c r="K71" s="4" t="s">
        <v>148</v>
      </c>
      <c r="L71" s="4"/>
      <c r="M71" s="4"/>
      <c r="N71" s="4" t="s">
        <v>149</v>
      </c>
      <c r="O71" s="4" t="s">
        <v>164</v>
      </c>
      <c r="P71" s="4">
        <v>0.7</v>
      </c>
      <c r="Q71" s="4">
        <v>0.6</v>
      </c>
      <c r="R71" s="5" t="s">
        <v>22</v>
      </c>
      <c r="S71" s="5">
        <v>100</v>
      </c>
      <c r="T71" s="5">
        <v>3400</v>
      </c>
      <c r="U71" s="5">
        <v>3400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3400</v>
      </c>
      <c r="AE71" s="5">
        <v>3400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2380</v>
      </c>
      <c r="AO71" s="5">
        <v>0</v>
      </c>
      <c r="AP71" s="5">
        <v>2380</v>
      </c>
    </row>
    <row r="72" spans="1:42" x14ac:dyDescent="0.4">
      <c r="A72" s="4" t="s">
        <v>48</v>
      </c>
      <c r="B72" s="4" t="s">
        <v>45</v>
      </c>
      <c r="C72" s="4" t="s">
        <v>46</v>
      </c>
      <c r="D72" s="4" t="s">
        <v>50</v>
      </c>
      <c r="E72" s="4"/>
      <c r="F72" s="4" t="s">
        <v>49</v>
      </c>
      <c r="G72" s="4" t="s">
        <v>19</v>
      </c>
      <c r="H72" s="4" t="s">
        <v>20</v>
      </c>
      <c r="I72" s="4" t="s">
        <v>51</v>
      </c>
      <c r="J72" s="4">
        <v>48478081</v>
      </c>
      <c r="K72" s="4" t="s">
        <v>93</v>
      </c>
      <c r="L72" s="4"/>
      <c r="M72" s="4"/>
      <c r="N72" s="4" t="s">
        <v>111</v>
      </c>
      <c r="O72" s="4" t="s">
        <v>165</v>
      </c>
      <c r="P72" s="4">
        <v>0.7</v>
      </c>
      <c r="Q72" s="4">
        <v>0.6</v>
      </c>
      <c r="R72" s="5" t="s">
        <v>21</v>
      </c>
      <c r="S72" s="5">
        <v>1800</v>
      </c>
      <c r="T72" s="5">
        <v>16400</v>
      </c>
      <c r="U72" s="5">
        <v>12600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3800</v>
      </c>
      <c r="AD72" s="5">
        <v>16400</v>
      </c>
      <c r="AE72" s="5">
        <v>12600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3800</v>
      </c>
      <c r="AN72" s="5">
        <v>11480</v>
      </c>
      <c r="AO72" s="5">
        <v>0</v>
      </c>
      <c r="AP72" s="5">
        <v>11480</v>
      </c>
    </row>
    <row r="73" spans="1:42" x14ac:dyDescent="0.4">
      <c r="A73" s="4" t="s">
        <v>48</v>
      </c>
      <c r="B73" s="4" t="s">
        <v>45</v>
      </c>
      <c r="C73" s="4" t="s">
        <v>46</v>
      </c>
      <c r="D73" s="4" t="s">
        <v>50</v>
      </c>
      <c r="E73" s="4"/>
      <c r="F73" s="4" t="s">
        <v>49</v>
      </c>
      <c r="G73" s="4" t="s">
        <v>19</v>
      </c>
      <c r="H73" s="4" t="s">
        <v>20</v>
      </c>
      <c r="I73" s="4" t="s">
        <v>51</v>
      </c>
      <c r="J73" s="4">
        <v>48478081</v>
      </c>
      <c r="K73" s="4" t="s">
        <v>93</v>
      </c>
      <c r="L73" s="4"/>
      <c r="M73" s="4"/>
      <c r="N73" s="4" t="s">
        <v>111</v>
      </c>
      <c r="O73" s="4" t="s">
        <v>165</v>
      </c>
      <c r="P73" s="4">
        <v>0.7</v>
      </c>
      <c r="Q73" s="4">
        <v>0.6</v>
      </c>
      <c r="R73" s="5" t="s">
        <v>21</v>
      </c>
      <c r="S73" s="5">
        <v>4500</v>
      </c>
      <c r="T73" s="5">
        <v>9000</v>
      </c>
      <c r="U73" s="5">
        <v>9000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9000</v>
      </c>
      <c r="AE73" s="5">
        <v>9000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6300</v>
      </c>
      <c r="AO73" s="5">
        <v>0</v>
      </c>
      <c r="AP73" s="5">
        <v>6300</v>
      </c>
    </row>
    <row r="74" spans="1:42" x14ac:dyDescent="0.4">
      <c r="A74" s="4" t="s">
        <v>48</v>
      </c>
      <c r="B74" s="4" t="s">
        <v>45</v>
      </c>
      <c r="C74" s="4" t="s">
        <v>46</v>
      </c>
      <c r="D74" s="4" t="s">
        <v>50</v>
      </c>
      <c r="E74" s="4"/>
      <c r="F74" s="4" t="s">
        <v>49</v>
      </c>
      <c r="G74" s="4" t="s">
        <v>19</v>
      </c>
      <c r="H74" s="4" t="s">
        <v>20</v>
      </c>
      <c r="I74" s="4" t="s">
        <v>51</v>
      </c>
      <c r="J74" s="4">
        <v>48478081</v>
      </c>
      <c r="K74" s="4" t="s">
        <v>93</v>
      </c>
      <c r="L74" s="4"/>
      <c r="M74" s="4"/>
      <c r="N74" s="4" t="s">
        <v>111</v>
      </c>
      <c r="O74" s="4" t="s">
        <v>165</v>
      </c>
      <c r="P74" s="4">
        <v>0.7</v>
      </c>
      <c r="Q74" s="4">
        <v>0.6</v>
      </c>
      <c r="R74" s="5" t="s">
        <v>21</v>
      </c>
      <c r="S74" s="5">
        <v>9000</v>
      </c>
      <c r="T74" s="5">
        <v>27000</v>
      </c>
      <c r="U74" s="5">
        <v>27000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27000</v>
      </c>
      <c r="AE74" s="5">
        <v>27000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18900</v>
      </c>
      <c r="AO74" s="5">
        <v>0</v>
      </c>
      <c r="AP74" s="5">
        <v>18900</v>
      </c>
    </row>
    <row r="75" spans="1:42" x14ac:dyDescent="0.4">
      <c r="A75" s="4" t="s">
        <v>48</v>
      </c>
      <c r="B75" s="4" t="s">
        <v>45</v>
      </c>
      <c r="C75" s="4" t="s">
        <v>46</v>
      </c>
      <c r="D75" s="4" t="s">
        <v>50</v>
      </c>
      <c r="E75" s="4"/>
      <c r="F75" s="4" t="s">
        <v>49</v>
      </c>
      <c r="G75" s="4" t="s">
        <v>19</v>
      </c>
      <c r="H75" s="4" t="s">
        <v>20</v>
      </c>
      <c r="I75" s="4" t="s">
        <v>51</v>
      </c>
      <c r="J75" s="4">
        <v>49943365</v>
      </c>
      <c r="K75" s="4" t="s">
        <v>83</v>
      </c>
      <c r="L75" s="4"/>
      <c r="M75" s="4"/>
      <c r="N75" s="4" t="s">
        <v>111</v>
      </c>
      <c r="O75" s="4" t="s">
        <v>165</v>
      </c>
      <c r="P75" s="4">
        <v>0.7</v>
      </c>
      <c r="Q75" s="4">
        <v>0.6</v>
      </c>
      <c r="R75" s="5" t="s">
        <v>22</v>
      </c>
      <c r="S75" s="5">
        <v>100</v>
      </c>
      <c r="T75" s="5">
        <v>32700</v>
      </c>
      <c r="U75" s="5">
        <v>21000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11700</v>
      </c>
      <c r="AD75" s="5">
        <v>32700</v>
      </c>
      <c r="AE75" s="5">
        <v>21000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11700</v>
      </c>
      <c r="AN75" s="5">
        <v>22890</v>
      </c>
      <c r="AO75" s="5">
        <v>0</v>
      </c>
      <c r="AP75" s="5">
        <v>22890</v>
      </c>
    </row>
    <row r="76" spans="1:42" x14ac:dyDescent="0.4">
      <c r="A76" s="4" t="s">
        <v>48</v>
      </c>
      <c r="B76" s="4" t="s">
        <v>45</v>
      </c>
      <c r="C76" s="4" t="s">
        <v>46</v>
      </c>
      <c r="D76" s="4" t="s">
        <v>50</v>
      </c>
      <c r="E76" s="4"/>
      <c r="F76" s="4" t="s">
        <v>49</v>
      </c>
      <c r="G76" s="4" t="s">
        <v>19</v>
      </c>
      <c r="H76" s="4" t="s">
        <v>20</v>
      </c>
      <c r="I76" s="4" t="s">
        <v>51</v>
      </c>
      <c r="J76" s="4">
        <v>49943365</v>
      </c>
      <c r="K76" s="4" t="s">
        <v>83</v>
      </c>
      <c r="L76" s="4"/>
      <c r="M76" s="4"/>
      <c r="N76" s="4" t="s">
        <v>111</v>
      </c>
      <c r="O76" s="4" t="s">
        <v>165</v>
      </c>
      <c r="P76" s="4">
        <v>0.7</v>
      </c>
      <c r="Q76" s="4">
        <v>0.6</v>
      </c>
      <c r="R76" s="5" t="s">
        <v>21</v>
      </c>
      <c r="S76" s="5">
        <v>1800</v>
      </c>
      <c r="T76" s="5">
        <v>42900</v>
      </c>
      <c r="U76" s="5">
        <v>41000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1900</v>
      </c>
      <c r="AD76" s="5">
        <v>42900</v>
      </c>
      <c r="AE76" s="5">
        <v>41000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1900</v>
      </c>
      <c r="AN76" s="5">
        <v>30030</v>
      </c>
      <c r="AO76" s="5">
        <v>0</v>
      </c>
      <c r="AP76" s="5">
        <v>30030</v>
      </c>
    </row>
    <row r="77" spans="1:42" x14ac:dyDescent="0.4">
      <c r="A77" s="4" t="s">
        <v>48</v>
      </c>
      <c r="B77" s="4" t="s">
        <v>45</v>
      </c>
      <c r="C77" s="4" t="s">
        <v>46</v>
      </c>
      <c r="D77" s="4" t="s">
        <v>50</v>
      </c>
      <c r="E77" s="4"/>
      <c r="F77" s="4" t="s">
        <v>49</v>
      </c>
      <c r="G77" s="4" t="s">
        <v>19</v>
      </c>
      <c r="H77" s="4" t="s">
        <v>20</v>
      </c>
      <c r="I77" s="4" t="s">
        <v>51</v>
      </c>
      <c r="J77" s="4">
        <v>49943365</v>
      </c>
      <c r="K77" s="4" t="s">
        <v>83</v>
      </c>
      <c r="L77" s="4"/>
      <c r="M77" s="4"/>
      <c r="N77" s="4" t="s">
        <v>111</v>
      </c>
      <c r="O77" s="4" t="s">
        <v>165</v>
      </c>
      <c r="P77" s="4">
        <v>0.7</v>
      </c>
      <c r="Q77" s="4">
        <v>0.6</v>
      </c>
      <c r="R77" s="5" t="s">
        <v>21</v>
      </c>
      <c r="S77" s="5">
        <v>4500</v>
      </c>
      <c r="T77" s="5">
        <v>52200</v>
      </c>
      <c r="U77" s="5">
        <v>51500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700</v>
      </c>
      <c r="AD77" s="5">
        <v>52200</v>
      </c>
      <c r="AE77" s="5">
        <v>51500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700</v>
      </c>
      <c r="AN77" s="5">
        <v>36540</v>
      </c>
      <c r="AO77" s="5">
        <v>0</v>
      </c>
      <c r="AP77" s="5">
        <v>36540</v>
      </c>
    </row>
    <row r="78" spans="1:42" x14ac:dyDescent="0.4">
      <c r="A78" s="4" t="s">
        <v>48</v>
      </c>
      <c r="B78" s="4" t="s">
        <v>45</v>
      </c>
      <c r="C78" s="4" t="s">
        <v>46</v>
      </c>
      <c r="D78" s="4" t="s">
        <v>50</v>
      </c>
      <c r="E78" s="4"/>
      <c r="F78" s="4" t="s">
        <v>49</v>
      </c>
      <c r="G78" s="4" t="s">
        <v>19</v>
      </c>
      <c r="H78" s="4" t="s">
        <v>20</v>
      </c>
      <c r="I78" s="4" t="s">
        <v>51</v>
      </c>
      <c r="J78" s="4">
        <v>51377458</v>
      </c>
      <c r="K78" s="4" t="s">
        <v>124</v>
      </c>
      <c r="L78" s="4"/>
      <c r="M78" s="4"/>
      <c r="N78" s="4" t="s">
        <v>125</v>
      </c>
      <c r="O78" s="4" t="s">
        <v>164</v>
      </c>
      <c r="P78" s="4">
        <v>0.7</v>
      </c>
      <c r="Q78" s="4">
        <v>0.6</v>
      </c>
      <c r="R78" s="5" t="s">
        <v>22</v>
      </c>
      <c r="S78" s="5">
        <v>100</v>
      </c>
      <c r="T78" s="5">
        <v>700</v>
      </c>
      <c r="U78" s="5">
        <v>400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300</v>
      </c>
      <c r="AD78" s="5">
        <v>700</v>
      </c>
      <c r="AE78" s="5">
        <v>400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300</v>
      </c>
      <c r="AN78" s="5">
        <v>490</v>
      </c>
      <c r="AO78" s="5">
        <v>0</v>
      </c>
      <c r="AP78" s="5">
        <v>490</v>
      </c>
    </row>
    <row r="79" spans="1:42" x14ac:dyDescent="0.4">
      <c r="A79" s="4" t="s">
        <v>48</v>
      </c>
      <c r="B79" s="4" t="s">
        <v>45</v>
      </c>
      <c r="C79" s="4" t="s">
        <v>46</v>
      </c>
      <c r="D79" s="4" t="s">
        <v>50</v>
      </c>
      <c r="E79" s="4"/>
      <c r="F79" s="4" t="s">
        <v>49</v>
      </c>
      <c r="G79" s="4" t="s">
        <v>19</v>
      </c>
      <c r="H79" s="4" t="s">
        <v>20</v>
      </c>
      <c r="I79" s="4" t="s">
        <v>51</v>
      </c>
      <c r="J79" s="4">
        <v>49943365</v>
      </c>
      <c r="K79" s="4" t="s">
        <v>83</v>
      </c>
      <c r="L79" s="4"/>
      <c r="M79" s="4"/>
      <c r="N79" s="4" t="s">
        <v>111</v>
      </c>
      <c r="O79" s="4" t="s">
        <v>165</v>
      </c>
      <c r="P79" s="4">
        <v>0.7</v>
      </c>
      <c r="Q79" s="4">
        <v>0.6</v>
      </c>
      <c r="R79" s="5" t="s">
        <v>21</v>
      </c>
      <c r="S79" s="5">
        <v>9000</v>
      </c>
      <c r="T79" s="5">
        <v>90000</v>
      </c>
      <c r="U79" s="5">
        <v>90000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90000</v>
      </c>
      <c r="AE79" s="5">
        <v>90000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63000</v>
      </c>
      <c r="AO79" s="5">
        <v>0</v>
      </c>
      <c r="AP79" s="5">
        <v>63000</v>
      </c>
    </row>
    <row r="80" spans="1:42" x14ac:dyDescent="0.4">
      <c r="A80" s="4" t="s">
        <v>48</v>
      </c>
      <c r="B80" s="4" t="s">
        <v>45</v>
      </c>
      <c r="C80" s="4" t="s">
        <v>46</v>
      </c>
      <c r="D80" s="4" t="s">
        <v>50</v>
      </c>
      <c r="E80" s="4"/>
      <c r="F80" s="4" t="s">
        <v>49</v>
      </c>
      <c r="G80" s="4" t="s">
        <v>19</v>
      </c>
      <c r="H80" s="4" t="s">
        <v>20</v>
      </c>
      <c r="I80" s="4" t="s">
        <v>51</v>
      </c>
      <c r="J80" s="4">
        <v>53036332</v>
      </c>
      <c r="K80" s="4" t="s">
        <v>150</v>
      </c>
      <c r="L80" s="4"/>
      <c r="M80" s="4"/>
      <c r="N80" s="4" t="s">
        <v>151</v>
      </c>
      <c r="O80" s="4" t="s">
        <v>164</v>
      </c>
      <c r="P80" s="4">
        <v>0.7</v>
      </c>
      <c r="Q80" s="4">
        <v>0.6</v>
      </c>
      <c r="R80" s="5" t="s">
        <v>22</v>
      </c>
      <c r="S80" s="5">
        <v>100</v>
      </c>
      <c r="T80" s="5">
        <v>6400</v>
      </c>
      <c r="U80" s="5">
        <v>4400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2000</v>
      </c>
      <c r="AD80" s="5">
        <v>6400</v>
      </c>
      <c r="AE80" s="5">
        <v>4400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2000</v>
      </c>
      <c r="AN80" s="5">
        <v>4480</v>
      </c>
      <c r="AO80" s="5">
        <v>0</v>
      </c>
      <c r="AP80" s="5">
        <v>4480</v>
      </c>
    </row>
    <row r="81" spans="1:42" x14ac:dyDescent="0.4">
      <c r="A81" s="4" t="s">
        <v>48</v>
      </c>
      <c r="B81" s="4" t="s">
        <v>45</v>
      </c>
      <c r="C81" s="4" t="s">
        <v>46</v>
      </c>
      <c r="D81" s="4" t="s">
        <v>50</v>
      </c>
      <c r="E81" s="4"/>
      <c r="F81" s="4" t="s">
        <v>49</v>
      </c>
      <c r="G81" s="4" t="s">
        <v>19</v>
      </c>
      <c r="H81" s="4" t="s">
        <v>20</v>
      </c>
      <c r="I81" s="4" t="s">
        <v>51</v>
      </c>
      <c r="J81" s="4">
        <v>49215133</v>
      </c>
      <c r="K81" s="4" t="s">
        <v>152</v>
      </c>
      <c r="L81" s="4"/>
      <c r="M81" s="4"/>
      <c r="N81" s="4" t="s">
        <v>153</v>
      </c>
      <c r="O81" s="4" t="s">
        <v>164</v>
      </c>
      <c r="P81" s="4">
        <v>0.7</v>
      </c>
      <c r="Q81" s="4">
        <v>0.6</v>
      </c>
      <c r="R81" s="5" t="s">
        <v>22</v>
      </c>
      <c r="S81" s="5">
        <v>100</v>
      </c>
      <c r="T81" s="5">
        <v>200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200</v>
      </c>
      <c r="AD81" s="5">
        <v>200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200</v>
      </c>
      <c r="AN81" s="5">
        <v>140</v>
      </c>
      <c r="AO81" s="5">
        <v>0</v>
      </c>
      <c r="AP81" s="5">
        <v>140</v>
      </c>
    </row>
    <row r="82" spans="1:42" x14ac:dyDescent="0.4">
      <c r="A82" s="4" t="s">
        <v>48</v>
      </c>
      <c r="B82" s="4" t="s">
        <v>45</v>
      </c>
      <c r="C82" s="4" t="s">
        <v>46</v>
      </c>
      <c r="D82" s="4" t="s">
        <v>50</v>
      </c>
      <c r="E82" s="4"/>
      <c r="F82" s="4" t="s">
        <v>49</v>
      </c>
      <c r="G82" s="4" t="s">
        <v>19</v>
      </c>
      <c r="H82" s="4" t="s">
        <v>20</v>
      </c>
      <c r="I82" s="4" t="s">
        <v>51</v>
      </c>
      <c r="J82" s="4">
        <v>49822895</v>
      </c>
      <c r="K82" s="4" t="s">
        <v>74</v>
      </c>
      <c r="L82" s="4"/>
      <c r="M82" s="4"/>
      <c r="N82" s="4" t="s">
        <v>75</v>
      </c>
      <c r="O82" s="4" t="s">
        <v>164</v>
      </c>
      <c r="P82" s="4">
        <v>0.7</v>
      </c>
      <c r="Q82" s="4">
        <v>0.6</v>
      </c>
      <c r="R82" s="5" t="s">
        <v>22</v>
      </c>
      <c r="S82" s="5">
        <v>100</v>
      </c>
      <c r="T82" s="5">
        <v>8000</v>
      </c>
      <c r="U82" s="5">
        <v>2300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5700</v>
      </c>
      <c r="AD82" s="5">
        <v>8000</v>
      </c>
      <c r="AE82" s="5">
        <v>2300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5700</v>
      </c>
      <c r="AN82" s="5">
        <v>5600</v>
      </c>
      <c r="AO82" s="5">
        <v>0</v>
      </c>
      <c r="AP82" s="5">
        <v>5600</v>
      </c>
    </row>
    <row r="83" spans="1:42" x14ac:dyDescent="0.4">
      <c r="A83" s="4" t="s">
        <v>48</v>
      </c>
      <c r="B83" s="4" t="s">
        <v>45</v>
      </c>
      <c r="C83" s="4" t="s">
        <v>46</v>
      </c>
      <c r="D83" s="4" t="s">
        <v>50</v>
      </c>
      <c r="E83" s="4"/>
      <c r="F83" s="4" t="s">
        <v>49</v>
      </c>
      <c r="G83" s="4" t="s">
        <v>19</v>
      </c>
      <c r="H83" s="4" t="s">
        <v>20</v>
      </c>
      <c r="I83" s="4" t="s">
        <v>51</v>
      </c>
      <c r="J83" s="4">
        <v>54616586</v>
      </c>
      <c r="K83" s="4" t="s">
        <v>62</v>
      </c>
      <c r="L83" s="4"/>
      <c r="M83" s="4"/>
      <c r="N83" s="4" t="s">
        <v>61</v>
      </c>
      <c r="O83" s="4" t="s">
        <v>165</v>
      </c>
      <c r="P83" s="4">
        <v>0.7</v>
      </c>
      <c r="Q83" s="4">
        <v>0.6</v>
      </c>
      <c r="R83" s="5" t="s">
        <v>22</v>
      </c>
      <c r="S83" s="5">
        <v>2500</v>
      </c>
      <c r="T83" s="5">
        <v>7500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7500</v>
      </c>
      <c r="AD83" s="5">
        <v>7500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7500</v>
      </c>
      <c r="AN83" s="5">
        <v>5250</v>
      </c>
      <c r="AO83" s="5">
        <v>0</v>
      </c>
      <c r="AP83" s="5">
        <v>5250</v>
      </c>
    </row>
    <row r="84" spans="1:42" x14ac:dyDescent="0.4">
      <c r="A84" s="4" t="s">
        <v>48</v>
      </c>
      <c r="B84" s="4" t="s">
        <v>45</v>
      </c>
      <c r="C84" s="4" t="s">
        <v>46</v>
      </c>
      <c r="D84" s="4" t="s">
        <v>50</v>
      </c>
      <c r="E84" s="4"/>
      <c r="F84" s="4" t="s">
        <v>49</v>
      </c>
      <c r="G84" s="4" t="s">
        <v>19</v>
      </c>
      <c r="H84" s="4" t="s">
        <v>20</v>
      </c>
      <c r="I84" s="4" t="s">
        <v>51</v>
      </c>
      <c r="J84" s="4">
        <v>54616586</v>
      </c>
      <c r="K84" s="4" t="s">
        <v>62</v>
      </c>
      <c r="L84" s="4"/>
      <c r="M84" s="4"/>
      <c r="N84" s="4" t="s">
        <v>61</v>
      </c>
      <c r="O84" s="4" t="s">
        <v>165</v>
      </c>
      <c r="P84" s="4">
        <v>0.7</v>
      </c>
      <c r="Q84" s="4">
        <v>0.6</v>
      </c>
      <c r="R84" s="5" t="s">
        <v>47</v>
      </c>
      <c r="S84" s="5">
        <v>900</v>
      </c>
      <c r="T84" s="5">
        <v>28800</v>
      </c>
      <c r="U84" s="5">
        <v>26000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2800</v>
      </c>
      <c r="AD84" s="5">
        <v>28800</v>
      </c>
      <c r="AE84" s="5">
        <v>26000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2800</v>
      </c>
      <c r="AN84" s="5">
        <v>20160</v>
      </c>
      <c r="AO84" s="5">
        <v>0</v>
      </c>
      <c r="AP84" s="5">
        <v>20160</v>
      </c>
    </row>
    <row r="85" spans="1:42" x14ac:dyDescent="0.4">
      <c r="A85" s="4" t="s">
        <v>48</v>
      </c>
      <c r="B85" s="4" t="s">
        <v>45</v>
      </c>
      <c r="C85" s="4" t="s">
        <v>46</v>
      </c>
      <c r="D85" s="4" t="s">
        <v>50</v>
      </c>
      <c r="E85" s="4"/>
      <c r="F85" s="4" t="s">
        <v>49</v>
      </c>
      <c r="G85" s="4" t="s">
        <v>19</v>
      </c>
      <c r="H85" s="4" t="s">
        <v>20</v>
      </c>
      <c r="I85" s="4" t="s">
        <v>51</v>
      </c>
      <c r="J85" s="4">
        <v>56106222</v>
      </c>
      <c r="K85" s="4" t="s">
        <v>154</v>
      </c>
      <c r="L85" s="4"/>
      <c r="M85" s="4"/>
      <c r="N85" s="4" t="s">
        <v>60</v>
      </c>
      <c r="O85" s="4" t="s">
        <v>164</v>
      </c>
      <c r="P85" s="4">
        <v>0.7</v>
      </c>
      <c r="Q85" s="4">
        <v>0.6</v>
      </c>
      <c r="R85" s="5" t="s">
        <v>22</v>
      </c>
      <c r="S85" s="5">
        <v>100</v>
      </c>
      <c r="T85" s="5">
        <v>100</v>
      </c>
      <c r="U85" s="5">
        <v>100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100</v>
      </c>
      <c r="AE85" s="5">
        <v>100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70</v>
      </c>
      <c r="AO85" s="5">
        <v>0</v>
      </c>
      <c r="AP85" s="5">
        <v>70</v>
      </c>
    </row>
    <row r="86" spans="1:42" x14ac:dyDescent="0.4">
      <c r="A86" s="4" t="s">
        <v>48</v>
      </c>
      <c r="B86" s="4" t="s">
        <v>45</v>
      </c>
      <c r="C86" s="4" t="s">
        <v>46</v>
      </c>
      <c r="D86" s="4" t="s">
        <v>50</v>
      </c>
      <c r="E86" s="4"/>
      <c r="F86" s="4" t="s">
        <v>49</v>
      </c>
      <c r="G86" s="4" t="s">
        <v>19</v>
      </c>
      <c r="H86" s="4" t="s">
        <v>20</v>
      </c>
      <c r="I86" s="4" t="s">
        <v>51</v>
      </c>
      <c r="J86" s="4">
        <v>54617262</v>
      </c>
      <c r="K86" s="4" t="s">
        <v>65</v>
      </c>
      <c r="L86" s="4"/>
      <c r="M86" s="4"/>
      <c r="N86" s="4" t="s">
        <v>61</v>
      </c>
      <c r="O86" s="4" t="s">
        <v>165</v>
      </c>
      <c r="P86" s="4">
        <v>0.7</v>
      </c>
      <c r="Q86" s="4">
        <v>0.6</v>
      </c>
      <c r="R86" s="5" t="s">
        <v>22</v>
      </c>
      <c r="S86" s="5">
        <v>2500</v>
      </c>
      <c r="T86" s="5">
        <v>2500</v>
      </c>
      <c r="U86" s="5">
        <v>2500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2500</v>
      </c>
      <c r="AE86" s="5">
        <v>2500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1750</v>
      </c>
      <c r="AO86" s="5">
        <v>0</v>
      </c>
      <c r="AP86" s="5">
        <v>1750</v>
      </c>
    </row>
    <row r="87" spans="1:42" x14ac:dyDescent="0.4">
      <c r="A87" s="4" t="s">
        <v>48</v>
      </c>
      <c r="B87" s="4" t="s">
        <v>45</v>
      </c>
      <c r="C87" s="4" t="s">
        <v>46</v>
      </c>
      <c r="D87" s="4" t="s">
        <v>50</v>
      </c>
      <c r="E87" s="4"/>
      <c r="F87" s="4" t="s">
        <v>49</v>
      </c>
      <c r="G87" s="4" t="s">
        <v>19</v>
      </c>
      <c r="H87" s="4" t="s">
        <v>20</v>
      </c>
      <c r="I87" s="4" t="s">
        <v>51</v>
      </c>
      <c r="J87" s="4">
        <v>54617262</v>
      </c>
      <c r="K87" s="4" t="s">
        <v>65</v>
      </c>
      <c r="L87" s="4"/>
      <c r="M87" s="4"/>
      <c r="N87" s="4" t="s">
        <v>61</v>
      </c>
      <c r="O87" s="4" t="s">
        <v>165</v>
      </c>
      <c r="P87" s="4">
        <v>0.7</v>
      </c>
      <c r="Q87" s="4">
        <v>0.6</v>
      </c>
      <c r="R87" s="5" t="s">
        <v>47</v>
      </c>
      <c r="S87" s="5">
        <v>900</v>
      </c>
      <c r="T87" s="5">
        <v>7200</v>
      </c>
      <c r="U87" s="5">
        <v>7100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100</v>
      </c>
      <c r="AD87" s="5">
        <v>7200</v>
      </c>
      <c r="AE87" s="5">
        <v>7100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100</v>
      </c>
      <c r="AN87" s="5">
        <v>5040</v>
      </c>
      <c r="AO87" s="5">
        <v>0</v>
      </c>
      <c r="AP87" s="5">
        <v>5040</v>
      </c>
    </row>
    <row r="88" spans="1:42" x14ac:dyDescent="0.4">
      <c r="A88" s="4" t="s">
        <v>48</v>
      </c>
      <c r="B88" s="4" t="s">
        <v>45</v>
      </c>
      <c r="C88" s="4" t="s">
        <v>46</v>
      </c>
      <c r="D88" s="4" t="s">
        <v>50</v>
      </c>
      <c r="E88" s="4"/>
      <c r="F88" s="4" t="s">
        <v>49</v>
      </c>
      <c r="G88" s="4" t="s">
        <v>19</v>
      </c>
      <c r="H88" s="4" t="s">
        <v>20</v>
      </c>
      <c r="I88" s="4" t="s">
        <v>51</v>
      </c>
      <c r="J88" s="4">
        <v>51946295</v>
      </c>
      <c r="K88" s="4" t="s">
        <v>118</v>
      </c>
      <c r="L88" s="4"/>
      <c r="M88" s="4"/>
      <c r="N88" s="4" t="s">
        <v>100</v>
      </c>
      <c r="O88" s="4" t="s">
        <v>164</v>
      </c>
      <c r="P88" s="4">
        <v>0.7</v>
      </c>
      <c r="Q88" s="4">
        <v>0.6</v>
      </c>
      <c r="R88" s="5" t="s">
        <v>22</v>
      </c>
      <c r="S88" s="5">
        <v>100</v>
      </c>
      <c r="T88" s="5">
        <v>1100</v>
      </c>
      <c r="U88" s="5">
        <v>1100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1100</v>
      </c>
      <c r="AE88" s="5">
        <v>1100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770</v>
      </c>
      <c r="AO88" s="5">
        <v>0</v>
      </c>
      <c r="AP88" s="5">
        <v>770</v>
      </c>
    </row>
    <row r="89" spans="1:42" x14ac:dyDescent="0.4">
      <c r="A89" s="4" t="s">
        <v>48</v>
      </c>
      <c r="B89" s="4" t="s">
        <v>45</v>
      </c>
      <c r="C89" s="4" t="s">
        <v>46</v>
      </c>
      <c r="D89" s="4" t="s">
        <v>50</v>
      </c>
      <c r="E89" s="4"/>
      <c r="F89" s="4" t="s">
        <v>49</v>
      </c>
      <c r="G89" s="4" t="s">
        <v>19</v>
      </c>
      <c r="H89" s="4" t="s">
        <v>20</v>
      </c>
      <c r="I89" s="4" t="s">
        <v>51</v>
      </c>
      <c r="J89" s="4">
        <v>52577805</v>
      </c>
      <c r="K89" s="4" t="s">
        <v>155</v>
      </c>
      <c r="L89" s="4"/>
      <c r="M89" s="4"/>
      <c r="N89" s="4" t="s">
        <v>123</v>
      </c>
      <c r="O89" s="4" t="s">
        <v>164</v>
      </c>
      <c r="P89" s="4">
        <v>0.7</v>
      </c>
      <c r="Q89" s="4">
        <v>0.6</v>
      </c>
      <c r="R89" s="5" t="s">
        <v>22</v>
      </c>
      <c r="S89" s="5">
        <v>100</v>
      </c>
      <c r="T89" s="5">
        <v>2700</v>
      </c>
      <c r="U89" s="5">
        <v>2700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2700</v>
      </c>
      <c r="AE89" s="5">
        <v>2700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1890</v>
      </c>
      <c r="AO89" s="5">
        <v>0</v>
      </c>
      <c r="AP89" s="5">
        <v>1890</v>
      </c>
    </row>
    <row r="90" spans="1:42" x14ac:dyDescent="0.4">
      <c r="A90" s="4" t="s">
        <v>48</v>
      </c>
      <c r="B90" s="4" t="s">
        <v>45</v>
      </c>
      <c r="C90" s="4" t="s">
        <v>46</v>
      </c>
      <c r="D90" s="4" t="s">
        <v>50</v>
      </c>
      <c r="E90" s="4"/>
      <c r="F90" s="4" t="s">
        <v>49</v>
      </c>
      <c r="G90" s="4" t="s">
        <v>19</v>
      </c>
      <c r="H90" s="4" t="s">
        <v>20</v>
      </c>
      <c r="I90" s="4" t="s">
        <v>51</v>
      </c>
      <c r="J90" s="4">
        <v>47472359</v>
      </c>
      <c r="K90" s="4" t="s">
        <v>81</v>
      </c>
      <c r="L90" s="4"/>
      <c r="M90" s="4"/>
      <c r="N90" s="4" t="s">
        <v>111</v>
      </c>
      <c r="O90" s="4" t="s">
        <v>165</v>
      </c>
      <c r="P90" s="4">
        <v>0.7</v>
      </c>
      <c r="Q90" s="4">
        <v>0.6</v>
      </c>
      <c r="R90" s="5" t="s">
        <v>22</v>
      </c>
      <c r="S90" s="5">
        <v>100</v>
      </c>
      <c r="T90" s="5">
        <v>49000</v>
      </c>
      <c r="U90" s="5">
        <v>14300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34700</v>
      </c>
      <c r="AD90" s="5">
        <v>49000</v>
      </c>
      <c r="AE90" s="5">
        <v>14300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34700</v>
      </c>
      <c r="AN90" s="5">
        <v>34300</v>
      </c>
      <c r="AO90" s="5">
        <v>0</v>
      </c>
      <c r="AP90" s="5">
        <v>34300</v>
      </c>
    </row>
    <row r="91" spans="1:42" x14ac:dyDescent="0.4">
      <c r="A91" s="4" t="s">
        <v>48</v>
      </c>
      <c r="B91" s="4" t="s">
        <v>45</v>
      </c>
      <c r="C91" s="4" t="s">
        <v>46</v>
      </c>
      <c r="D91" s="4" t="s">
        <v>50</v>
      </c>
      <c r="E91" s="4"/>
      <c r="F91" s="4" t="s">
        <v>49</v>
      </c>
      <c r="G91" s="4" t="s">
        <v>19</v>
      </c>
      <c r="H91" s="4" t="s">
        <v>20</v>
      </c>
      <c r="I91" s="4" t="s">
        <v>51</v>
      </c>
      <c r="J91" s="4">
        <v>51729987</v>
      </c>
      <c r="K91" s="4" t="s">
        <v>58</v>
      </c>
      <c r="L91" s="4"/>
      <c r="M91" s="4"/>
      <c r="N91" s="4" t="s">
        <v>59</v>
      </c>
      <c r="O91" s="4" t="s">
        <v>164</v>
      </c>
      <c r="P91" s="4">
        <v>0.7</v>
      </c>
      <c r="Q91" s="4">
        <v>0.6</v>
      </c>
      <c r="R91" s="5" t="s">
        <v>22</v>
      </c>
      <c r="S91" s="5">
        <v>100</v>
      </c>
      <c r="T91" s="5">
        <v>15100</v>
      </c>
      <c r="U91" s="5">
        <v>11700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5">
        <v>0</v>
      </c>
      <c r="AB91" s="5">
        <v>0</v>
      </c>
      <c r="AC91" s="5">
        <v>3300</v>
      </c>
      <c r="AD91" s="5">
        <v>15110</v>
      </c>
      <c r="AE91" s="5">
        <v>11700</v>
      </c>
      <c r="AF91" s="5">
        <v>0</v>
      </c>
      <c r="AG91" s="5">
        <v>0</v>
      </c>
      <c r="AH91" s="5">
        <v>0</v>
      </c>
      <c r="AI91" s="5">
        <v>0</v>
      </c>
      <c r="AJ91" s="5">
        <v>110</v>
      </c>
      <c r="AK91" s="5">
        <v>0</v>
      </c>
      <c r="AL91" s="5">
        <v>0</v>
      </c>
      <c r="AM91" s="5">
        <v>3300</v>
      </c>
      <c r="AN91" s="5">
        <v>10566</v>
      </c>
      <c r="AO91" s="5">
        <v>0</v>
      </c>
      <c r="AP91" s="5">
        <v>10566</v>
      </c>
    </row>
    <row r="92" spans="1:42" x14ac:dyDescent="0.4">
      <c r="A92" s="4" t="s">
        <v>48</v>
      </c>
      <c r="B92" s="4" t="s">
        <v>45</v>
      </c>
      <c r="C92" s="4" t="s">
        <v>46</v>
      </c>
      <c r="D92" s="4" t="s">
        <v>50</v>
      </c>
      <c r="E92" s="4"/>
      <c r="F92" s="4" t="s">
        <v>49</v>
      </c>
      <c r="G92" s="4" t="s">
        <v>19</v>
      </c>
      <c r="H92" s="4" t="s">
        <v>20</v>
      </c>
      <c r="I92" s="4" t="s">
        <v>51</v>
      </c>
      <c r="J92" s="4">
        <v>52577805</v>
      </c>
      <c r="K92" s="4" t="s">
        <v>155</v>
      </c>
      <c r="L92" s="4"/>
      <c r="M92" s="4"/>
      <c r="N92" s="4" t="s">
        <v>123</v>
      </c>
      <c r="O92" s="4" t="s">
        <v>164</v>
      </c>
      <c r="P92" s="4">
        <v>0.7</v>
      </c>
      <c r="Q92" s="4">
        <v>0.6</v>
      </c>
      <c r="R92" s="5" t="s">
        <v>21</v>
      </c>
      <c r="S92" s="5">
        <v>3800</v>
      </c>
      <c r="T92" s="5">
        <v>11400</v>
      </c>
      <c r="U92" s="5">
        <v>11400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11400</v>
      </c>
      <c r="AE92" s="5">
        <v>11400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7980</v>
      </c>
      <c r="AO92" s="5">
        <v>0</v>
      </c>
      <c r="AP92" s="5">
        <v>7980</v>
      </c>
    </row>
    <row r="93" spans="1:42" x14ac:dyDescent="0.4">
      <c r="A93" s="4" t="s">
        <v>48</v>
      </c>
      <c r="B93" s="4" t="s">
        <v>45</v>
      </c>
      <c r="C93" s="4" t="s">
        <v>46</v>
      </c>
      <c r="D93" s="4" t="s">
        <v>50</v>
      </c>
      <c r="E93" s="4"/>
      <c r="F93" s="4" t="s">
        <v>49</v>
      </c>
      <c r="G93" s="4" t="s">
        <v>19</v>
      </c>
      <c r="H93" s="4" t="s">
        <v>20</v>
      </c>
      <c r="I93" s="4" t="s">
        <v>51</v>
      </c>
      <c r="J93" s="4">
        <v>47472359</v>
      </c>
      <c r="K93" s="4" t="s">
        <v>81</v>
      </c>
      <c r="L93" s="4"/>
      <c r="M93" s="4"/>
      <c r="N93" s="4" t="s">
        <v>111</v>
      </c>
      <c r="O93" s="4" t="s">
        <v>165</v>
      </c>
      <c r="P93" s="4">
        <v>0.7</v>
      </c>
      <c r="Q93" s="4">
        <v>0.6</v>
      </c>
      <c r="R93" s="5" t="s">
        <v>21</v>
      </c>
      <c r="S93" s="5">
        <v>1800</v>
      </c>
      <c r="T93" s="5">
        <v>49500</v>
      </c>
      <c r="U93" s="5">
        <v>43800</v>
      </c>
      <c r="V93" s="5">
        <v>0</v>
      </c>
      <c r="W93" s="5">
        <v>0</v>
      </c>
      <c r="X93" s="5">
        <v>0</v>
      </c>
      <c r="Y93" s="5">
        <v>0</v>
      </c>
      <c r="Z93" s="5">
        <v>-900</v>
      </c>
      <c r="AA93" s="5">
        <v>0</v>
      </c>
      <c r="AB93" s="5">
        <v>0</v>
      </c>
      <c r="AC93" s="5">
        <v>6600</v>
      </c>
      <c r="AD93" s="5">
        <v>49410</v>
      </c>
      <c r="AE93" s="5">
        <v>43800</v>
      </c>
      <c r="AF93" s="5">
        <v>0</v>
      </c>
      <c r="AG93" s="5">
        <v>0</v>
      </c>
      <c r="AH93" s="5">
        <v>0</v>
      </c>
      <c r="AI93" s="5">
        <v>0</v>
      </c>
      <c r="AJ93" s="5">
        <v>-990</v>
      </c>
      <c r="AK93" s="5">
        <v>0</v>
      </c>
      <c r="AL93" s="5">
        <v>0</v>
      </c>
      <c r="AM93" s="5">
        <v>6600</v>
      </c>
      <c r="AN93" s="5">
        <v>34686</v>
      </c>
      <c r="AO93" s="5">
        <v>0</v>
      </c>
      <c r="AP93" s="5">
        <v>34686</v>
      </c>
    </row>
    <row r="94" spans="1:42" x14ac:dyDescent="0.4">
      <c r="A94" s="4" t="s">
        <v>48</v>
      </c>
      <c r="B94" s="4" t="s">
        <v>45</v>
      </c>
      <c r="C94" s="4" t="s">
        <v>46</v>
      </c>
      <c r="D94" s="4" t="s">
        <v>50</v>
      </c>
      <c r="E94" s="4"/>
      <c r="F94" s="4" t="s">
        <v>49</v>
      </c>
      <c r="G94" s="4" t="s">
        <v>19</v>
      </c>
      <c r="H94" s="4" t="s">
        <v>20</v>
      </c>
      <c r="I94" s="4" t="s">
        <v>51</v>
      </c>
      <c r="J94" s="4">
        <v>47472359</v>
      </c>
      <c r="K94" s="4" t="s">
        <v>81</v>
      </c>
      <c r="L94" s="4"/>
      <c r="M94" s="4"/>
      <c r="N94" s="4" t="s">
        <v>111</v>
      </c>
      <c r="O94" s="4" t="s">
        <v>165</v>
      </c>
      <c r="P94" s="4">
        <v>0.7</v>
      </c>
      <c r="Q94" s="4">
        <v>0.6</v>
      </c>
      <c r="R94" s="5" t="s">
        <v>21</v>
      </c>
      <c r="S94" s="5">
        <v>4500</v>
      </c>
      <c r="T94" s="5">
        <v>52800</v>
      </c>
      <c r="U94" s="5">
        <v>45000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7800</v>
      </c>
      <c r="AD94" s="5">
        <v>52800</v>
      </c>
      <c r="AE94" s="5">
        <v>45000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7800</v>
      </c>
      <c r="AN94" s="5">
        <v>36960</v>
      </c>
      <c r="AO94" s="5">
        <v>0</v>
      </c>
      <c r="AP94" s="5">
        <v>36960</v>
      </c>
    </row>
    <row r="95" spans="1:42" x14ac:dyDescent="0.4">
      <c r="A95" s="4" t="s">
        <v>48</v>
      </c>
      <c r="B95" s="4" t="s">
        <v>45</v>
      </c>
      <c r="C95" s="4" t="s">
        <v>46</v>
      </c>
      <c r="D95" s="4" t="s">
        <v>50</v>
      </c>
      <c r="E95" s="4"/>
      <c r="F95" s="4" t="s">
        <v>49</v>
      </c>
      <c r="G95" s="4" t="s">
        <v>19</v>
      </c>
      <c r="H95" s="4" t="s">
        <v>20</v>
      </c>
      <c r="I95" s="4" t="s">
        <v>51</v>
      </c>
      <c r="J95" s="4">
        <v>52981167</v>
      </c>
      <c r="K95" s="4" t="s">
        <v>78</v>
      </c>
      <c r="L95" s="4"/>
      <c r="M95" s="4"/>
      <c r="N95" s="4" t="s">
        <v>61</v>
      </c>
      <c r="O95" s="4" t="s">
        <v>165</v>
      </c>
      <c r="P95" s="4">
        <v>0.7</v>
      </c>
      <c r="Q95" s="4">
        <v>0.6</v>
      </c>
      <c r="R95" s="5" t="s">
        <v>22</v>
      </c>
      <c r="S95" s="5">
        <v>100</v>
      </c>
      <c r="T95" s="5">
        <v>9000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9000</v>
      </c>
      <c r="AD95" s="5">
        <v>9000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9000</v>
      </c>
      <c r="AN95" s="5">
        <v>6300</v>
      </c>
      <c r="AO95" s="5">
        <v>0</v>
      </c>
      <c r="AP95" s="5">
        <v>6300</v>
      </c>
    </row>
    <row r="96" spans="1:42" x14ac:dyDescent="0.4">
      <c r="A96" s="4" t="s">
        <v>48</v>
      </c>
      <c r="B96" s="4" t="s">
        <v>45</v>
      </c>
      <c r="C96" s="4" t="s">
        <v>46</v>
      </c>
      <c r="D96" s="4" t="s">
        <v>50</v>
      </c>
      <c r="E96" s="4"/>
      <c r="F96" s="4" t="s">
        <v>49</v>
      </c>
      <c r="G96" s="4" t="s">
        <v>19</v>
      </c>
      <c r="H96" s="4" t="s">
        <v>20</v>
      </c>
      <c r="I96" s="4" t="s">
        <v>51</v>
      </c>
      <c r="J96" s="4">
        <v>47472359</v>
      </c>
      <c r="K96" s="4" t="s">
        <v>81</v>
      </c>
      <c r="L96" s="4"/>
      <c r="M96" s="4"/>
      <c r="N96" s="4" t="s">
        <v>111</v>
      </c>
      <c r="O96" s="4" t="s">
        <v>165</v>
      </c>
      <c r="P96" s="4">
        <v>0.7</v>
      </c>
      <c r="Q96" s="4">
        <v>0.6</v>
      </c>
      <c r="R96" s="5" t="s">
        <v>21</v>
      </c>
      <c r="S96" s="5">
        <v>9000</v>
      </c>
      <c r="T96" s="5">
        <v>36000</v>
      </c>
      <c r="U96" s="5">
        <v>35700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300</v>
      </c>
      <c r="AD96" s="5">
        <v>36000</v>
      </c>
      <c r="AE96" s="5">
        <v>35700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300</v>
      </c>
      <c r="AN96" s="5">
        <v>25200</v>
      </c>
      <c r="AO96" s="5">
        <v>0</v>
      </c>
      <c r="AP96" s="5">
        <v>25200</v>
      </c>
    </row>
    <row r="97" spans="1:42" x14ac:dyDescent="0.4">
      <c r="A97" s="4" t="s">
        <v>48</v>
      </c>
      <c r="B97" s="4" t="s">
        <v>45</v>
      </c>
      <c r="C97" s="4" t="s">
        <v>46</v>
      </c>
      <c r="D97" s="4" t="s">
        <v>50</v>
      </c>
      <c r="E97" s="4"/>
      <c r="F97" s="4" t="s">
        <v>49</v>
      </c>
      <c r="G97" s="4" t="s">
        <v>19</v>
      </c>
      <c r="H97" s="4" t="s">
        <v>20</v>
      </c>
      <c r="I97" s="4" t="s">
        <v>51</v>
      </c>
      <c r="J97" s="4">
        <v>52981167</v>
      </c>
      <c r="K97" s="4" t="s">
        <v>78</v>
      </c>
      <c r="L97" s="4"/>
      <c r="M97" s="4"/>
      <c r="N97" s="4" t="s">
        <v>61</v>
      </c>
      <c r="O97" s="4" t="s">
        <v>165</v>
      </c>
      <c r="P97" s="4">
        <v>0.7</v>
      </c>
      <c r="Q97" s="4">
        <v>0.6</v>
      </c>
      <c r="R97" s="5" t="s">
        <v>21</v>
      </c>
      <c r="S97" s="5">
        <v>1800</v>
      </c>
      <c r="T97" s="5">
        <v>5400</v>
      </c>
      <c r="U97" s="5">
        <v>4300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1100</v>
      </c>
      <c r="AD97" s="5">
        <v>5400</v>
      </c>
      <c r="AE97" s="5">
        <v>4300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1100</v>
      </c>
      <c r="AN97" s="5">
        <v>3780</v>
      </c>
      <c r="AO97" s="5">
        <v>0</v>
      </c>
      <c r="AP97" s="5">
        <v>3780</v>
      </c>
    </row>
    <row r="98" spans="1:42" x14ac:dyDescent="0.4">
      <c r="A98" s="4" t="s">
        <v>48</v>
      </c>
      <c r="B98" s="4" t="s">
        <v>45</v>
      </c>
      <c r="C98" s="4" t="s">
        <v>46</v>
      </c>
      <c r="D98" s="4" t="s">
        <v>50</v>
      </c>
      <c r="E98" s="4"/>
      <c r="F98" s="4" t="s">
        <v>49</v>
      </c>
      <c r="G98" s="4" t="s">
        <v>19</v>
      </c>
      <c r="H98" s="4" t="s">
        <v>20</v>
      </c>
      <c r="I98" s="4" t="s">
        <v>51</v>
      </c>
      <c r="J98" s="4">
        <v>56574878</v>
      </c>
      <c r="K98" s="4" t="s">
        <v>68</v>
      </c>
      <c r="L98" s="4"/>
      <c r="M98" s="4"/>
      <c r="N98" s="4" t="s">
        <v>61</v>
      </c>
      <c r="O98" s="4" t="s">
        <v>165</v>
      </c>
      <c r="P98" s="4">
        <v>0.7</v>
      </c>
      <c r="Q98" s="4">
        <v>0.6</v>
      </c>
      <c r="R98" s="5" t="s">
        <v>22</v>
      </c>
      <c r="S98" s="5">
        <v>100</v>
      </c>
      <c r="T98" s="5">
        <v>5000</v>
      </c>
      <c r="U98" s="5">
        <v>1000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4000</v>
      </c>
      <c r="AD98" s="5">
        <v>5000</v>
      </c>
      <c r="AE98" s="5">
        <v>1000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4000</v>
      </c>
      <c r="AN98" s="5">
        <v>3500</v>
      </c>
      <c r="AO98" s="5">
        <v>0</v>
      </c>
      <c r="AP98" s="5">
        <v>3500</v>
      </c>
    </row>
    <row r="99" spans="1:42" x14ac:dyDescent="0.4">
      <c r="A99" s="4" t="s">
        <v>48</v>
      </c>
      <c r="B99" s="4" t="s">
        <v>45</v>
      </c>
      <c r="C99" s="4" t="s">
        <v>46</v>
      </c>
      <c r="D99" s="4" t="s">
        <v>50</v>
      </c>
      <c r="E99" s="4"/>
      <c r="F99" s="4" t="s">
        <v>49</v>
      </c>
      <c r="G99" s="4" t="s">
        <v>19</v>
      </c>
      <c r="H99" s="4" t="s">
        <v>20</v>
      </c>
      <c r="I99" s="4" t="s">
        <v>51</v>
      </c>
      <c r="J99" s="4">
        <v>52981167</v>
      </c>
      <c r="K99" s="4" t="s">
        <v>78</v>
      </c>
      <c r="L99" s="4"/>
      <c r="M99" s="4"/>
      <c r="N99" s="4" t="s">
        <v>61</v>
      </c>
      <c r="O99" s="4" t="s">
        <v>165</v>
      </c>
      <c r="P99" s="4">
        <v>0.7</v>
      </c>
      <c r="Q99" s="4">
        <v>0.6</v>
      </c>
      <c r="R99" s="5" t="s">
        <v>21</v>
      </c>
      <c r="S99" s="5">
        <v>4500</v>
      </c>
      <c r="T99" s="5">
        <v>18000</v>
      </c>
      <c r="U99" s="5">
        <v>17800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200</v>
      </c>
      <c r="AD99" s="5">
        <v>18000</v>
      </c>
      <c r="AE99" s="5">
        <v>17800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200</v>
      </c>
      <c r="AN99" s="5">
        <v>12600</v>
      </c>
      <c r="AO99" s="5">
        <v>0</v>
      </c>
      <c r="AP99" s="5">
        <v>12600</v>
      </c>
    </row>
    <row r="100" spans="1:42" x14ac:dyDescent="0.4">
      <c r="A100" s="4" t="s">
        <v>48</v>
      </c>
      <c r="B100" s="4" t="s">
        <v>45</v>
      </c>
      <c r="C100" s="4" t="s">
        <v>46</v>
      </c>
      <c r="D100" s="4" t="s">
        <v>50</v>
      </c>
      <c r="E100" s="4"/>
      <c r="F100" s="4" t="s">
        <v>49</v>
      </c>
      <c r="G100" s="4" t="s">
        <v>19</v>
      </c>
      <c r="H100" s="4" t="s">
        <v>20</v>
      </c>
      <c r="I100" s="4" t="s">
        <v>51</v>
      </c>
      <c r="J100" s="4">
        <v>56574878</v>
      </c>
      <c r="K100" s="4" t="s">
        <v>68</v>
      </c>
      <c r="L100" s="4"/>
      <c r="M100" s="4"/>
      <c r="N100" s="4" t="s">
        <v>61</v>
      </c>
      <c r="O100" s="4" t="s">
        <v>165</v>
      </c>
      <c r="P100" s="4">
        <v>0.7</v>
      </c>
      <c r="Q100" s="4">
        <v>0.6</v>
      </c>
      <c r="R100" s="5" t="s">
        <v>21</v>
      </c>
      <c r="S100" s="5">
        <v>1800</v>
      </c>
      <c r="T100" s="5">
        <v>5400</v>
      </c>
      <c r="U100" s="5">
        <v>5400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5400</v>
      </c>
      <c r="AE100" s="5">
        <v>5400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3780</v>
      </c>
      <c r="AO100" s="5">
        <v>0</v>
      </c>
      <c r="AP100" s="5">
        <v>3780</v>
      </c>
    </row>
    <row r="101" spans="1:42" x14ac:dyDescent="0.4">
      <c r="A101" s="4" t="s">
        <v>48</v>
      </c>
      <c r="B101" s="4" t="s">
        <v>45</v>
      </c>
      <c r="C101" s="4" t="s">
        <v>46</v>
      </c>
      <c r="D101" s="4" t="s">
        <v>50</v>
      </c>
      <c r="E101" s="4"/>
      <c r="F101" s="4" t="s">
        <v>49</v>
      </c>
      <c r="G101" s="4" t="s">
        <v>19</v>
      </c>
      <c r="H101" s="4" t="s">
        <v>20</v>
      </c>
      <c r="I101" s="4" t="s">
        <v>51</v>
      </c>
      <c r="J101" s="4">
        <v>52981167</v>
      </c>
      <c r="K101" s="4" t="s">
        <v>78</v>
      </c>
      <c r="L101" s="4"/>
      <c r="M101" s="4"/>
      <c r="N101" s="4" t="s">
        <v>61</v>
      </c>
      <c r="O101" s="4" t="s">
        <v>165</v>
      </c>
      <c r="P101" s="4">
        <v>0.7</v>
      </c>
      <c r="Q101" s="4">
        <v>0.6</v>
      </c>
      <c r="R101" s="5" t="s">
        <v>21</v>
      </c>
      <c r="S101" s="5">
        <v>9000</v>
      </c>
      <c r="T101" s="5">
        <v>6400</v>
      </c>
      <c r="U101" s="5">
        <v>3800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2600</v>
      </c>
      <c r="AD101" s="5">
        <v>6400</v>
      </c>
      <c r="AE101" s="5">
        <v>3800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2600</v>
      </c>
      <c r="AN101" s="5">
        <v>4480</v>
      </c>
      <c r="AO101" s="5">
        <v>0</v>
      </c>
      <c r="AP101" s="5">
        <v>4480</v>
      </c>
    </row>
    <row r="102" spans="1:42" x14ac:dyDescent="0.4">
      <c r="A102" s="4" t="s">
        <v>48</v>
      </c>
      <c r="B102" s="4" t="s">
        <v>45</v>
      </c>
      <c r="C102" s="4" t="s">
        <v>46</v>
      </c>
      <c r="D102" s="4" t="s">
        <v>50</v>
      </c>
      <c r="E102" s="4"/>
      <c r="F102" s="4" t="s">
        <v>49</v>
      </c>
      <c r="G102" s="4" t="s">
        <v>19</v>
      </c>
      <c r="H102" s="4" t="s">
        <v>20</v>
      </c>
      <c r="I102" s="4" t="s">
        <v>51</v>
      </c>
      <c r="J102" s="4">
        <v>56574878</v>
      </c>
      <c r="K102" s="4" t="s">
        <v>68</v>
      </c>
      <c r="L102" s="4"/>
      <c r="M102" s="4"/>
      <c r="N102" s="4" t="s">
        <v>61</v>
      </c>
      <c r="O102" s="4" t="s">
        <v>165</v>
      </c>
      <c r="P102" s="4">
        <v>0.7</v>
      </c>
      <c r="Q102" s="4">
        <v>0.6</v>
      </c>
      <c r="R102" s="5" t="s">
        <v>21</v>
      </c>
      <c r="S102" s="5">
        <v>4500</v>
      </c>
      <c r="T102" s="5">
        <v>4500</v>
      </c>
      <c r="U102" s="5">
        <v>4500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4500</v>
      </c>
      <c r="AE102" s="5">
        <v>4500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3150</v>
      </c>
      <c r="AO102" s="5">
        <v>0</v>
      </c>
      <c r="AP102" s="5">
        <v>3150</v>
      </c>
    </row>
    <row r="103" spans="1:42" x14ac:dyDescent="0.4">
      <c r="A103" s="4" t="s">
        <v>48</v>
      </c>
      <c r="B103" s="4" t="s">
        <v>45</v>
      </c>
      <c r="C103" s="4" t="s">
        <v>46</v>
      </c>
      <c r="D103" s="4" t="s">
        <v>50</v>
      </c>
      <c r="E103" s="4"/>
      <c r="F103" s="4" t="s">
        <v>49</v>
      </c>
      <c r="G103" s="4" t="s">
        <v>19</v>
      </c>
      <c r="H103" s="4" t="s">
        <v>20</v>
      </c>
      <c r="I103" s="4" t="s">
        <v>51</v>
      </c>
      <c r="J103" s="4">
        <v>52531045</v>
      </c>
      <c r="K103" s="4" t="s">
        <v>156</v>
      </c>
      <c r="L103" s="4"/>
      <c r="M103" s="4"/>
      <c r="N103" s="4" t="s">
        <v>60</v>
      </c>
      <c r="O103" s="4" t="s">
        <v>164</v>
      </c>
      <c r="P103" s="4">
        <v>0.7</v>
      </c>
      <c r="Q103" s="4">
        <v>0.6</v>
      </c>
      <c r="R103" s="5" t="s">
        <v>22</v>
      </c>
      <c r="S103" s="5">
        <v>100</v>
      </c>
      <c r="T103" s="5">
        <v>1400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1400</v>
      </c>
      <c r="AD103" s="5">
        <v>1400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1400</v>
      </c>
      <c r="AN103" s="5">
        <v>980</v>
      </c>
      <c r="AO103" s="5">
        <v>0</v>
      </c>
      <c r="AP103" s="5">
        <v>980</v>
      </c>
    </row>
    <row r="104" spans="1:42" x14ac:dyDescent="0.4">
      <c r="A104" s="4" t="s">
        <v>48</v>
      </c>
      <c r="B104" s="4" t="s">
        <v>45</v>
      </c>
      <c r="C104" s="4" t="s">
        <v>46</v>
      </c>
      <c r="D104" s="4" t="s">
        <v>50</v>
      </c>
      <c r="E104" s="4"/>
      <c r="F104" s="4" t="s">
        <v>49</v>
      </c>
      <c r="G104" s="4" t="s">
        <v>19</v>
      </c>
      <c r="H104" s="4" t="s">
        <v>20</v>
      </c>
      <c r="I104" s="4" t="s">
        <v>51</v>
      </c>
      <c r="J104" s="4">
        <v>56574878</v>
      </c>
      <c r="K104" s="4" t="s">
        <v>68</v>
      </c>
      <c r="L104" s="4"/>
      <c r="M104" s="4"/>
      <c r="N104" s="4" t="s">
        <v>61</v>
      </c>
      <c r="O104" s="4" t="s">
        <v>165</v>
      </c>
      <c r="P104" s="4">
        <v>0.7</v>
      </c>
      <c r="Q104" s="4">
        <v>0.6</v>
      </c>
      <c r="R104" s="5" t="s">
        <v>21</v>
      </c>
      <c r="S104" s="5">
        <v>9000</v>
      </c>
      <c r="T104" s="5">
        <v>12300</v>
      </c>
      <c r="U104" s="5">
        <v>12300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12300</v>
      </c>
      <c r="AE104" s="5">
        <v>12300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8610</v>
      </c>
      <c r="AO104" s="5">
        <v>0</v>
      </c>
      <c r="AP104" s="5">
        <v>8610</v>
      </c>
    </row>
    <row r="105" spans="1:42" x14ac:dyDescent="0.4">
      <c r="A105" s="4" t="s">
        <v>48</v>
      </c>
      <c r="B105" s="4" t="s">
        <v>45</v>
      </c>
      <c r="C105" s="4" t="s">
        <v>46</v>
      </c>
      <c r="D105" s="4" t="s">
        <v>50</v>
      </c>
      <c r="E105" s="4"/>
      <c r="F105" s="4" t="s">
        <v>49</v>
      </c>
      <c r="G105" s="4" t="s">
        <v>19</v>
      </c>
      <c r="H105" s="4" t="s">
        <v>20</v>
      </c>
      <c r="I105" s="4" t="s">
        <v>51</v>
      </c>
      <c r="J105" s="4">
        <v>49834103</v>
      </c>
      <c r="K105" s="4" t="s">
        <v>157</v>
      </c>
      <c r="L105" s="4"/>
      <c r="M105" s="4"/>
      <c r="N105" s="4" t="s">
        <v>138</v>
      </c>
      <c r="O105" s="4" t="s">
        <v>164</v>
      </c>
      <c r="P105" s="4">
        <v>0.7</v>
      </c>
      <c r="Q105" s="4">
        <v>0.6</v>
      </c>
      <c r="R105" s="5" t="s">
        <v>22</v>
      </c>
      <c r="S105" s="5">
        <v>100</v>
      </c>
      <c r="T105" s="5">
        <v>1800</v>
      </c>
      <c r="U105" s="5">
        <v>1800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1800</v>
      </c>
      <c r="AE105" s="5">
        <v>1800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1260</v>
      </c>
      <c r="AO105" s="5">
        <v>0</v>
      </c>
      <c r="AP105" s="5">
        <v>1260</v>
      </c>
    </row>
    <row r="106" spans="1:42" x14ac:dyDescent="0.4">
      <c r="A106" s="4" t="s">
        <v>48</v>
      </c>
      <c r="B106" s="4" t="s">
        <v>45</v>
      </c>
      <c r="C106" s="4" t="s">
        <v>46</v>
      </c>
      <c r="D106" s="4" t="s">
        <v>50</v>
      </c>
      <c r="E106" s="4"/>
      <c r="F106" s="4" t="s">
        <v>49</v>
      </c>
      <c r="G106" s="4" t="s">
        <v>19</v>
      </c>
      <c r="H106" s="4" t="s">
        <v>20</v>
      </c>
      <c r="I106" s="4" t="s">
        <v>51</v>
      </c>
      <c r="J106" s="4">
        <v>51447333</v>
      </c>
      <c r="K106" s="4" t="s">
        <v>91</v>
      </c>
      <c r="L106" s="4"/>
      <c r="M106" s="4"/>
      <c r="N106" s="4" t="s">
        <v>66</v>
      </c>
      <c r="O106" s="4" t="s">
        <v>164</v>
      </c>
      <c r="P106" s="4">
        <v>0.7</v>
      </c>
      <c r="Q106" s="4">
        <v>0.6</v>
      </c>
      <c r="R106" s="5" t="s">
        <v>22</v>
      </c>
      <c r="S106" s="5">
        <v>100</v>
      </c>
      <c r="T106" s="5">
        <v>400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400</v>
      </c>
      <c r="AD106" s="5">
        <v>400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400</v>
      </c>
      <c r="AN106" s="5">
        <v>280</v>
      </c>
      <c r="AO106" s="5">
        <v>0</v>
      </c>
      <c r="AP106" s="5">
        <v>280</v>
      </c>
    </row>
    <row r="107" spans="1:42" x14ac:dyDescent="0.4">
      <c r="A107" s="4" t="s">
        <v>48</v>
      </c>
      <c r="B107" s="4" t="s">
        <v>45</v>
      </c>
      <c r="C107" s="4" t="s">
        <v>46</v>
      </c>
      <c r="D107" s="4" t="s">
        <v>50</v>
      </c>
      <c r="E107" s="4"/>
      <c r="F107" s="4" t="s">
        <v>49</v>
      </c>
      <c r="G107" s="4" t="s">
        <v>19</v>
      </c>
      <c r="H107" s="4" t="s">
        <v>20</v>
      </c>
      <c r="I107" s="4" t="s">
        <v>51</v>
      </c>
      <c r="J107" s="4">
        <v>52629352</v>
      </c>
      <c r="K107" s="4" t="s">
        <v>95</v>
      </c>
      <c r="L107" s="4"/>
      <c r="M107" s="4"/>
      <c r="N107" s="4" t="s">
        <v>66</v>
      </c>
      <c r="O107" s="4" t="s">
        <v>164</v>
      </c>
      <c r="P107" s="4">
        <v>0.7</v>
      </c>
      <c r="Q107" s="4">
        <v>0.6</v>
      </c>
      <c r="R107" s="5" t="s">
        <v>22</v>
      </c>
      <c r="S107" s="5">
        <v>100</v>
      </c>
      <c r="T107" s="5">
        <v>6100</v>
      </c>
      <c r="U107" s="5">
        <v>1400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4700</v>
      </c>
      <c r="AD107" s="5">
        <v>6100</v>
      </c>
      <c r="AE107" s="5">
        <v>1400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4700</v>
      </c>
      <c r="AN107" s="5">
        <v>4270</v>
      </c>
      <c r="AO107" s="5">
        <v>0</v>
      </c>
      <c r="AP107" s="5">
        <v>4270</v>
      </c>
    </row>
    <row r="108" spans="1:42" x14ac:dyDescent="0.4">
      <c r="A108" s="4" t="s">
        <v>48</v>
      </c>
      <c r="B108" s="4" t="s">
        <v>45</v>
      </c>
      <c r="C108" s="4" t="s">
        <v>46</v>
      </c>
      <c r="D108" s="4" t="s">
        <v>50</v>
      </c>
      <c r="E108" s="4"/>
      <c r="F108" s="4" t="s">
        <v>49</v>
      </c>
      <c r="G108" s="4" t="s">
        <v>19</v>
      </c>
      <c r="H108" s="4" t="s">
        <v>20</v>
      </c>
      <c r="I108" s="4" t="s">
        <v>51</v>
      </c>
      <c r="J108" s="4">
        <v>55347468</v>
      </c>
      <c r="K108" s="4" t="s">
        <v>72</v>
      </c>
      <c r="L108" s="4"/>
      <c r="M108" s="4"/>
      <c r="N108" s="4" t="s">
        <v>73</v>
      </c>
      <c r="O108" s="4" t="s">
        <v>164</v>
      </c>
      <c r="P108" s="4">
        <v>0.7</v>
      </c>
      <c r="Q108" s="4">
        <v>0.6</v>
      </c>
      <c r="R108" s="5" t="s">
        <v>22</v>
      </c>
      <c r="S108" s="5">
        <v>100</v>
      </c>
      <c r="T108" s="5">
        <v>800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800</v>
      </c>
      <c r="AD108" s="5">
        <v>800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800</v>
      </c>
      <c r="AN108" s="5">
        <v>560</v>
      </c>
      <c r="AO108" s="5">
        <v>0</v>
      </c>
      <c r="AP108" s="5">
        <v>560</v>
      </c>
    </row>
    <row r="109" spans="1:42" x14ac:dyDescent="0.4">
      <c r="A109" s="4" t="s">
        <v>48</v>
      </c>
      <c r="B109" s="4" t="s">
        <v>45</v>
      </c>
      <c r="C109" s="4" t="s">
        <v>46</v>
      </c>
      <c r="D109" s="4" t="s">
        <v>50</v>
      </c>
      <c r="E109" s="4"/>
      <c r="F109" s="4" t="s">
        <v>49</v>
      </c>
      <c r="G109" s="4" t="s">
        <v>19</v>
      </c>
      <c r="H109" s="4" t="s">
        <v>20</v>
      </c>
      <c r="I109" s="4" t="s">
        <v>51</v>
      </c>
      <c r="J109" s="4">
        <v>56527851</v>
      </c>
      <c r="K109" s="4" t="s">
        <v>69</v>
      </c>
      <c r="L109" s="4"/>
      <c r="M109" s="4"/>
      <c r="N109" s="4" t="s">
        <v>70</v>
      </c>
      <c r="O109" s="4" t="s">
        <v>164</v>
      </c>
      <c r="P109" s="4">
        <v>0.7</v>
      </c>
      <c r="Q109" s="4">
        <v>0.6</v>
      </c>
      <c r="R109" s="5" t="s">
        <v>22</v>
      </c>
      <c r="S109" s="5">
        <v>100</v>
      </c>
      <c r="T109" s="5">
        <v>1900</v>
      </c>
      <c r="U109" s="5">
        <v>1600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300</v>
      </c>
      <c r="AD109" s="5">
        <v>1900</v>
      </c>
      <c r="AE109" s="5">
        <v>1600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300</v>
      </c>
      <c r="AN109" s="5">
        <v>1330</v>
      </c>
      <c r="AO109" s="5">
        <v>0</v>
      </c>
      <c r="AP109" s="5">
        <v>1330</v>
      </c>
    </row>
    <row r="110" spans="1:42" x14ac:dyDescent="0.4">
      <c r="A110" s="4" t="s">
        <v>48</v>
      </c>
      <c r="B110" s="4" t="s">
        <v>45</v>
      </c>
      <c r="C110" s="4" t="s">
        <v>46</v>
      </c>
      <c r="D110" s="4" t="s">
        <v>50</v>
      </c>
      <c r="E110" s="4"/>
      <c r="F110" s="4" t="s">
        <v>49</v>
      </c>
      <c r="G110" s="4" t="s">
        <v>19</v>
      </c>
      <c r="H110" s="4" t="s">
        <v>20</v>
      </c>
      <c r="I110" s="4" t="s">
        <v>51</v>
      </c>
      <c r="J110" s="4">
        <v>58676258</v>
      </c>
      <c r="K110" s="4" t="s">
        <v>158</v>
      </c>
      <c r="L110" s="4"/>
      <c r="M110" s="4"/>
      <c r="N110" s="4" t="s">
        <v>159</v>
      </c>
      <c r="O110" s="4" t="s">
        <v>167</v>
      </c>
      <c r="P110" s="4">
        <v>0.7</v>
      </c>
      <c r="Q110" s="4">
        <v>0.6</v>
      </c>
      <c r="R110" s="5" t="s">
        <v>22</v>
      </c>
      <c r="S110" s="5">
        <v>2500</v>
      </c>
      <c r="T110" s="5">
        <v>2500</v>
      </c>
      <c r="U110" s="5">
        <v>1000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1500</v>
      </c>
      <c r="AD110" s="5">
        <v>2500</v>
      </c>
      <c r="AE110" s="5">
        <v>1000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1500</v>
      </c>
      <c r="AN110" s="5">
        <v>1750</v>
      </c>
      <c r="AO110" s="5">
        <v>0</v>
      </c>
      <c r="AP110" s="5">
        <v>1750</v>
      </c>
    </row>
    <row r="111" spans="1:42" x14ac:dyDescent="0.4">
      <c r="A111" s="4" t="s">
        <v>48</v>
      </c>
      <c r="B111" s="4" t="s">
        <v>45</v>
      </c>
      <c r="C111" s="4" t="s">
        <v>46</v>
      </c>
      <c r="D111" s="4" t="s">
        <v>50</v>
      </c>
      <c r="E111" s="4"/>
      <c r="F111" s="4" t="s">
        <v>49</v>
      </c>
      <c r="G111" s="4" t="s">
        <v>19</v>
      </c>
      <c r="H111" s="4" t="s">
        <v>20</v>
      </c>
      <c r="I111" s="4" t="s">
        <v>51</v>
      </c>
      <c r="J111" s="4">
        <v>57169697</v>
      </c>
      <c r="K111" s="4" t="s">
        <v>160</v>
      </c>
      <c r="L111" s="4"/>
      <c r="M111" s="4"/>
      <c r="N111" s="4" t="s">
        <v>161</v>
      </c>
      <c r="O111" s="4" t="s">
        <v>164</v>
      </c>
      <c r="P111" s="4">
        <v>0.7</v>
      </c>
      <c r="Q111" s="4">
        <v>0.6</v>
      </c>
      <c r="R111" s="5" t="s">
        <v>22</v>
      </c>
      <c r="S111" s="5">
        <v>100</v>
      </c>
      <c r="T111" s="5">
        <v>17800</v>
      </c>
      <c r="U111" s="5">
        <v>9300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8500</v>
      </c>
      <c r="AD111" s="5">
        <v>17800</v>
      </c>
      <c r="AE111" s="5">
        <v>9300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8500</v>
      </c>
      <c r="AN111" s="5">
        <v>12460</v>
      </c>
      <c r="AO111" s="5">
        <v>0</v>
      </c>
      <c r="AP111" s="5">
        <v>12460</v>
      </c>
    </row>
    <row r="112" spans="1:42" x14ac:dyDescent="0.4">
      <c r="A112" s="4" t="s">
        <v>48</v>
      </c>
      <c r="B112" s="4" t="s">
        <v>45</v>
      </c>
      <c r="C112" s="4" t="s">
        <v>46</v>
      </c>
      <c r="D112" s="4" t="s">
        <v>50</v>
      </c>
      <c r="E112" s="4"/>
      <c r="F112" s="4" t="s">
        <v>49</v>
      </c>
      <c r="G112" s="4" t="s">
        <v>19</v>
      </c>
      <c r="H112" s="4" t="s">
        <v>20</v>
      </c>
      <c r="I112" s="4" t="s">
        <v>51</v>
      </c>
      <c r="J112" s="4">
        <v>57819482</v>
      </c>
      <c r="K112" s="4" t="s">
        <v>82</v>
      </c>
      <c r="L112" s="4"/>
      <c r="M112" s="4"/>
      <c r="N112" s="4" t="s">
        <v>111</v>
      </c>
      <c r="O112" s="4" t="s">
        <v>165</v>
      </c>
      <c r="P112" s="4">
        <v>0.7</v>
      </c>
      <c r="Q112" s="4">
        <v>0.6</v>
      </c>
      <c r="R112" s="5" t="s">
        <v>22</v>
      </c>
      <c r="S112" s="5">
        <v>100</v>
      </c>
      <c r="T112" s="5">
        <v>66600</v>
      </c>
      <c r="U112" s="5">
        <v>58200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8400</v>
      </c>
      <c r="AD112" s="5">
        <v>66600</v>
      </c>
      <c r="AE112" s="5">
        <v>58200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8400</v>
      </c>
      <c r="AN112" s="5">
        <v>46620</v>
      </c>
      <c r="AO112" s="5">
        <v>0</v>
      </c>
      <c r="AP112" s="5">
        <v>46620</v>
      </c>
    </row>
    <row r="113" spans="1:42" x14ac:dyDescent="0.4">
      <c r="A113" s="4" t="s">
        <v>48</v>
      </c>
      <c r="B113" s="4" t="s">
        <v>45</v>
      </c>
      <c r="C113" s="4" t="s">
        <v>46</v>
      </c>
      <c r="D113" s="4" t="s">
        <v>50</v>
      </c>
      <c r="E113" s="4"/>
      <c r="F113" s="4" t="s">
        <v>49</v>
      </c>
      <c r="G113" s="4" t="s">
        <v>19</v>
      </c>
      <c r="H113" s="4" t="s">
        <v>20</v>
      </c>
      <c r="I113" s="4" t="s">
        <v>51</v>
      </c>
      <c r="J113" s="4">
        <v>57819942</v>
      </c>
      <c r="K113" s="4" t="s">
        <v>162</v>
      </c>
      <c r="L113" s="4"/>
      <c r="M113" s="4"/>
      <c r="N113" s="4" t="s">
        <v>111</v>
      </c>
      <c r="O113" s="4" t="s">
        <v>165</v>
      </c>
      <c r="P113" s="4">
        <v>0.7</v>
      </c>
      <c r="Q113" s="4">
        <v>0.6</v>
      </c>
      <c r="R113" s="5" t="s">
        <v>47</v>
      </c>
      <c r="S113" s="5">
        <v>900</v>
      </c>
      <c r="T113" s="5">
        <v>15300</v>
      </c>
      <c r="U113" s="5">
        <v>14200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1100</v>
      </c>
      <c r="AD113" s="5">
        <v>15300</v>
      </c>
      <c r="AE113" s="5">
        <v>14200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1100</v>
      </c>
      <c r="AN113" s="5">
        <v>10710</v>
      </c>
      <c r="AO113" s="5">
        <v>0</v>
      </c>
      <c r="AP113" s="5">
        <v>10710</v>
      </c>
    </row>
    <row r="114" spans="1:42" x14ac:dyDescent="0.4">
      <c r="A114" s="4" t="s">
        <v>48</v>
      </c>
      <c r="B114" s="4" t="s">
        <v>45</v>
      </c>
      <c r="C114" s="4" t="s">
        <v>46</v>
      </c>
      <c r="D114" s="4" t="s">
        <v>50</v>
      </c>
      <c r="E114" s="4"/>
      <c r="F114" s="4" t="s">
        <v>49</v>
      </c>
      <c r="G114" s="4" t="s">
        <v>19</v>
      </c>
      <c r="H114" s="4" t="s">
        <v>20</v>
      </c>
      <c r="I114" s="4" t="s">
        <v>51</v>
      </c>
      <c r="J114" s="4">
        <v>51509215</v>
      </c>
      <c r="K114" s="4" t="s">
        <v>163</v>
      </c>
      <c r="L114" s="4"/>
      <c r="M114" s="4"/>
      <c r="N114" s="4" t="s">
        <v>123</v>
      </c>
      <c r="O114" s="4" t="s">
        <v>164</v>
      </c>
      <c r="P114" s="4">
        <v>0.7</v>
      </c>
      <c r="Q114" s="4">
        <v>0.6</v>
      </c>
      <c r="R114" s="5" t="s">
        <v>22</v>
      </c>
      <c r="S114" s="5">
        <v>100</v>
      </c>
      <c r="T114" s="5">
        <v>500</v>
      </c>
      <c r="U114" s="5">
        <v>500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500</v>
      </c>
      <c r="AE114" s="5">
        <v>500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350</v>
      </c>
      <c r="AO114" s="5">
        <v>0</v>
      </c>
      <c r="AP114" s="5">
        <v>350</v>
      </c>
    </row>
    <row r="115" spans="1:42" x14ac:dyDescent="0.4">
      <c r="A115" s="4" t="s">
        <v>48</v>
      </c>
      <c r="B115" s="4" t="s">
        <v>45</v>
      </c>
      <c r="C115" s="4" t="s">
        <v>46</v>
      </c>
      <c r="D115" s="4" t="s">
        <v>50</v>
      </c>
      <c r="E115" s="4"/>
      <c r="F115" s="4" t="s">
        <v>49</v>
      </c>
      <c r="G115" s="4" t="s">
        <v>19</v>
      </c>
      <c r="H115" s="4" t="s">
        <v>20</v>
      </c>
      <c r="I115" s="4" t="s">
        <v>51</v>
      </c>
      <c r="J115" s="4">
        <v>54831920</v>
      </c>
      <c r="K115" s="4" t="s">
        <v>97</v>
      </c>
      <c r="L115" s="4"/>
      <c r="M115" s="4"/>
      <c r="N115" s="4" t="s">
        <v>105</v>
      </c>
      <c r="O115" s="4" t="s">
        <v>164</v>
      </c>
      <c r="P115" s="4">
        <v>0.7</v>
      </c>
      <c r="Q115" s="4">
        <v>0.6</v>
      </c>
      <c r="R115" s="5" t="s">
        <v>22</v>
      </c>
      <c r="S115" s="5">
        <v>100</v>
      </c>
      <c r="T115" s="5">
        <v>2000</v>
      </c>
      <c r="U115" s="5">
        <v>600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1400</v>
      </c>
      <c r="AD115" s="5">
        <v>2000</v>
      </c>
      <c r="AE115" s="5">
        <v>600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1400</v>
      </c>
      <c r="AN115" s="5">
        <v>1400</v>
      </c>
      <c r="AO115" s="5">
        <v>0</v>
      </c>
      <c r="AP115" s="5">
        <v>1400</v>
      </c>
    </row>
    <row r="116" spans="1:42" x14ac:dyDescent="0.4">
      <c r="A116" s="4" t="s">
        <v>48</v>
      </c>
      <c r="B116" s="4" t="s">
        <v>45</v>
      </c>
      <c r="C116" s="4" t="s">
        <v>46</v>
      </c>
      <c r="D116" s="4" t="s">
        <v>50</v>
      </c>
      <c r="E116" s="4"/>
      <c r="F116" s="4" t="s">
        <v>49</v>
      </c>
      <c r="G116" s="4" t="s">
        <v>19</v>
      </c>
      <c r="H116" s="4" t="s">
        <v>20</v>
      </c>
      <c r="I116" s="4" t="s">
        <v>51</v>
      </c>
      <c r="J116" s="4">
        <v>50915952</v>
      </c>
      <c r="K116" s="4" t="s">
        <v>63</v>
      </c>
      <c r="L116" s="4"/>
      <c r="M116" s="4"/>
      <c r="N116" s="4" t="s">
        <v>64</v>
      </c>
      <c r="O116" s="4" t="s">
        <v>164</v>
      </c>
      <c r="P116" s="4">
        <v>0.7</v>
      </c>
      <c r="Q116" s="4">
        <v>0.6</v>
      </c>
      <c r="R116" s="5" t="s">
        <v>22</v>
      </c>
      <c r="S116" s="5">
        <v>100</v>
      </c>
      <c r="T116" s="5">
        <v>9000</v>
      </c>
      <c r="U116" s="5">
        <v>4600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4400</v>
      </c>
      <c r="AD116" s="5">
        <v>9000</v>
      </c>
      <c r="AE116" s="5">
        <v>4600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4400</v>
      </c>
      <c r="AN116" s="5">
        <v>6300</v>
      </c>
      <c r="AO116" s="5">
        <v>0</v>
      </c>
      <c r="AP116" s="5">
        <v>6300</v>
      </c>
    </row>
    <row r="117" spans="1:42" x14ac:dyDescent="0.4">
      <c r="A117" s="4" t="s">
        <v>48</v>
      </c>
      <c r="B117" s="4" t="s">
        <v>45</v>
      </c>
      <c r="C117" s="4" t="s">
        <v>46</v>
      </c>
      <c r="D117" s="4" t="s">
        <v>50</v>
      </c>
      <c r="E117" s="4"/>
      <c r="F117" s="4" t="s">
        <v>49</v>
      </c>
      <c r="G117" s="4" t="s">
        <v>19</v>
      </c>
      <c r="H117" s="4" t="s">
        <v>20</v>
      </c>
      <c r="I117" s="4" t="s">
        <v>51</v>
      </c>
      <c r="J117" s="4">
        <v>50915952</v>
      </c>
      <c r="K117" s="4" t="s">
        <v>63</v>
      </c>
      <c r="L117" s="4"/>
      <c r="M117" s="4"/>
      <c r="N117" s="4" t="s">
        <v>64</v>
      </c>
      <c r="O117" s="4" t="s">
        <v>164</v>
      </c>
      <c r="P117" s="4">
        <v>0.7</v>
      </c>
      <c r="Q117" s="4">
        <v>0.6</v>
      </c>
      <c r="R117" s="5" t="s">
        <v>21</v>
      </c>
      <c r="S117" s="5">
        <v>7300</v>
      </c>
      <c r="T117" s="5">
        <v>7300</v>
      </c>
      <c r="U117" s="5">
        <v>7300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7300</v>
      </c>
      <c r="AE117" s="5">
        <v>7300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5110</v>
      </c>
      <c r="AO117" s="5">
        <v>0</v>
      </c>
      <c r="AP117" s="5">
        <v>5110</v>
      </c>
    </row>
    <row r="118" spans="1:42" x14ac:dyDescent="0.4">
      <c r="AP118" s="6">
        <f>SUM(AP2:AP117)</f>
        <v>2484722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62"/>
  <sheetViews>
    <sheetView topLeftCell="Q28" zoomScale="65" zoomScaleNormal="65" workbookViewId="0">
      <selection activeCell="AP62" sqref="AP6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9.79687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50310041</v>
      </c>
      <c r="K2" s="4" t="s">
        <v>134</v>
      </c>
      <c r="L2" s="4"/>
      <c r="M2" s="4"/>
      <c r="N2" s="4" t="s">
        <v>135</v>
      </c>
      <c r="O2" s="4" t="s">
        <v>164</v>
      </c>
      <c r="P2" s="4">
        <v>0.7</v>
      </c>
      <c r="Q2" s="4">
        <v>0.6</v>
      </c>
      <c r="R2" s="5" t="s">
        <v>22</v>
      </c>
      <c r="S2" s="5">
        <v>100</v>
      </c>
      <c r="T2" s="5">
        <v>3700</v>
      </c>
      <c r="U2" s="5">
        <v>3700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3700</v>
      </c>
      <c r="AE2" s="5">
        <v>3700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2590</v>
      </c>
      <c r="AO2" s="5">
        <v>0</v>
      </c>
      <c r="AP2" s="5">
        <v>2590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53277331</v>
      </c>
      <c r="K3" s="4" t="s">
        <v>132</v>
      </c>
      <c r="L3" s="4"/>
      <c r="M3" s="4"/>
      <c r="N3" s="4" t="s">
        <v>60</v>
      </c>
      <c r="O3" s="4" t="s">
        <v>164</v>
      </c>
      <c r="P3" s="4">
        <v>0.7</v>
      </c>
      <c r="Q3" s="4">
        <v>0.6</v>
      </c>
      <c r="R3" s="5" t="s">
        <v>22</v>
      </c>
      <c r="S3" s="5">
        <v>100</v>
      </c>
      <c r="T3" s="5">
        <v>200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200</v>
      </c>
      <c r="AD3" s="5">
        <v>200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200</v>
      </c>
      <c r="AN3" s="5">
        <v>140</v>
      </c>
      <c r="AO3" s="5">
        <v>0</v>
      </c>
      <c r="AP3" s="5">
        <v>140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53221708</v>
      </c>
      <c r="K4" s="4" t="s">
        <v>136</v>
      </c>
      <c r="L4" s="4"/>
      <c r="M4" s="4"/>
      <c r="N4" s="4" t="s">
        <v>123</v>
      </c>
      <c r="O4" s="4" t="s">
        <v>164</v>
      </c>
      <c r="P4" s="4">
        <v>0.7</v>
      </c>
      <c r="Q4" s="4">
        <v>0.6</v>
      </c>
      <c r="R4" s="5" t="s">
        <v>22</v>
      </c>
      <c r="S4" s="5">
        <v>100</v>
      </c>
      <c r="T4" s="5">
        <v>100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100</v>
      </c>
      <c r="AD4" s="5">
        <v>100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100</v>
      </c>
      <c r="AN4" s="5">
        <v>70</v>
      </c>
      <c r="AO4" s="5">
        <v>0</v>
      </c>
      <c r="AP4" s="5">
        <v>70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53511233</v>
      </c>
      <c r="K5" s="4" t="s">
        <v>84</v>
      </c>
      <c r="L5" s="4"/>
      <c r="M5" s="4"/>
      <c r="N5" s="4" t="s">
        <v>66</v>
      </c>
      <c r="O5" s="4" t="s">
        <v>164</v>
      </c>
      <c r="P5" s="4">
        <v>0.7</v>
      </c>
      <c r="Q5" s="4">
        <v>0.6</v>
      </c>
      <c r="R5" s="5" t="s">
        <v>22</v>
      </c>
      <c r="S5" s="5">
        <v>100</v>
      </c>
      <c r="T5" s="5">
        <v>18200</v>
      </c>
      <c r="U5" s="5">
        <v>17000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1200</v>
      </c>
      <c r="AD5" s="5">
        <v>18200</v>
      </c>
      <c r="AE5" s="5">
        <v>17000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1200</v>
      </c>
      <c r="AN5" s="5">
        <v>12740</v>
      </c>
      <c r="AO5" s="5">
        <v>0</v>
      </c>
      <c r="AP5" s="5">
        <v>12740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53511233</v>
      </c>
      <c r="K6" s="4" t="s">
        <v>84</v>
      </c>
      <c r="L6" s="4"/>
      <c r="M6" s="4"/>
      <c r="N6" s="4" t="s">
        <v>66</v>
      </c>
      <c r="O6" s="4" t="s">
        <v>164</v>
      </c>
      <c r="P6" s="4">
        <v>0.7</v>
      </c>
      <c r="Q6" s="4">
        <v>0.6</v>
      </c>
      <c r="R6" s="5" t="s">
        <v>21</v>
      </c>
      <c r="S6" s="5">
        <v>9000</v>
      </c>
      <c r="T6" s="5">
        <v>1800</v>
      </c>
      <c r="U6" s="5">
        <v>1800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1800</v>
      </c>
      <c r="AE6" s="5">
        <v>1800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1260</v>
      </c>
      <c r="AO6" s="5">
        <v>0</v>
      </c>
      <c r="AP6" s="5">
        <v>1260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51053565</v>
      </c>
      <c r="K7" s="4" t="s">
        <v>85</v>
      </c>
      <c r="L7" s="4"/>
      <c r="M7" s="4"/>
      <c r="N7" s="4" t="s">
        <v>53</v>
      </c>
      <c r="O7" s="4" t="s">
        <v>164</v>
      </c>
      <c r="P7" s="4">
        <v>0.7</v>
      </c>
      <c r="Q7" s="4">
        <v>0.6</v>
      </c>
      <c r="R7" s="5" t="s">
        <v>22</v>
      </c>
      <c r="S7" s="5">
        <v>100</v>
      </c>
      <c r="T7" s="5">
        <v>100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100</v>
      </c>
      <c r="AD7" s="5">
        <v>100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100</v>
      </c>
      <c r="AN7" s="5">
        <v>70</v>
      </c>
      <c r="AO7" s="5">
        <v>0</v>
      </c>
      <c r="AP7" s="5">
        <v>70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51343023</v>
      </c>
      <c r="K8" s="4" t="s">
        <v>133</v>
      </c>
      <c r="L8" s="4"/>
      <c r="M8" s="4"/>
      <c r="N8" s="4" t="s">
        <v>123</v>
      </c>
      <c r="O8" s="4" t="s">
        <v>164</v>
      </c>
      <c r="P8" s="4">
        <v>0.7</v>
      </c>
      <c r="Q8" s="4">
        <v>0.6</v>
      </c>
      <c r="R8" s="5" t="s">
        <v>22</v>
      </c>
      <c r="S8" s="5">
        <v>100</v>
      </c>
      <c r="T8" s="5">
        <v>3600</v>
      </c>
      <c r="U8" s="5">
        <v>3600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3600</v>
      </c>
      <c r="AE8" s="5">
        <v>3600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2520</v>
      </c>
      <c r="AO8" s="5">
        <v>0</v>
      </c>
      <c r="AP8" s="5">
        <v>2520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52448374</v>
      </c>
      <c r="K9" s="4" t="s">
        <v>87</v>
      </c>
      <c r="L9" s="4"/>
      <c r="M9" s="4"/>
      <c r="N9" s="4" t="s">
        <v>60</v>
      </c>
      <c r="O9" s="4" t="s">
        <v>164</v>
      </c>
      <c r="P9" s="4">
        <v>0.7</v>
      </c>
      <c r="Q9" s="4">
        <v>0.6</v>
      </c>
      <c r="R9" s="5" t="s">
        <v>22</v>
      </c>
      <c r="S9" s="5">
        <v>100</v>
      </c>
      <c r="T9" s="5">
        <v>2400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2400</v>
      </c>
      <c r="AD9" s="5">
        <v>2400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2400</v>
      </c>
      <c r="AN9" s="5">
        <v>1680</v>
      </c>
      <c r="AO9" s="5">
        <v>0</v>
      </c>
      <c r="AP9" s="5">
        <v>1680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51343465</v>
      </c>
      <c r="K10" s="4" t="s">
        <v>137</v>
      </c>
      <c r="L10" s="4"/>
      <c r="M10" s="4"/>
      <c r="N10" s="4" t="s">
        <v>138</v>
      </c>
      <c r="O10" s="4" t="s">
        <v>164</v>
      </c>
      <c r="P10" s="4">
        <v>0.7</v>
      </c>
      <c r="Q10" s="4">
        <v>0.6</v>
      </c>
      <c r="R10" s="5" t="s">
        <v>21</v>
      </c>
      <c r="S10" s="5">
        <v>3000</v>
      </c>
      <c r="T10" s="5">
        <v>2300</v>
      </c>
      <c r="U10" s="5">
        <v>2300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2300</v>
      </c>
      <c r="AE10" s="5">
        <v>2300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1610</v>
      </c>
      <c r="AO10" s="5">
        <v>0</v>
      </c>
      <c r="AP10" s="5">
        <v>1610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51690859</v>
      </c>
      <c r="K11" s="4" t="s">
        <v>128</v>
      </c>
      <c r="L11" s="4"/>
      <c r="M11" s="4"/>
      <c r="N11" s="4" t="s">
        <v>71</v>
      </c>
      <c r="O11" s="4" t="s">
        <v>164</v>
      </c>
      <c r="P11" s="4">
        <v>0.7</v>
      </c>
      <c r="Q11" s="4">
        <v>0.6</v>
      </c>
      <c r="R11" s="5" t="s">
        <v>22</v>
      </c>
      <c r="S11" s="5">
        <v>100</v>
      </c>
      <c r="T11" s="5">
        <v>200</v>
      </c>
      <c r="U11" s="5">
        <v>200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200</v>
      </c>
      <c r="AE11" s="5">
        <v>200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140</v>
      </c>
      <c r="AO11" s="5">
        <v>0</v>
      </c>
      <c r="AP11" s="5">
        <v>140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50386916</v>
      </c>
      <c r="K12" s="4" t="s">
        <v>139</v>
      </c>
      <c r="L12" s="4"/>
      <c r="M12" s="4"/>
      <c r="N12" s="4" t="s">
        <v>122</v>
      </c>
      <c r="O12" s="4" t="s">
        <v>164</v>
      </c>
      <c r="P12" s="4">
        <v>0.7</v>
      </c>
      <c r="Q12" s="4">
        <v>0.6</v>
      </c>
      <c r="R12" s="5" t="s">
        <v>21</v>
      </c>
      <c r="S12" s="5">
        <v>6400</v>
      </c>
      <c r="T12" s="5">
        <v>2600</v>
      </c>
      <c r="U12" s="5">
        <v>2600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2600</v>
      </c>
      <c r="AE12" s="5">
        <v>2600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1820</v>
      </c>
      <c r="AO12" s="5">
        <v>0</v>
      </c>
      <c r="AP12" s="5">
        <v>1820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54800414</v>
      </c>
      <c r="K13" s="4" t="s">
        <v>52</v>
      </c>
      <c r="L13" s="4"/>
      <c r="M13" s="4"/>
      <c r="N13" s="4" t="s">
        <v>53</v>
      </c>
      <c r="O13" s="4" t="s">
        <v>164</v>
      </c>
      <c r="P13" s="4">
        <v>0.7</v>
      </c>
      <c r="Q13" s="4">
        <v>0.6</v>
      </c>
      <c r="R13" s="5" t="s">
        <v>22</v>
      </c>
      <c r="S13" s="5">
        <v>100</v>
      </c>
      <c r="T13" s="5">
        <v>55400</v>
      </c>
      <c r="U13" s="5">
        <v>35400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20000</v>
      </c>
      <c r="AD13" s="5">
        <v>55400</v>
      </c>
      <c r="AE13" s="5">
        <v>35400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20000</v>
      </c>
      <c r="AN13" s="5">
        <v>38780</v>
      </c>
      <c r="AO13" s="5">
        <v>0</v>
      </c>
      <c r="AP13" s="5">
        <v>38780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51970614</v>
      </c>
      <c r="K14" s="4" t="s">
        <v>119</v>
      </c>
      <c r="L14" s="4"/>
      <c r="M14" s="4"/>
      <c r="N14" s="4" t="s">
        <v>66</v>
      </c>
      <c r="O14" s="4" t="s">
        <v>164</v>
      </c>
      <c r="P14" s="4">
        <v>0.7</v>
      </c>
      <c r="Q14" s="4">
        <v>0.6</v>
      </c>
      <c r="R14" s="5" t="s">
        <v>22</v>
      </c>
      <c r="S14" s="5">
        <v>100</v>
      </c>
      <c r="T14" s="5">
        <v>7200</v>
      </c>
      <c r="U14" s="5">
        <v>7200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7200</v>
      </c>
      <c r="AE14" s="5">
        <v>7200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5040</v>
      </c>
      <c r="AO14" s="5">
        <v>0</v>
      </c>
      <c r="AP14" s="5">
        <v>5040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57796158</v>
      </c>
      <c r="K15" s="4" t="s">
        <v>112</v>
      </c>
      <c r="L15" s="4"/>
      <c r="M15" s="4"/>
      <c r="N15" s="4" t="s">
        <v>113</v>
      </c>
      <c r="O15" s="4" t="s">
        <v>164</v>
      </c>
      <c r="P15" s="4">
        <v>0.7</v>
      </c>
      <c r="Q15" s="4">
        <v>0.6</v>
      </c>
      <c r="R15" s="5" t="s">
        <v>22</v>
      </c>
      <c r="S15" s="5">
        <v>100</v>
      </c>
      <c r="T15" s="5">
        <v>1200</v>
      </c>
      <c r="U15" s="5">
        <v>400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800</v>
      </c>
      <c r="AD15" s="5">
        <v>1200</v>
      </c>
      <c r="AE15" s="5">
        <v>400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800</v>
      </c>
      <c r="AN15" s="5">
        <v>840</v>
      </c>
      <c r="AO15" s="5">
        <v>0</v>
      </c>
      <c r="AP15" s="5">
        <v>840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57796536</v>
      </c>
      <c r="K16" s="4" t="s">
        <v>114</v>
      </c>
      <c r="L16" s="4"/>
      <c r="M16" s="4"/>
      <c r="N16" s="4" t="s">
        <v>115</v>
      </c>
      <c r="O16" s="4" t="s">
        <v>164</v>
      </c>
      <c r="P16" s="4">
        <v>0.7</v>
      </c>
      <c r="Q16" s="4">
        <v>0.6</v>
      </c>
      <c r="R16" s="5" t="s">
        <v>22</v>
      </c>
      <c r="S16" s="5">
        <v>100</v>
      </c>
      <c r="T16" s="5">
        <v>8900</v>
      </c>
      <c r="U16" s="5">
        <v>4500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4400</v>
      </c>
      <c r="AD16" s="5">
        <v>8900</v>
      </c>
      <c r="AE16" s="5">
        <v>4500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4400</v>
      </c>
      <c r="AN16" s="5">
        <v>6230</v>
      </c>
      <c r="AO16" s="5">
        <v>0</v>
      </c>
      <c r="AP16" s="5">
        <v>6230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57796782</v>
      </c>
      <c r="K17" s="4" t="s">
        <v>116</v>
      </c>
      <c r="L17" s="4"/>
      <c r="M17" s="4"/>
      <c r="N17" s="4" t="s">
        <v>107</v>
      </c>
      <c r="O17" s="4" t="s">
        <v>164</v>
      </c>
      <c r="P17" s="4">
        <v>0.7</v>
      </c>
      <c r="Q17" s="4">
        <v>0.6</v>
      </c>
      <c r="R17" s="5" t="s">
        <v>22</v>
      </c>
      <c r="S17" s="5">
        <v>100</v>
      </c>
      <c r="T17" s="5">
        <v>500</v>
      </c>
      <c r="U17" s="5">
        <v>400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100</v>
      </c>
      <c r="AD17" s="5">
        <v>500</v>
      </c>
      <c r="AE17" s="5">
        <v>400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100</v>
      </c>
      <c r="AN17" s="5">
        <v>350</v>
      </c>
      <c r="AO17" s="5">
        <v>0</v>
      </c>
      <c r="AP17" s="5">
        <v>350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50225864</v>
      </c>
      <c r="K18" s="4" t="s">
        <v>88</v>
      </c>
      <c r="L18" s="4"/>
      <c r="M18" s="4"/>
      <c r="N18" s="4" t="s">
        <v>71</v>
      </c>
      <c r="O18" s="4" t="s">
        <v>164</v>
      </c>
      <c r="P18" s="4">
        <v>0.7</v>
      </c>
      <c r="Q18" s="4">
        <v>0.6</v>
      </c>
      <c r="R18" s="5" t="s">
        <v>22</v>
      </c>
      <c r="S18" s="5">
        <v>100</v>
      </c>
      <c r="T18" s="5">
        <v>200</v>
      </c>
      <c r="U18" s="5">
        <v>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200</v>
      </c>
      <c r="AE18" s="5">
        <v>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140</v>
      </c>
      <c r="AO18" s="5">
        <v>0</v>
      </c>
      <c r="AP18" s="5">
        <v>140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53944595</v>
      </c>
      <c r="K19" s="4" t="s">
        <v>86</v>
      </c>
      <c r="L19" s="4"/>
      <c r="M19" s="4"/>
      <c r="N19" s="4" t="s">
        <v>53</v>
      </c>
      <c r="O19" s="4" t="s">
        <v>164</v>
      </c>
      <c r="P19" s="4">
        <v>0.7</v>
      </c>
      <c r="Q19" s="4">
        <v>0.6</v>
      </c>
      <c r="R19" s="5" t="s">
        <v>22</v>
      </c>
      <c r="S19" s="5">
        <v>100</v>
      </c>
      <c r="T19" s="5">
        <v>20500</v>
      </c>
      <c r="U19" s="5">
        <v>7700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12800</v>
      </c>
      <c r="AD19" s="5">
        <v>20500</v>
      </c>
      <c r="AE19" s="5">
        <v>7700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12800</v>
      </c>
      <c r="AN19" s="5">
        <v>14350</v>
      </c>
      <c r="AO19" s="5">
        <v>0</v>
      </c>
      <c r="AP19" s="5">
        <v>14350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50225864</v>
      </c>
      <c r="K20" s="4" t="s">
        <v>88</v>
      </c>
      <c r="L20" s="4"/>
      <c r="M20" s="4"/>
      <c r="N20" s="4" t="s">
        <v>71</v>
      </c>
      <c r="O20" s="4" t="s">
        <v>164</v>
      </c>
      <c r="P20" s="4">
        <v>0.7</v>
      </c>
      <c r="Q20" s="4">
        <v>0.6</v>
      </c>
      <c r="R20" s="5" t="s">
        <v>21</v>
      </c>
      <c r="S20" s="5">
        <v>13400</v>
      </c>
      <c r="T20" s="5">
        <v>11100</v>
      </c>
      <c r="U20" s="5">
        <v>2700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8400</v>
      </c>
      <c r="AD20" s="5">
        <v>11100</v>
      </c>
      <c r="AE20" s="5">
        <v>2700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8400</v>
      </c>
      <c r="AN20" s="5">
        <v>7770</v>
      </c>
      <c r="AO20" s="5">
        <v>0</v>
      </c>
      <c r="AP20" s="5">
        <v>7770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53944595</v>
      </c>
      <c r="K21" s="4" t="s">
        <v>86</v>
      </c>
      <c r="L21" s="4"/>
      <c r="M21" s="4"/>
      <c r="N21" s="4" t="s">
        <v>53</v>
      </c>
      <c r="O21" s="4" t="s">
        <v>164</v>
      </c>
      <c r="P21" s="4">
        <v>0.7</v>
      </c>
      <c r="Q21" s="4">
        <v>0.6</v>
      </c>
      <c r="R21" s="5" t="s">
        <v>21</v>
      </c>
      <c r="S21" s="5">
        <v>7000</v>
      </c>
      <c r="T21" s="5">
        <v>13700</v>
      </c>
      <c r="U21" s="5">
        <v>13700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13700</v>
      </c>
      <c r="AE21" s="5">
        <v>13700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9590</v>
      </c>
      <c r="AO21" s="5">
        <v>0</v>
      </c>
      <c r="AP21" s="5">
        <v>9590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57127724</v>
      </c>
      <c r="K22" s="4" t="s">
        <v>140</v>
      </c>
      <c r="L22" s="4"/>
      <c r="M22" s="4"/>
      <c r="N22" s="4" t="s">
        <v>105</v>
      </c>
      <c r="O22" s="4" t="s">
        <v>164</v>
      </c>
      <c r="P22" s="4">
        <v>0.7</v>
      </c>
      <c r="Q22" s="4">
        <v>0.6</v>
      </c>
      <c r="R22" s="5" t="s">
        <v>22</v>
      </c>
      <c r="S22" s="5">
        <v>100</v>
      </c>
      <c r="T22" s="5">
        <v>200</v>
      </c>
      <c r="U22" s="5">
        <v>200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200</v>
      </c>
      <c r="AE22" s="5">
        <v>200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140</v>
      </c>
      <c r="AO22" s="5">
        <v>0</v>
      </c>
      <c r="AP22" s="5">
        <v>140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49302907</v>
      </c>
      <c r="K23" s="4" t="s">
        <v>141</v>
      </c>
      <c r="L23" s="4"/>
      <c r="M23" s="4"/>
      <c r="N23" s="4" t="s">
        <v>142</v>
      </c>
      <c r="O23" s="4" t="s">
        <v>164</v>
      </c>
      <c r="P23" s="4">
        <v>0.7</v>
      </c>
      <c r="Q23" s="4">
        <v>0.6</v>
      </c>
      <c r="R23" s="5" t="s">
        <v>22</v>
      </c>
      <c r="S23" s="5">
        <v>100</v>
      </c>
      <c r="T23" s="5">
        <v>6400</v>
      </c>
      <c r="U23" s="5">
        <v>6400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6400</v>
      </c>
      <c r="AE23" s="5">
        <v>6400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4480</v>
      </c>
      <c r="AO23" s="5">
        <v>0</v>
      </c>
      <c r="AP23" s="5">
        <v>4480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49619884</v>
      </c>
      <c r="K24" s="4" t="s">
        <v>121</v>
      </c>
      <c r="L24" s="4"/>
      <c r="M24" s="4"/>
      <c r="N24" s="4" t="s">
        <v>122</v>
      </c>
      <c r="O24" s="4" t="s">
        <v>164</v>
      </c>
      <c r="P24" s="4">
        <v>0.7</v>
      </c>
      <c r="Q24" s="4">
        <v>0.6</v>
      </c>
      <c r="R24" s="5" t="s">
        <v>22</v>
      </c>
      <c r="S24" s="5">
        <v>100</v>
      </c>
      <c r="T24" s="5">
        <v>1700</v>
      </c>
      <c r="U24" s="5">
        <v>1700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1700</v>
      </c>
      <c r="AE24" s="5">
        <v>1700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1190</v>
      </c>
      <c r="AO24" s="5">
        <v>0</v>
      </c>
      <c r="AP24" s="5">
        <v>1190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54966161</v>
      </c>
      <c r="K25" s="4" t="s">
        <v>129</v>
      </c>
      <c r="L25" s="4"/>
      <c r="M25" s="4"/>
      <c r="N25" s="4" t="s">
        <v>66</v>
      </c>
      <c r="O25" s="4" t="s">
        <v>164</v>
      </c>
      <c r="P25" s="4">
        <v>0.7</v>
      </c>
      <c r="Q25" s="4">
        <v>0.6</v>
      </c>
      <c r="R25" s="5" t="s">
        <v>22</v>
      </c>
      <c r="S25" s="5">
        <v>100</v>
      </c>
      <c r="T25" s="5">
        <v>3300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3300</v>
      </c>
      <c r="AD25" s="5">
        <v>3300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3300</v>
      </c>
      <c r="AN25" s="5">
        <v>2310</v>
      </c>
      <c r="AO25" s="5">
        <v>0</v>
      </c>
      <c r="AP25" s="5">
        <v>2310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52660201</v>
      </c>
      <c r="K26" s="4" t="s">
        <v>76</v>
      </c>
      <c r="L26" s="4"/>
      <c r="M26" s="4"/>
      <c r="N26" s="4" t="s">
        <v>77</v>
      </c>
      <c r="O26" s="4" t="s">
        <v>164</v>
      </c>
      <c r="P26" s="4">
        <v>0.7</v>
      </c>
      <c r="Q26" s="4">
        <v>0.6</v>
      </c>
      <c r="R26" s="5" t="s">
        <v>22</v>
      </c>
      <c r="S26" s="5">
        <v>100</v>
      </c>
      <c r="T26" s="5">
        <v>100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100</v>
      </c>
      <c r="AD26" s="5">
        <v>100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100</v>
      </c>
      <c r="AN26" s="5">
        <v>70</v>
      </c>
      <c r="AO26" s="5">
        <v>0</v>
      </c>
      <c r="AP26" s="5">
        <v>70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52883680</v>
      </c>
      <c r="K27" s="4" t="s">
        <v>101</v>
      </c>
      <c r="L27" s="4"/>
      <c r="M27" s="4"/>
      <c r="N27" s="4" t="s">
        <v>102</v>
      </c>
      <c r="O27" s="4" t="s">
        <v>164</v>
      </c>
      <c r="P27" s="4">
        <v>0.7</v>
      </c>
      <c r="Q27" s="4">
        <v>0.6</v>
      </c>
      <c r="R27" s="5" t="s">
        <v>22</v>
      </c>
      <c r="S27" s="5">
        <v>100</v>
      </c>
      <c r="T27" s="5">
        <v>42500</v>
      </c>
      <c r="U27" s="5">
        <v>16800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25700</v>
      </c>
      <c r="AD27" s="5">
        <v>42500</v>
      </c>
      <c r="AE27" s="5">
        <v>16800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25700</v>
      </c>
      <c r="AN27" s="5">
        <v>29750</v>
      </c>
      <c r="AO27" s="5">
        <v>0</v>
      </c>
      <c r="AP27" s="5">
        <v>29750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57645754</v>
      </c>
      <c r="K28" s="4" t="s">
        <v>145</v>
      </c>
      <c r="L28" s="4"/>
      <c r="M28" s="4"/>
      <c r="N28" s="4" t="s">
        <v>105</v>
      </c>
      <c r="O28" s="4" t="s">
        <v>164</v>
      </c>
      <c r="P28" s="4">
        <v>0.7</v>
      </c>
      <c r="Q28" s="4">
        <v>0.6</v>
      </c>
      <c r="R28" s="5" t="s">
        <v>22</v>
      </c>
      <c r="S28" s="5">
        <v>100</v>
      </c>
      <c r="T28" s="5">
        <v>7000</v>
      </c>
      <c r="U28" s="5">
        <v>3100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3900</v>
      </c>
      <c r="AD28" s="5">
        <v>7000</v>
      </c>
      <c r="AE28" s="5">
        <v>3100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3900</v>
      </c>
      <c r="AN28" s="5">
        <v>4900</v>
      </c>
      <c r="AO28" s="5">
        <v>0</v>
      </c>
      <c r="AP28" s="5">
        <v>4900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52774425</v>
      </c>
      <c r="K29" s="4" t="s">
        <v>130</v>
      </c>
      <c r="L29" s="4"/>
      <c r="M29" s="4"/>
      <c r="N29" s="4" t="s">
        <v>131</v>
      </c>
      <c r="O29" s="4" t="s">
        <v>164</v>
      </c>
      <c r="P29" s="4">
        <v>0.7</v>
      </c>
      <c r="Q29" s="4">
        <v>0.6</v>
      </c>
      <c r="R29" s="5" t="s">
        <v>22</v>
      </c>
      <c r="S29" s="5">
        <v>100</v>
      </c>
      <c r="T29" s="5">
        <v>3300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3300</v>
      </c>
      <c r="AD29" s="5">
        <v>3300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3300</v>
      </c>
      <c r="AN29" s="5">
        <v>2310</v>
      </c>
      <c r="AO29" s="5">
        <v>0</v>
      </c>
      <c r="AP29" s="5">
        <v>2310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52883680</v>
      </c>
      <c r="K30" s="4" t="s">
        <v>101</v>
      </c>
      <c r="L30" s="4"/>
      <c r="M30" s="4"/>
      <c r="N30" s="4" t="s">
        <v>102</v>
      </c>
      <c r="O30" s="4" t="s">
        <v>164</v>
      </c>
      <c r="P30" s="4">
        <v>0.7</v>
      </c>
      <c r="Q30" s="4">
        <v>0.6</v>
      </c>
      <c r="R30" s="5" t="s">
        <v>21</v>
      </c>
      <c r="S30" s="5">
        <v>7000</v>
      </c>
      <c r="T30" s="5">
        <v>7000</v>
      </c>
      <c r="U30" s="5">
        <v>7000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7000</v>
      </c>
      <c r="AE30" s="5">
        <v>7000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4900</v>
      </c>
      <c r="AO30" s="5">
        <v>0</v>
      </c>
      <c r="AP30" s="5">
        <v>4900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52883680</v>
      </c>
      <c r="K31" s="4" t="s">
        <v>101</v>
      </c>
      <c r="L31" s="4"/>
      <c r="M31" s="4"/>
      <c r="N31" s="4" t="s">
        <v>102</v>
      </c>
      <c r="O31" s="4" t="s">
        <v>164</v>
      </c>
      <c r="P31" s="4">
        <v>0.7</v>
      </c>
      <c r="Q31" s="4">
        <v>0.6</v>
      </c>
      <c r="R31" s="5" t="s">
        <v>21</v>
      </c>
      <c r="S31" s="5">
        <v>7200</v>
      </c>
      <c r="T31" s="5">
        <v>600</v>
      </c>
      <c r="U31" s="5">
        <v>100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500</v>
      </c>
      <c r="AD31" s="5">
        <v>600</v>
      </c>
      <c r="AE31" s="5">
        <v>100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500</v>
      </c>
      <c r="AN31" s="5">
        <v>420</v>
      </c>
      <c r="AO31" s="5">
        <v>0</v>
      </c>
      <c r="AP31" s="5">
        <v>420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57647613</v>
      </c>
      <c r="K32" s="4" t="s">
        <v>106</v>
      </c>
      <c r="L32" s="4"/>
      <c r="M32" s="4"/>
      <c r="N32" s="4" t="s">
        <v>107</v>
      </c>
      <c r="O32" s="4" t="s">
        <v>164</v>
      </c>
      <c r="P32" s="4">
        <v>0.7</v>
      </c>
      <c r="Q32" s="4">
        <v>0.6</v>
      </c>
      <c r="R32" s="5" t="s">
        <v>22</v>
      </c>
      <c r="S32" s="5">
        <v>100</v>
      </c>
      <c r="T32" s="5">
        <v>6400</v>
      </c>
      <c r="U32" s="5">
        <v>6400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6400</v>
      </c>
      <c r="AE32" s="5">
        <v>6400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4480</v>
      </c>
      <c r="AO32" s="5">
        <v>0</v>
      </c>
      <c r="AP32" s="5">
        <v>4480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53431837</v>
      </c>
      <c r="K33" s="4" t="s">
        <v>94</v>
      </c>
      <c r="L33" s="4"/>
      <c r="M33" s="4"/>
      <c r="N33" s="4" t="s">
        <v>66</v>
      </c>
      <c r="O33" s="4" t="s">
        <v>164</v>
      </c>
      <c r="P33" s="4">
        <v>0.7</v>
      </c>
      <c r="Q33" s="4">
        <v>0.6</v>
      </c>
      <c r="R33" s="5" t="s">
        <v>22</v>
      </c>
      <c r="S33" s="5">
        <v>100</v>
      </c>
      <c r="T33" s="5">
        <v>13400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13400</v>
      </c>
      <c r="AD33" s="5">
        <v>13400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13400</v>
      </c>
      <c r="AN33" s="5">
        <v>9380</v>
      </c>
      <c r="AO33" s="5">
        <v>0</v>
      </c>
      <c r="AP33" s="5">
        <v>9380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57648235</v>
      </c>
      <c r="K34" s="4" t="s">
        <v>108</v>
      </c>
      <c r="L34" s="4"/>
      <c r="M34" s="4"/>
      <c r="N34" s="4" t="s">
        <v>67</v>
      </c>
      <c r="O34" s="4" t="s">
        <v>164</v>
      </c>
      <c r="P34" s="4">
        <v>0.7</v>
      </c>
      <c r="Q34" s="4">
        <v>0.6</v>
      </c>
      <c r="R34" s="5" t="s">
        <v>22</v>
      </c>
      <c r="S34" s="5">
        <v>100</v>
      </c>
      <c r="T34" s="5">
        <v>1400</v>
      </c>
      <c r="U34" s="5">
        <v>1400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1400</v>
      </c>
      <c r="AE34" s="5">
        <v>1400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980</v>
      </c>
      <c r="AO34" s="5">
        <v>0</v>
      </c>
      <c r="AP34" s="5">
        <v>980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57648486</v>
      </c>
      <c r="K35" s="4" t="s">
        <v>109</v>
      </c>
      <c r="L35" s="4"/>
      <c r="M35" s="4"/>
      <c r="N35" s="4" t="s">
        <v>67</v>
      </c>
      <c r="O35" s="4" t="s">
        <v>164</v>
      </c>
      <c r="P35" s="4">
        <v>0.7</v>
      </c>
      <c r="Q35" s="4">
        <v>0.6</v>
      </c>
      <c r="R35" s="5" t="s">
        <v>22</v>
      </c>
      <c r="S35" s="5">
        <v>100</v>
      </c>
      <c r="T35" s="5">
        <v>5700</v>
      </c>
      <c r="U35" s="5">
        <v>5700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5700</v>
      </c>
      <c r="AE35" s="5">
        <v>5700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3990</v>
      </c>
      <c r="AO35" s="5">
        <v>0</v>
      </c>
      <c r="AP35" s="5">
        <v>3990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57648587</v>
      </c>
      <c r="K36" s="4" t="s">
        <v>146</v>
      </c>
      <c r="L36" s="4"/>
      <c r="M36" s="4"/>
      <c r="N36" s="4" t="s">
        <v>147</v>
      </c>
      <c r="O36" s="4" t="s">
        <v>164</v>
      </c>
      <c r="P36" s="4">
        <v>0.7</v>
      </c>
      <c r="Q36" s="4">
        <v>0.6</v>
      </c>
      <c r="R36" s="5" t="s">
        <v>22</v>
      </c>
      <c r="S36" s="5">
        <v>100</v>
      </c>
      <c r="T36" s="5">
        <v>2400</v>
      </c>
      <c r="U36" s="5">
        <v>2400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2400</v>
      </c>
      <c r="AE36" s="5">
        <v>2400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1680</v>
      </c>
      <c r="AO36" s="5">
        <v>0</v>
      </c>
      <c r="AP36" s="5">
        <v>1680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51078450</v>
      </c>
      <c r="K37" s="4" t="s">
        <v>104</v>
      </c>
      <c r="L37" s="4"/>
      <c r="M37" s="4"/>
      <c r="N37" s="4" t="s">
        <v>80</v>
      </c>
      <c r="O37" s="4" t="s">
        <v>164</v>
      </c>
      <c r="P37" s="4">
        <v>0.7</v>
      </c>
      <c r="Q37" s="4">
        <v>0.6</v>
      </c>
      <c r="R37" s="5" t="s">
        <v>22</v>
      </c>
      <c r="S37" s="5">
        <v>100</v>
      </c>
      <c r="T37" s="5">
        <v>500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500</v>
      </c>
      <c r="AD37" s="5">
        <v>500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500</v>
      </c>
      <c r="AN37" s="5">
        <v>350</v>
      </c>
      <c r="AO37" s="5">
        <v>0</v>
      </c>
      <c r="AP37" s="5">
        <v>350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53434486</v>
      </c>
      <c r="K38" s="4" t="s">
        <v>96</v>
      </c>
      <c r="L38" s="4"/>
      <c r="M38" s="4"/>
      <c r="N38" s="4" t="s">
        <v>70</v>
      </c>
      <c r="O38" s="4" t="s">
        <v>164</v>
      </c>
      <c r="P38" s="4">
        <v>0.7</v>
      </c>
      <c r="Q38" s="4">
        <v>0.6</v>
      </c>
      <c r="R38" s="5" t="s">
        <v>22</v>
      </c>
      <c r="S38" s="5">
        <v>100</v>
      </c>
      <c r="T38" s="5">
        <v>300</v>
      </c>
      <c r="U38" s="5">
        <v>100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200</v>
      </c>
      <c r="AD38" s="5">
        <v>300</v>
      </c>
      <c r="AE38" s="5">
        <v>100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200</v>
      </c>
      <c r="AN38" s="5">
        <v>210</v>
      </c>
      <c r="AO38" s="5">
        <v>0</v>
      </c>
      <c r="AP38" s="5">
        <v>210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50952986</v>
      </c>
      <c r="K39" s="4" t="s">
        <v>103</v>
      </c>
      <c r="L39" s="4"/>
      <c r="M39" s="4"/>
      <c r="N39" s="4" t="s">
        <v>66</v>
      </c>
      <c r="O39" s="4" t="s">
        <v>164</v>
      </c>
      <c r="P39" s="4">
        <v>0.7</v>
      </c>
      <c r="Q39" s="4">
        <v>0.6</v>
      </c>
      <c r="R39" s="5" t="s">
        <v>22</v>
      </c>
      <c r="S39" s="5">
        <v>100</v>
      </c>
      <c r="T39" s="5">
        <v>7800</v>
      </c>
      <c r="U39" s="5">
        <v>5300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2500</v>
      </c>
      <c r="AD39" s="5">
        <v>7800</v>
      </c>
      <c r="AE39" s="5">
        <v>5300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2500</v>
      </c>
      <c r="AN39" s="5">
        <v>5460</v>
      </c>
      <c r="AO39" s="5">
        <v>0</v>
      </c>
      <c r="AP39" s="5">
        <v>5460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51016169</v>
      </c>
      <c r="K40" s="4" t="s">
        <v>55</v>
      </c>
      <c r="L40" s="4"/>
      <c r="M40" s="4"/>
      <c r="N40" s="4" t="s">
        <v>56</v>
      </c>
      <c r="O40" s="4" t="s">
        <v>164</v>
      </c>
      <c r="P40" s="4">
        <v>0.7</v>
      </c>
      <c r="Q40" s="4">
        <v>0.6</v>
      </c>
      <c r="R40" s="5" t="s">
        <v>21</v>
      </c>
      <c r="S40" s="5">
        <v>4500</v>
      </c>
      <c r="T40" s="5">
        <v>4500</v>
      </c>
      <c r="U40" s="5">
        <v>4500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4500</v>
      </c>
      <c r="AE40" s="5">
        <v>4500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3150</v>
      </c>
      <c r="AO40" s="5">
        <v>0</v>
      </c>
      <c r="AP40" s="5">
        <v>3150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57653822</v>
      </c>
      <c r="K41" s="4" t="s">
        <v>148</v>
      </c>
      <c r="L41" s="4"/>
      <c r="M41" s="4"/>
      <c r="N41" s="4" t="s">
        <v>149</v>
      </c>
      <c r="O41" s="4" t="s">
        <v>164</v>
      </c>
      <c r="P41" s="4">
        <v>0.7</v>
      </c>
      <c r="Q41" s="4">
        <v>0.6</v>
      </c>
      <c r="R41" s="5" t="s">
        <v>22</v>
      </c>
      <c r="S41" s="5">
        <v>100</v>
      </c>
      <c r="T41" s="5">
        <v>3400</v>
      </c>
      <c r="U41" s="5">
        <v>3400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3400</v>
      </c>
      <c r="AE41" s="5">
        <v>3400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2380</v>
      </c>
      <c r="AO41" s="5">
        <v>0</v>
      </c>
      <c r="AP41" s="5">
        <v>2380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51377458</v>
      </c>
      <c r="K42" s="4" t="s">
        <v>124</v>
      </c>
      <c r="L42" s="4"/>
      <c r="M42" s="4"/>
      <c r="N42" s="4" t="s">
        <v>125</v>
      </c>
      <c r="O42" s="4" t="s">
        <v>164</v>
      </c>
      <c r="P42" s="4">
        <v>0.7</v>
      </c>
      <c r="Q42" s="4">
        <v>0.6</v>
      </c>
      <c r="R42" s="5" t="s">
        <v>22</v>
      </c>
      <c r="S42" s="5">
        <v>100</v>
      </c>
      <c r="T42" s="5">
        <v>700</v>
      </c>
      <c r="U42" s="5">
        <v>400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300</v>
      </c>
      <c r="AD42" s="5">
        <v>700</v>
      </c>
      <c r="AE42" s="5">
        <v>400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300</v>
      </c>
      <c r="AN42" s="5">
        <v>490</v>
      </c>
      <c r="AO42" s="5">
        <v>0</v>
      </c>
      <c r="AP42" s="5">
        <v>490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53036332</v>
      </c>
      <c r="K43" s="4" t="s">
        <v>150</v>
      </c>
      <c r="L43" s="4"/>
      <c r="M43" s="4"/>
      <c r="N43" s="4" t="s">
        <v>151</v>
      </c>
      <c r="O43" s="4" t="s">
        <v>164</v>
      </c>
      <c r="P43" s="4">
        <v>0.7</v>
      </c>
      <c r="Q43" s="4">
        <v>0.6</v>
      </c>
      <c r="R43" s="5" t="s">
        <v>22</v>
      </c>
      <c r="S43" s="5">
        <v>100</v>
      </c>
      <c r="T43" s="5">
        <v>6400</v>
      </c>
      <c r="U43" s="5">
        <v>4400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2000</v>
      </c>
      <c r="AD43" s="5">
        <v>6400</v>
      </c>
      <c r="AE43" s="5">
        <v>4400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2000</v>
      </c>
      <c r="AN43" s="5">
        <v>4480</v>
      </c>
      <c r="AO43" s="5">
        <v>0</v>
      </c>
      <c r="AP43" s="5">
        <v>4480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49215133</v>
      </c>
      <c r="K44" s="4" t="s">
        <v>152</v>
      </c>
      <c r="L44" s="4"/>
      <c r="M44" s="4"/>
      <c r="N44" s="4" t="s">
        <v>153</v>
      </c>
      <c r="O44" s="4" t="s">
        <v>164</v>
      </c>
      <c r="P44" s="4">
        <v>0.7</v>
      </c>
      <c r="Q44" s="4">
        <v>0.6</v>
      </c>
      <c r="R44" s="5" t="s">
        <v>22</v>
      </c>
      <c r="S44" s="5">
        <v>100</v>
      </c>
      <c r="T44" s="5">
        <v>200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200</v>
      </c>
      <c r="AD44" s="5">
        <v>200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200</v>
      </c>
      <c r="AN44" s="5">
        <v>140</v>
      </c>
      <c r="AO44" s="5">
        <v>0</v>
      </c>
      <c r="AP44" s="5">
        <v>140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49822895</v>
      </c>
      <c r="K45" s="4" t="s">
        <v>74</v>
      </c>
      <c r="L45" s="4"/>
      <c r="M45" s="4"/>
      <c r="N45" s="4" t="s">
        <v>75</v>
      </c>
      <c r="O45" s="4" t="s">
        <v>164</v>
      </c>
      <c r="P45" s="4">
        <v>0.7</v>
      </c>
      <c r="Q45" s="4">
        <v>0.6</v>
      </c>
      <c r="R45" s="5" t="s">
        <v>22</v>
      </c>
      <c r="S45" s="5">
        <v>100</v>
      </c>
      <c r="T45" s="5">
        <v>8000</v>
      </c>
      <c r="U45" s="5">
        <v>2300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5700</v>
      </c>
      <c r="AD45" s="5">
        <v>8000</v>
      </c>
      <c r="AE45" s="5">
        <v>2300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5700</v>
      </c>
      <c r="AN45" s="5">
        <v>5600</v>
      </c>
      <c r="AO45" s="5">
        <v>0</v>
      </c>
      <c r="AP45" s="5">
        <v>5600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56106222</v>
      </c>
      <c r="K46" s="4" t="s">
        <v>154</v>
      </c>
      <c r="L46" s="4"/>
      <c r="M46" s="4"/>
      <c r="N46" s="4" t="s">
        <v>60</v>
      </c>
      <c r="O46" s="4" t="s">
        <v>164</v>
      </c>
      <c r="P46" s="4">
        <v>0.7</v>
      </c>
      <c r="Q46" s="4">
        <v>0.6</v>
      </c>
      <c r="R46" s="5" t="s">
        <v>22</v>
      </c>
      <c r="S46" s="5">
        <v>100</v>
      </c>
      <c r="T46" s="5">
        <v>100</v>
      </c>
      <c r="U46" s="5">
        <v>100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100</v>
      </c>
      <c r="AE46" s="5">
        <v>100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70</v>
      </c>
      <c r="AO46" s="5">
        <v>0</v>
      </c>
      <c r="AP46" s="5">
        <v>70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51946295</v>
      </c>
      <c r="K47" s="4" t="s">
        <v>118</v>
      </c>
      <c r="L47" s="4"/>
      <c r="M47" s="4"/>
      <c r="N47" s="4" t="s">
        <v>100</v>
      </c>
      <c r="O47" s="4" t="s">
        <v>164</v>
      </c>
      <c r="P47" s="4">
        <v>0.7</v>
      </c>
      <c r="Q47" s="4">
        <v>0.6</v>
      </c>
      <c r="R47" s="5" t="s">
        <v>22</v>
      </c>
      <c r="S47" s="5">
        <v>100</v>
      </c>
      <c r="T47" s="5">
        <v>1100</v>
      </c>
      <c r="U47" s="5">
        <v>1100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1100</v>
      </c>
      <c r="AE47" s="5">
        <v>1100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770</v>
      </c>
      <c r="AO47" s="5">
        <v>0</v>
      </c>
      <c r="AP47" s="5">
        <v>770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52577805</v>
      </c>
      <c r="K48" s="4" t="s">
        <v>155</v>
      </c>
      <c r="L48" s="4"/>
      <c r="M48" s="4"/>
      <c r="N48" s="4" t="s">
        <v>123</v>
      </c>
      <c r="O48" s="4" t="s">
        <v>164</v>
      </c>
      <c r="P48" s="4">
        <v>0.7</v>
      </c>
      <c r="Q48" s="4">
        <v>0.6</v>
      </c>
      <c r="R48" s="5" t="s">
        <v>22</v>
      </c>
      <c r="S48" s="5">
        <v>100</v>
      </c>
      <c r="T48" s="5">
        <v>2700</v>
      </c>
      <c r="U48" s="5">
        <v>2700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2700</v>
      </c>
      <c r="AE48" s="5">
        <v>2700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1890</v>
      </c>
      <c r="AO48" s="5">
        <v>0</v>
      </c>
      <c r="AP48" s="5">
        <v>1890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51729987</v>
      </c>
      <c r="K49" s="4" t="s">
        <v>58</v>
      </c>
      <c r="L49" s="4"/>
      <c r="M49" s="4"/>
      <c r="N49" s="4" t="s">
        <v>59</v>
      </c>
      <c r="O49" s="4" t="s">
        <v>164</v>
      </c>
      <c r="P49" s="4">
        <v>0.7</v>
      </c>
      <c r="Q49" s="4">
        <v>0.6</v>
      </c>
      <c r="R49" s="5" t="s">
        <v>22</v>
      </c>
      <c r="S49" s="5">
        <v>100</v>
      </c>
      <c r="T49" s="5">
        <v>15100</v>
      </c>
      <c r="U49" s="5">
        <v>11700</v>
      </c>
      <c r="V49" s="5">
        <v>0</v>
      </c>
      <c r="W49" s="5">
        <v>0</v>
      </c>
      <c r="X49" s="5">
        <v>0</v>
      </c>
      <c r="Y49" s="5">
        <v>0</v>
      </c>
      <c r="Z49" s="5">
        <v>100</v>
      </c>
      <c r="AA49" s="5">
        <v>0</v>
      </c>
      <c r="AB49" s="5">
        <v>0</v>
      </c>
      <c r="AC49" s="5">
        <v>3300</v>
      </c>
      <c r="AD49" s="5">
        <v>15110</v>
      </c>
      <c r="AE49" s="5">
        <v>11700</v>
      </c>
      <c r="AF49" s="5">
        <v>0</v>
      </c>
      <c r="AG49" s="5">
        <v>0</v>
      </c>
      <c r="AH49" s="5">
        <v>0</v>
      </c>
      <c r="AI49" s="5">
        <v>0</v>
      </c>
      <c r="AJ49" s="5">
        <v>110</v>
      </c>
      <c r="AK49" s="5">
        <v>0</v>
      </c>
      <c r="AL49" s="5">
        <v>0</v>
      </c>
      <c r="AM49" s="5">
        <v>3300</v>
      </c>
      <c r="AN49" s="5">
        <v>10566</v>
      </c>
      <c r="AO49" s="5">
        <v>0</v>
      </c>
      <c r="AP49" s="5">
        <v>10566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52577805</v>
      </c>
      <c r="K50" s="4" t="s">
        <v>155</v>
      </c>
      <c r="L50" s="4"/>
      <c r="M50" s="4"/>
      <c r="N50" s="4" t="s">
        <v>123</v>
      </c>
      <c r="O50" s="4" t="s">
        <v>164</v>
      </c>
      <c r="P50" s="4">
        <v>0.7</v>
      </c>
      <c r="Q50" s="4">
        <v>0.6</v>
      </c>
      <c r="R50" s="5" t="s">
        <v>21</v>
      </c>
      <c r="S50" s="5">
        <v>3800</v>
      </c>
      <c r="T50" s="5">
        <v>11400</v>
      </c>
      <c r="U50" s="5">
        <v>11400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11400</v>
      </c>
      <c r="AE50" s="5">
        <v>11400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7980</v>
      </c>
      <c r="AO50" s="5">
        <v>0</v>
      </c>
      <c r="AP50" s="5">
        <v>7980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52531045</v>
      </c>
      <c r="K51" s="4" t="s">
        <v>156</v>
      </c>
      <c r="L51" s="4"/>
      <c r="M51" s="4"/>
      <c r="N51" s="4" t="s">
        <v>60</v>
      </c>
      <c r="O51" s="4" t="s">
        <v>164</v>
      </c>
      <c r="P51" s="4">
        <v>0.7</v>
      </c>
      <c r="Q51" s="4">
        <v>0.6</v>
      </c>
      <c r="R51" s="5" t="s">
        <v>22</v>
      </c>
      <c r="S51" s="5">
        <v>100</v>
      </c>
      <c r="T51" s="5">
        <v>1400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1400</v>
      </c>
      <c r="AD51" s="5">
        <v>1400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1400</v>
      </c>
      <c r="AN51" s="5">
        <v>980</v>
      </c>
      <c r="AO51" s="5">
        <v>0</v>
      </c>
      <c r="AP51" s="5">
        <v>980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49834103</v>
      </c>
      <c r="K52" s="4" t="s">
        <v>157</v>
      </c>
      <c r="L52" s="4"/>
      <c r="M52" s="4"/>
      <c r="N52" s="4" t="s">
        <v>138</v>
      </c>
      <c r="O52" s="4" t="s">
        <v>164</v>
      </c>
      <c r="P52" s="4">
        <v>0.7</v>
      </c>
      <c r="Q52" s="4">
        <v>0.6</v>
      </c>
      <c r="R52" s="5" t="s">
        <v>22</v>
      </c>
      <c r="S52" s="5">
        <v>100</v>
      </c>
      <c r="T52" s="5">
        <v>1800</v>
      </c>
      <c r="U52" s="5">
        <v>1800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1800</v>
      </c>
      <c r="AE52" s="5">
        <v>1800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1260</v>
      </c>
      <c r="AO52" s="5">
        <v>0</v>
      </c>
      <c r="AP52" s="5">
        <v>1260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51447333</v>
      </c>
      <c r="K53" s="4" t="s">
        <v>91</v>
      </c>
      <c r="L53" s="4"/>
      <c r="M53" s="4"/>
      <c r="N53" s="4" t="s">
        <v>66</v>
      </c>
      <c r="O53" s="4" t="s">
        <v>164</v>
      </c>
      <c r="P53" s="4">
        <v>0.7</v>
      </c>
      <c r="Q53" s="4">
        <v>0.6</v>
      </c>
      <c r="R53" s="5" t="s">
        <v>22</v>
      </c>
      <c r="S53" s="5">
        <v>100</v>
      </c>
      <c r="T53" s="5">
        <v>400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400</v>
      </c>
      <c r="AD53" s="5">
        <v>400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400</v>
      </c>
      <c r="AN53" s="5">
        <v>280</v>
      </c>
      <c r="AO53" s="5">
        <v>0</v>
      </c>
      <c r="AP53" s="5">
        <v>280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52629352</v>
      </c>
      <c r="K54" s="4" t="s">
        <v>95</v>
      </c>
      <c r="L54" s="4"/>
      <c r="M54" s="4"/>
      <c r="N54" s="4" t="s">
        <v>66</v>
      </c>
      <c r="O54" s="4" t="s">
        <v>164</v>
      </c>
      <c r="P54" s="4">
        <v>0.7</v>
      </c>
      <c r="Q54" s="4">
        <v>0.6</v>
      </c>
      <c r="R54" s="5" t="s">
        <v>22</v>
      </c>
      <c r="S54" s="5">
        <v>100</v>
      </c>
      <c r="T54" s="5">
        <v>6100</v>
      </c>
      <c r="U54" s="5">
        <v>1400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4700</v>
      </c>
      <c r="AD54" s="5">
        <v>6100</v>
      </c>
      <c r="AE54" s="5">
        <v>1400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4700</v>
      </c>
      <c r="AN54" s="5">
        <v>4270</v>
      </c>
      <c r="AO54" s="5">
        <v>0</v>
      </c>
      <c r="AP54" s="5">
        <v>4270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55347468</v>
      </c>
      <c r="K55" s="4" t="s">
        <v>72</v>
      </c>
      <c r="L55" s="4"/>
      <c r="M55" s="4"/>
      <c r="N55" s="4" t="s">
        <v>73</v>
      </c>
      <c r="O55" s="4" t="s">
        <v>164</v>
      </c>
      <c r="P55" s="4">
        <v>0.7</v>
      </c>
      <c r="Q55" s="4">
        <v>0.6</v>
      </c>
      <c r="R55" s="5" t="s">
        <v>22</v>
      </c>
      <c r="S55" s="5">
        <v>100</v>
      </c>
      <c r="T55" s="5">
        <v>800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800</v>
      </c>
      <c r="AD55" s="5">
        <v>800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800</v>
      </c>
      <c r="AN55" s="5">
        <v>560</v>
      </c>
      <c r="AO55" s="5">
        <v>0</v>
      </c>
      <c r="AP55" s="5">
        <v>560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56527851</v>
      </c>
      <c r="K56" s="4" t="s">
        <v>69</v>
      </c>
      <c r="L56" s="4"/>
      <c r="M56" s="4"/>
      <c r="N56" s="4" t="s">
        <v>70</v>
      </c>
      <c r="O56" s="4" t="s">
        <v>164</v>
      </c>
      <c r="P56" s="4">
        <v>0.7</v>
      </c>
      <c r="Q56" s="4">
        <v>0.6</v>
      </c>
      <c r="R56" s="5" t="s">
        <v>22</v>
      </c>
      <c r="S56" s="5">
        <v>100</v>
      </c>
      <c r="T56" s="5">
        <v>1900</v>
      </c>
      <c r="U56" s="5">
        <v>1600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300</v>
      </c>
      <c r="AD56" s="5">
        <v>1900</v>
      </c>
      <c r="AE56" s="5">
        <v>1600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300</v>
      </c>
      <c r="AN56" s="5">
        <v>1330</v>
      </c>
      <c r="AO56" s="5">
        <v>0</v>
      </c>
      <c r="AP56" s="5">
        <v>1330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57169697</v>
      </c>
      <c r="K57" s="4" t="s">
        <v>160</v>
      </c>
      <c r="L57" s="4"/>
      <c r="M57" s="4"/>
      <c r="N57" s="4" t="s">
        <v>161</v>
      </c>
      <c r="O57" s="4" t="s">
        <v>164</v>
      </c>
      <c r="P57" s="4">
        <v>0.7</v>
      </c>
      <c r="Q57" s="4">
        <v>0.6</v>
      </c>
      <c r="R57" s="5" t="s">
        <v>22</v>
      </c>
      <c r="S57" s="5">
        <v>100</v>
      </c>
      <c r="T57" s="5">
        <v>17800</v>
      </c>
      <c r="U57" s="5">
        <v>9300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8500</v>
      </c>
      <c r="AD57" s="5">
        <v>17800</v>
      </c>
      <c r="AE57" s="5">
        <v>9300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8500</v>
      </c>
      <c r="AN57" s="5">
        <v>12460</v>
      </c>
      <c r="AO57" s="5">
        <v>0</v>
      </c>
      <c r="AP57" s="5">
        <v>12460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51509215</v>
      </c>
      <c r="K58" s="4" t="s">
        <v>163</v>
      </c>
      <c r="L58" s="4"/>
      <c r="M58" s="4"/>
      <c r="N58" s="4" t="s">
        <v>123</v>
      </c>
      <c r="O58" s="4" t="s">
        <v>164</v>
      </c>
      <c r="P58" s="4">
        <v>0.7</v>
      </c>
      <c r="Q58" s="4">
        <v>0.6</v>
      </c>
      <c r="R58" s="5" t="s">
        <v>22</v>
      </c>
      <c r="S58" s="5">
        <v>100</v>
      </c>
      <c r="T58" s="5">
        <v>500</v>
      </c>
      <c r="U58" s="5">
        <v>500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500</v>
      </c>
      <c r="AE58" s="5">
        <v>500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350</v>
      </c>
      <c r="AO58" s="5">
        <v>0</v>
      </c>
      <c r="AP58" s="5">
        <v>350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54831920</v>
      </c>
      <c r="K59" s="4" t="s">
        <v>97</v>
      </c>
      <c r="L59" s="4"/>
      <c r="M59" s="4"/>
      <c r="N59" s="4" t="s">
        <v>105</v>
      </c>
      <c r="O59" s="4" t="s">
        <v>164</v>
      </c>
      <c r="P59" s="4">
        <v>0.7</v>
      </c>
      <c r="Q59" s="4">
        <v>0.6</v>
      </c>
      <c r="R59" s="5" t="s">
        <v>22</v>
      </c>
      <c r="S59" s="5">
        <v>100</v>
      </c>
      <c r="T59" s="5">
        <v>2000</v>
      </c>
      <c r="U59" s="5">
        <v>600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1400</v>
      </c>
      <c r="AD59" s="5">
        <v>2000</v>
      </c>
      <c r="AE59" s="5">
        <v>600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1400</v>
      </c>
      <c r="AN59" s="5">
        <v>1400</v>
      </c>
      <c r="AO59" s="5">
        <v>0</v>
      </c>
      <c r="AP59" s="5">
        <v>1400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50915952</v>
      </c>
      <c r="K60" s="4" t="s">
        <v>63</v>
      </c>
      <c r="L60" s="4"/>
      <c r="M60" s="4"/>
      <c r="N60" s="4" t="s">
        <v>64</v>
      </c>
      <c r="O60" s="4" t="s">
        <v>164</v>
      </c>
      <c r="P60" s="4">
        <v>0.7</v>
      </c>
      <c r="Q60" s="4">
        <v>0.6</v>
      </c>
      <c r="R60" s="5" t="s">
        <v>22</v>
      </c>
      <c r="S60" s="5">
        <v>100</v>
      </c>
      <c r="T60" s="5">
        <v>9000</v>
      </c>
      <c r="U60" s="5">
        <v>4600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4400</v>
      </c>
      <c r="AD60" s="5">
        <v>9000</v>
      </c>
      <c r="AE60" s="5">
        <v>4600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4400</v>
      </c>
      <c r="AN60" s="5">
        <v>6300</v>
      </c>
      <c r="AO60" s="5">
        <v>0</v>
      </c>
      <c r="AP60" s="5">
        <v>6300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50915952</v>
      </c>
      <c r="K61" s="4" t="s">
        <v>63</v>
      </c>
      <c r="L61" s="4"/>
      <c r="M61" s="4"/>
      <c r="N61" s="4" t="s">
        <v>64</v>
      </c>
      <c r="O61" s="4" t="s">
        <v>164</v>
      </c>
      <c r="P61" s="4">
        <v>0.7</v>
      </c>
      <c r="Q61" s="4">
        <v>0.6</v>
      </c>
      <c r="R61" s="5" t="s">
        <v>21</v>
      </c>
      <c r="S61" s="5">
        <v>7300</v>
      </c>
      <c r="T61" s="5">
        <v>7300</v>
      </c>
      <c r="U61" s="5">
        <v>7300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7300</v>
      </c>
      <c r="AE61" s="5">
        <v>7300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5110</v>
      </c>
      <c r="AO61" s="5">
        <v>0</v>
      </c>
      <c r="AP61" s="5">
        <v>5110</v>
      </c>
    </row>
    <row r="62" spans="1:42" x14ac:dyDescent="0.4">
      <c r="AP62" s="6">
        <f>SUM(AP2:AP61)</f>
        <v>256546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5"/>
  <sheetViews>
    <sheetView topLeftCell="X34" workbookViewId="0">
      <selection activeCell="AP55" sqref="AP5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48086893</v>
      </c>
      <c r="K2" s="4" t="s">
        <v>90</v>
      </c>
      <c r="L2" s="4"/>
      <c r="M2" s="4"/>
      <c r="N2" s="4" t="s">
        <v>54</v>
      </c>
      <c r="O2" s="4" t="s">
        <v>165</v>
      </c>
      <c r="P2" s="4">
        <v>0.7</v>
      </c>
      <c r="Q2" s="4">
        <v>0.6</v>
      </c>
      <c r="R2" s="5" t="s">
        <v>22</v>
      </c>
      <c r="S2" s="5">
        <v>100</v>
      </c>
      <c r="T2" s="5">
        <v>423300</v>
      </c>
      <c r="U2" s="5">
        <v>161300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262000</v>
      </c>
      <c r="AD2" s="5">
        <v>423300</v>
      </c>
      <c r="AE2" s="5">
        <v>161300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262000</v>
      </c>
      <c r="AN2" s="5">
        <v>296310</v>
      </c>
      <c r="AO2" s="5">
        <v>0</v>
      </c>
      <c r="AP2" s="5">
        <v>296310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48086893</v>
      </c>
      <c r="K3" s="4" t="s">
        <v>90</v>
      </c>
      <c r="L3" s="4"/>
      <c r="M3" s="4"/>
      <c r="N3" s="4" t="s">
        <v>54</v>
      </c>
      <c r="O3" s="4" t="s">
        <v>165</v>
      </c>
      <c r="P3" s="4">
        <v>0.7</v>
      </c>
      <c r="Q3" s="4">
        <v>0.6</v>
      </c>
      <c r="R3" s="5" t="s">
        <v>21</v>
      </c>
      <c r="S3" s="5">
        <v>1800</v>
      </c>
      <c r="T3" s="5">
        <v>377200</v>
      </c>
      <c r="U3" s="5">
        <v>312700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64500</v>
      </c>
      <c r="AD3" s="5">
        <v>377200</v>
      </c>
      <c r="AE3" s="5">
        <v>312700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64500</v>
      </c>
      <c r="AN3" s="5">
        <v>264040</v>
      </c>
      <c r="AO3" s="5">
        <v>0</v>
      </c>
      <c r="AP3" s="5">
        <v>264040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48086893</v>
      </c>
      <c r="K4" s="4" t="s">
        <v>90</v>
      </c>
      <c r="L4" s="4"/>
      <c r="M4" s="4"/>
      <c r="N4" s="4" t="s">
        <v>54</v>
      </c>
      <c r="O4" s="4" t="s">
        <v>165</v>
      </c>
      <c r="P4" s="4">
        <v>0.7</v>
      </c>
      <c r="Q4" s="4">
        <v>0.6</v>
      </c>
      <c r="R4" s="5" t="s">
        <v>21</v>
      </c>
      <c r="S4" s="5">
        <v>4500</v>
      </c>
      <c r="T4" s="5">
        <v>425000</v>
      </c>
      <c r="U4" s="5">
        <v>377600</v>
      </c>
      <c r="V4" s="5">
        <v>0</v>
      </c>
      <c r="W4" s="5">
        <v>0</v>
      </c>
      <c r="X4" s="5">
        <v>0</v>
      </c>
      <c r="Y4" s="5">
        <v>0</v>
      </c>
      <c r="Z4" s="5">
        <v>-400</v>
      </c>
      <c r="AA4" s="5">
        <v>0</v>
      </c>
      <c r="AB4" s="5">
        <v>0</v>
      </c>
      <c r="AC4" s="5">
        <v>47800</v>
      </c>
      <c r="AD4" s="5">
        <v>424960</v>
      </c>
      <c r="AE4" s="5">
        <v>377600</v>
      </c>
      <c r="AF4" s="5">
        <v>0</v>
      </c>
      <c r="AG4" s="5">
        <v>0</v>
      </c>
      <c r="AH4" s="5">
        <v>0</v>
      </c>
      <c r="AI4" s="5">
        <v>0</v>
      </c>
      <c r="AJ4" s="5">
        <v>-440</v>
      </c>
      <c r="AK4" s="5">
        <v>0</v>
      </c>
      <c r="AL4" s="5">
        <v>0</v>
      </c>
      <c r="AM4" s="5">
        <v>47800</v>
      </c>
      <c r="AN4" s="5">
        <v>297516</v>
      </c>
      <c r="AO4" s="5">
        <v>0</v>
      </c>
      <c r="AP4" s="5">
        <v>297516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48086893</v>
      </c>
      <c r="K5" s="4" t="s">
        <v>90</v>
      </c>
      <c r="L5" s="4"/>
      <c r="M5" s="4"/>
      <c r="N5" s="4" t="s">
        <v>54</v>
      </c>
      <c r="O5" s="4" t="s">
        <v>165</v>
      </c>
      <c r="P5" s="4">
        <v>0.7</v>
      </c>
      <c r="Q5" s="4">
        <v>0.6</v>
      </c>
      <c r="R5" s="5" t="s">
        <v>21</v>
      </c>
      <c r="S5" s="5">
        <v>9000</v>
      </c>
      <c r="T5" s="5">
        <v>726900</v>
      </c>
      <c r="U5" s="5">
        <v>697800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-2000</v>
      </c>
      <c r="AB5" s="5">
        <v>0</v>
      </c>
      <c r="AC5" s="5">
        <v>31100</v>
      </c>
      <c r="AD5" s="5">
        <v>726297.05819999997</v>
      </c>
      <c r="AE5" s="5">
        <v>697800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-2602.9418000000001</v>
      </c>
      <c r="AL5" s="5">
        <v>0</v>
      </c>
      <c r="AM5" s="5">
        <v>31100</v>
      </c>
      <c r="AN5" s="5">
        <v>508668</v>
      </c>
      <c r="AO5" s="5">
        <v>0</v>
      </c>
      <c r="AP5" s="5">
        <v>508668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58502303</v>
      </c>
      <c r="K6" s="4" t="s">
        <v>126</v>
      </c>
      <c r="L6" s="4"/>
      <c r="M6" s="4"/>
      <c r="N6" s="4" t="s">
        <v>111</v>
      </c>
      <c r="O6" s="4" t="s">
        <v>165</v>
      </c>
      <c r="P6" s="4">
        <v>0.7</v>
      </c>
      <c r="Q6" s="4">
        <v>0.6</v>
      </c>
      <c r="R6" s="5" t="s">
        <v>22</v>
      </c>
      <c r="S6" s="5">
        <v>100</v>
      </c>
      <c r="T6" s="5">
        <v>239100</v>
      </c>
      <c r="U6" s="5">
        <v>173300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65800</v>
      </c>
      <c r="AD6" s="5">
        <v>239100</v>
      </c>
      <c r="AE6" s="5">
        <v>173300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65800</v>
      </c>
      <c r="AN6" s="5">
        <v>167370</v>
      </c>
      <c r="AO6" s="5">
        <v>0</v>
      </c>
      <c r="AP6" s="5">
        <v>167370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58503809</v>
      </c>
      <c r="K7" s="4" t="s">
        <v>127</v>
      </c>
      <c r="L7" s="4"/>
      <c r="M7" s="4"/>
      <c r="N7" s="4" t="s">
        <v>111</v>
      </c>
      <c r="O7" s="4" t="s">
        <v>165</v>
      </c>
      <c r="P7" s="4">
        <v>0.7</v>
      </c>
      <c r="Q7" s="4">
        <v>0.6</v>
      </c>
      <c r="R7" s="5" t="s">
        <v>22</v>
      </c>
      <c r="S7" s="5">
        <v>3200</v>
      </c>
      <c r="T7" s="5">
        <v>35200</v>
      </c>
      <c r="U7" s="5">
        <v>35200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35200</v>
      </c>
      <c r="AE7" s="5">
        <v>35200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24640</v>
      </c>
      <c r="AO7" s="5">
        <v>0</v>
      </c>
      <c r="AP7" s="5">
        <v>24640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58503809</v>
      </c>
      <c r="K8" s="4" t="s">
        <v>127</v>
      </c>
      <c r="L8" s="4"/>
      <c r="M8" s="4"/>
      <c r="N8" s="4" t="s">
        <v>111</v>
      </c>
      <c r="O8" s="4" t="s">
        <v>165</v>
      </c>
      <c r="P8" s="4">
        <v>0.7</v>
      </c>
      <c r="Q8" s="4">
        <v>0.6</v>
      </c>
      <c r="R8" s="5" t="s">
        <v>47</v>
      </c>
      <c r="S8" s="5">
        <v>900</v>
      </c>
      <c r="T8" s="5">
        <v>180900</v>
      </c>
      <c r="U8" s="5">
        <v>127600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53300</v>
      </c>
      <c r="AD8" s="5">
        <v>180900</v>
      </c>
      <c r="AE8" s="5">
        <v>127600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53300</v>
      </c>
      <c r="AN8" s="5">
        <v>126630</v>
      </c>
      <c r="AO8" s="5">
        <v>0</v>
      </c>
      <c r="AP8" s="5">
        <v>126630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52935825</v>
      </c>
      <c r="K9" s="4" t="s">
        <v>89</v>
      </c>
      <c r="L9" s="4"/>
      <c r="M9" s="4"/>
      <c r="N9" s="4" t="s">
        <v>61</v>
      </c>
      <c r="O9" s="4" t="s">
        <v>165</v>
      </c>
      <c r="P9" s="4">
        <v>0.7</v>
      </c>
      <c r="Q9" s="4">
        <v>0.6</v>
      </c>
      <c r="R9" s="5" t="s">
        <v>22</v>
      </c>
      <c r="S9" s="5">
        <v>100</v>
      </c>
      <c r="T9" s="5">
        <v>1800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1800</v>
      </c>
      <c r="AD9" s="5">
        <v>1800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1800</v>
      </c>
      <c r="AN9" s="5">
        <v>1260</v>
      </c>
      <c r="AO9" s="5">
        <v>0</v>
      </c>
      <c r="AP9" s="5">
        <v>1260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52935825</v>
      </c>
      <c r="K10" s="4" t="s">
        <v>89</v>
      </c>
      <c r="L10" s="4"/>
      <c r="M10" s="4"/>
      <c r="N10" s="4" t="s">
        <v>61</v>
      </c>
      <c r="O10" s="4" t="s">
        <v>165</v>
      </c>
      <c r="P10" s="4">
        <v>0.7</v>
      </c>
      <c r="Q10" s="4">
        <v>0.6</v>
      </c>
      <c r="R10" s="5" t="s">
        <v>21</v>
      </c>
      <c r="S10" s="5">
        <v>2400</v>
      </c>
      <c r="T10" s="5">
        <v>2400</v>
      </c>
      <c r="U10" s="5">
        <v>2400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2400</v>
      </c>
      <c r="AE10" s="5">
        <v>2400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1680</v>
      </c>
      <c r="AO10" s="5">
        <v>0</v>
      </c>
      <c r="AP10" s="5">
        <v>1680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47198439</v>
      </c>
      <c r="K11" s="4" t="s">
        <v>79</v>
      </c>
      <c r="L11" s="4"/>
      <c r="M11" s="4"/>
      <c r="N11" s="4" t="s">
        <v>111</v>
      </c>
      <c r="O11" s="4" t="s">
        <v>165</v>
      </c>
      <c r="P11" s="4">
        <v>0.7</v>
      </c>
      <c r="Q11" s="4">
        <v>0.6</v>
      </c>
      <c r="R11" s="5" t="s">
        <v>22</v>
      </c>
      <c r="S11" s="5">
        <v>100</v>
      </c>
      <c r="T11" s="5">
        <v>3700</v>
      </c>
      <c r="U11" s="5">
        <v>400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3300</v>
      </c>
      <c r="AD11" s="5">
        <v>3700</v>
      </c>
      <c r="AE11" s="5">
        <v>400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3300</v>
      </c>
      <c r="AN11" s="5">
        <v>2590</v>
      </c>
      <c r="AO11" s="5">
        <v>0</v>
      </c>
      <c r="AP11" s="5">
        <v>2590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47198439</v>
      </c>
      <c r="K12" s="4" t="s">
        <v>79</v>
      </c>
      <c r="L12" s="4"/>
      <c r="M12" s="4"/>
      <c r="N12" s="4" t="s">
        <v>111</v>
      </c>
      <c r="O12" s="4" t="s">
        <v>165</v>
      </c>
      <c r="P12" s="4">
        <v>0.7</v>
      </c>
      <c r="Q12" s="4">
        <v>0.6</v>
      </c>
      <c r="R12" s="5" t="s">
        <v>21</v>
      </c>
      <c r="S12" s="5">
        <v>1800</v>
      </c>
      <c r="T12" s="5">
        <v>3600</v>
      </c>
      <c r="U12" s="5">
        <v>2200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1400</v>
      </c>
      <c r="AD12" s="5">
        <v>3600</v>
      </c>
      <c r="AE12" s="5">
        <v>2200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1400</v>
      </c>
      <c r="AN12" s="5">
        <v>2520</v>
      </c>
      <c r="AO12" s="5">
        <v>0</v>
      </c>
      <c r="AP12" s="5">
        <v>2520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47198439</v>
      </c>
      <c r="K13" s="4" t="s">
        <v>79</v>
      </c>
      <c r="L13" s="4"/>
      <c r="M13" s="4"/>
      <c r="N13" s="4" t="s">
        <v>111</v>
      </c>
      <c r="O13" s="4" t="s">
        <v>165</v>
      </c>
      <c r="P13" s="4">
        <v>0.7</v>
      </c>
      <c r="Q13" s="4">
        <v>0.6</v>
      </c>
      <c r="R13" s="5" t="s">
        <v>21</v>
      </c>
      <c r="S13" s="5">
        <v>4500</v>
      </c>
      <c r="T13" s="5">
        <v>4500</v>
      </c>
      <c r="U13" s="5">
        <v>4500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4500</v>
      </c>
      <c r="AE13" s="5">
        <v>4500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3150</v>
      </c>
      <c r="AO13" s="5">
        <v>0</v>
      </c>
      <c r="AP13" s="5">
        <v>3150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47198439</v>
      </c>
      <c r="K14" s="4" t="s">
        <v>79</v>
      </c>
      <c r="L14" s="4"/>
      <c r="M14" s="4"/>
      <c r="N14" s="4" t="s">
        <v>111</v>
      </c>
      <c r="O14" s="4" t="s">
        <v>165</v>
      </c>
      <c r="P14" s="4">
        <v>0.7</v>
      </c>
      <c r="Q14" s="4">
        <v>0.6</v>
      </c>
      <c r="R14" s="5" t="s">
        <v>21</v>
      </c>
      <c r="S14" s="5">
        <v>9000</v>
      </c>
      <c r="T14" s="5">
        <v>18000</v>
      </c>
      <c r="U14" s="5">
        <v>18000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18000</v>
      </c>
      <c r="AE14" s="5">
        <v>18000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12600</v>
      </c>
      <c r="AO14" s="5">
        <v>0</v>
      </c>
      <c r="AP14" s="5">
        <v>12600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47353217</v>
      </c>
      <c r="K15" s="4" t="s">
        <v>92</v>
      </c>
      <c r="L15" s="4"/>
      <c r="M15" s="4"/>
      <c r="N15" s="4" t="s">
        <v>111</v>
      </c>
      <c r="O15" s="4" t="s">
        <v>165</v>
      </c>
      <c r="P15" s="4">
        <v>0.7</v>
      </c>
      <c r="Q15" s="4">
        <v>0.6</v>
      </c>
      <c r="R15" s="5" t="s">
        <v>22</v>
      </c>
      <c r="S15" s="5">
        <v>100</v>
      </c>
      <c r="T15" s="5">
        <v>7500</v>
      </c>
      <c r="U15" s="5">
        <v>4400</v>
      </c>
      <c r="V15" s="5">
        <v>0</v>
      </c>
      <c r="W15" s="5">
        <v>0</v>
      </c>
      <c r="X15" s="5">
        <v>0</v>
      </c>
      <c r="Y15" s="5">
        <v>0</v>
      </c>
      <c r="Z15" s="5">
        <v>600</v>
      </c>
      <c r="AA15" s="5">
        <v>0</v>
      </c>
      <c r="AB15" s="5">
        <v>0</v>
      </c>
      <c r="AC15" s="5">
        <v>2500</v>
      </c>
      <c r="AD15" s="5">
        <v>7560</v>
      </c>
      <c r="AE15" s="5">
        <v>4400</v>
      </c>
      <c r="AF15" s="5">
        <v>0</v>
      </c>
      <c r="AG15" s="5">
        <v>0</v>
      </c>
      <c r="AH15" s="5">
        <v>0</v>
      </c>
      <c r="AI15" s="5">
        <v>0</v>
      </c>
      <c r="AJ15" s="5">
        <v>660</v>
      </c>
      <c r="AK15" s="5">
        <v>0</v>
      </c>
      <c r="AL15" s="5">
        <v>0</v>
      </c>
      <c r="AM15" s="5">
        <v>2500</v>
      </c>
      <c r="AN15" s="5">
        <v>5226</v>
      </c>
      <c r="AO15" s="5">
        <v>0</v>
      </c>
      <c r="AP15" s="5">
        <v>5226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47353217</v>
      </c>
      <c r="K16" s="4" t="s">
        <v>92</v>
      </c>
      <c r="L16" s="4"/>
      <c r="M16" s="4"/>
      <c r="N16" s="4" t="s">
        <v>111</v>
      </c>
      <c r="O16" s="4" t="s">
        <v>165</v>
      </c>
      <c r="P16" s="4">
        <v>0.7</v>
      </c>
      <c r="Q16" s="4">
        <v>0.6</v>
      </c>
      <c r="R16" s="5" t="s">
        <v>21</v>
      </c>
      <c r="S16" s="5">
        <v>1800</v>
      </c>
      <c r="T16" s="5">
        <v>19800</v>
      </c>
      <c r="U16" s="5">
        <v>19700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100</v>
      </c>
      <c r="AD16" s="5">
        <v>19800</v>
      </c>
      <c r="AE16" s="5">
        <v>19700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100</v>
      </c>
      <c r="AN16" s="5">
        <v>13860</v>
      </c>
      <c r="AO16" s="5">
        <v>0</v>
      </c>
      <c r="AP16" s="5">
        <v>13860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47353217</v>
      </c>
      <c r="K17" s="4" t="s">
        <v>92</v>
      </c>
      <c r="L17" s="4"/>
      <c r="M17" s="4"/>
      <c r="N17" s="4" t="s">
        <v>111</v>
      </c>
      <c r="O17" s="4" t="s">
        <v>165</v>
      </c>
      <c r="P17" s="4">
        <v>0.7</v>
      </c>
      <c r="Q17" s="4">
        <v>0.6</v>
      </c>
      <c r="R17" s="5" t="s">
        <v>21</v>
      </c>
      <c r="S17" s="5">
        <v>3600</v>
      </c>
      <c r="T17" s="5">
        <v>28800</v>
      </c>
      <c r="U17" s="5">
        <v>28800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28800</v>
      </c>
      <c r="AE17" s="5">
        <v>28800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20160</v>
      </c>
      <c r="AO17" s="5">
        <v>0</v>
      </c>
      <c r="AP17" s="5">
        <v>20160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51234142</v>
      </c>
      <c r="K18" s="4" t="s">
        <v>57</v>
      </c>
      <c r="L18" s="4"/>
      <c r="M18" s="4"/>
      <c r="N18" s="4" t="s">
        <v>111</v>
      </c>
      <c r="O18" s="4" t="s">
        <v>165</v>
      </c>
      <c r="P18" s="4">
        <v>0.7</v>
      </c>
      <c r="Q18" s="4">
        <v>0.6</v>
      </c>
      <c r="R18" s="5" t="s">
        <v>22</v>
      </c>
      <c r="S18" s="5">
        <v>100</v>
      </c>
      <c r="T18" s="5">
        <v>400</v>
      </c>
      <c r="U18" s="5">
        <v>100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300</v>
      </c>
      <c r="AD18" s="5">
        <v>400</v>
      </c>
      <c r="AE18" s="5">
        <v>100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300</v>
      </c>
      <c r="AN18" s="5">
        <v>280</v>
      </c>
      <c r="AO18" s="5">
        <v>0</v>
      </c>
      <c r="AP18" s="5">
        <v>280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51234142</v>
      </c>
      <c r="K19" s="4" t="s">
        <v>57</v>
      </c>
      <c r="L19" s="4"/>
      <c r="M19" s="4"/>
      <c r="N19" s="4" t="s">
        <v>111</v>
      </c>
      <c r="O19" s="4" t="s">
        <v>165</v>
      </c>
      <c r="P19" s="4">
        <v>0.7</v>
      </c>
      <c r="Q19" s="4">
        <v>0.6</v>
      </c>
      <c r="R19" s="5" t="s">
        <v>21</v>
      </c>
      <c r="S19" s="5">
        <v>1800</v>
      </c>
      <c r="T19" s="5">
        <v>1800</v>
      </c>
      <c r="U19" s="5">
        <v>1800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1800</v>
      </c>
      <c r="AE19" s="5">
        <v>1800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1260</v>
      </c>
      <c r="AO19" s="5">
        <v>0</v>
      </c>
      <c r="AP19" s="5">
        <v>1260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51234142</v>
      </c>
      <c r="K20" s="4" t="s">
        <v>57</v>
      </c>
      <c r="L20" s="4"/>
      <c r="M20" s="4"/>
      <c r="N20" s="4" t="s">
        <v>111</v>
      </c>
      <c r="O20" s="4" t="s">
        <v>165</v>
      </c>
      <c r="P20" s="4">
        <v>0.7</v>
      </c>
      <c r="Q20" s="4">
        <v>0.6</v>
      </c>
      <c r="R20" s="5" t="s">
        <v>21</v>
      </c>
      <c r="S20" s="5">
        <v>4500</v>
      </c>
      <c r="T20" s="5">
        <v>4500</v>
      </c>
      <c r="U20" s="5">
        <v>4500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4500</v>
      </c>
      <c r="AE20" s="5">
        <v>4500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3150</v>
      </c>
      <c r="AO20" s="5">
        <v>0</v>
      </c>
      <c r="AP20" s="5">
        <v>3150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51234142</v>
      </c>
      <c r="K21" s="4" t="s">
        <v>57</v>
      </c>
      <c r="L21" s="4"/>
      <c r="M21" s="4"/>
      <c r="N21" s="4" t="s">
        <v>111</v>
      </c>
      <c r="O21" s="4" t="s">
        <v>165</v>
      </c>
      <c r="P21" s="4">
        <v>0.7</v>
      </c>
      <c r="Q21" s="4">
        <v>0.6</v>
      </c>
      <c r="R21" s="5" t="s">
        <v>21</v>
      </c>
      <c r="S21" s="5">
        <v>9000</v>
      </c>
      <c r="T21" s="5">
        <v>-7700</v>
      </c>
      <c r="U21" s="5">
        <v>-7700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-7700</v>
      </c>
      <c r="AE21" s="5">
        <v>-7700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-5390</v>
      </c>
      <c r="AO21" s="5">
        <v>0</v>
      </c>
      <c r="AP21" s="5">
        <v>-5390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55495517</v>
      </c>
      <c r="K22" s="4" t="s">
        <v>143</v>
      </c>
      <c r="L22" s="4"/>
      <c r="M22" s="4"/>
      <c r="N22" s="4" t="s">
        <v>61</v>
      </c>
      <c r="O22" s="4" t="s">
        <v>165</v>
      </c>
      <c r="P22" s="4">
        <v>0.7</v>
      </c>
      <c r="Q22" s="4">
        <v>0.6</v>
      </c>
      <c r="R22" s="5" t="s">
        <v>22</v>
      </c>
      <c r="S22" s="5">
        <v>100</v>
      </c>
      <c r="T22" s="5">
        <v>100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100</v>
      </c>
      <c r="AD22" s="5">
        <v>100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100</v>
      </c>
      <c r="AN22" s="5">
        <v>70</v>
      </c>
      <c r="AO22" s="5">
        <v>0</v>
      </c>
      <c r="AP22" s="5">
        <v>70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55496218</v>
      </c>
      <c r="K23" s="4" t="s">
        <v>144</v>
      </c>
      <c r="L23" s="4"/>
      <c r="M23" s="4"/>
      <c r="N23" s="4" t="s">
        <v>61</v>
      </c>
      <c r="O23" s="4" t="s">
        <v>165</v>
      </c>
      <c r="P23" s="4">
        <v>0.7</v>
      </c>
      <c r="Q23" s="4">
        <v>0.6</v>
      </c>
      <c r="R23" s="5" t="s">
        <v>22</v>
      </c>
      <c r="S23" s="5">
        <v>100</v>
      </c>
      <c r="T23" s="5">
        <v>7500</v>
      </c>
      <c r="U23" s="5">
        <v>6000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1500</v>
      </c>
      <c r="AD23" s="5">
        <v>7500</v>
      </c>
      <c r="AE23" s="5">
        <v>6000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1500</v>
      </c>
      <c r="AN23" s="5">
        <v>5250</v>
      </c>
      <c r="AO23" s="5">
        <v>0</v>
      </c>
      <c r="AP23" s="5">
        <v>5250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55496218</v>
      </c>
      <c r="K24" s="4" t="s">
        <v>144</v>
      </c>
      <c r="L24" s="4"/>
      <c r="M24" s="4"/>
      <c r="N24" s="4" t="s">
        <v>61</v>
      </c>
      <c r="O24" s="4" t="s">
        <v>165</v>
      </c>
      <c r="P24" s="4">
        <v>0.7</v>
      </c>
      <c r="Q24" s="4">
        <v>0.6</v>
      </c>
      <c r="R24" s="5" t="s">
        <v>21</v>
      </c>
      <c r="S24" s="5">
        <v>1800</v>
      </c>
      <c r="T24" s="5">
        <v>7200</v>
      </c>
      <c r="U24" s="5">
        <v>7200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7200</v>
      </c>
      <c r="AE24" s="5">
        <v>7200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5040</v>
      </c>
      <c r="AO24" s="5">
        <v>0</v>
      </c>
      <c r="AP24" s="5">
        <v>5040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55496218</v>
      </c>
      <c r="K25" s="4" t="s">
        <v>144</v>
      </c>
      <c r="L25" s="4"/>
      <c r="M25" s="4"/>
      <c r="N25" s="4" t="s">
        <v>61</v>
      </c>
      <c r="O25" s="4" t="s">
        <v>165</v>
      </c>
      <c r="P25" s="4">
        <v>0.7</v>
      </c>
      <c r="Q25" s="4">
        <v>0.6</v>
      </c>
      <c r="R25" s="5" t="s">
        <v>21</v>
      </c>
      <c r="S25" s="5">
        <v>4500</v>
      </c>
      <c r="T25" s="5">
        <v>9000</v>
      </c>
      <c r="U25" s="5">
        <v>9000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9000</v>
      </c>
      <c r="AE25" s="5">
        <v>9000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6300</v>
      </c>
      <c r="AO25" s="5">
        <v>0</v>
      </c>
      <c r="AP25" s="5">
        <v>6300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55497163</v>
      </c>
      <c r="K26" s="4" t="s">
        <v>120</v>
      </c>
      <c r="L26" s="4"/>
      <c r="M26" s="4"/>
      <c r="N26" s="4" t="s">
        <v>61</v>
      </c>
      <c r="O26" s="4" t="s">
        <v>165</v>
      </c>
      <c r="P26" s="4">
        <v>0.7</v>
      </c>
      <c r="Q26" s="4">
        <v>0.6</v>
      </c>
      <c r="R26" s="5" t="s">
        <v>22</v>
      </c>
      <c r="S26" s="5">
        <v>100</v>
      </c>
      <c r="T26" s="5">
        <v>200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200</v>
      </c>
      <c r="AD26" s="5">
        <v>200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200</v>
      </c>
      <c r="AN26" s="5">
        <v>140</v>
      </c>
      <c r="AO26" s="5">
        <v>0</v>
      </c>
      <c r="AP26" s="5">
        <v>140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55497489</v>
      </c>
      <c r="K27" s="4" t="s">
        <v>117</v>
      </c>
      <c r="L27" s="4"/>
      <c r="M27" s="4"/>
      <c r="N27" s="4" t="s">
        <v>61</v>
      </c>
      <c r="O27" s="4" t="s">
        <v>165</v>
      </c>
      <c r="P27" s="4">
        <v>0.7</v>
      </c>
      <c r="Q27" s="4">
        <v>0.6</v>
      </c>
      <c r="R27" s="5" t="s">
        <v>22</v>
      </c>
      <c r="S27" s="5">
        <v>100</v>
      </c>
      <c r="T27" s="5">
        <v>600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600</v>
      </c>
      <c r="AD27" s="5">
        <v>600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600</v>
      </c>
      <c r="AN27" s="5">
        <v>420</v>
      </c>
      <c r="AO27" s="5">
        <v>0</v>
      </c>
      <c r="AP27" s="5">
        <v>420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55497489</v>
      </c>
      <c r="K28" s="4" t="s">
        <v>117</v>
      </c>
      <c r="L28" s="4"/>
      <c r="M28" s="4"/>
      <c r="N28" s="4" t="s">
        <v>61</v>
      </c>
      <c r="O28" s="4" t="s">
        <v>165</v>
      </c>
      <c r="P28" s="4">
        <v>0.7</v>
      </c>
      <c r="Q28" s="4">
        <v>0.6</v>
      </c>
      <c r="R28" s="5" t="s">
        <v>21</v>
      </c>
      <c r="S28" s="5">
        <v>1800</v>
      </c>
      <c r="T28" s="5">
        <v>1800</v>
      </c>
      <c r="U28" s="5">
        <v>1800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1800</v>
      </c>
      <c r="AE28" s="5">
        <v>1800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1260</v>
      </c>
      <c r="AO28" s="5">
        <v>0</v>
      </c>
      <c r="AP28" s="5">
        <v>1260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48478081</v>
      </c>
      <c r="K29" s="4" t="s">
        <v>93</v>
      </c>
      <c r="L29" s="4"/>
      <c r="M29" s="4"/>
      <c r="N29" s="4" t="s">
        <v>111</v>
      </c>
      <c r="O29" s="4" t="s">
        <v>165</v>
      </c>
      <c r="P29" s="4">
        <v>0.7</v>
      </c>
      <c r="Q29" s="4">
        <v>0.6</v>
      </c>
      <c r="R29" s="5" t="s">
        <v>22</v>
      </c>
      <c r="S29" s="5">
        <v>100</v>
      </c>
      <c r="T29" s="5">
        <v>5700</v>
      </c>
      <c r="U29" s="5">
        <v>1100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4600</v>
      </c>
      <c r="AD29" s="5">
        <v>5700</v>
      </c>
      <c r="AE29" s="5">
        <v>1100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4600</v>
      </c>
      <c r="AN29" s="5">
        <v>3990</v>
      </c>
      <c r="AO29" s="5">
        <v>0</v>
      </c>
      <c r="AP29" s="5">
        <v>3990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48478081</v>
      </c>
      <c r="K30" s="4" t="s">
        <v>93</v>
      </c>
      <c r="L30" s="4"/>
      <c r="M30" s="4"/>
      <c r="N30" s="4" t="s">
        <v>111</v>
      </c>
      <c r="O30" s="4" t="s">
        <v>165</v>
      </c>
      <c r="P30" s="4">
        <v>0.7</v>
      </c>
      <c r="Q30" s="4">
        <v>0.6</v>
      </c>
      <c r="R30" s="5" t="s">
        <v>21</v>
      </c>
      <c r="S30" s="5">
        <v>1800</v>
      </c>
      <c r="T30" s="5">
        <v>16400</v>
      </c>
      <c r="U30" s="5">
        <v>12600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3800</v>
      </c>
      <c r="AD30" s="5">
        <v>16400</v>
      </c>
      <c r="AE30" s="5">
        <v>12600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3800</v>
      </c>
      <c r="AN30" s="5">
        <v>11480</v>
      </c>
      <c r="AO30" s="5">
        <v>0</v>
      </c>
      <c r="AP30" s="5">
        <v>11480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48478081</v>
      </c>
      <c r="K31" s="4" t="s">
        <v>93</v>
      </c>
      <c r="L31" s="4"/>
      <c r="M31" s="4"/>
      <c r="N31" s="4" t="s">
        <v>111</v>
      </c>
      <c r="O31" s="4" t="s">
        <v>165</v>
      </c>
      <c r="P31" s="4">
        <v>0.7</v>
      </c>
      <c r="Q31" s="4">
        <v>0.6</v>
      </c>
      <c r="R31" s="5" t="s">
        <v>21</v>
      </c>
      <c r="S31" s="5">
        <v>4500</v>
      </c>
      <c r="T31" s="5">
        <v>9000</v>
      </c>
      <c r="U31" s="5">
        <v>9000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9000</v>
      </c>
      <c r="AE31" s="5">
        <v>9000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6300</v>
      </c>
      <c r="AO31" s="5">
        <v>0</v>
      </c>
      <c r="AP31" s="5">
        <v>6300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48478081</v>
      </c>
      <c r="K32" s="4" t="s">
        <v>93</v>
      </c>
      <c r="L32" s="4"/>
      <c r="M32" s="4"/>
      <c r="N32" s="4" t="s">
        <v>111</v>
      </c>
      <c r="O32" s="4" t="s">
        <v>165</v>
      </c>
      <c r="P32" s="4">
        <v>0.7</v>
      </c>
      <c r="Q32" s="4">
        <v>0.6</v>
      </c>
      <c r="R32" s="5" t="s">
        <v>21</v>
      </c>
      <c r="S32" s="5">
        <v>9000</v>
      </c>
      <c r="T32" s="5">
        <v>27000</v>
      </c>
      <c r="U32" s="5">
        <v>27000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27000</v>
      </c>
      <c r="AE32" s="5">
        <v>27000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18900</v>
      </c>
      <c r="AO32" s="5">
        <v>0</v>
      </c>
      <c r="AP32" s="5">
        <v>18900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49943365</v>
      </c>
      <c r="K33" s="4" t="s">
        <v>83</v>
      </c>
      <c r="L33" s="4"/>
      <c r="M33" s="4"/>
      <c r="N33" s="4" t="s">
        <v>111</v>
      </c>
      <c r="O33" s="4" t="s">
        <v>165</v>
      </c>
      <c r="P33" s="4">
        <v>0.7</v>
      </c>
      <c r="Q33" s="4">
        <v>0.6</v>
      </c>
      <c r="R33" s="5" t="s">
        <v>22</v>
      </c>
      <c r="S33" s="5">
        <v>100</v>
      </c>
      <c r="T33" s="5">
        <v>32700</v>
      </c>
      <c r="U33" s="5">
        <v>21000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11700</v>
      </c>
      <c r="AD33" s="5">
        <v>32700</v>
      </c>
      <c r="AE33" s="5">
        <v>21000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11700</v>
      </c>
      <c r="AN33" s="5">
        <v>22890</v>
      </c>
      <c r="AO33" s="5">
        <v>0</v>
      </c>
      <c r="AP33" s="5">
        <v>22890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49943365</v>
      </c>
      <c r="K34" s="4" t="s">
        <v>83</v>
      </c>
      <c r="L34" s="4"/>
      <c r="M34" s="4"/>
      <c r="N34" s="4" t="s">
        <v>111</v>
      </c>
      <c r="O34" s="4" t="s">
        <v>165</v>
      </c>
      <c r="P34" s="4">
        <v>0.7</v>
      </c>
      <c r="Q34" s="4">
        <v>0.6</v>
      </c>
      <c r="R34" s="5" t="s">
        <v>21</v>
      </c>
      <c r="S34" s="5">
        <v>1800</v>
      </c>
      <c r="T34" s="5">
        <v>42900</v>
      </c>
      <c r="U34" s="5">
        <v>41000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1900</v>
      </c>
      <c r="AD34" s="5">
        <v>42900</v>
      </c>
      <c r="AE34" s="5">
        <v>41000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1900</v>
      </c>
      <c r="AN34" s="5">
        <v>30030</v>
      </c>
      <c r="AO34" s="5">
        <v>0</v>
      </c>
      <c r="AP34" s="5">
        <v>30030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49943365</v>
      </c>
      <c r="K35" s="4" t="s">
        <v>83</v>
      </c>
      <c r="L35" s="4"/>
      <c r="M35" s="4"/>
      <c r="N35" s="4" t="s">
        <v>111</v>
      </c>
      <c r="O35" s="4" t="s">
        <v>165</v>
      </c>
      <c r="P35" s="4">
        <v>0.7</v>
      </c>
      <c r="Q35" s="4">
        <v>0.6</v>
      </c>
      <c r="R35" s="5" t="s">
        <v>21</v>
      </c>
      <c r="S35" s="5">
        <v>4500</v>
      </c>
      <c r="T35" s="5">
        <v>52200</v>
      </c>
      <c r="U35" s="5">
        <v>51500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700</v>
      </c>
      <c r="AD35" s="5">
        <v>52200</v>
      </c>
      <c r="AE35" s="5">
        <v>51500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700</v>
      </c>
      <c r="AN35" s="5">
        <v>36540</v>
      </c>
      <c r="AO35" s="5">
        <v>0</v>
      </c>
      <c r="AP35" s="5">
        <v>36540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49943365</v>
      </c>
      <c r="K36" s="4" t="s">
        <v>83</v>
      </c>
      <c r="L36" s="4"/>
      <c r="M36" s="4"/>
      <c r="N36" s="4" t="s">
        <v>111</v>
      </c>
      <c r="O36" s="4" t="s">
        <v>165</v>
      </c>
      <c r="P36" s="4">
        <v>0.7</v>
      </c>
      <c r="Q36" s="4">
        <v>0.6</v>
      </c>
      <c r="R36" s="5" t="s">
        <v>21</v>
      </c>
      <c r="S36" s="5">
        <v>9000</v>
      </c>
      <c r="T36" s="5">
        <v>90000</v>
      </c>
      <c r="U36" s="5">
        <v>90000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90000</v>
      </c>
      <c r="AE36" s="5">
        <v>90000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63000</v>
      </c>
      <c r="AO36" s="5">
        <v>0</v>
      </c>
      <c r="AP36" s="5">
        <v>63000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54616586</v>
      </c>
      <c r="K37" s="4" t="s">
        <v>62</v>
      </c>
      <c r="L37" s="4"/>
      <c r="M37" s="4"/>
      <c r="N37" s="4" t="s">
        <v>61</v>
      </c>
      <c r="O37" s="4" t="s">
        <v>165</v>
      </c>
      <c r="P37" s="4">
        <v>0.7</v>
      </c>
      <c r="Q37" s="4">
        <v>0.6</v>
      </c>
      <c r="R37" s="5" t="s">
        <v>22</v>
      </c>
      <c r="S37" s="5">
        <v>2500</v>
      </c>
      <c r="T37" s="5">
        <v>7500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7500</v>
      </c>
      <c r="AD37" s="5">
        <v>7500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7500</v>
      </c>
      <c r="AN37" s="5">
        <v>5250</v>
      </c>
      <c r="AO37" s="5">
        <v>0</v>
      </c>
      <c r="AP37" s="5">
        <v>5250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54616586</v>
      </c>
      <c r="K38" s="4" t="s">
        <v>62</v>
      </c>
      <c r="L38" s="4"/>
      <c r="M38" s="4"/>
      <c r="N38" s="4" t="s">
        <v>61</v>
      </c>
      <c r="O38" s="4" t="s">
        <v>165</v>
      </c>
      <c r="P38" s="4">
        <v>0.7</v>
      </c>
      <c r="Q38" s="4">
        <v>0.6</v>
      </c>
      <c r="R38" s="5" t="s">
        <v>47</v>
      </c>
      <c r="S38" s="5">
        <v>900</v>
      </c>
      <c r="T38" s="5">
        <v>28800</v>
      </c>
      <c r="U38" s="5">
        <v>26000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2800</v>
      </c>
      <c r="AD38" s="5">
        <v>28800</v>
      </c>
      <c r="AE38" s="5">
        <v>26000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2800</v>
      </c>
      <c r="AN38" s="5">
        <v>20160</v>
      </c>
      <c r="AO38" s="5">
        <v>0</v>
      </c>
      <c r="AP38" s="5">
        <v>20160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54617262</v>
      </c>
      <c r="K39" s="4" t="s">
        <v>65</v>
      </c>
      <c r="L39" s="4"/>
      <c r="M39" s="4"/>
      <c r="N39" s="4" t="s">
        <v>61</v>
      </c>
      <c r="O39" s="4" t="s">
        <v>165</v>
      </c>
      <c r="P39" s="4">
        <v>0.7</v>
      </c>
      <c r="Q39" s="4">
        <v>0.6</v>
      </c>
      <c r="R39" s="5" t="s">
        <v>22</v>
      </c>
      <c r="S39" s="5">
        <v>2500</v>
      </c>
      <c r="T39" s="5">
        <v>2500</v>
      </c>
      <c r="U39" s="5">
        <v>2500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2500</v>
      </c>
      <c r="AE39" s="5">
        <v>2500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1750</v>
      </c>
      <c r="AO39" s="5">
        <v>0</v>
      </c>
      <c r="AP39" s="5">
        <v>1750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54617262</v>
      </c>
      <c r="K40" s="4" t="s">
        <v>65</v>
      </c>
      <c r="L40" s="4"/>
      <c r="M40" s="4"/>
      <c r="N40" s="4" t="s">
        <v>61</v>
      </c>
      <c r="O40" s="4" t="s">
        <v>165</v>
      </c>
      <c r="P40" s="4">
        <v>0.7</v>
      </c>
      <c r="Q40" s="4">
        <v>0.6</v>
      </c>
      <c r="R40" s="5" t="s">
        <v>47</v>
      </c>
      <c r="S40" s="5">
        <v>900</v>
      </c>
      <c r="T40" s="5">
        <v>7200</v>
      </c>
      <c r="U40" s="5">
        <v>7100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100</v>
      </c>
      <c r="AD40" s="5">
        <v>7200</v>
      </c>
      <c r="AE40" s="5">
        <v>7100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100</v>
      </c>
      <c r="AN40" s="5">
        <v>5040</v>
      </c>
      <c r="AO40" s="5">
        <v>0</v>
      </c>
      <c r="AP40" s="5">
        <v>5040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47472359</v>
      </c>
      <c r="K41" s="4" t="s">
        <v>81</v>
      </c>
      <c r="L41" s="4"/>
      <c r="M41" s="4"/>
      <c r="N41" s="4" t="s">
        <v>111</v>
      </c>
      <c r="O41" s="4" t="s">
        <v>165</v>
      </c>
      <c r="P41" s="4">
        <v>0.7</v>
      </c>
      <c r="Q41" s="4">
        <v>0.6</v>
      </c>
      <c r="R41" s="5" t="s">
        <v>22</v>
      </c>
      <c r="S41" s="5">
        <v>100</v>
      </c>
      <c r="T41" s="5">
        <v>49000</v>
      </c>
      <c r="U41" s="5">
        <v>14300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34700</v>
      </c>
      <c r="AD41" s="5">
        <v>49000</v>
      </c>
      <c r="AE41" s="5">
        <v>14300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34700</v>
      </c>
      <c r="AN41" s="5">
        <v>34300</v>
      </c>
      <c r="AO41" s="5">
        <v>0</v>
      </c>
      <c r="AP41" s="5">
        <v>34300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47472359</v>
      </c>
      <c r="K42" s="4" t="s">
        <v>81</v>
      </c>
      <c r="L42" s="4"/>
      <c r="M42" s="4"/>
      <c r="N42" s="4" t="s">
        <v>111</v>
      </c>
      <c r="O42" s="4" t="s">
        <v>165</v>
      </c>
      <c r="P42" s="4">
        <v>0.7</v>
      </c>
      <c r="Q42" s="4">
        <v>0.6</v>
      </c>
      <c r="R42" s="5" t="s">
        <v>21</v>
      </c>
      <c r="S42" s="5">
        <v>1800</v>
      </c>
      <c r="T42" s="5">
        <v>49500</v>
      </c>
      <c r="U42" s="5">
        <v>43800</v>
      </c>
      <c r="V42" s="5">
        <v>0</v>
      </c>
      <c r="W42" s="5">
        <v>0</v>
      </c>
      <c r="X42" s="5">
        <v>0</v>
      </c>
      <c r="Y42" s="5">
        <v>0</v>
      </c>
      <c r="Z42" s="5">
        <v>-900</v>
      </c>
      <c r="AA42" s="5">
        <v>0</v>
      </c>
      <c r="AB42" s="5">
        <v>0</v>
      </c>
      <c r="AC42" s="5">
        <v>6600</v>
      </c>
      <c r="AD42" s="5">
        <v>49410</v>
      </c>
      <c r="AE42" s="5">
        <v>43800</v>
      </c>
      <c r="AF42" s="5">
        <v>0</v>
      </c>
      <c r="AG42" s="5">
        <v>0</v>
      </c>
      <c r="AH42" s="5">
        <v>0</v>
      </c>
      <c r="AI42" s="5">
        <v>0</v>
      </c>
      <c r="AJ42" s="5">
        <v>-990</v>
      </c>
      <c r="AK42" s="5">
        <v>0</v>
      </c>
      <c r="AL42" s="5">
        <v>0</v>
      </c>
      <c r="AM42" s="5">
        <v>6600</v>
      </c>
      <c r="AN42" s="5">
        <v>34686</v>
      </c>
      <c r="AO42" s="5">
        <v>0</v>
      </c>
      <c r="AP42" s="5">
        <v>34686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47472359</v>
      </c>
      <c r="K43" s="4" t="s">
        <v>81</v>
      </c>
      <c r="L43" s="4"/>
      <c r="M43" s="4"/>
      <c r="N43" s="4" t="s">
        <v>111</v>
      </c>
      <c r="O43" s="4" t="s">
        <v>165</v>
      </c>
      <c r="P43" s="4">
        <v>0.7</v>
      </c>
      <c r="Q43" s="4">
        <v>0.6</v>
      </c>
      <c r="R43" s="5" t="s">
        <v>21</v>
      </c>
      <c r="S43" s="5">
        <v>4500</v>
      </c>
      <c r="T43" s="5">
        <v>52800</v>
      </c>
      <c r="U43" s="5">
        <v>45000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7800</v>
      </c>
      <c r="AD43" s="5">
        <v>52800</v>
      </c>
      <c r="AE43" s="5">
        <v>45000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7800</v>
      </c>
      <c r="AN43" s="5">
        <v>36960</v>
      </c>
      <c r="AO43" s="5">
        <v>0</v>
      </c>
      <c r="AP43" s="5">
        <v>36960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52981167</v>
      </c>
      <c r="K44" s="4" t="s">
        <v>78</v>
      </c>
      <c r="L44" s="4"/>
      <c r="M44" s="4"/>
      <c r="N44" s="4" t="s">
        <v>61</v>
      </c>
      <c r="O44" s="4" t="s">
        <v>165</v>
      </c>
      <c r="P44" s="4">
        <v>0.7</v>
      </c>
      <c r="Q44" s="4">
        <v>0.6</v>
      </c>
      <c r="R44" s="5" t="s">
        <v>22</v>
      </c>
      <c r="S44" s="5">
        <v>100</v>
      </c>
      <c r="T44" s="5">
        <v>9000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9000</v>
      </c>
      <c r="AD44" s="5">
        <v>9000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9000</v>
      </c>
      <c r="AN44" s="5">
        <v>6300</v>
      </c>
      <c r="AO44" s="5">
        <v>0</v>
      </c>
      <c r="AP44" s="5">
        <v>6300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47472359</v>
      </c>
      <c r="K45" s="4" t="s">
        <v>81</v>
      </c>
      <c r="L45" s="4"/>
      <c r="M45" s="4"/>
      <c r="N45" s="4" t="s">
        <v>111</v>
      </c>
      <c r="O45" s="4" t="s">
        <v>165</v>
      </c>
      <c r="P45" s="4">
        <v>0.7</v>
      </c>
      <c r="Q45" s="4">
        <v>0.6</v>
      </c>
      <c r="R45" s="5" t="s">
        <v>21</v>
      </c>
      <c r="S45" s="5">
        <v>9000</v>
      </c>
      <c r="T45" s="5">
        <v>36000</v>
      </c>
      <c r="U45" s="5">
        <v>35700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300</v>
      </c>
      <c r="AD45" s="5">
        <v>36000</v>
      </c>
      <c r="AE45" s="5">
        <v>35700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300</v>
      </c>
      <c r="AN45" s="5">
        <v>25200</v>
      </c>
      <c r="AO45" s="5">
        <v>0</v>
      </c>
      <c r="AP45" s="5">
        <v>25200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52981167</v>
      </c>
      <c r="K46" s="4" t="s">
        <v>78</v>
      </c>
      <c r="L46" s="4"/>
      <c r="M46" s="4"/>
      <c r="N46" s="4" t="s">
        <v>61</v>
      </c>
      <c r="O46" s="4" t="s">
        <v>165</v>
      </c>
      <c r="P46" s="4">
        <v>0.7</v>
      </c>
      <c r="Q46" s="4">
        <v>0.6</v>
      </c>
      <c r="R46" s="5" t="s">
        <v>21</v>
      </c>
      <c r="S46" s="5">
        <v>1800</v>
      </c>
      <c r="T46" s="5">
        <v>5400</v>
      </c>
      <c r="U46" s="5">
        <v>4300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1100</v>
      </c>
      <c r="AD46" s="5">
        <v>5400</v>
      </c>
      <c r="AE46" s="5">
        <v>4300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1100</v>
      </c>
      <c r="AN46" s="5">
        <v>3780</v>
      </c>
      <c r="AO46" s="5">
        <v>0</v>
      </c>
      <c r="AP46" s="5">
        <v>3780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56574878</v>
      </c>
      <c r="K47" s="4" t="s">
        <v>68</v>
      </c>
      <c r="L47" s="4"/>
      <c r="M47" s="4"/>
      <c r="N47" s="4" t="s">
        <v>61</v>
      </c>
      <c r="O47" s="4" t="s">
        <v>165</v>
      </c>
      <c r="P47" s="4">
        <v>0.7</v>
      </c>
      <c r="Q47" s="4">
        <v>0.6</v>
      </c>
      <c r="R47" s="5" t="s">
        <v>22</v>
      </c>
      <c r="S47" s="5">
        <v>100</v>
      </c>
      <c r="T47" s="5">
        <v>5000</v>
      </c>
      <c r="U47" s="5">
        <v>1000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4000</v>
      </c>
      <c r="AD47" s="5">
        <v>5000</v>
      </c>
      <c r="AE47" s="5">
        <v>1000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4000</v>
      </c>
      <c r="AN47" s="5">
        <v>3500</v>
      </c>
      <c r="AO47" s="5">
        <v>0</v>
      </c>
      <c r="AP47" s="5">
        <v>3500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52981167</v>
      </c>
      <c r="K48" s="4" t="s">
        <v>78</v>
      </c>
      <c r="L48" s="4"/>
      <c r="M48" s="4"/>
      <c r="N48" s="4" t="s">
        <v>61</v>
      </c>
      <c r="O48" s="4" t="s">
        <v>165</v>
      </c>
      <c r="P48" s="4">
        <v>0.7</v>
      </c>
      <c r="Q48" s="4">
        <v>0.6</v>
      </c>
      <c r="R48" s="5" t="s">
        <v>21</v>
      </c>
      <c r="S48" s="5">
        <v>4500</v>
      </c>
      <c r="T48" s="5">
        <v>18000</v>
      </c>
      <c r="U48" s="5">
        <v>17800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200</v>
      </c>
      <c r="AD48" s="5">
        <v>18000</v>
      </c>
      <c r="AE48" s="5">
        <v>17800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200</v>
      </c>
      <c r="AN48" s="5">
        <v>12600</v>
      </c>
      <c r="AO48" s="5">
        <v>0</v>
      </c>
      <c r="AP48" s="5">
        <v>12600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56574878</v>
      </c>
      <c r="K49" s="4" t="s">
        <v>68</v>
      </c>
      <c r="L49" s="4"/>
      <c r="M49" s="4"/>
      <c r="N49" s="4" t="s">
        <v>61</v>
      </c>
      <c r="O49" s="4" t="s">
        <v>165</v>
      </c>
      <c r="P49" s="4">
        <v>0.7</v>
      </c>
      <c r="Q49" s="4">
        <v>0.6</v>
      </c>
      <c r="R49" s="5" t="s">
        <v>21</v>
      </c>
      <c r="S49" s="5">
        <v>1800</v>
      </c>
      <c r="T49" s="5">
        <v>5400</v>
      </c>
      <c r="U49" s="5">
        <v>5400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5400</v>
      </c>
      <c r="AE49" s="5">
        <v>5400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3780</v>
      </c>
      <c r="AO49" s="5">
        <v>0</v>
      </c>
      <c r="AP49" s="5">
        <v>3780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52981167</v>
      </c>
      <c r="K50" s="4" t="s">
        <v>78</v>
      </c>
      <c r="L50" s="4"/>
      <c r="M50" s="4"/>
      <c r="N50" s="4" t="s">
        <v>61</v>
      </c>
      <c r="O50" s="4" t="s">
        <v>165</v>
      </c>
      <c r="P50" s="4">
        <v>0.7</v>
      </c>
      <c r="Q50" s="4">
        <v>0.6</v>
      </c>
      <c r="R50" s="5" t="s">
        <v>21</v>
      </c>
      <c r="S50" s="5">
        <v>9000</v>
      </c>
      <c r="T50" s="5">
        <v>6400</v>
      </c>
      <c r="U50" s="5">
        <v>3800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2600</v>
      </c>
      <c r="AD50" s="5">
        <v>6400</v>
      </c>
      <c r="AE50" s="5">
        <v>3800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2600</v>
      </c>
      <c r="AN50" s="5">
        <v>4480</v>
      </c>
      <c r="AO50" s="5">
        <v>0</v>
      </c>
      <c r="AP50" s="5">
        <v>4480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56574878</v>
      </c>
      <c r="K51" s="4" t="s">
        <v>68</v>
      </c>
      <c r="L51" s="4"/>
      <c r="M51" s="4"/>
      <c r="N51" s="4" t="s">
        <v>61</v>
      </c>
      <c r="O51" s="4" t="s">
        <v>165</v>
      </c>
      <c r="P51" s="4">
        <v>0.7</v>
      </c>
      <c r="Q51" s="4">
        <v>0.6</v>
      </c>
      <c r="R51" s="5" t="s">
        <v>21</v>
      </c>
      <c r="S51" s="5">
        <v>4500</v>
      </c>
      <c r="T51" s="5">
        <v>4500</v>
      </c>
      <c r="U51" s="5">
        <v>4500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4500</v>
      </c>
      <c r="AE51" s="5">
        <v>4500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3150</v>
      </c>
      <c r="AO51" s="5">
        <v>0</v>
      </c>
      <c r="AP51" s="5">
        <v>3150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56574878</v>
      </c>
      <c r="K52" s="4" t="s">
        <v>68</v>
      </c>
      <c r="L52" s="4"/>
      <c r="M52" s="4"/>
      <c r="N52" s="4" t="s">
        <v>61</v>
      </c>
      <c r="O52" s="4" t="s">
        <v>165</v>
      </c>
      <c r="P52" s="4">
        <v>0.7</v>
      </c>
      <c r="Q52" s="4">
        <v>0.6</v>
      </c>
      <c r="R52" s="5" t="s">
        <v>21</v>
      </c>
      <c r="S52" s="5">
        <v>9000</v>
      </c>
      <c r="T52" s="5">
        <v>12300</v>
      </c>
      <c r="U52" s="5">
        <v>12300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12300</v>
      </c>
      <c r="AE52" s="5">
        <v>12300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8610</v>
      </c>
      <c r="AO52" s="5">
        <v>0</v>
      </c>
      <c r="AP52" s="5">
        <v>8610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57819482</v>
      </c>
      <c r="K53" s="4" t="s">
        <v>82</v>
      </c>
      <c r="L53" s="4"/>
      <c r="M53" s="4"/>
      <c r="N53" s="4" t="s">
        <v>111</v>
      </c>
      <c r="O53" s="4" t="s">
        <v>165</v>
      </c>
      <c r="P53" s="4">
        <v>0.7</v>
      </c>
      <c r="Q53" s="4">
        <v>0.6</v>
      </c>
      <c r="R53" s="5" t="s">
        <v>22</v>
      </c>
      <c r="S53" s="5">
        <v>100</v>
      </c>
      <c r="T53" s="5">
        <v>66600</v>
      </c>
      <c r="U53" s="5">
        <v>58200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8400</v>
      </c>
      <c r="AD53" s="5">
        <v>66600</v>
      </c>
      <c r="AE53" s="5">
        <v>58200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8400</v>
      </c>
      <c r="AN53" s="5">
        <v>46620</v>
      </c>
      <c r="AO53" s="5">
        <v>0</v>
      </c>
      <c r="AP53" s="5">
        <v>46620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57819942</v>
      </c>
      <c r="K54" s="4" t="s">
        <v>162</v>
      </c>
      <c r="L54" s="4"/>
      <c r="M54" s="4"/>
      <c r="N54" s="4" t="s">
        <v>111</v>
      </c>
      <c r="O54" s="4" t="s">
        <v>165</v>
      </c>
      <c r="P54" s="4">
        <v>0.7</v>
      </c>
      <c r="Q54" s="4">
        <v>0.6</v>
      </c>
      <c r="R54" s="5" t="s">
        <v>47</v>
      </c>
      <c r="S54" s="5">
        <v>900</v>
      </c>
      <c r="T54" s="5">
        <v>15300</v>
      </c>
      <c r="U54" s="5">
        <v>14200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1100</v>
      </c>
      <c r="AD54" s="5">
        <v>15300</v>
      </c>
      <c r="AE54" s="5">
        <v>14200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1100</v>
      </c>
      <c r="AN54" s="5">
        <v>10710</v>
      </c>
      <c r="AO54" s="5">
        <v>0</v>
      </c>
      <c r="AP54" s="5">
        <v>10710</v>
      </c>
    </row>
    <row r="55" spans="1:42" x14ac:dyDescent="0.4">
      <c r="AP55" s="6">
        <f>SUM(AP2:AP54)</f>
        <v>2226006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79687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54007644</v>
      </c>
      <c r="K2" s="4" t="s">
        <v>98</v>
      </c>
      <c r="L2" s="4"/>
      <c r="M2" s="4"/>
      <c r="N2" s="4" t="s">
        <v>99</v>
      </c>
      <c r="O2" s="4" t="s">
        <v>166</v>
      </c>
      <c r="P2" s="4">
        <v>0.7</v>
      </c>
      <c r="Q2" s="4">
        <v>0.6</v>
      </c>
      <c r="R2" s="5" t="s">
        <v>22</v>
      </c>
      <c r="S2" s="5">
        <v>100</v>
      </c>
      <c r="T2" s="5">
        <v>2900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2900</v>
      </c>
      <c r="AD2" s="5">
        <v>2900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2900</v>
      </c>
      <c r="AN2" s="5">
        <v>2030</v>
      </c>
      <c r="AO2" s="5">
        <v>0</v>
      </c>
      <c r="AP2" s="5">
        <v>2030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54007644</v>
      </c>
      <c r="K3" s="4" t="s">
        <v>98</v>
      </c>
      <c r="L3" s="4"/>
      <c r="M3" s="4"/>
      <c r="N3" s="4" t="s">
        <v>99</v>
      </c>
      <c r="O3" s="4" t="s">
        <v>166</v>
      </c>
      <c r="P3" s="4">
        <v>0.7</v>
      </c>
      <c r="Q3" s="4">
        <v>0.6</v>
      </c>
      <c r="R3" s="5" t="s">
        <v>21</v>
      </c>
      <c r="S3" s="5">
        <v>2300</v>
      </c>
      <c r="T3" s="5">
        <v>-2300</v>
      </c>
      <c r="U3" s="5">
        <v>-3800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1500</v>
      </c>
      <c r="AD3" s="5">
        <v>-2300</v>
      </c>
      <c r="AE3" s="5">
        <v>-3800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1500</v>
      </c>
      <c r="AN3" s="5">
        <v>-1610</v>
      </c>
      <c r="AO3" s="5">
        <v>0</v>
      </c>
      <c r="AP3" s="5">
        <v>-1610</v>
      </c>
    </row>
    <row r="4" spans="1:42" x14ac:dyDescent="0.4">
      <c r="AP4" s="6">
        <f>SUM(AP2:AP3)</f>
        <v>420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5976562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58676258</v>
      </c>
      <c r="K2" s="4" t="s">
        <v>158</v>
      </c>
      <c r="L2" s="4"/>
      <c r="M2" s="4"/>
      <c r="N2" s="4" t="s">
        <v>159</v>
      </c>
      <c r="O2" s="4" t="s">
        <v>167</v>
      </c>
      <c r="P2" s="4">
        <v>0.7</v>
      </c>
      <c r="Q2" s="4">
        <v>0.6</v>
      </c>
      <c r="R2" s="5" t="s">
        <v>22</v>
      </c>
      <c r="S2" s="5">
        <v>2500</v>
      </c>
      <c r="T2" s="5">
        <v>2500</v>
      </c>
      <c r="U2" s="5">
        <v>1000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1500</v>
      </c>
      <c r="AD2" s="5">
        <v>2500</v>
      </c>
      <c r="AE2" s="5">
        <v>1000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1500</v>
      </c>
      <c r="AN2" s="5">
        <v>1750</v>
      </c>
      <c r="AO2" s="5">
        <v>0</v>
      </c>
      <c r="AP2" s="5">
        <v>1750</v>
      </c>
    </row>
    <row r="3" spans="1:42" x14ac:dyDescent="0.4">
      <c r="AP3" s="6">
        <f>SUM(AP2)</f>
        <v>1750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전체(1)</vt:lpstr>
      <vt:lpstr>더컴퍼니</vt:lpstr>
      <vt:lpstr>에필로그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2022-02-07T06:07:47Z</dcterms:modified>
</cp:coreProperties>
</file>