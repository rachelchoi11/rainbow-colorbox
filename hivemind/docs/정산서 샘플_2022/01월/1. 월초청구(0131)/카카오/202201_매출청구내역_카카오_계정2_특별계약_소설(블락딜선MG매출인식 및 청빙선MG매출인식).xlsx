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카카오\"/>
    </mc:Choice>
  </mc:AlternateContent>
  <bookViews>
    <workbookView xWindow="27132" yWindow="0" windowWidth="23040" windowHeight="10812" tabRatio="916" firstSheet="6" activeTab="26"/>
  </bookViews>
  <sheets>
    <sheet name="특별계약(1)" sheetId="193" r:id="rId1"/>
    <sheet name="청빙" sheetId="490" r:id="rId2"/>
    <sheet name="무장" sheetId="491" r:id="rId3"/>
    <sheet name="공든탑" sheetId="492" r:id="rId4"/>
    <sheet name="이린비" sheetId="493" r:id="rId5"/>
    <sheet name="이동열" sheetId="494" r:id="rId6"/>
    <sheet name="불고기자리" sheetId="495" r:id="rId7"/>
    <sheet name="진문" sheetId="497" r:id="rId8"/>
    <sheet name="구유" sheetId="498" r:id="rId9"/>
    <sheet name="찬동" sheetId="499" r:id="rId10"/>
    <sheet name="루이세" sheetId="500" r:id="rId11"/>
    <sheet name="예로나" sheetId="501" r:id="rId12"/>
    <sheet name="이준영" sheetId="502" r:id="rId13"/>
    <sheet name="하이후" sheetId="503" r:id="rId14"/>
    <sheet name="vvk" sheetId="504" r:id="rId15"/>
    <sheet name="벗우" sheetId="505" r:id="rId16"/>
    <sheet name="갓띵작" sheetId="506" r:id="rId17"/>
    <sheet name="이한애비" sheetId="507" r:id="rId18"/>
    <sheet name="만렙도끼" sheetId="508" r:id="rId19"/>
    <sheet name="mollen" sheetId="509" r:id="rId20"/>
    <sheet name="이도스" sheetId="510" r:id="rId21"/>
    <sheet name="비고" sheetId="511" r:id="rId22"/>
    <sheet name="구땡" sheetId="512" r:id="rId23"/>
    <sheet name="왕십리글쟁이" sheetId="513" r:id="rId24"/>
    <sheet name="깡펀치" sheetId="514" r:id="rId25"/>
    <sheet name="알랙스" sheetId="515" r:id="rId26"/>
    <sheet name="담화공" sheetId="516" r:id="rId27"/>
  </sheets>
  <definedNames>
    <definedName name="_xlnm._FilterDatabase" localSheetId="0" hidden="1">'특별계약(1)'!$A$1:$AP$236</definedName>
    <definedName name="_xlnm.Extract" localSheetId="19">mollen!$A$1:$AP$1</definedName>
    <definedName name="_xlnm.Extract" localSheetId="14">vvk!$A$1:$AP$1</definedName>
    <definedName name="_xlnm.Extract" localSheetId="16">갓띵작!$A$1:$AP$1</definedName>
    <definedName name="_xlnm.Extract" localSheetId="3">공든탑!$A$1:$AP$1</definedName>
    <definedName name="_xlnm.Extract" localSheetId="22">구땡!$A$1:$AP$1</definedName>
    <definedName name="_xlnm.Extract" localSheetId="8">구유!$A$1:$AP$1</definedName>
    <definedName name="_xlnm.Extract" localSheetId="24">깡펀치!$A$1:$AP$1</definedName>
    <definedName name="_xlnm.Extract" localSheetId="26">담화공!$A$1:$AP$1</definedName>
    <definedName name="_xlnm.Extract" localSheetId="10">루이세!$A$1:$AP$1</definedName>
    <definedName name="_xlnm.Extract" localSheetId="18">만렙도끼!$A$1:$AP$1</definedName>
    <definedName name="_xlnm.Extract" localSheetId="2">무장!$A$1:$AP$1</definedName>
    <definedName name="_xlnm.Extract" localSheetId="15">벗우!$A$1:$AP$1</definedName>
    <definedName name="_xlnm.Extract" localSheetId="6">불고기자리!$A$1:$AP$1</definedName>
    <definedName name="_xlnm.Extract" localSheetId="21">비고!$A$1:$AP$1</definedName>
    <definedName name="_xlnm.Extract" localSheetId="25">알랙스!$A$1:$AP$1</definedName>
    <definedName name="_xlnm.Extract" localSheetId="11">예로나!$A$1:$AP$1</definedName>
    <definedName name="_xlnm.Extract" localSheetId="23">왕십리글쟁이!$A$1:$AP$1</definedName>
    <definedName name="_xlnm.Extract" localSheetId="20">이도스!$A$1:$AP$1</definedName>
    <definedName name="_xlnm.Extract" localSheetId="5">이동열!$A$1:$AP$1</definedName>
    <definedName name="_xlnm.Extract" localSheetId="4">이린비!$A$1:$AP$1</definedName>
    <definedName name="_xlnm.Extract" localSheetId="12">이준영!$A$1:$AP$1</definedName>
    <definedName name="_xlnm.Extract" localSheetId="17">이한애비!$A$1:$AP$1</definedName>
    <definedName name="_xlnm.Extract" localSheetId="7">진문!$A$1:$AP$1</definedName>
    <definedName name="_xlnm.Extract" localSheetId="9">찬동!$A$1:$AP$1</definedName>
    <definedName name="_xlnm.Extract" localSheetId="1">청빙!$A$1:$AP$1</definedName>
    <definedName name="_xlnm.Extract" localSheetId="0">'특별계약(1)'!#REF!</definedName>
    <definedName name="_xlnm.Extract" localSheetId="13">하이후!$A$1:$AP$1</definedName>
  </definedNames>
  <calcPr calcId="152511"/>
</workbook>
</file>

<file path=xl/calcChain.xml><?xml version="1.0" encoding="utf-8"?>
<calcChain xmlns="http://schemas.openxmlformats.org/spreadsheetml/2006/main">
  <c r="AP6" i="516" l="1"/>
  <c r="AP5" i="515"/>
  <c r="AP3" i="514"/>
  <c r="AP7" i="513"/>
  <c r="AP3" i="512"/>
  <c r="AP4" i="511"/>
  <c r="AP6" i="510"/>
  <c r="AP6" i="509"/>
  <c r="AP5" i="508"/>
  <c r="AP6" i="507"/>
  <c r="AP6" i="506"/>
  <c r="AP5" i="505"/>
  <c r="AP4" i="504"/>
  <c r="AP6" i="503"/>
  <c r="AP6" i="502"/>
  <c r="AP8" i="501"/>
  <c r="AP7" i="500"/>
  <c r="AP7" i="499"/>
  <c r="AP7" i="498"/>
  <c r="AP5" i="497"/>
  <c r="AP5" i="495"/>
  <c r="AP19" i="494"/>
  <c r="AP7" i="493"/>
  <c r="AP7" i="492"/>
  <c r="AP48" i="491"/>
  <c r="D43" i="490" l="1"/>
  <c r="C43" i="490"/>
  <c r="C45" i="490" s="1"/>
  <c r="B45" i="490"/>
  <c r="D37" i="490"/>
  <c r="D38" i="490" s="1"/>
  <c r="D39" i="490" s="1"/>
  <c r="D40" i="490" s="1"/>
  <c r="D41" i="490" s="1"/>
  <c r="D42" i="490" s="1"/>
  <c r="AP15" i="490" l="1"/>
  <c r="AP166" i="193" l="1"/>
  <c r="AP165" i="193" l="1"/>
  <c r="AP167" i="193" l="1"/>
  <c r="C234" i="193" s="1"/>
  <c r="B236" i="193"/>
  <c r="D219" i="193"/>
  <c r="D220" i="193" s="1"/>
  <c r="D221" i="193" s="1"/>
  <c r="D222" i="193" s="1"/>
  <c r="D223" i="193" s="1"/>
  <c r="D224" i="193" s="1"/>
  <c r="D225" i="193" s="1"/>
  <c r="C236" i="193" l="1"/>
  <c r="D226" i="193"/>
  <c r="D227" i="193" s="1"/>
  <c r="D228" i="193" s="1"/>
  <c r="D229" i="193" s="1"/>
  <c r="D230" i="193" s="1"/>
  <c r="D231" i="193" s="1"/>
  <c r="D232" i="193" s="1"/>
  <c r="D233" i="193" s="1"/>
  <c r="D234" i="193" s="1"/>
</calcChain>
</file>

<file path=xl/comments1.xml><?xml version="1.0" encoding="utf-8"?>
<comments xmlns="http://schemas.openxmlformats.org/spreadsheetml/2006/main">
  <authors>
    <author>jihui</author>
  </authors>
  <commentList>
    <comment ref="C43" authorId="0" shapeId="0">
      <text>
        <r>
          <rPr>
            <b/>
            <sz val="9"/>
            <color indexed="81"/>
            <rFont val="Tahoma"/>
            <family val="2"/>
          </rPr>
          <t>21.12 2000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분할인식</t>
        </r>
        <r>
          <rPr>
            <b/>
            <sz val="9"/>
            <color indexed="81"/>
            <rFont val="Tahoma"/>
            <family val="2"/>
          </rPr>
          <t>/ 186,332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분할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</commentList>
</comments>
</file>

<file path=xl/sharedStrings.xml><?xml version="1.0" encoding="utf-8"?>
<sst xmlns="http://schemas.openxmlformats.org/spreadsheetml/2006/main" count="5360" uniqueCount="157">
  <si>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</si>
  <si>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</si>
  <si>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</si>
  <si>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</si>
  <si>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</si>
  <si>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</si>
  <si>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</si>
  <si>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</si>
  <si>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</si>
  <si>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</si>
  <si>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</si>
  <si>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</si>
  <si>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</si>
  <si>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</si>
  <si>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</si>
  <si>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</si>
  <si>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</si>
  <si>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</si>
  <si>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</si>
  <si>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</si>
  <si>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</si>
  <si>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</si>
  <si>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소설</t>
  </si>
  <si>
    <t>Y</t>
  </si>
  <si>
    <t>시리즈 이용권 패키지</t>
  </si>
  <si>
    <t>단일 이용권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</si>
  <si>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</si>
  <si>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</si>
  <si>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</si>
  <si>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</si>
  <si>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</si>
  <si>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</si>
  <si>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</si>
  <si>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</si>
  <si>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</si>
  <si>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</si>
  <si>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</si>
  <si>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</si>
  <si>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</si>
  <si>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</si>
  <si>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</si>
  <si>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</si>
  <si>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</si>
  <si>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</si>
  <si>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</si>
  <si>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</si>
  <si>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</si>
  <si>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</si>
  <si>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특별계약</t>
  </si>
  <si>
    <t>선투자</t>
  </si>
  <si>
    <t>라스트 서바이버 : 진화로 살아남아라!</t>
  </si>
  <si>
    <t>청빙</t>
  </si>
  <si>
    <t>예로나</t>
  </si>
  <si>
    <t>게임 속 유닛</t>
  </si>
  <si>
    <t>찬동</t>
  </si>
  <si>
    <t>성군이십니다</t>
  </si>
  <si>
    <t>이준영</t>
  </si>
  <si>
    <t>나 혼자만 일일 보상</t>
  </si>
  <si>
    <t>이동열</t>
  </si>
  <si>
    <t>레이디 스칼렛</t>
  </si>
  <si>
    <t>불고기자리</t>
  </si>
  <si>
    <t>기사가문 망나니는 10클래스</t>
  </si>
  <si>
    <t>이과생 둘이 회귀했다</t>
  </si>
  <si>
    <t>하이후</t>
  </si>
  <si>
    <t>무장</t>
  </si>
  <si>
    <t>던전 공략 LIVE</t>
  </si>
  <si>
    <t>형사의 게임</t>
  </si>
  <si>
    <t>드래곤은 나 혼자 잡는다</t>
  </si>
  <si>
    <t>진문</t>
  </si>
  <si>
    <t>SSS급 마왕의 귀환</t>
  </si>
  <si>
    <t>구유</t>
  </si>
  <si>
    <t>로드 오브 머니</t>
  </si>
  <si>
    <t>라지에르의 서</t>
  </si>
  <si>
    <t>공든탑</t>
  </si>
  <si>
    <t>호접몽전</t>
  </si>
  <si>
    <t>말빨</t>
  </si>
  <si>
    <t>풍운기협</t>
  </si>
  <si>
    <t>간신이 나라를 살림</t>
  </si>
  <si>
    <t>루이세</t>
  </si>
  <si>
    <t>여왕 아델</t>
  </si>
  <si>
    <t>이린비</t>
  </si>
  <si>
    <t>꿈은 이루어진다</t>
  </si>
  <si>
    <t>벗우</t>
  </si>
  <si>
    <t>주식회사 스토리위즈</t>
  </si>
  <si>
    <t>3828601768</t>
  </si>
  <si>
    <t>스토리위즈</t>
  </si>
  <si>
    <t>1942</t>
  </si>
  <si>
    <t>주식회사스토리위즈</t>
  </si>
  <si>
    <t>디버프 마스터</t>
  </si>
  <si>
    <t>담화공</t>
  </si>
  <si>
    <t>최종 보스 : 빛을 향해 달리는 그림자</t>
  </si>
  <si>
    <t>1941</t>
  </si>
  <si>
    <t>은천검제(2부 화산검제)</t>
  </si>
  <si>
    <t>로드 오브 머니 [단행본]</t>
  </si>
  <si>
    <t>신들의 알바나라</t>
  </si>
  <si>
    <t>갓띵작</t>
  </si>
  <si>
    <t>원코인 게이머 아포칼립스</t>
  </si>
  <si>
    <t>이한애비</t>
  </si>
  <si>
    <t>단일 대여 이용권</t>
  </si>
  <si>
    <t>SSS급 마왕의 귀환 [단행본]</t>
  </si>
  <si>
    <t>형사의 게임 [단행본]</t>
  </si>
  <si>
    <t>은천검제(2부 화산검제) [단행본]</t>
  </si>
  <si>
    <t>기사가문 망나니는 10클래스 [단행본]</t>
  </si>
  <si>
    <t>나 혼자만 일일 보상 [단행본]</t>
  </si>
  <si>
    <t>리얼 머니 [단행본]</t>
  </si>
  <si>
    <t>마신부활</t>
  </si>
  <si>
    <t>만렙도끼</t>
  </si>
  <si>
    <t>문답무용 - 삼국지 유비의 모사가 되었다</t>
  </si>
  <si>
    <t>합계</t>
    <phoneticPr fontId="1" type="noConversion"/>
  </si>
  <si>
    <t>ㅇ MG차감 내역</t>
    <phoneticPr fontId="1" type="noConversion"/>
  </si>
  <si>
    <t>유통년월</t>
    <phoneticPr fontId="1" type="noConversion"/>
  </si>
  <si>
    <t xml:space="preserve">선MG </t>
    <phoneticPr fontId="3" type="noConversion"/>
  </si>
  <si>
    <t xml:space="preserve">KT 매출 </t>
    <phoneticPr fontId="3" type="noConversion"/>
  </si>
  <si>
    <t>MG 잔여</t>
    <phoneticPr fontId="3" type="noConversion"/>
  </si>
  <si>
    <t>여왕 아델 [단행본]</t>
  </si>
  <si>
    <t>천재 배우의 다이어리</t>
  </si>
  <si>
    <t>mollen</t>
  </si>
  <si>
    <t>라지에르의 서 [단행본]</t>
  </si>
  <si>
    <t>간신이 나라를 살림 [단행본]</t>
  </si>
  <si>
    <t>청빙</t>
    <phoneticPr fontId="1" type="noConversion"/>
  </si>
  <si>
    <t>청빙제외</t>
    <phoneticPr fontId="1" type="noConversion"/>
  </si>
  <si>
    <t>상태창빨로 천재 재벌</t>
  </si>
  <si>
    <t>이도스</t>
  </si>
  <si>
    <t>얼굴 천재 교주가 되었다</t>
  </si>
  <si>
    <t>비고</t>
  </si>
  <si>
    <t>귀환만 일곱 번째</t>
  </si>
  <si>
    <t>담덕</t>
  </si>
  <si>
    <t>아빠는 마교대장</t>
  </si>
  <si>
    <t>구땡</t>
  </si>
  <si>
    <t>게임 속 유닛 [단행본]</t>
  </si>
  <si>
    <t>슈퍼스타의 비밀 어플</t>
  </si>
  <si>
    <t>왕십리글쟁이</t>
  </si>
  <si>
    <t>문답무용 - 삼국지 유비의 모사가 되었다 [단행본]</t>
  </si>
  <si>
    <t>갓 오브 블랙필드</t>
  </si>
  <si>
    <t>그라운드의 지배자</t>
  </si>
  <si>
    <t>강호유정 [완결]</t>
  </si>
  <si>
    <t>시리즈 대여 이용권 패키지</t>
  </si>
  <si>
    <t>아카데미 속 궁술천재</t>
  </si>
  <si>
    <t>깡펀치</t>
  </si>
  <si>
    <t>연재 예정작 이용권</t>
  </si>
  <si>
    <t>오늘의 운세</t>
  </si>
  <si>
    <t>도폐풍운록 [완결]</t>
  </si>
  <si>
    <t>선유문주 [완결]</t>
  </si>
  <si>
    <t>벨라트릭스</t>
  </si>
  <si>
    <t>vvk</t>
  </si>
  <si>
    <t>꿈은 이루어진다 [단행본]</t>
  </si>
  <si>
    <t>성군이십니다 [단행본]</t>
  </si>
  <si>
    <t>망생부터 시작하는 천재작가의 회귀</t>
  </si>
  <si>
    <t>알랙스</t>
  </si>
  <si>
    <t>마법 아카데미의 육체파 천재</t>
  </si>
  <si>
    <t>탑스타의 이중생활</t>
  </si>
  <si>
    <t>ㅇ MG차감 내역</t>
    <phoneticPr fontId="1" type="noConversion"/>
  </si>
  <si>
    <t>유통년월</t>
    <phoneticPr fontId="1" type="noConversion"/>
  </si>
  <si>
    <t xml:space="preserve">선MG </t>
    <phoneticPr fontId="3" type="noConversion"/>
  </si>
  <si>
    <t xml:space="preserve">KT 매출 </t>
    <phoneticPr fontId="3" type="noConversion"/>
  </si>
  <si>
    <t>MG 잔여</t>
    <phoneticPr fontId="3" type="noConversion"/>
  </si>
  <si>
    <t>합계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</si>
</sst>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1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8"/>
      <color rgb="FF999999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0" borderId="0" xfId="1" applyFont="1" applyAlignment="1">
      <alignment vertical="center"/>
    </xf>
    <xf numFmtId="0" fontId="2" fillId="0" borderId="0" xfId="1" applyAlignment="1">
      <alignment vertical="center"/>
    </xf>
    <xf numFmtId="0" fontId="4" fillId="0" borderId="0" xfId="4">
      <alignment vertical="center"/>
    </xf>
    <xf numFmtId="0" fontId="5" fillId="4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3" xfId="3" applyFont="1" applyBorder="1">
      <alignment vertical="center"/>
    </xf>
    <xf numFmtId="41" fontId="0" fillId="0" borderId="3" xfId="3" applyFont="1" applyFill="1" applyBorder="1" applyAlignment="1">
      <alignment horizontal="center" vertical="center"/>
    </xf>
    <xf numFmtId="41" fontId="0" fillId="0" borderId="3" xfId="0" applyNumberFormat="1" applyBorder="1">
      <alignment vertical="center"/>
    </xf>
    <xf numFmtId="0" fontId="0" fillId="0" borderId="3" xfId="0" applyBorder="1">
      <alignment vertical="center"/>
    </xf>
    <xf numFmtId="41" fontId="6" fillId="0" borderId="3" xfId="3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1" fontId="7" fillId="0" borderId="3" xfId="0" applyNumberFormat="1" applyFont="1" applyBorder="1">
      <alignment vertical="center"/>
    </xf>
    <xf numFmtId="3" fontId="0" fillId="3" borderId="0" xfId="0" applyNumberFormat="1" applyFill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  <xf numFmtId="41" fontId="0" fillId="0" borderId="3" xfId="3" applyFont="1" applyBorder="1" applyAlignment="1">
      <alignment vertical="center"/>
    </xf>
    <xf numFmtId="3" fontId="0" fillId="0" borderId="3" xfId="0" applyNumberFormat="1" applyBorder="1" applyAlignment="1">
      <alignment vertical="center"/>
    </xf>
    <xf numFmtId="41" fontId="0" fillId="0" borderId="3" xfId="0" applyNumberFormat="1" applyBorder="1" applyAlignment="1">
      <alignment horizontal="center" vertical="center"/>
    </xf>
    <xf numFmtId="41" fontId="7" fillId="0" borderId="3" xfId="0" applyNumberFormat="1" applyFont="1" applyBorder="1" applyAlignment="1">
      <alignment horizontal="center" vertical="center"/>
    </xf>
    <xf numFmtId="3" fontId="8" fillId="0" borderId="0" xfId="0" applyNumberFormat="1" applyFont="1">
      <alignment vertical="center"/>
    </xf>
    <xf numFmtId="0" fontId="0" fillId="0" borderId="0" xfId="0" applyBorder="1" applyAlignment="1"/>
    <xf numFmtId="3" fontId="0" fillId="0" borderId="0" xfId="0" applyNumberFormat="1" applyBorder="1" applyAlignment="1"/>
    <xf numFmtId="3" fontId="0" fillId="3" borderId="0" xfId="0" applyNumberFormat="1" applyFill="1" applyBorder="1" applyAlignment="1"/>
    <xf numFmtId="41" fontId="0" fillId="0" borderId="3" xfId="3" applyFont="1" applyBorder="1" applyAlignment="1">
      <alignment horizontal="center" vertical="center"/>
    </xf>
    <xf numFmtId="3" fontId="0" fillId="0" borderId="0" xfId="0" applyNumberFormat="1">
      <alignment vertical="center"/>
    </xf>
  </cellXfs>
  <cellStyles count="5">
    <cellStyle name="쉼표 [0]" xfId="3" builtinId="6"/>
    <cellStyle name="쉼표 [0] 3" xfId="2"/>
    <cellStyle name="표준" xfId="0" builtinId="0"/>
    <cellStyle name="표준 3" xfId="1"/>
    <cellStyle name="표준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236"/>
  <sheetViews>
    <sheetView topLeftCell="A153" zoomScale="56" zoomScaleNormal="56" workbookViewId="0">
      <selection activeCell="AP167" sqref="AP167"/>
    </sheetView>
  </sheetViews>
  <sheetFormatPr defaultRowHeight="17.399999999999999" x14ac:dyDescent="0.4"/>
  <cols>
    <col min="1" max="1" width="9.296875" style="16" bestFit="1" customWidth="1"/>
    <col min="2" max="2" width="15" style="16" bestFit="1" customWidth="1"/>
    <col min="3" max="3" width="15.69921875" style="16" customWidth="1"/>
    <col min="4" max="4" width="18.3984375" style="16" customWidth="1"/>
    <col min="5" max="5" width="4.796875" style="16" customWidth="1"/>
    <col min="6" max="6" width="28.5" style="16" customWidth="1"/>
    <col min="7" max="7" width="4.796875" style="16" customWidth="1"/>
    <col min="8" max="8" width="3.69921875" style="16" customWidth="1"/>
    <col min="9" max="9" width="5.59765625" style="16" customWidth="1"/>
    <col min="10" max="10" width="7.8984375" style="16" customWidth="1"/>
    <col min="11" max="11" width="28" style="16" customWidth="1"/>
    <col min="12" max="13" width="2" style="16" customWidth="1"/>
    <col min="14" max="14" width="13.796875" style="16" customWidth="1"/>
    <col min="15" max="15" width="2.69921875" style="16" customWidth="1"/>
    <col min="16" max="16" width="30" style="16" bestFit="1" customWidth="1"/>
    <col min="17" max="17" width="11.69921875" style="16" customWidth="1"/>
    <col min="18" max="18" width="19.59765625" style="16" bestFit="1" customWidth="1"/>
    <col min="19" max="19" width="11.09765625" style="16" bestFit="1" customWidth="1"/>
    <col min="20" max="20" width="11.8984375" style="16" customWidth="1"/>
    <col min="21" max="29" width="1.69921875" style="16" customWidth="1"/>
    <col min="30" max="30" width="10.69921875" style="16" bestFit="1" customWidth="1"/>
    <col min="31" max="39" width="1.69921875" style="16" customWidth="1"/>
    <col min="40" max="40" width="10.69921875" style="16" customWidth="1"/>
    <col min="41" max="41" width="1.69921875" style="16" customWidth="1"/>
    <col min="42" max="42" width="14.69921875" style="16" customWidth="1"/>
    <col min="43" max="16384" width="8.796875" style="16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91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51936303</v>
      </c>
      <c r="K2" s="18" t="s">
        <v>74</v>
      </c>
      <c r="L2" s="18"/>
      <c r="M2" s="18"/>
      <c r="N2" s="18" t="s">
        <v>51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105200</v>
      </c>
      <c r="U2" s="19">
        <v>10000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95200</v>
      </c>
      <c r="AD2" s="19">
        <v>105200</v>
      </c>
      <c r="AE2" s="19">
        <v>10000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95200</v>
      </c>
      <c r="AN2" s="19">
        <v>57860</v>
      </c>
      <c r="AO2" s="19">
        <v>0</v>
      </c>
      <c r="AP2" s="19">
        <v>57860</v>
      </c>
    </row>
    <row r="3" spans="1:42" x14ac:dyDescent="0.4">
      <c r="A3" s="18" t="s">
        <v>48</v>
      </c>
      <c r="B3" s="18" t="s">
        <v>83</v>
      </c>
      <c r="C3" s="18" t="s">
        <v>84</v>
      </c>
      <c r="D3" s="18" t="s">
        <v>85</v>
      </c>
      <c r="E3" s="18" t="s">
        <v>91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51936303</v>
      </c>
      <c r="K3" s="18" t="s">
        <v>74</v>
      </c>
      <c r="L3" s="18"/>
      <c r="M3" s="18"/>
      <c r="N3" s="18" t="s">
        <v>51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21600</v>
      </c>
      <c r="U3" s="19">
        <v>7200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14400</v>
      </c>
      <c r="AD3" s="19">
        <v>21600</v>
      </c>
      <c r="AE3" s="19">
        <v>7200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14400</v>
      </c>
      <c r="AN3" s="19">
        <v>11880</v>
      </c>
      <c r="AO3" s="19">
        <v>0</v>
      </c>
      <c r="AP3" s="19">
        <v>11880</v>
      </c>
    </row>
    <row r="4" spans="1:42" x14ac:dyDescent="0.4">
      <c r="A4" s="18" t="s">
        <v>48</v>
      </c>
      <c r="B4" s="18" t="s">
        <v>83</v>
      </c>
      <c r="C4" s="18" t="s">
        <v>84</v>
      </c>
      <c r="D4" s="18" t="s">
        <v>85</v>
      </c>
      <c r="E4" s="18" t="s">
        <v>91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51936303</v>
      </c>
      <c r="K4" s="18" t="s">
        <v>74</v>
      </c>
      <c r="L4" s="18"/>
      <c r="M4" s="18"/>
      <c r="N4" s="18" t="s">
        <v>51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111700</v>
      </c>
      <c r="U4" s="19">
        <v>83400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28300</v>
      </c>
      <c r="AD4" s="19">
        <v>111700</v>
      </c>
      <c r="AE4" s="19">
        <v>83400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28300</v>
      </c>
      <c r="AN4" s="19">
        <v>61435</v>
      </c>
      <c r="AO4" s="19">
        <v>0</v>
      </c>
      <c r="AP4" s="19">
        <v>61435</v>
      </c>
    </row>
    <row r="5" spans="1:42" x14ac:dyDescent="0.4">
      <c r="A5" s="18" t="s">
        <v>48</v>
      </c>
      <c r="B5" s="18" t="s">
        <v>83</v>
      </c>
      <c r="C5" s="18" t="s">
        <v>84</v>
      </c>
      <c r="D5" s="18" t="s">
        <v>85</v>
      </c>
      <c r="E5" s="18" t="s">
        <v>91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51936303</v>
      </c>
      <c r="K5" s="18" t="s">
        <v>74</v>
      </c>
      <c r="L5" s="18"/>
      <c r="M5" s="18"/>
      <c r="N5" s="18" t="s">
        <v>51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18000</v>
      </c>
      <c r="U5" s="19">
        <v>18000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18000</v>
      </c>
      <c r="AE5" s="19">
        <v>18000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9900</v>
      </c>
      <c r="AO5" s="19">
        <v>0</v>
      </c>
      <c r="AP5" s="19">
        <v>9900</v>
      </c>
    </row>
    <row r="6" spans="1:42" x14ac:dyDescent="0.4">
      <c r="A6" s="18" t="s">
        <v>48</v>
      </c>
      <c r="B6" s="18" t="s">
        <v>83</v>
      </c>
      <c r="C6" s="18" t="s">
        <v>84</v>
      </c>
      <c r="D6" s="18" t="s">
        <v>85</v>
      </c>
      <c r="E6" s="18" t="s">
        <v>91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54212515</v>
      </c>
      <c r="K6" s="18" t="s">
        <v>50</v>
      </c>
      <c r="L6" s="18"/>
      <c r="M6" s="18"/>
      <c r="N6" s="18" t="s">
        <v>51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100</v>
      </c>
      <c r="T6" s="19">
        <v>34300</v>
      </c>
      <c r="U6" s="19">
        <v>4500</v>
      </c>
      <c r="V6" s="19">
        <v>0</v>
      </c>
      <c r="W6" s="19">
        <v>0</v>
      </c>
      <c r="X6" s="19">
        <v>0</v>
      </c>
      <c r="Y6" s="19">
        <v>-1400</v>
      </c>
      <c r="Z6" s="19">
        <v>0</v>
      </c>
      <c r="AA6" s="19">
        <v>0</v>
      </c>
      <c r="AB6" s="19">
        <v>0</v>
      </c>
      <c r="AC6" s="19">
        <v>31200</v>
      </c>
      <c r="AD6" s="19">
        <v>34020</v>
      </c>
      <c r="AE6" s="19">
        <v>4500</v>
      </c>
      <c r="AF6" s="19">
        <v>0</v>
      </c>
      <c r="AG6" s="19">
        <v>0</v>
      </c>
      <c r="AH6" s="19">
        <v>0</v>
      </c>
      <c r="AI6" s="19">
        <v>-1680</v>
      </c>
      <c r="AJ6" s="19">
        <v>0</v>
      </c>
      <c r="AK6" s="19">
        <v>0</v>
      </c>
      <c r="AL6" s="19">
        <v>0</v>
      </c>
      <c r="AM6" s="19">
        <v>31200</v>
      </c>
      <c r="AN6" s="19">
        <v>18711</v>
      </c>
      <c r="AO6" s="19">
        <v>0</v>
      </c>
      <c r="AP6" s="19">
        <v>18711</v>
      </c>
    </row>
    <row r="7" spans="1:42" x14ac:dyDescent="0.4">
      <c r="A7" s="18" t="s">
        <v>48</v>
      </c>
      <c r="B7" s="18" t="s">
        <v>83</v>
      </c>
      <c r="C7" s="18" t="s">
        <v>84</v>
      </c>
      <c r="D7" s="18" t="s">
        <v>85</v>
      </c>
      <c r="E7" s="18" t="s">
        <v>91</v>
      </c>
      <c r="F7" s="18" t="s">
        <v>49</v>
      </c>
      <c r="G7" s="18" t="s">
        <v>20</v>
      </c>
      <c r="H7" s="18" t="s">
        <v>21</v>
      </c>
      <c r="I7" s="18" t="s">
        <v>22</v>
      </c>
      <c r="J7" s="18">
        <v>54212515</v>
      </c>
      <c r="K7" s="18" t="s">
        <v>50</v>
      </c>
      <c r="L7" s="18"/>
      <c r="M7" s="18"/>
      <c r="N7" s="18" t="s">
        <v>51</v>
      </c>
      <c r="O7" s="18" t="s">
        <v>23</v>
      </c>
      <c r="P7" s="18">
        <v>0.55000000000000004</v>
      </c>
      <c r="Q7" s="18">
        <v>0.55000000000000004</v>
      </c>
      <c r="R7" s="19" t="s">
        <v>24</v>
      </c>
      <c r="S7" s="19">
        <v>2400</v>
      </c>
      <c r="T7" s="19">
        <v>24700</v>
      </c>
      <c r="U7" s="19">
        <v>20300</v>
      </c>
      <c r="V7" s="19">
        <v>0</v>
      </c>
      <c r="W7" s="19">
        <v>0</v>
      </c>
      <c r="X7" s="19">
        <v>0</v>
      </c>
      <c r="Y7" s="19">
        <v>-2400</v>
      </c>
      <c r="Z7" s="19">
        <v>0</v>
      </c>
      <c r="AA7" s="19">
        <v>0</v>
      </c>
      <c r="AB7" s="19">
        <v>0</v>
      </c>
      <c r="AC7" s="19">
        <v>6800</v>
      </c>
      <c r="AD7" s="19">
        <v>24220</v>
      </c>
      <c r="AE7" s="19">
        <v>20300</v>
      </c>
      <c r="AF7" s="19">
        <v>0</v>
      </c>
      <c r="AG7" s="19">
        <v>0</v>
      </c>
      <c r="AH7" s="19">
        <v>0</v>
      </c>
      <c r="AI7" s="19">
        <v>-2880</v>
      </c>
      <c r="AJ7" s="19">
        <v>0</v>
      </c>
      <c r="AK7" s="19">
        <v>0</v>
      </c>
      <c r="AL7" s="19">
        <v>0</v>
      </c>
      <c r="AM7" s="19">
        <v>6800</v>
      </c>
      <c r="AN7" s="19">
        <v>13321</v>
      </c>
      <c r="AO7" s="19">
        <v>0</v>
      </c>
      <c r="AP7" s="19">
        <v>13321</v>
      </c>
    </row>
    <row r="8" spans="1:42" x14ac:dyDescent="0.4">
      <c r="A8" s="18" t="s">
        <v>48</v>
      </c>
      <c r="B8" s="18" t="s">
        <v>83</v>
      </c>
      <c r="C8" s="18" t="s">
        <v>84</v>
      </c>
      <c r="D8" s="18" t="s">
        <v>85</v>
      </c>
      <c r="E8" s="18" t="s">
        <v>91</v>
      </c>
      <c r="F8" s="18" t="s">
        <v>49</v>
      </c>
      <c r="G8" s="18" t="s">
        <v>20</v>
      </c>
      <c r="H8" s="18" t="s">
        <v>21</v>
      </c>
      <c r="I8" s="18" t="s">
        <v>22</v>
      </c>
      <c r="J8" s="18">
        <v>54212515</v>
      </c>
      <c r="K8" s="18" t="s">
        <v>50</v>
      </c>
      <c r="L8" s="18"/>
      <c r="M8" s="18"/>
      <c r="N8" s="18" t="s">
        <v>51</v>
      </c>
      <c r="O8" s="18" t="s">
        <v>23</v>
      </c>
      <c r="P8" s="18">
        <v>0.55000000000000004</v>
      </c>
      <c r="Q8" s="18">
        <v>0.55000000000000004</v>
      </c>
      <c r="R8" s="19" t="s">
        <v>24</v>
      </c>
      <c r="S8" s="19">
        <v>9200</v>
      </c>
      <c r="T8" s="19">
        <v>25300</v>
      </c>
      <c r="U8" s="19">
        <v>25000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300</v>
      </c>
      <c r="AD8" s="19">
        <v>25300</v>
      </c>
      <c r="AE8" s="19">
        <v>25000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300</v>
      </c>
      <c r="AN8" s="19">
        <v>13915</v>
      </c>
      <c r="AO8" s="19">
        <v>0</v>
      </c>
      <c r="AP8" s="19">
        <v>13915</v>
      </c>
    </row>
    <row r="9" spans="1:42" x14ac:dyDescent="0.4">
      <c r="A9" s="18" t="s">
        <v>48</v>
      </c>
      <c r="B9" s="18" t="s">
        <v>83</v>
      </c>
      <c r="C9" s="18" t="s">
        <v>84</v>
      </c>
      <c r="D9" s="18" t="s">
        <v>85</v>
      </c>
      <c r="E9" s="18" t="s">
        <v>91</v>
      </c>
      <c r="F9" s="18" t="s">
        <v>49</v>
      </c>
      <c r="G9" s="18" t="s">
        <v>20</v>
      </c>
      <c r="H9" s="18" t="s">
        <v>21</v>
      </c>
      <c r="I9" s="18" t="s">
        <v>22</v>
      </c>
      <c r="J9" s="18">
        <v>54212515</v>
      </c>
      <c r="K9" s="18" t="s">
        <v>50</v>
      </c>
      <c r="L9" s="18"/>
      <c r="M9" s="18"/>
      <c r="N9" s="18" t="s">
        <v>51</v>
      </c>
      <c r="O9" s="18" t="s">
        <v>23</v>
      </c>
      <c r="P9" s="18">
        <v>0.55000000000000004</v>
      </c>
      <c r="Q9" s="18">
        <v>0.55000000000000004</v>
      </c>
      <c r="R9" s="19" t="s">
        <v>24</v>
      </c>
      <c r="S9" s="19">
        <v>18000</v>
      </c>
      <c r="T9" s="19">
        <v>11200</v>
      </c>
      <c r="U9" s="19">
        <v>8200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3000</v>
      </c>
      <c r="AD9" s="19">
        <v>11200</v>
      </c>
      <c r="AE9" s="19">
        <v>8200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3000</v>
      </c>
      <c r="AN9" s="19">
        <v>6160</v>
      </c>
      <c r="AO9" s="19">
        <v>0</v>
      </c>
      <c r="AP9" s="19">
        <v>6160</v>
      </c>
    </row>
    <row r="10" spans="1:42" x14ac:dyDescent="0.4">
      <c r="A10" s="18" t="s">
        <v>48</v>
      </c>
      <c r="B10" s="18" t="s">
        <v>83</v>
      </c>
      <c r="C10" s="18" t="s">
        <v>84</v>
      </c>
      <c r="D10" s="18" t="s">
        <v>85</v>
      </c>
      <c r="E10" s="18" t="s">
        <v>91</v>
      </c>
      <c r="F10" s="18" t="s">
        <v>49</v>
      </c>
      <c r="G10" s="18" t="s">
        <v>20</v>
      </c>
      <c r="H10" s="18" t="s">
        <v>21</v>
      </c>
      <c r="I10" s="18" t="s">
        <v>22</v>
      </c>
      <c r="J10" s="18">
        <v>56380069</v>
      </c>
      <c r="K10" s="18" t="s">
        <v>107</v>
      </c>
      <c r="L10" s="18"/>
      <c r="M10" s="18"/>
      <c r="N10" s="18" t="s">
        <v>51</v>
      </c>
      <c r="O10" s="18" t="s">
        <v>23</v>
      </c>
      <c r="P10" s="18">
        <v>0.55000000000000004</v>
      </c>
      <c r="Q10" s="18">
        <v>0.55000000000000004</v>
      </c>
      <c r="R10" s="19" t="s">
        <v>25</v>
      </c>
      <c r="S10" s="19">
        <v>100</v>
      </c>
      <c r="T10" s="19">
        <v>16600</v>
      </c>
      <c r="U10" s="19">
        <v>5800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10800</v>
      </c>
      <c r="AD10" s="19">
        <v>16600</v>
      </c>
      <c r="AE10" s="19">
        <v>5800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10800</v>
      </c>
      <c r="AN10" s="19">
        <v>9130</v>
      </c>
      <c r="AO10" s="19">
        <v>0</v>
      </c>
      <c r="AP10" s="19">
        <v>9130</v>
      </c>
    </row>
    <row r="11" spans="1:42" x14ac:dyDescent="0.4">
      <c r="A11" s="18" t="s">
        <v>48</v>
      </c>
      <c r="B11" s="18" t="s">
        <v>83</v>
      </c>
      <c r="C11" s="18" t="s">
        <v>84</v>
      </c>
      <c r="D11" s="18" t="s">
        <v>85</v>
      </c>
      <c r="E11" s="18" t="s">
        <v>91</v>
      </c>
      <c r="F11" s="18" t="s">
        <v>49</v>
      </c>
      <c r="G11" s="18" t="s">
        <v>20</v>
      </c>
      <c r="H11" s="18" t="s">
        <v>21</v>
      </c>
      <c r="I11" s="18" t="s">
        <v>22</v>
      </c>
      <c r="J11" s="18">
        <v>56380069</v>
      </c>
      <c r="K11" s="18" t="s">
        <v>107</v>
      </c>
      <c r="L11" s="18"/>
      <c r="M11" s="18"/>
      <c r="N11" s="18" t="s">
        <v>51</v>
      </c>
      <c r="O11" s="18" t="s">
        <v>23</v>
      </c>
      <c r="P11" s="18">
        <v>0.55000000000000004</v>
      </c>
      <c r="Q11" s="18">
        <v>0.55000000000000004</v>
      </c>
      <c r="R11" s="19" t="s">
        <v>24</v>
      </c>
      <c r="S11" s="19">
        <v>2400</v>
      </c>
      <c r="T11" s="19">
        <v>2600</v>
      </c>
      <c r="U11" s="19">
        <v>200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2400</v>
      </c>
      <c r="AD11" s="19">
        <v>2600</v>
      </c>
      <c r="AE11" s="19">
        <v>200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2400</v>
      </c>
      <c r="AN11" s="19">
        <v>1430</v>
      </c>
      <c r="AO11" s="19">
        <v>0</v>
      </c>
      <c r="AP11" s="19">
        <v>1430</v>
      </c>
    </row>
    <row r="12" spans="1:42" x14ac:dyDescent="0.4">
      <c r="A12" s="18" t="s">
        <v>48</v>
      </c>
      <c r="B12" s="18" t="s">
        <v>83</v>
      </c>
      <c r="C12" s="18" t="s">
        <v>84</v>
      </c>
      <c r="D12" s="18" t="s">
        <v>85</v>
      </c>
      <c r="E12" s="18" t="s">
        <v>91</v>
      </c>
      <c r="F12" s="18" t="s">
        <v>49</v>
      </c>
      <c r="G12" s="18" t="s">
        <v>20</v>
      </c>
      <c r="H12" s="18" t="s">
        <v>21</v>
      </c>
      <c r="I12" s="18" t="s">
        <v>22</v>
      </c>
      <c r="J12" s="18">
        <v>56380069</v>
      </c>
      <c r="K12" s="18" t="s">
        <v>107</v>
      </c>
      <c r="L12" s="18"/>
      <c r="M12" s="18"/>
      <c r="N12" s="18" t="s">
        <v>51</v>
      </c>
      <c r="O12" s="18" t="s">
        <v>23</v>
      </c>
      <c r="P12" s="18">
        <v>0.55000000000000004</v>
      </c>
      <c r="Q12" s="18">
        <v>0.55000000000000004</v>
      </c>
      <c r="R12" s="19" t="s">
        <v>24</v>
      </c>
      <c r="S12" s="19">
        <v>9200</v>
      </c>
      <c r="T12" s="19">
        <v>36800</v>
      </c>
      <c r="U12" s="19">
        <v>36300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500</v>
      </c>
      <c r="AD12" s="19">
        <v>36800</v>
      </c>
      <c r="AE12" s="19">
        <v>36300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500</v>
      </c>
      <c r="AN12" s="19">
        <v>20240</v>
      </c>
      <c r="AO12" s="19">
        <v>0</v>
      </c>
      <c r="AP12" s="19">
        <v>20240</v>
      </c>
    </row>
    <row r="13" spans="1:42" x14ac:dyDescent="0.4">
      <c r="A13" s="18" t="s">
        <v>48</v>
      </c>
      <c r="B13" s="18" t="s">
        <v>83</v>
      </c>
      <c r="C13" s="18" t="s">
        <v>84</v>
      </c>
      <c r="D13" s="18" t="s">
        <v>85</v>
      </c>
      <c r="E13" s="18" t="s">
        <v>91</v>
      </c>
      <c r="F13" s="18" t="s">
        <v>49</v>
      </c>
      <c r="G13" s="18" t="s">
        <v>20</v>
      </c>
      <c r="H13" s="18" t="s">
        <v>21</v>
      </c>
      <c r="I13" s="18" t="s">
        <v>22</v>
      </c>
      <c r="J13" s="18">
        <v>56380069</v>
      </c>
      <c r="K13" s="18" t="s">
        <v>107</v>
      </c>
      <c r="L13" s="18"/>
      <c r="M13" s="18"/>
      <c r="N13" s="18" t="s">
        <v>51</v>
      </c>
      <c r="O13" s="18" t="s">
        <v>23</v>
      </c>
      <c r="P13" s="18">
        <v>0.55000000000000004</v>
      </c>
      <c r="Q13" s="18">
        <v>0.55000000000000004</v>
      </c>
      <c r="R13" s="19" t="s">
        <v>24</v>
      </c>
      <c r="S13" s="19">
        <v>18000</v>
      </c>
      <c r="T13" s="19">
        <v>18000</v>
      </c>
      <c r="U13" s="19">
        <v>18000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18000</v>
      </c>
      <c r="AE13" s="19">
        <v>18000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9900</v>
      </c>
      <c r="AO13" s="19">
        <v>0</v>
      </c>
      <c r="AP13" s="19">
        <v>9900</v>
      </c>
    </row>
    <row r="14" spans="1:42" x14ac:dyDescent="0.4">
      <c r="A14" s="18" t="s">
        <v>48</v>
      </c>
      <c r="B14" s="18" t="s">
        <v>83</v>
      </c>
      <c r="C14" s="18" t="s">
        <v>84</v>
      </c>
      <c r="D14" s="18" t="s">
        <v>85</v>
      </c>
      <c r="E14" s="18" t="s">
        <v>91</v>
      </c>
      <c r="F14" s="18" t="s">
        <v>49</v>
      </c>
      <c r="G14" s="18" t="s">
        <v>20</v>
      </c>
      <c r="H14" s="18" t="s">
        <v>21</v>
      </c>
      <c r="I14" s="18" t="s">
        <v>22</v>
      </c>
      <c r="J14" s="18">
        <v>56987203</v>
      </c>
      <c r="K14" s="18" t="s">
        <v>132</v>
      </c>
      <c r="L14" s="18"/>
      <c r="M14" s="18"/>
      <c r="N14" s="18" t="s">
        <v>51</v>
      </c>
      <c r="O14" s="18" t="s">
        <v>23</v>
      </c>
      <c r="P14" s="18">
        <v>0.55000000000000004</v>
      </c>
      <c r="Q14" s="18">
        <v>0.55000000000000004</v>
      </c>
      <c r="R14" s="19" t="s">
        <v>25</v>
      </c>
      <c r="S14" s="19">
        <v>3200</v>
      </c>
      <c r="T14" s="19">
        <v>22400</v>
      </c>
      <c r="U14" s="19">
        <v>22400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22400</v>
      </c>
      <c r="AE14" s="19">
        <v>22400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12320</v>
      </c>
      <c r="AO14" s="19">
        <v>0</v>
      </c>
      <c r="AP14" s="19">
        <v>12320</v>
      </c>
    </row>
    <row r="15" spans="1:42" x14ac:dyDescent="0.4">
      <c r="A15" s="18" t="s">
        <v>48</v>
      </c>
      <c r="B15" s="18" t="s">
        <v>83</v>
      </c>
      <c r="C15" s="18" t="s">
        <v>84</v>
      </c>
      <c r="D15" s="18" t="s">
        <v>85</v>
      </c>
      <c r="E15" s="18" t="s">
        <v>86</v>
      </c>
      <c r="F15" s="18" t="s">
        <v>49</v>
      </c>
      <c r="G15" s="18" t="s">
        <v>20</v>
      </c>
      <c r="H15" s="18" t="s">
        <v>21</v>
      </c>
      <c r="I15" s="18" t="s">
        <v>22</v>
      </c>
      <c r="J15" s="18">
        <v>47026662</v>
      </c>
      <c r="K15" s="18" t="s">
        <v>133</v>
      </c>
      <c r="L15" s="18"/>
      <c r="M15" s="18"/>
      <c r="N15" s="18" t="s">
        <v>64</v>
      </c>
      <c r="O15" s="18" t="s">
        <v>23</v>
      </c>
      <c r="P15" s="18">
        <v>0.55000000000000004</v>
      </c>
      <c r="Q15" s="18">
        <v>0.55000000000000004</v>
      </c>
      <c r="R15" s="19" t="s">
        <v>25</v>
      </c>
      <c r="S15" s="19">
        <v>100</v>
      </c>
      <c r="T15" s="19">
        <v>6518300</v>
      </c>
      <c r="U15" s="19">
        <v>881200</v>
      </c>
      <c r="V15" s="19">
        <v>0</v>
      </c>
      <c r="W15" s="19">
        <v>0</v>
      </c>
      <c r="X15" s="19">
        <v>0</v>
      </c>
      <c r="Y15" s="19">
        <v>32750</v>
      </c>
      <c r="Z15" s="19">
        <v>80500</v>
      </c>
      <c r="AA15" s="19">
        <v>0</v>
      </c>
      <c r="AB15" s="19">
        <v>0</v>
      </c>
      <c r="AC15" s="19">
        <v>5523850</v>
      </c>
      <c r="AD15" s="19">
        <v>6532900</v>
      </c>
      <c r="AE15" s="19">
        <v>881200</v>
      </c>
      <c r="AF15" s="19">
        <v>0</v>
      </c>
      <c r="AG15" s="19">
        <v>0</v>
      </c>
      <c r="AH15" s="19">
        <v>0</v>
      </c>
      <c r="AI15" s="19">
        <v>39300</v>
      </c>
      <c r="AJ15" s="19">
        <v>88550</v>
      </c>
      <c r="AK15" s="19">
        <v>0</v>
      </c>
      <c r="AL15" s="19">
        <v>0</v>
      </c>
      <c r="AM15" s="19">
        <v>5523850</v>
      </c>
      <c r="AN15" s="19">
        <v>3593095</v>
      </c>
      <c r="AO15" s="19">
        <v>0</v>
      </c>
      <c r="AP15" s="19">
        <v>3593095</v>
      </c>
    </row>
    <row r="16" spans="1:42" x14ac:dyDescent="0.4">
      <c r="A16" s="18" t="s">
        <v>48</v>
      </c>
      <c r="B16" s="18" t="s">
        <v>83</v>
      </c>
      <c r="C16" s="18" t="s">
        <v>84</v>
      </c>
      <c r="D16" s="18" t="s">
        <v>85</v>
      </c>
      <c r="E16" s="18" t="s">
        <v>86</v>
      </c>
      <c r="F16" s="18" t="s">
        <v>49</v>
      </c>
      <c r="G16" s="18" t="s">
        <v>20</v>
      </c>
      <c r="H16" s="18" t="s">
        <v>21</v>
      </c>
      <c r="I16" s="18" t="s">
        <v>22</v>
      </c>
      <c r="J16" s="18">
        <v>47026662</v>
      </c>
      <c r="K16" s="18" t="s">
        <v>133</v>
      </c>
      <c r="L16" s="18"/>
      <c r="M16" s="18"/>
      <c r="N16" s="18" t="s">
        <v>64</v>
      </c>
      <c r="O16" s="18" t="s">
        <v>23</v>
      </c>
      <c r="P16" s="18">
        <v>0.55000000000000004</v>
      </c>
      <c r="Q16" s="18">
        <v>0.55000000000000004</v>
      </c>
      <c r="R16" s="19" t="s">
        <v>24</v>
      </c>
      <c r="S16" s="19">
        <v>1800</v>
      </c>
      <c r="T16" s="19">
        <v>4145800</v>
      </c>
      <c r="U16" s="19">
        <v>2421950</v>
      </c>
      <c r="V16" s="19">
        <v>0</v>
      </c>
      <c r="W16" s="19">
        <v>0</v>
      </c>
      <c r="X16" s="19">
        <v>0</v>
      </c>
      <c r="Y16" s="19">
        <v>19900</v>
      </c>
      <c r="Z16" s="19">
        <v>141950</v>
      </c>
      <c r="AA16" s="19">
        <v>0</v>
      </c>
      <c r="AB16" s="19">
        <v>0</v>
      </c>
      <c r="AC16" s="19">
        <v>1562000</v>
      </c>
      <c r="AD16" s="19">
        <v>4163975</v>
      </c>
      <c r="AE16" s="19">
        <v>2421950</v>
      </c>
      <c r="AF16" s="19">
        <v>0</v>
      </c>
      <c r="AG16" s="19">
        <v>0</v>
      </c>
      <c r="AH16" s="19">
        <v>0</v>
      </c>
      <c r="AI16" s="19">
        <v>23880</v>
      </c>
      <c r="AJ16" s="19">
        <v>156145</v>
      </c>
      <c r="AK16" s="19">
        <v>0</v>
      </c>
      <c r="AL16" s="19">
        <v>0</v>
      </c>
      <c r="AM16" s="19">
        <v>1562000</v>
      </c>
      <c r="AN16" s="19">
        <v>2290186</v>
      </c>
      <c r="AO16" s="19">
        <v>0</v>
      </c>
      <c r="AP16" s="19">
        <v>2290186</v>
      </c>
    </row>
    <row r="17" spans="1:42" x14ac:dyDescent="0.4">
      <c r="A17" s="18" t="s">
        <v>48</v>
      </c>
      <c r="B17" s="18" t="s">
        <v>83</v>
      </c>
      <c r="C17" s="18" t="s">
        <v>84</v>
      </c>
      <c r="D17" s="18" t="s">
        <v>85</v>
      </c>
      <c r="E17" s="18" t="s">
        <v>86</v>
      </c>
      <c r="F17" s="18" t="s">
        <v>49</v>
      </c>
      <c r="G17" s="18" t="s">
        <v>20</v>
      </c>
      <c r="H17" s="18" t="s">
        <v>21</v>
      </c>
      <c r="I17" s="18" t="s">
        <v>22</v>
      </c>
      <c r="J17" s="18">
        <v>47026662</v>
      </c>
      <c r="K17" s="18" t="s">
        <v>133</v>
      </c>
      <c r="L17" s="18"/>
      <c r="M17" s="18"/>
      <c r="N17" s="18" t="s">
        <v>64</v>
      </c>
      <c r="O17" s="18" t="s">
        <v>23</v>
      </c>
      <c r="P17" s="18">
        <v>0.55000000000000004</v>
      </c>
      <c r="Q17" s="18">
        <v>0.55000000000000004</v>
      </c>
      <c r="R17" s="19" t="s">
        <v>24</v>
      </c>
      <c r="S17" s="19">
        <v>4500</v>
      </c>
      <c r="T17" s="19">
        <v>3626400</v>
      </c>
      <c r="U17" s="19">
        <v>2927350</v>
      </c>
      <c r="V17" s="19">
        <v>0</v>
      </c>
      <c r="W17" s="19">
        <v>0</v>
      </c>
      <c r="X17" s="19">
        <v>0</v>
      </c>
      <c r="Y17" s="19">
        <v>300</v>
      </c>
      <c r="Z17" s="19">
        <v>123700</v>
      </c>
      <c r="AA17" s="19">
        <v>0</v>
      </c>
      <c r="AB17" s="19">
        <v>0</v>
      </c>
      <c r="AC17" s="19">
        <v>575050</v>
      </c>
      <c r="AD17" s="19">
        <v>3638830</v>
      </c>
      <c r="AE17" s="19">
        <v>2927350</v>
      </c>
      <c r="AF17" s="19">
        <v>0</v>
      </c>
      <c r="AG17" s="19">
        <v>0</v>
      </c>
      <c r="AH17" s="19">
        <v>0</v>
      </c>
      <c r="AI17" s="19">
        <v>360</v>
      </c>
      <c r="AJ17" s="19">
        <v>136070</v>
      </c>
      <c r="AK17" s="19">
        <v>0</v>
      </c>
      <c r="AL17" s="19">
        <v>0</v>
      </c>
      <c r="AM17" s="19">
        <v>575050</v>
      </c>
      <c r="AN17" s="19">
        <v>2001357</v>
      </c>
      <c r="AO17" s="19">
        <v>0</v>
      </c>
      <c r="AP17" s="19">
        <v>2001357</v>
      </c>
    </row>
    <row r="18" spans="1:42" x14ac:dyDescent="0.4">
      <c r="A18" s="18" t="s">
        <v>48</v>
      </c>
      <c r="B18" s="18" t="s">
        <v>83</v>
      </c>
      <c r="C18" s="18" t="s">
        <v>84</v>
      </c>
      <c r="D18" s="18" t="s">
        <v>85</v>
      </c>
      <c r="E18" s="18" t="s">
        <v>86</v>
      </c>
      <c r="F18" s="18" t="s">
        <v>49</v>
      </c>
      <c r="G18" s="18" t="s">
        <v>20</v>
      </c>
      <c r="H18" s="18" t="s">
        <v>21</v>
      </c>
      <c r="I18" s="18" t="s">
        <v>22</v>
      </c>
      <c r="J18" s="18">
        <v>47026662</v>
      </c>
      <c r="K18" s="18" t="s">
        <v>133</v>
      </c>
      <c r="L18" s="18"/>
      <c r="M18" s="18"/>
      <c r="N18" s="18" t="s">
        <v>64</v>
      </c>
      <c r="O18" s="18" t="s">
        <v>23</v>
      </c>
      <c r="P18" s="18">
        <v>0.55000000000000004</v>
      </c>
      <c r="Q18" s="18">
        <v>0.55000000000000004</v>
      </c>
      <c r="R18" s="19" t="s">
        <v>24</v>
      </c>
      <c r="S18" s="19">
        <v>9000</v>
      </c>
      <c r="T18" s="19">
        <v>8456200</v>
      </c>
      <c r="U18" s="19">
        <v>7097700</v>
      </c>
      <c r="V18" s="19">
        <v>0</v>
      </c>
      <c r="W18" s="19">
        <v>0</v>
      </c>
      <c r="X18" s="19">
        <v>0</v>
      </c>
      <c r="Y18" s="19">
        <v>13100</v>
      </c>
      <c r="Z18" s="19">
        <v>647900</v>
      </c>
      <c r="AA18" s="19">
        <v>0</v>
      </c>
      <c r="AB18" s="19">
        <v>0</v>
      </c>
      <c r="AC18" s="19">
        <v>697500</v>
      </c>
      <c r="AD18" s="19">
        <v>8523610</v>
      </c>
      <c r="AE18" s="19">
        <v>7097700</v>
      </c>
      <c r="AF18" s="19">
        <v>0</v>
      </c>
      <c r="AG18" s="19">
        <v>0</v>
      </c>
      <c r="AH18" s="19">
        <v>0</v>
      </c>
      <c r="AI18" s="19">
        <v>15720</v>
      </c>
      <c r="AJ18" s="19">
        <v>712690</v>
      </c>
      <c r="AK18" s="19">
        <v>0</v>
      </c>
      <c r="AL18" s="19">
        <v>0</v>
      </c>
      <c r="AM18" s="19">
        <v>697500</v>
      </c>
      <c r="AN18" s="19">
        <v>4687986</v>
      </c>
      <c r="AO18" s="19">
        <v>0</v>
      </c>
      <c r="AP18" s="19">
        <v>4687986</v>
      </c>
    </row>
    <row r="19" spans="1:42" x14ac:dyDescent="0.4">
      <c r="A19" s="18" t="s">
        <v>48</v>
      </c>
      <c r="B19" s="18" t="s">
        <v>83</v>
      </c>
      <c r="C19" s="18" t="s">
        <v>84</v>
      </c>
      <c r="D19" s="18" t="s">
        <v>85</v>
      </c>
      <c r="E19" s="18" t="s">
        <v>86</v>
      </c>
      <c r="F19" s="18" t="s">
        <v>49</v>
      </c>
      <c r="G19" s="18" t="s">
        <v>20</v>
      </c>
      <c r="H19" s="18" t="s">
        <v>21</v>
      </c>
      <c r="I19" s="18" t="s">
        <v>22</v>
      </c>
      <c r="J19" s="18">
        <v>47944978</v>
      </c>
      <c r="K19" s="18" t="s">
        <v>134</v>
      </c>
      <c r="L19" s="18"/>
      <c r="M19" s="18"/>
      <c r="N19" s="18" t="s">
        <v>64</v>
      </c>
      <c r="O19" s="18" t="s">
        <v>23</v>
      </c>
      <c r="P19" s="18">
        <v>0.55000000000000004</v>
      </c>
      <c r="Q19" s="18">
        <v>0.55000000000000004</v>
      </c>
      <c r="R19" s="19" t="s">
        <v>25</v>
      </c>
      <c r="S19" s="19">
        <v>100</v>
      </c>
      <c r="T19" s="19">
        <v>662000</v>
      </c>
      <c r="U19" s="19">
        <v>214950</v>
      </c>
      <c r="V19" s="19">
        <v>0</v>
      </c>
      <c r="W19" s="19">
        <v>0</v>
      </c>
      <c r="X19" s="19">
        <v>0</v>
      </c>
      <c r="Y19" s="19">
        <v>500</v>
      </c>
      <c r="Z19" s="19">
        <v>8700</v>
      </c>
      <c r="AA19" s="19">
        <v>0</v>
      </c>
      <c r="AB19" s="19">
        <v>0</v>
      </c>
      <c r="AC19" s="19">
        <v>437850</v>
      </c>
      <c r="AD19" s="19">
        <v>662970</v>
      </c>
      <c r="AE19" s="19">
        <v>214950</v>
      </c>
      <c r="AF19" s="19">
        <v>0</v>
      </c>
      <c r="AG19" s="19">
        <v>0</v>
      </c>
      <c r="AH19" s="19">
        <v>0</v>
      </c>
      <c r="AI19" s="19">
        <v>600</v>
      </c>
      <c r="AJ19" s="19">
        <v>9570</v>
      </c>
      <c r="AK19" s="19">
        <v>0</v>
      </c>
      <c r="AL19" s="19">
        <v>0</v>
      </c>
      <c r="AM19" s="19">
        <v>437850</v>
      </c>
      <c r="AN19" s="19">
        <v>364634</v>
      </c>
      <c r="AO19" s="19">
        <v>0</v>
      </c>
      <c r="AP19" s="19">
        <v>364634</v>
      </c>
    </row>
    <row r="20" spans="1:42" x14ac:dyDescent="0.4">
      <c r="A20" s="18" t="s">
        <v>48</v>
      </c>
      <c r="B20" s="18" t="s">
        <v>83</v>
      </c>
      <c r="C20" s="18" t="s">
        <v>84</v>
      </c>
      <c r="D20" s="18" t="s">
        <v>85</v>
      </c>
      <c r="E20" s="18" t="s">
        <v>86</v>
      </c>
      <c r="F20" s="18" t="s">
        <v>49</v>
      </c>
      <c r="G20" s="18" t="s">
        <v>20</v>
      </c>
      <c r="H20" s="18" t="s">
        <v>21</v>
      </c>
      <c r="I20" s="18" t="s">
        <v>22</v>
      </c>
      <c r="J20" s="18">
        <v>47944978</v>
      </c>
      <c r="K20" s="18" t="s">
        <v>134</v>
      </c>
      <c r="L20" s="18"/>
      <c r="M20" s="18"/>
      <c r="N20" s="18" t="s">
        <v>64</v>
      </c>
      <c r="O20" s="18" t="s">
        <v>23</v>
      </c>
      <c r="P20" s="18">
        <v>0.55000000000000004</v>
      </c>
      <c r="Q20" s="18">
        <v>0.55000000000000004</v>
      </c>
      <c r="R20" s="19" t="s">
        <v>24</v>
      </c>
      <c r="S20" s="19">
        <v>4800</v>
      </c>
      <c r="T20" s="19">
        <v>393200</v>
      </c>
      <c r="U20" s="19">
        <v>317100</v>
      </c>
      <c r="V20" s="19">
        <v>0</v>
      </c>
      <c r="W20" s="19">
        <v>0</v>
      </c>
      <c r="X20" s="19">
        <v>0</v>
      </c>
      <c r="Y20" s="19">
        <v>4500</v>
      </c>
      <c r="Z20" s="19">
        <v>14500</v>
      </c>
      <c r="AA20" s="19">
        <v>0</v>
      </c>
      <c r="AB20" s="19">
        <v>0</v>
      </c>
      <c r="AC20" s="19">
        <v>57100</v>
      </c>
      <c r="AD20" s="19">
        <v>395550</v>
      </c>
      <c r="AE20" s="19">
        <v>317100</v>
      </c>
      <c r="AF20" s="19">
        <v>0</v>
      </c>
      <c r="AG20" s="19">
        <v>0</v>
      </c>
      <c r="AH20" s="19">
        <v>0</v>
      </c>
      <c r="AI20" s="19">
        <v>5400</v>
      </c>
      <c r="AJ20" s="19">
        <v>15950</v>
      </c>
      <c r="AK20" s="19">
        <v>0</v>
      </c>
      <c r="AL20" s="19">
        <v>0</v>
      </c>
      <c r="AM20" s="19">
        <v>57100</v>
      </c>
      <c r="AN20" s="19">
        <v>217553</v>
      </c>
      <c r="AO20" s="19">
        <v>0</v>
      </c>
      <c r="AP20" s="19">
        <v>217553</v>
      </c>
    </row>
    <row r="21" spans="1:42" x14ac:dyDescent="0.4">
      <c r="A21" s="18" t="s">
        <v>48</v>
      </c>
      <c r="B21" s="18" t="s">
        <v>83</v>
      </c>
      <c r="C21" s="18" t="s">
        <v>84</v>
      </c>
      <c r="D21" s="18" t="s">
        <v>85</v>
      </c>
      <c r="E21" s="18" t="s">
        <v>86</v>
      </c>
      <c r="F21" s="18" t="s">
        <v>49</v>
      </c>
      <c r="G21" s="18" t="s">
        <v>20</v>
      </c>
      <c r="H21" s="18" t="s">
        <v>21</v>
      </c>
      <c r="I21" s="18" t="s">
        <v>22</v>
      </c>
      <c r="J21" s="18">
        <v>47944978</v>
      </c>
      <c r="K21" s="18" t="s">
        <v>134</v>
      </c>
      <c r="L21" s="18"/>
      <c r="M21" s="18"/>
      <c r="N21" s="18" t="s">
        <v>64</v>
      </c>
      <c r="O21" s="18" t="s">
        <v>23</v>
      </c>
      <c r="P21" s="18">
        <v>0.55000000000000004</v>
      </c>
      <c r="Q21" s="18">
        <v>0.55000000000000004</v>
      </c>
      <c r="R21" s="19" t="s">
        <v>24</v>
      </c>
      <c r="S21" s="19">
        <v>9200</v>
      </c>
      <c r="T21" s="19">
        <v>255500</v>
      </c>
      <c r="U21" s="19">
        <v>177300</v>
      </c>
      <c r="V21" s="19">
        <v>0</v>
      </c>
      <c r="W21" s="19">
        <v>0</v>
      </c>
      <c r="X21" s="19">
        <v>0</v>
      </c>
      <c r="Y21" s="19">
        <v>0</v>
      </c>
      <c r="Z21" s="19">
        <v>36800</v>
      </c>
      <c r="AA21" s="19">
        <v>0</v>
      </c>
      <c r="AB21" s="19">
        <v>0</v>
      </c>
      <c r="AC21" s="19">
        <v>41400</v>
      </c>
      <c r="AD21" s="19">
        <v>259180</v>
      </c>
      <c r="AE21" s="19">
        <v>177300</v>
      </c>
      <c r="AF21" s="19">
        <v>0</v>
      </c>
      <c r="AG21" s="19">
        <v>0</v>
      </c>
      <c r="AH21" s="19">
        <v>0</v>
      </c>
      <c r="AI21" s="19">
        <v>0</v>
      </c>
      <c r="AJ21" s="19">
        <v>40480</v>
      </c>
      <c r="AK21" s="19">
        <v>0</v>
      </c>
      <c r="AL21" s="19">
        <v>0</v>
      </c>
      <c r="AM21" s="19">
        <v>41400</v>
      </c>
      <c r="AN21" s="19">
        <v>142549</v>
      </c>
      <c r="AO21" s="19">
        <v>0</v>
      </c>
      <c r="AP21" s="19">
        <v>142549</v>
      </c>
    </row>
    <row r="22" spans="1:42" x14ac:dyDescent="0.4">
      <c r="A22" s="18" t="s">
        <v>48</v>
      </c>
      <c r="B22" s="18" t="s">
        <v>83</v>
      </c>
      <c r="C22" s="18" t="s">
        <v>84</v>
      </c>
      <c r="D22" s="18" t="s">
        <v>85</v>
      </c>
      <c r="E22" s="18" t="s">
        <v>86</v>
      </c>
      <c r="F22" s="18" t="s">
        <v>49</v>
      </c>
      <c r="G22" s="18" t="s">
        <v>20</v>
      </c>
      <c r="H22" s="18" t="s">
        <v>21</v>
      </c>
      <c r="I22" s="18" t="s">
        <v>22</v>
      </c>
      <c r="J22" s="18">
        <v>47944978</v>
      </c>
      <c r="K22" s="18" t="s">
        <v>134</v>
      </c>
      <c r="L22" s="18"/>
      <c r="M22" s="18"/>
      <c r="N22" s="18" t="s">
        <v>64</v>
      </c>
      <c r="O22" s="18" t="s">
        <v>23</v>
      </c>
      <c r="P22" s="18">
        <v>0.55000000000000004</v>
      </c>
      <c r="Q22" s="18">
        <v>0.55000000000000004</v>
      </c>
      <c r="R22" s="19" t="s">
        <v>24</v>
      </c>
      <c r="S22" s="19">
        <v>13500</v>
      </c>
      <c r="T22" s="19">
        <v>281700</v>
      </c>
      <c r="U22" s="19">
        <v>256060</v>
      </c>
      <c r="V22" s="19">
        <v>0</v>
      </c>
      <c r="W22" s="19">
        <v>0</v>
      </c>
      <c r="X22" s="19">
        <v>0</v>
      </c>
      <c r="Y22" s="19">
        <v>0</v>
      </c>
      <c r="Z22" s="19">
        <v>22940</v>
      </c>
      <c r="AA22" s="19">
        <v>0</v>
      </c>
      <c r="AB22" s="19">
        <v>0</v>
      </c>
      <c r="AC22" s="19">
        <v>2700</v>
      </c>
      <c r="AD22" s="19">
        <v>283994</v>
      </c>
      <c r="AE22" s="19">
        <v>256060</v>
      </c>
      <c r="AF22" s="19">
        <v>0</v>
      </c>
      <c r="AG22" s="19">
        <v>0</v>
      </c>
      <c r="AH22" s="19">
        <v>0</v>
      </c>
      <c r="AI22" s="19">
        <v>0</v>
      </c>
      <c r="AJ22" s="19">
        <v>25234</v>
      </c>
      <c r="AK22" s="19">
        <v>0</v>
      </c>
      <c r="AL22" s="19">
        <v>0</v>
      </c>
      <c r="AM22" s="19">
        <v>2700</v>
      </c>
      <c r="AN22" s="19">
        <v>156197</v>
      </c>
      <c r="AO22" s="19">
        <v>0</v>
      </c>
      <c r="AP22" s="19">
        <v>156197</v>
      </c>
    </row>
    <row r="23" spans="1:42" x14ac:dyDescent="0.4">
      <c r="A23" s="18" t="s">
        <v>48</v>
      </c>
      <c r="B23" s="18" t="s">
        <v>83</v>
      </c>
      <c r="C23" s="18" t="s">
        <v>84</v>
      </c>
      <c r="D23" s="18" t="s">
        <v>85</v>
      </c>
      <c r="E23" s="18" t="s">
        <v>86</v>
      </c>
      <c r="F23" s="18" t="s">
        <v>49</v>
      </c>
      <c r="G23" s="18" t="s">
        <v>20</v>
      </c>
      <c r="H23" s="18" t="s">
        <v>21</v>
      </c>
      <c r="I23" s="18" t="s">
        <v>22</v>
      </c>
      <c r="J23" s="18">
        <v>48836576</v>
      </c>
      <c r="K23" s="18" t="s">
        <v>66</v>
      </c>
      <c r="L23" s="18"/>
      <c r="M23" s="18"/>
      <c r="N23" s="18" t="s">
        <v>64</v>
      </c>
      <c r="O23" s="18" t="s">
        <v>23</v>
      </c>
      <c r="P23" s="18">
        <v>0.55000000000000004</v>
      </c>
      <c r="Q23" s="18">
        <v>0.55000000000000004</v>
      </c>
      <c r="R23" s="19" t="s">
        <v>25</v>
      </c>
      <c r="S23" s="19">
        <v>100</v>
      </c>
      <c r="T23" s="19">
        <v>803700</v>
      </c>
      <c r="U23" s="19">
        <v>146850</v>
      </c>
      <c r="V23" s="19">
        <v>0</v>
      </c>
      <c r="W23" s="19">
        <v>0</v>
      </c>
      <c r="X23" s="19">
        <v>0</v>
      </c>
      <c r="Y23" s="19">
        <v>700</v>
      </c>
      <c r="Z23" s="19">
        <v>3400</v>
      </c>
      <c r="AA23" s="19">
        <v>0</v>
      </c>
      <c r="AB23" s="19">
        <v>0</v>
      </c>
      <c r="AC23" s="19">
        <v>652750</v>
      </c>
      <c r="AD23" s="19">
        <v>804180</v>
      </c>
      <c r="AE23" s="19">
        <v>146850</v>
      </c>
      <c r="AF23" s="19">
        <v>0</v>
      </c>
      <c r="AG23" s="19">
        <v>0</v>
      </c>
      <c r="AH23" s="19">
        <v>0</v>
      </c>
      <c r="AI23" s="19">
        <v>840</v>
      </c>
      <c r="AJ23" s="19">
        <v>3740</v>
      </c>
      <c r="AK23" s="19">
        <v>0</v>
      </c>
      <c r="AL23" s="19">
        <v>0</v>
      </c>
      <c r="AM23" s="19">
        <v>652750</v>
      </c>
      <c r="AN23" s="19">
        <v>442299</v>
      </c>
      <c r="AO23" s="19">
        <v>0</v>
      </c>
      <c r="AP23" s="19">
        <v>442299</v>
      </c>
    </row>
    <row r="24" spans="1:42" x14ac:dyDescent="0.4">
      <c r="A24" s="18" t="s">
        <v>48</v>
      </c>
      <c r="B24" s="18" t="s">
        <v>83</v>
      </c>
      <c r="C24" s="18" t="s">
        <v>84</v>
      </c>
      <c r="D24" s="18" t="s">
        <v>85</v>
      </c>
      <c r="E24" s="18" t="s">
        <v>86</v>
      </c>
      <c r="F24" s="18" t="s">
        <v>49</v>
      </c>
      <c r="G24" s="18" t="s">
        <v>20</v>
      </c>
      <c r="H24" s="18" t="s">
        <v>21</v>
      </c>
      <c r="I24" s="18" t="s">
        <v>22</v>
      </c>
      <c r="J24" s="18">
        <v>48836576</v>
      </c>
      <c r="K24" s="18" t="s">
        <v>66</v>
      </c>
      <c r="L24" s="18"/>
      <c r="M24" s="18"/>
      <c r="N24" s="18" t="s">
        <v>64</v>
      </c>
      <c r="O24" s="18" t="s">
        <v>23</v>
      </c>
      <c r="P24" s="18">
        <v>0.55000000000000004</v>
      </c>
      <c r="Q24" s="18">
        <v>0.55000000000000004</v>
      </c>
      <c r="R24" s="19" t="s">
        <v>24</v>
      </c>
      <c r="S24" s="19">
        <v>2400</v>
      </c>
      <c r="T24" s="19">
        <v>589100</v>
      </c>
      <c r="U24" s="19">
        <v>441700</v>
      </c>
      <c r="V24" s="19">
        <v>0</v>
      </c>
      <c r="W24" s="19">
        <v>0</v>
      </c>
      <c r="X24" s="19">
        <v>-300</v>
      </c>
      <c r="Y24" s="19">
        <v>300</v>
      </c>
      <c r="Z24" s="19">
        <v>1800</v>
      </c>
      <c r="AA24" s="19">
        <v>0</v>
      </c>
      <c r="AB24" s="19">
        <v>0</v>
      </c>
      <c r="AC24" s="19">
        <v>145600</v>
      </c>
      <c r="AD24" s="19">
        <v>589249.55870000005</v>
      </c>
      <c r="AE24" s="19">
        <v>441700</v>
      </c>
      <c r="AF24" s="19">
        <v>0</v>
      </c>
      <c r="AG24" s="19">
        <v>0</v>
      </c>
      <c r="AH24" s="19">
        <v>-390.44130000000001</v>
      </c>
      <c r="AI24" s="19">
        <v>360</v>
      </c>
      <c r="AJ24" s="19">
        <v>1980</v>
      </c>
      <c r="AK24" s="19">
        <v>0</v>
      </c>
      <c r="AL24" s="19">
        <v>0</v>
      </c>
      <c r="AM24" s="19">
        <v>145600</v>
      </c>
      <c r="AN24" s="19">
        <v>324087</v>
      </c>
      <c r="AO24" s="19">
        <v>0</v>
      </c>
      <c r="AP24" s="19">
        <v>324087</v>
      </c>
    </row>
    <row r="25" spans="1:42" x14ac:dyDescent="0.4">
      <c r="A25" s="18" t="s">
        <v>48</v>
      </c>
      <c r="B25" s="18" t="s">
        <v>83</v>
      </c>
      <c r="C25" s="18" t="s">
        <v>84</v>
      </c>
      <c r="D25" s="18" t="s">
        <v>85</v>
      </c>
      <c r="E25" s="18" t="s">
        <v>86</v>
      </c>
      <c r="F25" s="18" t="s">
        <v>49</v>
      </c>
      <c r="G25" s="18" t="s">
        <v>20</v>
      </c>
      <c r="H25" s="18" t="s">
        <v>21</v>
      </c>
      <c r="I25" s="18" t="s">
        <v>22</v>
      </c>
      <c r="J25" s="18">
        <v>48836576</v>
      </c>
      <c r="K25" s="18" t="s">
        <v>66</v>
      </c>
      <c r="L25" s="18"/>
      <c r="M25" s="18"/>
      <c r="N25" s="18" t="s">
        <v>64</v>
      </c>
      <c r="O25" s="18" t="s">
        <v>23</v>
      </c>
      <c r="P25" s="18">
        <v>0.55000000000000004</v>
      </c>
      <c r="Q25" s="18">
        <v>0.55000000000000004</v>
      </c>
      <c r="R25" s="19" t="s">
        <v>24</v>
      </c>
      <c r="S25" s="19">
        <v>9200</v>
      </c>
      <c r="T25" s="19">
        <v>561700</v>
      </c>
      <c r="U25" s="19">
        <v>461550</v>
      </c>
      <c r="V25" s="19">
        <v>0</v>
      </c>
      <c r="W25" s="19">
        <v>0</v>
      </c>
      <c r="X25" s="19">
        <v>0</v>
      </c>
      <c r="Y25" s="19">
        <v>0</v>
      </c>
      <c r="Z25" s="19">
        <v>9200</v>
      </c>
      <c r="AA25" s="19">
        <v>0</v>
      </c>
      <c r="AB25" s="19">
        <v>0</v>
      </c>
      <c r="AC25" s="19">
        <v>90950</v>
      </c>
      <c r="AD25" s="19">
        <v>562620</v>
      </c>
      <c r="AE25" s="19">
        <v>461550</v>
      </c>
      <c r="AF25" s="19">
        <v>0</v>
      </c>
      <c r="AG25" s="19">
        <v>0</v>
      </c>
      <c r="AH25" s="19">
        <v>0</v>
      </c>
      <c r="AI25" s="19">
        <v>0</v>
      </c>
      <c r="AJ25" s="19">
        <v>10120</v>
      </c>
      <c r="AK25" s="19">
        <v>0</v>
      </c>
      <c r="AL25" s="19">
        <v>0</v>
      </c>
      <c r="AM25" s="19">
        <v>90950</v>
      </c>
      <c r="AN25" s="19">
        <v>309441</v>
      </c>
      <c r="AO25" s="19">
        <v>0</v>
      </c>
      <c r="AP25" s="19">
        <v>309441</v>
      </c>
    </row>
    <row r="26" spans="1:42" x14ac:dyDescent="0.4">
      <c r="A26" s="18" t="s">
        <v>48</v>
      </c>
      <c r="B26" s="18" t="s">
        <v>83</v>
      </c>
      <c r="C26" s="18" t="s">
        <v>84</v>
      </c>
      <c r="D26" s="18" t="s">
        <v>85</v>
      </c>
      <c r="E26" s="18" t="s">
        <v>86</v>
      </c>
      <c r="F26" s="18" t="s">
        <v>49</v>
      </c>
      <c r="G26" s="18" t="s">
        <v>20</v>
      </c>
      <c r="H26" s="18" t="s">
        <v>21</v>
      </c>
      <c r="I26" s="18" t="s">
        <v>22</v>
      </c>
      <c r="J26" s="18">
        <v>48836576</v>
      </c>
      <c r="K26" s="18" t="s">
        <v>66</v>
      </c>
      <c r="L26" s="18"/>
      <c r="M26" s="18"/>
      <c r="N26" s="18" t="s">
        <v>64</v>
      </c>
      <c r="O26" s="18" t="s">
        <v>23</v>
      </c>
      <c r="P26" s="18">
        <v>0.55000000000000004</v>
      </c>
      <c r="Q26" s="18">
        <v>0.55000000000000004</v>
      </c>
      <c r="R26" s="19" t="s">
        <v>24</v>
      </c>
      <c r="S26" s="19">
        <v>18000</v>
      </c>
      <c r="T26" s="19">
        <v>225700</v>
      </c>
      <c r="U26" s="19">
        <v>224950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750</v>
      </c>
      <c r="AD26" s="19">
        <v>225700</v>
      </c>
      <c r="AE26" s="19">
        <v>224950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750</v>
      </c>
      <c r="AN26" s="19">
        <v>124135</v>
      </c>
      <c r="AO26" s="19">
        <v>0</v>
      </c>
      <c r="AP26" s="19">
        <v>124135</v>
      </c>
    </row>
    <row r="27" spans="1:42" x14ac:dyDescent="0.4">
      <c r="A27" s="18" t="s">
        <v>48</v>
      </c>
      <c r="B27" s="18" t="s">
        <v>83</v>
      </c>
      <c r="C27" s="18" t="s">
        <v>84</v>
      </c>
      <c r="D27" s="18" t="s">
        <v>85</v>
      </c>
      <c r="E27" s="18" t="s">
        <v>86</v>
      </c>
      <c r="F27" s="18" t="s">
        <v>49</v>
      </c>
      <c r="G27" s="18" t="s">
        <v>20</v>
      </c>
      <c r="H27" s="18" t="s">
        <v>21</v>
      </c>
      <c r="I27" s="18" t="s">
        <v>22</v>
      </c>
      <c r="J27" s="18">
        <v>49089226</v>
      </c>
      <c r="K27" s="18" t="s">
        <v>72</v>
      </c>
      <c r="L27" s="18"/>
      <c r="M27" s="18"/>
      <c r="N27" s="18" t="s">
        <v>73</v>
      </c>
      <c r="O27" s="18" t="s">
        <v>23</v>
      </c>
      <c r="P27" s="18">
        <v>0.55000000000000004</v>
      </c>
      <c r="Q27" s="18">
        <v>0.55000000000000004</v>
      </c>
      <c r="R27" s="19" t="s">
        <v>25</v>
      </c>
      <c r="S27" s="19">
        <v>100</v>
      </c>
      <c r="T27" s="19">
        <v>386400</v>
      </c>
      <c r="U27" s="19">
        <v>104900</v>
      </c>
      <c r="V27" s="19">
        <v>0</v>
      </c>
      <c r="W27" s="19">
        <v>0</v>
      </c>
      <c r="X27" s="19">
        <v>0</v>
      </c>
      <c r="Y27" s="19">
        <v>3850</v>
      </c>
      <c r="Z27" s="19">
        <v>8550</v>
      </c>
      <c r="AA27" s="19">
        <v>0</v>
      </c>
      <c r="AB27" s="19">
        <v>0</v>
      </c>
      <c r="AC27" s="19">
        <v>269100</v>
      </c>
      <c r="AD27" s="19">
        <v>388025</v>
      </c>
      <c r="AE27" s="19">
        <v>104900</v>
      </c>
      <c r="AF27" s="19">
        <v>0</v>
      </c>
      <c r="AG27" s="19">
        <v>0</v>
      </c>
      <c r="AH27" s="19">
        <v>0</v>
      </c>
      <c r="AI27" s="19">
        <v>4620</v>
      </c>
      <c r="AJ27" s="19">
        <v>9405</v>
      </c>
      <c r="AK27" s="19">
        <v>0</v>
      </c>
      <c r="AL27" s="19">
        <v>0</v>
      </c>
      <c r="AM27" s="19">
        <v>269100</v>
      </c>
      <c r="AN27" s="19">
        <v>213414</v>
      </c>
      <c r="AO27" s="19">
        <v>0</v>
      </c>
      <c r="AP27" s="19">
        <v>213414</v>
      </c>
    </row>
    <row r="28" spans="1:42" x14ac:dyDescent="0.4">
      <c r="A28" s="18" t="s">
        <v>48</v>
      </c>
      <c r="B28" s="18" t="s">
        <v>83</v>
      </c>
      <c r="C28" s="18" t="s">
        <v>84</v>
      </c>
      <c r="D28" s="18" t="s">
        <v>85</v>
      </c>
      <c r="E28" s="18" t="s">
        <v>86</v>
      </c>
      <c r="F28" s="18" t="s">
        <v>49</v>
      </c>
      <c r="G28" s="18" t="s">
        <v>20</v>
      </c>
      <c r="H28" s="18" t="s">
        <v>21</v>
      </c>
      <c r="I28" s="18" t="s">
        <v>22</v>
      </c>
      <c r="J28" s="18">
        <v>49089226</v>
      </c>
      <c r="K28" s="18" t="s">
        <v>72</v>
      </c>
      <c r="L28" s="18"/>
      <c r="M28" s="18"/>
      <c r="N28" s="18" t="s">
        <v>73</v>
      </c>
      <c r="O28" s="18" t="s">
        <v>23</v>
      </c>
      <c r="P28" s="18">
        <v>0.55000000000000004</v>
      </c>
      <c r="Q28" s="18">
        <v>0.55000000000000004</v>
      </c>
      <c r="R28" s="19" t="s">
        <v>24</v>
      </c>
      <c r="S28" s="19">
        <v>2400</v>
      </c>
      <c r="T28" s="19">
        <v>339600</v>
      </c>
      <c r="U28" s="19">
        <v>257750</v>
      </c>
      <c r="V28" s="19">
        <v>0</v>
      </c>
      <c r="W28" s="19">
        <v>0</v>
      </c>
      <c r="X28" s="19">
        <v>0</v>
      </c>
      <c r="Y28" s="19">
        <v>2650</v>
      </c>
      <c r="Z28" s="19">
        <v>12850</v>
      </c>
      <c r="AA28" s="19">
        <v>0</v>
      </c>
      <c r="AB28" s="19">
        <v>0</v>
      </c>
      <c r="AC28" s="19">
        <v>66350</v>
      </c>
      <c r="AD28" s="19">
        <v>341415</v>
      </c>
      <c r="AE28" s="19">
        <v>257750</v>
      </c>
      <c r="AF28" s="19">
        <v>0</v>
      </c>
      <c r="AG28" s="19">
        <v>0</v>
      </c>
      <c r="AH28" s="19">
        <v>0</v>
      </c>
      <c r="AI28" s="19">
        <v>3180</v>
      </c>
      <c r="AJ28" s="19">
        <v>14135</v>
      </c>
      <c r="AK28" s="19">
        <v>0</v>
      </c>
      <c r="AL28" s="19">
        <v>0</v>
      </c>
      <c r="AM28" s="19">
        <v>66350</v>
      </c>
      <c r="AN28" s="19">
        <v>187778</v>
      </c>
      <c r="AO28" s="19">
        <v>0</v>
      </c>
      <c r="AP28" s="19">
        <v>187778</v>
      </c>
    </row>
    <row r="29" spans="1:42" x14ac:dyDescent="0.4">
      <c r="A29" s="18" t="s">
        <v>48</v>
      </c>
      <c r="B29" s="18" t="s">
        <v>83</v>
      </c>
      <c r="C29" s="18" t="s">
        <v>84</v>
      </c>
      <c r="D29" s="18" t="s">
        <v>85</v>
      </c>
      <c r="E29" s="18" t="s">
        <v>86</v>
      </c>
      <c r="F29" s="18" t="s">
        <v>49</v>
      </c>
      <c r="G29" s="18" t="s">
        <v>20</v>
      </c>
      <c r="H29" s="18" t="s">
        <v>21</v>
      </c>
      <c r="I29" s="18" t="s">
        <v>22</v>
      </c>
      <c r="J29" s="18">
        <v>49089226</v>
      </c>
      <c r="K29" s="18" t="s">
        <v>72</v>
      </c>
      <c r="L29" s="18"/>
      <c r="M29" s="18"/>
      <c r="N29" s="18" t="s">
        <v>73</v>
      </c>
      <c r="O29" s="18" t="s">
        <v>23</v>
      </c>
      <c r="P29" s="18">
        <v>0.55000000000000004</v>
      </c>
      <c r="Q29" s="18">
        <v>0.55000000000000004</v>
      </c>
      <c r="R29" s="19" t="s">
        <v>24</v>
      </c>
      <c r="S29" s="19">
        <v>9200</v>
      </c>
      <c r="T29" s="19">
        <v>359800</v>
      </c>
      <c r="U29" s="19">
        <v>308750</v>
      </c>
      <c r="V29" s="19">
        <v>0</v>
      </c>
      <c r="W29" s="19">
        <v>0</v>
      </c>
      <c r="X29" s="19">
        <v>0</v>
      </c>
      <c r="Y29" s="19">
        <v>-2250</v>
      </c>
      <c r="Z29" s="19">
        <v>35000</v>
      </c>
      <c r="AA29" s="19">
        <v>0</v>
      </c>
      <c r="AB29" s="19">
        <v>0</v>
      </c>
      <c r="AC29" s="19">
        <v>18300</v>
      </c>
      <c r="AD29" s="19">
        <v>362850</v>
      </c>
      <c r="AE29" s="19">
        <v>308750</v>
      </c>
      <c r="AF29" s="19">
        <v>0</v>
      </c>
      <c r="AG29" s="19">
        <v>0</v>
      </c>
      <c r="AH29" s="19">
        <v>0</v>
      </c>
      <c r="AI29" s="19">
        <v>-2700</v>
      </c>
      <c r="AJ29" s="19">
        <v>38500</v>
      </c>
      <c r="AK29" s="19">
        <v>0</v>
      </c>
      <c r="AL29" s="19">
        <v>0</v>
      </c>
      <c r="AM29" s="19">
        <v>18300</v>
      </c>
      <c r="AN29" s="19">
        <v>199568</v>
      </c>
      <c r="AO29" s="19">
        <v>0</v>
      </c>
      <c r="AP29" s="19">
        <v>199568</v>
      </c>
    </row>
    <row r="30" spans="1:42" x14ac:dyDescent="0.4">
      <c r="A30" s="18" t="s">
        <v>48</v>
      </c>
      <c r="B30" s="18" t="s">
        <v>83</v>
      </c>
      <c r="C30" s="18" t="s">
        <v>84</v>
      </c>
      <c r="D30" s="18" t="s">
        <v>85</v>
      </c>
      <c r="E30" s="18" t="s">
        <v>86</v>
      </c>
      <c r="F30" s="18" t="s">
        <v>49</v>
      </c>
      <c r="G30" s="18" t="s">
        <v>20</v>
      </c>
      <c r="H30" s="18" t="s">
        <v>21</v>
      </c>
      <c r="I30" s="18" t="s">
        <v>22</v>
      </c>
      <c r="J30" s="18">
        <v>49089226</v>
      </c>
      <c r="K30" s="18" t="s">
        <v>72</v>
      </c>
      <c r="L30" s="18"/>
      <c r="M30" s="18"/>
      <c r="N30" s="18" t="s">
        <v>73</v>
      </c>
      <c r="O30" s="18" t="s">
        <v>23</v>
      </c>
      <c r="P30" s="18">
        <v>0.55000000000000004</v>
      </c>
      <c r="Q30" s="18">
        <v>0.55000000000000004</v>
      </c>
      <c r="R30" s="19" t="s">
        <v>24</v>
      </c>
      <c r="S30" s="19">
        <v>18000</v>
      </c>
      <c r="T30" s="19">
        <v>180600</v>
      </c>
      <c r="U30" s="19">
        <v>144600</v>
      </c>
      <c r="V30" s="19">
        <v>0</v>
      </c>
      <c r="W30" s="19">
        <v>0</v>
      </c>
      <c r="X30" s="19">
        <v>0</v>
      </c>
      <c r="Y30" s="19">
        <v>0</v>
      </c>
      <c r="Z30" s="19">
        <v>36000</v>
      </c>
      <c r="AA30" s="19">
        <v>0</v>
      </c>
      <c r="AB30" s="19">
        <v>0</v>
      </c>
      <c r="AC30" s="19">
        <v>0</v>
      </c>
      <c r="AD30" s="19">
        <v>184200</v>
      </c>
      <c r="AE30" s="19">
        <v>144600</v>
      </c>
      <c r="AF30" s="19">
        <v>0</v>
      </c>
      <c r="AG30" s="19">
        <v>0</v>
      </c>
      <c r="AH30" s="19">
        <v>0</v>
      </c>
      <c r="AI30" s="19">
        <v>0</v>
      </c>
      <c r="AJ30" s="19">
        <v>39600</v>
      </c>
      <c r="AK30" s="19">
        <v>0</v>
      </c>
      <c r="AL30" s="19">
        <v>0</v>
      </c>
      <c r="AM30" s="19">
        <v>0</v>
      </c>
      <c r="AN30" s="19">
        <v>101310</v>
      </c>
      <c r="AO30" s="19">
        <v>0</v>
      </c>
      <c r="AP30" s="19">
        <v>101310</v>
      </c>
    </row>
    <row r="31" spans="1:42" x14ac:dyDescent="0.4">
      <c r="A31" s="18" t="s">
        <v>48</v>
      </c>
      <c r="B31" s="18" t="s">
        <v>83</v>
      </c>
      <c r="C31" s="18" t="s">
        <v>84</v>
      </c>
      <c r="D31" s="18" t="s">
        <v>85</v>
      </c>
      <c r="E31" s="18" t="s">
        <v>86</v>
      </c>
      <c r="F31" s="18" t="s">
        <v>49</v>
      </c>
      <c r="G31" s="18" t="s">
        <v>20</v>
      </c>
      <c r="H31" s="18" t="s">
        <v>21</v>
      </c>
      <c r="I31" s="18" t="s">
        <v>22</v>
      </c>
      <c r="J31" s="18">
        <v>49231182</v>
      </c>
      <c r="K31" s="18" t="s">
        <v>141</v>
      </c>
      <c r="L31" s="18"/>
      <c r="M31" s="18"/>
      <c r="N31" s="18" t="s">
        <v>64</v>
      </c>
      <c r="O31" s="18" t="s">
        <v>23</v>
      </c>
      <c r="P31" s="18">
        <v>0.55000000000000004</v>
      </c>
      <c r="Q31" s="18">
        <v>0.55000000000000004</v>
      </c>
      <c r="R31" s="19" t="s">
        <v>25</v>
      </c>
      <c r="S31" s="19">
        <v>100</v>
      </c>
      <c r="T31" s="19">
        <v>21600</v>
      </c>
      <c r="U31" s="19">
        <v>6650</v>
      </c>
      <c r="V31" s="19">
        <v>0</v>
      </c>
      <c r="W31" s="19">
        <v>0</v>
      </c>
      <c r="X31" s="19">
        <v>0</v>
      </c>
      <c r="Y31" s="19">
        <v>0</v>
      </c>
      <c r="Z31" s="19">
        <v>100</v>
      </c>
      <c r="AA31" s="19">
        <v>0</v>
      </c>
      <c r="AB31" s="19">
        <v>0</v>
      </c>
      <c r="AC31" s="19">
        <v>14850</v>
      </c>
      <c r="AD31" s="19">
        <v>21610</v>
      </c>
      <c r="AE31" s="19">
        <v>6650</v>
      </c>
      <c r="AF31" s="19">
        <v>0</v>
      </c>
      <c r="AG31" s="19">
        <v>0</v>
      </c>
      <c r="AH31" s="19">
        <v>0</v>
      </c>
      <c r="AI31" s="19">
        <v>0</v>
      </c>
      <c r="AJ31" s="19">
        <v>110</v>
      </c>
      <c r="AK31" s="19">
        <v>0</v>
      </c>
      <c r="AL31" s="19">
        <v>0</v>
      </c>
      <c r="AM31" s="19">
        <v>14850</v>
      </c>
      <c r="AN31" s="19">
        <v>11886</v>
      </c>
      <c r="AO31" s="19">
        <v>0</v>
      </c>
      <c r="AP31" s="19">
        <v>11886</v>
      </c>
    </row>
    <row r="32" spans="1:42" x14ac:dyDescent="0.4">
      <c r="A32" s="18" t="s">
        <v>48</v>
      </c>
      <c r="B32" s="18" t="s">
        <v>83</v>
      </c>
      <c r="C32" s="18" t="s">
        <v>84</v>
      </c>
      <c r="D32" s="18" t="s">
        <v>85</v>
      </c>
      <c r="E32" s="18" t="s">
        <v>86</v>
      </c>
      <c r="F32" s="18" t="s">
        <v>49</v>
      </c>
      <c r="G32" s="18" t="s">
        <v>20</v>
      </c>
      <c r="H32" s="18" t="s">
        <v>21</v>
      </c>
      <c r="I32" s="18" t="s">
        <v>22</v>
      </c>
      <c r="J32" s="18">
        <v>49231182</v>
      </c>
      <c r="K32" s="18" t="s">
        <v>141</v>
      </c>
      <c r="L32" s="18"/>
      <c r="M32" s="18"/>
      <c r="N32" s="18" t="s">
        <v>64</v>
      </c>
      <c r="O32" s="18" t="s">
        <v>23</v>
      </c>
      <c r="P32" s="18">
        <v>0.55000000000000004</v>
      </c>
      <c r="Q32" s="18">
        <v>0.55000000000000004</v>
      </c>
      <c r="R32" s="19" t="s">
        <v>24</v>
      </c>
      <c r="S32" s="19">
        <v>1800</v>
      </c>
      <c r="T32" s="19">
        <v>41100</v>
      </c>
      <c r="U32" s="19">
        <v>29000</v>
      </c>
      <c r="V32" s="19">
        <v>0</v>
      </c>
      <c r="W32" s="19">
        <v>0</v>
      </c>
      <c r="X32" s="19">
        <v>0</v>
      </c>
      <c r="Y32" s="19">
        <v>0</v>
      </c>
      <c r="Z32" s="19">
        <v>5400</v>
      </c>
      <c r="AA32" s="19">
        <v>0</v>
      </c>
      <c r="AB32" s="19">
        <v>0</v>
      </c>
      <c r="AC32" s="19">
        <v>6700</v>
      </c>
      <c r="AD32" s="19">
        <v>41640</v>
      </c>
      <c r="AE32" s="19">
        <v>29000</v>
      </c>
      <c r="AF32" s="19">
        <v>0</v>
      </c>
      <c r="AG32" s="19">
        <v>0</v>
      </c>
      <c r="AH32" s="19">
        <v>0</v>
      </c>
      <c r="AI32" s="19">
        <v>0</v>
      </c>
      <c r="AJ32" s="19">
        <v>5940</v>
      </c>
      <c r="AK32" s="19">
        <v>0</v>
      </c>
      <c r="AL32" s="19">
        <v>0</v>
      </c>
      <c r="AM32" s="19">
        <v>6700</v>
      </c>
      <c r="AN32" s="19">
        <v>22902</v>
      </c>
      <c r="AO32" s="19">
        <v>0</v>
      </c>
      <c r="AP32" s="19">
        <v>22902</v>
      </c>
    </row>
    <row r="33" spans="1:42" x14ac:dyDescent="0.4">
      <c r="A33" s="18" t="s">
        <v>48</v>
      </c>
      <c r="B33" s="18" t="s">
        <v>83</v>
      </c>
      <c r="C33" s="18" t="s">
        <v>84</v>
      </c>
      <c r="D33" s="18" t="s">
        <v>85</v>
      </c>
      <c r="E33" s="18" t="s">
        <v>86</v>
      </c>
      <c r="F33" s="18" t="s">
        <v>49</v>
      </c>
      <c r="G33" s="18" t="s">
        <v>20</v>
      </c>
      <c r="H33" s="18" t="s">
        <v>21</v>
      </c>
      <c r="I33" s="18" t="s">
        <v>22</v>
      </c>
      <c r="J33" s="18">
        <v>49231182</v>
      </c>
      <c r="K33" s="18" t="s">
        <v>141</v>
      </c>
      <c r="L33" s="18"/>
      <c r="M33" s="18"/>
      <c r="N33" s="18" t="s">
        <v>64</v>
      </c>
      <c r="O33" s="18" t="s">
        <v>23</v>
      </c>
      <c r="P33" s="18">
        <v>0.55000000000000004</v>
      </c>
      <c r="Q33" s="18">
        <v>0.55000000000000004</v>
      </c>
      <c r="R33" s="19" t="s">
        <v>24</v>
      </c>
      <c r="S33" s="19">
        <v>4500</v>
      </c>
      <c r="T33" s="19">
        <v>11700</v>
      </c>
      <c r="U33" s="19">
        <v>11700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11700</v>
      </c>
      <c r="AE33" s="19">
        <v>11700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6435</v>
      </c>
      <c r="AO33" s="19">
        <v>0</v>
      </c>
      <c r="AP33" s="19">
        <v>6435</v>
      </c>
    </row>
    <row r="34" spans="1:42" x14ac:dyDescent="0.4">
      <c r="A34" s="18" t="s">
        <v>48</v>
      </c>
      <c r="B34" s="18" t="s">
        <v>83</v>
      </c>
      <c r="C34" s="18" t="s">
        <v>84</v>
      </c>
      <c r="D34" s="18" t="s">
        <v>85</v>
      </c>
      <c r="E34" s="18" t="s">
        <v>86</v>
      </c>
      <c r="F34" s="18" t="s">
        <v>49</v>
      </c>
      <c r="G34" s="18" t="s">
        <v>20</v>
      </c>
      <c r="H34" s="18" t="s">
        <v>21</v>
      </c>
      <c r="I34" s="18" t="s">
        <v>22</v>
      </c>
      <c r="J34" s="18">
        <v>49394422</v>
      </c>
      <c r="K34" s="18" t="s">
        <v>142</v>
      </c>
      <c r="L34" s="18"/>
      <c r="M34" s="18"/>
      <c r="N34" s="18" t="s">
        <v>64</v>
      </c>
      <c r="O34" s="18" t="s">
        <v>23</v>
      </c>
      <c r="P34" s="18">
        <v>0.55000000000000004</v>
      </c>
      <c r="Q34" s="18">
        <v>0.55000000000000004</v>
      </c>
      <c r="R34" s="19" t="s">
        <v>25</v>
      </c>
      <c r="S34" s="19">
        <v>100</v>
      </c>
      <c r="T34" s="19">
        <v>33300</v>
      </c>
      <c r="U34" s="19">
        <v>5450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27850</v>
      </c>
      <c r="AD34" s="19">
        <v>33300</v>
      </c>
      <c r="AE34" s="19">
        <v>5450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27850</v>
      </c>
      <c r="AN34" s="19">
        <v>18315</v>
      </c>
      <c r="AO34" s="19">
        <v>0</v>
      </c>
      <c r="AP34" s="19">
        <v>18315</v>
      </c>
    </row>
    <row r="35" spans="1:42" x14ac:dyDescent="0.4">
      <c r="A35" s="18" t="s">
        <v>48</v>
      </c>
      <c r="B35" s="18" t="s">
        <v>83</v>
      </c>
      <c r="C35" s="18" t="s">
        <v>84</v>
      </c>
      <c r="D35" s="18" t="s">
        <v>85</v>
      </c>
      <c r="E35" s="18" t="s">
        <v>86</v>
      </c>
      <c r="F35" s="18" t="s">
        <v>49</v>
      </c>
      <c r="G35" s="18" t="s">
        <v>20</v>
      </c>
      <c r="H35" s="18" t="s">
        <v>21</v>
      </c>
      <c r="I35" s="18" t="s">
        <v>22</v>
      </c>
      <c r="J35" s="18">
        <v>49394422</v>
      </c>
      <c r="K35" s="18" t="s">
        <v>142</v>
      </c>
      <c r="L35" s="18"/>
      <c r="M35" s="18"/>
      <c r="N35" s="18" t="s">
        <v>64</v>
      </c>
      <c r="O35" s="18" t="s">
        <v>23</v>
      </c>
      <c r="P35" s="18">
        <v>0.55000000000000004</v>
      </c>
      <c r="Q35" s="18">
        <v>0.55000000000000004</v>
      </c>
      <c r="R35" s="19" t="s">
        <v>24</v>
      </c>
      <c r="S35" s="19">
        <v>1800</v>
      </c>
      <c r="T35" s="19">
        <v>46800</v>
      </c>
      <c r="U35" s="19">
        <v>30100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16700</v>
      </c>
      <c r="AD35" s="19">
        <v>46800</v>
      </c>
      <c r="AE35" s="19">
        <v>30100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16700</v>
      </c>
      <c r="AN35" s="19">
        <v>25740</v>
      </c>
      <c r="AO35" s="19">
        <v>0</v>
      </c>
      <c r="AP35" s="19">
        <v>25740</v>
      </c>
    </row>
    <row r="36" spans="1:42" x14ac:dyDescent="0.4">
      <c r="A36" s="18" t="s">
        <v>48</v>
      </c>
      <c r="B36" s="18" t="s">
        <v>83</v>
      </c>
      <c r="C36" s="18" t="s">
        <v>84</v>
      </c>
      <c r="D36" s="18" t="s">
        <v>85</v>
      </c>
      <c r="E36" s="18" t="s">
        <v>86</v>
      </c>
      <c r="F36" s="18" t="s">
        <v>49</v>
      </c>
      <c r="G36" s="18" t="s">
        <v>20</v>
      </c>
      <c r="H36" s="18" t="s">
        <v>21</v>
      </c>
      <c r="I36" s="18" t="s">
        <v>22</v>
      </c>
      <c r="J36" s="18">
        <v>49394422</v>
      </c>
      <c r="K36" s="18" t="s">
        <v>142</v>
      </c>
      <c r="L36" s="18"/>
      <c r="M36" s="18"/>
      <c r="N36" s="18" t="s">
        <v>64</v>
      </c>
      <c r="O36" s="18" t="s">
        <v>23</v>
      </c>
      <c r="P36" s="18">
        <v>0.55000000000000004</v>
      </c>
      <c r="Q36" s="18">
        <v>0.55000000000000004</v>
      </c>
      <c r="R36" s="19" t="s">
        <v>24</v>
      </c>
      <c r="S36" s="19">
        <v>4500</v>
      </c>
      <c r="T36" s="19">
        <v>8100</v>
      </c>
      <c r="U36" s="19">
        <v>8850</v>
      </c>
      <c r="V36" s="19">
        <v>0</v>
      </c>
      <c r="W36" s="19">
        <v>0</v>
      </c>
      <c r="X36" s="19">
        <v>0</v>
      </c>
      <c r="Y36" s="19">
        <v>-900</v>
      </c>
      <c r="Z36" s="19">
        <v>0</v>
      </c>
      <c r="AA36" s="19">
        <v>0</v>
      </c>
      <c r="AB36" s="19">
        <v>0</v>
      </c>
      <c r="AC36" s="19">
        <v>150</v>
      </c>
      <c r="AD36" s="19">
        <v>7920</v>
      </c>
      <c r="AE36" s="19">
        <v>8850</v>
      </c>
      <c r="AF36" s="19">
        <v>0</v>
      </c>
      <c r="AG36" s="19">
        <v>0</v>
      </c>
      <c r="AH36" s="19">
        <v>0</v>
      </c>
      <c r="AI36" s="19">
        <v>-1080</v>
      </c>
      <c r="AJ36" s="19">
        <v>0</v>
      </c>
      <c r="AK36" s="19">
        <v>0</v>
      </c>
      <c r="AL36" s="19">
        <v>0</v>
      </c>
      <c r="AM36" s="19">
        <v>150</v>
      </c>
      <c r="AN36" s="19">
        <v>4356</v>
      </c>
      <c r="AO36" s="19">
        <v>0</v>
      </c>
      <c r="AP36" s="19">
        <v>4356</v>
      </c>
    </row>
    <row r="37" spans="1:42" x14ac:dyDescent="0.4">
      <c r="A37" s="18" t="s">
        <v>48</v>
      </c>
      <c r="B37" s="18" t="s">
        <v>83</v>
      </c>
      <c r="C37" s="18" t="s">
        <v>84</v>
      </c>
      <c r="D37" s="18" t="s">
        <v>85</v>
      </c>
      <c r="E37" s="18" t="s">
        <v>86</v>
      </c>
      <c r="F37" s="18" t="s">
        <v>49</v>
      </c>
      <c r="G37" s="18" t="s">
        <v>20</v>
      </c>
      <c r="H37" s="18" t="s">
        <v>21</v>
      </c>
      <c r="I37" s="18" t="s">
        <v>22</v>
      </c>
      <c r="J37" s="18">
        <v>49394422</v>
      </c>
      <c r="K37" s="18" t="s">
        <v>142</v>
      </c>
      <c r="L37" s="18"/>
      <c r="M37" s="18"/>
      <c r="N37" s="18" t="s">
        <v>64</v>
      </c>
      <c r="O37" s="18" t="s">
        <v>23</v>
      </c>
      <c r="P37" s="18">
        <v>0.55000000000000004</v>
      </c>
      <c r="Q37" s="18">
        <v>0.55000000000000004</v>
      </c>
      <c r="R37" s="19" t="s">
        <v>24</v>
      </c>
      <c r="S37" s="19">
        <v>9000</v>
      </c>
      <c r="T37" s="19">
        <v>9000</v>
      </c>
      <c r="U37" s="19">
        <v>9000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9000</v>
      </c>
      <c r="AE37" s="19">
        <v>9000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4950</v>
      </c>
      <c r="AO37" s="19">
        <v>0</v>
      </c>
      <c r="AP37" s="19">
        <v>4950</v>
      </c>
    </row>
    <row r="38" spans="1:42" x14ac:dyDescent="0.4">
      <c r="A38" s="18" t="s">
        <v>48</v>
      </c>
      <c r="B38" s="18" t="s">
        <v>83</v>
      </c>
      <c r="C38" s="18" t="s">
        <v>84</v>
      </c>
      <c r="D38" s="18" t="s">
        <v>85</v>
      </c>
      <c r="E38" s="18" t="s">
        <v>86</v>
      </c>
      <c r="F38" s="18" t="s">
        <v>49</v>
      </c>
      <c r="G38" s="18" t="s">
        <v>20</v>
      </c>
      <c r="H38" s="18" t="s">
        <v>21</v>
      </c>
      <c r="I38" s="18" t="s">
        <v>22</v>
      </c>
      <c r="J38" s="18">
        <v>49403666</v>
      </c>
      <c r="K38" s="18" t="s">
        <v>135</v>
      </c>
      <c r="L38" s="18"/>
      <c r="M38" s="18"/>
      <c r="N38" s="18" t="s">
        <v>64</v>
      </c>
      <c r="O38" s="18" t="s">
        <v>23</v>
      </c>
      <c r="P38" s="18">
        <v>0.55000000000000004</v>
      </c>
      <c r="Q38" s="18">
        <v>0.55000000000000004</v>
      </c>
      <c r="R38" s="19" t="s">
        <v>25</v>
      </c>
      <c r="S38" s="19">
        <v>100</v>
      </c>
      <c r="T38" s="19">
        <v>56000</v>
      </c>
      <c r="U38" s="19">
        <v>9800</v>
      </c>
      <c r="V38" s="19">
        <v>0</v>
      </c>
      <c r="W38" s="19">
        <v>0</v>
      </c>
      <c r="X38" s="19">
        <v>0</v>
      </c>
      <c r="Y38" s="19">
        <v>0</v>
      </c>
      <c r="Z38" s="19">
        <v>800</v>
      </c>
      <c r="AA38" s="19">
        <v>0</v>
      </c>
      <c r="AB38" s="19">
        <v>0</v>
      </c>
      <c r="AC38" s="19">
        <v>45400</v>
      </c>
      <c r="AD38" s="19">
        <v>56080</v>
      </c>
      <c r="AE38" s="19">
        <v>9800</v>
      </c>
      <c r="AF38" s="19">
        <v>0</v>
      </c>
      <c r="AG38" s="19">
        <v>0</v>
      </c>
      <c r="AH38" s="19">
        <v>0</v>
      </c>
      <c r="AI38" s="19">
        <v>0</v>
      </c>
      <c r="AJ38" s="19">
        <v>880</v>
      </c>
      <c r="AK38" s="19">
        <v>0</v>
      </c>
      <c r="AL38" s="19">
        <v>0</v>
      </c>
      <c r="AM38" s="19">
        <v>45400</v>
      </c>
      <c r="AN38" s="19">
        <v>30844</v>
      </c>
      <c r="AO38" s="19">
        <v>0</v>
      </c>
      <c r="AP38" s="19">
        <v>30844</v>
      </c>
    </row>
    <row r="39" spans="1:42" x14ac:dyDescent="0.4">
      <c r="A39" s="18" t="s">
        <v>48</v>
      </c>
      <c r="B39" s="18" t="s">
        <v>83</v>
      </c>
      <c r="C39" s="18" t="s">
        <v>84</v>
      </c>
      <c r="D39" s="18" t="s">
        <v>85</v>
      </c>
      <c r="E39" s="18" t="s">
        <v>86</v>
      </c>
      <c r="F39" s="18" t="s">
        <v>49</v>
      </c>
      <c r="G39" s="18" t="s">
        <v>20</v>
      </c>
      <c r="H39" s="18" t="s">
        <v>21</v>
      </c>
      <c r="I39" s="18" t="s">
        <v>22</v>
      </c>
      <c r="J39" s="18">
        <v>49403666</v>
      </c>
      <c r="K39" s="18" t="s">
        <v>135</v>
      </c>
      <c r="L39" s="18"/>
      <c r="M39" s="18"/>
      <c r="N39" s="18" t="s">
        <v>64</v>
      </c>
      <c r="O39" s="18" t="s">
        <v>23</v>
      </c>
      <c r="P39" s="18">
        <v>0.55000000000000004</v>
      </c>
      <c r="Q39" s="18">
        <v>0.55000000000000004</v>
      </c>
      <c r="R39" s="19" t="s">
        <v>24</v>
      </c>
      <c r="S39" s="19">
        <v>1800</v>
      </c>
      <c r="T39" s="19">
        <v>48200</v>
      </c>
      <c r="U39" s="19">
        <v>28000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20200</v>
      </c>
      <c r="AD39" s="19">
        <v>48200</v>
      </c>
      <c r="AE39" s="19">
        <v>28000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20200</v>
      </c>
      <c r="AN39" s="19">
        <v>26510</v>
      </c>
      <c r="AO39" s="19">
        <v>0</v>
      </c>
      <c r="AP39" s="19">
        <v>26510</v>
      </c>
    </row>
    <row r="40" spans="1:42" x14ac:dyDescent="0.4">
      <c r="A40" s="18" t="s">
        <v>48</v>
      </c>
      <c r="B40" s="18" t="s">
        <v>83</v>
      </c>
      <c r="C40" s="18" t="s">
        <v>84</v>
      </c>
      <c r="D40" s="18" t="s">
        <v>85</v>
      </c>
      <c r="E40" s="18" t="s">
        <v>86</v>
      </c>
      <c r="F40" s="18" t="s">
        <v>49</v>
      </c>
      <c r="G40" s="18" t="s">
        <v>20</v>
      </c>
      <c r="H40" s="18" t="s">
        <v>21</v>
      </c>
      <c r="I40" s="18" t="s">
        <v>22</v>
      </c>
      <c r="J40" s="18">
        <v>49403666</v>
      </c>
      <c r="K40" s="18" t="s">
        <v>135</v>
      </c>
      <c r="L40" s="18"/>
      <c r="M40" s="18"/>
      <c r="N40" s="18" t="s">
        <v>64</v>
      </c>
      <c r="O40" s="18" t="s">
        <v>23</v>
      </c>
      <c r="P40" s="18">
        <v>0.55000000000000004</v>
      </c>
      <c r="Q40" s="18">
        <v>0.55000000000000004</v>
      </c>
      <c r="R40" s="19" t="s">
        <v>24</v>
      </c>
      <c r="S40" s="19">
        <v>4500</v>
      </c>
      <c r="T40" s="19">
        <v>22500</v>
      </c>
      <c r="U40" s="19">
        <v>13200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9300</v>
      </c>
      <c r="AD40" s="19">
        <v>22500</v>
      </c>
      <c r="AE40" s="19">
        <v>13200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9300</v>
      </c>
      <c r="AN40" s="19">
        <v>12375</v>
      </c>
      <c r="AO40" s="19">
        <v>0</v>
      </c>
      <c r="AP40" s="19">
        <v>12375</v>
      </c>
    </row>
    <row r="41" spans="1:42" x14ac:dyDescent="0.4">
      <c r="A41" s="18" t="s">
        <v>48</v>
      </c>
      <c r="B41" s="18" t="s">
        <v>83</v>
      </c>
      <c r="C41" s="18" t="s">
        <v>84</v>
      </c>
      <c r="D41" s="18" t="s">
        <v>85</v>
      </c>
      <c r="E41" s="18" t="s">
        <v>86</v>
      </c>
      <c r="F41" s="18" t="s">
        <v>49</v>
      </c>
      <c r="G41" s="18" t="s">
        <v>20</v>
      </c>
      <c r="H41" s="18" t="s">
        <v>21</v>
      </c>
      <c r="I41" s="18" t="s">
        <v>22</v>
      </c>
      <c r="J41" s="18">
        <v>49403666</v>
      </c>
      <c r="K41" s="18" t="s">
        <v>135</v>
      </c>
      <c r="L41" s="18"/>
      <c r="M41" s="18"/>
      <c r="N41" s="18" t="s">
        <v>64</v>
      </c>
      <c r="O41" s="18" t="s">
        <v>23</v>
      </c>
      <c r="P41" s="18">
        <v>0.55000000000000004</v>
      </c>
      <c r="Q41" s="18">
        <v>0.55000000000000004</v>
      </c>
      <c r="R41" s="19" t="s">
        <v>24</v>
      </c>
      <c r="S41" s="19">
        <v>9000</v>
      </c>
      <c r="T41" s="19">
        <v>9000</v>
      </c>
      <c r="U41" s="19">
        <v>9000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9000</v>
      </c>
      <c r="AE41" s="19">
        <v>9000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4950</v>
      </c>
      <c r="AO41" s="19">
        <v>0</v>
      </c>
      <c r="AP41" s="19">
        <v>4950</v>
      </c>
    </row>
    <row r="42" spans="1:42" x14ac:dyDescent="0.4">
      <c r="A42" s="18" t="s">
        <v>48</v>
      </c>
      <c r="B42" s="18" t="s">
        <v>83</v>
      </c>
      <c r="C42" s="18" t="s">
        <v>84</v>
      </c>
      <c r="D42" s="18" t="s">
        <v>85</v>
      </c>
      <c r="E42" s="18" t="s">
        <v>86</v>
      </c>
      <c r="F42" s="18" t="s">
        <v>49</v>
      </c>
      <c r="G42" s="18" t="s">
        <v>20</v>
      </c>
      <c r="H42" s="18" t="s">
        <v>21</v>
      </c>
      <c r="I42" s="18" t="s">
        <v>22</v>
      </c>
      <c r="J42" s="18">
        <v>49689447</v>
      </c>
      <c r="K42" s="18" t="s">
        <v>79</v>
      </c>
      <c r="L42" s="18"/>
      <c r="M42" s="18"/>
      <c r="N42" s="18" t="s">
        <v>80</v>
      </c>
      <c r="O42" s="18" t="s">
        <v>23</v>
      </c>
      <c r="P42" s="18">
        <v>0.55000000000000004</v>
      </c>
      <c r="Q42" s="18">
        <v>0.55000000000000004</v>
      </c>
      <c r="R42" s="19" t="s">
        <v>25</v>
      </c>
      <c r="S42" s="19">
        <v>100</v>
      </c>
      <c r="T42" s="19">
        <v>178700</v>
      </c>
      <c r="U42" s="19">
        <v>40750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137950</v>
      </c>
      <c r="AD42" s="19">
        <v>178700</v>
      </c>
      <c r="AE42" s="19">
        <v>40750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137950</v>
      </c>
      <c r="AN42" s="19">
        <v>98285</v>
      </c>
      <c r="AO42" s="19">
        <v>0</v>
      </c>
      <c r="AP42" s="19">
        <v>98285</v>
      </c>
    </row>
    <row r="43" spans="1:42" x14ac:dyDescent="0.4">
      <c r="A43" s="18" t="s">
        <v>48</v>
      </c>
      <c r="B43" s="18" t="s">
        <v>83</v>
      </c>
      <c r="C43" s="18" t="s">
        <v>84</v>
      </c>
      <c r="D43" s="18" t="s">
        <v>85</v>
      </c>
      <c r="E43" s="18" t="s">
        <v>86</v>
      </c>
      <c r="F43" s="18" t="s">
        <v>49</v>
      </c>
      <c r="G43" s="18" t="s">
        <v>20</v>
      </c>
      <c r="H43" s="18" t="s">
        <v>21</v>
      </c>
      <c r="I43" s="18" t="s">
        <v>22</v>
      </c>
      <c r="J43" s="18">
        <v>49689447</v>
      </c>
      <c r="K43" s="18" t="s">
        <v>79</v>
      </c>
      <c r="L43" s="18"/>
      <c r="M43" s="18"/>
      <c r="N43" s="18" t="s">
        <v>80</v>
      </c>
      <c r="O43" s="18" t="s">
        <v>23</v>
      </c>
      <c r="P43" s="18">
        <v>0.55000000000000004</v>
      </c>
      <c r="Q43" s="18">
        <v>0.55000000000000004</v>
      </c>
      <c r="R43" s="19" t="s">
        <v>24</v>
      </c>
      <c r="S43" s="19">
        <v>2700</v>
      </c>
      <c r="T43" s="19">
        <v>68100</v>
      </c>
      <c r="U43" s="19">
        <v>46250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21850</v>
      </c>
      <c r="AD43" s="19">
        <v>68100</v>
      </c>
      <c r="AE43" s="19">
        <v>46250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21850</v>
      </c>
      <c r="AN43" s="19">
        <v>37455</v>
      </c>
      <c r="AO43" s="19">
        <v>0</v>
      </c>
      <c r="AP43" s="19">
        <v>37455</v>
      </c>
    </row>
    <row r="44" spans="1:42" x14ac:dyDescent="0.4">
      <c r="A44" s="18" t="s">
        <v>48</v>
      </c>
      <c r="B44" s="18" t="s">
        <v>83</v>
      </c>
      <c r="C44" s="18" t="s">
        <v>84</v>
      </c>
      <c r="D44" s="18" t="s">
        <v>85</v>
      </c>
      <c r="E44" s="18" t="s">
        <v>86</v>
      </c>
      <c r="F44" s="18" t="s">
        <v>49</v>
      </c>
      <c r="G44" s="18" t="s">
        <v>20</v>
      </c>
      <c r="H44" s="18" t="s">
        <v>21</v>
      </c>
      <c r="I44" s="18" t="s">
        <v>22</v>
      </c>
      <c r="J44" s="18">
        <v>49689447</v>
      </c>
      <c r="K44" s="18" t="s">
        <v>79</v>
      </c>
      <c r="L44" s="18"/>
      <c r="M44" s="18"/>
      <c r="N44" s="18" t="s">
        <v>80</v>
      </c>
      <c r="O44" s="18" t="s">
        <v>23</v>
      </c>
      <c r="P44" s="18">
        <v>0.55000000000000004</v>
      </c>
      <c r="Q44" s="18">
        <v>0.55000000000000004</v>
      </c>
      <c r="R44" s="19" t="s">
        <v>24</v>
      </c>
      <c r="S44" s="19">
        <v>5300</v>
      </c>
      <c r="T44" s="19">
        <v>51100</v>
      </c>
      <c r="U44" s="19">
        <v>49600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1500</v>
      </c>
      <c r="AD44" s="19">
        <v>51100</v>
      </c>
      <c r="AE44" s="19">
        <v>49600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1500</v>
      </c>
      <c r="AN44" s="19">
        <v>28105</v>
      </c>
      <c r="AO44" s="19">
        <v>0</v>
      </c>
      <c r="AP44" s="19">
        <v>28105</v>
      </c>
    </row>
    <row r="45" spans="1:42" x14ac:dyDescent="0.4">
      <c r="A45" s="18" t="s">
        <v>48</v>
      </c>
      <c r="B45" s="18" t="s">
        <v>83</v>
      </c>
      <c r="C45" s="18" t="s">
        <v>84</v>
      </c>
      <c r="D45" s="18" t="s">
        <v>85</v>
      </c>
      <c r="E45" s="18" t="s">
        <v>86</v>
      </c>
      <c r="F45" s="18" t="s">
        <v>49</v>
      </c>
      <c r="G45" s="18" t="s">
        <v>20</v>
      </c>
      <c r="H45" s="18" t="s">
        <v>21</v>
      </c>
      <c r="I45" s="18" t="s">
        <v>22</v>
      </c>
      <c r="J45" s="18">
        <v>49689447</v>
      </c>
      <c r="K45" s="18" t="s">
        <v>79</v>
      </c>
      <c r="L45" s="18"/>
      <c r="M45" s="18"/>
      <c r="N45" s="18" t="s">
        <v>80</v>
      </c>
      <c r="O45" s="18" t="s">
        <v>23</v>
      </c>
      <c r="P45" s="18">
        <v>0.55000000000000004</v>
      </c>
      <c r="Q45" s="18">
        <v>0.55000000000000004</v>
      </c>
      <c r="R45" s="19" t="s">
        <v>24</v>
      </c>
      <c r="S45" s="19">
        <v>7900</v>
      </c>
      <c r="T45" s="19">
        <v>32600</v>
      </c>
      <c r="U45" s="19">
        <v>31900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700</v>
      </c>
      <c r="AD45" s="19">
        <v>32600</v>
      </c>
      <c r="AE45" s="19">
        <v>31900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700</v>
      </c>
      <c r="AN45" s="19">
        <v>17930</v>
      </c>
      <c r="AO45" s="19">
        <v>0</v>
      </c>
      <c r="AP45" s="19">
        <v>17930</v>
      </c>
    </row>
    <row r="46" spans="1:42" x14ac:dyDescent="0.4">
      <c r="A46" s="18" t="s">
        <v>48</v>
      </c>
      <c r="B46" s="18" t="s">
        <v>83</v>
      </c>
      <c r="C46" s="18" t="s">
        <v>84</v>
      </c>
      <c r="D46" s="18" t="s">
        <v>85</v>
      </c>
      <c r="E46" s="18" t="s">
        <v>86</v>
      </c>
      <c r="F46" s="18" t="s">
        <v>49</v>
      </c>
      <c r="G46" s="18" t="s">
        <v>20</v>
      </c>
      <c r="H46" s="18" t="s">
        <v>21</v>
      </c>
      <c r="I46" s="18" t="s">
        <v>22</v>
      </c>
      <c r="J46" s="18">
        <v>49989820</v>
      </c>
      <c r="K46" s="18" t="s">
        <v>65</v>
      </c>
      <c r="L46" s="18"/>
      <c r="M46" s="18"/>
      <c r="N46" s="18" t="s">
        <v>58</v>
      </c>
      <c r="O46" s="18" t="s">
        <v>23</v>
      </c>
      <c r="P46" s="18">
        <v>0.55000000000000004</v>
      </c>
      <c r="Q46" s="18">
        <v>0.55000000000000004</v>
      </c>
      <c r="R46" s="19" t="s">
        <v>25</v>
      </c>
      <c r="S46" s="19">
        <v>100</v>
      </c>
      <c r="T46" s="19">
        <v>13500</v>
      </c>
      <c r="U46" s="19">
        <v>4050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9450</v>
      </c>
      <c r="AD46" s="19">
        <v>13500</v>
      </c>
      <c r="AE46" s="19">
        <v>4050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9450</v>
      </c>
      <c r="AN46" s="19">
        <v>7425</v>
      </c>
      <c r="AO46" s="19">
        <v>0</v>
      </c>
      <c r="AP46" s="19">
        <v>7425</v>
      </c>
    </row>
    <row r="47" spans="1:42" x14ac:dyDescent="0.4">
      <c r="A47" s="18" t="s">
        <v>48</v>
      </c>
      <c r="B47" s="18" t="s">
        <v>83</v>
      </c>
      <c r="C47" s="18" t="s">
        <v>84</v>
      </c>
      <c r="D47" s="18" t="s">
        <v>85</v>
      </c>
      <c r="E47" s="18" t="s">
        <v>86</v>
      </c>
      <c r="F47" s="18" t="s">
        <v>49</v>
      </c>
      <c r="G47" s="18" t="s">
        <v>20</v>
      </c>
      <c r="H47" s="18" t="s">
        <v>21</v>
      </c>
      <c r="I47" s="18" t="s">
        <v>22</v>
      </c>
      <c r="J47" s="18">
        <v>49989820</v>
      </c>
      <c r="K47" s="18" t="s">
        <v>65</v>
      </c>
      <c r="L47" s="18"/>
      <c r="M47" s="18"/>
      <c r="N47" s="18" t="s">
        <v>58</v>
      </c>
      <c r="O47" s="18" t="s">
        <v>23</v>
      </c>
      <c r="P47" s="18">
        <v>0.55000000000000004</v>
      </c>
      <c r="Q47" s="18">
        <v>0.55000000000000004</v>
      </c>
      <c r="R47" s="19" t="s">
        <v>24</v>
      </c>
      <c r="S47" s="19">
        <v>2400</v>
      </c>
      <c r="T47" s="19">
        <v>25500</v>
      </c>
      <c r="U47" s="19">
        <v>24500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1000</v>
      </c>
      <c r="AD47" s="19">
        <v>25500</v>
      </c>
      <c r="AE47" s="19">
        <v>24500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1000</v>
      </c>
      <c r="AN47" s="19">
        <v>14025</v>
      </c>
      <c r="AO47" s="19">
        <v>0</v>
      </c>
      <c r="AP47" s="19">
        <v>14025</v>
      </c>
    </row>
    <row r="48" spans="1:42" x14ac:dyDescent="0.4">
      <c r="A48" s="18" t="s">
        <v>48</v>
      </c>
      <c r="B48" s="18" t="s">
        <v>83</v>
      </c>
      <c r="C48" s="18" t="s">
        <v>84</v>
      </c>
      <c r="D48" s="18" t="s">
        <v>85</v>
      </c>
      <c r="E48" s="18" t="s">
        <v>86</v>
      </c>
      <c r="F48" s="18" t="s">
        <v>49</v>
      </c>
      <c r="G48" s="18" t="s">
        <v>20</v>
      </c>
      <c r="H48" s="18" t="s">
        <v>21</v>
      </c>
      <c r="I48" s="18" t="s">
        <v>22</v>
      </c>
      <c r="J48" s="18">
        <v>49989820</v>
      </c>
      <c r="K48" s="18" t="s">
        <v>65</v>
      </c>
      <c r="L48" s="18"/>
      <c r="M48" s="18"/>
      <c r="N48" s="18" t="s">
        <v>58</v>
      </c>
      <c r="O48" s="18" t="s">
        <v>23</v>
      </c>
      <c r="P48" s="18">
        <v>0.55000000000000004</v>
      </c>
      <c r="Q48" s="18">
        <v>0.55000000000000004</v>
      </c>
      <c r="R48" s="19" t="s">
        <v>24</v>
      </c>
      <c r="S48" s="19">
        <v>9000</v>
      </c>
      <c r="T48" s="19">
        <v>18000</v>
      </c>
      <c r="U48" s="19">
        <v>17600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400</v>
      </c>
      <c r="AD48" s="19">
        <v>18000</v>
      </c>
      <c r="AE48" s="19">
        <v>17600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400</v>
      </c>
      <c r="AN48" s="19">
        <v>9900</v>
      </c>
      <c r="AO48" s="19">
        <v>0</v>
      </c>
      <c r="AP48" s="19">
        <v>9900</v>
      </c>
    </row>
    <row r="49" spans="1:42" x14ac:dyDescent="0.4">
      <c r="A49" s="18" t="s">
        <v>48</v>
      </c>
      <c r="B49" s="18" t="s">
        <v>83</v>
      </c>
      <c r="C49" s="18" t="s">
        <v>84</v>
      </c>
      <c r="D49" s="18" t="s">
        <v>85</v>
      </c>
      <c r="E49" s="18" t="s">
        <v>86</v>
      </c>
      <c r="F49" s="18" t="s">
        <v>49</v>
      </c>
      <c r="G49" s="18" t="s">
        <v>20</v>
      </c>
      <c r="H49" s="18" t="s">
        <v>21</v>
      </c>
      <c r="I49" s="18" t="s">
        <v>22</v>
      </c>
      <c r="J49" s="18">
        <v>49989820</v>
      </c>
      <c r="K49" s="18" t="s">
        <v>65</v>
      </c>
      <c r="L49" s="18"/>
      <c r="M49" s="18"/>
      <c r="N49" s="18" t="s">
        <v>58</v>
      </c>
      <c r="O49" s="18" t="s">
        <v>23</v>
      </c>
      <c r="P49" s="18">
        <v>0.55000000000000004</v>
      </c>
      <c r="Q49" s="18">
        <v>0.55000000000000004</v>
      </c>
      <c r="R49" s="19" t="s">
        <v>24</v>
      </c>
      <c r="S49" s="19">
        <v>13500</v>
      </c>
      <c r="T49" s="19">
        <v>27000</v>
      </c>
      <c r="U49" s="19">
        <v>27000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27000</v>
      </c>
      <c r="AE49" s="19">
        <v>27000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14850</v>
      </c>
      <c r="AO49" s="19">
        <v>0</v>
      </c>
      <c r="AP49" s="19">
        <v>14850</v>
      </c>
    </row>
    <row r="50" spans="1:42" x14ac:dyDescent="0.4">
      <c r="A50" s="18" t="s">
        <v>48</v>
      </c>
      <c r="B50" s="18" t="s">
        <v>83</v>
      </c>
      <c r="C50" s="18" t="s">
        <v>84</v>
      </c>
      <c r="D50" s="18" t="s">
        <v>85</v>
      </c>
      <c r="E50" s="18" t="s">
        <v>86</v>
      </c>
      <c r="F50" s="18" t="s">
        <v>49</v>
      </c>
      <c r="G50" s="18" t="s">
        <v>20</v>
      </c>
      <c r="H50" s="18" t="s">
        <v>21</v>
      </c>
      <c r="I50" s="18" t="s">
        <v>22</v>
      </c>
      <c r="J50" s="18">
        <v>50171772</v>
      </c>
      <c r="K50" s="18" t="s">
        <v>71</v>
      </c>
      <c r="L50" s="18"/>
      <c r="M50" s="18"/>
      <c r="N50" s="18" t="s">
        <v>64</v>
      </c>
      <c r="O50" s="18" t="s">
        <v>23</v>
      </c>
      <c r="P50" s="18">
        <v>0.55000000000000004</v>
      </c>
      <c r="Q50" s="18">
        <v>0.55000000000000004</v>
      </c>
      <c r="R50" s="19" t="s">
        <v>25</v>
      </c>
      <c r="S50" s="19">
        <v>100</v>
      </c>
      <c r="T50" s="19">
        <v>2556300</v>
      </c>
      <c r="U50" s="19">
        <v>582400</v>
      </c>
      <c r="V50" s="19">
        <v>0</v>
      </c>
      <c r="W50" s="19">
        <v>0</v>
      </c>
      <c r="X50" s="19">
        <v>0</v>
      </c>
      <c r="Y50" s="19">
        <v>15250</v>
      </c>
      <c r="Z50" s="19">
        <v>12250</v>
      </c>
      <c r="AA50" s="19">
        <v>0</v>
      </c>
      <c r="AB50" s="19">
        <v>0</v>
      </c>
      <c r="AC50" s="19">
        <v>1946400</v>
      </c>
      <c r="AD50" s="19">
        <v>2560575</v>
      </c>
      <c r="AE50" s="19">
        <v>582400</v>
      </c>
      <c r="AF50" s="19">
        <v>0</v>
      </c>
      <c r="AG50" s="19">
        <v>0</v>
      </c>
      <c r="AH50" s="19">
        <v>0</v>
      </c>
      <c r="AI50" s="19">
        <v>18300</v>
      </c>
      <c r="AJ50" s="19">
        <v>13475</v>
      </c>
      <c r="AK50" s="19">
        <v>0</v>
      </c>
      <c r="AL50" s="19">
        <v>0</v>
      </c>
      <c r="AM50" s="19">
        <v>1946400</v>
      </c>
      <c r="AN50" s="19">
        <v>1408316</v>
      </c>
      <c r="AO50" s="19">
        <v>0</v>
      </c>
      <c r="AP50" s="19">
        <v>1408316</v>
      </c>
    </row>
    <row r="51" spans="1:42" x14ac:dyDescent="0.4">
      <c r="A51" s="18" t="s">
        <v>48</v>
      </c>
      <c r="B51" s="18" t="s">
        <v>83</v>
      </c>
      <c r="C51" s="18" t="s">
        <v>84</v>
      </c>
      <c r="D51" s="18" t="s">
        <v>85</v>
      </c>
      <c r="E51" s="18" t="s">
        <v>86</v>
      </c>
      <c r="F51" s="18" t="s">
        <v>49</v>
      </c>
      <c r="G51" s="18" t="s">
        <v>20</v>
      </c>
      <c r="H51" s="18" t="s">
        <v>21</v>
      </c>
      <c r="I51" s="18" t="s">
        <v>22</v>
      </c>
      <c r="J51" s="18">
        <v>50171772</v>
      </c>
      <c r="K51" s="18" t="s">
        <v>71</v>
      </c>
      <c r="L51" s="18"/>
      <c r="M51" s="18"/>
      <c r="N51" s="18" t="s">
        <v>64</v>
      </c>
      <c r="O51" s="18" t="s">
        <v>23</v>
      </c>
      <c r="P51" s="18">
        <v>0.55000000000000004</v>
      </c>
      <c r="Q51" s="18">
        <v>0.55000000000000004</v>
      </c>
      <c r="R51" s="19" t="s">
        <v>24</v>
      </c>
      <c r="S51" s="19">
        <v>2400</v>
      </c>
      <c r="T51" s="19">
        <v>2195900</v>
      </c>
      <c r="U51" s="19">
        <v>1661700</v>
      </c>
      <c r="V51" s="19">
        <v>0</v>
      </c>
      <c r="W51" s="19">
        <v>0</v>
      </c>
      <c r="X51" s="19">
        <v>0</v>
      </c>
      <c r="Y51" s="19">
        <v>1600</v>
      </c>
      <c r="Z51" s="19">
        <v>76300</v>
      </c>
      <c r="AA51" s="19">
        <v>0</v>
      </c>
      <c r="AB51" s="19">
        <v>0</v>
      </c>
      <c r="AC51" s="19">
        <v>456300</v>
      </c>
      <c r="AD51" s="19">
        <v>2203850</v>
      </c>
      <c r="AE51" s="19">
        <v>1661700</v>
      </c>
      <c r="AF51" s="19">
        <v>0</v>
      </c>
      <c r="AG51" s="19">
        <v>0</v>
      </c>
      <c r="AH51" s="19">
        <v>0</v>
      </c>
      <c r="AI51" s="19">
        <v>1920</v>
      </c>
      <c r="AJ51" s="19">
        <v>83930</v>
      </c>
      <c r="AK51" s="19">
        <v>0</v>
      </c>
      <c r="AL51" s="19">
        <v>0</v>
      </c>
      <c r="AM51" s="19">
        <v>456300</v>
      </c>
      <c r="AN51" s="19">
        <v>1212118</v>
      </c>
      <c r="AO51" s="19">
        <v>0</v>
      </c>
      <c r="AP51" s="19">
        <v>1212118</v>
      </c>
    </row>
    <row r="52" spans="1:42" x14ac:dyDescent="0.4">
      <c r="A52" s="18" t="s">
        <v>48</v>
      </c>
      <c r="B52" s="18" t="s">
        <v>83</v>
      </c>
      <c r="C52" s="18" t="s">
        <v>84</v>
      </c>
      <c r="D52" s="18" t="s">
        <v>85</v>
      </c>
      <c r="E52" s="18" t="s">
        <v>86</v>
      </c>
      <c r="F52" s="18" t="s">
        <v>49</v>
      </c>
      <c r="G52" s="18" t="s">
        <v>20</v>
      </c>
      <c r="H52" s="18" t="s">
        <v>21</v>
      </c>
      <c r="I52" s="18" t="s">
        <v>22</v>
      </c>
      <c r="J52" s="18">
        <v>50171772</v>
      </c>
      <c r="K52" s="18" t="s">
        <v>71</v>
      </c>
      <c r="L52" s="18"/>
      <c r="M52" s="18"/>
      <c r="N52" s="18" t="s">
        <v>64</v>
      </c>
      <c r="O52" s="18" t="s">
        <v>23</v>
      </c>
      <c r="P52" s="18">
        <v>0.55000000000000004</v>
      </c>
      <c r="Q52" s="18">
        <v>0.55000000000000004</v>
      </c>
      <c r="R52" s="19" t="s">
        <v>24</v>
      </c>
      <c r="S52" s="19">
        <v>9200</v>
      </c>
      <c r="T52" s="19">
        <v>1730800</v>
      </c>
      <c r="U52" s="19">
        <v>1511200</v>
      </c>
      <c r="V52" s="19">
        <v>0</v>
      </c>
      <c r="W52" s="19">
        <v>0</v>
      </c>
      <c r="X52" s="19">
        <v>0</v>
      </c>
      <c r="Y52" s="19">
        <v>18400</v>
      </c>
      <c r="Z52" s="19">
        <v>53500</v>
      </c>
      <c r="AA52" s="19">
        <v>0</v>
      </c>
      <c r="AB52" s="19">
        <v>0</v>
      </c>
      <c r="AC52" s="19">
        <v>147700</v>
      </c>
      <c r="AD52" s="19">
        <v>1739830</v>
      </c>
      <c r="AE52" s="19">
        <v>1511200</v>
      </c>
      <c r="AF52" s="19">
        <v>0</v>
      </c>
      <c r="AG52" s="19">
        <v>0</v>
      </c>
      <c r="AH52" s="19">
        <v>0</v>
      </c>
      <c r="AI52" s="19">
        <v>22080</v>
      </c>
      <c r="AJ52" s="19">
        <v>58850</v>
      </c>
      <c r="AK52" s="19">
        <v>0</v>
      </c>
      <c r="AL52" s="19">
        <v>0</v>
      </c>
      <c r="AM52" s="19">
        <v>147700</v>
      </c>
      <c r="AN52" s="19">
        <v>956907</v>
      </c>
      <c r="AO52" s="19">
        <v>0</v>
      </c>
      <c r="AP52" s="19">
        <v>956907</v>
      </c>
    </row>
    <row r="53" spans="1:42" x14ac:dyDescent="0.4">
      <c r="A53" s="18" t="s">
        <v>48</v>
      </c>
      <c r="B53" s="18" t="s">
        <v>83</v>
      </c>
      <c r="C53" s="18" t="s">
        <v>84</v>
      </c>
      <c r="D53" s="18" t="s">
        <v>85</v>
      </c>
      <c r="E53" s="18" t="s">
        <v>86</v>
      </c>
      <c r="F53" s="18" t="s">
        <v>49</v>
      </c>
      <c r="G53" s="18" t="s">
        <v>20</v>
      </c>
      <c r="H53" s="18" t="s">
        <v>21</v>
      </c>
      <c r="I53" s="18" t="s">
        <v>22</v>
      </c>
      <c r="J53" s="18">
        <v>50171772</v>
      </c>
      <c r="K53" s="18" t="s">
        <v>71</v>
      </c>
      <c r="L53" s="18"/>
      <c r="M53" s="18"/>
      <c r="N53" s="18" t="s">
        <v>64</v>
      </c>
      <c r="O53" s="18" t="s">
        <v>23</v>
      </c>
      <c r="P53" s="18">
        <v>0.55000000000000004</v>
      </c>
      <c r="Q53" s="18">
        <v>0.55000000000000004</v>
      </c>
      <c r="R53" s="19" t="s">
        <v>24</v>
      </c>
      <c r="S53" s="19">
        <v>18000</v>
      </c>
      <c r="T53" s="19">
        <v>789200</v>
      </c>
      <c r="U53" s="19">
        <v>684800</v>
      </c>
      <c r="V53" s="19">
        <v>0</v>
      </c>
      <c r="W53" s="19">
        <v>0</v>
      </c>
      <c r="X53" s="19">
        <v>-50</v>
      </c>
      <c r="Y53" s="19">
        <v>950</v>
      </c>
      <c r="Z53" s="19">
        <v>71050</v>
      </c>
      <c r="AA53" s="19">
        <v>-1250</v>
      </c>
      <c r="AB53" s="19">
        <v>0</v>
      </c>
      <c r="AC53" s="19">
        <v>33700</v>
      </c>
      <c r="AD53" s="19">
        <v>796103.08790000004</v>
      </c>
      <c r="AE53" s="19">
        <v>684800</v>
      </c>
      <c r="AF53" s="19">
        <v>0</v>
      </c>
      <c r="AG53" s="19">
        <v>0</v>
      </c>
      <c r="AH53" s="19">
        <v>-65.073499999999996</v>
      </c>
      <c r="AI53" s="19">
        <v>1140</v>
      </c>
      <c r="AJ53" s="19">
        <v>78155</v>
      </c>
      <c r="AK53" s="19">
        <v>-1626.8386</v>
      </c>
      <c r="AL53" s="19">
        <v>0</v>
      </c>
      <c r="AM53" s="19">
        <v>33700</v>
      </c>
      <c r="AN53" s="19">
        <v>437857</v>
      </c>
      <c r="AO53" s="19">
        <v>0</v>
      </c>
      <c r="AP53" s="19">
        <v>437857</v>
      </c>
    </row>
    <row r="54" spans="1:42" x14ac:dyDescent="0.4">
      <c r="A54" s="18" t="s">
        <v>48</v>
      </c>
      <c r="B54" s="18" t="s">
        <v>83</v>
      </c>
      <c r="C54" s="18" t="s">
        <v>84</v>
      </c>
      <c r="D54" s="18" t="s">
        <v>85</v>
      </c>
      <c r="E54" s="18" t="s">
        <v>86</v>
      </c>
      <c r="F54" s="18" t="s">
        <v>49</v>
      </c>
      <c r="G54" s="18" t="s">
        <v>20</v>
      </c>
      <c r="H54" s="18" t="s">
        <v>21</v>
      </c>
      <c r="I54" s="18" t="s">
        <v>22</v>
      </c>
      <c r="J54" s="18">
        <v>50982116</v>
      </c>
      <c r="K54" s="18" t="s">
        <v>59</v>
      </c>
      <c r="L54" s="18"/>
      <c r="M54" s="18"/>
      <c r="N54" s="18" t="s">
        <v>60</v>
      </c>
      <c r="O54" s="18" t="s">
        <v>23</v>
      </c>
      <c r="P54" s="18">
        <v>0.55000000000000004</v>
      </c>
      <c r="Q54" s="18">
        <v>0.55000000000000004</v>
      </c>
      <c r="R54" s="19" t="s">
        <v>25</v>
      </c>
      <c r="S54" s="19">
        <v>100</v>
      </c>
      <c r="T54" s="19">
        <v>49900</v>
      </c>
      <c r="U54" s="19">
        <v>14900</v>
      </c>
      <c r="V54" s="19">
        <v>0</v>
      </c>
      <c r="W54" s="19">
        <v>0</v>
      </c>
      <c r="X54" s="19">
        <v>0</v>
      </c>
      <c r="Y54" s="19">
        <v>100</v>
      </c>
      <c r="Z54" s="19">
        <v>0</v>
      </c>
      <c r="AA54" s="19">
        <v>0</v>
      </c>
      <c r="AB54" s="19">
        <v>0</v>
      </c>
      <c r="AC54" s="19">
        <v>34900</v>
      </c>
      <c r="AD54" s="19">
        <v>49920</v>
      </c>
      <c r="AE54" s="19">
        <v>14900</v>
      </c>
      <c r="AF54" s="19">
        <v>0</v>
      </c>
      <c r="AG54" s="19">
        <v>0</v>
      </c>
      <c r="AH54" s="19">
        <v>0</v>
      </c>
      <c r="AI54" s="19">
        <v>120</v>
      </c>
      <c r="AJ54" s="19">
        <v>0</v>
      </c>
      <c r="AK54" s="19">
        <v>0</v>
      </c>
      <c r="AL54" s="19">
        <v>0</v>
      </c>
      <c r="AM54" s="19">
        <v>34900</v>
      </c>
      <c r="AN54" s="19">
        <v>27456</v>
      </c>
      <c r="AO54" s="19">
        <v>0</v>
      </c>
      <c r="AP54" s="19">
        <v>27456</v>
      </c>
    </row>
    <row r="55" spans="1:42" x14ac:dyDescent="0.4">
      <c r="A55" s="18" t="s">
        <v>48</v>
      </c>
      <c r="B55" s="18" t="s">
        <v>83</v>
      </c>
      <c r="C55" s="18" t="s">
        <v>84</v>
      </c>
      <c r="D55" s="18" t="s">
        <v>85</v>
      </c>
      <c r="E55" s="18" t="s">
        <v>86</v>
      </c>
      <c r="F55" s="18" t="s">
        <v>49</v>
      </c>
      <c r="G55" s="18" t="s">
        <v>20</v>
      </c>
      <c r="H55" s="18" t="s">
        <v>21</v>
      </c>
      <c r="I55" s="18" t="s">
        <v>22</v>
      </c>
      <c r="J55" s="18">
        <v>50982116</v>
      </c>
      <c r="K55" s="18" t="s">
        <v>59</v>
      </c>
      <c r="L55" s="18"/>
      <c r="M55" s="18"/>
      <c r="N55" s="18" t="s">
        <v>60</v>
      </c>
      <c r="O55" s="18" t="s">
        <v>23</v>
      </c>
      <c r="P55" s="18">
        <v>0.55000000000000004</v>
      </c>
      <c r="Q55" s="18">
        <v>0.55000000000000004</v>
      </c>
      <c r="R55" s="19" t="s">
        <v>24</v>
      </c>
      <c r="S55" s="19">
        <v>2900</v>
      </c>
      <c r="T55" s="19">
        <v>33700</v>
      </c>
      <c r="U55" s="19">
        <v>33700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33700</v>
      </c>
      <c r="AE55" s="19">
        <v>33700</v>
      </c>
      <c r="AF55" s="19">
        <v>0</v>
      </c>
      <c r="AG55" s="19">
        <v>0</v>
      </c>
      <c r="AH55" s="19">
        <v>0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  <c r="AN55" s="19">
        <v>18535</v>
      </c>
      <c r="AO55" s="19">
        <v>0</v>
      </c>
      <c r="AP55" s="19">
        <v>18535</v>
      </c>
    </row>
    <row r="56" spans="1:42" x14ac:dyDescent="0.4">
      <c r="A56" s="18" t="s">
        <v>48</v>
      </c>
      <c r="B56" s="18" t="s">
        <v>83</v>
      </c>
      <c r="C56" s="18" t="s">
        <v>84</v>
      </c>
      <c r="D56" s="18" t="s">
        <v>85</v>
      </c>
      <c r="E56" s="18" t="s">
        <v>86</v>
      </c>
      <c r="F56" s="18" t="s">
        <v>49</v>
      </c>
      <c r="G56" s="18" t="s">
        <v>20</v>
      </c>
      <c r="H56" s="18" t="s">
        <v>21</v>
      </c>
      <c r="I56" s="18" t="s">
        <v>22</v>
      </c>
      <c r="J56" s="18">
        <v>50982116</v>
      </c>
      <c r="K56" s="18" t="s">
        <v>59</v>
      </c>
      <c r="L56" s="18"/>
      <c r="M56" s="18"/>
      <c r="N56" s="18" t="s">
        <v>60</v>
      </c>
      <c r="O56" s="18" t="s">
        <v>23</v>
      </c>
      <c r="P56" s="18">
        <v>0.55000000000000004</v>
      </c>
      <c r="Q56" s="18">
        <v>0.55000000000000004</v>
      </c>
      <c r="R56" s="19" t="s">
        <v>24</v>
      </c>
      <c r="S56" s="19">
        <v>9000</v>
      </c>
      <c r="T56" s="19">
        <v>9000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9000</v>
      </c>
      <c r="AD56" s="19">
        <v>9000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0</v>
      </c>
      <c r="AM56" s="19">
        <v>9000</v>
      </c>
      <c r="AN56" s="19">
        <v>4950</v>
      </c>
      <c r="AO56" s="19">
        <v>0</v>
      </c>
      <c r="AP56" s="19">
        <v>4950</v>
      </c>
    </row>
    <row r="57" spans="1:42" x14ac:dyDescent="0.4">
      <c r="A57" s="18" t="s">
        <v>48</v>
      </c>
      <c r="B57" s="18" t="s">
        <v>83</v>
      </c>
      <c r="C57" s="18" t="s">
        <v>84</v>
      </c>
      <c r="D57" s="18" t="s">
        <v>85</v>
      </c>
      <c r="E57" s="18" t="s">
        <v>86</v>
      </c>
      <c r="F57" s="18" t="s">
        <v>49</v>
      </c>
      <c r="G57" s="18" t="s">
        <v>20</v>
      </c>
      <c r="H57" s="18" t="s">
        <v>21</v>
      </c>
      <c r="I57" s="18" t="s">
        <v>22</v>
      </c>
      <c r="J57" s="18">
        <v>51057718</v>
      </c>
      <c r="K57" s="18" t="s">
        <v>125</v>
      </c>
      <c r="L57" s="18"/>
      <c r="M57" s="18"/>
      <c r="N57" s="18" t="s">
        <v>126</v>
      </c>
      <c r="O57" s="18" t="s">
        <v>23</v>
      </c>
      <c r="P57" s="18">
        <v>0.55000000000000004</v>
      </c>
      <c r="Q57" s="18">
        <v>0.55000000000000004</v>
      </c>
      <c r="R57" s="19" t="s">
        <v>24</v>
      </c>
      <c r="S57" s="19">
        <v>2400</v>
      </c>
      <c r="T57" s="19">
        <v>-900</v>
      </c>
      <c r="U57" s="19">
        <v>-900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-900</v>
      </c>
      <c r="AE57" s="19">
        <v>-900</v>
      </c>
      <c r="AF57" s="19">
        <v>0</v>
      </c>
      <c r="AG57" s="19">
        <v>0</v>
      </c>
      <c r="AH57" s="19">
        <v>0</v>
      </c>
      <c r="AI57" s="19">
        <v>0</v>
      </c>
      <c r="AJ57" s="19">
        <v>0</v>
      </c>
      <c r="AK57" s="19">
        <v>0</v>
      </c>
      <c r="AL57" s="19">
        <v>0</v>
      </c>
      <c r="AM57" s="19">
        <v>0</v>
      </c>
      <c r="AN57" s="19">
        <v>-495</v>
      </c>
      <c r="AO57" s="19">
        <v>0</v>
      </c>
      <c r="AP57" s="19">
        <v>-495</v>
      </c>
    </row>
    <row r="58" spans="1:42" x14ac:dyDescent="0.4">
      <c r="A58" s="18" t="s">
        <v>48</v>
      </c>
      <c r="B58" s="18" t="s">
        <v>83</v>
      </c>
      <c r="C58" s="18" t="s">
        <v>84</v>
      </c>
      <c r="D58" s="18" t="s">
        <v>85</v>
      </c>
      <c r="E58" s="18" t="s">
        <v>86</v>
      </c>
      <c r="F58" s="18" t="s">
        <v>49</v>
      </c>
      <c r="G58" s="18" t="s">
        <v>20</v>
      </c>
      <c r="H58" s="18" t="s">
        <v>21</v>
      </c>
      <c r="I58" s="18" t="s">
        <v>22</v>
      </c>
      <c r="J58" s="18">
        <v>51057718</v>
      </c>
      <c r="K58" s="18" t="s">
        <v>125</v>
      </c>
      <c r="L58" s="18"/>
      <c r="M58" s="18"/>
      <c r="N58" s="18" t="s">
        <v>126</v>
      </c>
      <c r="O58" s="18" t="s">
        <v>23</v>
      </c>
      <c r="P58" s="18">
        <v>0.55000000000000004</v>
      </c>
      <c r="Q58" s="18">
        <v>0.55000000000000004</v>
      </c>
      <c r="R58" s="19" t="s">
        <v>24</v>
      </c>
      <c r="S58" s="19">
        <v>9200</v>
      </c>
      <c r="T58" s="19">
        <v>-8700</v>
      </c>
      <c r="U58" s="19">
        <v>-8700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-8700</v>
      </c>
      <c r="AE58" s="19">
        <v>-8700</v>
      </c>
      <c r="AF58" s="19">
        <v>0</v>
      </c>
      <c r="AG58" s="19">
        <v>0</v>
      </c>
      <c r="AH58" s="19">
        <v>0</v>
      </c>
      <c r="AI58" s="19">
        <v>0</v>
      </c>
      <c r="AJ58" s="19">
        <v>0</v>
      </c>
      <c r="AK58" s="19">
        <v>0</v>
      </c>
      <c r="AL58" s="19">
        <v>0</v>
      </c>
      <c r="AM58" s="19">
        <v>0</v>
      </c>
      <c r="AN58" s="19">
        <v>-4785</v>
      </c>
      <c r="AO58" s="19">
        <v>0</v>
      </c>
      <c r="AP58" s="19">
        <v>-4785</v>
      </c>
    </row>
    <row r="59" spans="1:42" x14ac:dyDescent="0.4">
      <c r="A59" s="18" t="s">
        <v>48</v>
      </c>
      <c r="B59" s="18" t="s">
        <v>83</v>
      </c>
      <c r="C59" s="18" t="s">
        <v>84</v>
      </c>
      <c r="D59" s="18" t="s">
        <v>85</v>
      </c>
      <c r="E59" s="18" t="s">
        <v>86</v>
      </c>
      <c r="F59" s="18" t="s">
        <v>49</v>
      </c>
      <c r="G59" s="18" t="s">
        <v>20</v>
      </c>
      <c r="H59" s="18" t="s">
        <v>21</v>
      </c>
      <c r="I59" s="18" t="s">
        <v>22</v>
      </c>
      <c r="J59" s="18">
        <v>51286038</v>
      </c>
      <c r="K59" s="18" t="s">
        <v>67</v>
      </c>
      <c r="L59" s="18"/>
      <c r="M59" s="18"/>
      <c r="N59" s="18" t="s">
        <v>68</v>
      </c>
      <c r="O59" s="18" t="s">
        <v>23</v>
      </c>
      <c r="P59" s="18">
        <v>0.55000000000000004</v>
      </c>
      <c r="Q59" s="18">
        <v>0.55000000000000004</v>
      </c>
      <c r="R59" s="19" t="s">
        <v>25</v>
      </c>
      <c r="S59" s="19">
        <v>100</v>
      </c>
      <c r="T59" s="19">
        <v>100</v>
      </c>
      <c r="U59" s="19">
        <v>100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100</v>
      </c>
      <c r="AE59" s="19">
        <v>100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55</v>
      </c>
      <c r="AO59" s="19">
        <v>0</v>
      </c>
      <c r="AP59" s="19">
        <v>55</v>
      </c>
    </row>
    <row r="60" spans="1:42" x14ac:dyDescent="0.4">
      <c r="A60" s="18" t="s">
        <v>48</v>
      </c>
      <c r="B60" s="18" t="s">
        <v>83</v>
      </c>
      <c r="C60" s="18" t="s">
        <v>84</v>
      </c>
      <c r="D60" s="18" t="s">
        <v>85</v>
      </c>
      <c r="E60" s="18" t="s">
        <v>86</v>
      </c>
      <c r="F60" s="18" t="s">
        <v>49</v>
      </c>
      <c r="G60" s="18" t="s">
        <v>20</v>
      </c>
      <c r="H60" s="18" t="s">
        <v>21</v>
      </c>
      <c r="I60" s="18" t="s">
        <v>22</v>
      </c>
      <c r="J60" s="18">
        <v>51286038</v>
      </c>
      <c r="K60" s="18" t="s">
        <v>67</v>
      </c>
      <c r="L60" s="18"/>
      <c r="M60" s="18"/>
      <c r="N60" s="18" t="s">
        <v>68</v>
      </c>
      <c r="O60" s="18" t="s">
        <v>23</v>
      </c>
      <c r="P60" s="18">
        <v>0.55000000000000004</v>
      </c>
      <c r="Q60" s="18">
        <v>0.55000000000000004</v>
      </c>
      <c r="R60" s="19" t="s">
        <v>24</v>
      </c>
      <c r="S60" s="19">
        <v>2400</v>
      </c>
      <c r="T60" s="19">
        <v>-2200</v>
      </c>
      <c r="U60" s="19">
        <v>-2200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-2200</v>
      </c>
      <c r="AE60" s="19">
        <v>-2200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19">
        <v>0</v>
      </c>
      <c r="AM60" s="19">
        <v>0</v>
      </c>
      <c r="AN60" s="19">
        <v>-1210</v>
      </c>
      <c r="AO60" s="19">
        <v>0</v>
      </c>
      <c r="AP60" s="19">
        <v>-1210</v>
      </c>
    </row>
    <row r="61" spans="1:42" x14ac:dyDescent="0.4">
      <c r="A61" s="18" t="s">
        <v>48</v>
      </c>
      <c r="B61" s="18" t="s">
        <v>83</v>
      </c>
      <c r="C61" s="18" t="s">
        <v>84</v>
      </c>
      <c r="D61" s="18" t="s">
        <v>85</v>
      </c>
      <c r="E61" s="18" t="s">
        <v>86</v>
      </c>
      <c r="F61" s="18" t="s">
        <v>49</v>
      </c>
      <c r="G61" s="18" t="s">
        <v>20</v>
      </c>
      <c r="H61" s="18" t="s">
        <v>21</v>
      </c>
      <c r="I61" s="18" t="s">
        <v>22</v>
      </c>
      <c r="J61" s="18">
        <v>51580576</v>
      </c>
      <c r="K61" s="18" t="s">
        <v>69</v>
      </c>
      <c r="L61" s="18"/>
      <c r="M61" s="18"/>
      <c r="N61" s="18" t="s">
        <v>70</v>
      </c>
      <c r="O61" s="18" t="s">
        <v>23</v>
      </c>
      <c r="P61" s="18">
        <v>0.55000000000000004</v>
      </c>
      <c r="Q61" s="18">
        <v>0.55000000000000004</v>
      </c>
      <c r="R61" s="19" t="s">
        <v>25</v>
      </c>
      <c r="S61" s="19">
        <v>100</v>
      </c>
      <c r="T61" s="19">
        <v>49700</v>
      </c>
      <c r="U61" s="19">
        <v>16100</v>
      </c>
      <c r="V61" s="19">
        <v>0</v>
      </c>
      <c r="W61" s="19">
        <v>0</v>
      </c>
      <c r="X61" s="19">
        <v>0</v>
      </c>
      <c r="Y61" s="19">
        <v>100</v>
      </c>
      <c r="Z61" s="19">
        <v>0</v>
      </c>
      <c r="AA61" s="19">
        <v>0</v>
      </c>
      <c r="AB61" s="19">
        <v>0</v>
      </c>
      <c r="AC61" s="19">
        <v>33500</v>
      </c>
      <c r="AD61" s="19">
        <v>49720</v>
      </c>
      <c r="AE61" s="19">
        <v>16100</v>
      </c>
      <c r="AF61" s="19">
        <v>0</v>
      </c>
      <c r="AG61" s="19">
        <v>0</v>
      </c>
      <c r="AH61" s="19">
        <v>0</v>
      </c>
      <c r="AI61" s="19">
        <v>120</v>
      </c>
      <c r="AJ61" s="19">
        <v>0</v>
      </c>
      <c r="AK61" s="19">
        <v>0</v>
      </c>
      <c r="AL61" s="19">
        <v>0</v>
      </c>
      <c r="AM61" s="19">
        <v>33500</v>
      </c>
      <c r="AN61" s="19">
        <v>27346</v>
      </c>
      <c r="AO61" s="19">
        <v>0</v>
      </c>
      <c r="AP61" s="19">
        <v>27346</v>
      </c>
    </row>
    <row r="62" spans="1:42" x14ac:dyDescent="0.4">
      <c r="A62" s="18" t="s">
        <v>48</v>
      </c>
      <c r="B62" s="18" t="s">
        <v>83</v>
      </c>
      <c r="C62" s="18" t="s">
        <v>84</v>
      </c>
      <c r="D62" s="18" t="s">
        <v>85</v>
      </c>
      <c r="E62" s="18" t="s">
        <v>86</v>
      </c>
      <c r="F62" s="18" t="s">
        <v>49</v>
      </c>
      <c r="G62" s="18" t="s">
        <v>20</v>
      </c>
      <c r="H62" s="18" t="s">
        <v>21</v>
      </c>
      <c r="I62" s="18" t="s">
        <v>22</v>
      </c>
      <c r="J62" s="18">
        <v>51580576</v>
      </c>
      <c r="K62" s="18" t="s">
        <v>69</v>
      </c>
      <c r="L62" s="18"/>
      <c r="M62" s="18"/>
      <c r="N62" s="18" t="s">
        <v>70</v>
      </c>
      <c r="O62" s="18" t="s">
        <v>23</v>
      </c>
      <c r="P62" s="18">
        <v>0.55000000000000004</v>
      </c>
      <c r="Q62" s="18">
        <v>0.55000000000000004</v>
      </c>
      <c r="R62" s="19" t="s">
        <v>24</v>
      </c>
      <c r="S62" s="19">
        <v>2400</v>
      </c>
      <c r="T62" s="19">
        <v>18000</v>
      </c>
      <c r="U62" s="19">
        <v>10300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7700</v>
      </c>
      <c r="AD62" s="19">
        <v>18000</v>
      </c>
      <c r="AE62" s="19">
        <v>10300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7700</v>
      </c>
      <c r="AN62" s="19">
        <v>9900</v>
      </c>
      <c r="AO62" s="19">
        <v>0</v>
      </c>
      <c r="AP62" s="19">
        <v>9900</v>
      </c>
    </row>
    <row r="63" spans="1:42" x14ac:dyDescent="0.4">
      <c r="A63" s="18" t="s">
        <v>48</v>
      </c>
      <c r="B63" s="18" t="s">
        <v>83</v>
      </c>
      <c r="C63" s="18" t="s">
        <v>84</v>
      </c>
      <c r="D63" s="18" t="s">
        <v>85</v>
      </c>
      <c r="E63" s="18" t="s">
        <v>86</v>
      </c>
      <c r="F63" s="18" t="s">
        <v>49</v>
      </c>
      <c r="G63" s="18" t="s">
        <v>20</v>
      </c>
      <c r="H63" s="18" t="s">
        <v>21</v>
      </c>
      <c r="I63" s="18" t="s">
        <v>22</v>
      </c>
      <c r="J63" s="18">
        <v>51580576</v>
      </c>
      <c r="K63" s="18" t="s">
        <v>69</v>
      </c>
      <c r="L63" s="18"/>
      <c r="M63" s="18"/>
      <c r="N63" s="18" t="s">
        <v>70</v>
      </c>
      <c r="O63" s="18" t="s">
        <v>23</v>
      </c>
      <c r="P63" s="18">
        <v>0.55000000000000004</v>
      </c>
      <c r="Q63" s="18">
        <v>0.55000000000000004</v>
      </c>
      <c r="R63" s="19" t="s">
        <v>24</v>
      </c>
      <c r="S63" s="19">
        <v>9200</v>
      </c>
      <c r="T63" s="19">
        <v>59400</v>
      </c>
      <c r="U63" s="19">
        <v>59400</v>
      </c>
      <c r="V63" s="19">
        <v>0</v>
      </c>
      <c r="W63" s="19">
        <v>0</v>
      </c>
      <c r="X63" s="19">
        <v>0</v>
      </c>
      <c r="Y63" s="19">
        <v>-500</v>
      </c>
      <c r="Z63" s="19">
        <v>0</v>
      </c>
      <c r="AA63" s="19">
        <v>0</v>
      </c>
      <c r="AB63" s="19">
        <v>0</v>
      </c>
      <c r="AC63" s="19">
        <v>500</v>
      </c>
      <c r="AD63" s="19">
        <v>59300</v>
      </c>
      <c r="AE63" s="19">
        <v>59400</v>
      </c>
      <c r="AF63" s="19">
        <v>0</v>
      </c>
      <c r="AG63" s="19">
        <v>0</v>
      </c>
      <c r="AH63" s="19">
        <v>0</v>
      </c>
      <c r="AI63" s="19">
        <v>-600</v>
      </c>
      <c r="AJ63" s="19">
        <v>0</v>
      </c>
      <c r="AK63" s="19">
        <v>0</v>
      </c>
      <c r="AL63" s="19">
        <v>0</v>
      </c>
      <c r="AM63" s="19">
        <v>500</v>
      </c>
      <c r="AN63" s="19">
        <v>32615</v>
      </c>
      <c r="AO63" s="19">
        <v>0</v>
      </c>
      <c r="AP63" s="19">
        <v>32615</v>
      </c>
    </row>
    <row r="64" spans="1:42" x14ac:dyDescent="0.4">
      <c r="A64" s="18" t="s">
        <v>48</v>
      </c>
      <c r="B64" s="18" t="s">
        <v>83</v>
      </c>
      <c r="C64" s="18" t="s">
        <v>84</v>
      </c>
      <c r="D64" s="18" t="s">
        <v>85</v>
      </c>
      <c r="E64" s="18" t="s">
        <v>86</v>
      </c>
      <c r="F64" s="18" t="s">
        <v>49</v>
      </c>
      <c r="G64" s="18" t="s">
        <v>20</v>
      </c>
      <c r="H64" s="18" t="s">
        <v>21</v>
      </c>
      <c r="I64" s="18" t="s">
        <v>22</v>
      </c>
      <c r="J64" s="18">
        <v>51580576</v>
      </c>
      <c r="K64" s="18" t="s">
        <v>69</v>
      </c>
      <c r="L64" s="18"/>
      <c r="M64" s="18"/>
      <c r="N64" s="18" t="s">
        <v>70</v>
      </c>
      <c r="O64" s="18" t="s">
        <v>23</v>
      </c>
      <c r="P64" s="18">
        <v>0.55000000000000004</v>
      </c>
      <c r="Q64" s="18">
        <v>0.55000000000000004</v>
      </c>
      <c r="R64" s="19" t="s">
        <v>24</v>
      </c>
      <c r="S64" s="19">
        <v>18000</v>
      </c>
      <c r="T64" s="19">
        <v>8900</v>
      </c>
      <c r="U64" s="19">
        <v>25900</v>
      </c>
      <c r="V64" s="19">
        <v>0</v>
      </c>
      <c r="W64" s="19">
        <v>0</v>
      </c>
      <c r="X64" s="19">
        <v>0</v>
      </c>
      <c r="Y64" s="19">
        <v>-250</v>
      </c>
      <c r="Z64" s="19">
        <v>-16750</v>
      </c>
      <c r="AA64" s="19">
        <v>0</v>
      </c>
      <c r="AB64" s="19">
        <v>0</v>
      </c>
      <c r="AC64" s="19">
        <v>0</v>
      </c>
      <c r="AD64" s="19">
        <v>7175</v>
      </c>
      <c r="AE64" s="19">
        <v>25900</v>
      </c>
      <c r="AF64" s="19">
        <v>0</v>
      </c>
      <c r="AG64" s="19">
        <v>0</v>
      </c>
      <c r="AH64" s="19">
        <v>0</v>
      </c>
      <c r="AI64" s="19">
        <v>-300</v>
      </c>
      <c r="AJ64" s="19">
        <v>-18425</v>
      </c>
      <c r="AK64" s="19">
        <v>0</v>
      </c>
      <c r="AL64" s="19">
        <v>0</v>
      </c>
      <c r="AM64" s="19">
        <v>0</v>
      </c>
      <c r="AN64" s="19">
        <v>3946</v>
      </c>
      <c r="AO64" s="19">
        <v>0</v>
      </c>
      <c r="AP64" s="19">
        <v>3946</v>
      </c>
    </row>
    <row r="65" spans="1:42" x14ac:dyDescent="0.4">
      <c r="A65" s="18" t="s">
        <v>48</v>
      </c>
      <c r="B65" s="18" t="s">
        <v>83</v>
      </c>
      <c r="C65" s="18" t="s">
        <v>84</v>
      </c>
      <c r="D65" s="18" t="s">
        <v>85</v>
      </c>
      <c r="E65" s="18" t="s">
        <v>86</v>
      </c>
      <c r="F65" s="18" t="s">
        <v>49</v>
      </c>
      <c r="G65" s="18" t="s">
        <v>20</v>
      </c>
      <c r="H65" s="18" t="s">
        <v>21</v>
      </c>
      <c r="I65" s="18" t="s">
        <v>22</v>
      </c>
      <c r="J65" s="18">
        <v>51584299</v>
      </c>
      <c r="K65" s="18" t="s">
        <v>57</v>
      </c>
      <c r="L65" s="18"/>
      <c r="M65" s="18"/>
      <c r="N65" s="18" t="s">
        <v>58</v>
      </c>
      <c r="O65" s="18" t="s">
        <v>23</v>
      </c>
      <c r="P65" s="18">
        <v>0.55000000000000004</v>
      </c>
      <c r="Q65" s="18">
        <v>0.55000000000000004</v>
      </c>
      <c r="R65" s="19" t="s">
        <v>25</v>
      </c>
      <c r="S65" s="19">
        <v>100</v>
      </c>
      <c r="T65" s="19">
        <v>14700</v>
      </c>
      <c r="U65" s="19">
        <v>8100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6600</v>
      </c>
      <c r="AD65" s="19">
        <v>14700</v>
      </c>
      <c r="AE65" s="19">
        <v>8100</v>
      </c>
      <c r="AF65" s="19">
        <v>0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6600</v>
      </c>
      <c r="AN65" s="19">
        <v>8085</v>
      </c>
      <c r="AO65" s="19">
        <v>0</v>
      </c>
      <c r="AP65" s="19">
        <v>8085</v>
      </c>
    </row>
    <row r="66" spans="1:42" x14ac:dyDescent="0.4">
      <c r="A66" s="18" t="s">
        <v>48</v>
      </c>
      <c r="B66" s="18" t="s">
        <v>83</v>
      </c>
      <c r="C66" s="18" t="s">
        <v>84</v>
      </c>
      <c r="D66" s="18" t="s">
        <v>85</v>
      </c>
      <c r="E66" s="18" t="s">
        <v>86</v>
      </c>
      <c r="F66" s="18" t="s">
        <v>49</v>
      </c>
      <c r="G66" s="18" t="s">
        <v>20</v>
      </c>
      <c r="H66" s="18" t="s">
        <v>21</v>
      </c>
      <c r="I66" s="18" t="s">
        <v>22</v>
      </c>
      <c r="J66" s="18">
        <v>51584299</v>
      </c>
      <c r="K66" s="18" t="s">
        <v>57</v>
      </c>
      <c r="L66" s="18"/>
      <c r="M66" s="18"/>
      <c r="N66" s="18" t="s">
        <v>58</v>
      </c>
      <c r="O66" s="18" t="s">
        <v>23</v>
      </c>
      <c r="P66" s="18">
        <v>0.55000000000000004</v>
      </c>
      <c r="Q66" s="18">
        <v>0.55000000000000004</v>
      </c>
      <c r="R66" s="19" t="s">
        <v>24</v>
      </c>
      <c r="S66" s="19">
        <v>2400</v>
      </c>
      <c r="T66" s="19">
        <v>65900</v>
      </c>
      <c r="U66" s="19">
        <v>52300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13600</v>
      </c>
      <c r="AD66" s="19">
        <v>65900</v>
      </c>
      <c r="AE66" s="19">
        <v>52300</v>
      </c>
      <c r="AF66" s="19">
        <v>0</v>
      </c>
      <c r="AG66" s="19">
        <v>0</v>
      </c>
      <c r="AH66" s="19">
        <v>0</v>
      </c>
      <c r="AI66" s="19">
        <v>0</v>
      </c>
      <c r="AJ66" s="19">
        <v>0</v>
      </c>
      <c r="AK66" s="19">
        <v>0</v>
      </c>
      <c r="AL66" s="19">
        <v>0</v>
      </c>
      <c r="AM66" s="19">
        <v>13600</v>
      </c>
      <c r="AN66" s="19">
        <v>36245</v>
      </c>
      <c r="AO66" s="19">
        <v>0</v>
      </c>
      <c r="AP66" s="19">
        <v>36245</v>
      </c>
    </row>
    <row r="67" spans="1:42" x14ac:dyDescent="0.4">
      <c r="A67" s="18" t="s">
        <v>48</v>
      </c>
      <c r="B67" s="18" t="s">
        <v>83</v>
      </c>
      <c r="C67" s="18" t="s">
        <v>84</v>
      </c>
      <c r="D67" s="18" t="s">
        <v>85</v>
      </c>
      <c r="E67" s="18" t="s">
        <v>86</v>
      </c>
      <c r="F67" s="18" t="s">
        <v>49</v>
      </c>
      <c r="G67" s="18" t="s">
        <v>20</v>
      </c>
      <c r="H67" s="18" t="s">
        <v>21</v>
      </c>
      <c r="I67" s="18" t="s">
        <v>22</v>
      </c>
      <c r="J67" s="18">
        <v>51584299</v>
      </c>
      <c r="K67" s="18" t="s">
        <v>57</v>
      </c>
      <c r="L67" s="18"/>
      <c r="M67" s="18"/>
      <c r="N67" s="18" t="s">
        <v>58</v>
      </c>
      <c r="O67" s="18" t="s">
        <v>23</v>
      </c>
      <c r="P67" s="18">
        <v>0.55000000000000004</v>
      </c>
      <c r="Q67" s="18">
        <v>0.55000000000000004</v>
      </c>
      <c r="R67" s="19" t="s">
        <v>24</v>
      </c>
      <c r="S67" s="19">
        <v>9200</v>
      </c>
      <c r="T67" s="19">
        <v>31800</v>
      </c>
      <c r="U67" s="19">
        <v>29400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2400</v>
      </c>
      <c r="AD67" s="19">
        <v>31800</v>
      </c>
      <c r="AE67" s="19">
        <v>29400</v>
      </c>
      <c r="AF67" s="19">
        <v>0</v>
      </c>
      <c r="AG67" s="19">
        <v>0</v>
      </c>
      <c r="AH67" s="19">
        <v>0</v>
      </c>
      <c r="AI67" s="19">
        <v>0</v>
      </c>
      <c r="AJ67" s="19">
        <v>0</v>
      </c>
      <c r="AK67" s="19">
        <v>0</v>
      </c>
      <c r="AL67" s="19">
        <v>0</v>
      </c>
      <c r="AM67" s="19">
        <v>2400</v>
      </c>
      <c r="AN67" s="19">
        <v>17490</v>
      </c>
      <c r="AO67" s="19">
        <v>0</v>
      </c>
      <c r="AP67" s="19">
        <v>17490</v>
      </c>
    </row>
    <row r="68" spans="1:42" x14ac:dyDescent="0.4">
      <c r="A68" s="18" t="s">
        <v>48</v>
      </c>
      <c r="B68" s="18" t="s">
        <v>83</v>
      </c>
      <c r="C68" s="18" t="s">
        <v>84</v>
      </c>
      <c r="D68" s="18" t="s">
        <v>85</v>
      </c>
      <c r="E68" s="18" t="s">
        <v>86</v>
      </c>
      <c r="F68" s="18" t="s">
        <v>49</v>
      </c>
      <c r="G68" s="18" t="s">
        <v>20</v>
      </c>
      <c r="H68" s="18" t="s">
        <v>21</v>
      </c>
      <c r="I68" s="18" t="s">
        <v>22</v>
      </c>
      <c r="J68" s="18">
        <v>51584299</v>
      </c>
      <c r="K68" s="18" t="s">
        <v>57</v>
      </c>
      <c r="L68" s="18"/>
      <c r="M68" s="18"/>
      <c r="N68" s="18" t="s">
        <v>58</v>
      </c>
      <c r="O68" s="18" t="s">
        <v>23</v>
      </c>
      <c r="P68" s="18">
        <v>0.55000000000000004</v>
      </c>
      <c r="Q68" s="18">
        <v>0.55000000000000004</v>
      </c>
      <c r="R68" s="19" t="s">
        <v>24</v>
      </c>
      <c r="S68" s="19">
        <v>18000</v>
      </c>
      <c r="T68" s="19">
        <v>31600</v>
      </c>
      <c r="U68" s="19">
        <v>31600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31600</v>
      </c>
      <c r="AE68" s="19">
        <v>31600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17380</v>
      </c>
      <c r="AO68" s="19">
        <v>0</v>
      </c>
      <c r="AP68" s="19">
        <v>17380</v>
      </c>
    </row>
    <row r="69" spans="1:42" x14ac:dyDescent="0.4">
      <c r="A69" s="18" t="s">
        <v>48</v>
      </c>
      <c r="B69" s="18" t="s">
        <v>83</v>
      </c>
      <c r="C69" s="18" t="s">
        <v>84</v>
      </c>
      <c r="D69" s="18" t="s">
        <v>85</v>
      </c>
      <c r="E69" s="18" t="s">
        <v>86</v>
      </c>
      <c r="F69" s="18" t="s">
        <v>49</v>
      </c>
      <c r="G69" s="18" t="s">
        <v>20</v>
      </c>
      <c r="H69" s="18" t="s">
        <v>21</v>
      </c>
      <c r="I69" s="18" t="s">
        <v>22</v>
      </c>
      <c r="J69" s="18">
        <v>52327507</v>
      </c>
      <c r="K69" s="18" t="s">
        <v>92</v>
      </c>
      <c r="L69" s="18"/>
      <c r="M69" s="18"/>
      <c r="N69" s="18" t="s">
        <v>64</v>
      </c>
      <c r="O69" s="18" t="s">
        <v>23</v>
      </c>
      <c r="P69" s="18">
        <v>0.55000000000000004</v>
      </c>
      <c r="Q69" s="18">
        <v>0.55000000000000004</v>
      </c>
      <c r="R69" s="19" t="s">
        <v>25</v>
      </c>
      <c r="S69" s="19">
        <v>100</v>
      </c>
      <c r="T69" s="19">
        <v>283900</v>
      </c>
      <c r="U69" s="19">
        <v>74700</v>
      </c>
      <c r="V69" s="19">
        <v>0</v>
      </c>
      <c r="W69" s="19">
        <v>0</v>
      </c>
      <c r="X69" s="19">
        <v>0</v>
      </c>
      <c r="Y69" s="19">
        <v>0</v>
      </c>
      <c r="Z69" s="19">
        <v>6100</v>
      </c>
      <c r="AA69" s="19">
        <v>0</v>
      </c>
      <c r="AB69" s="19">
        <v>0</v>
      </c>
      <c r="AC69" s="19">
        <v>203100</v>
      </c>
      <c r="AD69" s="19">
        <v>284510</v>
      </c>
      <c r="AE69" s="19">
        <v>74700</v>
      </c>
      <c r="AF69" s="19">
        <v>0</v>
      </c>
      <c r="AG69" s="19">
        <v>0</v>
      </c>
      <c r="AH69" s="19">
        <v>0</v>
      </c>
      <c r="AI69" s="19">
        <v>0</v>
      </c>
      <c r="AJ69" s="19">
        <v>6710</v>
      </c>
      <c r="AK69" s="19">
        <v>0</v>
      </c>
      <c r="AL69" s="19">
        <v>0</v>
      </c>
      <c r="AM69" s="19">
        <v>203100</v>
      </c>
      <c r="AN69" s="19">
        <v>156481</v>
      </c>
      <c r="AO69" s="19">
        <v>0</v>
      </c>
      <c r="AP69" s="19">
        <v>156481</v>
      </c>
    </row>
    <row r="70" spans="1:42" x14ac:dyDescent="0.4">
      <c r="A70" s="18" t="s">
        <v>48</v>
      </c>
      <c r="B70" s="18" t="s">
        <v>83</v>
      </c>
      <c r="C70" s="18" t="s">
        <v>84</v>
      </c>
      <c r="D70" s="18" t="s">
        <v>85</v>
      </c>
      <c r="E70" s="18" t="s">
        <v>86</v>
      </c>
      <c r="F70" s="18" t="s">
        <v>49</v>
      </c>
      <c r="G70" s="18" t="s">
        <v>20</v>
      </c>
      <c r="H70" s="18" t="s">
        <v>21</v>
      </c>
      <c r="I70" s="18" t="s">
        <v>22</v>
      </c>
      <c r="J70" s="18">
        <v>52327507</v>
      </c>
      <c r="K70" s="18" t="s">
        <v>92</v>
      </c>
      <c r="L70" s="18"/>
      <c r="M70" s="18"/>
      <c r="N70" s="18" t="s">
        <v>64</v>
      </c>
      <c r="O70" s="18" t="s">
        <v>23</v>
      </c>
      <c r="P70" s="18">
        <v>0.55000000000000004</v>
      </c>
      <c r="Q70" s="18">
        <v>0.55000000000000004</v>
      </c>
      <c r="R70" s="19" t="s">
        <v>24</v>
      </c>
      <c r="S70" s="19">
        <v>2400</v>
      </c>
      <c r="T70" s="19">
        <v>225800</v>
      </c>
      <c r="U70" s="19">
        <v>176000</v>
      </c>
      <c r="V70" s="19">
        <v>0</v>
      </c>
      <c r="W70" s="19">
        <v>0</v>
      </c>
      <c r="X70" s="19">
        <v>0</v>
      </c>
      <c r="Y70" s="19">
        <v>0</v>
      </c>
      <c r="Z70" s="19">
        <v>7200</v>
      </c>
      <c r="AA70" s="19">
        <v>0</v>
      </c>
      <c r="AB70" s="19">
        <v>0</v>
      </c>
      <c r="AC70" s="19">
        <v>42600</v>
      </c>
      <c r="AD70" s="19">
        <v>226520</v>
      </c>
      <c r="AE70" s="19">
        <v>176000</v>
      </c>
      <c r="AF70" s="19">
        <v>0</v>
      </c>
      <c r="AG70" s="19">
        <v>0</v>
      </c>
      <c r="AH70" s="19">
        <v>0</v>
      </c>
      <c r="AI70" s="19">
        <v>0</v>
      </c>
      <c r="AJ70" s="19">
        <v>7920</v>
      </c>
      <c r="AK70" s="19">
        <v>0</v>
      </c>
      <c r="AL70" s="19">
        <v>0</v>
      </c>
      <c r="AM70" s="19">
        <v>42600</v>
      </c>
      <c r="AN70" s="19">
        <v>124586</v>
      </c>
      <c r="AO70" s="19">
        <v>0</v>
      </c>
      <c r="AP70" s="19">
        <v>124586</v>
      </c>
    </row>
    <row r="71" spans="1:42" x14ac:dyDescent="0.4">
      <c r="A71" s="18" t="s">
        <v>48</v>
      </c>
      <c r="B71" s="18" t="s">
        <v>83</v>
      </c>
      <c r="C71" s="18" t="s">
        <v>84</v>
      </c>
      <c r="D71" s="18" t="s">
        <v>85</v>
      </c>
      <c r="E71" s="18" t="s">
        <v>86</v>
      </c>
      <c r="F71" s="18" t="s">
        <v>49</v>
      </c>
      <c r="G71" s="18" t="s">
        <v>20</v>
      </c>
      <c r="H71" s="18" t="s">
        <v>21</v>
      </c>
      <c r="I71" s="18" t="s">
        <v>22</v>
      </c>
      <c r="J71" s="18">
        <v>52327507</v>
      </c>
      <c r="K71" s="18" t="s">
        <v>92</v>
      </c>
      <c r="L71" s="18"/>
      <c r="M71" s="18"/>
      <c r="N71" s="18" t="s">
        <v>64</v>
      </c>
      <c r="O71" s="18" t="s">
        <v>23</v>
      </c>
      <c r="P71" s="18">
        <v>0.55000000000000004</v>
      </c>
      <c r="Q71" s="18">
        <v>0.55000000000000004</v>
      </c>
      <c r="R71" s="19" t="s">
        <v>24</v>
      </c>
      <c r="S71" s="19">
        <v>9200</v>
      </c>
      <c r="T71" s="19">
        <v>247200</v>
      </c>
      <c r="U71" s="19">
        <v>212250</v>
      </c>
      <c r="V71" s="19">
        <v>0</v>
      </c>
      <c r="W71" s="19">
        <v>0</v>
      </c>
      <c r="X71" s="19">
        <v>0</v>
      </c>
      <c r="Y71" s="19">
        <v>0</v>
      </c>
      <c r="Z71" s="19">
        <v>18400</v>
      </c>
      <c r="AA71" s="19">
        <v>0</v>
      </c>
      <c r="AB71" s="19">
        <v>0</v>
      </c>
      <c r="AC71" s="19">
        <v>16550</v>
      </c>
      <c r="AD71" s="19">
        <v>249040</v>
      </c>
      <c r="AE71" s="19">
        <v>212250</v>
      </c>
      <c r="AF71" s="19">
        <v>0</v>
      </c>
      <c r="AG71" s="19">
        <v>0</v>
      </c>
      <c r="AH71" s="19">
        <v>0</v>
      </c>
      <c r="AI71" s="19">
        <v>0</v>
      </c>
      <c r="AJ71" s="19">
        <v>20240</v>
      </c>
      <c r="AK71" s="19">
        <v>0</v>
      </c>
      <c r="AL71" s="19">
        <v>0</v>
      </c>
      <c r="AM71" s="19">
        <v>16550</v>
      </c>
      <c r="AN71" s="19">
        <v>136972</v>
      </c>
      <c r="AO71" s="19">
        <v>0</v>
      </c>
      <c r="AP71" s="19">
        <v>136972</v>
      </c>
    </row>
    <row r="72" spans="1:42" x14ac:dyDescent="0.4">
      <c r="A72" s="18" t="s">
        <v>48</v>
      </c>
      <c r="B72" s="18" t="s">
        <v>83</v>
      </c>
      <c r="C72" s="18" t="s">
        <v>84</v>
      </c>
      <c r="D72" s="18" t="s">
        <v>85</v>
      </c>
      <c r="E72" s="18" t="s">
        <v>86</v>
      </c>
      <c r="F72" s="18" t="s">
        <v>49</v>
      </c>
      <c r="G72" s="18" t="s">
        <v>20</v>
      </c>
      <c r="H72" s="18" t="s">
        <v>21</v>
      </c>
      <c r="I72" s="18" t="s">
        <v>22</v>
      </c>
      <c r="J72" s="18">
        <v>52327507</v>
      </c>
      <c r="K72" s="18" t="s">
        <v>92</v>
      </c>
      <c r="L72" s="18"/>
      <c r="M72" s="18"/>
      <c r="N72" s="18" t="s">
        <v>64</v>
      </c>
      <c r="O72" s="18" t="s">
        <v>23</v>
      </c>
      <c r="P72" s="18">
        <v>0.55000000000000004</v>
      </c>
      <c r="Q72" s="18">
        <v>0.55000000000000004</v>
      </c>
      <c r="R72" s="19" t="s">
        <v>24</v>
      </c>
      <c r="S72" s="19">
        <v>18000</v>
      </c>
      <c r="T72" s="19">
        <v>78000</v>
      </c>
      <c r="U72" s="19">
        <v>42000</v>
      </c>
      <c r="V72" s="19">
        <v>0</v>
      </c>
      <c r="W72" s="19">
        <v>0</v>
      </c>
      <c r="X72" s="19">
        <v>0</v>
      </c>
      <c r="Y72" s="19">
        <v>0</v>
      </c>
      <c r="Z72" s="19">
        <v>36000</v>
      </c>
      <c r="AA72" s="19">
        <v>0</v>
      </c>
      <c r="AB72" s="19">
        <v>0</v>
      </c>
      <c r="AC72" s="19">
        <v>0</v>
      </c>
      <c r="AD72" s="19">
        <v>81600</v>
      </c>
      <c r="AE72" s="19">
        <v>42000</v>
      </c>
      <c r="AF72" s="19">
        <v>0</v>
      </c>
      <c r="AG72" s="19">
        <v>0</v>
      </c>
      <c r="AH72" s="19">
        <v>0</v>
      </c>
      <c r="AI72" s="19">
        <v>0</v>
      </c>
      <c r="AJ72" s="19">
        <v>39600</v>
      </c>
      <c r="AK72" s="19">
        <v>0</v>
      </c>
      <c r="AL72" s="19">
        <v>0</v>
      </c>
      <c r="AM72" s="19">
        <v>0</v>
      </c>
      <c r="AN72" s="19">
        <v>44880</v>
      </c>
      <c r="AO72" s="19">
        <v>0</v>
      </c>
      <c r="AP72" s="19">
        <v>44880</v>
      </c>
    </row>
    <row r="73" spans="1:42" x14ac:dyDescent="0.4">
      <c r="A73" s="18" t="s">
        <v>48</v>
      </c>
      <c r="B73" s="18" t="s">
        <v>83</v>
      </c>
      <c r="C73" s="18" t="s">
        <v>84</v>
      </c>
      <c r="D73" s="18" t="s">
        <v>85</v>
      </c>
      <c r="E73" s="18" t="s">
        <v>86</v>
      </c>
      <c r="F73" s="18" t="s">
        <v>49</v>
      </c>
      <c r="G73" s="18" t="s">
        <v>20</v>
      </c>
      <c r="H73" s="18" t="s">
        <v>21</v>
      </c>
      <c r="I73" s="18" t="s">
        <v>22</v>
      </c>
      <c r="J73" s="18">
        <v>52393524</v>
      </c>
      <c r="K73" s="18" t="s">
        <v>53</v>
      </c>
      <c r="L73" s="18"/>
      <c r="M73" s="18"/>
      <c r="N73" s="18" t="s">
        <v>54</v>
      </c>
      <c r="O73" s="18" t="s">
        <v>23</v>
      </c>
      <c r="P73" s="18">
        <v>0.55000000000000004</v>
      </c>
      <c r="Q73" s="18">
        <v>0.55000000000000004</v>
      </c>
      <c r="R73" s="19" t="s">
        <v>25</v>
      </c>
      <c r="S73" s="19">
        <v>100</v>
      </c>
      <c r="T73" s="19">
        <v>61700</v>
      </c>
      <c r="U73" s="19">
        <v>23600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38100</v>
      </c>
      <c r="AD73" s="19">
        <v>61700</v>
      </c>
      <c r="AE73" s="19">
        <v>23600</v>
      </c>
      <c r="AF73" s="19">
        <v>0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38100</v>
      </c>
      <c r="AN73" s="19">
        <v>33935</v>
      </c>
      <c r="AO73" s="19">
        <v>0</v>
      </c>
      <c r="AP73" s="19">
        <v>33935</v>
      </c>
    </row>
    <row r="74" spans="1:42" x14ac:dyDescent="0.4">
      <c r="A74" s="18" t="s">
        <v>48</v>
      </c>
      <c r="B74" s="18" t="s">
        <v>83</v>
      </c>
      <c r="C74" s="18" t="s">
        <v>84</v>
      </c>
      <c r="D74" s="18" t="s">
        <v>85</v>
      </c>
      <c r="E74" s="18" t="s">
        <v>86</v>
      </c>
      <c r="F74" s="18" t="s">
        <v>49</v>
      </c>
      <c r="G74" s="18" t="s">
        <v>20</v>
      </c>
      <c r="H74" s="18" t="s">
        <v>21</v>
      </c>
      <c r="I74" s="18" t="s">
        <v>22</v>
      </c>
      <c r="J74" s="18">
        <v>52393524</v>
      </c>
      <c r="K74" s="18" t="s">
        <v>53</v>
      </c>
      <c r="L74" s="18"/>
      <c r="M74" s="18"/>
      <c r="N74" s="18" t="s">
        <v>54</v>
      </c>
      <c r="O74" s="18" t="s">
        <v>23</v>
      </c>
      <c r="P74" s="18">
        <v>0.55000000000000004</v>
      </c>
      <c r="Q74" s="18">
        <v>0.55000000000000004</v>
      </c>
      <c r="R74" s="19" t="s">
        <v>24</v>
      </c>
      <c r="S74" s="19">
        <v>2400</v>
      </c>
      <c r="T74" s="19">
        <v>103800</v>
      </c>
      <c r="U74" s="19">
        <v>94850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8950</v>
      </c>
      <c r="AD74" s="19">
        <v>103800</v>
      </c>
      <c r="AE74" s="19">
        <v>94850</v>
      </c>
      <c r="AF74" s="19">
        <v>0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8950</v>
      </c>
      <c r="AN74" s="19">
        <v>57090</v>
      </c>
      <c r="AO74" s="19">
        <v>0</v>
      </c>
      <c r="AP74" s="19">
        <v>57090</v>
      </c>
    </row>
    <row r="75" spans="1:42" x14ac:dyDescent="0.4">
      <c r="A75" s="18" t="s">
        <v>48</v>
      </c>
      <c r="B75" s="18" t="s">
        <v>83</v>
      </c>
      <c r="C75" s="18" t="s">
        <v>84</v>
      </c>
      <c r="D75" s="18" t="s">
        <v>85</v>
      </c>
      <c r="E75" s="18" t="s">
        <v>86</v>
      </c>
      <c r="F75" s="18" t="s">
        <v>49</v>
      </c>
      <c r="G75" s="18" t="s">
        <v>20</v>
      </c>
      <c r="H75" s="18" t="s">
        <v>21</v>
      </c>
      <c r="I75" s="18" t="s">
        <v>22</v>
      </c>
      <c r="J75" s="18">
        <v>52393524</v>
      </c>
      <c r="K75" s="18" t="s">
        <v>53</v>
      </c>
      <c r="L75" s="18"/>
      <c r="M75" s="18"/>
      <c r="N75" s="18" t="s">
        <v>54</v>
      </c>
      <c r="O75" s="18" t="s">
        <v>23</v>
      </c>
      <c r="P75" s="18">
        <v>0.55000000000000004</v>
      </c>
      <c r="Q75" s="18">
        <v>0.55000000000000004</v>
      </c>
      <c r="R75" s="19" t="s">
        <v>24</v>
      </c>
      <c r="S75" s="19">
        <v>9200</v>
      </c>
      <c r="T75" s="19">
        <v>40200</v>
      </c>
      <c r="U75" s="19">
        <v>36900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3300</v>
      </c>
      <c r="AD75" s="19">
        <v>40200</v>
      </c>
      <c r="AE75" s="19">
        <v>36900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3300</v>
      </c>
      <c r="AN75" s="19">
        <v>22110</v>
      </c>
      <c r="AO75" s="19">
        <v>0</v>
      </c>
      <c r="AP75" s="19">
        <v>22110</v>
      </c>
    </row>
    <row r="76" spans="1:42" x14ac:dyDescent="0.4">
      <c r="A76" s="18" t="s">
        <v>48</v>
      </c>
      <c r="B76" s="18" t="s">
        <v>83</v>
      </c>
      <c r="C76" s="18" t="s">
        <v>84</v>
      </c>
      <c r="D76" s="18" t="s">
        <v>85</v>
      </c>
      <c r="E76" s="18" t="s">
        <v>86</v>
      </c>
      <c r="F76" s="18" t="s">
        <v>49</v>
      </c>
      <c r="G76" s="18" t="s">
        <v>20</v>
      </c>
      <c r="H76" s="18" t="s">
        <v>21</v>
      </c>
      <c r="I76" s="18" t="s">
        <v>22</v>
      </c>
      <c r="J76" s="18">
        <v>52393524</v>
      </c>
      <c r="K76" s="18" t="s">
        <v>53</v>
      </c>
      <c r="L76" s="18"/>
      <c r="M76" s="18"/>
      <c r="N76" s="18" t="s">
        <v>54</v>
      </c>
      <c r="O76" s="18" t="s">
        <v>23</v>
      </c>
      <c r="P76" s="18">
        <v>0.55000000000000004</v>
      </c>
      <c r="Q76" s="18">
        <v>0.55000000000000004</v>
      </c>
      <c r="R76" s="19" t="s">
        <v>24</v>
      </c>
      <c r="S76" s="19">
        <v>18000</v>
      </c>
      <c r="T76" s="19">
        <v>30800</v>
      </c>
      <c r="U76" s="19">
        <v>30800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30800</v>
      </c>
      <c r="AE76" s="19">
        <v>30800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16940</v>
      </c>
      <c r="AO76" s="19">
        <v>0</v>
      </c>
      <c r="AP76" s="19">
        <v>16940</v>
      </c>
    </row>
    <row r="77" spans="1:42" x14ac:dyDescent="0.4">
      <c r="A77" s="18" t="s">
        <v>48</v>
      </c>
      <c r="B77" s="18" t="s">
        <v>83</v>
      </c>
      <c r="C77" s="18" t="s">
        <v>84</v>
      </c>
      <c r="D77" s="18" t="s">
        <v>85</v>
      </c>
      <c r="E77" s="18" t="s">
        <v>86</v>
      </c>
      <c r="F77" s="18" t="s">
        <v>49</v>
      </c>
      <c r="G77" s="18" t="s">
        <v>20</v>
      </c>
      <c r="H77" s="18" t="s">
        <v>21</v>
      </c>
      <c r="I77" s="18" t="s">
        <v>22</v>
      </c>
      <c r="J77" s="18">
        <v>52438077</v>
      </c>
      <c r="K77" s="18" t="s">
        <v>77</v>
      </c>
      <c r="L77" s="18"/>
      <c r="M77" s="18"/>
      <c r="N77" s="18" t="s">
        <v>78</v>
      </c>
      <c r="O77" s="18" t="s">
        <v>23</v>
      </c>
      <c r="P77" s="18">
        <v>0.55000000000000004</v>
      </c>
      <c r="Q77" s="18">
        <v>0.55000000000000004</v>
      </c>
      <c r="R77" s="19" t="s">
        <v>25</v>
      </c>
      <c r="S77" s="19">
        <v>100</v>
      </c>
      <c r="T77" s="19">
        <v>109000</v>
      </c>
      <c r="U77" s="19">
        <v>21450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87550</v>
      </c>
      <c r="AD77" s="19">
        <v>109000</v>
      </c>
      <c r="AE77" s="19">
        <v>21450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87550</v>
      </c>
      <c r="AN77" s="19">
        <v>59950</v>
      </c>
      <c r="AO77" s="19">
        <v>0</v>
      </c>
      <c r="AP77" s="19">
        <v>59950</v>
      </c>
    </row>
    <row r="78" spans="1:42" x14ac:dyDescent="0.4">
      <c r="A78" s="18" t="s">
        <v>48</v>
      </c>
      <c r="B78" s="18" t="s">
        <v>83</v>
      </c>
      <c r="C78" s="18" t="s">
        <v>84</v>
      </c>
      <c r="D78" s="18" t="s">
        <v>85</v>
      </c>
      <c r="E78" s="18" t="s">
        <v>86</v>
      </c>
      <c r="F78" s="18" t="s">
        <v>49</v>
      </c>
      <c r="G78" s="18" t="s">
        <v>20</v>
      </c>
      <c r="H78" s="18" t="s">
        <v>21</v>
      </c>
      <c r="I78" s="18" t="s">
        <v>22</v>
      </c>
      <c r="J78" s="18">
        <v>52438077</v>
      </c>
      <c r="K78" s="18" t="s">
        <v>77</v>
      </c>
      <c r="L78" s="18"/>
      <c r="M78" s="18"/>
      <c r="N78" s="18" t="s">
        <v>78</v>
      </c>
      <c r="O78" s="18" t="s">
        <v>23</v>
      </c>
      <c r="P78" s="18">
        <v>0.55000000000000004</v>
      </c>
      <c r="Q78" s="18">
        <v>0.55000000000000004</v>
      </c>
      <c r="R78" s="19" t="s">
        <v>24</v>
      </c>
      <c r="S78" s="19">
        <v>2400</v>
      </c>
      <c r="T78" s="19">
        <v>117900</v>
      </c>
      <c r="U78" s="19">
        <v>97250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20650</v>
      </c>
      <c r="AD78" s="19">
        <v>117900</v>
      </c>
      <c r="AE78" s="19">
        <v>97250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20650</v>
      </c>
      <c r="AN78" s="19">
        <v>64845</v>
      </c>
      <c r="AO78" s="19">
        <v>0</v>
      </c>
      <c r="AP78" s="19">
        <v>64845</v>
      </c>
    </row>
    <row r="79" spans="1:42" x14ac:dyDescent="0.4">
      <c r="A79" s="18" t="s">
        <v>48</v>
      </c>
      <c r="B79" s="18" t="s">
        <v>83</v>
      </c>
      <c r="C79" s="18" t="s">
        <v>84</v>
      </c>
      <c r="D79" s="18" t="s">
        <v>85</v>
      </c>
      <c r="E79" s="18" t="s">
        <v>86</v>
      </c>
      <c r="F79" s="18" t="s">
        <v>49</v>
      </c>
      <c r="G79" s="18" t="s">
        <v>20</v>
      </c>
      <c r="H79" s="18" t="s">
        <v>21</v>
      </c>
      <c r="I79" s="18" t="s">
        <v>22</v>
      </c>
      <c r="J79" s="18">
        <v>52438077</v>
      </c>
      <c r="K79" s="18" t="s">
        <v>77</v>
      </c>
      <c r="L79" s="18"/>
      <c r="M79" s="18"/>
      <c r="N79" s="18" t="s">
        <v>78</v>
      </c>
      <c r="O79" s="18" t="s">
        <v>23</v>
      </c>
      <c r="P79" s="18">
        <v>0.55000000000000004</v>
      </c>
      <c r="Q79" s="18">
        <v>0.55000000000000004</v>
      </c>
      <c r="R79" s="19" t="s">
        <v>24</v>
      </c>
      <c r="S79" s="19">
        <v>9200</v>
      </c>
      <c r="T79" s="19">
        <v>96400</v>
      </c>
      <c r="U79" s="19">
        <v>77300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19100</v>
      </c>
      <c r="AD79" s="19">
        <v>96400</v>
      </c>
      <c r="AE79" s="19">
        <v>77300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19100</v>
      </c>
      <c r="AN79" s="19">
        <v>53020</v>
      </c>
      <c r="AO79" s="19">
        <v>0</v>
      </c>
      <c r="AP79" s="19">
        <v>53020</v>
      </c>
    </row>
    <row r="80" spans="1:42" x14ac:dyDescent="0.4">
      <c r="A80" s="18" t="s">
        <v>48</v>
      </c>
      <c r="B80" s="18" t="s">
        <v>83</v>
      </c>
      <c r="C80" s="18" t="s">
        <v>84</v>
      </c>
      <c r="D80" s="18" t="s">
        <v>85</v>
      </c>
      <c r="E80" s="18" t="s">
        <v>86</v>
      </c>
      <c r="F80" s="18" t="s">
        <v>49</v>
      </c>
      <c r="G80" s="18" t="s">
        <v>20</v>
      </c>
      <c r="H80" s="18" t="s">
        <v>21</v>
      </c>
      <c r="I80" s="18" t="s">
        <v>22</v>
      </c>
      <c r="J80" s="18">
        <v>52438077</v>
      </c>
      <c r="K80" s="18" t="s">
        <v>77</v>
      </c>
      <c r="L80" s="18"/>
      <c r="M80" s="18"/>
      <c r="N80" s="18" t="s">
        <v>78</v>
      </c>
      <c r="O80" s="18" t="s">
        <v>23</v>
      </c>
      <c r="P80" s="18">
        <v>0.55000000000000004</v>
      </c>
      <c r="Q80" s="18">
        <v>0.55000000000000004</v>
      </c>
      <c r="R80" s="19" t="s">
        <v>24</v>
      </c>
      <c r="S80" s="19">
        <v>18000</v>
      </c>
      <c r="T80" s="19">
        <v>10900</v>
      </c>
      <c r="U80" s="19">
        <v>6800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4100</v>
      </c>
      <c r="AD80" s="19">
        <v>10900</v>
      </c>
      <c r="AE80" s="19">
        <v>6800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4100</v>
      </c>
      <c r="AN80" s="19">
        <v>5995</v>
      </c>
      <c r="AO80" s="19">
        <v>0</v>
      </c>
      <c r="AP80" s="19">
        <v>5995</v>
      </c>
    </row>
    <row r="81" spans="1:42" x14ac:dyDescent="0.4">
      <c r="A81" s="18" t="s">
        <v>48</v>
      </c>
      <c r="B81" s="18" t="s">
        <v>83</v>
      </c>
      <c r="C81" s="18" t="s">
        <v>84</v>
      </c>
      <c r="D81" s="18" t="s">
        <v>85</v>
      </c>
      <c r="E81" s="18" t="s">
        <v>86</v>
      </c>
      <c r="F81" s="18" t="s">
        <v>49</v>
      </c>
      <c r="G81" s="18" t="s">
        <v>20</v>
      </c>
      <c r="H81" s="18" t="s">
        <v>21</v>
      </c>
      <c r="I81" s="18" t="s">
        <v>22</v>
      </c>
      <c r="J81" s="18">
        <v>52879801</v>
      </c>
      <c r="K81" s="18" t="s">
        <v>76</v>
      </c>
      <c r="L81" s="18"/>
      <c r="M81" s="18"/>
      <c r="N81" s="18" t="s">
        <v>52</v>
      </c>
      <c r="O81" s="18" t="s">
        <v>23</v>
      </c>
      <c r="P81" s="18">
        <v>0.55000000000000004</v>
      </c>
      <c r="Q81" s="18">
        <v>0.55000000000000004</v>
      </c>
      <c r="R81" s="19" t="s">
        <v>24</v>
      </c>
      <c r="S81" s="19">
        <v>2400</v>
      </c>
      <c r="T81" s="19">
        <v>-1400</v>
      </c>
      <c r="U81" s="19">
        <v>-1400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-1400</v>
      </c>
      <c r="AE81" s="19">
        <v>-1400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-770</v>
      </c>
      <c r="AO81" s="19">
        <v>0</v>
      </c>
      <c r="AP81" s="19">
        <v>-770</v>
      </c>
    </row>
    <row r="82" spans="1:42" x14ac:dyDescent="0.4">
      <c r="A82" s="18" t="s">
        <v>48</v>
      </c>
      <c r="B82" s="18" t="s">
        <v>83</v>
      </c>
      <c r="C82" s="18" t="s">
        <v>84</v>
      </c>
      <c r="D82" s="18" t="s">
        <v>85</v>
      </c>
      <c r="E82" s="18" t="s">
        <v>86</v>
      </c>
      <c r="F82" s="18" t="s">
        <v>49</v>
      </c>
      <c r="G82" s="18" t="s">
        <v>20</v>
      </c>
      <c r="H82" s="18" t="s">
        <v>21</v>
      </c>
      <c r="I82" s="18" t="s">
        <v>22</v>
      </c>
      <c r="J82" s="18">
        <v>52963521</v>
      </c>
      <c r="K82" s="18" t="s">
        <v>75</v>
      </c>
      <c r="L82" s="18"/>
      <c r="M82" s="18"/>
      <c r="N82" s="18" t="s">
        <v>58</v>
      </c>
      <c r="O82" s="18" t="s">
        <v>23</v>
      </c>
      <c r="P82" s="18">
        <v>0.55000000000000004</v>
      </c>
      <c r="Q82" s="18">
        <v>0.55000000000000004</v>
      </c>
      <c r="R82" s="19" t="s">
        <v>25</v>
      </c>
      <c r="S82" s="19">
        <v>100</v>
      </c>
      <c r="T82" s="19">
        <v>37500</v>
      </c>
      <c r="U82" s="19">
        <v>4700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32800</v>
      </c>
      <c r="AD82" s="19">
        <v>37500</v>
      </c>
      <c r="AE82" s="19">
        <v>4700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32800</v>
      </c>
      <c r="AN82" s="19">
        <v>20625</v>
      </c>
      <c r="AO82" s="19">
        <v>0</v>
      </c>
      <c r="AP82" s="19">
        <v>20625</v>
      </c>
    </row>
    <row r="83" spans="1:42" x14ac:dyDescent="0.4">
      <c r="A83" s="18" t="s">
        <v>48</v>
      </c>
      <c r="B83" s="18" t="s">
        <v>83</v>
      </c>
      <c r="C83" s="18" t="s">
        <v>84</v>
      </c>
      <c r="D83" s="18" t="s">
        <v>85</v>
      </c>
      <c r="E83" s="18" t="s">
        <v>86</v>
      </c>
      <c r="F83" s="18" t="s">
        <v>49</v>
      </c>
      <c r="G83" s="18" t="s">
        <v>20</v>
      </c>
      <c r="H83" s="18" t="s">
        <v>21</v>
      </c>
      <c r="I83" s="18" t="s">
        <v>22</v>
      </c>
      <c r="J83" s="18">
        <v>52963521</v>
      </c>
      <c r="K83" s="18" t="s">
        <v>75</v>
      </c>
      <c r="L83" s="18"/>
      <c r="M83" s="18"/>
      <c r="N83" s="18" t="s">
        <v>58</v>
      </c>
      <c r="O83" s="18" t="s">
        <v>23</v>
      </c>
      <c r="P83" s="18">
        <v>0.55000000000000004</v>
      </c>
      <c r="Q83" s="18">
        <v>0.55000000000000004</v>
      </c>
      <c r="R83" s="19" t="s">
        <v>24</v>
      </c>
      <c r="S83" s="19">
        <v>2400</v>
      </c>
      <c r="T83" s="19">
        <v>16000</v>
      </c>
      <c r="U83" s="19">
        <v>4000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12000</v>
      </c>
      <c r="AD83" s="19">
        <v>16000</v>
      </c>
      <c r="AE83" s="19">
        <v>4000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12000</v>
      </c>
      <c r="AN83" s="19">
        <v>8800</v>
      </c>
      <c r="AO83" s="19">
        <v>0</v>
      </c>
      <c r="AP83" s="19">
        <v>8800</v>
      </c>
    </row>
    <row r="84" spans="1:42" x14ac:dyDescent="0.4">
      <c r="A84" s="18" t="s">
        <v>48</v>
      </c>
      <c r="B84" s="18" t="s">
        <v>83</v>
      </c>
      <c r="C84" s="18" t="s">
        <v>84</v>
      </c>
      <c r="D84" s="18" t="s">
        <v>85</v>
      </c>
      <c r="E84" s="18" t="s">
        <v>86</v>
      </c>
      <c r="F84" s="18" t="s">
        <v>49</v>
      </c>
      <c r="G84" s="18" t="s">
        <v>20</v>
      </c>
      <c r="H84" s="18" t="s">
        <v>21</v>
      </c>
      <c r="I84" s="18" t="s">
        <v>22</v>
      </c>
      <c r="J84" s="18">
        <v>52963521</v>
      </c>
      <c r="K84" s="18" t="s">
        <v>75</v>
      </c>
      <c r="L84" s="18"/>
      <c r="M84" s="18"/>
      <c r="N84" s="18" t="s">
        <v>58</v>
      </c>
      <c r="O84" s="18" t="s">
        <v>23</v>
      </c>
      <c r="P84" s="18">
        <v>0.55000000000000004</v>
      </c>
      <c r="Q84" s="18">
        <v>0.55000000000000004</v>
      </c>
      <c r="R84" s="19" t="s">
        <v>24</v>
      </c>
      <c r="S84" s="19">
        <v>9200</v>
      </c>
      <c r="T84" s="19">
        <v>26700</v>
      </c>
      <c r="U84" s="19">
        <v>17500</v>
      </c>
      <c r="V84" s="19">
        <v>0</v>
      </c>
      <c r="W84" s="19">
        <v>0</v>
      </c>
      <c r="X84" s="19">
        <v>0</v>
      </c>
      <c r="Y84" s="19">
        <v>-600</v>
      </c>
      <c r="Z84" s="19">
        <v>0</v>
      </c>
      <c r="AA84" s="19">
        <v>0</v>
      </c>
      <c r="AB84" s="19">
        <v>0</v>
      </c>
      <c r="AC84" s="19">
        <v>9800</v>
      </c>
      <c r="AD84" s="19">
        <v>26580</v>
      </c>
      <c r="AE84" s="19">
        <v>17500</v>
      </c>
      <c r="AF84" s="19">
        <v>0</v>
      </c>
      <c r="AG84" s="19">
        <v>0</v>
      </c>
      <c r="AH84" s="19">
        <v>0</v>
      </c>
      <c r="AI84" s="19">
        <v>-720</v>
      </c>
      <c r="AJ84" s="19">
        <v>0</v>
      </c>
      <c r="AK84" s="19">
        <v>0</v>
      </c>
      <c r="AL84" s="19">
        <v>0</v>
      </c>
      <c r="AM84" s="19">
        <v>9800</v>
      </c>
      <c r="AN84" s="19">
        <v>14619</v>
      </c>
      <c r="AO84" s="19">
        <v>0</v>
      </c>
      <c r="AP84" s="19">
        <v>14619</v>
      </c>
    </row>
    <row r="85" spans="1:42" x14ac:dyDescent="0.4">
      <c r="A85" s="18" t="s">
        <v>48</v>
      </c>
      <c r="B85" s="18" t="s">
        <v>83</v>
      </c>
      <c r="C85" s="18" t="s">
        <v>84</v>
      </c>
      <c r="D85" s="18" t="s">
        <v>85</v>
      </c>
      <c r="E85" s="18" t="s">
        <v>86</v>
      </c>
      <c r="F85" s="18" t="s">
        <v>49</v>
      </c>
      <c r="G85" s="18" t="s">
        <v>20</v>
      </c>
      <c r="H85" s="18" t="s">
        <v>21</v>
      </c>
      <c r="I85" s="18" t="s">
        <v>22</v>
      </c>
      <c r="J85" s="18">
        <v>52963521</v>
      </c>
      <c r="K85" s="18" t="s">
        <v>75</v>
      </c>
      <c r="L85" s="18"/>
      <c r="M85" s="18"/>
      <c r="N85" s="18" t="s">
        <v>58</v>
      </c>
      <c r="O85" s="18" t="s">
        <v>23</v>
      </c>
      <c r="P85" s="18">
        <v>0.55000000000000004</v>
      </c>
      <c r="Q85" s="18">
        <v>0.55000000000000004</v>
      </c>
      <c r="R85" s="19" t="s">
        <v>24</v>
      </c>
      <c r="S85" s="19">
        <v>18000</v>
      </c>
      <c r="T85" s="19">
        <v>15800</v>
      </c>
      <c r="U85" s="19">
        <v>14000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1800</v>
      </c>
      <c r="AD85" s="19">
        <v>15800</v>
      </c>
      <c r="AE85" s="19">
        <v>14000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1800</v>
      </c>
      <c r="AN85" s="19">
        <v>8690</v>
      </c>
      <c r="AO85" s="19">
        <v>0</v>
      </c>
      <c r="AP85" s="19">
        <v>8690</v>
      </c>
    </row>
    <row r="86" spans="1:42" x14ac:dyDescent="0.4">
      <c r="A86" s="18" t="s">
        <v>48</v>
      </c>
      <c r="B86" s="18" t="s">
        <v>83</v>
      </c>
      <c r="C86" s="18" t="s">
        <v>84</v>
      </c>
      <c r="D86" s="18" t="s">
        <v>85</v>
      </c>
      <c r="E86" s="18" t="s">
        <v>86</v>
      </c>
      <c r="F86" s="18" t="s">
        <v>49</v>
      </c>
      <c r="G86" s="18" t="s">
        <v>20</v>
      </c>
      <c r="H86" s="18" t="s">
        <v>21</v>
      </c>
      <c r="I86" s="18" t="s">
        <v>22</v>
      </c>
      <c r="J86" s="18">
        <v>52972236</v>
      </c>
      <c r="K86" s="18" t="s">
        <v>55</v>
      </c>
      <c r="L86" s="18"/>
      <c r="M86" s="18"/>
      <c r="N86" s="18" t="s">
        <v>56</v>
      </c>
      <c r="O86" s="18" t="s">
        <v>23</v>
      </c>
      <c r="P86" s="18">
        <v>0.55000000000000004</v>
      </c>
      <c r="Q86" s="18">
        <v>0.55000000000000004</v>
      </c>
      <c r="R86" s="19" t="s">
        <v>25</v>
      </c>
      <c r="S86" s="19">
        <v>100</v>
      </c>
      <c r="T86" s="19">
        <v>11800</v>
      </c>
      <c r="U86" s="19">
        <v>800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11000</v>
      </c>
      <c r="AD86" s="19">
        <v>11800</v>
      </c>
      <c r="AE86" s="19">
        <v>800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11000</v>
      </c>
      <c r="AN86" s="19">
        <v>6490</v>
      </c>
      <c r="AO86" s="19">
        <v>0</v>
      </c>
      <c r="AP86" s="19">
        <v>6490</v>
      </c>
    </row>
    <row r="87" spans="1:42" x14ac:dyDescent="0.4">
      <c r="A87" s="18" t="s">
        <v>48</v>
      </c>
      <c r="B87" s="18" t="s">
        <v>83</v>
      </c>
      <c r="C87" s="18" t="s">
        <v>84</v>
      </c>
      <c r="D87" s="18" t="s">
        <v>85</v>
      </c>
      <c r="E87" s="18" t="s">
        <v>86</v>
      </c>
      <c r="F87" s="18" t="s">
        <v>49</v>
      </c>
      <c r="G87" s="18" t="s">
        <v>20</v>
      </c>
      <c r="H87" s="18" t="s">
        <v>21</v>
      </c>
      <c r="I87" s="18" t="s">
        <v>22</v>
      </c>
      <c r="J87" s="18">
        <v>52972236</v>
      </c>
      <c r="K87" s="18" t="s">
        <v>55</v>
      </c>
      <c r="L87" s="18"/>
      <c r="M87" s="18"/>
      <c r="N87" s="18" t="s">
        <v>56</v>
      </c>
      <c r="O87" s="18" t="s">
        <v>23</v>
      </c>
      <c r="P87" s="18">
        <v>0.55000000000000004</v>
      </c>
      <c r="Q87" s="18">
        <v>0.55000000000000004</v>
      </c>
      <c r="R87" s="19" t="s">
        <v>24</v>
      </c>
      <c r="S87" s="19">
        <v>2400</v>
      </c>
      <c r="T87" s="19">
        <v>4700</v>
      </c>
      <c r="U87" s="19">
        <v>4700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4700</v>
      </c>
      <c r="AE87" s="19">
        <v>4700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2585</v>
      </c>
      <c r="AO87" s="19">
        <v>0</v>
      </c>
      <c r="AP87" s="19">
        <v>2585</v>
      </c>
    </row>
    <row r="88" spans="1:42" x14ac:dyDescent="0.4">
      <c r="A88" s="18" t="s">
        <v>48</v>
      </c>
      <c r="B88" s="18" t="s">
        <v>83</v>
      </c>
      <c r="C88" s="18" t="s">
        <v>84</v>
      </c>
      <c r="D88" s="18" t="s">
        <v>85</v>
      </c>
      <c r="E88" s="18" t="s">
        <v>86</v>
      </c>
      <c r="F88" s="18" t="s">
        <v>49</v>
      </c>
      <c r="G88" s="18" t="s">
        <v>20</v>
      </c>
      <c r="H88" s="18" t="s">
        <v>21</v>
      </c>
      <c r="I88" s="18" t="s">
        <v>22</v>
      </c>
      <c r="J88" s="18">
        <v>52972236</v>
      </c>
      <c r="K88" s="18" t="s">
        <v>55</v>
      </c>
      <c r="L88" s="18"/>
      <c r="M88" s="18"/>
      <c r="N88" s="18" t="s">
        <v>56</v>
      </c>
      <c r="O88" s="18" t="s">
        <v>23</v>
      </c>
      <c r="P88" s="18">
        <v>0.55000000000000004</v>
      </c>
      <c r="Q88" s="18">
        <v>0.55000000000000004</v>
      </c>
      <c r="R88" s="19" t="s">
        <v>24</v>
      </c>
      <c r="S88" s="19">
        <v>9200</v>
      </c>
      <c r="T88" s="19">
        <v>2300</v>
      </c>
      <c r="U88" s="19">
        <v>2300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2300</v>
      </c>
      <c r="AE88" s="19">
        <v>2300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1265</v>
      </c>
      <c r="AO88" s="19">
        <v>0</v>
      </c>
      <c r="AP88" s="19">
        <v>1265</v>
      </c>
    </row>
    <row r="89" spans="1:42" x14ac:dyDescent="0.4">
      <c r="A89" s="18" t="s">
        <v>48</v>
      </c>
      <c r="B89" s="18" t="s">
        <v>83</v>
      </c>
      <c r="C89" s="18" t="s">
        <v>84</v>
      </c>
      <c r="D89" s="18" t="s">
        <v>85</v>
      </c>
      <c r="E89" s="18" t="s">
        <v>86</v>
      </c>
      <c r="F89" s="18" t="s">
        <v>49</v>
      </c>
      <c r="G89" s="18" t="s">
        <v>20</v>
      </c>
      <c r="H89" s="18" t="s">
        <v>21</v>
      </c>
      <c r="I89" s="18" t="s">
        <v>22</v>
      </c>
      <c r="J89" s="18">
        <v>53188002</v>
      </c>
      <c r="K89" s="18" t="s">
        <v>62</v>
      </c>
      <c r="L89" s="18"/>
      <c r="M89" s="18"/>
      <c r="N89" s="18" t="s">
        <v>63</v>
      </c>
      <c r="O89" s="18" t="s">
        <v>23</v>
      </c>
      <c r="P89" s="18">
        <v>0.55000000000000004</v>
      </c>
      <c r="Q89" s="18">
        <v>0.55000000000000004</v>
      </c>
      <c r="R89" s="19" t="s">
        <v>25</v>
      </c>
      <c r="S89" s="19">
        <v>100</v>
      </c>
      <c r="T89" s="19">
        <v>4900</v>
      </c>
      <c r="U89" s="19">
        <v>1500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3400</v>
      </c>
      <c r="AD89" s="19">
        <v>4900</v>
      </c>
      <c r="AE89" s="19">
        <v>1500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3400</v>
      </c>
      <c r="AN89" s="19">
        <v>2695</v>
      </c>
      <c r="AO89" s="19">
        <v>0</v>
      </c>
      <c r="AP89" s="19">
        <v>2695</v>
      </c>
    </row>
    <row r="90" spans="1:42" x14ac:dyDescent="0.4">
      <c r="A90" s="18" t="s">
        <v>48</v>
      </c>
      <c r="B90" s="18" t="s">
        <v>83</v>
      </c>
      <c r="C90" s="18" t="s">
        <v>84</v>
      </c>
      <c r="D90" s="18" t="s">
        <v>85</v>
      </c>
      <c r="E90" s="18" t="s">
        <v>86</v>
      </c>
      <c r="F90" s="18" t="s">
        <v>49</v>
      </c>
      <c r="G90" s="18" t="s">
        <v>20</v>
      </c>
      <c r="H90" s="18" t="s">
        <v>21</v>
      </c>
      <c r="I90" s="18" t="s">
        <v>22</v>
      </c>
      <c r="J90" s="18">
        <v>53188002</v>
      </c>
      <c r="K90" s="18" t="s">
        <v>62</v>
      </c>
      <c r="L90" s="18"/>
      <c r="M90" s="18"/>
      <c r="N90" s="18" t="s">
        <v>63</v>
      </c>
      <c r="O90" s="18" t="s">
        <v>23</v>
      </c>
      <c r="P90" s="18">
        <v>0.55000000000000004</v>
      </c>
      <c r="Q90" s="18">
        <v>0.55000000000000004</v>
      </c>
      <c r="R90" s="19" t="s">
        <v>24</v>
      </c>
      <c r="S90" s="19">
        <v>2400</v>
      </c>
      <c r="T90" s="19">
        <v>20800</v>
      </c>
      <c r="U90" s="19">
        <v>20800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20800</v>
      </c>
      <c r="AE90" s="19">
        <v>20800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11440</v>
      </c>
      <c r="AO90" s="19">
        <v>0</v>
      </c>
      <c r="AP90" s="19">
        <v>11440</v>
      </c>
    </row>
    <row r="91" spans="1:42" x14ac:dyDescent="0.4">
      <c r="A91" s="18" t="s">
        <v>48</v>
      </c>
      <c r="B91" s="18" t="s">
        <v>83</v>
      </c>
      <c r="C91" s="18" t="s">
        <v>84</v>
      </c>
      <c r="D91" s="18" t="s">
        <v>85</v>
      </c>
      <c r="E91" s="18" t="s">
        <v>86</v>
      </c>
      <c r="F91" s="18" t="s">
        <v>49</v>
      </c>
      <c r="G91" s="18" t="s">
        <v>20</v>
      </c>
      <c r="H91" s="18" t="s">
        <v>21</v>
      </c>
      <c r="I91" s="18" t="s">
        <v>22</v>
      </c>
      <c r="J91" s="18">
        <v>53188002</v>
      </c>
      <c r="K91" s="18" t="s">
        <v>62</v>
      </c>
      <c r="L91" s="18"/>
      <c r="M91" s="18"/>
      <c r="N91" s="18" t="s">
        <v>63</v>
      </c>
      <c r="O91" s="18" t="s">
        <v>23</v>
      </c>
      <c r="P91" s="18">
        <v>0.55000000000000004</v>
      </c>
      <c r="Q91" s="18">
        <v>0.55000000000000004</v>
      </c>
      <c r="R91" s="19" t="s">
        <v>24</v>
      </c>
      <c r="S91" s="19">
        <v>9200</v>
      </c>
      <c r="T91" s="19">
        <v>32000</v>
      </c>
      <c r="U91" s="19">
        <v>29000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3000</v>
      </c>
      <c r="AD91" s="19">
        <v>32000</v>
      </c>
      <c r="AE91" s="19">
        <v>29000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3000</v>
      </c>
      <c r="AN91" s="19">
        <v>17600</v>
      </c>
      <c r="AO91" s="19">
        <v>0</v>
      </c>
      <c r="AP91" s="19">
        <v>17600</v>
      </c>
    </row>
    <row r="92" spans="1:42" x14ac:dyDescent="0.4">
      <c r="A92" s="18" t="s">
        <v>48</v>
      </c>
      <c r="B92" s="18" t="s">
        <v>83</v>
      </c>
      <c r="C92" s="18" t="s">
        <v>84</v>
      </c>
      <c r="D92" s="18" t="s">
        <v>85</v>
      </c>
      <c r="E92" s="18" t="s">
        <v>86</v>
      </c>
      <c r="F92" s="18" t="s">
        <v>49</v>
      </c>
      <c r="G92" s="18" t="s">
        <v>20</v>
      </c>
      <c r="H92" s="18" t="s">
        <v>21</v>
      </c>
      <c r="I92" s="18" t="s">
        <v>22</v>
      </c>
      <c r="J92" s="18">
        <v>53188002</v>
      </c>
      <c r="K92" s="18" t="s">
        <v>62</v>
      </c>
      <c r="L92" s="18"/>
      <c r="M92" s="18"/>
      <c r="N92" s="18" t="s">
        <v>63</v>
      </c>
      <c r="O92" s="18" t="s">
        <v>23</v>
      </c>
      <c r="P92" s="18">
        <v>0.55000000000000004</v>
      </c>
      <c r="Q92" s="18">
        <v>0.55000000000000004</v>
      </c>
      <c r="R92" s="19" t="s">
        <v>24</v>
      </c>
      <c r="S92" s="19">
        <v>18000</v>
      </c>
      <c r="T92" s="19">
        <v>9900</v>
      </c>
      <c r="U92" s="19">
        <v>9900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9900</v>
      </c>
      <c r="AE92" s="19">
        <v>9900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5445</v>
      </c>
      <c r="AO92" s="19">
        <v>0</v>
      </c>
      <c r="AP92" s="19">
        <v>5445</v>
      </c>
    </row>
    <row r="93" spans="1:42" x14ac:dyDescent="0.4">
      <c r="A93" s="18" t="s">
        <v>48</v>
      </c>
      <c r="B93" s="18" t="s">
        <v>83</v>
      </c>
      <c r="C93" s="18" t="s">
        <v>84</v>
      </c>
      <c r="D93" s="18" t="s">
        <v>85</v>
      </c>
      <c r="E93" s="18" t="s">
        <v>86</v>
      </c>
      <c r="F93" s="18" t="s">
        <v>49</v>
      </c>
      <c r="G93" s="18" t="s">
        <v>20</v>
      </c>
      <c r="H93" s="18" t="s">
        <v>21</v>
      </c>
      <c r="I93" s="18" t="s">
        <v>22</v>
      </c>
      <c r="J93" s="18">
        <v>53990724</v>
      </c>
      <c r="K93" s="18" t="s">
        <v>143</v>
      </c>
      <c r="L93" s="18"/>
      <c r="M93" s="18"/>
      <c r="N93" s="18" t="s">
        <v>144</v>
      </c>
      <c r="O93" s="18" t="s">
        <v>23</v>
      </c>
      <c r="P93" s="18">
        <v>0.55000000000000004</v>
      </c>
      <c r="Q93" s="18">
        <v>0.55000000000000004</v>
      </c>
      <c r="R93" s="19" t="s">
        <v>25</v>
      </c>
      <c r="S93" s="19">
        <v>100</v>
      </c>
      <c r="T93" s="19">
        <v>2900</v>
      </c>
      <c r="U93" s="19">
        <v>2900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2900</v>
      </c>
      <c r="AE93" s="19">
        <v>2900</v>
      </c>
      <c r="AF93" s="19">
        <v>0</v>
      </c>
      <c r="AG93" s="19">
        <v>0</v>
      </c>
      <c r="AH93" s="19">
        <v>0</v>
      </c>
      <c r="AI93" s="19">
        <v>0</v>
      </c>
      <c r="AJ93" s="19">
        <v>0</v>
      </c>
      <c r="AK93" s="19">
        <v>0</v>
      </c>
      <c r="AL93" s="19">
        <v>0</v>
      </c>
      <c r="AM93" s="19">
        <v>0</v>
      </c>
      <c r="AN93" s="19">
        <v>1595</v>
      </c>
      <c r="AO93" s="19">
        <v>0</v>
      </c>
      <c r="AP93" s="19">
        <v>1595</v>
      </c>
    </row>
    <row r="94" spans="1:42" x14ac:dyDescent="0.4">
      <c r="A94" s="18" t="s">
        <v>48</v>
      </c>
      <c r="B94" s="18" t="s">
        <v>83</v>
      </c>
      <c r="C94" s="18" t="s">
        <v>84</v>
      </c>
      <c r="D94" s="18" t="s">
        <v>85</v>
      </c>
      <c r="E94" s="18" t="s">
        <v>86</v>
      </c>
      <c r="F94" s="18" t="s">
        <v>49</v>
      </c>
      <c r="G94" s="18" t="s">
        <v>20</v>
      </c>
      <c r="H94" s="18" t="s">
        <v>21</v>
      </c>
      <c r="I94" s="18" t="s">
        <v>22</v>
      </c>
      <c r="J94" s="18">
        <v>53990724</v>
      </c>
      <c r="K94" s="18" t="s">
        <v>143</v>
      </c>
      <c r="L94" s="18"/>
      <c r="M94" s="18"/>
      <c r="N94" s="18" t="s">
        <v>144</v>
      </c>
      <c r="O94" s="18" t="s">
        <v>23</v>
      </c>
      <c r="P94" s="18">
        <v>0.55000000000000004</v>
      </c>
      <c r="Q94" s="18">
        <v>0.55000000000000004</v>
      </c>
      <c r="R94" s="19" t="s">
        <v>24</v>
      </c>
      <c r="S94" s="19">
        <v>2400</v>
      </c>
      <c r="T94" s="19">
        <v>9600</v>
      </c>
      <c r="U94" s="19">
        <v>9600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9600</v>
      </c>
      <c r="AE94" s="19">
        <v>9600</v>
      </c>
      <c r="AF94" s="19">
        <v>0</v>
      </c>
      <c r="AG94" s="19">
        <v>0</v>
      </c>
      <c r="AH94" s="19">
        <v>0</v>
      </c>
      <c r="AI94" s="19">
        <v>0</v>
      </c>
      <c r="AJ94" s="19">
        <v>0</v>
      </c>
      <c r="AK94" s="19">
        <v>0</v>
      </c>
      <c r="AL94" s="19">
        <v>0</v>
      </c>
      <c r="AM94" s="19">
        <v>0</v>
      </c>
      <c r="AN94" s="19">
        <v>5280</v>
      </c>
      <c r="AO94" s="19">
        <v>0</v>
      </c>
      <c r="AP94" s="19">
        <v>5280</v>
      </c>
    </row>
    <row r="95" spans="1:42" x14ac:dyDescent="0.4">
      <c r="A95" s="18" t="s">
        <v>48</v>
      </c>
      <c r="B95" s="18" t="s">
        <v>83</v>
      </c>
      <c r="C95" s="18" t="s">
        <v>84</v>
      </c>
      <c r="D95" s="18" t="s">
        <v>85</v>
      </c>
      <c r="E95" s="18" t="s">
        <v>86</v>
      </c>
      <c r="F95" s="18" t="s">
        <v>49</v>
      </c>
      <c r="G95" s="18" t="s">
        <v>20</v>
      </c>
      <c r="H95" s="18" t="s">
        <v>21</v>
      </c>
      <c r="I95" s="18" t="s">
        <v>22</v>
      </c>
      <c r="J95" s="18">
        <v>54231195</v>
      </c>
      <c r="K95" s="18" t="s">
        <v>61</v>
      </c>
      <c r="L95" s="18"/>
      <c r="M95" s="18"/>
      <c r="N95" s="18" t="s">
        <v>52</v>
      </c>
      <c r="O95" s="18" t="s">
        <v>23</v>
      </c>
      <c r="P95" s="18">
        <v>0.55000000000000004</v>
      </c>
      <c r="Q95" s="18">
        <v>0.55000000000000004</v>
      </c>
      <c r="R95" s="19" t="s">
        <v>25</v>
      </c>
      <c r="S95" s="19">
        <v>100</v>
      </c>
      <c r="T95" s="19">
        <v>20400</v>
      </c>
      <c r="U95" s="19">
        <v>6900</v>
      </c>
      <c r="V95" s="19">
        <v>0</v>
      </c>
      <c r="W95" s="19">
        <v>0</v>
      </c>
      <c r="X95" s="19">
        <v>0</v>
      </c>
      <c r="Y95" s="19">
        <v>1800</v>
      </c>
      <c r="Z95" s="19">
        <v>0</v>
      </c>
      <c r="AA95" s="19">
        <v>0</v>
      </c>
      <c r="AB95" s="19">
        <v>0</v>
      </c>
      <c r="AC95" s="19">
        <v>11700</v>
      </c>
      <c r="AD95" s="19">
        <v>20760</v>
      </c>
      <c r="AE95" s="19">
        <v>6900</v>
      </c>
      <c r="AF95" s="19">
        <v>0</v>
      </c>
      <c r="AG95" s="19">
        <v>0</v>
      </c>
      <c r="AH95" s="19">
        <v>0</v>
      </c>
      <c r="AI95" s="19">
        <v>2160</v>
      </c>
      <c r="AJ95" s="19">
        <v>0</v>
      </c>
      <c r="AK95" s="19">
        <v>0</v>
      </c>
      <c r="AL95" s="19">
        <v>0</v>
      </c>
      <c r="AM95" s="19">
        <v>11700</v>
      </c>
      <c r="AN95" s="19">
        <v>11418</v>
      </c>
      <c r="AO95" s="19">
        <v>0</v>
      </c>
      <c r="AP95" s="19">
        <v>11418</v>
      </c>
    </row>
    <row r="96" spans="1:42" x14ac:dyDescent="0.4">
      <c r="A96" s="18" t="s">
        <v>48</v>
      </c>
      <c r="B96" s="18" t="s">
        <v>83</v>
      </c>
      <c r="C96" s="18" t="s">
        <v>84</v>
      </c>
      <c r="D96" s="18" t="s">
        <v>85</v>
      </c>
      <c r="E96" s="18" t="s">
        <v>86</v>
      </c>
      <c r="F96" s="18" t="s">
        <v>49</v>
      </c>
      <c r="G96" s="18" t="s">
        <v>20</v>
      </c>
      <c r="H96" s="18" t="s">
        <v>21</v>
      </c>
      <c r="I96" s="18" t="s">
        <v>22</v>
      </c>
      <c r="J96" s="18">
        <v>54231195</v>
      </c>
      <c r="K96" s="18" t="s">
        <v>61</v>
      </c>
      <c r="L96" s="18"/>
      <c r="M96" s="18"/>
      <c r="N96" s="18" t="s">
        <v>52</v>
      </c>
      <c r="O96" s="18" t="s">
        <v>23</v>
      </c>
      <c r="P96" s="18">
        <v>0.55000000000000004</v>
      </c>
      <c r="Q96" s="18">
        <v>0.55000000000000004</v>
      </c>
      <c r="R96" s="19" t="s">
        <v>24</v>
      </c>
      <c r="S96" s="19">
        <v>2400</v>
      </c>
      <c r="T96" s="19">
        <v>47800</v>
      </c>
      <c r="U96" s="19">
        <v>34900</v>
      </c>
      <c r="V96" s="19">
        <v>0</v>
      </c>
      <c r="W96" s="19">
        <v>0</v>
      </c>
      <c r="X96" s="19">
        <v>0</v>
      </c>
      <c r="Y96" s="19">
        <v>0</v>
      </c>
      <c r="Z96" s="19">
        <v>12000</v>
      </c>
      <c r="AA96" s="19">
        <v>0</v>
      </c>
      <c r="AB96" s="19">
        <v>0</v>
      </c>
      <c r="AC96" s="19">
        <v>900</v>
      </c>
      <c r="AD96" s="19">
        <v>49000</v>
      </c>
      <c r="AE96" s="19">
        <v>34900</v>
      </c>
      <c r="AF96" s="19">
        <v>0</v>
      </c>
      <c r="AG96" s="19">
        <v>0</v>
      </c>
      <c r="AH96" s="19">
        <v>0</v>
      </c>
      <c r="AI96" s="19">
        <v>0</v>
      </c>
      <c r="AJ96" s="19">
        <v>13200</v>
      </c>
      <c r="AK96" s="19">
        <v>0</v>
      </c>
      <c r="AL96" s="19">
        <v>0</v>
      </c>
      <c r="AM96" s="19">
        <v>900</v>
      </c>
      <c r="AN96" s="19">
        <v>26950</v>
      </c>
      <c r="AO96" s="19">
        <v>0</v>
      </c>
      <c r="AP96" s="19">
        <v>26950</v>
      </c>
    </row>
    <row r="97" spans="1:42" x14ac:dyDescent="0.4">
      <c r="A97" s="18" t="s">
        <v>48</v>
      </c>
      <c r="B97" s="18" t="s">
        <v>83</v>
      </c>
      <c r="C97" s="18" t="s">
        <v>84</v>
      </c>
      <c r="D97" s="18" t="s">
        <v>85</v>
      </c>
      <c r="E97" s="18" t="s">
        <v>86</v>
      </c>
      <c r="F97" s="18" t="s">
        <v>49</v>
      </c>
      <c r="G97" s="18" t="s">
        <v>20</v>
      </c>
      <c r="H97" s="18" t="s">
        <v>21</v>
      </c>
      <c r="I97" s="18" t="s">
        <v>22</v>
      </c>
      <c r="J97" s="18">
        <v>54231195</v>
      </c>
      <c r="K97" s="18" t="s">
        <v>61</v>
      </c>
      <c r="L97" s="18"/>
      <c r="M97" s="18"/>
      <c r="N97" s="18" t="s">
        <v>52</v>
      </c>
      <c r="O97" s="18" t="s">
        <v>23</v>
      </c>
      <c r="P97" s="18">
        <v>0.55000000000000004</v>
      </c>
      <c r="Q97" s="18">
        <v>0.55000000000000004</v>
      </c>
      <c r="R97" s="19" t="s">
        <v>24</v>
      </c>
      <c r="S97" s="19">
        <v>9200</v>
      </c>
      <c r="T97" s="19">
        <v>35400</v>
      </c>
      <c r="U97" s="19">
        <v>35400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0</v>
      </c>
      <c r="AD97" s="19">
        <v>35400</v>
      </c>
      <c r="AE97" s="19">
        <v>35400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19470</v>
      </c>
      <c r="AO97" s="19">
        <v>0</v>
      </c>
      <c r="AP97" s="19">
        <v>19470</v>
      </c>
    </row>
    <row r="98" spans="1:42" x14ac:dyDescent="0.4">
      <c r="A98" s="18" t="s">
        <v>48</v>
      </c>
      <c r="B98" s="18" t="s">
        <v>83</v>
      </c>
      <c r="C98" s="18" t="s">
        <v>84</v>
      </c>
      <c r="D98" s="18" t="s">
        <v>85</v>
      </c>
      <c r="E98" s="18" t="s">
        <v>86</v>
      </c>
      <c r="F98" s="18" t="s">
        <v>49</v>
      </c>
      <c r="G98" s="18" t="s">
        <v>20</v>
      </c>
      <c r="H98" s="18" t="s">
        <v>21</v>
      </c>
      <c r="I98" s="18" t="s">
        <v>22</v>
      </c>
      <c r="J98" s="18">
        <v>54231195</v>
      </c>
      <c r="K98" s="18" t="s">
        <v>61</v>
      </c>
      <c r="L98" s="18"/>
      <c r="M98" s="18"/>
      <c r="N98" s="18" t="s">
        <v>52</v>
      </c>
      <c r="O98" s="18" t="s">
        <v>23</v>
      </c>
      <c r="P98" s="18">
        <v>0.55000000000000004</v>
      </c>
      <c r="Q98" s="18">
        <v>0.55000000000000004</v>
      </c>
      <c r="R98" s="19" t="s">
        <v>24</v>
      </c>
      <c r="S98" s="19">
        <v>18000</v>
      </c>
      <c r="T98" s="19">
        <v>-800</v>
      </c>
      <c r="U98" s="19">
        <v>-800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-800</v>
      </c>
      <c r="AE98" s="19">
        <v>-800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-440</v>
      </c>
      <c r="AO98" s="19">
        <v>0</v>
      </c>
      <c r="AP98" s="19">
        <v>-440</v>
      </c>
    </row>
    <row r="99" spans="1:42" x14ac:dyDescent="0.4">
      <c r="A99" s="18" t="s">
        <v>48</v>
      </c>
      <c r="B99" s="18" t="s">
        <v>83</v>
      </c>
      <c r="C99" s="18" t="s">
        <v>84</v>
      </c>
      <c r="D99" s="18" t="s">
        <v>85</v>
      </c>
      <c r="E99" s="18" t="s">
        <v>86</v>
      </c>
      <c r="F99" s="18" t="s">
        <v>49</v>
      </c>
      <c r="G99" s="18" t="s">
        <v>20</v>
      </c>
      <c r="H99" s="18" t="s">
        <v>21</v>
      </c>
      <c r="I99" s="18" t="s">
        <v>22</v>
      </c>
      <c r="J99" s="18">
        <v>54659177</v>
      </c>
      <c r="K99" s="18" t="s">
        <v>81</v>
      </c>
      <c r="L99" s="18"/>
      <c r="M99" s="18"/>
      <c r="N99" s="18" t="s">
        <v>82</v>
      </c>
      <c r="O99" s="18" t="s">
        <v>23</v>
      </c>
      <c r="P99" s="18">
        <v>0.55000000000000004</v>
      </c>
      <c r="Q99" s="18">
        <v>0.55000000000000004</v>
      </c>
      <c r="R99" s="19" t="s">
        <v>25</v>
      </c>
      <c r="S99" s="19">
        <v>100</v>
      </c>
      <c r="T99" s="19">
        <v>2100</v>
      </c>
      <c r="U99" s="19">
        <v>1200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900</v>
      </c>
      <c r="AD99" s="19">
        <v>2100</v>
      </c>
      <c r="AE99" s="19">
        <v>1200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900</v>
      </c>
      <c r="AN99" s="19">
        <v>1155</v>
      </c>
      <c r="AO99" s="19">
        <v>0</v>
      </c>
      <c r="AP99" s="19">
        <v>1155</v>
      </c>
    </row>
    <row r="100" spans="1:42" x14ac:dyDescent="0.4">
      <c r="A100" s="18" t="s">
        <v>48</v>
      </c>
      <c r="B100" s="18" t="s">
        <v>83</v>
      </c>
      <c r="C100" s="18" t="s">
        <v>84</v>
      </c>
      <c r="D100" s="18" t="s">
        <v>85</v>
      </c>
      <c r="E100" s="18" t="s">
        <v>86</v>
      </c>
      <c r="F100" s="18" t="s">
        <v>49</v>
      </c>
      <c r="G100" s="18" t="s">
        <v>20</v>
      </c>
      <c r="H100" s="18" t="s">
        <v>21</v>
      </c>
      <c r="I100" s="18" t="s">
        <v>22</v>
      </c>
      <c r="J100" s="18">
        <v>54659177</v>
      </c>
      <c r="K100" s="18" t="s">
        <v>81</v>
      </c>
      <c r="L100" s="18"/>
      <c r="M100" s="18"/>
      <c r="N100" s="18" t="s">
        <v>82</v>
      </c>
      <c r="O100" s="18" t="s">
        <v>23</v>
      </c>
      <c r="P100" s="18">
        <v>0.55000000000000004</v>
      </c>
      <c r="Q100" s="18">
        <v>0.55000000000000004</v>
      </c>
      <c r="R100" s="19" t="s">
        <v>24</v>
      </c>
      <c r="S100" s="19">
        <v>2400</v>
      </c>
      <c r="T100" s="19">
        <v>4800</v>
      </c>
      <c r="U100" s="19">
        <v>4300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500</v>
      </c>
      <c r="AD100" s="19">
        <v>4800</v>
      </c>
      <c r="AE100" s="19">
        <v>4300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500</v>
      </c>
      <c r="AN100" s="19">
        <v>2640</v>
      </c>
      <c r="AO100" s="19">
        <v>0</v>
      </c>
      <c r="AP100" s="19">
        <v>2640</v>
      </c>
    </row>
    <row r="101" spans="1:42" x14ac:dyDescent="0.4">
      <c r="A101" s="18" t="s">
        <v>48</v>
      </c>
      <c r="B101" s="18" t="s">
        <v>83</v>
      </c>
      <c r="C101" s="18" t="s">
        <v>84</v>
      </c>
      <c r="D101" s="18" t="s">
        <v>85</v>
      </c>
      <c r="E101" s="18" t="s">
        <v>86</v>
      </c>
      <c r="F101" s="18" t="s">
        <v>49</v>
      </c>
      <c r="G101" s="18" t="s">
        <v>20</v>
      </c>
      <c r="H101" s="18" t="s">
        <v>21</v>
      </c>
      <c r="I101" s="18" t="s">
        <v>22</v>
      </c>
      <c r="J101" s="18">
        <v>55635870</v>
      </c>
      <c r="K101" s="18" t="s">
        <v>90</v>
      </c>
      <c r="L101" s="18"/>
      <c r="M101" s="18"/>
      <c r="N101" s="18" t="s">
        <v>64</v>
      </c>
      <c r="O101" s="18" t="s">
        <v>23</v>
      </c>
      <c r="P101" s="18">
        <v>0.55000000000000004</v>
      </c>
      <c r="Q101" s="18">
        <v>0.55000000000000004</v>
      </c>
      <c r="R101" s="19" t="s">
        <v>25</v>
      </c>
      <c r="S101" s="19">
        <v>100</v>
      </c>
      <c r="T101" s="19">
        <v>4389800</v>
      </c>
      <c r="U101" s="19">
        <v>774500</v>
      </c>
      <c r="V101" s="19">
        <v>0</v>
      </c>
      <c r="W101" s="19">
        <v>0</v>
      </c>
      <c r="X101" s="19">
        <v>0</v>
      </c>
      <c r="Y101" s="19">
        <v>13350</v>
      </c>
      <c r="Z101" s="19">
        <v>50350</v>
      </c>
      <c r="AA101" s="19">
        <v>0</v>
      </c>
      <c r="AB101" s="19">
        <v>0</v>
      </c>
      <c r="AC101" s="19">
        <v>3551600</v>
      </c>
      <c r="AD101" s="19">
        <v>4397505</v>
      </c>
      <c r="AE101" s="19">
        <v>774500</v>
      </c>
      <c r="AF101" s="19">
        <v>0</v>
      </c>
      <c r="AG101" s="19">
        <v>0</v>
      </c>
      <c r="AH101" s="19">
        <v>0</v>
      </c>
      <c r="AI101" s="19">
        <v>16020</v>
      </c>
      <c r="AJ101" s="19">
        <v>55385</v>
      </c>
      <c r="AK101" s="19">
        <v>0</v>
      </c>
      <c r="AL101" s="19">
        <v>0</v>
      </c>
      <c r="AM101" s="19">
        <v>3551600</v>
      </c>
      <c r="AN101" s="19">
        <v>2418628</v>
      </c>
      <c r="AO101" s="19">
        <v>0</v>
      </c>
      <c r="AP101" s="19">
        <v>2418628</v>
      </c>
    </row>
    <row r="102" spans="1:42" x14ac:dyDescent="0.4">
      <c r="A102" s="18" t="s">
        <v>48</v>
      </c>
      <c r="B102" s="18" t="s">
        <v>83</v>
      </c>
      <c r="C102" s="18" t="s">
        <v>84</v>
      </c>
      <c r="D102" s="18" t="s">
        <v>85</v>
      </c>
      <c r="E102" s="18" t="s">
        <v>86</v>
      </c>
      <c r="F102" s="18" t="s">
        <v>49</v>
      </c>
      <c r="G102" s="18" t="s">
        <v>20</v>
      </c>
      <c r="H102" s="18" t="s">
        <v>21</v>
      </c>
      <c r="I102" s="18" t="s">
        <v>22</v>
      </c>
      <c r="J102" s="18">
        <v>55635870</v>
      </c>
      <c r="K102" s="18" t="s">
        <v>90</v>
      </c>
      <c r="L102" s="18"/>
      <c r="M102" s="18"/>
      <c r="N102" s="18" t="s">
        <v>64</v>
      </c>
      <c r="O102" s="18" t="s">
        <v>23</v>
      </c>
      <c r="P102" s="18">
        <v>0.55000000000000004</v>
      </c>
      <c r="Q102" s="18">
        <v>0.55000000000000004</v>
      </c>
      <c r="R102" s="19" t="s">
        <v>24</v>
      </c>
      <c r="S102" s="19">
        <v>2400</v>
      </c>
      <c r="T102" s="19">
        <v>2476700</v>
      </c>
      <c r="U102" s="19">
        <v>1703120</v>
      </c>
      <c r="V102" s="19">
        <v>0</v>
      </c>
      <c r="W102" s="19">
        <v>0</v>
      </c>
      <c r="X102" s="19">
        <v>0</v>
      </c>
      <c r="Y102" s="19">
        <v>6870</v>
      </c>
      <c r="Z102" s="19">
        <v>87860</v>
      </c>
      <c r="AA102" s="19">
        <v>0</v>
      </c>
      <c r="AB102" s="19">
        <v>0</v>
      </c>
      <c r="AC102" s="19">
        <v>678850</v>
      </c>
      <c r="AD102" s="19">
        <v>2486860</v>
      </c>
      <c r="AE102" s="19">
        <v>1703120</v>
      </c>
      <c r="AF102" s="19">
        <v>0</v>
      </c>
      <c r="AG102" s="19">
        <v>0</v>
      </c>
      <c r="AH102" s="19">
        <v>0</v>
      </c>
      <c r="AI102" s="19">
        <v>8244</v>
      </c>
      <c r="AJ102" s="19">
        <v>96646</v>
      </c>
      <c r="AK102" s="19">
        <v>0</v>
      </c>
      <c r="AL102" s="19">
        <v>0</v>
      </c>
      <c r="AM102" s="19">
        <v>678850</v>
      </c>
      <c r="AN102" s="19">
        <v>1367773</v>
      </c>
      <c r="AO102" s="19">
        <v>0</v>
      </c>
      <c r="AP102" s="19">
        <v>1367773</v>
      </c>
    </row>
    <row r="103" spans="1:42" x14ac:dyDescent="0.4">
      <c r="A103" s="18" t="s">
        <v>48</v>
      </c>
      <c r="B103" s="18" t="s">
        <v>83</v>
      </c>
      <c r="C103" s="18" t="s">
        <v>84</v>
      </c>
      <c r="D103" s="18" t="s">
        <v>85</v>
      </c>
      <c r="E103" s="18" t="s">
        <v>86</v>
      </c>
      <c r="F103" s="18" t="s">
        <v>49</v>
      </c>
      <c r="G103" s="18" t="s">
        <v>20</v>
      </c>
      <c r="H103" s="18" t="s">
        <v>21</v>
      </c>
      <c r="I103" s="18" t="s">
        <v>22</v>
      </c>
      <c r="J103" s="18">
        <v>55635870</v>
      </c>
      <c r="K103" s="18" t="s">
        <v>90</v>
      </c>
      <c r="L103" s="18"/>
      <c r="M103" s="18"/>
      <c r="N103" s="18" t="s">
        <v>64</v>
      </c>
      <c r="O103" s="18" t="s">
        <v>23</v>
      </c>
      <c r="P103" s="18">
        <v>0.55000000000000004</v>
      </c>
      <c r="Q103" s="18">
        <v>0.55000000000000004</v>
      </c>
      <c r="R103" s="19" t="s">
        <v>24</v>
      </c>
      <c r="S103" s="19">
        <v>9200</v>
      </c>
      <c r="T103" s="19">
        <v>3216000</v>
      </c>
      <c r="U103" s="19">
        <v>2719150</v>
      </c>
      <c r="V103" s="19">
        <v>0</v>
      </c>
      <c r="W103" s="19">
        <v>0</v>
      </c>
      <c r="X103" s="19">
        <v>0</v>
      </c>
      <c r="Y103" s="19">
        <v>150</v>
      </c>
      <c r="Z103" s="19">
        <v>191500</v>
      </c>
      <c r="AA103" s="19">
        <v>0</v>
      </c>
      <c r="AB103" s="19">
        <v>0</v>
      </c>
      <c r="AC103" s="19">
        <v>305200</v>
      </c>
      <c r="AD103" s="19">
        <v>3235180</v>
      </c>
      <c r="AE103" s="19">
        <v>2719150</v>
      </c>
      <c r="AF103" s="19">
        <v>0</v>
      </c>
      <c r="AG103" s="19">
        <v>0</v>
      </c>
      <c r="AH103" s="19">
        <v>0</v>
      </c>
      <c r="AI103" s="19">
        <v>180</v>
      </c>
      <c r="AJ103" s="19">
        <v>210650</v>
      </c>
      <c r="AK103" s="19">
        <v>0</v>
      </c>
      <c r="AL103" s="19">
        <v>0</v>
      </c>
      <c r="AM103" s="19">
        <v>305200</v>
      </c>
      <c r="AN103" s="19">
        <v>1779349</v>
      </c>
      <c r="AO103" s="19">
        <v>0</v>
      </c>
      <c r="AP103" s="19">
        <v>1779349</v>
      </c>
    </row>
    <row r="104" spans="1:42" x14ac:dyDescent="0.4">
      <c r="A104" s="18" t="s">
        <v>48</v>
      </c>
      <c r="B104" s="18" t="s">
        <v>83</v>
      </c>
      <c r="C104" s="18" t="s">
        <v>84</v>
      </c>
      <c r="D104" s="18" t="s">
        <v>85</v>
      </c>
      <c r="E104" s="18" t="s">
        <v>86</v>
      </c>
      <c r="F104" s="18" t="s">
        <v>49</v>
      </c>
      <c r="G104" s="18" t="s">
        <v>20</v>
      </c>
      <c r="H104" s="18" t="s">
        <v>21</v>
      </c>
      <c r="I104" s="18" t="s">
        <v>22</v>
      </c>
      <c r="J104" s="18">
        <v>55635870</v>
      </c>
      <c r="K104" s="18" t="s">
        <v>90</v>
      </c>
      <c r="L104" s="18"/>
      <c r="M104" s="18"/>
      <c r="N104" s="18" t="s">
        <v>64</v>
      </c>
      <c r="O104" s="18" t="s">
        <v>23</v>
      </c>
      <c r="P104" s="18">
        <v>0.55000000000000004</v>
      </c>
      <c r="Q104" s="18">
        <v>0.55000000000000004</v>
      </c>
      <c r="R104" s="19" t="s">
        <v>24</v>
      </c>
      <c r="S104" s="19">
        <v>18000</v>
      </c>
      <c r="T104" s="19">
        <v>1774500</v>
      </c>
      <c r="U104" s="19">
        <v>1589250</v>
      </c>
      <c r="V104" s="19">
        <v>0</v>
      </c>
      <c r="W104" s="19">
        <v>0</v>
      </c>
      <c r="X104" s="19">
        <v>0</v>
      </c>
      <c r="Y104" s="19">
        <v>0</v>
      </c>
      <c r="Z104" s="19">
        <v>124200</v>
      </c>
      <c r="AA104" s="19">
        <v>0</v>
      </c>
      <c r="AB104" s="19">
        <v>0</v>
      </c>
      <c r="AC104" s="19">
        <v>61050</v>
      </c>
      <c r="AD104" s="19">
        <v>1786920</v>
      </c>
      <c r="AE104" s="19">
        <v>1589250</v>
      </c>
      <c r="AF104" s="19">
        <v>0</v>
      </c>
      <c r="AG104" s="19">
        <v>0</v>
      </c>
      <c r="AH104" s="19">
        <v>0</v>
      </c>
      <c r="AI104" s="19">
        <v>0</v>
      </c>
      <c r="AJ104" s="19">
        <v>136620</v>
      </c>
      <c r="AK104" s="19">
        <v>0</v>
      </c>
      <c r="AL104" s="19">
        <v>0</v>
      </c>
      <c r="AM104" s="19">
        <v>61050</v>
      </c>
      <c r="AN104" s="19">
        <v>982806</v>
      </c>
      <c r="AO104" s="19">
        <v>0</v>
      </c>
      <c r="AP104" s="19">
        <v>982806</v>
      </c>
    </row>
    <row r="105" spans="1:42" x14ac:dyDescent="0.4">
      <c r="A105" s="18" t="s">
        <v>48</v>
      </c>
      <c r="B105" s="18" t="s">
        <v>83</v>
      </c>
      <c r="C105" s="18" t="s">
        <v>84</v>
      </c>
      <c r="D105" s="18" t="s">
        <v>85</v>
      </c>
      <c r="E105" s="18" t="s">
        <v>86</v>
      </c>
      <c r="F105" s="18" t="s">
        <v>49</v>
      </c>
      <c r="G105" s="18" t="s">
        <v>20</v>
      </c>
      <c r="H105" s="18" t="s">
        <v>21</v>
      </c>
      <c r="I105" s="18" t="s">
        <v>22</v>
      </c>
      <c r="J105" s="18">
        <v>55688392</v>
      </c>
      <c r="K105" s="18" t="s">
        <v>129</v>
      </c>
      <c r="L105" s="18"/>
      <c r="M105" s="18"/>
      <c r="N105" s="18" t="s">
        <v>54</v>
      </c>
      <c r="O105" s="18" t="s">
        <v>23</v>
      </c>
      <c r="P105" s="18">
        <v>0.55000000000000004</v>
      </c>
      <c r="Q105" s="18">
        <v>0.55000000000000004</v>
      </c>
      <c r="R105" s="19" t="s">
        <v>25</v>
      </c>
      <c r="S105" s="19">
        <v>3200</v>
      </c>
      <c r="T105" s="19">
        <v>22400</v>
      </c>
      <c r="U105" s="19">
        <v>22400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22400</v>
      </c>
      <c r="AE105" s="19">
        <v>22400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12320</v>
      </c>
      <c r="AO105" s="19">
        <v>0</v>
      </c>
      <c r="AP105" s="19">
        <v>12320</v>
      </c>
    </row>
    <row r="106" spans="1:42" x14ac:dyDescent="0.4">
      <c r="A106" s="18" t="s">
        <v>48</v>
      </c>
      <c r="B106" s="18" t="s">
        <v>83</v>
      </c>
      <c r="C106" s="18" t="s">
        <v>84</v>
      </c>
      <c r="D106" s="18" t="s">
        <v>85</v>
      </c>
      <c r="E106" s="18" t="s">
        <v>86</v>
      </c>
      <c r="F106" s="18" t="s">
        <v>49</v>
      </c>
      <c r="G106" s="18" t="s">
        <v>20</v>
      </c>
      <c r="H106" s="18" t="s">
        <v>21</v>
      </c>
      <c r="I106" s="18" t="s">
        <v>22</v>
      </c>
      <c r="J106" s="18">
        <v>56485755</v>
      </c>
      <c r="K106" s="18" t="s">
        <v>93</v>
      </c>
      <c r="L106" s="18"/>
      <c r="M106" s="18"/>
      <c r="N106" s="18" t="s">
        <v>64</v>
      </c>
      <c r="O106" s="18" t="s">
        <v>23</v>
      </c>
      <c r="P106" s="18">
        <v>0.55000000000000004</v>
      </c>
      <c r="Q106" s="18">
        <v>0.55000000000000004</v>
      </c>
      <c r="R106" s="19" t="s">
        <v>25</v>
      </c>
      <c r="S106" s="19">
        <v>3200</v>
      </c>
      <c r="T106" s="19">
        <v>883200</v>
      </c>
      <c r="U106" s="19">
        <v>736600</v>
      </c>
      <c r="V106" s="19">
        <v>0</v>
      </c>
      <c r="W106" s="19">
        <v>0</v>
      </c>
      <c r="X106" s="19">
        <v>0</v>
      </c>
      <c r="Y106" s="19">
        <v>1000</v>
      </c>
      <c r="Z106" s="19">
        <v>48100</v>
      </c>
      <c r="AA106" s="19">
        <v>0</v>
      </c>
      <c r="AB106" s="19">
        <v>0</v>
      </c>
      <c r="AC106" s="19">
        <v>97500</v>
      </c>
      <c r="AD106" s="19">
        <v>888210</v>
      </c>
      <c r="AE106" s="19">
        <v>736600</v>
      </c>
      <c r="AF106" s="19">
        <v>0</v>
      </c>
      <c r="AG106" s="19">
        <v>0</v>
      </c>
      <c r="AH106" s="19">
        <v>0</v>
      </c>
      <c r="AI106" s="19">
        <v>1200</v>
      </c>
      <c r="AJ106" s="19">
        <v>52910</v>
      </c>
      <c r="AK106" s="19">
        <v>0</v>
      </c>
      <c r="AL106" s="19">
        <v>0</v>
      </c>
      <c r="AM106" s="19">
        <v>97500</v>
      </c>
      <c r="AN106" s="19">
        <v>488516</v>
      </c>
      <c r="AO106" s="19">
        <v>0</v>
      </c>
      <c r="AP106" s="19">
        <v>488516</v>
      </c>
    </row>
    <row r="107" spans="1:42" x14ac:dyDescent="0.4">
      <c r="A107" s="18" t="s">
        <v>48</v>
      </c>
      <c r="B107" s="18" t="s">
        <v>83</v>
      </c>
      <c r="C107" s="18" t="s">
        <v>84</v>
      </c>
      <c r="D107" s="18" t="s">
        <v>85</v>
      </c>
      <c r="E107" s="18" t="s">
        <v>86</v>
      </c>
      <c r="F107" s="18" t="s">
        <v>49</v>
      </c>
      <c r="G107" s="18" t="s">
        <v>20</v>
      </c>
      <c r="H107" s="18" t="s">
        <v>21</v>
      </c>
      <c r="I107" s="18" t="s">
        <v>22</v>
      </c>
      <c r="J107" s="18">
        <v>56485755</v>
      </c>
      <c r="K107" s="18" t="s">
        <v>93</v>
      </c>
      <c r="L107" s="18"/>
      <c r="M107" s="18"/>
      <c r="N107" s="18" t="s">
        <v>64</v>
      </c>
      <c r="O107" s="18" t="s">
        <v>23</v>
      </c>
      <c r="P107" s="18">
        <v>0.55000000000000004</v>
      </c>
      <c r="Q107" s="18">
        <v>0.55000000000000004</v>
      </c>
      <c r="R107" s="19" t="s">
        <v>24</v>
      </c>
      <c r="S107" s="19">
        <v>44800</v>
      </c>
      <c r="T107" s="19">
        <v>131200</v>
      </c>
      <c r="U107" s="19">
        <v>131200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131200</v>
      </c>
      <c r="AE107" s="19">
        <v>131200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72160</v>
      </c>
      <c r="AO107" s="19">
        <v>0</v>
      </c>
      <c r="AP107" s="19">
        <v>72160</v>
      </c>
    </row>
    <row r="108" spans="1:42" x14ac:dyDescent="0.4">
      <c r="A108" s="18" t="s">
        <v>48</v>
      </c>
      <c r="B108" s="18" t="s">
        <v>83</v>
      </c>
      <c r="C108" s="18" t="s">
        <v>84</v>
      </c>
      <c r="D108" s="18" t="s">
        <v>85</v>
      </c>
      <c r="E108" s="18" t="s">
        <v>86</v>
      </c>
      <c r="F108" s="18" t="s">
        <v>49</v>
      </c>
      <c r="G108" s="18" t="s">
        <v>20</v>
      </c>
      <c r="H108" s="18" t="s">
        <v>21</v>
      </c>
      <c r="I108" s="18" t="s">
        <v>22</v>
      </c>
      <c r="J108" s="18">
        <v>56691893</v>
      </c>
      <c r="K108" s="18" t="s">
        <v>94</v>
      </c>
      <c r="L108" s="18"/>
      <c r="M108" s="18"/>
      <c r="N108" s="18" t="s">
        <v>95</v>
      </c>
      <c r="O108" s="18" t="s">
        <v>23</v>
      </c>
      <c r="P108" s="18">
        <v>0.55000000000000004</v>
      </c>
      <c r="Q108" s="18">
        <v>0.55000000000000004</v>
      </c>
      <c r="R108" s="19" t="s">
        <v>25</v>
      </c>
      <c r="S108" s="19">
        <v>100</v>
      </c>
      <c r="T108" s="19">
        <v>89300</v>
      </c>
      <c r="U108" s="19">
        <v>38900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50400</v>
      </c>
      <c r="AD108" s="19">
        <v>89300</v>
      </c>
      <c r="AE108" s="19">
        <v>38900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50400</v>
      </c>
      <c r="AN108" s="19">
        <v>49115</v>
      </c>
      <c r="AO108" s="19">
        <v>0</v>
      </c>
      <c r="AP108" s="19">
        <v>49115</v>
      </c>
    </row>
    <row r="109" spans="1:42" x14ac:dyDescent="0.4">
      <c r="A109" s="18" t="s">
        <v>48</v>
      </c>
      <c r="B109" s="18" t="s">
        <v>83</v>
      </c>
      <c r="C109" s="18" t="s">
        <v>84</v>
      </c>
      <c r="D109" s="18" t="s">
        <v>85</v>
      </c>
      <c r="E109" s="18" t="s">
        <v>86</v>
      </c>
      <c r="F109" s="18" t="s">
        <v>49</v>
      </c>
      <c r="G109" s="18" t="s">
        <v>20</v>
      </c>
      <c r="H109" s="18" t="s">
        <v>21</v>
      </c>
      <c r="I109" s="18" t="s">
        <v>22</v>
      </c>
      <c r="J109" s="18">
        <v>56691893</v>
      </c>
      <c r="K109" s="18" t="s">
        <v>94</v>
      </c>
      <c r="L109" s="18"/>
      <c r="M109" s="18"/>
      <c r="N109" s="18" t="s">
        <v>95</v>
      </c>
      <c r="O109" s="18" t="s">
        <v>23</v>
      </c>
      <c r="P109" s="18">
        <v>0.55000000000000004</v>
      </c>
      <c r="Q109" s="18">
        <v>0.55000000000000004</v>
      </c>
      <c r="R109" s="19" t="s">
        <v>24</v>
      </c>
      <c r="S109" s="19">
        <v>2400</v>
      </c>
      <c r="T109" s="19">
        <v>26400</v>
      </c>
      <c r="U109" s="19">
        <v>-100</v>
      </c>
      <c r="V109" s="19">
        <v>0</v>
      </c>
      <c r="W109" s="19">
        <v>0</v>
      </c>
      <c r="X109" s="19">
        <v>0</v>
      </c>
      <c r="Y109" s="19">
        <v>0</v>
      </c>
      <c r="Z109" s="19">
        <v>19200</v>
      </c>
      <c r="AA109" s="19">
        <v>0</v>
      </c>
      <c r="AB109" s="19">
        <v>0</v>
      </c>
      <c r="AC109" s="19">
        <v>7300</v>
      </c>
      <c r="AD109" s="19">
        <v>28320</v>
      </c>
      <c r="AE109" s="19">
        <v>-100</v>
      </c>
      <c r="AF109" s="19">
        <v>0</v>
      </c>
      <c r="AG109" s="19">
        <v>0</v>
      </c>
      <c r="AH109" s="19">
        <v>0</v>
      </c>
      <c r="AI109" s="19">
        <v>0</v>
      </c>
      <c r="AJ109" s="19">
        <v>21120</v>
      </c>
      <c r="AK109" s="19">
        <v>0</v>
      </c>
      <c r="AL109" s="19">
        <v>0</v>
      </c>
      <c r="AM109" s="19">
        <v>7300</v>
      </c>
      <c r="AN109" s="19">
        <v>15576</v>
      </c>
      <c r="AO109" s="19">
        <v>0</v>
      </c>
      <c r="AP109" s="19">
        <v>15576</v>
      </c>
    </row>
    <row r="110" spans="1:42" x14ac:dyDescent="0.4">
      <c r="A110" s="18" t="s">
        <v>48</v>
      </c>
      <c r="B110" s="18" t="s">
        <v>83</v>
      </c>
      <c r="C110" s="18" t="s">
        <v>84</v>
      </c>
      <c r="D110" s="18" t="s">
        <v>85</v>
      </c>
      <c r="E110" s="18" t="s">
        <v>86</v>
      </c>
      <c r="F110" s="18" t="s">
        <v>49</v>
      </c>
      <c r="G110" s="18" t="s">
        <v>20</v>
      </c>
      <c r="H110" s="18" t="s">
        <v>21</v>
      </c>
      <c r="I110" s="18" t="s">
        <v>22</v>
      </c>
      <c r="J110" s="18">
        <v>56691893</v>
      </c>
      <c r="K110" s="18" t="s">
        <v>94</v>
      </c>
      <c r="L110" s="18"/>
      <c r="M110" s="18"/>
      <c r="N110" s="18" t="s">
        <v>95</v>
      </c>
      <c r="O110" s="18" t="s">
        <v>23</v>
      </c>
      <c r="P110" s="18">
        <v>0.55000000000000004</v>
      </c>
      <c r="Q110" s="18">
        <v>0.55000000000000004</v>
      </c>
      <c r="R110" s="19" t="s">
        <v>24</v>
      </c>
      <c r="S110" s="19">
        <v>4700</v>
      </c>
      <c r="T110" s="19">
        <v>21900</v>
      </c>
      <c r="U110" s="19">
        <v>17800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4100</v>
      </c>
      <c r="AD110" s="19">
        <v>21900</v>
      </c>
      <c r="AE110" s="19">
        <v>17800</v>
      </c>
      <c r="AF110" s="19">
        <v>0</v>
      </c>
      <c r="AG110" s="19">
        <v>0</v>
      </c>
      <c r="AH110" s="19">
        <v>0</v>
      </c>
      <c r="AI110" s="19">
        <v>0</v>
      </c>
      <c r="AJ110" s="19">
        <v>0</v>
      </c>
      <c r="AK110" s="19">
        <v>0</v>
      </c>
      <c r="AL110" s="19">
        <v>0</v>
      </c>
      <c r="AM110" s="19">
        <v>4100</v>
      </c>
      <c r="AN110" s="19">
        <v>12045</v>
      </c>
      <c r="AO110" s="19">
        <v>0</v>
      </c>
      <c r="AP110" s="19">
        <v>12045</v>
      </c>
    </row>
    <row r="111" spans="1:42" x14ac:dyDescent="0.4">
      <c r="A111" s="18" t="s">
        <v>48</v>
      </c>
      <c r="B111" s="18" t="s">
        <v>83</v>
      </c>
      <c r="C111" s="18" t="s">
        <v>84</v>
      </c>
      <c r="D111" s="18" t="s">
        <v>85</v>
      </c>
      <c r="E111" s="18" t="s">
        <v>86</v>
      </c>
      <c r="F111" s="18" t="s">
        <v>49</v>
      </c>
      <c r="G111" s="18" t="s">
        <v>20</v>
      </c>
      <c r="H111" s="18" t="s">
        <v>21</v>
      </c>
      <c r="I111" s="18" t="s">
        <v>22</v>
      </c>
      <c r="J111" s="18">
        <v>56691893</v>
      </c>
      <c r="K111" s="18" t="s">
        <v>94</v>
      </c>
      <c r="L111" s="18"/>
      <c r="M111" s="18"/>
      <c r="N111" s="18" t="s">
        <v>95</v>
      </c>
      <c r="O111" s="18" t="s">
        <v>23</v>
      </c>
      <c r="P111" s="18">
        <v>0.55000000000000004</v>
      </c>
      <c r="Q111" s="18">
        <v>0.55000000000000004</v>
      </c>
      <c r="R111" s="19" t="s">
        <v>24</v>
      </c>
      <c r="S111" s="19">
        <v>9200</v>
      </c>
      <c r="T111" s="19">
        <v>76200</v>
      </c>
      <c r="U111" s="19">
        <v>74100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2100</v>
      </c>
      <c r="AD111" s="19">
        <v>76200</v>
      </c>
      <c r="AE111" s="19">
        <v>74100</v>
      </c>
      <c r="AF111" s="19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19">
        <v>0</v>
      </c>
      <c r="AM111" s="19">
        <v>2100</v>
      </c>
      <c r="AN111" s="19">
        <v>41910</v>
      </c>
      <c r="AO111" s="19">
        <v>0</v>
      </c>
      <c r="AP111" s="19">
        <v>41910</v>
      </c>
    </row>
    <row r="112" spans="1:42" x14ac:dyDescent="0.4">
      <c r="A112" s="18" t="s">
        <v>48</v>
      </c>
      <c r="B112" s="18" t="s">
        <v>83</v>
      </c>
      <c r="C112" s="18" t="s">
        <v>84</v>
      </c>
      <c r="D112" s="18" t="s">
        <v>85</v>
      </c>
      <c r="E112" s="18" t="s">
        <v>86</v>
      </c>
      <c r="F112" s="18" t="s">
        <v>49</v>
      </c>
      <c r="G112" s="18" t="s">
        <v>20</v>
      </c>
      <c r="H112" s="18" t="s">
        <v>21</v>
      </c>
      <c r="I112" s="18" t="s">
        <v>22</v>
      </c>
      <c r="J112" s="18">
        <v>56742705</v>
      </c>
      <c r="K112" s="18" t="s">
        <v>96</v>
      </c>
      <c r="L112" s="18"/>
      <c r="M112" s="18"/>
      <c r="N112" s="18" t="s">
        <v>97</v>
      </c>
      <c r="O112" s="18" t="s">
        <v>23</v>
      </c>
      <c r="P112" s="18">
        <v>0.55000000000000004</v>
      </c>
      <c r="Q112" s="18">
        <v>0.55000000000000004</v>
      </c>
      <c r="R112" s="19" t="s">
        <v>25</v>
      </c>
      <c r="S112" s="19">
        <v>100</v>
      </c>
      <c r="T112" s="19">
        <v>35300</v>
      </c>
      <c r="U112" s="19">
        <v>9200</v>
      </c>
      <c r="V112" s="19">
        <v>0</v>
      </c>
      <c r="W112" s="19">
        <v>0</v>
      </c>
      <c r="X112" s="19">
        <v>0</v>
      </c>
      <c r="Y112" s="19">
        <v>100</v>
      </c>
      <c r="Z112" s="19">
        <v>0</v>
      </c>
      <c r="AA112" s="19">
        <v>0</v>
      </c>
      <c r="AB112" s="19">
        <v>0</v>
      </c>
      <c r="AC112" s="19">
        <v>26000</v>
      </c>
      <c r="AD112" s="19">
        <v>35320</v>
      </c>
      <c r="AE112" s="19">
        <v>9200</v>
      </c>
      <c r="AF112" s="19">
        <v>0</v>
      </c>
      <c r="AG112" s="19">
        <v>0</v>
      </c>
      <c r="AH112" s="19">
        <v>0</v>
      </c>
      <c r="AI112" s="19">
        <v>120</v>
      </c>
      <c r="AJ112" s="19">
        <v>0</v>
      </c>
      <c r="AK112" s="19">
        <v>0</v>
      </c>
      <c r="AL112" s="19">
        <v>0</v>
      </c>
      <c r="AM112" s="19">
        <v>26000</v>
      </c>
      <c r="AN112" s="19">
        <v>19426</v>
      </c>
      <c r="AO112" s="19">
        <v>0</v>
      </c>
      <c r="AP112" s="19">
        <v>19426</v>
      </c>
    </row>
    <row r="113" spans="1:42" x14ac:dyDescent="0.4">
      <c r="A113" s="18" t="s">
        <v>48</v>
      </c>
      <c r="B113" s="18" t="s">
        <v>83</v>
      </c>
      <c r="C113" s="18" t="s">
        <v>84</v>
      </c>
      <c r="D113" s="18" t="s">
        <v>85</v>
      </c>
      <c r="E113" s="18" t="s">
        <v>86</v>
      </c>
      <c r="F113" s="18" t="s">
        <v>49</v>
      </c>
      <c r="G113" s="18" t="s">
        <v>20</v>
      </c>
      <c r="H113" s="18" t="s">
        <v>21</v>
      </c>
      <c r="I113" s="18" t="s">
        <v>22</v>
      </c>
      <c r="J113" s="18">
        <v>56742705</v>
      </c>
      <c r="K113" s="18" t="s">
        <v>96</v>
      </c>
      <c r="L113" s="18"/>
      <c r="M113" s="18"/>
      <c r="N113" s="18" t="s">
        <v>97</v>
      </c>
      <c r="O113" s="18" t="s">
        <v>23</v>
      </c>
      <c r="P113" s="18">
        <v>0.55000000000000004</v>
      </c>
      <c r="Q113" s="18">
        <v>0.55000000000000004</v>
      </c>
      <c r="R113" s="19" t="s">
        <v>24</v>
      </c>
      <c r="S113" s="19">
        <v>2400</v>
      </c>
      <c r="T113" s="19">
        <v>21600</v>
      </c>
      <c r="U113" s="19">
        <v>17500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4100</v>
      </c>
      <c r="AD113" s="19">
        <v>21600</v>
      </c>
      <c r="AE113" s="19">
        <v>17500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19">
        <v>0</v>
      </c>
      <c r="AM113" s="19">
        <v>4100</v>
      </c>
      <c r="AN113" s="19">
        <v>11880</v>
      </c>
      <c r="AO113" s="19">
        <v>0</v>
      </c>
      <c r="AP113" s="19">
        <v>11880</v>
      </c>
    </row>
    <row r="114" spans="1:42" x14ac:dyDescent="0.4">
      <c r="A114" s="18" t="s">
        <v>48</v>
      </c>
      <c r="B114" s="18" t="s">
        <v>83</v>
      </c>
      <c r="C114" s="18" t="s">
        <v>84</v>
      </c>
      <c r="D114" s="18" t="s">
        <v>85</v>
      </c>
      <c r="E114" s="18" t="s">
        <v>86</v>
      </c>
      <c r="F114" s="18" t="s">
        <v>49</v>
      </c>
      <c r="G114" s="18" t="s">
        <v>20</v>
      </c>
      <c r="H114" s="18" t="s">
        <v>21</v>
      </c>
      <c r="I114" s="18" t="s">
        <v>22</v>
      </c>
      <c r="J114" s="18">
        <v>56742705</v>
      </c>
      <c r="K114" s="18" t="s">
        <v>96</v>
      </c>
      <c r="L114" s="18"/>
      <c r="M114" s="18"/>
      <c r="N114" s="18" t="s">
        <v>97</v>
      </c>
      <c r="O114" s="18" t="s">
        <v>23</v>
      </c>
      <c r="P114" s="18">
        <v>0.55000000000000004</v>
      </c>
      <c r="Q114" s="18">
        <v>0.55000000000000004</v>
      </c>
      <c r="R114" s="19" t="s">
        <v>24</v>
      </c>
      <c r="S114" s="19">
        <v>4700</v>
      </c>
      <c r="T114" s="19">
        <v>37600</v>
      </c>
      <c r="U114" s="19">
        <v>32400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5200</v>
      </c>
      <c r="AD114" s="19">
        <v>37600</v>
      </c>
      <c r="AE114" s="19">
        <v>32400</v>
      </c>
      <c r="AF114" s="19">
        <v>0</v>
      </c>
      <c r="AG114" s="19">
        <v>0</v>
      </c>
      <c r="AH114" s="19">
        <v>0</v>
      </c>
      <c r="AI114" s="19">
        <v>0</v>
      </c>
      <c r="AJ114" s="19">
        <v>0</v>
      </c>
      <c r="AK114" s="19">
        <v>0</v>
      </c>
      <c r="AL114" s="19">
        <v>0</v>
      </c>
      <c r="AM114" s="19">
        <v>5200</v>
      </c>
      <c r="AN114" s="19">
        <v>20680</v>
      </c>
      <c r="AO114" s="19">
        <v>0</v>
      </c>
      <c r="AP114" s="19">
        <v>20680</v>
      </c>
    </row>
    <row r="115" spans="1:42" x14ac:dyDescent="0.4">
      <c r="A115" s="18" t="s">
        <v>48</v>
      </c>
      <c r="B115" s="18" t="s">
        <v>83</v>
      </c>
      <c r="C115" s="18" t="s">
        <v>84</v>
      </c>
      <c r="D115" s="18" t="s">
        <v>85</v>
      </c>
      <c r="E115" s="18" t="s">
        <v>86</v>
      </c>
      <c r="F115" s="18" t="s">
        <v>49</v>
      </c>
      <c r="G115" s="18" t="s">
        <v>20</v>
      </c>
      <c r="H115" s="18" t="s">
        <v>21</v>
      </c>
      <c r="I115" s="18" t="s">
        <v>22</v>
      </c>
      <c r="J115" s="18">
        <v>56742705</v>
      </c>
      <c r="K115" s="18" t="s">
        <v>96</v>
      </c>
      <c r="L115" s="18"/>
      <c r="M115" s="18"/>
      <c r="N115" s="18" t="s">
        <v>97</v>
      </c>
      <c r="O115" s="18" t="s">
        <v>23</v>
      </c>
      <c r="P115" s="18">
        <v>0.55000000000000004</v>
      </c>
      <c r="Q115" s="18">
        <v>0.55000000000000004</v>
      </c>
      <c r="R115" s="19" t="s">
        <v>24</v>
      </c>
      <c r="S115" s="19">
        <v>9200</v>
      </c>
      <c r="T115" s="19">
        <v>21800</v>
      </c>
      <c r="U115" s="19">
        <v>21300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500</v>
      </c>
      <c r="AD115" s="19">
        <v>21800</v>
      </c>
      <c r="AE115" s="19">
        <v>21300</v>
      </c>
      <c r="AF115" s="19">
        <v>0</v>
      </c>
      <c r="AG115" s="19">
        <v>0</v>
      </c>
      <c r="AH115" s="19">
        <v>0</v>
      </c>
      <c r="AI115" s="19">
        <v>0</v>
      </c>
      <c r="AJ115" s="19">
        <v>0</v>
      </c>
      <c r="AK115" s="19">
        <v>0</v>
      </c>
      <c r="AL115" s="19">
        <v>0</v>
      </c>
      <c r="AM115" s="19">
        <v>500</v>
      </c>
      <c r="AN115" s="19">
        <v>11990</v>
      </c>
      <c r="AO115" s="19">
        <v>0</v>
      </c>
      <c r="AP115" s="19">
        <v>11990</v>
      </c>
    </row>
    <row r="116" spans="1:42" x14ac:dyDescent="0.4">
      <c r="A116" s="18" t="s">
        <v>48</v>
      </c>
      <c r="B116" s="18" t="s">
        <v>83</v>
      </c>
      <c r="C116" s="18" t="s">
        <v>84</v>
      </c>
      <c r="D116" s="18" t="s">
        <v>85</v>
      </c>
      <c r="E116" s="18" t="s">
        <v>86</v>
      </c>
      <c r="F116" s="18" t="s">
        <v>49</v>
      </c>
      <c r="G116" s="18" t="s">
        <v>20</v>
      </c>
      <c r="H116" s="18" t="s">
        <v>21</v>
      </c>
      <c r="I116" s="18" t="s">
        <v>22</v>
      </c>
      <c r="J116" s="18">
        <v>56764793</v>
      </c>
      <c r="K116" s="18" t="s">
        <v>117</v>
      </c>
      <c r="L116" s="18"/>
      <c r="M116" s="18"/>
      <c r="N116" s="18" t="s">
        <v>73</v>
      </c>
      <c r="O116" s="18" t="s">
        <v>23</v>
      </c>
      <c r="P116" s="18">
        <v>0.55000000000000004</v>
      </c>
      <c r="Q116" s="18">
        <v>0.55000000000000004</v>
      </c>
      <c r="R116" s="19" t="s">
        <v>98</v>
      </c>
      <c r="S116" s="19">
        <v>900</v>
      </c>
      <c r="T116" s="19">
        <v>45900</v>
      </c>
      <c r="U116" s="19">
        <v>35000</v>
      </c>
      <c r="V116" s="19">
        <v>0</v>
      </c>
      <c r="W116" s="19">
        <v>0</v>
      </c>
      <c r="X116" s="19">
        <v>0</v>
      </c>
      <c r="Y116" s="19">
        <v>0</v>
      </c>
      <c r="Z116" s="19">
        <v>2600</v>
      </c>
      <c r="AA116" s="19">
        <v>0</v>
      </c>
      <c r="AB116" s="19">
        <v>0</v>
      </c>
      <c r="AC116" s="19">
        <v>8300</v>
      </c>
      <c r="AD116" s="19">
        <v>46160</v>
      </c>
      <c r="AE116" s="19">
        <v>35000</v>
      </c>
      <c r="AF116" s="19">
        <v>0</v>
      </c>
      <c r="AG116" s="19">
        <v>0</v>
      </c>
      <c r="AH116" s="19">
        <v>0</v>
      </c>
      <c r="AI116" s="19">
        <v>0</v>
      </c>
      <c r="AJ116" s="19">
        <v>2860</v>
      </c>
      <c r="AK116" s="19">
        <v>0</v>
      </c>
      <c r="AL116" s="19">
        <v>0</v>
      </c>
      <c r="AM116" s="19">
        <v>8300</v>
      </c>
      <c r="AN116" s="19">
        <v>25388</v>
      </c>
      <c r="AO116" s="19">
        <v>0</v>
      </c>
      <c r="AP116" s="19">
        <v>25388</v>
      </c>
    </row>
    <row r="117" spans="1:42" x14ac:dyDescent="0.4">
      <c r="A117" s="18" t="s">
        <v>48</v>
      </c>
      <c r="B117" s="18" t="s">
        <v>83</v>
      </c>
      <c r="C117" s="18" t="s">
        <v>84</v>
      </c>
      <c r="D117" s="18" t="s">
        <v>85</v>
      </c>
      <c r="E117" s="18" t="s">
        <v>86</v>
      </c>
      <c r="F117" s="18" t="s">
        <v>49</v>
      </c>
      <c r="G117" s="18" t="s">
        <v>20</v>
      </c>
      <c r="H117" s="18" t="s">
        <v>21</v>
      </c>
      <c r="I117" s="18" t="s">
        <v>22</v>
      </c>
      <c r="J117" s="18">
        <v>56764813</v>
      </c>
      <c r="K117" s="18" t="s">
        <v>99</v>
      </c>
      <c r="L117" s="18"/>
      <c r="M117" s="18"/>
      <c r="N117" s="18" t="s">
        <v>70</v>
      </c>
      <c r="O117" s="18" t="s">
        <v>23</v>
      </c>
      <c r="P117" s="18">
        <v>0.55000000000000004</v>
      </c>
      <c r="Q117" s="18">
        <v>0.55000000000000004</v>
      </c>
      <c r="R117" s="19" t="s">
        <v>25</v>
      </c>
      <c r="S117" s="19">
        <v>3200</v>
      </c>
      <c r="T117" s="19">
        <v>32000</v>
      </c>
      <c r="U117" s="19">
        <v>32000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32000</v>
      </c>
      <c r="AE117" s="19">
        <v>32000</v>
      </c>
      <c r="AF117" s="19">
        <v>0</v>
      </c>
      <c r="AG117" s="19">
        <v>0</v>
      </c>
      <c r="AH117" s="19">
        <v>0</v>
      </c>
      <c r="AI117" s="19">
        <v>0</v>
      </c>
      <c r="AJ117" s="19">
        <v>0</v>
      </c>
      <c r="AK117" s="19">
        <v>0</v>
      </c>
      <c r="AL117" s="19">
        <v>0</v>
      </c>
      <c r="AM117" s="19">
        <v>0</v>
      </c>
      <c r="AN117" s="19">
        <v>17600</v>
      </c>
      <c r="AO117" s="19">
        <v>0</v>
      </c>
      <c r="AP117" s="19">
        <v>17600</v>
      </c>
    </row>
    <row r="118" spans="1:42" x14ac:dyDescent="0.4">
      <c r="A118" s="18" t="s">
        <v>48</v>
      </c>
      <c r="B118" s="18" t="s">
        <v>83</v>
      </c>
      <c r="C118" s="18" t="s">
        <v>84</v>
      </c>
      <c r="D118" s="18" t="s">
        <v>85</v>
      </c>
      <c r="E118" s="18" t="s">
        <v>86</v>
      </c>
      <c r="F118" s="18" t="s">
        <v>49</v>
      </c>
      <c r="G118" s="18" t="s">
        <v>20</v>
      </c>
      <c r="H118" s="18" t="s">
        <v>21</v>
      </c>
      <c r="I118" s="18" t="s">
        <v>22</v>
      </c>
      <c r="J118" s="18">
        <v>56764849</v>
      </c>
      <c r="K118" s="18" t="s">
        <v>118</v>
      </c>
      <c r="L118" s="18"/>
      <c r="M118" s="18"/>
      <c r="N118" s="18" t="s">
        <v>78</v>
      </c>
      <c r="O118" s="18" t="s">
        <v>23</v>
      </c>
      <c r="P118" s="18">
        <v>0.55000000000000004</v>
      </c>
      <c r="Q118" s="18">
        <v>0.55000000000000004</v>
      </c>
      <c r="R118" s="19" t="s">
        <v>25</v>
      </c>
      <c r="S118" s="19">
        <v>3200</v>
      </c>
      <c r="T118" s="19">
        <v>28800</v>
      </c>
      <c r="U118" s="19">
        <v>27300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1500</v>
      </c>
      <c r="AD118" s="19">
        <v>28800</v>
      </c>
      <c r="AE118" s="19">
        <v>27300</v>
      </c>
      <c r="AF118" s="19">
        <v>0</v>
      </c>
      <c r="AG118" s="19">
        <v>0</v>
      </c>
      <c r="AH118" s="19">
        <v>0</v>
      </c>
      <c r="AI118" s="19">
        <v>0</v>
      </c>
      <c r="AJ118" s="19">
        <v>0</v>
      </c>
      <c r="AK118" s="19">
        <v>0</v>
      </c>
      <c r="AL118" s="19">
        <v>0</v>
      </c>
      <c r="AM118" s="19">
        <v>1500</v>
      </c>
      <c r="AN118" s="19">
        <v>15840</v>
      </c>
      <c r="AO118" s="19">
        <v>0</v>
      </c>
      <c r="AP118" s="19">
        <v>15840</v>
      </c>
    </row>
    <row r="119" spans="1:42" x14ac:dyDescent="0.4">
      <c r="A119" s="18" t="s">
        <v>48</v>
      </c>
      <c r="B119" s="18" t="s">
        <v>83</v>
      </c>
      <c r="C119" s="18" t="s">
        <v>84</v>
      </c>
      <c r="D119" s="18" t="s">
        <v>85</v>
      </c>
      <c r="E119" s="18" t="s">
        <v>86</v>
      </c>
      <c r="F119" s="18" t="s">
        <v>49</v>
      </c>
      <c r="G119" s="18" t="s">
        <v>20</v>
      </c>
      <c r="H119" s="18" t="s">
        <v>21</v>
      </c>
      <c r="I119" s="18" t="s">
        <v>22</v>
      </c>
      <c r="J119" s="18">
        <v>56765062</v>
      </c>
      <c r="K119" s="18" t="s">
        <v>100</v>
      </c>
      <c r="L119" s="18"/>
      <c r="M119" s="18"/>
      <c r="N119" s="18" t="s">
        <v>64</v>
      </c>
      <c r="O119" s="18" t="s">
        <v>23</v>
      </c>
      <c r="P119" s="18">
        <v>0.55000000000000004</v>
      </c>
      <c r="Q119" s="18">
        <v>0.55000000000000004</v>
      </c>
      <c r="R119" s="19" t="s">
        <v>25</v>
      </c>
      <c r="S119" s="19">
        <v>3200</v>
      </c>
      <c r="T119" s="19">
        <v>38400</v>
      </c>
      <c r="U119" s="19">
        <v>38400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38400</v>
      </c>
      <c r="AE119" s="19">
        <v>38400</v>
      </c>
      <c r="AF119" s="19">
        <v>0</v>
      </c>
      <c r="AG119" s="19">
        <v>0</v>
      </c>
      <c r="AH119" s="19">
        <v>0</v>
      </c>
      <c r="AI119" s="19">
        <v>0</v>
      </c>
      <c r="AJ119" s="19">
        <v>0</v>
      </c>
      <c r="AK119" s="19">
        <v>0</v>
      </c>
      <c r="AL119" s="19">
        <v>0</v>
      </c>
      <c r="AM119" s="19">
        <v>0</v>
      </c>
      <c r="AN119" s="19">
        <v>21120</v>
      </c>
      <c r="AO119" s="19">
        <v>0</v>
      </c>
      <c r="AP119" s="19">
        <v>21120</v>
      </c>
    </row>
    <row r="120" spans="1:42" x14ac:dyDescent="0.4">
      <c r="A120" s="18" t="s">
        <v>48</v>
      </c>
      <c r="B120" s="18" t="s">
        <v>83</v>
      </c>
      <c r="C120" s="18" t="s">
        <v>84</v>
      </c>
      <c r="D120" s="18" t="s">
        <v>85</v>
      </c>
      <c r="E120" s="18" t="s">
        <v>86</v>
      </c>
      <c r="F120" s="18" t="s">
        <v>49</v>
      </c>
      <c r="G120" s="18" t="s">
        <v>20</v>
      </c>
      <c r="H120" s="18" t="s">
        <v>21</v>
      </c>
      <c r="I120" s="18" t="s">
        <v>22</v>
      </c>
      <c r="J120" s="18">
        <v>56765062</v>
      </c>
      <c r="K120" s="18" t="s">
        <v>100</v>
      </c>
      <c r="L120" s="18"/>
      <c r="M120" s="18"/>
      <c r="N120" s="18" t="s">
        <v>64</v>
      </c>
      <c r="O120" s="18" t="s">
        <v>23</v>
      </c>
      <c r="P120" s="18">
        <v>0.55000000000000004</v>
      </c>
      <c r="Q120" s="18">
        <v>0.55000000000000004</v>
      </c>
      <c r="R120" s="19" t="s">
        <v>98</v>
      </c>
      <c r="S120" s="19">
        <v>900</v>
      </c>
      <c r="T120" s="19">
        <v>151200</v>
      </c>
      <c r="U120" s="19">
        <v>114900</v>
      </c>
      <c r="V120" s="19">
        <v>0</v>
      </c>
      <c r="W120" s="19">
        <v>0</v>
      </c>
      <c r="X120" s="19">
        <v>0</v>
      </c>
      <c r="Y120" s="19">
        <v>0</v>
      </c>
      <c r="Z120" s="19">
        <v>18900</v>
      </c>
      <c r="AA120" s="19">
        <v>0</v>
      </c>
      <c r="AB120" s="19">
        <v>0</v>
      </c>
      <c r="AC120" s="19">
        <v>17400</v>
      </c>
      <c r="AD120" s="19">
        <v>153090</v>
      </c>
      <c r="AE120" s="19">
        <v>114900</v>
      </c>
      <c r="AF120" s="19">
        <v>0</v>
      </c>
      <c r="AG120" s="19">
        <v>0</v>
      </c>
      <c r="AH120" s="19">
        <v>0</v>
      </c>
      <c r="AI120" s="19">
        <v>0</v>
      </c>
      <c r="AJ120" s="19">
        <v>20790</v>
      </c>
      <c r="AK120" s="19">
        <v>0</v>
      </c>
      <c r="AL120" s="19">
        <v>0</v>
      </c>
      <c r="AM120" s="19">
        <v>17400</v>
      </c>
      <c r="AN120" s="19">
        <v>84200</v>
      </c>
      <c r="AO120" s="19">
        <v>0</v>
      </c>
      <c r="AP120" s="19">
        <v>84200</v>
      </c>
    </row>
    <row r="121" spans="1:42" x14ac:dyDescent="0.4">
      <c r="A121" s="18" t="s">
        <v>48</v>
      </c>
      <c r="B121" s="18" t="s">
        <v>83</v>
      </c>
      <c r="C121" s="18" t="s">
        <v>84</v>
      </c>
      <c r="D121" s="18" t="s">
        <v>85</v>
      </c>
      <c r="E121" s="18" t="s">
        <v>86</v>
      </c>
      <c r="F121" s="18" t="s">
        <v>49</v>
      </c>
      <c r="G121" s="18" t="s">
        <v>20</v>
      </c>
      <c r="H121" s="18" t="s">
        <v>21</v>
      </c>
      <c r="I121" s="18" t="s">
        <v>22</v>
      </c>
      <c r="J121" s="18">
        <v>56765062</v>
      </c>
      <c r="K121" s="18" t="s">
        <v>100</v>
      </c>
      <c r="L121" s="18"/>
      <c r="M121" s="18"/>
      <c r="N121" s="18" t="s">
        <v>64</v>
      </c>
      <c r="O121" s="18" t="s">
        <v>23</v>
      </c>
      <c r="P121" s="18">
        <v>0.55000000000000004</v>
      </c>
      <c r="Q121" s="18">
        <v>0.55000000000000004</v>
      </c>
      <c r="R121" s="19" t="s">
        <v>136</v>
      </c>
      <c r="S121" s="19">
        <v>10800</v>
      </c>
      <c r="T121" s="19">
        <v>900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900</v>
      </c>
      <c r="AD121" s="19">
        <v>900</v>
      </c>
      <c r="AE121" s="19">
        <v>0</v>
      </c>
      <c r="AF121" s="19">
        <v>0</v>
      </c>
      <c r="AG121" s="19">
        <v>0</v>
      </c>
      <c r="AH121" s="19">
        <v>0</v>
      </c>
      <c r="AI121" s="19">
        <v>0</v>
      </c>
      <c r="AJ121" s="19">
        <v>0</v>
      </c>
      <c r="AK121" s="19">
        <v>0</v>
      </c>
      <c r="AL121" s="19">
        <v>0</v>
      </c>
      <c r="AM121" s="19">
        <v>900</v>
      </c>
      <c r="AN121" s="19">
        <v>495</v>
      </c>
      <c r="AO121" s="19">
        <v>0</v>
      </c>
      <c r="AP121" s="19">
        <v>495</v>
      </c>
    </row>
    <row r="122" spans="1:42" x14ac:dyDescent="0.4">
      <c r="A122" s="18" t="s">
        <v>48</v>
      </c>
      <c r="B122" s="18" t="s">
        <v>83</v>
      </c>
      <c r="C122" s="18" t="s">
        <v>84</v>
      </c>
      <c r="D122" s="18" t="s">
        <v>85</v>
      </c>
      <c r="E122" s="18" t="s">
        <v>86</v>
      </c>
      <c r="F122" s="18" t="s">
        <v>49</v>
      </c>
      <c r="G122" s="18" t="s">
        <v>20</v>
      </c>
      <c r="H122" s="18" t="s">
        <v>21</v>
      </c>
      <c r="I122" s="18" t="s">
        <v>22</v>
      </c>
      <c r="J122" s="18">
        <v>56765133</v>
      </c>
      <c r="K122" s="18" t="s">
        <v>101</v>
      </c>
      <c r="L122" s="18"/>
      <c r="M122" s="18"/>
      <c r="N122" s="18" t="s">
        <v>64</v>
      </c>
      <c r="O122" s="18" t="s">
        <v>23</v>
      </c>
      <c r="P122" s="18">
        <v>0.55000000000000004</v>
      </c>
      <c r="Q122" s="18">
        <v>0.55000000000000004</v>
      </c>
      <c r="R122" s="19" t="s">
        <v>25</v>
      </c>
      <c r="S122" s="19">
        <v>3200</v>
      </c>
      <c r="T122" s="19">
        <v>204800</v>
      </c>
      <c r="U122" s="19">
        <v>186400</v>
      </c>
      <c r="V122" s="19">
        <v>0</v>
      </c>
      <c r="W122" s="19">
        <v>0</v>
      </c>
      <c r="X122" s="19">
        <v>0</v>
      </c>
      <c r="Y122" s="19">
        <v>0</v>
      </c>
      <c r="Z122" s="19">
        <v>16000</v>
      </c>
      <c r="AA122" s="19">
        <v>0</v>
      </c>
      <c r="AB122" s="19">
        <v>0</v>
      </c>
      <c r="AC122" s="19">
        <v>2400</v>
      </c>
      <c r="AD122" s="19">
        <v>206400</v>
      </c>
      <c r="AE122" s="19">
        <v>186400</v>
      </c>
      <c r="AF122" s="19">
        <v>0</v>
      </c>
      <c r="AG122" s="19">
        <v>0</v>
      </c>
      <c r="AH122" s="19">
        <v>0</v>
      </c>
      <c r="AI122" s="19">
        <v>0</v>
      </c>
      <c r="AJ122" s="19">
        <v>17600</v>
      </c>
      <c r="AK122" s="19">
        <v>0</v>
      </c>
      <c r="AL122" s="19">
        <v>0</v>
      </c>
      <c r="AM122" s="19">
        <v>2400</v>
      </c>
      <c r="AN122" s="19">
        <v>113520</v>
      </c>
      <c r="AO122" s="19">
        <v>0</v>
      </c>
      <c r="AP122" s="19">
        <v>113520</v>
      </c>
    </row>
    <row r="123" spans="1:42" x14ac:dyDescent="0.4">
      <c r="A123" s="18" t="s">
        <v>48</v>
      </c>
      <c r="B123" s="18" t="s">
        <v>83</v>
      </c>
      <c r="C123" s="18" t="s">
        <v>84</v>
      </c>
      <c r="D123" s="18" t="s">
        <v>85</v>
      </c>
      <c r="E123" s="18" t="s">
        <v>86</v>
      </c>
      <c r="F123" s="18" t="s">
        <v>49</v>
      </c>
      <c r="G123" s="18" t="s">
        <v>20</v>
      </c>
      <c r="H123" s="18" t="s">
        <v>21</v>
      </c>
      <c r="I123" s="18" t="s">
        <v>22</v>
      </c>
      <c r="J123" s="18">
        <v>56765133</v>
      </c>
      <c r="K123" s="18" t="s">
        <v>101</v>
      </c>
      <c r="L123" s="18"/>
      <c r="M123" s="18"/>
      <c r="N123" s="18" t="s">
        <v>64</v>
      </c>
      <c r="O123" s="18" t="s">
        <v>23</v>
      </c>
      <c r="P123" s="18">
        <v>0.55000000000000004</v>
      </c>
      <c r="Q123" s="18">
        <v>0.55000000000000004</v>
      </c>
      <c r="R123" s="19" t="s">
        <v>24</v>
      </c>
      <c r="S123" s="19">
        <v>48000</v>
      </c>
      <c r="T123" s="19">
        <v>48000</v>
      </c>
      <c r="U123" s="19">
        <v>48000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48000</v>
      </c>
      <c r="AE123" s="19">
        <v>48000</v>
      </c>
      <c r="AF123" s="19">
        <v>0</v>
      </c>
      <c r="AG123" s="19">
        <v>0</v>
      </c>
      <c r="AH123" s="19">
        <v>0</v>
      </c>
      <c r="AI123" s="19">
        <v>0</v>
      </c>
      <c r="AJ123" s="19">
        <v>0</v>
      </c>
      <c r="AK123" s="19">
        <v>0</v>
      </c>
      <c r="AL123" s="19">
        <v>0</v>
      </c>
      <c r="AM123" s="19">
        <v>0</v>
      </c>
      <c r="AN123" s="19">
        <v>26400</v>
      </c>
      <c r="AO123" s="19">
        <v>0</v>
      </c>
      <c r="AP123" s="19">
        <v>26400</v>
      </c>
    </row>
    <row r="124" spans="1:42" x14ac:dyDescent="0.4">
      <c r="A124" s="18" t="s">
        <v>48</v>
      </c>
      <c r="B124" s="18" t="s">
        <v>83</v>
      </c>
      <c r="C124" s="18" t="s">
        <v>84</v>
      </c>
      <c r="D124" s="18" t="s">
        <v>85</v>
      </c>
      <c r="E124" s="18" t="s">
        <v>86</v>
      </c>
      <c r="F124" s="18" t="s">
        <v>49</v>
      </c>
      <c r="G124" s="18" t="s">
        <v>20</v>
      </c>
      <c r="H124" s="18" t="s">
        <v>21</v>
      </c>
      <c r="I124" s="18" t="s">
        <v>22</v>
      </c>
      <c r="J124" s="18">
        <v>56765349</v>
      </c>
      <c r="K124" s="18" t="s">
        <v>145</v>
      </c>
      <c r="L124" s="18"/>
      <c r="M124" s="18"/>
      <c r="N124" s="18" t="s">
        <v>82</v>
      </c>
      <c r="O124" s="18" t="s">
        <v>23</v>
      </c>
      <c r="P124" s="18">
        <v>0.55000000000000004</v>
      </c>
      <c r="Q124" s="18">
        <v>0.55000000000000004</v>
      </c>
      <c r="R124" s="19" t="s">
        <v>25</v>
      </c>
      <c r="S124" s="19">
        <v>3200</v>
      </c>
      <c r="T124" s="19">
        <v>9600</v>
      </c>
      <c r="U124" s="19">
        <v>9600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9600</v>
      </c>
      <c r="AE124" s="19">
        <v>9600</v>
      </c>
      <c r="AF124" s="19">
        <v>0</v>
      </c>
      <c r="AG124" s="19">
        <v>0</v>
      </c>
      <c r="AH124" s="19">
        <v>0</v>
      </c>
      <c r="AI124" s="19">
        <v>0</v>
      </c>
      <c r="AJ124" s="19">
        <v>0</v>
      </c>
      <c r="AK124" s="19">
        <v>0</v>
      </c>
      <c r="AL124" s="19">
        <v>0</v>
      </c>
      <c r="AM124" s="19">
        <v>0</v>
      </c>
      <c r="AN124" s="19">
        <v>5280</v>
      </c>
      <c r="AO124" s="19">
        <v>0</v>
      </c>
      <c r="AP124" s="19">
        <v>5280</v>
      </c>
    </row>
    <row r="125" spans="1:42" x14ac:dyDescent="0.4">
      <c r="A125" s="18" t="s">
        <v>48</v>
      </c>
      <c r="B125" s="18" t="s">
        <v>83</v>
      </c>
      <c r="C125" s="18" t="s">
        <v>84</v>
      </c>
      <c r="D125" s="18" t="s">
        <v>85</v>
      </c>
      <c r="E125" s="18" t="s">
        <v>86</v>
      </c>
      <c r="F125" s="18" t="s">
        <v>49</v>
      </c>
      <c r="G125" s="18" t="s">
        <v>20</v>
      </c>
      <c r="H125" s="18" t="s">
        <v>21</v>
      </c>
      <c r="I125" s="18" t="s">
        <v>22</v>
      </c>
      <c r="J125" s="18">
        <v>56765572</v>
      </c>
      <c r="K125" s="18" t="s">
        <v>102</v>
      </c>
      <c r="L125" s="18"/>
      <c r="M125" s="18"/>
      <c r="N125" s="18" t="s">
        <v>52</v>
      </c>
      <c r="O125" s="18" t="s">
        <v>23</v>
      </c>
      <c r="P125" s="18">
        <v>0.55000000000000004</v>
      </c>
      <c r="Q125" s="18">
        <v>0.55000000000000004</v>
      </c>
      <c r="R125" s="19" t="s">
        <v>25</v>
      </c>
      <c r="S125" s="19">
        <v>3200</v>
      </c>
      <c r="T125" s="19">
        <v>12800</v>
      </c>
      <c r="U125" s="19">
        <v>2100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10700</v>
      </c>
      <c r="AD125" s="19">
        <v>12800</v>
      </c>
      <c r="AE125" s="19">
        <v>2100</v>
      </c>
      <c r="AF125" s="19">
        <v>0</v>
      </c>
      <c r="AG125" s="19">
        <v>0</v>
      </c>
      <c r="AH125" s="19">
        <v>0</v>
      </c>
      <c r="AI125" s="19">
        <v>0</v>
      </c>
      <c r="AJ125" s="19">
        <v>0</v>
      </c>
      <c r="AK125" s="19">
        <v>0</v>
      </c>
      <c r="AL125" s="19">
        <v>0</v>
      </c>
      <c r="AM125" s="19">
        <v>10700</v>
      </c>
      <c r="AN125" s="19">
        <v>7040</v>
      </c>
      <c r="AO125" s="19">
        <v>0</v>
      </c>
      <c r="AP125" s="19">
        <v>7040</v>
      </c>
    </row>
    <row r="126" spans="1:42" x14ac:dyDescent="0.4">
      <c r="A126" s="18" t="s">
        <v>48</v>
      </c>
      <c r="B126" s="18" t="s">
        <v>83</v>
      </c>
      <c r="C126" s="18" t="s">
        <v>84</v>
      </c>
      <c r="D126" s="18" t="s">
        <v>85</v>
      </c>
      <c r="E126" s="18" t="s">
        <v>86</v>
      </c>
      <c r="F126" s="18" t="s">
        <v>49</v>
      </c>
      <c r="G126" s="18" t="s">
        <v>20</v>
      </c>
      <c r="H126" s="18" t="s">
        <v>21</v>
      </c>
      <c r="I126" s="18" t="s">
        <v>22</v>
      </c>
      <c r="J126" s="18">
        <v>56766146</v>
      </c>
      <c r="K126" s="18" t="s">
        <v>103</v>
      </c>
      <c r="L126" s="18"/>
      <c r="M126" s="18"/>
      <c r="N126" s="18" t="s">
        <v>58</v>
      </c>
      <c r="O126" s="18" t="s">
        <v>23</v>
      </c>
      <c r="P126" s="18">
        <v>0.55000000000000004</v>
      </c>
      <c r="Q126" s="18">
        <v>0.55000000000000004</v>
      </c>
      <c r="R126" s="19" t="s">
        <v>25</v>
      </c>
      <c r="S126" s="19">
        <v>3200</v>
      </c>
      <c r="T126" s="19">
        <v>28800</v>
      </c>
      <c r="U126" s="19">
        <v>28300</v>
      </c>
      <c r="V126" s="19">
        <v>0</v>
      </c>
      <c r="W126" s="19">
        <v>0</v>
      </c>
      <c r="X126" s="19">
        <v>0</v>
      </c>
      <c r="Y126" s="19">
        <v>0</v>
      </c>
      <c r="Z126" s="19">
        <v>0</v>
      </c>
      <c r="AA126" s="19">
        <v>0</v>
      </c>
      <c r="AB126" s="19">
        <v>0</v>
      </c>
      <c r="AC126" s="19">
        <v>500</v>
      </c>
      <c r="AD126" s="19">
        <v>28800</v>
      </c>
      <c r="AE126" s="19">
        <v>28300</v>
      </c>
      <c r="AF126" s="19">
        <v>0</v>
      </c>
      <c r="AG126" s="19">
        <v>0</v>
      </c>
      <c r="AH126" s="19">
        <v>0</v>
      </c>
      <c r="AI126" s="19">
        <v>0</v>
      </c>
      <c r="AJ126" s="19">
        <v>0</v>
      </c>
      <c r="AK126" s="19">
        <v>0</v>
      </c>
      <c r="AL126" s="19">
        <v>0</v>
      </c>
      <c r="AM126" s="19">
        <v>500</v>
      </c>
      <c r="AN126" s="19">
        <v>15840</v>
      </c>
      <c r="AO126" s="19">
        <v>0</v>
      </c>
      <c r="AP126" s="19">
        <v>15840</v>
      </c>
    </row>
    <row r="127" spans="1:42" x14ac:dyDescent="0.4">
      <c r="A127" s="18" t="s">
        <v>48</v>
      </c>
      <c r="B127" s="18" t="s">
        <v>83</v>
      </c>
      <c r="C127" s="18" t="s">
        <v>84</v>
      </c>
      <c r="D127" s="18" t="s">
        <v>85</v>
      </c>
      <c r="E127" s="18" t="s">
        <v>86</v>
      </c>
      <c r="F127" s="18" t="s">
        <v>49</v>
      </c>
      <c r="G127" s="18" t="s">
        <v>20</v>
      </c>
      <c r="H127" s="18" t="s">
        <v>21</v>
      </c>
      <c r="I127" s="18" t="s">
        <v>22</v>
      </c>
      <c r="J127" s="18">
        <v>56766247</v>
      </c>
      <c r="K127" s="18" t="s">
        <v>114</v>
      </c>
      <c r="L127" s="18"/>
      <c r="M127" s="18"/>
      <c r="N127" s="18" t="s">
        <v>80</v>
      </c>
      <c r="O127" s="18" t="s">
        <v>23</v>
      </c>
      <c r="P127" s="18">
        <v>0.55000000000000004</v>
      </c>
      <c r="Q127" s="18">
        <v>0.55000000000000004</v>
      </c>
      <c r="R127" s="19" t="s">
        <v>25</v>
      </c>
      <c r="S127" s="19">
        <v>3500</v>
      </c>
      <c r="T127" s="19">
        <v>17500</v>
      </c>
      <c r="U127" s="19">
        <v>17500</v>
      </c>
      <c r="V127" s="19">
        <v>0</v>
      </c>
      <c r="W127" s="19">
        <v>0</v>
      </c>
      <c r="X127" s="19">
        <v>0</v>
      </c>
      <c r="Y127" s="19">
        <v>0</v>
      </c>
      <c r="Z127" s="19">
        <v>0</v>
      </c>
      <c r="AA127" s="19">
        <v>0</v>
      </c>
      <c r="AB127" s="19">
        <v>0</v>
      </c>
      <c r="AC127" s="19">
        <v>0</v>
      </c>
      <c r="AD127" s="19">
        <v>17500</v>
      </c>
      <c r="AE127" s="19">
        <v>17500</v>
      </c>
      <c r="AF127" s="19">
        <v>0</v>
      </c>
      <c r="AG127" s="19">
        <v>0</v>
      </c>
      <c r="AH127" s="19">
        <v>0</v>
      </c>
      <c r="AI127" s="19">
        <v>0</v>
      </c>
      <c r="AJ127" s="19">
        <v>0</v>
      </c>
      <c r="AK127" s="19">
        <v>0</v>
      </c>
      <c r="AL127" s="19">
        <v>0</v>
      </c>
      <c r="AM127" s="19">
        <v>0</v>
      </c>
      <c r="AN127" s="19">
        <v>9625</v>
      </c>
      <c r="AO127" s="19">
        <v>0</v>
      </c>
      <c r="AP127" s="19">
        <v>9625</v>
      </c>
    </row>
    <row r="128" spans="1:42" s="17" customFormat="1" x14ac:dyDescent="0.4">
      <c r="A128" s="18" t="s">
        <v>48</v>
      </c>
      <c r="B128" s="18" t="s">
        <v>83</v>
      </c>
      <c r="C128" s="18" t="s">
        <v>84</v>
      </c>
      <c r="D128" s="18" t="s">
        <v>85</v>
      </c>
      <c r="E128" s="18" t="s">
        <v>86</v>
      </c>
      <c r="F128" s="18" t="s">
        <v>49</v>
      </c>
      <c r="G128" s="18" t="s">
        <v>20</v>
      </c>
      <c r="H128" s="18" t="s">
        <v>21</v>
      </c>
      <c r="I128" s="18" t="s">
        <v>22</v>
      </c>
      <c r="J128" s="18">
        <v>56766297</v>
      </c>
      <c r="K128" s="18" t="s">
        <v>146</v>
      </c>
      <c r="L128" s="18"/>
      <c r="M128" s="18"/>
      <c r="N128" s="18" t="s">
        <v>56</v>
      </c>
      <c r="O128" s="18" t="s">
        <v>23</v>
      </c>
      <c r="P128" s="18">
        <v>0.55000000000000004</v>
      </c>
      <c r="Q128" s="18">
        <v>0.55000000000000004</v>
      </c>
      <c r="R128" s="19" t="s">
        <v>25</v>
      </c>
      <c r="S128" s="19">
        <v>3200</v>
      </c>
      <c r="T128" s="19">
        <v>25600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24500</v>
      </c>
      <c r="AA128" s="19">
        <v>0</v>
      </c>
      <c r="AB128" s="19">
        <v>0</v>
      </c>
      <c r="AC128" s="19">
        <v>1100</v>
      </c>
      <c r="AD128" s="19">
        <v>28050</v>
      </c>
      <c r="AE128" s="19">
        <v>0</v>
      </c>
      <c r="AF128" s="19">
        <v>0</v>
      </c>
      <c r="AG128" s="19">
        <v>0</v>
      </c>
      <c r="AH128" s="19">
        <v>0</v>
      </c>
      <c r="AI128" s="19">
        <v>0</v>
      </c>
      <c r="AJ128" s="19">
        <v>26950</v>
      </c>
      <c r="AK128" s="19">
        <v>0</v>
      </c>
      <c r="AL128" s="19">
        <v>0</v>
      </c>
      <c r="AM128" s="19">
        <v>1100</v>
      </c>
      <c r="AN128" s="19">
        <v>15428</v>
      </c>
      <c r="AO128" s="19">
        <v>0</v>
      </c>
      <c r="AP128" s="19">
        <v>15428</v>
      </c>
    </row>
    <row r="129" spans="1:42" s="17" customFormat="1" x14ac:dyDescent="0.4">
      <c r="A129" s="18" t="s">
        <v>48</v>
      </c>
      <c r="B129" s="18" t="s">
        <v>83</v>
      </c>
      <c r="C129" s="18" t="s">
        <v>84</v>
      </c>
      <c r="D129" s="18" t="s">
        <v>85</v>
      </c>
      <c r="E129" s="18" t="s">
        <v>86</v>
      </c>
      <c r="F129" s="18" t="s">
        <v>49</v>
      </c>
      <c r="G129" s="18" t="s">
        <v>20</v>
      </c>
      <c r="H129" s="18" t="s">
        <v>21</v>
      </c>
      <c r="I129" s="18" t="s">
        <v>22</v>
      </c>
      <c r="J129" s="18">
        <v>56767324</v>
      </c>
      <c r="K129" s="18" t="s">
        <v>104</v>
      </c>
      <c r="L129" s="18"/>
      <c r="M129" s="18"/>
      <c r="N129" s="18" t="s">
        <v>68</v>
      </c>
      <c r="O129" s="18" t="s">
        <v>23</v>
      </c>
      <c r="P129" s="18">
        <v>0.55000000000000004</v>
      </c>
      <c r="Q129" s="18">
        <v>0.55000000000000004</v>
      </c>
      <c r="R129" s="19" t="s">
        <v>25</v>
      </c>
      <c r="S129" s="19">
        <v>3200</v>
      </c>
      <c r="T129" s="19">
        <v>25600</v>
      </c>
      <c r="U129" s="19">
        <v>12800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12800</v>
      </c>
      <c r="AD129" s="19">
        <v>25600</v>
      </c>
      <c r="AE129" s="19">
        <v>12800</v>
      </c>
      <c r="AF129" s="19">
        <v>0</v>
      </c>
      <c r="AG129" s="19">
        <v>0</v>
      </c>
      <c r="AH129" s="19">
        <v>0</v>
      </c>
      <c r="AI129" s="19">
        <v>0</v>
      </c>
      <c r="AJ129" s="19">
        <v>0</v>
      </c>
      <c r="AK129" s="19">
        <v>0</v>
      </c>
      <c r="AL129" s="19">
        <v>0</v>
      </c>
      <c r="AM129" s="19">
        <v>12800</v>
      </c>
      <c r="AN129" s="19">
        <v>14080</v>
      </c>
      <c r="AO129" s="19">
        <v>0</v>
      </c>
      <c r="AP129" s="19">
        <v>14080</v>
      </c>
    </row>
    <row r="130" spans="1:42" s="17" customFormat="1" x14ac:dyDescent="0.4">
      <c r="A130" s="18" t="s">
        <v>48</v>
      </c>
      <c r="B130" s="18" t="s">
        <v>83</v>
      </c>
      <c r="C130" s="18" t="s">
        <v>84</v>
      </c>
      <c r="D130" s="18" t="s">
        <v>85</v>
      </c>
      <c r="E130" s="18" t="s">
        <v>86</v>
      </c>
      <c r="F130" s="18" t="s">
        <v>49</v>
      </c>
      <c r="G130" s="18" t="s">
        <v>20</v>
      </c>
      <c r="H130" s="18" t="s">
        <v>21</v>
      </c>
      <c r="I130" s="18" t="s">
        <v>22</v>
      </c>
      <c r="J130" s="18">
        <v>56772299</v>
      </c>
      <c r="K130" s="18" t="s">
        <v>105</v>
      </c>
      <c r="L130" s="18"/>
      <c r="M130" s="18"/>
      <c r="N130" s="18" t="s">
        <v>106</v>
      </c>
      <c r="O130" s="18" t="s">
        <v>23</v>
      </c>
      <c r="P130" s="18">
        <v>0.55000000000000004</v>
      </c>
      <c r="Q130" s="18">
        <v>0.55000000000000004</v>
      </c>
      <c r="R130" s="19" t="s">
        <v>25</v>
      </c>
      <c r="S130" s="19">
        <v>100</v>
      </c>
      <c r="T130" s="19">
        <v>7200</v>
      </c>
      <c r="U130" s="19">
        <v>5600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1600</v>
      </c>
      <c r="AD130" s="19">
        <v>7200</v>
      </c>
      <c r="AE130" s="19">
        <v>5600</v>
      </c>
      <c r="AF130" s="19">
        <v>0</v>
      </c>
      <c r="AG130" s="19">
        <v>0</v>
      </c>
      <c r="AH130" s="19">
        <v>0</v>
      </c>
      <c r="AI130" s="19">
        <v>0</v>
      </c>
      <c r="AJ130" s="19">
        <v>0</v>
      </c>
      <c r="AK130" s="19">
        <v>0</v>
      </c>
      <c r="AL130" s="19">
        <v>0</v>
      </c>
      <c r="AM130" s="19">
        <v>1600</v>
      </c>
      <c r="AN130" s="19">
        <v>3960</v>
      </c>
      <c r="AO130" s="19">
        <v>0</v>
      </c>
      <c r="AP130" s="19">
        <v>3960</v>
      </c>
    </row>
    <row r="131" spans="1:42" s="17" customFormat="1" x14ac:dyDescent="0.4">
      <c r="A131" s="18" t="s">
        <v>48</v>
      </c>
      <c r="B131" s="18" t="s">
        <v>83</v>
      </c>
      <c r="C131" s="18" t="s">
        <v>84</v>
      </c>
      <c r="D131" s="18" t="s">
        <v>85</v>
      </c>
      <c r="E131" s="18" t="s">
        <v>86</v>
      </c>
      <c r="F131" s="18" t="s">
        <v>49</v>
      </c>
      <c r="G131" s="18" t="s">
        <v>20</v>
      </c>
      <c r="H131" s="18" t="s">
        <v>21</v>
      </c>
      <c r="I131" s="18" t="s">
        <v>22</v>
      </c>
      <c r="J131" s="18">
        <v>56772299</v>
      </c>
      <c r="K131" s="18" t="s">
        <v>105</v>
      </c>
      <c r="L131" s="18"/>
      <c r="M131" s="18"/>
      <c r="N131" s="18" t="s">
        <v>106</v>
      </c>
      <c r="O131" s="18" t="s">
        <v>23</v>
      </c>
      <c r="P131" s="18">
        <v>0.55000000000000004</v>
      </c>
      <c r="Q131" s="18">
        <v>0.55000000000000004</v>
      </c>
      <c r="R131" s="19" t="s">
        <v>24</v>
      </c>
      <c r="S131" s="19">
        <v>2400</v>
      </c>
      <c r="T131" s="19">
        <v>7200</v>
      </c>
      <c r="U131" s="19">
        <v>7200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7200</v>
      </c>
      <c r="AE131" s="19">
        <v>7200</v>
      </c>
      <c r="AF131" s="19">
        <v>0</v>
      </c>
      <c r="AG131" s="19">
        <v>0</v>
      </c>
      <c r="AH131" s="19">
        <v>0</v>
      </c>
      <c r="AI131" s="19">
        <v>0</v>
      </c>
      <c r="AJ131" s="19">
        <v>0</v>
      </c>
      <c r="AK131" s="19">
        <v>0</v>
      </c>
      <c r="AL131" s="19">
        <v>0</v>
      </c>
      <c r="AM131" s="19">
        <v>0</v>
      </c>
      <c r="AN131" s="19">
        <v>3960</v>
      </c>
      <c r="AO131" s="19">
        <v>0</v>
      </c>
      <c r="AP131" s="19">
        <v>3960</v>
      </c>
    </row>
    <row r="132" spans="1:42" s="17" customFormat="1" x14ac:dyDescent="0.4">
      <c r="A132" s="18" t="s">
        <v>48</v>
      </c>
      <c r="B132" s="18" t="s">
        <v>83</v>
      </c>
      <c r="C132" s="18" t="s">
        <v>84</v>
      </c>
      <c r="D132" s="18" t="s">
        <v>85</v>
      </c>
      <c r="E132" s="18" t="s">
        <v>86</v>
      </c>
      <c r="F132" s="18" t="s">
        <v>49</v>
      </c>
      <c r="G132" s="18" t="s">
        <v>20</v>
      </c>
      <c r="H132" s="18" t="s">
        <v>21</v>
      </c>
      <c r="I132" s="18" t="s">
        <v>22</v>
      </c>
      <c r="J132" s="18">
        <v>56772299</v>
      </c>
      <c r="K132" s="18" t="s">
        <v>105</v>
      </c>
      <c r="L132" s="18"/>
      <c r="M132" s="18"/>
      <c r="N132" s="18" t="s">
        <v>106</v>
      </c>
      <c r="O132" s="18" t="s">
        <v>23</v>
      </c>
      <c r="P132" s="18">
        <v>0.55000000000000004</v>
      </c>
      <c r="Q132" s="18">
        <v>0.55000000000000004</v>
      </c>
      <c r="R132" s="19" t="s">
        <v>24</v>
      </c>
      <c r="S132" s="19">
        <v>18000</v>
      </c>
      <c r="T132" s="19">
        <v>18000</v>
      </c>
      <c r="U132" s="19">
        <v>18000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18000</v>
      </c>
      <c r="AE132" s="19">
        <v>18000</v>
      </c>
      <c r="AF132" s="19">
        <v>0</v>
      </c>
      <c r="AG132" s="19">
        <v>0</v>
      </c>
      <c r="AH132" s="19">
        <v>0</v>
      </c>
      <c r="AI132" s="19">
        <v>0</v>
      </c>
      <c r="AJ132" s="19">
        <v>0</v>
      </c>
      <c r="AK132" s="19">
        <v>0</v>
      </c>
      <c r="AL132" s="19">
        <v>0</v>
      </c>
      <c r="AM132" s="19">
        <v>0</v>
      </c>
      <c r="AN132" s="19">
        <v>9900</v>
      </c>
      <c r="AO132" s="19">
        <v>0</v>
      </c>
      <c r="AP132" s="19">
        <v>9900</v>
      </c>
    </row>
    <row r="133" spans="1:42" s="17" customFormat="1" x14ac:dyDescent="0.4">
      <c r="A133" s="18" t="s">
        <v>48</v>
      </c>
      <c r="B133" s="18" t="s">
        <v>83</v>
      </c>
      <c r="C133" s="18" t="s">
        <v>84</v>
      </c>
      <c r="D133" s="18" t="s">
        <v>85</v>
      </c>
      <c r="E133" s="18" t="s">
        <v>86</v>
      </c>
      <c r="F133" s="18" t="s">
        <v>49</v>
      </c>
      <c r="G133" s="18" t="s">
        <v>20</v>
      </c>
      <c r="H133" s="18" t="s">
        <v>21</v>
      </c>
      <c r="I133" s="18" t="s">
        <v>22</v>
      </c>
      <c r="J133" s="18">
        <v>56782260</v>
      </c>
      <c r="K133" s="18" t="s">
        <v>115</v>
      </c>
      <c r="L133" s="18"/>
      <c r="M133" s="18"/>
      <c r="N133" s="18" t="s">
        <v>116</v>
      </c>
      <c r="O133" s="18" t="s">
        <v>23</v>
      </c>
      <c r="P133" s="18">
        <v>0.55000000000000004</v>
      </c>
      <c r="Q133" s="18">
        <v>0.55000000000000004</v>
      </c>
      <c r="R133" s="19" t="s">
        <v>25</v>
      </c>
      <c r="S133" s="19">
        <v>100</v>
      </c>
      <c r="T133" s="19">
        <v>799100</v>
      </c>
      <c r="U133" s="19">
        <v>399700</v>
      </c>
      <c r="V133" s="19">
        <v>0</v>
      </c>
      <c r="W133" s="19">
        <v>0</v>
      </c>
      <c r="X133" s="19">
        <v>0</v>
      </c>
      <c r="Y133" s="19">
        <v>16600</v>
      </c>
      <c r="Z133" s="19">
        <v>30900</v>
      </c>
      <c r="AA133" s="19">
        <v>0</v>
      </c>
      <c r="AB133" s="19">
        <v>0</v>
      </c>
      <c r="AC133" s="19">
        <v>351900</v>
      </c>
      <c r="AD133" s="19">
        <v>805510</v>
      </c>
      <c r="AE133" s="19">
        <v>399700</v>
      </c>
      <c r="AF133" s="19">
        <v>0</v>
      </c>
      <c r="AG133" s="19">
        <v>0</v>
      </c>
      <c r="AH133" s="19">
        <v>0</v>
      </c>
      <c r="AI133" s="19">
        <v>19920</v>
      </c>
      <c r="AJ133" s="19">
        <v>33990</v>
      </c>
      <c r="AK133" s="19">
        <v>0</v>
      </c>
      <c r="AL133" s="19">
        <v>0</v>
      </c>
      <c r="AM133" s="19">
        <v>351900</v>
      </c>
      <c r="AN133" s="19">
        <v>443031</v>
      </c>
      <c r="AO133" s="19">
        <v>0</v>
      </c>
      <c r="AP133" s="19">
        <v>443031</v>
      </c>
    </row>
    <row r="134" spans="1:42" s="17" customFormat="1" x14ac:dyDescent="0.4">
      <c r="A134" s="18" t="s">
        <v>48</v>
      </c>
      <c r="B134" s="18" t="s">
        <v>83</v>
      </c>
      <c r="C134" s="18" t="s">
        <v>84</v>
      </c>
      <c r="D134" s="18" t="s">
        <v>85</v>
      </c>
      <c r="E134" s="18" t="s">
        <v>86</v>
      </c>
      <c r="F134" s="18" t="s">
        <v>49</v>
      </c>
      <c r="G134" s="18" t="s">
        <v>20</v>
      </c>
      <c r="H134" s="18" t="s">
        <v>21</v>
      </c>
      <c r="I134" s="18" t="s">
        <v>22</v>
      </c>
      <c r="J134" s="18">
        <v>56782260</v>
      </c>
      <c r="K134" s="18" t="s">
        <v>115</v>
      </c>
      <c r="L134" s="18"/>
      <c r="M134" s="18"/>
      <c r="N134" s="18" t="s">
        <v>116</v>
      </c>
      <c r="O134" s="18" t="s">
        <v>23</v>
      </c>
      <c r="P134" s="18">
        <v>0.55000000000000004</v>
      </c>
      <c r="Q134" s="18">
        <v>0.55000000000000004</v>
      </c>
      <c r="R134" s="19" t="s">
        <v>24</v>
      </c>
      <c r="S134" s="19">
        <v>2400</v>
      </c>
      <c r="T134" s="19">
        <v>943800</v>
      </c>
      <c r="U134" s="19">
        <v>747300</v>
      </c>
      <c r="V134" s="19">
        <v>0</v>
      </c>
      <c r="W134" s="19">
        <v>0</v>
      </c>
      <c r="X134" s="19">
        <v>0</v>
      </c>
      <c r="Y134" s="19">
        <v>10050</v>
      </c>
      <c r="Z134" s="19">
        <v>54650</v>
      </c>
      <c r="AA134" s="19">
        <v>0</v>
      </c>
      <c r="AB134" s="19">
        <v>0</v>
      </c>
      <c r="AC134" s="19">
        <v>131800</v>
      </c>
      <c r="AD134" s="19">
        <v>951275</v>
      </c>
      <c r="AE134" s="19">
        <v>747300</v>
      </c>
      <c r="AF134" s="19">
        <v>0</v>
      </c>
      <c r="AG134" s="19">
        <v>0</v>
      </c>
      <c r="AH134" s="19">
        <v>0</v>
      </c>
      <c r="AI134" s="19">
        <v>12060</v>
      </c>
      <c r="AJ134" s="19">
        <v>60115</v>
      </c>
      <c r="AK134" s="19">
        <v>0</v>
      </c>
      <c r="AL134" s="19">
        <v>0</v>
      </c>
      <c r="AM134" s="19">
        <v>131800</v>
      </c>
      <c r="AN134" s="19">
        <v>523201</v>
      </c>
      <c r="AO134" s="19">
        <v>0</v>
      </c>
      <c r="AP134" s="19">
        <v>523201</v>
      </c>
    </row>
    <row r="135" spans="1:42" s="17" customFormat="1" x14ac:dyDescent="0.4">
      <c r="A135" s="18" t="s">
        <v>48</v>
      </c>
      <c r="B135" s="18" t="s">
        <v>83</v>
      </c>
      <c r="C135" s="18" t="s">
        <v>84</v>
      </c>
      <c r="D135" s="18" t="s">
        <v>85</v>
      </c>
      <c r="E135" s="18" t="s">
        <v>86</v>
      </c>
      <c r="F135" s="18" t="s">
        <v>49</v>
      </c>
      <c r="G135" s="18" t="s">
        <v>20</v>
      </c>
      <c r="H135" s="18" t="s">
        <v>21</v>
      </c>
      <c r="I135" s="18" t="s">
        <v>22</v>
      </c>
      <c r="J135" s="18">
        <v>56782260</v>
      </c>
      <c r="K135" s="18" t="s">
        <v>115</v>
      </c>
      <c r="L135" s="18"/>
      <c r="M135" s="18"/>
      <c r="N135" s="18" t="s">
        <v>116</v>
      </c>
      <c r="O135" s="18" t="s">
        <v>23</v>
      </c>
      <c r="P135" s="18">
        <v>0.55000000000000004</v>
      </c>
      <c r="Q135" s="18">
        <v>0.55000000000000004</v>
      </c>
      <c r="R135" s="19" t="s">
        <v>24</v>
      </c>
      <c r="S135" s="19">
        <v>4700</v>
      </c>
      <c r="T135" s="19">
        <v>898600</v>
      </c>
      <c r="U135" s="19">
        <v>812650</v>
      </c>
      <c r="V135" s="19">
        <v>0</v>
      </c>
      <c r="W135" s="19">
        <v>0</v>
      </c>
      <c r="X135" s="19">
        <v>0</v>
      </c>
      <c r="Y135" s="19">
        <v>550</v>
      </c>
      <c r="Z135" s="19">
        <v>30850</v>
      </c>
      <c r="AA135" s="19">
        <v>0</v>
      </c>
      <c r="AB135" s="19">
        <v>0</v>
      </c>
      <c r="AC135" s="19">
        <v>54550</v>
      </c>
      <c r="AD135" s="19">
        <v>901795</v>
      </c>
      <c r="AE135" s="19">
        <v>812650</v>
      </c>
      <c r="AF135" s="19">
        <v>0</v>
      </c>
      <c r="AG135" s="19">
        <v>0</v>
      </c>
      <c r="AH135" s="19">
        <v>0</v>
      </c>
      <c r="AI135" s="19">
        <v>660</v>
      </c>
      <c r="AJ135" s="19">
        <v>33935</v>
      </c>
      <c r="AK135" s="19">
        <v>0</v>
      </c>
      <c r="AL135" s="19">
        <v>0</v>
      </c>
      <c r="AM135" s="19">
        <v>54550</v>
      </c>
      <c r="AN135" s="19">
        <v>495987</v>
      </c>
      <c r="AO135" s="19">
        <v>0</v>
      </c>
      <c r="AP135" s="19">
        <v>495987</v>
      </c>
    </row>
    <row r="136" spans="1:42" s="17" customFormat="1" x14ac:dyDescent="0.4">
      <c r="A136" s="18" t="s">
        <v>48</v>
      </c>
      <c r="B136" s="18" t="s">
        <v>83</v>
      </c>
      <c r="C136" s="18" t="s">
        <v>84</v>
      </c>
      <c r="D136" s="18" t="s">
        <v>85</v>
      </c>
      <c r="E136" s="18" t="s">
        <v>86</v>
      </c>
      <c r="F136" s="18" t="s">
        <v>49</v>
      </c>
      <c r="G136" s="18" t="s">
        <v>20</v>
      </c>
      <c r="H136" s="18" t="s">
        <v>21</v>
      </c>
      <c r="I136" s="18" t="s">
        <v>22</v>
      </c>
      <c r="J136" s="18">
        <v>56782260</v>
      </c>
      <c r="K136" s="18" t="s">
        <v>115</v>
      </c>
      <c r="L136" s="18"/>
      <c r="M136" s="18"/>
      <c r="N136" s="18" t="s">
        <v>116</v>
      </c>
      <c r="O136" s="18" t="s">
        <v>23</v>
      </c>
      <c r="P136" s="18">
        <v>0.55000000000000004</v>
      </c>
      <c r="Q136" s="18">
        <v>0.55000000000000004</v>
      </c>
      <c r="R136" s="19" t="s">
        <v>24</v>
      </c>
      <c r="S136" s="19">
        <v>9200</v>
      </c>
      <c r="T136" s="19">
        <v>1769400</v>
      </c>
      <c r="U136" s="19">
        <v>1587850</v>
      </c>
      <c r="V136" s="19">
        <v>0</v>
      </c>
      <c r="W136" s="19">
        <v>0</v>
      </c>
      <c r="X136" s="19">
        <v>0</v>
      </c>
      <c r="Y136" s="19">
        <v>0</v>
      </c>
      <c r="Z136" s="19">
        <v>86500</v>
      </c>
      <c r="AA136" s="19">
        <v>0</v>
      </c>
      <c r="AB136" s="19">
        <v>0</v>
      </c>
      <c r="AC136" s="19">
        <v>95050</v>
      </c>
      <c r="AD136" s="19">
        <v>1778050</v>
      </c>
      <c r="AE136" s="19">
        <v>1587850</v>
      </c>
      <c r="AF136" s="19">
        <v>0</v>
      </c>
      <c r="AG136" s="19">
        <v>0</v>
      </c>
      <c r="AH136" s="19">
        <v>0</v>
      </c>
      <c r="AI136" s="19">
        <v>0</v>
      </c>
      <c r="AJ136" s="19">
        <v>95150</v>
      </c>
      <c r="AK136" s="19">
        <v>0</v>
      </c>
      <c r="AL136" s="19">
        <v>0</v>
      </c>
      <c r="AM136" s="19">
        <v>95050</v>
      </c>
      <c r="AN136" s="19">
        <v>977928</v>
      </c>
      <c r="AO136" s="19">
        <v>0</v>
      </c>
      <c r="AP136" s="19">
        <v>977928</v>
      </c>
    </row>
    <row r="137" spans="1:42" s="17" customFormat="1" x14ac:dyDescent="0.4">
      <c r="A137" s="18" t="s">
        <v>48</v>
      </c>
      <c r="B137" s="18" t="s">
        <v>83</v>
      </c>
      <c r="C137" s="18" t="s">
        <v>84</v>
      </c>
      <c r="D137" s="18" t="s">
        <v>85</v>
      </c>
      <c r="E137" s="18" t="s">
        <v>86</v>
      </c>
      <c r="F137" s="18" t="s">
        <v>49</v>
      </c>
      <c r="G137" s="18" t="s">
        <v>20</v>
      </c>
      <c r="H137" s="18" t="s">
        <v>21</v>
      </c>
      <c r="I137" s="18" t="s">
        <v>22</v>
      </c>
      <c r="J137" s="18">
        <v>57675324</v>
      </c>
      <c r="K137" s="18" t="s">
        <v>121</v>
      </c>
      <c r="L137" s="18"/>
      <c r="M137" s="18"/>
      <c r="N137" s="18" t="s">
        <v>122</v>
      </c>
      <c r="O137" s="18" t="s">
        <v>23</v>
      </c>
      <c r="P137" s="18">
        <v>0.55000000000000004</v>
      </c>
      <c r="Q137" s="18">
        <v>0.55000000000000004</v>
      </c>
      <c r="R137" s="19" t="s">
        <v>25</v>
      </c>
      <c r="S137" s="19">
        <v>100</v>
      </c>
      <c r="T137" s="19">
        <v>689100</v>
      </c>
      <c r="U137" s="19">
        <v>310650</v>
      </c>
      <c r="V137" s="19">
        <v>0</v>
      </c>
      <c r="W137" s="19">
        <v>0</v>
      </c>
      <c r="X137" s="19">
        <v>0</v>
      </c>
      <c r="Y137" s="19">
        <v>5550</v>
      </c>
      <c r="Z137" s="19">
        <v>4400</v>
      </c>
      <c r="AA137" s="19">
        <v>0</v>
      </c>
      <c r="AB137" s="19">
        <v>0</v>
      </c>
      <c r="AC137" s="19">
        <v>368500</v>
      </c>
      <c r="AD137" s="19">
        <v>690650</v>
      </c>
      <c r="AE137" s="19">
        <v>310650</v>
      </c>
      <c r="AF137" s="19">
        <v>0</v>
      </c>
      <c r="AG137" s="19">
        <v>0</v>
      </c>
      <c r="AH137" s="19">
        <v>0</v>
      </c>
      <c r="AI137" s="19">
        <v>6660</v>
      </c>
      <c r="AJ137" s="19">
        <v>4840</v>
      </c>
      <c r="AK137" s="19">
        <v>0</v>
      </c>
      <c r="AL137" s="19">
        <v>0</v>
      </c>
      <c r="AM137" s="19">
        <v>368500</v>
      </c>
      <c r="AN137" s="19">
        <v>379858</v>
      </c>
      <c r="AO137" s="19">
        <v>0</v>
      </c>
      <c r="AP137" s="19">
        <v>379858</v>
      </c>
    </row>
    <row r="138" spans="1:42" s="17" customFormat="1" x14ac:dyDescent="0.4">
      <c r="A138" s="18" t="s">
        <v>48</v>
      </c>
      <c r="B138" s="18" t="s">
        <v>83</v>
      </c>
      <c r="C138" s="18" t="s">
        <v>84</v>
      </c>
      <c r="D138" s="18" t="s">
        <v>85</v>
      </c>
      <c r="E138" s="18" t="s">
        <v>86</v>
      </c>
      <c r="F138" s="18" t="s">
        <v>49</v>
      </c>
      <c r="G138" s="18" t="s">
        <v>20</v>
      </c>
      <c r="H138" s="18" t="s">
        <v>21</v>
      </c>
      <c r="I138" s="18" t="s">
        <v>22</v>
      </c>
      <c r="J138" s="18">
        <v>57675324</v>
      </c>
      <c r="K138" s="18" t="s">
        <v>121</v>
      </c>
      <c r="L138" s="18"/>
      <c r="M138" s="18"/>
      <c r="N138" s="18" t="s">
        <v>122</v>
      </c>
      <c r="O138" s="18" t="s">
        <v>23</v>
      </c>
      <c r="P138" s="18">
        <v>0.55000000000000004</v>
      </c>
      <c r="Q138" s="18">
        <v>0.55000000000000004</v>
      </c>
      <c r="R138" s="19" t="s">
        <v>24</v>
      </c>
      <c r="S138" s="19">
        <v>2400</v>
      </c>
      <c r="T138" s="19">
        <v>693200</v>
      </c>
      <c r="U138" s="19">
        <v>619600</v>
      </c>
      <c r="V138" s="19">
        <v>0</v>
      </c>
      <c r="W138" s="19">
        <v>0</v>
      </c>
      <c r="X138" s="19">
        <v>0</v>
      </c>
      <c r="Y138" s="19">
        <v>-2100</v>
      </c>
      <c r="Z138" s="19">
        <v>6500</v>
      </c>
      <c r="AA138" s="19">
        <v>0</v>
      </c>
      <c r="AB138" s="19">
        <v>0</v>
      </c>
      <c r="AC138" s="19">
        <v>69200</v>
      </c>
      <c r="AD138" s="19">
        <v>693430</v>
      </c>
      <c r="AE138" s="19">
        <v>619600</v>
      </c>
      <c r="AF138" s="19">
        <v>0</v>
      </c>
      <c r="AG138" s="19">
        <v>0</v>
      </c>
      <c r="AH138" s="19">
        <v>0</v>
      </c>
      <c r="AI138" s="19">
        <v>-2520</v>
      </c>
      <c r="AJ138" s="19">
        <v>7150</v>
      </c>
      <c r="AK138" s="19">
        <v>0</v>
      </c>
      <c r="AL138" s="19">
        <v>0</v>
      </c>
      <c r="AM138" s="19">
        <v>69200</v>
      </c>
      <c r="AN138" s="19">
        <v>381387</v>
      </c>
      <c r="AO138" s="19">
        <v>0</v>
      </c>
      <c r="AP138" s="19">
        <v>381387</v>
      </c>
    </row>
    <row r="139" spans="1:42" s="17" customFormat="1" x14ac:dyDescent="0.4">
      <c r="A139" s="18" t="s">
        <v>48</v>
      </c>
      <c r="B139" s="18" t="s">
        <v>83</v>
      </c>
      <c r="C139" s="18" t="s">
        <v>84</v>
      </c>
      <c r="D139" s="18" t="s">
        <v>85</v>
      </c>
      <c r="E139" s="18" t="s">
        <v>86</v>
      </c>
      <c r="F139" s="18" t="s">
        <v>49</v>
      </c>
      <c r="G139" s="18" t="s">
        <v>20</v>
      </c>
      <c r="H139" s="18" t="s">
        <v>21</v>
      </c>
      <c r="I139" s="18" t="s">
        <v>22</v>
      </c>
      <c r="J139" s="18">
        <v>57675324</v>
      </c>
      <c r="K139" s="18" t="s">
        <v>121</v>
      </c>
      <c r="L139" s="18"/>
      <c r="M139" s="18"/>
      <c r="N139" s="18" t="s">
        <v>122</v>
      </c>
      <c r="O139" s="18" t="s">
        <v>23</v>
      </c>
      <c r="P139" s="18">
        <v>0.55000000000000004</v>
      </c>
      <c r="Q139" s="18">
        <v>0.55000000000000004</v>
      </c>
      <c r="R139" s="19" t="s">
        <v>24</v>
      </c>
      <c r="S139" s="19">
        <v>4700</v>
      </c>
      <c r="T139" s="19">
        <v>691800</v>
      </c>
      <c r="U139" s="19">
        <v>642500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49300</v>
      </c>
      <c r="AD139" s="19">
        <v>691800</v>
      </c>
      <c r="AE139" s="19">
        <v>642500</v>
      </c>
      <c r="AF139" s="19">
        <v>0</v>
      </c>
      <c r="AG139" s="19">
        <v>0</v>
      </c>
      <c r="AH139" s="19">
        <v>0</v>
      </c>
      <c r="AI139" s="19">
        <v>0</v>
      </c>
      <c r="AJ139" s="19">
        <v>0</v>
      </c>
      <c r="AK139" s="19">
        <v>0</v>
      </c>
      <c r="AL139" s="19">
        <v>0</v>
      </c>
      <c r="AM139" s="19">
        <v>49300</v>
      </c>
      <c r="AN139" s="19">
        <v>380490</v>
      </c>
      <c r="AO139" s="19">
        <v>0</v>
      </c>
      <c r="AP139" s="19">
        <v>380490</v>
      </c>
    </row>
    <row r="140" spans="1:42" s="17" customFormat="1" x14ac:dyDescent="0.4">
      <c r="A140" s="18" t="s">
        <v>48</v>
      </c>
      <c r="B140" s="18" t="s">
        <v>83</v>
      </c>
      <c r="C140" s="18" t="s">
        <v>84</v>
      </c>
      <c r="D140" s="18" t="s">
        <v>85</v>
      </c>
      <c r="E140" s="18" t="s">
        <v>86</v>
      </c>
      <c r="F140" s="18" t="s">
        <v>49</v>
      </c>
      <c r="G140" s="18" t="s">
        <v>20</v>
      </c>
      <c r="H140" s="18" t="s">
        <v>21</v>
      </c>
      <c r="I140" s="18" t="s">
        <v>22</v>
      </c>
      <c r="J140" s="18">
        <v>57675324</v>
      </c>
      <c r="K140" s="18" t="s">
        <v>121</v>
      </c>
      <c r="L140" s="18"/>
      <c r="M140" s="18"/>
      <c r="N140" s="18" t="s">
        <v>122</v>
      </c>
      <c r="O140" s="18" t="s">
        <v>23</v>
      </c>
      <c r="P140" s="18">
        <v>0.55000000000000004</v>
      </c>
      <c r="Q140" s="18">
        <v>0.55000000000000004</v>
      </c>
      <c r="R140" s="19" t="s">
        <v>24</v>
      </c>
      <c r="S140" s="19">
        <v>9200</v>
      </c>
      <c r="T140" s="19">
        <v>1195800</v>
      </c>
      <c r="U140" s="19">
        <v>1106900</v>
      </c>
      <c r="V140" s="19">
        <v>0</v>
      </c>
      <c r="W140" s="19">
        <v>0</v>
      </c>
      <c r="X140" s="19">
        <v>0</v>
      </c>
      <c r="Y140" s="19">
        <v>0</v>
      </c>
      <c r="Z140" s="19">
        <v>18400</v>
      </c>
      <c r="AA140" s="19">
        <v>0</v>
      </c>
      <c r="AB140" s="19">
        <v>0</v>
      </c>
      <c r="AC140" s="19">
        <v>70500</v>
      </c>
      <c r="AD140" s="19">
        <v>1197640</v>
      </c>
      <c r="AE140" s="19">
        <v>1106900</v>
      </c>
      <c r="AF140" s="19">
        <v>0</v>
      </c>
      <c r="AG140" s="19">
        <v>0</v>
      </c>
      <c r="AH140" s="19">
        <v>0</v>
      </c>
      <c r="AI140" s="19">
        <v>0</v>
      </c>
      <c r="AJ140" s="19">
        <v>20240</v>
      </c>
      <c r="AK140" s="19">
        <v>0</v>
      </c>
      <c r="AL140" s="19">
        <v>0</v>
      </c>
      <c r="AM140" s="19">
        <v>70500</v>
      </c>
      <c r="AN140" s="19">
        <v>658702</v>
      </c>
      <c r="AO140" s="19">
        <v>0</v>
      </c>
      <c r="AP140" s="19">
        <v>658702</v>
      </c>
    </row>
    <row r="141" spans="1:42" s="17" customFormat="1" x14ac:dyDescent="0.4">
      <c r="A141" s="18" t="s">
        <v>48</v>
      </c>
      <c r="B141" s="18" t="s">
        <v>83</v>
      </c>
      <c r="C141" s="18" t="s">
        <v>84</v>
      </c>
      <c r="D141" s="18" t="s">
        <v>85</v>
      </c>
      <c r="E141" s="18" t="s">
        <v>86</v>
      </c>
      <c r="F141" s="18" t="s">
        <v>49</v>
      </c>
      <c r="G141" s="18" t="s">
        <v>20</v>
      </c>
      <c r="H141" s="18" t="s">
        <v>21</v>
      </c>
      <c r="I141" s="18" t="s">
        <v>22</v>
      </c>
      <c r="J141" s="18">
        <v>57750623</v>
      </c>
      <c r="K141" s="18" t="s">
        <v>123</v>
      </c>
      <c r="L141" s="18"/>
      <c r="M141" s="18"/>
      <c r="N141" s="18" t="s">
        <v>124</v>
      </c>
      <c r="O141" s="18" t="s">
        <v>23</v>
      </c>
      <c r="P141" s="18">
        <v>0.55000000000000004</v>
      </c>
      <c r="Q141" s="18">
        <v>0.55000000000000004</v>
      </c>
      <c r="R141" s="19" t="s">
        <v>25</v>
      </c>
      <c r="S141" s="19">
        <v>100</v>
      </c>
      <c r="T141" s="19">
        <v>1500</v>
      </c>
      <c r="U141" s="19">
        <v>200</v>
      </c>
      <c r="V141" s="19">
        <v>0</v>
      </c>
      <c r="W141" s="19">
        <v>0</v>
      </c>
      <c r="X141" s="19">
        <v>0</v>
      </c>
      <c r="Y141" s="19">
        <v>0</v>
      </c>
      <c r="Z141" s="19">
        <v>600</v>
      </c>
      <c r="AA141" s="19">
        <v>0</v>
      </c>
      <c r="AB141" s="19">
        <v>0</v>
      </c>
      <c r="AC141" s="19">
        <v>700</v>
      </c>
      <c r="AD141" s="19">
        <v>1560</v>
      </c>
      <c r="AE141" s="19">
        <v>200</v>
      </c>
      <c r="AF141" s="19">
        <v>0</v>
      </c>
      <c r="AG141" s="19">
        <v>0</v>
      </c>
      <c r="AH141" s="19">
        <v>0</v>
      </c>
      <c r="AI141" s="19">
        <v>0</v>
      </c>
      <c r="AJ141" s="19">
        <v>660</v>
      </c>
      <c r="AK141" s="19">
        <v>0</v>
      </c>
      <c r="AL141" s="19">
        <v>0</v>
      </c>
      <c r="AM141" s="19">
        <v>700</v>
      </c>
      <c r="AN141" s="19">
        <v>858</v>
      </c>
      <c r="AO141" s="19">
        <v>0</v>
      </c>
      <c r="AP141" s="19">
        <v>858</v>
      </c>
    </row>
    <row r="142" spans="1:42" s="17" customFormat="1" x14ac:dyDescent="0.4">
      <c r="A142" s="18" t="s">
        <v>48</v>
      </c>
      <c r="B142" s="18" t="s">
        <v>83</v>
      </c>
      <c r="C142" s="18" t="s">
        <v>84</v>
      </c>
      <c r="D142" s="18" t="s">
        <v>85</v>
      </c>
      <c r="E142" s="18" t="s">
        <v>86</v>
      </c>
      <c r="F142" s="18" t="s">
        <v>49</v>
      </c>
      <c r="G142" s="18" t="s">
        <v>20</v>
      </c>
      <c r="H142" s="18" t="s">
        <v>21</v>
      </c>
      <c r="I142" s="18" t="s">
        <v>22</v>
      </c>
      <c r="J142" s="18">
        <v>57750623</v>
      </c>
      <c r="K142" s="18" t="s">
        <v>123</v>
      </c>
      <c r="L142" s="18"/>
      <c r="M142" s="18"/>
      <c r="N142" s="18" t="s">
        <v>124</v>
      </c>
      <c r="O142" s="18" t="s">
        <v>23</v>
      </c>
      <c r="P142" s="18">
        <v>0.55000000000000004</v>
      </c>
      <c r="Q142" s="18">
        <v>0.55000000000000004</v>
      </c>
      <c r="R142" s="19" t="s">
        <v>24</v>
      </c>
      <c r="S142" s="19">
        <v>9200</v>
      </c>
      <c r="T142" s="19">
        <v>9200</v>
      </c>
      <c r="U142" s="19">
        <v>0</v>
      </c>
      <c r="V142" s="19">
        <v>0</v>
      </c>
      <c r="W142" s="19">
        <v>0</v>
      </c>
      <c r="X142" s="19">
        <v>0</v>
      </c>
      <c r="Y142" s="19">
        <v>0</v>
      </c>
      <c r="Z142" s="19">
        <v>9200</v>
      </c>
      <c r="AA142" s="19">
        <v>0</v>
      </c>
      <c r="AB142" s="19">
        <v>0</v>
      </c>
      <c r="AC142" s="19">
        <v>0</v>
      </c>
      <c r="AD142" s="19">
        <v>10120</v>
      </c>
      <c r="AE142" s="19">
        <v>0</v>
      </c>
      <c r="AF142" s="19">
        <v>0</v>
      </c>
      <c r="AG142" s="19">
        <v>0</v>
      </c>
      <c r="AH142" s="19">
        <v>0</v>
      </c>
      <c r="AI142" s="19">
        <v>0</v>
      </c>
      <c r="AJ142" s="19">
        <v>10120</v>
      </c>
      <c r="AK142" s="19">
        <v>0</v>
      </c>
      <c r="AL142" s="19">
        <v>0</v>
      </c>
      <c r="AM142" s="19">
        <v>0</v>
      </c>
      <c r="AN142" s="19">
        <v>5566</v>
      </c>
      <c r="AO142" s="19">
        <v>0</v>
      </c>
      <c r="AP142" s="19">
        <v>5566</v>
      </c>
    </row>
    <row r="143" spans="1:42" s="17" customFormat="1" x14ac:dyDescent="0.4">
      <c r="A143" s="18" t="s">
        <v>48</v>
      </c>
      <c r="B143" s="18" t="s">
        <v>83</v>
      </c>
      <c r="C143" s="18" t="s">
        <v>84</v>
      </c>
      <c r="D143" s="18" t="s">
        <v>85</v>
      </c>
      <c r="E143" s="18" t="s">
        <v>86</v>
      </c>
      <c r="F143" s="18" t="s">
        <v>49</v>
      </c>
      <c r="G143" s="18" t="s">
        <v>20</v>
      </c>
      <c r="H143" s="18" t="s">
        <v>21</v>
      </c>
      <c r="I143" s="18" t="s">
        <v>22</v>
      </c>
      <c r="J143" s="18">
        <v>58093302</v>
      </c>
      <c r="K143" s="18" t="s">
        <v>127</v>
      </c>
      <c r="L143" s="18"/>
      <c r="M143" s="18"/>
      <c r="N143" s="18" t="s">
        <v>128</v>
      </c>
      <c r="O143" s="18" t="s">
        <v>23</v>
      </c>
      <c r="P143" s="18">
        <v>0.55000000000000004</v>
      </c>
      <c r="Q143" s="18">
        <v>0.55000000000000004</v>
      </c>
      <c r="R143" s="19" t="s">
        <v>25</v>
      </c>
      <c r="S143" s="19">
        <v>100</v>
      </c>
      <c r="T143" s="19">
        <v>2863800</v>
      </c>
      <c r="U143" s="19">
        <v>2009000</v>
      </c>
      <c r="V143" s="19">
        <v>0</v>
      </c>
      <c r="W143" s="19">
        <v>0</v>
      </c>
      <c r="X143" s="19">
        <v>0</v>
      </c>
      <c r="Y143" s="19">
        <v>9500</v>
      </c>
      <c r="Z143" s="19">
        <v>107200</v>
      </c>
      <c r="AA143" s="19">
        <v>0</v>
      </c>
      <c r="AB143" s="19">
        <v>0</v>
      </c>
      <c r="AC143" s="19">
        <v>738100</v>
      </c>
      <c r="AD143" s="19">
        <v>2876420</v>
      </c>
      <c r="AE143" s="19">
        <v>2009000</v>
      </c>
      <c r="AF143" s="19">
        <v>0</v>
      </c>
      <c r="AG143" s="19">
        <v>0</v>
      </c>
      <c r="AH143" s="19">
        <v>0</v>
      </c>
      <c r="AI143" s="19">
        <v>11400</v>
      </c>
      <c r="AJ143" s="19">
        <v>117920</v>
      </c>
      <c r="AK143" s="19">
        <v>0</v>
      </c>
      <c r="AL143" s="19">
        <v>0</v>
      </c>
      <c r="AM143" s="19">
        <v>738100</v>
      </c>
      <c r="AN143" s="19">
        <v>1582031</v>
      </c>
      <c r="AO143" s="19">
        <v>0</v>
      </c>
      <c r="AP143" s="19">
        <v>1582031</v>
      </c>
    </row>
    <row r="144" spans="1:42" s="17" customFormat="1" x14ac:dyDescent="0.4">
      <c r="A144" s="18" t="s">
        <v>48</v>
      </c>
      <c r="B144" s="18" t="s">
        <v>83</v>
      </c>
      <c r="C144" s="18" t="s">
        <v>84</v>
      </c>
      <c r="D144" s="18" t="s">
        <v>85</v>
      </c>
      <c r="E144" s="18" t="s">
        <v>86</v>
      </c>
      <c r="F144" s="18" t="s">
        <v>49</v>
      </c>
      <c r="G144" s="18" t="s">
        <v>20</v>
      </c>
      <c r="H144" s="18" t="s">
        <v>21</v>
      </c>
      <c r="I144" s="18" t="s">
        <v>22</v>
      </c>
      <c r="J144" s="18">
        <v>58194218</v>
      </c>
      <c r="K144" s="18" t="s">
        <v>130</v>
      </c>
      <c r="L144" s="18"/>
      <c r="M144" s="18"/>
      <c r="N144" s="18" t="s">
        <v>131</v>
      </c>
      <c r="O144" s="18" t="s">
        <v>23</v>
      </c>
      <c r="P144" s="18">
        <v>0.55000000000000004</v>
      </c>
      <c r="Q144" s="18">
        <v>0.55000000000000004</v>
      </c>
      <c r="R144" s="19" t="s">
        <v>25</v>
      </c>
      <c r="S144" s="19">
        <v>100</v>
      </c>
      <c r="T144" s="19">
        <v>145200</v>
      </c>
      <c r="U144" s="19">
        <v>132050</v>
      </c>
      <c r="V144" s="19">
        <v>0</v>
      </c>
      <c r="W144" s="19">
        <v>0</v>
      </c>
      <c r="X144" s="19">
        <v>0</v>
      </c>
      <c r="Y144" s="19">
        <v>0</v>
      </c>
      <c r="Z144" s="19">
        <v>0</v>
      </c>
      <c r="AA144" s="19">
        <v>0</v>
      </c>
      <c r="AB144" s="19">
        <v>0</v>
      </c>
      <c r="AC144" s="19">
        <v>13150</v>
      </c>
      <c r="AD144" s="19">
        <v>145200</v>
      </c>
      <c r="AE144" s="19">
        <v>132050</v>
      </c>
      <c r="AF144" s="19">
        <v>0</v>
      </c>
      <c r="AG144" s="19">
        <v>0</v>
      </c>
      <c r="AH144" s="19">
        <v>0</v>
      </c>
      <c r="AI144" s="19">
        <v>0</v>
      </c>
      <c r="AJ144" s="19">
        <v>0</v>
      </c>
      <c r="AK144" s="19">
        <v>0</v>
      </c>
      <c r="AL144" s="19">
        <v>0</v>
      </c>
      <c r="AM144" s="19">
        <v>13150</v>
      </c>
      <c r="AN144" s="19">
        <v>79860</v>
      </c>
      <c r="AO144" s="19">
        <v>0</v>
      </c>
      <c r="AP144" s="19">
        <v>79860</v>
      </c>
    </row>
    <row r="145" spans="1:42" s="17" customFormat="1" x14ac:dyDescent="0.4">
      <c r="A145" s="18" t="s">
        <v>48</v>
      </c>
      <c r="B145" s="18" t="s">
        <v>83</v>
      </c>
      <c r="C145" s="18" t="s">
        <v>84</v>
      </c>
      <c r="D145" s="18" t="s">
        <v>85</v>
      </c>
      <c r="E145" s="18" t="s">
        <v>86</v>
      </c>
      <c r="F145" s="18" t="s">
        <v>49</v>
      </c>
      <c r="G145" s="18" t="s">
        <v>20</v>
      </c>
      <c r="H145" s="18" t="s">
        <v>21</v>
      </c>
      <c r="I145" s="18" t="s">
        <v>22</v>
      </c>
      <c r="J145" s="18">
        <v>58436496</v>
      </c>
      <c r="K145" s="18" t="s">
        <v>137</v>
      </c>
      <c r="L145" s="18"/>
      <c r="M145" s="18"/>
      <c r="N145" s="18" t="s">
        <v>138</v>
      </c>
      <c r="O145" s="18" t="s">
        <v>23</v>
      </c>
      <c r="P145" s="18">
        <v>0.55000000000000004</v>
      </c>
      <c r="Q145" s="18">
        <v>0.55000000000000004</v>
      </c>
      <c r="R145" s="19" t="s">
        <v>139</v>
      </c>
      <c r="S145" s="19">
        <v>100</v>
      </c>
      <c r="T145" s="19">
        <v>1353300</v>
      </c>
      <c r="U145" s="19">
        <v>1038200</v>
      </c>
      <c r="V145" s="19">
        <v>0</v>
      </c>
      <c r="W145" s="19">
        <v>0</v>
      </c>
      <c r="X145" s="19">
        <v>0</v>
      </c>
      <c r="Y145" s="19">
        <v>10200</v>
      </c>
      <c r="Z145" s="19">
        <v>77450</v>
      </c>
      <c r="AA145" s="19">
        <v>0</v>
      </c>
      <c r="AB145" s="19">
        <v>0</v>
      </c>
      <c r="AC145" s="19">
        <v>227450</v>
      </c>
      <c r="AD145" s="19">
        <v>1363085</v>
      </c>
      <c r="AE145" s="19">
        <v>1038200</v>
      </c>
      <c r="AF145" s="19">
        <v>0</v>
      </c>
      <c r="AG145" s="19">
        <v>0</v>
      </c>
      <c r="AH145" s="19">
        <v>0</v>
      </c>
      <c r="AI145" s="19">
        <v>12240</v>
      </c>
      <c r="AJ145" s="19">
        <v>85195</v>
      </c>
      <c r="AK145" s="19">
        <v>0</v>
      </c>
      <c r="AL145" s="19">
        <v>0</v>
      </c>
      <c r="AM145" s="19">
        <v>227450</v>
      </c>
      <c r="AN145" s="19">
        <v>749697</v>
      </c>
      <c r="AO145" s="19">
        <v>0</v>
      </c>
      <c r="AP145" s="19">
        <v>749697</v>
      </c>
    </row>
    <row r="146" spans="1:42" s="17" customFormat="1" x14ac:dyDescent="0.4">
      <c r="A146" s="18" t="s">
        <v>48</v>
      </c>
      <c r="B146" s="18" t="s">
        <v>83</v>
      </c>
      <c r="C146" s="18" t="s">
        <v>84</v>
      </c>
      <c r="D146" s="18" t="s">
        <v>85</v>
      </c>
      <c r="E146" s="18" t="s">
        <v>86</v>
      </c>
      <c r="F146" s="18" t="s">
        <v>49</v>
      </c>
      <c r="G146" s="18" t="s">
        <v>20</v>
      </c>
      <c r="H146" s="18" t="s">
        <v>21</v>
      </c>
      <c r="I146" s="18" t="s">
        <v>22</v>
      </c>
      <c r="J146" s="18">
        <v>58523432</v>
      </c>
      <c r="K146" s="18" t="s">
        <v>140</v>
      </c>
      <c r="L146" s="18"/>
      <c r="M146" s="18"/>
      <c r="N146" s="18" t="s">
        <v>64</v>
      </c>
      <c r="O146" s="18" t="s">
        <v>23</v>
      </c>
      <c r="P146" s="18">
        <v>0.55000000000000004</v>
      </c>
      <c r="Q146" s="18">
        <v>0.55000000000000004</v>
      </c>
      <c r="R146" s="19" t="s">
        <v>25</v>
      </c>
      <c r="S146" s="19">
        <v>100</v>
      </c>
      <c r="T146" s="19">
        <v>14209100</v>
      </c>
      <c r="U146" s="19">
        <v>2536200</v>
      </c>
      <c r="V146" s="19">
        <v>0</v>
      </c>
      <c r="W146" s="19">
        <v>0</v>
      </c>
      <c r="X146" s="19">
        <v>200</v>
      </c>
      <c r="Y146" s="19">
        <v>30300</v>
      </c>
      <c r="Z146" s="19">
        <v>66500</v>
      </c>
      <c r="AA146" s="19">
        <v>0</v>
      </c>
      <c r="AB146" s="19">
        <v>0</v>
      </c>
      <c r="AC146" s="19">
        <v>11575900</v>
      </c>
      <c r="AD146" s="19">
        <v>14221870.294199999</v>
      </c>
      <c r="AE146" s="19">
        <v>2536200</v>
      </c>
      <c r="AF146" s="19">
        <v>0</v>
      </c>
      <c r="AG146" s="19">
        <v>0</v>
      </c>
      <c r="AH146" s="19">
        <v>260.29419999999999</v>
      </c>
      <c r="AI146" s="19">
        <v>36360</v>
      </c>
      <c r="AJ146" s="19">
        <v>73150</v>
      </c>
      <c r="AK146" s="19">
        <v>0</v>
      </c>
      <c r="AL146" s="19">
        <v>0</v>
      </c>
      <c r="AM146" s="19">
        <v>11575900</v>
      </c>
      <c r="AN146" s="19">
        <v>7822029</v>
      </c>
      <c r="AO146" s="19">
        <v>0</v>
      </c>
      <c r="AP146" s="19">
        <v>7822029</v>
      </c>
    </row>
    <row r="147" spans="1:42" s="17" customFormat="1" x14ac:dyDescent="0.4">
      <c r="A147" s="18" t="s">
        <v>48</v>
      </c>
      <c r="B147" s="18" t="s">
        <v>83</v>
      </c>
      <c r="C147" s="18" t="s">
        <v>84</v>
      </c>
      <c r="D147" s="18" t="s">
        <v>85</v>
      </c>
      <c r="E147" s="18" t="s">
        <v>86</v>
      </c>
      <c r="F147" s="18" t="s">
        <v>49</v>
      </c>
      <c r="G147" s="18" t="s">
        <v>20</v>
      </c>
      <c r="H147" s="18" t="s">
        <v>21</v>
      </c>
      <c r="I147" s="18" t="s">
        <v>22</v>
      </c>
      <c r="J147" s="18">
        <v>58523432</v>
      </c>
      <c r="K147" s="18" t="s">
        <v>140</v>
      </c>
      <c r="L147" s="18"/>
      <c r="M147" s="18"/>
      <c r="N147" s="18" t="s">
        <v>64</v>
      </c>
      <c r="O147" s="18" t="s">
        <v>23</v>
      </c>
      <c r="P147" s="18">
        <v>0.55000000000000004</v>
      </c>
      <c r="Q147" s="18">
        <v>0.55000000000000004</v>
      </c>
      <c r="R147" s="19" t="s">
        <v>24</v>
      </c>
      <c r="S147" s="19">
        <v>2400</v>
      </c>
      <c r="T147" s="19">
        <v>7859500</v>
      </c>
      <c r="U147" s="19">
        <v>5407030</v>
      </c>
      <c r="V147" s="19">
        <v>0</v>
      </c>
      <c r="W147" s="19">
        <v>0</v>
      </c>
      <c r="X147" s="19">
        <v>2400</v>
      </c>
      <c r="Y147" s="19">
        <v>20420</v>
      </c>
      <c r="Z147" s="19">
        <v>145800</v>
      </c>
      <c r="AA147" s="19">
        <v>0</v>
      </c>
      <c r="AB147" s="19">
        <v>0</v>
      </c>
      <c r="AC147" s="19">
        <v>2283850</v>
      </c>
      <c r="AD147" s="19">
        <v>7878887.5301999999</v>
      </c>
      <c r="AE147" s="19">
        <v>5407030</v>
      </c>
      <c r="AF147" s="19">
        <v>0</v>
      </c>
      <c r="AG147" s="19">
        <v>0</v>
      </c>
      <c r="AH147" s="19">
        <v>3123.5302000000001</v>
      </c>
      <c r="AI147" s="19">
        <v>24504</v>
      </c>
      <c r="AJ147" s="19">
        <v>160380</v>
      </c>
      <c r="AK147" s="19">
        <v>0</v>
      </c>
      <c r="AL147" s="19">
        <v>0</v>
      </c>
      <c r="AM147" s="19">
        <v>2283850</v>
      </c>
      <c r="AN147" s="19">
        <v>4333388</v>
      </c>
      <c r="AO147" s="19">
        <v>0</v>
      </c>
      <c r="AP147" s="19">
        <v>4333388</v>
      </c>
    </row>
    <row r="148" spans="1:42" s="17" customFormat="1" x14ac:dyDescent="0.4">
      <c r="A148" s="18" t="s">
        <v>48</v>
      </c>
      <c r="B148" s="18" t="s">
        <v>83</v>
      </c>
      <c r="C148" s="18" t="s">
        <v>84</v>
      </c>
      <c r="D148" s="18" t="s">
        <v>85</v>
      </c>
      <c r="E148" s="18" t="s">
        <v>86</v>
      </c>
      <c r="F148" s="18" t="s">
        <v>49</v>
      </c>
      <c r="G148" s="18" t="s">
        <v>20</v>
      </c>
      <c r="H148" s="18" t="s">
        <v>21</v>
      </c>
      <c r="I148" s="18" t="s">
        <v>22</v>
      </c>
      <c r="J148" s="18">
        <v>58523432</v>
      </c>
      <c r="K148" s="18" t="s">
        <v>140</v>
      </c>
      <c r="L148" s="18"/>
      <c r="M148" s="18"/>
      <c r="N148" s="18" t="s">
        <v>64</v>
      </c>
      <c r="O148" s="18" t="s">
        <v>23</v>
      </c>
      <c r="P148" s="18">
        <v>0.55000000000000004</v>
      </c>
      <c r="Q148" s="18">
        <v>0.55000000000000004</v>
      </c>
      <c r="R148" s="19" t="s">
        <v>24</v>
      </c>
      <c r="S148" s="19">
        <v>4700</v>
      </c>
      <c r="T148" s="19">
        <v>6241000</v>
      </c>
      <c r="U148" s="19">
        <v>5020840</v>
      </c>
      <c r="V148" s="19">
        <v>0</v>
      </c>
      <c r="W148" s="19">
        <v>0</v>
      </c>
      <c r="X148" s="19">
        <v>50</v>
      </c>
      <c r="Y148" s="19">
        <v>11600</v>
      </c>
      <c r="Z148" s="19">
        <v>119910</v>
      </c>
      <c r="AA148" s="19">
        <v>0</v>
      </c>
      <c r="AB148" s="19">
        <v>0</v>
      </c>
      <c r="AC148" s="19">
        <v>1088600</v>
      </c>
      <c r="AD148" s="19">
        <v>6255326.0734999999</v>
      </c>
      <c r="AE148" s="19">
        <v>5020840</v>
      </c>
      <c r="AF148" s="19">
        <v>0</v>
      </c>
      <c r="AG148" s="19">
        <v>0</v>
      </c>
      <c r="AH148" s="19">
        <v>65.073499999999996</v>
      </c>
      <c r="AI148" s="19">
        <v>13920</v>
      </c>
      <c r="AJ148" s="19">
        <v>131901</v>
      </c>
      <c r="AK148" s="19">
        <v>0</v>
      </c>
      <c r="AL148" s="19">
        <v>0</v>
      </c>
      <c r="AM148" s="19">
        <v>1088600</v>
      </c>
      <c r="AN148" s="19">
        <v>3440429</v>
      </c>
      <c r="AO148" s="19">
        <v>0</v>
      </c>
      <c r="AP148" s="19">
        <v>3440429</v>
      </c>
    </row>
    <row r="149" spans="1:42" s="17" customFormat="1" x14ac:dyDescent="0.4">
      <c r="A149" s="18" t="s">
        <v>48</v>
      </c>
      <c r="B149" s="18" t="s">
        <v>83</v>
      </c>
      <c r="C149" s="18" t="s">
        <v>84</v>
      </c>
      <c r="D149" s="18" t="s">
        <v>85</v>
      </c>
      <c r="E149" s="18" t="s">
        <v>86</v>
      </c>
      <c r="F149" s="18" t="s">
        <v>49</v>
      </c>
      <c r="G149" s="18" t="s">
        <v>20</v>
      </c>
      <c r="H149" s="18" t="s">
        <v>21</v>
      </c>
      <c r="I149" s="18" t="s">
        <v>22</v>
      </c>
      <c r="J149" s="18">
        <v>58523432</v>
      </c>
      <c r="K149" s="18" t="s">
        <v>140</v>
      </c>
      <c r="L149" s="18"/>
      <c r="M149" s="18"/>
      <c r="N149" s="18" t="s">
        <v>64</v>
      </c>
      <c r="O149" s="18" t="s">
        <v>23</v>
      </c>
      <c r="P149" s="18">
        <v>0.55000000000000004</v>
      </c>
      <c r="Q149" s="18">
        <v>0.55000000000000004</v>
      </c>
      <c r="R149" s="19" t="s">
        <v>24</v>
      </c>
      <c r="S149" s="19">
        <v>9200</v>
      </c>
      <c r="T149" s="19">
        <v>6769700</v>
      </c>
      <c r="U149" s="19">
        <v>5678010</v>
      </c>
      <c r="V149" s="19">
        <v>0</v>
      </c>
      <c r="W149" s="19">
        <v>0</v>
      </c>
      <c r="X149" s="19">
        <v>0</v>
      </c>
      <c r="Y149" s="19">
        <v>35730</v>
      </c>
      <c r="Z149" s="19">
        <v>251710</v>
      </c>
      <c r="AA149" s="19">
        <v>0</v>
      </c>
      <c r="AB149" s="19">
        <v>0</v>
      </c>
      <c r="AC149" s="19">
        <v>804250</v>
      </c>
      <c r="AD149" s="19">
        <v>6802017</v>
      </c>
      <c r="AE149" s="19">
        <v>5678010</v>
      </c>
      <c r="AF149" s="19">
        <v>0</v>
      </c>
      <c r="AG149" s="19">
        <v>0</v>
      </c>
      <c r="AH149" s="19">
        <v>0</v>
      </c>
      <c r="AI149" s="19">
        <v>42876</v>
      </c>
      <c r="AJ149" s="19">
        <v>276881</v>
      </c>
      <c r="AK149" s="19">
        <v>0</v>
      </c>
      <c r="AL149" s="19">
        <v>0</v>
      </c>
      <c r="AM149" s="19">
        <v>804250</v>
      </c>
      <c r="AN149" s="19">
        <v>3741109</v>
      </c>
      <c r="AO149" s="19">
        <v>0</v>
      </c>
      <c r="AP149" s="19">
        <v>3741109</v>
      </c>
    </row>
    <row r="150" spans="1:42" s="17" customFormat="1" x14ac:dyDescent="0.4">
      <c r="A150" s="18" t="s">
        <v>48</v>
      </c>
      <c r="B150" s="18" t="s">
        <v>83</v>
      </c>
      <c r="C150" s="18" t="s">
        <v>84</v>
      </c>
      <c r="D150" s="18" t="s">
        <v>85</v>
      </c>
      <c r="E150" s="18" t="s">
        <v>86</v>
      </c>
      <c r="F150" s="18" t="s">
        <v>49</v>
      </c>
      <c r="G150" s="18" t="s">
        <v>20</v>
      </c>
      <c r="H150" s="18" t="s">
        <v>21</v>
      </c>
      <c r="I150" s="18" t="s">
        <v>22</v>
      </c>
      <c r="J150" s="18">
        <v>58575247</v>
      </c>
      <c r="K150" s="18" t="s">
        <v>147</v>
      </c>
      <c r="L150" s="18"/>
      <c r="M150" s="18"/>
      <c r="N150" s="18" t="s">
        <v>148</v>
      </c>
      <c r="O150" s="18" t="s">
        <v>23</v>
      </c>
      <c r="P150" s="18">
        <v>0.55000000000000004</v>
      </c>
      <c r="Q150" s="18">
        <v>0.55000000000000004</v>
      </c>
      <c r="R150" s="19" t="s">
        <v>25</v>
      </c>
      <c r="S150" s="19">
        <v>100</v>
      </c>
      <c r="T150" s="19">
        <v>186900</v>
      </c>
      <c r="U150" s="19">
        <v>130600</v>
      </c>
      <c r="V150" s="19">
        <v>0</v>
      </c>
      <c r="W150" s="19">
        <v>0</v>
      </c>
      <c r="X150" s="19">
        <v>0</v>
      </c>
      <c r="Y150" s="19">
        <v>2800</v>
      </c>
      <c r="Z150" s="19">
        <v>3100</v>
      </c>
      <c r="AA150" s="19">
        <v>0</v>
      </c>
      <c r="AB150" s="19">
        <v>0</v>
      </c>
      <c r="AC150" s="19">
        <v>50400</v>
      </c>
      <c r="AD150" s="19">
        <v>187770</v>
      </c>
      <c r="AE150" s="19">
        <v>130600</v>
      </c>
      <c r="AF150" s="19">
        <v>0</v>
      </c>
      <c r="AG150" s="19">
        <v>0</v>
      </c>
      <c r="AH150" s="19">
        <v>0</v>
      </c>
      <c r="AI150" s="19">
        <v>3360</v>
      </c>
      <c r="AJ150" s="19">
        <v>3410</v>
      </c>
      <c r="AK150" s="19">
        <v>0</v>
      </c>
      <c r="AL150" s="19">
        <v>0</v>
      </c>
      <c r="AM150" s="19">
        <v>50400</v>
      </c>
      <c r="AN150" s="19">
        <v>103274</v>
      </c>
      <c r="AO150" s="19">
        <v>0</v>
      </c>
      <c r="AP150" s="19">
        <v>103274</v>
      </c>
    </row>
    <row r="151" spans="1:42" s="17" customFormat="1" x14ac:dyDescent="0.4">
      <c r="A151" s="18" t="s">
        <v>48</v>
      </c>
      <c r="B151" s="18" t="s">
        <v>83</v>
      </c>
      <c r="C151" s="18" t="s">
        <v>84</v>
      </c>
      <c r="D151" s="18" t="s">
        <v>85</v>
      </c>
      <c r="E151" s="18" t="s">
        <v>86</v>
      </c>
      <c r="F151" s="18" t="s">
        <v>49</v>
      </c>
      <c r="G151" s="18" t="s">
        <v>20</v>
      </c>
      <c r="H151" s="18" t="s">
        <v>21</v>
      </c>
      <c r="I151" s="18" t="s">
        <v>22</v>
      </c>
      <c r="J151" s="18">
        <v>58575247</v>
      </c>
      <c r="K151" s="18" t="s">
        <v>147</v>
      </c>
      <c r="L151" s="18"/>
      <c r="M151" s="18"/>
      <c r="N151" s="18" t="s">
        <v>148</v>
      </c>
      <c r="O151" s="18" t="s">
        <v>23</v>
      </c>
      <c r="P151" s="18">
        <v>0.55000000000000004</v>
      </c>
      <c r="Q151" s="18">
        <v>0.55000000000000004</v>
      </c>
      <c r="R151" s="19" t="s">
        <v>24</v>
      </c>
      <c r="S151" s="19">
        <v>2400</v>
      </c>
      <c r="T151" s="19">
        <v>12000</v>
      </c>
      <c r="U151" s="19">
        <v>9600</v>
      </c>
      <c r="V151" s="19">
        <v>0</v>
      </c>
      <c r="W151" s="19">
        <v>0</v>
      </c>
      <c r="X151" s="19">
        <v>0</v>
      </c>
      <c r="Y151" s="19">
        <v>0</v>
      </c>
      <c r="Z151" s="19">
        <v>2400</v>
      </c>
      <c r="AA151" s="19">
        <v>0</v>
      </c>
      <c r="AB151" s="19">
        <v>0</v>
      </c>
      <c r="AC151" s="19">
        <v>0</v>
      </c>
      <c r="AD151" s="19">
        <v>12240</v>
      </c>
      <c r="AE151" s="19">
        <v>9600</v>
      </c>
      <c r="AF151" s="19">
        <v>0</v>
      </c>
      <c r="AG151" s="19">
        <v>0</v>
      </c>
      <c r="AH151" s="19">
        <v>0</v>
      </c>
      <c r="AI151" s="19">
        <v>0</v>
      </c>
      <c r="AJ151" s="19">
        <v>2640</v>
      </c>
      <c r="AK151" s="19">
        <v>0</v>
      </c>
      <c r="AL151" s="19">
        <v>0</v>
      </c>
      <c r="AM151" s="19">
        <v>0</v>
      </c>
      <c r="AN151" s="19">
        <v>6732</v>
      </c>
      <c r="AO151" s="19">
        <v>0</v>
      </c>
      <c r="AP151" s="19">
        <v>6732</v>
      </c>
    </row>
    <row r="152" spans="1:42" s="17" customFormat="1" x14ac:dyDescent="0.4">
      <c r="A152" s="18" t="s">
        <v>48</v>
      </c>
      <c r="B152" s="18" t="s">
        <v>83</v>
      </c>
      <c r="C152" s="18" t="s">
        <v>84</v>
      </c>
      <c r="D152" s="18" t="s">
        <v>85</v>
      </c>
      <c r="E152" s="18" t="s">
        <v>86</v>
      </c>
      <c r="F152" s="18" t="s">
        <v>49</v>
      </c>
      <c r="G152" s="18" t="s">
        <v>20</v>
      </c>
      <c r="H152" s="18" t="s">
        <v>21</v>
      </c>
      <c r="I152" s="18" t="s">
        <v>22</v>
      </c>
      <c r="J152" s="18">
        <v>58575247</v>
      </c>
      <c r="K152" s="18" t="s">
        <v>147</v>
      </c>
      <c r="L152" s="18"/>
      <c r="M152" s="18"/>
      <c r="N152" s="18" t="s">
        <v>148</v>
      </c>
      <c r="O152" s="18" t="s">
        <v>23</v>
      </c>
      <c r="P152" s="18">
        <v>0.55000000000000004</v>
      </c>
      <c r="Q152" s="18">
        <v>0.55000000000000004</v>
      </c>
      <c r="R152" s="19" t="s">
        <v>24</v>
      </c>
      <c r="S152" s="19">
        <v>4700</v>
      </c>
      <c r="T152" s="19">
        <v>4700</v>
      </c>
      <c r="U152" s="19">
        <v>4700</v>
      </c>
      <c r="V152" s="19">
        <v>0</v>
      </c>
      <c r="W152" s="19">
        <v>0</v>
      </c>
      <c r="X152" s="19">
        <v>0</v>
      </c>
      <c r="Y152" s="19">
        <v>0</v>
      </c>
      <c r="Z152" s="19">
        <v>0</v>
      </c>
      <c r="AA152" s="19">
        <v>0</v>
      </c>
      <c r="AB152" s="19">
        <v>0</v>
      </c>
      <c r="AC152" s="19">
        <v>0</v>
      </c>
      <c r="AD152" s="19">
        <v>4700</v>
      </c>
      <c r="AE152" s="19">
        <v>4700</v>
      </c>
      <c r="AF152" s="19">
        <v>0</v>
      </c>
      <c r="AG152" s="19">
        <v>0</v>
      </c>
      <c r="AH152" s="19">
        <v>0</v>
      </c>
      <c r="AI152" s="19">
        <v>0</v>
      </c>
      <c r="AJ152" s="19">
        <v>0</v>
      </c>
      <c r="AK152" s="19">
        <v>0</v>
      </c>
      <c r="AL152" s="19">
        <v>0</v>
      </c>
      <c r="AM152" s="19">
        <v>0</v>
      </c>
      <c r="AN152" s="19">
        <v>2585</v>
      </c>
      <c r="AO152" s="19">
        <v>0</v>
      </c>
      <c r="AP152" s="19">
        <v>2585</v>
      </c>
    </row>
    <row r="153" spans="1:42" s="17" customFormat="1" x14ac:dyDescent="0.4">
      <c r="A153" s="18" t="s">
        <v>48</v>
      </c>
      <c r="B153" s="18" t="s">
        <v>83</v>
      </c>
      <c r="C153" s="18" t="s">
        <v>84</v>
      </c>
      <c r="D153" s="18" t="s">
        <v>85</v>
      </c>
      <c r="E153" s="18" t="s">
        <v>86</v>
      </c>
      <c r="F153" s="18" t="s">
        <v>49</v>
      </c>
      <c r="G153" s="18" t="s">
        <v>20</v>
      </c>
      <c r="H153" s="18" t="s">
        <v>21</v>
      </c>
      <c r="I153" s="18" t="s">
        <v>22</v>
      </c>
      <c r="J153" s="18">
        <v>58669835</v>
      </c>
      <c r="K153" s="18" t="s">
        <v>149</v>
      </c>
      <c r="L153" s="18"/>
      <c r="M153" s="18"/>
      <c r="N153" s="18" t="s">
        <v>58</v>
      </c>
      <c r="O153" s="18" t="s">
        <v>23</v>
      </c>
      <c r="P153" s="18">
        <v>0.55000000000000004</v>
      </c>
      <c r="Q153" s="18">
        <v>0.55000000000000004</v>
      </c>
      <c r="R153" s="19" t="s">
        <v>25</v>
      </c>
      <c r="S153" s="19">
        <v>100</v>
      </c>
      <c r="T153" s="19">
        <v>278900</v>
      </c>
      <c r="U153" s="19">
        <v>205700</v>
      </c>
      <c r="V153" s="19">
        <v>0</v>
      </c>
      <c r="W153" s="19">
        <v>0</v>
      </c>
      <c r="X153" s="19">
        <v>0</v>
      </c>
      <c r="Y153" s="19">
        <v>9200</v>
      </c>
      <c r="Z153" s="19">
        <v>3700</v>
      </c>
      <c r="AA153" s="19">
        <v>0</v>
      </c>
      <c r="AB153" s="19">
        <v>0</v>
      </c>
      <c r="AC153" s="19">
        <v>60300</v>
      </c>
      <c r="AD153" s="19">
        <v>281110</v>
      </c>
      <c r="AE153" s="19">
        <v>205700</v>
      </c>
      <c r="AF153" s="19">
        <v>0</v>
      </c>
      <c r="AG153" s="19">
        <v>0</v>
      </c>
      <c r="AH153" s="19">
        <v>0</v>
      </c>
      <c r="AI153" s="19">
        <v>11040</v>
      </c>
      <c r="AJ153" s="19">
        <v>4070</v>
      </c>
      <c r="AK153" s="19">
        <v>0</v>
      </c>
      <c r="AL153" s="19">
        <v>0</v>
      </c>
      <c r="AM153" s="19">
        <v>60300</v>
      </c>
      <c r="AN153" s="19">
        <v>154611</v>
      </c>
      <c r="AO153" s="19">
        <v>0</v>
      </c>
      <c r="AP153" s="19">
        <v>154611</v>
      </c>
    </row>
    <row r="154" spans="1:42" s="17" customFormat="1" x14ac:dyDescent="0.4">
      <c r="A154" s="18" t="s">
        <v>48</v>
      </c>
      <c r="B154" s="18" t="s">
        <v>83</v>
      </c>
      <c r="C154" s="18" t="s">
        <v>84</v>
      </c>
      <c r="D154" s="18" t="s">
        <v>85</v>
      </c>
      <c r="E154" s="18" t="s">
        <v>86</v>
      </c>
      <c r="F154" s="18" t="s">
        <v>49</v>
      </c>
      <c r="G154" s="18" t="s">
        <v>20</v>
      </c>
      <c r="H154" s="18" t="s">
        <v>21</v>
      </c>
      <c r="I154" s="18" t="s">
        <v>22</v>
      </c>
      <c r="J154" s="18">
        <v>58669835</v>
      </c>
      <c r="K154" s="18" t="s">
        <v>149</v>
      </c>
      <c r="L154" s="18"/>
      <c r="M154" s="18"/>
      <c r="N154" s="18" t="s">
        <v>58</v>
      </c>
      <c r="O154" s="18" t="s">
        <v>23</v>
      </c>
      <c r="P154" s="18">
        <v>0.55000000000000004</v>
      </c>
      <c r="Q154" s="18">
        <v>0.55000000000000004</v>
      </c>
      <c r="R154" s="19" t="s">
        <v>24</v>
      </c>
      <c r="S154" s="19">
        <v>2400</v>
      </c>
      <c r="T154" s="19">
        <v>165000</v>
      </c>
      <c r="U154" s="19">
        <v>164600</v>
      </c>
      <c r="V154" s="19">
        <v>0</v>
      </c>
      <c r="W154" s="19">
        <v>0</v>
      </c>
      <c r="X154" s="19">
        <v>0</v>
      </c>
      <c r="Y154" s="19">
        <v>0</v>
      </c>
      <c r="Z154" s="19">
        <v>0</v>
      </c>
      <c r="AA154" s="19">
        <v>0</v>
      </c>
      <c r="AB154" s="19">
        <v>0</v>
      </c>
      <c r="AC154" s="19">
        <v>400</v>
      </c>
      <c r="AD154" s="19">
        <v>165000</v>
      </c>
      <c r="AE154" s="19">
        <v>164600</v>
      </c>
      <c r="AF154" s="19">
        <v>0</v>
      </c>
      <c r="AG154" s="19">
        <v>0</v>
      </c>
      <c r="AH154" s="19">
        <v>0</v>
      </c>
      <c r="AI154" s="19">
        <v>0</v>
      </c>
      <c r="AJ154" s="19">
        <v>0</v>
      </c>
      <c r="AK154" s="19">
        <v>0</v>
      </c>
      <c r="AL154" s="19">
        <v>0</v>
      </c>
      <c r="AM154" s="19">
        <v>400</v>
      </c>
      <c r="AN154" s="19">
        <v>90750</v>
      </c>
      <c r="AO154" s="19">
        <v>0</v>
      </c>
      <c r="AP154" s="19">
        <v>90750</v>
      </c>
    </row>
    <row r="155" spans="1:42" s="17" customFormat="1" x14ac:dyDescent="0.4">
      <c r="A155" s="18" t="s">
        <v>48</v>
      </c>
      <c r="B155" s="18" t="s">
        <v>83</v>
      </c>
      <c r="C155" s="18" t="s">
        <v>84</v>
      </c>
      <c r="D155" s="18" t="s">
        <v>85</v>
      </c>
      <c r="E155" s="18" t="s">
        <v>86</v>
      </c>
      <c r="F155" s="18" t="s">
        <v>49</v>
      </c>
      <c r="G155" s="18" t="s">
        <v>20</v>
      </c>
      <c r="H155" s="18" t="s">
        <v>21</v>
      </c>
      <c r="I155" s="18" t="s">
        <v>22</v>
      </c>
      <c r="J155" s="18">
        <v>58669835</v>
      </c>
      <c r="K155" s="18" t="s">
        <v>149</v>
      </c>
      <c r="L155" s="18"/>
      <c r="M155" s="18"/>
      <c r="N155" s="18" t="s">
        <v>58</v>
      </c>
      <c r="O155" s="18" t="s">
        <v>23</v>
      </c>
      <c r="P155" s="18">
        <v>0.55000000000000004</v>
      </c>
      <c r="Q155" s="18">
        <v>0.55000000000000004</v>
      </c>
      <c r="R155" s="19" t="s">
        <v>24</v>
      </c>
      <c r="S155" s="19">
        <v>4700</v>
      </c>
      <c r="T155" s="19">
        <v>41900</v>
      </c>
      <c r="U155" s="19">
        <v>40200</v>
      </c>
      <c r="V155" s="19">
        <v>0</v>
      </c>
      <c r="W155" s="19">
        <v>0</v>
      </c>
      <c r="X155" s="19">
        <v>0</v>
      </c>
      <c r="Y155" s="19">
        <v>0</v>
      </c>
      <c r="Z155" s="19">
        <v>0</v>
      </c>
      <c r="AA155" s="19">
        <v>0</v>
      </c>
      <c r="AB155" s="19">
        <v>0</v>
      </c>
      <c r="AC155" s="19">
        <v>1700</v>
      </c>
      <c r="AD155" s="19">
        <v>41900</v>
      </c>
      <c r="AE155" s="19">
        <v>40200</v>
      </c>
      <c r="AF155" s="19">
        <v>0</v>
      </c>
      <c r="AG155" s="19">
        <v>0</v>
      </c>
      <c r="AH155" s="19">
        <v>0</v>
      </c>
      <c r="AI155" s="19">
        <v>0</v>
      </c>
      <c r="AJ155" s="19">
        <v>0</v>
      </c>
      <c r="AK155" s="19">
        <v>0</v>
      </c>
      <c r="AL155" s="19">
        <v>0</v>
      </c>
      <c r="AM155" s="19">
        <v>1700</v>
      </c>
      <c r="AN155" s="19">
        <v>23045</v>
      </c>
      <c r="AO155" s="19">
        <v>0</v>
      </c>
      <c r="AP155" s="19">
        <v>23045</v>
      </c>
    </row>
    <row r="156" spans="1:42" s="17" customFormat="1" x14ac:dyDescent="0.4">
      <c r="A156" s="18" t="s">
        <v>48</v>
      </c>
      <c r="B156" s="18" t="s">
        <v>83</v>
      </c>
      <c r="C156" s="18" t="s">
        <v>84</v>
      </c>
      <c r="D156" s="18" t="s">
        <v>85</v>
      </c>
      <c r="E156" s="18" t="s">
        <v>86</v>
      </c>
      <c r="F156" s="18" t="s">
        <v>49</v>
      </c>
      <c r="G156" s="18" t="s">
        <v>20</v>
      </c>
      <c r="H156" s="18" t="s">
        <v>21</v>
      </c>
      <c r="I156" s="18" t="s">
        <v>22</v>
      </c>
      <c r="J156" s="18">
        <v>58669835</v>
      </c>
      <c r="K156" s="18" t="s">
        <v>149</v>
      </c>
      <c r="L156" s="18"/>
      <c r="M156" s="18"/>
      <c r="N156" s="18" t="s">
        <v>58</v>
      </c>
      <c r="O156" s="18" t="s">
        <v>23</v>
      </c>
      <c r="P156" s="18">
        <v>0.55000000000000004</v>
      </c>
      <c r="Q156" s="18">
        <v>0.55000000000000004</v>
      </c>
      <c r="R156" s="19" t="s">
        <v>24</v>
      </c>
      <c r="S156" s="19">
        <v>9200</v>
      </c>
      <c r="T156" s="19">
        <v>27600</v>
      </c>
      <c r="U156" s="19">
        <v>18300</v>
      </c>
      <c r="V156" s="19">
        <v>0</v>
      </c>
      <c r="W156" s="19">
        <v>0</v>
      </c>
      <c r="X156" s="19">
        <v>0</v>
      </c>
      <c r="Y156" s="19">
        <v>0</v>
      </c>
      <c r="Z156" s="19">
        <v>9200</v>
      </c>
      <c r="AA156" s="19">
        <v>0</v>
      </c>
      <c r="AB156" s="19">
        <v>0</v>
      </c>
      <c r="AC156" s="19">
        <v>100</v>
      </c>
      <c r="AD156" s="19">
        <v>28520</v>
      </c>
      <c r="AE156" s="19">
        <v>18300</v>
      </c>
      <c r="AF156" s="19">
        <v>0</v>
      </c>
      <c r="AG156" s="19">
        <v>0</v>
      </c>
      <c r="AH156" s="19">
        <v>0</v>
      </c>
      <c r="AI156" s="19">
        <v>0</v>
      </c>
      <c r="AJ156" s="19">
        <v>10120</v>
      </c>
      <c r="AK156" s="19">
        <v>0</v>
      </c>
      <c r="AL156" s="19">
        <v>0</v>
      </c>
      <c r="AM156" s="19">
        <v>100</v>
      </c>
      <c r="AN156" s="19">
        <v>15686</v>
      </c>
      <c r="AO156" s="19">
        <v>0</v>
      </c>
      <c r="AP156" s="19">
        <v>15686</v>
      </c>
    </row>
    <row r="157" spans="1:42" s="17" customFormat="1" x14ac:dyDescent="0.4">
      <c r="A157" s="18" t="s">
        <v>48</v>
      </c>
      <c r="B157" s="18" t="s">
        <v>83</v>
      </c>
      <c r="C157" s="18" t="s">
        <v>84</v>
      </c>
      <c r="D157" s="18" t="s">
        <v>85</v>
      </c>
      <c r="E157" s="18" t="s">
        <v>86</v>
      </c>
      <c r="F157" s="18" t="s">
        <v>49</v>
      </c>
      <c r="G157" s="18" t="s">
        <v>20</v>
      </c>
      <c r="H157" s="18" t="s">
        <v>21</v>
      </c>
      <c r="I157" s="18" t="s">
        <v>22</v>
      </c>
      <c r="J157" s="18">
        <v>58672980</v>
      </c>
      <c r="K157" s="18" t="s">
        <v>150</v>
      </c>
      <c r="L157" s="18"/>
      <c r="M157" s="18"/>
      <c r="N157" s="18" t="s">
        <v>131</v>
      </c>
      <c r="O157" s="18" t="s">
        <v>23</v>
      </c>
      <c r="P157" s="18">
        <v>0.55000000000000004</v>
      </c>
      <c r="Q157" s="18">
        <v>0.55000000000000004</v>
      </c>
      <c r="R157" s="19" t="s">
        <v>25</v>
      </c>
      <c r="S157" s="19">
        <v>100</v>
      </c>
      <c r="T157" s="19">
        <v>172400</v>
      </c>
      <c r="U157" s="19">
        <v>128100</v>
      </c>
      <c r="V157" s="19">
        <v>0</v>
      </c>
      <c r="W157" s="19">
        <v>0</v>
      </c>
      <c r="X157" s="19">
        <v>0</v>
      </c>
      <c r="Y157" s="19">
        <v>400</v>
      </c>
      <c r="Z157" s="19">
        <v>500</v>
      </c>
      <c r="AA157" s="19">
        <v>0</v>
      </c>
      <c r="AB157" s="19">
        <v>0</v>
      </c>
      <c r="AC157" s="19">
        <v>43400</v>
      </c>
      <c r="AD157" s="19">
        <v>172530</v>
      </c>
      <c r="AE157" s="19">
        <v>128100</v>
      </c>
      <c r="AF157" s="19">
        <v>0</v>
      </c>
      <c r="AG157" s="19">
        <v>0</v>
      </c>
      <c r="AH157" s="19">
        <v>0</v>
      </c>
      <c r="AI157" s="19">
        <v>480</v>
      </c>
      <c r="AJ157" s="19">
        <v>550</v>
      </c>
      <c r="AK157" s="19">
        <v>0</v>
      </c>
      <c r="AL157" s="19">
        <v>0</v>
      </c>
      <c r="AM157" s="19">
        <v>43400</v>
      </c>
      <c r="AN157" s="19">
        <v>94892</v>
      </c>
      <c r="AO157" s="19">
        <v>0</v>
      </c>
      <c r="AP157" s="19">
        <v>94892</v>
      </c>
    </row>
    <row r="158" spans="1:42" s="17" customFormat="1" x14ac:dyDescent="0.4">
      <c r="A158" s="18" t="s">
        <v>48</v>
      </c>
      <c r="B158" s="18" t="s">
        <v>83</v>
      </c>
      <c r="C158" s="18" t="s">
        <v>84</v>
      </c>
      <c r="D158" s="18" t="s">
        <v>85</v>
      </c>
      <c r="E158" s="18" t="s">
        <v>86</v>
      </c>
      <c r="F158" s="18" t="s">
        <v>49</v>
      </c>
      <c r="G158" s="18" t="s">
        <v>20</v>
      </c>
      <c r="H158" s="18" t="s">
        <v>21</v>
      </c>
      <c r="I158" s="18" t="s">
        <v>22</v>
      </c>
      <c r="J158" s="18">
        <v>58672980</v>
      </c>
      <c r="K158" s="18" t="s">
        <v>150</v>
      </c>
      <c r="L158" s="18"/>
      <c r="M158" s="18"/>
      <c r="N158" s="18" t="s">
        <v>131</v>
      </c>
      <c r="O158" s="18" t="s">
        <v>23</v>
      </c>
      <c r="P158" s="18">
        <v>0.55000000000000004</v>
      </c>
      <c r="Q158" s="18">
        <v>0.55000000000000004</v>
      </c>
      <c r="R158" s="19" t="s">
        <v>24</v>
      </c>
      <c r="S158" s="19">
        <v>2400</v>
      </c>
      <c r="T158" s="19">
        <v>129700</v>
      </c>
      <c r="U158" s="19">
        <v>120400</v>
      </c>
      <c r="V158" s="19">
        <v>0</v>
      </c>
      <c r="W158" s="19">
        <v>0</v>
      </c>
      <c r="X158" s="19">
        <v>0</v>
      </c>
      <c r="Y158" s="19">
        <v>0</v>
      </c>
      <c r="Z158" s="19">
        <v>2300</v>
      </c>
      <c r="AA158" s="19">
        <v>0</v>
      </c>
      <c r="AB158" s="19">
        <v>0</v>
      </c>
      <c r="AC158" s="19">
        <v>7000</v>
      </c>
      <c r="AD158" s="19">
        <v>129930</v>
      </c>
      <c r="AE158" s="19">
        <v>120400</v>
      </c>
      <c r="AF158" s="19">
        <v>0</v>
      </c>
      <c r="AG158" s="19">
        <v>0</v>
      </c>
      <c r="AH158" s="19">
        <v>0</v>
      </c>
      <c r="AI158" s="19">
        <v>0</v>
      </c>
      <c r="AJ158" s="19">
        <v>2530</v>
      </c>
      <c r="AK158" s="19">
        <v>0</v>
      </c>
      <c r="AL158" s="19">
        <v>0</v>
      </c>
      <c r="AM158" s="19">
        <v>7000</v>
      </c>
      <c r="AN158" s="19">
        <v>71462</v>
      </c>
      <c r="AO158" s="19">
        <v>0</v>
      </c>
      <c r="AP158" s="19">
        <v>71462</v>
      </c>
    </row>
    <row r="159" spans="1:42" s="17" customFormat="1" x14ac:dyDescent="0.4">
      <c r="A159" s="18" t="s">
        <v>48</v>
      </c>
      <c r="B159" s="18" t="s">
        <v>83</v>
      </c>
      <c r="C159" s="18" t="s">
        <v>84</v>
      </c>
      <c r="D159" s="18" t="s">
        <v>85</v>
      </c>
      <c r="E159" s="18" t="s">
        <v>86</v>
      </c>
      <c r="F159" s="18" t="s">
        <v>49</v>
      </c>
      <c r="G159" s="18" t="s">
        <v>20</v>
      </c>
      <c r="H159" s="18" t="s">
        <v>21</v>
      </c>
      <c r="I159" s="18" t="s">
        <v>22</v>
      </c>
      <c r="J159" s="18">
        <v>58672980</v>
      </c>
      <c r="K159" s="18" t="s">
        <v>150</v>
      </c>
      <c r="L159" s="18"/>
      <c r="M159" s="18"/>
      <c r="N159" s="18" t="s">
        <v>131</v>
      </c>
      <c r="O159" s="18" t="s">
        <v>23</v>
      </c>
      <c r="P159" s="18">
        <v>0.55000000000000004</v>
      </c>
      <c r="Q159" s="18">
        <v>0.55000000000000004</v>
      </c>
      <c r="R159" s="19" t="s">
        <v>24</v>
      </c>
      <c r="S159" s="19">
        <v>4700</v>
      </c>
      <c r="T159" s="19">
        <v>103500</v>
      </c>
      <c r="U159" s="19">
        <v>100500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 s="19">
        <v>3000</v>
      </c>
      <c r="AD159" s="19">
        <v>103500</v>
      </c>
      <c r="AE159" s="19">
        <v>100500</v>
      </c>
      <c r="AF159" s="19">
        <v>0</v>
      </c>
      <c r="AG159" s="19">
        <v>0</v>
      </c>
      <c r="AH159" s="19">
        <v>0</v>
      </c>
      <c r="AI159" s="19">
        <v>0</v>
      </c>
      <c r="AJ159" s="19">
        <v>0</v>
      </c>
      <c r="AK159" s="19">
        <v>0</v>
      </c>
      <c r="AL159" s="19">
        <v>0</v>
      </c>
      <c r="AM159" s="19">
        <v>3000</v>
      </c>
      <c r="AN159" s="19">
        <v>56925</v>
      </c>
      <c r="AO159" s="19">
        <v>0</v>
      </c>
      <c r="AP159" s="19">
        <v>56925</v>
      </c>
    </row>
    <row r="160" spans="1:42" s="17" customFormat="1" x14ac:dyDescent="0.4">
      <c r="A160" s="18" t="s">
        <v>48</v>
      </c>
      <c r="B160" s="18" t="s">
        <v>83</v>
      </c>
      <c r="C160" s="18" t="s">
        <v>84</v>
      </c>
      <c r="D160" s="18" t="s">
        <v>85</v>
      </c>
      <c r="E160" s="18" t="s">
        <v>86</v>
      </c>
      <c r="F160" s="18" t="s">
        <v>49</v>
      </c>
      <c r="G160" s="18" t="s">
        <v>20</v>
      </c>
      <c r="H160" s="18" t="s">
        <v>21</v>
      </c>
      <c r="I160" s="18" t="s">
        <v>22</v>
      </c>
      <c r="J160" s="18">
        <v>58672980</v>
      </c>
      <c r="K160" s="18" t="s">
        <v>150</v>
      </c>
      <c r="L160" s="18"/>
      <c r="M160" s="18"/>
      <c r="N160" s="18" t="s">
        <v>131</v>
      </c>
      <c r="O160" s="18" t="s">
        <v>23</v>
      </c>
      <c r="P160" s="18">
        <v>0.55000000000000004</v>
      </c>
      <c r="Q160" s="18">
        <v>0.55000000000000004</v>
      </c>
      <c r="R160" s="19" t="s">
        <v>24</v>
      </c>
      <c r="S160" s="19">
        <v>9200</v>
      </c>
      <c r="T160" s="19">
        <v>220800</v>
      </c>
      <c r="U160" s="19">
        <v>172700</v>
      </c>
      <c r="V160" s="19">
        <v>0</v>
      </c>
      <c r="W160" s="19">
        <v>0</v>
      </c>
      <c r="X160" s="19">
        <v>0</v>
      </c>
      <c r="Y160" s="19">
        <v>0</v>
      </c>
      <c r="Z160" s="19">
        <v>700</v>
      </c>
      <c r="AA160" s="19">
        <v>0</v>
      </c>
      <c r="AB160" s="19">
        <v>0</v>
      </c>
      <c r="AC160" s="19">
        <v>47400</v>
      </c>
      <c r="AD160" s="19">
        <v>220870</v>
      </c>
      <c r="AE160" s="19">
        <v>172700</v>
      </c>
      <c r="AF160" s="19">
        <v>0</v>
      </c>
      <c r="AG160" s="19">
        <v>0</v>
      </c>
      <c r="AH160" s="19">
        <v>0</v>
      </c>
      <c r="AI160" s="19">
        <v>0</v>
      </c>
      <c r="AJ160" s="19">
        <v>770</v>
      </c>
      <c r="AK160" s="19">
        <v>0</v>
      </c>
      <c r="AL160" s="19">
        <v>0</v>
      </c>
      <c r="AM160" s="19">
        <v>47400</v>
      </c>
      <c r="AN160" s="19">
        <v>121479</v>
      </c>
      <c r="AO160" s="19">
        <v>0</v>
      </c>
      <c r="AP160" s="19">
        <v>121479</v>
      </c>
    </row>
    <row r="161" spans="1:42" s="17" customFormat="1" x14ac:dyDescent="0.4">
      <c r="A161" s="18" t="s">
        <v>48</v>
      </c>
      <c r="B161" s="18" t="s">
        <v>87</v>
      </c>
      <c r="C161" s="18" t="s">
        <v>84</v>
      </c>
      <c r="D161" s="18" t="s">
        <v>87</v>
      </c>
      <c r="E161" s="18" t="s">
        <v>86</v>
      </c>
      <c r="F161" s="18" t="s">
        <v>49</v>
      </c>
      <c r="G161" s="18" t="s">
        <v>20</v>
      </c>
      <c r="H161" s="18" t="s">
        <v>21</v>
      </c>
      <c r="I161" s="18" t="s">
        <v>22</v>
      </c>
      <c r="J161" s="18">
        <v>50875968</v>
      </c>
      <c r="K161" s="18" t="s">
        <v>88</v>
      </c>
      <c r="L161" s="18"/>
      <c r="M161" s="18"/>
      <c r="N161" s="18" t="s">
        <v>89</v>
      </c>
      <c r="O161" s="18" t="s">
        <v>23</v>
      </c>
      <c r="P161" s="18">
        <v>0.55000000000000004</v>
      </c>
      <c r="Q161" s="18">
        <v>0.55000000000000004</v>
      </c>
      <c r="R161" s="19" t="s">
        <v>25</v>
      </c>
      <c r="S161" s="19">
        <v>100</v>
      </c>
      <c r="T161" s="19">
        <v>5862900</v>
      </c>
      <c r="U161" s="19">
        <v>986600</v>
      </c>
      <c r="V161" s="19">
        <v>0</v>
      </c>
      <c r="W161" s="19">
        <v>0</v>
      </c>
      <c r="X161" s="19">
        <v>0</v>
      </c>
      <c r="Y161" s="19">
        <v>59560</v>
      </c>
      <c r="Z161" s="19">
        <v>37790</v>
      </c>
      <c r="AA161" s="19">
        <v>0</v>
      </c>
      <c r="AB161" s="19">
        <v>0</v>
      </c>
      <c r="AC161" s="19">
        <v>4778950</v>
      </c>
      <c r="AD161" s="19">
        <v>5878591</v>
      </c>
      <c r="AE161" s="19">
        <v>986600</v>
      </c>
      <c r="AF161" s="19">
        <v>0</v>
      </c>
      <c r="AG161" s="19">
        <v>0</v>
      </c>
      <c r="AH161" s="19">
        <v>0</v>
      </c>
      <c r="AI161" s="19">
        <v>71472</v>
      </c>
      <c r="AJ161" s="19">
        <v>41569</v>
      </c>
      <c r="AK161" s="19">
        <v>0</v>
      </c>
      <c r="AL161" s="19">
        <v>0</v>
      </c>
      <c r="AM161" s="19">
        <v>4778950</v>
      </c>
      <c r="AN161" s="19">
        <v>3233225</v>
      </c>
      <c r="AO161" s="19">
        <v>0</v>
      </c>
      <c r="AP161" s="19">
        <v>3233225</v>
      </c>
    </row>
    <row r="162" spans="1:42" s="17" customFormat="1" x14ac:dyDescent="0.4">
      <c r="A162" s="18" t="s">
        <v>48</v>
      </c>
      <c r="B162" s="18" t="s">
        <v>87</v>
      </c>
      <c r="C162" s="18" t="s">
        <v>84</v>
      </c>
      <c r="D162" s="18" t="s">
        <v>87</v>
      </c>
      <c r="E162" s="18" t="s">
        <v>86</v>
      </c>
      <c r="F162" s="18" t="s">
        <v>49</v>
      </c>
      <c r="G162" s="18" t="s">
        <v>20</v>
      </c>
      <c r="H162" s="18" t="s">
        <v>21</v>
      </c>
      <c r="I162" s="18" t="s">
        <v>22</v>
      </c>
      <c r="J162" s="18">
        <v>50875968</v>
      </c>
      <c r="K162" s="18" t="s">
        <v>88</v>
      </c>
      <c r="L162" s="18"/>
      <c r="M162" s="18"/>
      <c r="N162" s="18" t="s">
        <v>89</v>
      </c>
      <c r="O162" s="18" t="s">
        <v>23</v>
      </c>
      <c r="P162" s="18">
        <v>0.55000000000000004</v>
      </c>
      <c r="Q162" s="18">
        <v>0.55000000000000004</v>
      </c>
      <c r="R162" s="19" t="s">
        <v>24</v>
      </c>
      <c r="S162" s="19">
        <v>2400</v>
      </c>
      <c r="T162" s="19">
        <v>2787200</v>
      </c>
      <c r="U162" s="19">
        <v>1769550</v>
      </c>
      <c r="V162" s="19">
        <v>0</v>
      </c>
      <c r="W162" s="19">
        <v>0</v>
      </c>
      <c r="X162" s="19">
        <v>0</v>
      </c>
      <c r="Y162" s="19">
        <v>11400</v>
      </c>
      <c r="Z162" s="19">
        <v>114050</v>
      </c>
      <c r="AA162" s="19">
        <v>0</v>
      </c>
      <c r="AB162" s="19">
        <v>0</v>
      </c>
      <c r="AC162" s="19">
        <v>892200</v>
      </c>
      <c r="AD162" s="19">
        <v>2800885</v>
      </c>
      <c r="AE162" s="19">
        <v>1769550</v>
      </c>
      <c r="AF162" s="19">
        <v>0</v>
      </c>
      <c r="AG162" s="19">
        <v>0</v>
      </c>
      <c r="AH162" s="19">
        <v>0</v>
      </c>
      <c r="AI162" s="19">
        <v>13680</v>
      </c>
      <c r="AJ162" s="19">
        <v>125455</v>
      </c>
      <c r="AK162" s="19">
        <v>0</v>
      </c>
      <c r="AL162" s="19">
        <v>0</v>
      </c>
      <c r="AM162" s="19">
        <v>892200</v>
      </c>
      <c r="AN162" s="19">
        <v>1540487</v>
      </c>
      <c r="AO162" s="19">
        <v>0</v>
      </c>
      <c r="AP162" s="19">
        <v>1540487</v>
      </c>
    </row>
    <row r="163" spans="1:42" s="17" customFormat="1" x14ac:dyDescent="0.4">
      <c r="A163" s="18" t="s">
        <v>48</v>
      </c>
      <c r="B163" s="18" t="s">
        <v>87</v>
      </c>
      <c r="C163" s="18" t="s">
        <v>84</v>
      </c>
      <c r="D163" s="18" t="s">
        <v>87</v>
      </c>
      <c r="E163" s="18" t="s">
        <v>86</v>
      </c>
      <c r="F163" s="18" t="s">
        <v>49</v>
      </c>
      <c r="G163" s="18" t="s">
        <v>20</v>
      </c>
      <c r="H163" s="18" t="s">
        <v>21</v>
      </c>
      <c r="I163" s="18" t="s">
        <v>22</v>
      </c>
      <c r="J163" s="18">
        <v>50875968</v>
      </c>
      <c r="K163" s="18" t="s">
        <v>88</v>
      </c>
      <c r="L163" s="18"/>
      <c r="M163" s="18"/>
      <c r="N163" s="18" t="s">
        <v>89</v>
      </c>
      <c r="O163" s="18" t="s">
        <v>23</v>
      </c>
      <c r="P163" s="18">
        <v>0.55000000000000004</v>
      </c>
      <c r="Q163" s="18">
        <v>0.55000000000000004</v>
      </c>
      <c r="R163" s="19" t="s">
        <v>24</v>
      </c>
      <c r="S163" s="19">
        <v>9200</v>
      </c>
      <c r="T163" s="19">
        <v>4363300</v>
      </c>
      <c r="U163" s="19">
        <v>3578040</v>
      </c>
      <c r="V163" s="19">
        <v>0</v>
      </c>
      <c r="W163" s="19">
        <v>0</v>
      </c>
      <c r="X163" s="19">
        <v>0</v>
      </c>
      <c r="Y163" s="19">
        <v>23000</v>
      </c>
      <c r="Z163" s="19">
        <v>244610</v>
      </c>
      <c r="AA163" s="19">
        <v>0</v>
      </c>
      <c r="AB163" s="19">
        <v>0</v>
      </c>
      <c r="AC163" s="19">
        <v>517650</v>
      </c>
      <c r="AD163" s="19">
        <v>4392361</v>
      </c>
      <c r="AE163" s="19">
        <v>3578040</v>
      </c>
      <c r="AF163" s="19">
        <v>0</v>
      </c>
      <c r="AG163" s="19">
        <v>0</v>
      </c>
      <c r="AH163" s="19">
        <v>0</v>
      </c>
      <c r="AI163" s="19">
        <v>27600</v>
      </c>
      <c r="AJ163" s="19">
        <v>269071</v>
      </c>
      <c r="AK163" s="19">
        <v>0</v>
      </c>
      <c r="AL163" s="19">
        <v>0</v>
      </c>
      <c r="AM163" s="19">
        <v>517650</v>
      </c>
      <c r="AN163" s="19">
        <v>2415799</v>
      </c>
      <c r="AO163" s="19">
        <v>0</v>
      </c>
      <c r="AP163" s="19">
        <v>2415799</v>
      </c>
    </row>
    <row r="164" spans="1:42" s="17" customFormat="1" x14ac:dyDescent="0.4">
      <c r="A164" s="18" t="s">
        <v>48</v>
      </c>
      <c r="B164" s="18" t="s">
        <v>87</v>
      </c>
      <c r="C164" s="18" t="s">
        <v>84</v>
      </c>
      <c r="D164" s="18" t="s">
        <v>87</v>
      </c>
      <c r="E164" s="18" t="s">
        <v>86</v>
      </c>
      <c r="F164" s="18" t="s">
        <v>49</v>
      </c>
      <c r="G164" s="18" t="s">
        <v>20</v>
      </c>
      <c r="H164" s="18" t="s">
        <v>21</v>
      </c>
      <c r="I164" s="18" t="s">
        <v>22</v>
      </c>
      <c r="J164" s="18">
        <v>50875968</v>
      </c>
      <c r="K164" s="18" t="s">
        <v>88</v>
      </c>
      <c r="L164" s="18"/>
      <c r="M164" s="18"/>
      <c r="N164" s="18" t="s">
        <v>89</v>
      </c>
      <c r="O164" s="18" t="s">
        <v>23</v>
      </c>
      <c r="P164" s="18">
        <v>0.55000000000000004</v>
      </c>
      <c r="Q164" s="18">
        <v>0.55000000000000004</v>
      </c>
      <c r="R164" s="19" t="s">
        <v>24</v>
      </c>
      <c r="S164" s="19">
        <v>18000</v>
      </c>
      <c r="T164" s="19">
        <v>6697800</v>
      </c>
      <c r="U164" s="19">
        <v>5961550</v>
      </c>
      <c r="V164" s="19">
        <v>0</v>
      </c>
      <c r="W164" s="19">
        <v>0</v>
      </c>
      <c r="X164" s="19">
        <v>0</v>
      </c>
      <c r="Y164" s="19">
        <v>12500</v>
      </c>
      <c r="Z164" s="19">
        <v>288800</v>
      </c>
      <c r="AA164" s="19">
        <v>0</v>
      </c>
      <c r="AB164" s="19">
        <v>0</v>
      </c>
      <c r="AC164" s="19">
        <v>434950</v>
      </c>
      <c r="AD164" s="19">
        <v>6729180</v>
      </c>
      <c r="AE164" s="19">
        <v>5961550</v>
      </c>
      <c r="AF164" s="19">
        <v>0</v>
      </c>
      <c r="AG164" s="19">
        <v>0</v>
      </c>
      <c r="AH164" s="19">
        <v>0</v>
      </c>
      <c r="AI164" s="19">
        <v>15000</v>
      </c>
      <c r="AJ164" s="19">
        <v>317680</v>
      </c>
      <c r="AK164" s="19">
        <v>0</v>
      </c>
      <c r="AL164" s="19">
        <v>0</v>
      </c>
      <c r="AM164" s="19">
        <v>434950</v>
      </c>
      <c r="AN164" s="19">
        <v>3701049</v>
      </c>
      <c r="AO164" s="19">
        <v>0</v>
      </c>
      <c r="AP164" s="19">
        <v>3701049</v>
      </c>
    </row>
    <row r="165" spans="1:42" s="17" customFormat="1" x14ac:dyDescent="0.4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7">
        <f>SUM(AP2:AP164)</f>
        <v>66477498</v>
      </c>
    </row>
    <row r="166" spans="1:42" s="17" customFormat="1" x14ac:dyDescent="0.4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 t="s">
        <v>119</v>
      </c>
      <c r="AO166" s="26"/>
      <c r="AP166" s="26">
        <f>SUMIF(N:N,"청빙",AP:AP)</f>
        <v>246202</v>
      </c>
    </row>
    <row r="167" spans="1:42" x14ac:dyDescent="0.4">
      <c r="AN167" s="17" t="s">
        <v>120</v>
      </c>
      <c r="AO167" s="17"/>
      <c r="AP167" s="15">
        <f>AP165-AP166</f>
        <v>66231296</v>
      </c>
    </row>
    <row r="168" spans="1:42" x14ac:dyDescent="0.4">
      <c r="A168" s="3" t="s">
        <v>109</v>
      </c>
      <c r="B168" s="4"/>
      <c r="C168" s="4"/>
      <c r="D168" s="5"/>
      <c r="AN168" s="17"/>
      <c r="AO168" s="17"/>
      <c r="AP168" s="17"/>
    </row>
    <row r="169" spans="1:42" x14ac:dyDescent="0.4">
      <c r="A169" s="6" t="s">
        <v>110</v>
      </c>
      <c r="B169" s="6" t="s">
        <v>111</v>
      </c>
      <c r="C169" s="6" t="s">
        <v>112</v>
      </c>
      <c r="D169" s="6" t="s">
        <v>113</v>
      </c>
      <c r="AN169" s="17"/>
      <c r="AO169" s="17"/>
      <c r="AP169" s="17"/>
    </row>
    <row r="170" spans="1:42" x14ac:dyDescent="0.4">
      <c r="A170" s="7">
        <v>201609</v>
      </c>
      <c r="B170" s="8">
        <v>30000000</v>
      </c>
      <c r="C170" s="9">
        <v>4844742.6500000004</v>
      </c>
      <c r="D170" s="10">
        <v>25155257.350000001</v>
      </c>
      <c r="AN170" s="17"/>
      <c r="AO170" s="17"/>
      <c r="AP170" s="17"/>
    </row>
    <row r="171" spans="1:42" x14ac:dyDescent="0.4">
      <c r="A171" s="7">
        <v>201610</v>
      </c>
      <c r="B171" s="11"/>
      <c r="C171" s="9">
        <v>9268344.3076949995</v>
      </c>
      <c r="D171" s="10">
        <v>15886913.042305002</v>
      </c>
    </row>
    <row r="172" spans="1:42" x14ac:dyDescent="0.4">
      <c r="A172" s="7">
        <v>201611</v>
      </c>
      <c r="B172" s="17"/>
      <c r="C172" s="9">
        <v>11457796.785050001</v>
      </c>
      <c r="D172" s="10">
        <v>4429116.257255001</v>
      </c>
      <c r="AP172" s="24"/>
    </row>
    <row r="173" spans="1:42" x14ac:dyDescent="0.4">
      <c r="A173" s="7">
        <v>201612</v>
      </c>
      <c r="B173" s="8">
        <v>30000000</v>
      </c>
      <c r="C173" s="9">
        <v>15054099.452095002</v>
      </c>
      <c r="D173" s="10">
        <v>19375016.805160001</v>
      </c>
      <c r="AP173" s="24"/>
    </row>
    <row r="174" spans="1:42" x14ac:dyDescent="0.4">
      <c r="A174" s="7">
        <v>201701</v>
      </c>
      <c r="B174" s="8">
        <v>50000000</v>
      </c>
      <c r="C174" s="9">
        <v>45015604.532800004</v>
      </c>
      <c r="D174" s="10">
        <v>24359412.272359997</v>
      </c>
    </row>
    <row r="175" spans="1:42" x14ac:dyDescent="0.4">
      <c r="A175" s="7">
        <v>201702</v>
      </c>
      <c r="B175" s="8">
        <v>100000000</v>
      </c>
      <c r="C175" s="9">
        <v>100014121.31007001</v>
      </c>
      <c r="D175" s="10">
        <v>24345290.962289989</v>
      </c>
    </row>
    <row r="176" spans="1:42" x14ac:dyDescent="0.4">
      <c r="A176" s="7">
        <v>201703</v>
      </c>
      <c r="B176" s="8">
        <v>100000000</v>
      </c>
      <c r="C176" s="9">
        <v>59580616.197355002</v>
      </c>
      <c r="D176" s="10">
        <v>64764674.764934987</v>
      </c>
    </row>
    <row r="177" spans="1:4" x14ac:dyDescent="0.4">
      <c r="A177" s="7">
        <v>201704</v>
      </c>
      <c r="B177" s="8">
        <v>100000000</v>
      </c>
      <c r="C177" s="9">
        <v>101684204.53389001</v>
      </c>
      <c r="D177" s="10">
        <v>63080470.231044978</v>
      </c>
    </row>
    <row r="178" spans="1:4" x14ac:dyDescent="0.4">
      <c r="A178" s="7">
        <v>201705</v>
      </c>
      <c r="B178" s="11"/>
      <c r="C178" s="9">
        <v>57316159.292645007</v>
      </c>
      <c r="D178" s="10">
        <v>5764310.9383999705</v>
      </c>
    </row>
    <row r="179" spans="1:4" x14ac:dyDescent="0.4">
      <c r="A179" s="7">
        <v>201706</v>
      </c>
      <c r="B179" s="8">
        <v>200000000</v>
      </c>
      <c r="C179" s="9">
        <v>57219440.285040006</v>
      </c>
      <c r="D179" s="10">
        <v>148544870.65335995</v>
      </c>
    </row>
    <row r="180" spans="1:4" x14ac:dyDescent="0.4">
      <c r="A180" s="7">
        <v>201707</v>
      </c>
      <c r="B180" s="8"/>
      <c r="C180" s="9">
        <v>75871675.908710018</v>
      </c>
      <c r="D180" s="10">
        <v>72673194.744649932</v>
      </c>
    </row>
    <row r="181" spans="1:4" x14ac:dyDescent="0.4">
      <c r="A181" s="7">
        <v>201708</v>
      </c>
      <c r="B181" s="11"/>
      <c r="C181" s="9">
        <v>66088399.419185005</v>
      </c>
      <c r="D181" s="10">
        <v>6584795.3254649267</v>
      </c>
    </row>
    <row r="182" spans="1:4" x14ac:dyDescent="0.4">
      <c r="A182" s="7">
        <v>201709</v>
      </c>
      <c r="B182" s="8">
        <v>200000000</v>
      </c>
      <c r="C182" s="9">
        <v>60112798.353960007</v>
      </c>
      <c r="D182" s="10">
        <v>146471996.97150493</v>
      </c>
    </row>
    <row r="183" spans="1:4" x14ac:dyDescent="0.4">
      <c r="A183" s="7">
        <v>201710</v>
      </c>
      <c r="B183" s="11"/>
      <c r="C183" s="9">
        <v>46894593.640950002</v>
      </c>
      <c r="D183" s="10">
        <v>99577403.330554932</v>
      </c>
    </row>
    <row r="184" spans="1:4" x14ac:dyDescent="0.4">
      <c r="A184" s="7">
        <v>201711</v>
      </c>
      <c r="B184" s="11"/>
      <c r="C184" s="9">
        <v>66024112.955900006</v>
      </c>
      <c r="D184" s="10">
        <v>33553290.374654926</v>
      </c>
    </row>
    <row r="185" spans="1:4" x14ac:dyDescent="0.4">
      <c r="A185" s="7">
        <v>201712</v>
      </c>
      <c r="B185" s="8">
        <v>200000000</v>
      </c>
      <c r="C185" s="9">
        <v>40631935.900930002</v>
      </c>
      <c r="D185" s="10">
        <v>192921354.4737249</v>
      </c>
    </row>
    <row r="186" spans="1:4" x14ac:dyDescent="0.4">
      <c r="A186" s="7">
        <v>201801</v>
      </c>
      <c r="B186" s="11"/>
      <c r="C186" s="9">
        <v>36581402.520245008</v>
      </c>
      <c r="D186" s="10">
        <v>156339951.95347989</v>
      </c>
    </row>
    <row r="187" spans="1:4" x14ac:dyDescent="0.4">
      <c r="A187" s="7">
        <v>201802</v>
      </c>
      <c r="B187" s="11"/>
      <c r="C187" s="9">
        <v>42645115.28057</v>
      </c>
      <c r="D187" s="10">
        <v>113694836.67290989</v>
      </c>
    </row>
    <row r="188" spans="1:4" x14ac:dyDescent="0.4">
      <c r="A188" s="7">
        <v>201803</v>
      </c>
      <c r="B188" s="11"/>
      <c r="C188" s="9">
        <v>41247525.099440008</v>
      </c>
      <c r="D188" s="10">
        <v>72447311.573469877</v>
      </c>
    </row>
    <row r="189" spans="1:4" x14ac:dyDescent="0.4">
      <c r="A189" s="7">
        <v>201804</v>
      </c>
      <c r="B189" s="8">
        <v>200000000</v>
      </c>
      <c r="C189" s="9">
        <v>152399390.78534499</v>
      </c>
      <c r="D189" s="10">
        <v>120047920.78812489</v>
      </c>
    </row>
    <row r="190" spans="1:4" x14ac:dyDescent="0.4">
      <c r="A190" s="7">
        <v>201805</v>
      </c>
      <c r="B190" s="11"/>
      <c r="C190" s="9">
        <v>87366571.600000009</v>
      </c>
      <c r="D190" s="10">
        <v>32681349.18812488</v>
      </c>
    </row>
    <row r="191" spans="1:4" x14ac:dyDescent="0.4">
      <c r="A191" s="7">
        <v>201806</v>
      </c>
      <c r="B191" s="8">
        <v>200000000</v>
      </c>
      <c r="C191" s="9">
        <v>66794404.714784987</v>
      </c>
      <c r="D191" s="10">
        <v>165886944.47333992</v>
      </c>
    </row>
    <row r="192" spans="1:4" x14ac:dyDescent="0.4">
      <c r="A192" s="7">
        <v>201807</v>
      </c>
      <c r="B192" s="11"/>
      <c r="C192" s="9">
        <v>62689624.759410016</v>
      </c>
      <c r="D192" s="10">
        <v>103197319.71392989</v>
      </c>
    </row>
    <row r="193" spans="1:4" x14ac:dyDescent="0.4">
      <c r="A193" s="7">
        <v>201808</v>
      </c>
      <c r="B193" s="8">
        <v>200000000</v>
      </c>
      <c r="C193" s="9">
        <v>120311735.94005503</v>
      </c>
      <c r="D193" s="10">
        <v>182885583.77387488</v>
      </c>
    </row>
    <row r="194" spans="1:4" x14ac:dyDescent="0.4">
      <c r="A194" s="7">
        <v>201809</v>
      </c>
      <c r="B194" s="11"/>
      <c r="C194" s="9">
        <v>81559062.232505009</v>
      </c>
      <c r="D194" s="10">
        <v>101326521.54136987</v>
      </c>
    </row>
    <row r="195" spans="1:4" x14ac:dyDescent="0.4">
      <c r="A195" s="7">
        <v>201810</v>
      </c>
      <c r="B195" s="11"/>
      <c r="C195" s="9">
        <v>81183985.717174992</v>
      </c>
      <c r="D195" s="10">
        <v>20142535.824194878</v>
      </c>
    </row>
    <row r="196" spans="1:4" x14ac:dyDescent="0.4">
      <c r="A196" s="7">
        <v>201811</v>
      </c>
      <c r="B196" s="8">
        <v>200000000</v>
      </c>
      <c r="C196" s="9">
        <v>72809840</v>
      </c>
      <c r="D196" s="10">
        <v>147332695.82419488</v>
      </c>
    </row>
    <row r="197" spans="1:4" x14ac:dyDescent="0.4">
      <c r="A197" s="7">
        <v>201812</v>
      </c>
      <c r="B197" s="11"/>
      <c r="C197" s="9">
        <v>65111547</v>
      </c>
      <c r="D197" s="10">
        <v>82221148.824194878</v>
      </c>
    </row>
    <row r="198" spans="1:4" x14ac:dyDescent="0.4">
      <c r="A198" s="7">
        <v>201901</v>
      </c>
      <c r="B198" s="11"/>
      <c r="C198" s="8">
        <v>68290939</v>
      </c>
      <c r="D198" s="10">
        <v>13930209.824194878</v>
      </c>
    </row>
    <row r="199" spans="1:4" x14ac:dyDescent="0.4">
      <c r="A199" s="7">
        <v>201902</v>
      </c>
      <c r="B199" s="8">
        <v>200000000</v>
      </c>
      <c r="C199" s="8">
        <v>180236258</v>
      </c>
      <c r="D199" s="10">
        <v>33693951.824194878</v>
      </c>
    </row>
    <row r="200" spans="1:4" x14ac:dyDescent="0.4">
      <c r="A200" s="7">
        <v>201903</v>
      </c>
      <c r="B200" s="8">
        <v>200000000</v>
      </c>
      <c r="C200" s="8">
        <v>112739419</v>
      </c>
      <c r="D200" s="10">
        <v>120954532.82419488</v>
      </c>
    </row>
    <row r="201" spans="1:4" x14ac:dyDescent="0.4">
      <c r="A201" s="7">
        <v>201904</v>
      </c>
      <c r="B201" s="11"/>
      <c r="C201" s="9">
        <v>72214109</v>
      </c>
      <c r="D201" s="10">
        <v>48740423.824194878</v>
      </c>
    </row>
    <row r="202" spans="1:4" x14ac:dyDescent="0.4">
      <c r="A202" s="7">
        <v>201905</v>
      </c>
      <c r="B202" s="8">
        <v>200000000</v>
      </c>
      <c r="C202" s="8">
        <v>105939845</v>
      </c>
      <c r="D202" s="10">
        <v>142800578.82419488</v>
      </c>
    </row>
    <row r="203" spans="1:4" x14ac:dyDescent="0.4">
      <c r="A203" s="7">
        <v>201906</v>
      </c>
      <c r="B203" s="11"/>
      <c r="C203" s="10">
        <v>86581444</v>
      </c>
      <c r="D203" s="10">
        <v>56219134.824194878</v>
      </c>
    </row>
    <row r="204" spans="1:4" x14ac:dyDescent="0.4">
      <c r="A204" s="7">
        <v>201907</v>
      </c>
      <c r="B204" s="8">
        <v>200000000</v>
      </c>
      <c r="C204" s="10">
        <v>82649781</v>
      </c>
      <c r="D204" s="10">
        <v>173569353.82419488</v>
      </c>
    </row>
    <row r="205" spans="1:4" x14ac:dyDescent="0.4">
      <c r="A205" s="7">
        <v>201908</v>
      </c>
      <c r="B205" s="11"/>
      <c r="C205" s="10">
        <v>72909274</v>
      </c>
      <c r="D205" s="10">
        <v>100660079.82419488</v>
      </c>
    </row>
    <row r="206" spans="1:4" x14ac:dyDescent="0.4">
      <c r="A206" s="7">
        <v>201909</v>
      </c>
      <c r="B206" s="8">
        <v>200000000</v>
      </c>
      <c r="C206" s="12">
        <v>98785642</v>
      </c>
      <c r="D206" s="10">
        <v>201874437.82419491</v>
      </c>
    </row>
    <row r="207" spans="1:4" x14ac:dyDescent="0.4">
      <c r="A207" s="7">
        <v>201910</v>
      </c>
      <c r="B207" s="8"/>
      <c r="C207" s="12">
        <v>83622569</v>
      </c>
      <c r="D207" s="10">
        <v>118251869</v>
      </c>
    </row>
    <row r="208" spans="1:4" x14ac:dyDescent="0.4">
      <c r="A208" s="7">
        <v>201911</v>
      </c>
      <c r="B208" s="11"/>
      <c r="C208" s="8">
        <v>76695377</v>
      </c>
      <c r="D208" s="10">
        <v>41556492</v>
      </c>
    </row>
    <row r="209" spans="1:4" x14ac:dyDescent="0.4">
      <c r="A209" s="7">
        <v>201912</v>
      </c>
      <c r="B209" s="8">
        <v>200000000</v>
      </c>
      <c r="C209" s="8">
        <v>60708584</v>
      </c>
      <c r="D209" s="10">
        <v>180847908</v>
      </c>
    </row>
    <row r="210" spans="1:4" x14ac:dyDescent="0.4">
      <c r="A210" s="7">
        <v>202001</v>
      </c>
      <c r="B210" s="8"/>
      <c r="C210" s="8">
        <v>101786302</v>
      </c>
      <c r="D210" s="10">
        <v>79061606</v>
      </c>
    </row>
    <row r="211" spans="1:4" x14ac:dyDescent="0.4">
      <c r="A211" s="7">
        <v>202002</v>
      </c>
      <c r="B211" s="8"/>
      <c r="C211" s="8">
        <v>67250352</v>
      </c>
      <c r="D211" s="10">
        <v>11811254</v>
      </c>
    </row>
    <row r="212" spans="1:4" x14ac:dyDescent="0.4">
      <c r="A212" s="7">
        <v>202003</v>
      </c>
      <c r="B212" s="8">
        <v>200000000</v>
      </c>
      <c r="C212" s="8">
        <v>57291571</v>
      </c>
      <c r="D212" s="10">
        <v>154519683</v>
      </c>
    </row>
    <row r="213" spans="1:4" x14ac:dyDescent="0.4">
      <c r="A213" s="7">
        <v>202004</v>
      </c>
      <c r="B213" s="8"/>
      <c r="C213" s="8">
        <v>57447601</v>
      </c>
      <c r="D213" s="10">
        <v>97072082</v>
      </c>
    </row>
    <row r="214" spans="1:4" x14ac:dyDescent="0.4">
      <c r="A214" s="7">
        <v>202005</v>
      </c>
      <c r="B214" s="8"/>
      <c r="C214" s="8">
        <v>57478186</v>
      </c>
      <c r="D214" s="10">
        <v>39593896</v>
      </c>
    </row>
    <row r="215" spans="1:4" x14ac:dyDescent="0.4">
      <c r="A215" s="7">
        <v>202006</v>
      </c>
      <c r="B215" s="8">
        <v>200000000</v>
      </c>
      <c r="C215" s="8">
        <v>48218117</v>
      </c>
      <c r="D215" s="10">
        <v>191375779</v>
      </c>
    </row>
    <row r="216" spans="1:4" x14ac:dyDescent="0.4">
      <c r="A216" s="7">
        <v>202007</v>
      </c>
      <c r="B216" s="8"/>
      <c r="C216" s="8">
        <v>72488169</v>
      </c>
      <c r="D216" s="10">
        <v>118887610</v>
      </c>
    </row>
    <row r="217" spans="1:4" x14ac:dyDescent="0.4">
      <c r="A217" s="7">
        <v>202008</v>
      </c>
      <c r="B217" s="8"/>
      <c r="C217" s="8">
        <v>73344648</v>
      </c>
      <c r="D217" s="10">
        <v>45542962</v>
      </c>
    </row>
    <row r="218" spans="1:4" x14ac:dyDescent="0.4">
      <c r="A218" s="7">
        <v>202009</v>
      </c>
      <c r="B218" s="8">
        <v>200000000</v>
      </c>
      <c r="C218" s="8">
        <v>99641095</v>
      </c>
      <c r="D218" s="10">
        <v>145901867</v>
      </c>
    </row>
    <row r="219" spans="1:4" x14ac:dyDescent="0.4">
      <c r="A219" s="7">
        <v>202010</v>
      </c>
      <c r="B219" s="8"/>
      <c r="C219" s="8">
        <v>136602753</v>
      </c>
      <c r="D219" s="10">
        <f>D218-C219</f>
        <v>9299114</v>
      </c>
    </row>
    <row r="220" spans="1:4" x14ac:dyDescent="0.4">
      <c r="A220" s="7">
        <v>202011</v>
      </c>
      <c r="B220" s="8">
        <v>200000000</v>
      </c>
      <c r="C220" s="8">
        <v>96416363</v>
      </c>
      <c r="D220" s="10">
        <f>D219+B220-C220</f>
        <v>112882751</v>
      </c>
    </row>
    <row r="221" spans="1:4" x14ac:dyDescent="0.4">
      <c r="A221" s="7">
        <v>202012</v>
      </c>
      <c r="B221" s="8"/>
      <c r="C221" s="8">
        <v>105762075</v>
      </c>
      <c r="D221" s="10">
        <f>D220+B221-C221</f>
        <v>7120676</v>
      </c>
    </row>
    <row r="222" spans="1:4" x14ac:dyDescent="0.4">
      <c r="A222" s="7">
        <v>202101</v>
      </c>
      <c r="B222" s="8">
        <v>200000000</v>
      </c>
      <c r="C222" s="8">
        <v>115451831</v>
      </c>
      <c r="D222" s="10">
        <f>D221+B222-C222</f>
        <v>91668845</v>
      </c>
    </row>
    <row r="223" spans="1:4" x14ac:dyDescent="0.4">
      <c r="A223" s="7">
        <v>202102</v>
      </c>
      <c r="B223" s="8">
        <v>200000000</v>
      </c>
      <c r="C223" s="8">
        <v>88547720</v>
      </c>
      <c r="D223" s="10">
        <f t="shared" ref="D223:D228" si="0">D222-C223+B223</f>
        <v>203121125</v>
      </c>
    </row>
    <row r="224" spans="1:4" s="17" customFormat="1" x14ac:dyDescent="0.4">
      <c r="A224" s="7">
        <v>202103</v>
      </c>
      <c r="B224" s="8"/>
      <c r="C224" s="8">
        <v>107891595</v>
      </c>
      <c r="D224" s="10">
        <f t="shared" si="0"/>
        <v>95229530</v>
      </c>
    </row>
    <row r="225" spans="1:4" s="17" customFormat="1" x14ac:dyDescent="0.4">
      <c r="A225" s="7">
        <v>202104</v>
      </c>
      <c r="B225" s="8"/>
      <c r="C225" s="8">
        <v>81217988</v>
      </c>
      <c r="D225" s="10">
        <f t="shared" si="0"/>
        <v>14011542</v>
      </c>
    </row>
    <row r="226" spans="1:4" s="17" customFormat="1" x14ac:dyDescent="0.4">
      <c r="A226" s="7">
        <v>202105</v>
      </c>
      <c r="B226" s="8">
        <v>200000000</v>
      </c>
      <c r="C226" s="8">
        <v>60210525</v>
      </c>
      <c r="D226" s="10">
        <f t="shared" si="0"/>
        <v>153801017</v>
      </c>
    </row>
    <row r="227" spans="1:4" s="17" customFormat="1" x14ac:dyDescent="0.4">
      <c r="A227" s="7">
        <v>202106</v>
      </c>
      <c r="B227" s="8"/>
      <c r="C227" s="8">
        <v>64998315</v>
      </c>
      <c r="D227" s="10">
        <f t="shared" si="0"/>
        <v>88802702</v>
      </c>
    </row>
    <row r="228" spans="1:4" s="17" customFormat="1" x14ac:dyDescent="0.4">
      <c r="A228" s="7">
        <v>202107</v>
      </c>
      <c r="B228" s="8"/>
      <c r="C228" s="8">
        <v>64596739</v>
      </c>
      <c r="D228" s="10">
        <f t="shared" si="0"/>
        <v>24205963</v>
      </c>
    </row>
    <row r="229" spans="1:4" s="17" customFormat="1" x14ac:dyDescent="0.4">
      <c r="A229" s="7">
        <v>202108</v>
      </c>
      <c r="B229" s="8">
        <v>200000000</v>
      </c>
      <c r="C229" s="8">
        <v>113362163</v>
      </c>
      <c r="D229" s="10">
        <f>D228+B229-C229</f>
        <v>110843800</v>
      </c>
    </row>
    <row r="230" spans="1:4" s="17" customFormat="1" x14ac:dyDescent="0.4">
      <c r="A230" s="7">
        <v>202109</v>
      </c>
      <c r="B230" s="8"/>
      <c r="C230" s="8">
        <v>66925972</v>
      </c>
      <c r="D230" s="10">
        <f>D229+B230-C230</f>
        <v>43917828</v>
      </c>
    </row>
    <row r="231" spans="1:4" s="17" customFormat="1" x14ac:dyDescent="0.4">
      <c r="A231" s="7">
        <v>202110</v>
      </c>
      <c r="B231" s="8">
        <v>200000000</v>
      </c>
      <c r="C231" s="8">
        <v>42491009</v>
      </c>
      <c r="D231" s="10">
        <f>D230+B231-C231</f>
        <v>201426819</v>
      </c>
    </row>
    <row r="232" spans="1:4" s="17" customFormat="1" x14ac:dyDescent="0.4">
      <c r="A232" s="7">
        <v>202111</v>
      </c>
      <c r="B232" s="8"/>
      <c r="C232" s="8">
        <v>52639811</v>
      </c>
      <c r="D232" s="10">
        <f>D231-C232</f>
        <v>148787008</v>
      </c>
    </row>
    <row r="233" spans="1:4" s="17" customFormat="1" x14ac:dyDescent="0.4">
      <c r="A233" s="7">
        <v>202112</v>
      </c>
      <c r="B233" s="8"/>
      <c r="C233" s="8">
        <v>44342480</v>
      </c>
      <c r="D233" s="10">
        <f>D232-C233</f>
        <v>104444528</v>
      </c>
    </row>
    <row r="234" spans="1:4" s="17" customFormat="1" x14ac:dyDescent="0.4">
      <c r="A234" s="7">
        <v>202201</v>
      </c>
      <c r="B234" s="8"/>
      <c r="C234" s="8">
        <f>AP167</f>
        <v>66231296</v>
      </c>
      <c r="D234" s="10">
        <f>D233-C234</f>
        <v>38213232</v>
      </c>
    </row>
    <row r="235" spans="1:4" x14ac:dyDescent="0.4">
      <c r="A235" s="7"/>
      <c r="B235" s="11"/>
      <c r="C235" s="11"/>
      <c r="D235" s="11"/>
    </row>
    <row r="236" spans="1:4" x14ac:dyDescent="0.4">
      <c r="A236" s="13" t="s">
        <v>108</v>
      </c>
      <c r="B236" s="14">
        <f>SUM(B170:B235)</f>
        <v>4810000000</v>
      </c>
      <c r="C236" s="14">
        <f>SUM(C170:C235)</f>
        <v>4771786768.1758051</v>
      </c>
      <c r="D236" s="1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P45"/>
  <sheetViews>
    <sheetView topLeftCell="A10" zoomScale="60" zoomScaleNormal="60" workbookViewId="0">
      <selection activeCell="F43" sqref="F43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5.8984375" customWidth="1"/>
    <col min="5" max="5" width="5.296875" customWidth="1"/>
    <col min="6" max="6" width="8.59765625" bestFit="1" customWidth="1"/>
    <col min="7" max="7" width="2.796875" customWidth="1"/>
    <col min="8" max="8" width="5" customWidth="1"/>
    <col min="9" max="9" width="8.59765625" bestFit="1" customWidth="1"/>
    <col min="10" max="10" width="9.3984375" bestFit="1" customWidth="1"/>
    <col min="11" max="11" width="30.3984375" customWidth="1"/>
    <col min="12" max="12" width="21.5" hidden="1" customWidth="1"/>
    <col min="13" max="13" width="6.796875" hidden="1" customWidth="1"/>
    <col min="14" max="14" width="6.796875" bestFit="1" customWidth="1"/>
    <col min="15" max="15" width="3.09765625" customWidth="1"/>
    <col min="16" max="16" width="5.5" customWidth="1"/>
    <col min="17" max="17" width="7" customWidth="1"/>
    <col min="18" max="18" width="12.09765625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hidden="1" customWidth="1"/>
    <col min="23" max="24" width="8.8984375" hidden="1" customWidth="1"/>
    <col min="25" max="25" width="8.8984375" bestFit="1" customWidth="1"/>
    <col min="26" max="28" width="0.19921875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hidden="1" customWidth="1"/>
    <col min="33" max="34" width="8.8984375" hidden="1" customWidth="1"/>
    <col min="35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91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51936303</v>
      </c>
      <c r="K2" s="18" t="s">
        <v>74</v>
      </c>
      <c r="L2" s="18"/>
      <c r="M2" s="18"/>
      <c r="N2" s="18" t="s">
        <v>51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105200</v>
      </c>
      <c r="U2" s="19">
        <v>10000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95200</v>
      </c>
      <c r="AD2" s="19">
        <v>105200</v>
      </c>
      <c r="AE2" s="19">
        <v>10000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95200</v>
      </c>
      <c r="AN2" s="19">
        <v>57860</v>
      </c>
      <c r="AO2" s="19">
        <v>0</v>
      </c>
      <c r="AP2" s="19">
        <v>57860</v>
      </c>
    </row>
    <row r="3" spans="1:42" x14ac:dyDescent="0.4">
      <c r="A3" s="18" t="s">
        <v>48</v>
      </c>
      <c r="B3" s="18" t="s">
        <v>83</v>
      </c>
      <c r="C3" s="18" t="s">
        <v>84</v>
      </c>
      <c r="D3" s="18" t="s">
        <v>85</v>
      </c>
      <c r="E3" s="18" t="s">
        <v>91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51936303</v>
      </c>
      <c r="K3" s="18" t="s">
        <v>74</v>
      </c>
      <c r="L3" s="18"/>
      <c r="M3" s="18"/>
      <c r="N3" s="18" t="s">
        <v>51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21600</v>
      </c>
      <c r="U3" s="19">
        <v>7200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14400</v>
      </c>
      <c r="AD3" s="19">
        <v>21600</v>
      </c>
      <c r="AE3" s="19">
        <v>7200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14400</v>
      </c>
      <c r="AN3" s="19">
        <v>11880</v>
      </c>
      <c r="AO3" s="19">
        <v>0</v>
      </c>
      <c r="AP3" s="19">
        <v>11880</v>
      </c>
    </row>
    <row r="4" spans="1:42" x14ac:dyDescent="0.4">
      <c r="A4" s="18" t="s">
        <v>48</v>
      </c>
      <c r="B4" s="18" t="s">
        <v>83</v>
      </c>
      <c r="C4" s="18" t="s">
        <v>84</v>
      </c>
      <c r="D4" s="18" t="s">
        <v>85</v>
      </c>
      <c r="E4" s="18" t="s">
        <v>91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51936303</v>
      </c>
      <c r="K4" s="18" t="s">
        <v>74</v>
      </c>
      <c r="L4" s="18"/>
      <c r="M4" s="18"/>
      <c r="N4" s="18" t="s">
        <v>51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111700</v>
      </c>
      <c r="U4" s="19">
        <v>83400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28300</v>
      </c>
      <c r="AD4" s="19">
        <v>111700</v>
      </c>
      <c r="AE4" s="19">
        <v>83400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28300</v>
      </c>
      <c r="AN4" s="19">
        <v>61435</v>
      </c>
      <c r="AO4" s="19">
        <v>0</v>
      </c>
      <c r="AP4" s="19">
        <v>61435</v>
      </c>
    </row>
    <row r="5" spans="1:42" x14ac:dyDescent="0.4">
      <c r="A5" s="18" t="s">
        <v>48</v>
      </c>
      <c r="B5" s="18" t="s">
        <v>83</v>
      </c>
      <c r="C5" s="18" t="s">
        <v>84</v>
      </c>
      <c r="D5" s="18" t="s">
        <v>85</v>
      </c>
      <c r="E5" s="18" t="s">
        <v>91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51936303</v>
      </c>
      <c r="K5" s="18" t="s">
        <v>74</v>
      </c>
      <c r="L5" s="18"/>
      <c r="M5" s="18"/>
      <c r="N5" s="18" t="s">
        <v>51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18000</v>
      </c>
      <c r="U5" s="19">
        <v>18000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18000</v>
      </c>
      <c r="AE5" s="19">
        <v>18000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9900</v>
      </c>
      <c r="AO5" s="19">
        <v>0</v>
      </c>
      <c r="AP5" s="19">
        <v>9900</v>
      </c>
    </row>
    <row r="6" spans="1:42" x14ac:dyDescent="0.4">
      <c r="A6" s="18" t="s">
        <v>48</v>
      </c>
      <c r="B6" s="18" t="s">
        <v>83</v>
      </c>
      <c r="C6" s="18" t="s">
        <v>84</v>
      </c>
      <c r="D6" s="18" t="s">
        <v>85</v>
      </c>
      <c r="E6" s="18" t="s">
        <v>91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54212515</v>
      </c>
      <c r="K6" s="18" t="s">
        <v>50</v>
      </c>
      <c r="L6" s="18"/>
      <c r="M6" s="18"/>
      <c r="N6" s="18" t="s">
        <v>51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100</v>
      </c>
      <c r="T6" s="19">
        <v>34300</v>
      </c>
      <c r="U6" s="19">
        <v>4500</v>
      </c>
      <c r="V6" s="19">
        <v>0</v>
      </c>
      <c r="W6" s="19">
        <v>0</v>
      </c>
      <c r="X6" s="19">
        <v>0</v>
      </c>
      <c r="Y6" s="19">
        <v>-1400</v>
      </c>
      <c r="Z6" s="19">
        <v>0</v>
      </c>
      <c r="AA6" s="19">
        <v>0</v>
      </c>
      <c r="AB6" s="19">
        <v>0</v>
      </c>
      <c r="AC6" s="19">
        <v>31200</v>
      </c>
      <c r="AD6" s="19">
        <v>34020</v>
      </c>
      <c r="AE6" s="19">
        <v>4500</v>
      </c>
      <c r="AF6" s="19">
        <v>0</v>
      </c>
      <c r="AG6" s="19">
        <v>0</v>
      </c>
      <c r="AH6" s="19">
        <v>0</v>
      </c>
      <c r="AI6" s="19">
        <v>-1680</v>
      </c>
      <c r="AJ6" s="19">
        <v>0</v>
      </c>
      <c r="AK6" s="19">
        <v>0</v>
      </c>
      <c r="AL6" s="19">
        <v>0</v>
      </c>
      <c r="AM6" s="19">
        <v>31200</v>
      </c>
      <c r="AN6" s="19">
        <v>18711</v>
      </c>
      <c r="AO6" s="19">
        <v>0</v>
      </c>
      <c r="AP6" s="19">
        <v>18711</v>
      </c>
    </row>
    <row r="7" spans="1:42" x14ac:dyDescent="0.4">
      <c r="A7" s="18" t="s">
        <v>48</v>
      </c>
      <c r="B7" s="18" t="s">
        <v>83</v>
      </c>
      <c r="C7" s="18" t="s">
        <v>84</v>
      </c>
      <c r="D7" s="18" t="s">
        <v>85</v>
      </c>
      <c r="E7" s="18" t="s">
        <v>91</v>
      </c>
      <c r="F7" s="18" t="s">
        <v>49</v>
      </c>
      <c r="G7" s="18" t="s">
        <v>20</v>
      </c>
      <c r="H7" s="18" t="s">
        <v>21</v>
      </c>
      <c r="I7" s="18" t="s">
        <v>22</v>
      </c>
      <c r="J7" s="18">
        <v>54212515</v>
      </c>
      <c r="K7" s="18" t="s">
        <v>50</v>
      </c>
      <c r="L7" s="18"/>
      <c r="M7" s="18"/>
      <c r="N7" s="18" t="s">
        <v>51</v>
      </c>
      <c r="O7" s="18" t="s">
        <v>23</v>
      </c>
      <c r="P7" s="18">
        <v>0.55000000000000004</v>
      </c>
      <c r="Q7" s="18">
        <v>0.55000000000000004</v>
      </c>
      <c r="R7" s="19" t="s">
        <v>24</v>
      </c>
      <c r="S7" s="19">
        <v>2400</v>
      </c>
      <c r="T7" s="19">
        <v>24700</v>
      </c>
      <c r="U7" s="19">
        <v>20300</v>
      </c>
      <c r="V7" s="19">
        <v>0</v>
      </c>
      <c r="W7" s="19">
        <v>0</v>
      </c>
      <c r="X7" s="19">
        <v>0</v>
      </c>
      <c r="Y7" s="19">
        <v>-2400</v>
      </c>
      <c r="Z7" s="19">
        <v>0</v>
      </c>
      <c r="AA7" s="19">
        <v>0</v>
      </c>
      <c r="AB7" s="19">
        <v>0</v>
      </c>
      <c r="AC7" s="19">
        <v>6800</v>
      </c>
      <c r="AD7" s="19">
        <v>24220</v>
      </c>
      <c r="AE7" s="19">
        <v>20300</v>
      </c>
      <c r="AF7" s="19">
        <v>0</v>
      </c>
      <c r="AG7" s="19">
        <v>0</v>
      </c>
      <c r="AH7" s="19">
        <v>0</v>
      </c>
      <c r="AI7" s="19">
        <v>-2880</v>
      </c>
      <c r="AJ7" s="19">
        <v>0</v>
      </c>
      <c r="AK7" s="19">
        <v>0</v>
      </c>
      <c r="AL7" s="19">
        <v>0</v>
      </c>
      <c r="AM7" s="19">
        <v>6800</v>
      </c>
      <c r="AN7" s="19">
        <v>13321</v>
      </c>
      <c r="AO7" s="19">
        <v>0</v>
      </c>
      <c r="AP7" s="19">
        <v>13321</v>
      </c>
    </row>
    <row r="8" spans="1:42" x14ac:dyDescent="0.4">
      <c r="A8" s="18" t="s">
        <v>48</v>
      </c>
      <c r="B8" s="18" t="s">
        <v>83</v>
      </c>
      <c r="C8" s="18" t="s">
        <v>84</v>
      </c>
      <c r="D8" s="18" t="s">
        <v>85</v>
      </c>
      <c r="E8" s="18" t="s">
        <v>91</v>
      </c>
      <c r="F8" s="18" t="s">
        <v>49</v>
      </c>
      <c r="G8" s="18" t="s">
        <v>20</v>
      </c>
      <c r="H8" s="18" t="s">
        <v>21</v>
      </c>
      <c r="I8" s="18" t="s">
        <v>22</v>
      </c>
      <c r="J8" s="18">
        <v>54212515</v>
      </c>
      <c r="K8" s="18" t="s">
        <v>50</v>
      </c>
      <c r="L8" s="18"/>
      <c r="M8" s="18"/>
      <c r="N8" s="18" t="s">
        <v>51</v>
      </c>
      <c r="O8" s="18" t="s">
        <v>23</v>
      </c>
      <c r="P8" s="18">
        <v>0.55000000000000004</v>
      </c>
      <c r="Q8" s="18">
        <v>0.55000000000000004</v>
      </c>
      <c r="R8" s="19" t="s">
        <v>24</v>
      </c>
      <c r="S8" s="19">
        <v>9200</v>
      </c>
      <c r="T8" s="19">
        <v>25300</v>
      </c>
      <c r="U8" s="19">
        <v>25000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300</v>
      </c>
      <c r="AD8" s="19">
        <v>25300</v>
      </c>
      <c r="AE8" s="19">
        <v>25000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300</v>
      </c>
      <c r="AN8" s="19">
        <v>13915</v>
      </c>
      <c r="AO8" s="19">
        <v>0</v>
      </c>
      <c r="AP8" s="19">
        <v>13915</v>
      </c>
    </row>
    <row r="9" spans="1:42" x14ac:dyDescent="0.4">
      <c r="A9" s="18" t="s">
        <v>48</v>
      </c>
      <c r="B9" s="18" t="s">
        <v>83</v>
      </c>
      <c r="C9" s="18" t="s">
        <v>84</v>
      </c>
      <c r="D9" s="18" t="s">
        <v>85</v>
      </c>
      <c r="E9" s="18" t="s">
        <v>91</v>
      </c>
      <c r="F9" s="18" t="s">
        <v>49</v>
      </c>
      <c r="G9" s="18" t="s">
        <v>20</v>
      </c>
      <c r="H9" s="18" t="s">
        <v>21</v>
      </c>
      <c r="I9" s="18" t="s">
        <v>22</v>
      </c>
      <c r="J9" s="18">
        <v>54212515</v>
      </c>
      <c r="K9" s="18" t="s">
        <v>50</v>
      </c>
      <c r="L9" s="18"/>
      <c r="M9" s="18"/>
      <c r="N9" s="18" t="s">
        <v>51</v>
      </c>
      <c r="O9" s="18" t="s">
        <v>23</v>
      </c>
      <c r="P9" s="18">
        <v>0.55000000000000004</v>
      </c>
      <c r="Q9" s="18">
        <v>0.55000000000000004</v>
      </c>
      <c r="R9" s="19" t="s">
        <v>24</v>
      </c>
      <c r="S9" s="19">
        <v>18000</v>
      </c>
      <c r="T9" s="19">
        <v>11200</v>
      </c>
      <c r="U9" s="19">
        <v>8200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3000</v>
      </c>
      <c r="AD9" s="19">
        <v>11200</v>
      </c>
      <c r="AE9" s="19">
        <v>8200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3000</v>
      </c>
      <c r="AN9" s="19">
        <v>6160</v>
      </c>
      <c r="AO9" s="19">
        <v>0</v>
      </c>
      <c r="AP9" s="19">
        <v>6160</v>
      </c>
    </row>
    <row r="10" spans="1:42" x14ac:dyDescent="0.4">
      <c r="A10" s="18" t="s">
        <v>48</v>
      </c>
      <c r="B10" s="18" t="s">
        <v>83</v>
      </c>
      <c r="C10" s="18" t="s">
        <v>84</v>
      </c>
      <c r="D10" s="18" t="s">
        <v>85</v>
      </c>
      <c r="E10" s="18" t="s">
        <v>91</v>
      </c>
      <c r="F10" s="18" t="s">
        <v>49</v>
      </c>
      <c r="G10" s="18" t="s">
        <v>20</v>
      </c>
      <c r="H10" s="18" t="s">
        <v>21</v>
      </c>
      <c r="I10" s="18" t="s">
        <v>22</v>
      </c>
      <c r="J10" s="18">
        <v>56380069</v>
      </c>
      <c r="K10" s="18" t="s">
        <v>107</v>
      </c>
      <c r="L10" s="18"/>
      <c r="M10" s="18"/>
      <c r="N10" s="18" t="s">
        <v>51</v>
      </c>
      <c r="O10" s="18" t="s">
        <v>23</v>
      </c>
      <c r="P10" s="18">
        <v>0.55000000000000004</v>
      </c>
      <c r="Q10" s="18">
        <v>0.55000000000000004</v>
      </c>
      <c r="R10" s="19" t="s">
        <v>25</v>
      </c>
      <c r="S10" s="19">
        <v>100</v>
      </c>
      <c r="T10" s="19">
        <v>16600</v>
      </c>
      <c r="U10" s="19">
        <v>5800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10800</v>
      </c>
      <c r="AD10" s="19">
        <v>16600</v>
      </c>
      <c r="AE10" s="19">
        <v>5800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10800</v>
      </c>
      <c r="AN10" s="19">
        <v>9130</v>
      </c>
      <c r="AO10" s="19">
        <v>0</v>
      </c>
      <c r="AP10" s="19">
        <v>9130</v>
      </c>
    </row>
    <row r="11" spans="1:42" x14ac:dyDescent="0.4">
      <c r="A11" s="18" t="s">
        <v>48</v>
      </c>
      <c r="B11" s="18" t="s">
        <v>83</v>
      </c>
      <c r="C11" s="18" t="s">
        <v>84</v>
      </c>
      <c r="D11" s="18" t="s">
        <v>85</v>
      </c>
      <c r="E11" s="18" t="s">
        <v>91</v>
      </c>
      <c r="F11" s="18" t="s">
        <v>49</v>
      </c>
      <c r="G11" s="18" t="s">
        <v>20</v>
      </c>
      <c r="H11" s="18" t="s">
        <v>21</v>
      </c>
      <c r="I11" s="18" t="s">
        <v>22</v>
      </c>
      <c r="J11" s="18">
        <v>56380069</v>
      </c>
      <c r="K11" s="18" t="s">
        <v>107</v>
      </c>
      <c r="L11" s="18"/>
      <c r="M11" s="18"/>
      <c r="N11" s="18" t="s">
        <v>51</v>
      </c>
      <c r="O11" s="18" t="s">
        <v>23</v>
      </c>
      <c r="P11" s="18">
        <v>0.55000000000000004</v>
      </c>
      <c r="Q11" s="18">
        <v>0.55000000000000004</v>
      </c>
      <c r="R11" s="19" t="s">
        <v>24</v>
      </c>
      <c r="S11" s="19">
        <v>2400</v>
      </c>
      <c r="T11" s="19">
        <v>2600</v>
      </c>
      <c r="U11" s="19">
        <v>200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2400</v>
      </c>
      <c r="AD11" s="19">
        <v>2600</v>
      </c>
      <c r="AE11" s="19">
        <v>200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2400</v>
      </c>
      <c r="AN11" s="19">
        <v>1430</v>
      </c>
      <c r="AO11" s="19">
        <v>0</v>
      </c>
      <c r="AP11" s="19">
        <v>1430</v>
      </c>
    </row>
    <row r="12" spans="1:42" x14ac:dyDescent="0.4">
      <c r="A12" s="18" t="s">
        <v>48</v>
      </c>
      <c r="B12" s="18" t="s">
        <v>83</v>
      </c>
      <c r="C12" s="18" t="s">
        <v>84</v>
      </c>
      <c r="D12" s="18" t="s">
        <v>85</v>
      </c>
      <c r="E12" s="18" t="s">
        <v>91</v>
      </c>
      <c r="F12" s="18" t="s">
        <v>49</v>
      </c>
      <c r="G12" s="18" t="s">
        <v>20</v>
      </c>
      <c r="H12" s="18" t="s">
        <v>21</v>
      </c>
      <c r="I12" s="18" t="s">
        <v>22</v>
      </c>
      <c r="J12" s="18">
        <v>56380069</v>
      </c>
      <c r="K12" s="18" t="s">
        <v>107</v>
      </c>
      <c r="L12" s="18"/>
      <c r="M12" s="18"/>
      <c r="N12" s="18" t="s">
        <v>51</v>
      </c>
      <c r="O12" s="18" t="s">
        <v>23</v>
      </c>
      <c r="P12" s="18">
        <v>0.55000000000000004</v>
      </c>
      <c r="Q12" s="18">
        <v>0.55000000000000004</v>
      </c>
      <c r="R12" s="19" t="s">
        <v>24</v>
      </c>
      <c r="S12" s="19">
        <v>9200</v>
      </c>
      <c r="T12" s="19">
        <v>36800</v>
      </c>
      <c r="U12" s="19">
        <v>36300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500</v>
      </c>
      <c r="AD12" s="19">
        <v>36800</v>
      </c>
      <c r="AE12" s="19">
        <v>36300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500</v>
      </c>
      <c r="AN12" s="19">
        <v>20240</v>
      </c>
      <c r="AO12" s="19">
        <v>0</v>
      </c>
      <c r="AP12" s="19">
        <v>20240</v>
      </c>
    </row>
    <row r="13" spans="1:42" x14ac:dyDescent="0.4">
      <c r="A13" s="18" t="s">
        <v>48</v>
      </c>
      <c r="B13" s="18" t="s">
        <v>83</v>
      </c>
      <c r="C13" s="18" t="s">
        <v>84</v>
      </c>
      <c r="D13" s="18" t="s">
        <v>85</v>
      </c>
      <c r="E13" s="18" t="s">
        <v>91</v>
      </c>
      <c r="F13" s="18" t="s">
        <v>49</v>
      </c>
      <c r="G13" s="18" t="s">
        <v>20</v>
      </c>
      <c r="H13" s="18" t="s">
        <v>21</v>
      </c>
      <c r="I13" s="18" t="s">
        <v>22</v>
      </c>
      <c r="J13" s="18">
        <v>56380069</v>
      </c>
      <c r="K13" s="18" t="s">
        <v>107</v>
      </c>
      <c r="L13" s="18"/>
      <c r="M13" s="18"/>
      <c r="N13" s="18" t="s">
        <v>51</v>
      </c>
      <c r="O13" s="18" t="s">
        <v>23</v>
      </c>
      <c r="P13" s="18">
        <v>0.55000000000000004</v>
      </c>
      <c r="Q13" s="18">
        <v>0.55000000000000004</v>
      </c>
      <c r="R13" s="19" t="s">
        <v>24</v>
      </c>
      <c r="S13" s="19">
        <v>18000</v>
      </c>
      <c r="T13" s="19">
        <v>18000</v>
      </c>
      <c r="U13" s="19">
        <v>18000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18000</v>
      </c>
      <c r="AE13" s="19">
        <v>18000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9900</v>
      </c>
      <c r="AO13" s="19">
        <v>0</v>
      </c>
      <c r="AP13" s="19">
        <v>9900</v>
      </c>
    </row>
    <row r="14" spans="1:42" x14ac:dyDescent="0.4">
      <c r="A14" s="18" t="s">
        <v>48</v>
      </c>
      <c r="B14" s="18" t="s">
        <v>83</v>
      </c>
      <c r="C14" s="18" t="s">
        <v>84</v>
      </c>
      <c r="D14" s="18" t="s">
        <v>85</v>
      </c>
      <c r="E14" s="18" t="s">
        <v>91</v>
      </c>
      <c r="F14" s="18" t="s">
        <v>49</v>
      </c>
      <c r="G14" s="18" t="s">
        <v>20</v>
      </c>
      <c r="H14" s="18" t="s">
        <v>21</v>
      </c>
      <c r="I14" s="18" t="s">
        <v>22</v>
      </c>
      <c r="J14" s="18">
        <v>56987203</v>
      </c>
      <c r="K14" s="18" t="s">
        <v>132</v>
      </c>
      <c r="L14" s="18"/>
      <c r="M14" s="18"/>
      <c r="N14" s="18" t="s">
        <v>51</v>
      </c>
      <c r="O14" s="18" t="s">
        <v>23</v>
      </c>
      <c r="P14" s="18">
        <v>0.55000000000000004</v>
      </c>
      <c r="Q14" s="18">
        <v>0.55000000000000004</v>
      </c>
      <c r="R14" s="19" t="s">
        <v>25</v>
      </c>
      <c r="S14" s="19">
        <v>3200</v>
      </c>
      <c r="T14" s="19">
        <v>22400</v>
      </c>
      <c r="U14" s="19">
        <v>22400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22400</v>
      </c>
      <c r="AE14" s="19">
        <v>22400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12320</v>
      </c>
      <c r="AO14" s="19">
        <v>0</v>
      </c>
      <c r="AP14" s="19">
        <v>12320</v>
      </c>
    </row>
    <row r="15" spans="1:42" x14ac:dyDescent="0.4">
      <c r="AP15" s="15">
        <f>SUM(AP2:AP14)</f>
        <v>246202</v>
      </c>
    </row>
    <row r="16" spans="1:42" x14ac:dyDescent="0.4">
      <c r="A16" s="3" t="s">
        <v>151</v>
      </c>
      <c r="B16" s="4"/>
      <c r="C16" s="4"/>
      <c r="D16" s="5"/>
    </row>
    <row r="17" spans="1:4" x14ac:dyDescent="0.4">
      <c r="A17" s="6" t="s">
        <v>152</v>
      </c>
      <c r="B17" s="6" t="s">
        <v>153</v>
      </c>
      <c r="C17" s="6" t="s">
        <v>154</v>
      </c>
      <c r="D17" s="6" t="s">
        <v>155</v>
      </c>
    </row>
    <row r="18" spans="1:4" x14ac:dyDescent="0.4">
      <c r="A18" s="7">
        <v>201912</v>
      </c>
      <c r="B18" s="8">
        <v>50000000</v>
      </c>
      <c r="C18" s="20">
        <v>616705</v>
      </c>
      <c r="D18" s="10">
        <v>49383295</v>
      </c>
    </row>
    <row r="19" spans="1:4" x14ac:dyDescent="0.4">
      <c r="A19" s="7">
        <v>202001</v>
      </c>
      <c r="B19" s="8"/>
      <c r="C19" s="20">
        <v>702488</v>
      </c>
      <c r="D19" s="10">
        <v>48680807</v>
      </c>
    </row>
    <row r="20" spans="1:4" x14ac:dyDescent="0.4">
      <c r="A20" s="7">
        <v>202002</v>
      </c>
      <c r="B20" s="8"/>
      <c r="C20" s="20">
        <v>631686</v>
      </c>
      <c r="D20" s="10">
        <v>48049121</v>
      </c>
    </row>
    <row r="21" spans="1:4" x14ac:dyDescent="0.4">
      <c r="A21" s="7">
        <v>202003</v>
      </c>
      <c r="B21" s="8"/>
      <c r="C21" s="20">
        <v>569830</v>
      </c>
      <c r="D21" s="10">
        <v>47479291</v>
      </c>
    </row>
    <row r="22" spans="1:4" x14ac:dyDescent="0.4">
      <c r="A22" s="7">
        <v>202004</v>
      </c>
      <c r="B22" s="8"/>
      <c r="C22" s="20">
        <v>19193902</v>
      </c>
      <c r="D22" s="10">
        <v>28285389</v>
      </c>
    </row>
    <row r="23" spans="1:4" x14ac:dyDescent="0.4">
      <c r="A23" s="7">
        <v>202005</v>
      </c>
      <c r="B23" s="8"/>
      <c r="C23" s="20">
        <v>5406095</v>
      </c>
      <c r="D23" s="10">
        <v>22879294</v>
      </c>
    </row>
    <row r="24" spans="1:4" x14ac:dyDescent="0.4">
      <c r="A24" s="7">
        <v>202006</v>
      </c>
      <c r="B24" s="8"/>
      <c r="C24" s="20">
        <v>2614141</v>
      </c>
      <c r="D24" s="10">
        <v>20265153</v>
      </c>
    </row>
    <row r="25" spans="1:4" x14ac:dyDescent="0.4">
      <c r="A25" s="7">
        <v>202007</v>
      </c>
      <c r="B25" s="8"/>
      <c r="C25" s="20">
        <v>3800817</v>
      </c>
      <c r="D25" s="10">
        <v>16464336</v>
      </c>
    </row>
    <row r="26" spans="1:4" x14ac:dyDescent="0.4">
      <c r="A26" s="7">
        <v>202008</v>
      </c>
      <c r="B26" s="7"/>
      <c r="C26" s="21">
        <v>2432478</v>
      </c>
      <c r="D26" s="22">
        <v>14031858</v>
      </c>
    </row>
    <row r="27" spans="1:4" x14ac:dyDescent="0.4">
      <c r="A27" s="7">
        <v>202009</v>
      </c>
      <c r="B27" s="7"/>
      <c r="C27" s="21">
        <v>1712223</v>
      </c>
      <c r="D27" s="22">
        <v>12319635</v>
      </c>
    </row>
    <row r="28" spans="1:4" x14ac:dyDescent="0.4">
      <c r="A28" s="7">
        <v>202010</v>
      </c>
      <c r="B28" s="7"/>
      <c r="C28" s="21">
        <v>4755890</v>
      </c>
      <c r="D28" s="22">
        <v>7563745</v>
      </c>
    </row>
    <row r="29" spans="1:4" x14ac:dyDescent="0.4">
      <c r="A29" s="7">
        <v>202011</v>
      </c>
      <c r="B29" s="7"/>
      <c r="C29" s="21">
        <v>1758007</v>
      </c>
      <c r="D29" s="22">
        <v>5805738</v>
      </c>
    </row>
    <row r="30" spans="1:4" x14ac:dyDescent="0.4">
      <c r="A30" s="7">
        <v>202012</v>
      </c>
      <c r="B30" s="7"/>
      <c r="C30" s="21">
        <v>562936</v>
      </c>
      <c r="D30" s="22">
        <v>5242802</v>
      </c>
    </row>
    <row r="31" spans="1:4" x14ac:dyDescent="0.4">
      <c r="A31" s="7">
        <v>202101</v>
      </c>
      <c r="B31" s="7"/>
      <c r="C31" s="21">
        <v>529072</v>
      </c>
      <c r="D31" s="22">
        <v>4713730</v>
      </c>
    </row>
    <row r="32" spans="1:4" x14ac:dyDescent="0.4">
      <c r="A32" s="7">
        <v>202102</v>
      </c>
      <c r="B32" s="7"/>
      <c r="C32" s="21">
        <v>474507</v>
      </c>
      <c r="D32" s="22">
        <v>4239223</v>
      </c>
    </row>
    <row r="33" spans="1:6" x14ac:dyDescent="0.4">
      <c r="A33" s="7">
        <v>202103</v>
      </c>
      <c r="B33" s="7"/>
      <c r="C33" s="21">
        <v>784410</v>
      </c>
      <c r="D33" s="22">
        <v>3454813</v>
      </c>
    </row>
    <row r="34" spans="1:6" x14ac:dyDescent="0.4">
      <c r="A34" s="7">
        <v>202104</v>
      </c>
      <c r="B34" s="7"/>
      <c r="C34" s="21">
        <v>679371</v>
      </c>
      <c r="D34" s="22">
        <v>2775442</v>
      </c>
    </row>
    <row r="35" spans="1:6" x14ac:dyDescent="0.4">
      <c r="A35" s="7">
        <v>202105</v>
      </c>
      <c r="B35" s="7"/>
      <c r="C35" s="21">
        <v>488373</v>
      </c>
      <c r="D35" s="22">
        <v>2287069</v>
      </c>
    </row>
    <row r="36" spans="1:6" x14ac:dyDescent="0.4">
      <c r="A36" s="7">
        <v>202106</v>
      </c>
      <c r="B36" s="7"/>
      <c r="C36" s="21">
        <v>442222</v>
      </c>
      <c r="D36" s="22">
        <v>1844847</v>
      </c>
    </row>
    <row r="37" spans="1:6" x14ac:dyDescent="0.4">
      <c r="A37" s="7">
        <v>202107</v>
      </c>
      <c r="B37" s="7"/>
      <c r="C37" s="21">
        <v>321530</v>
      </c>
      <c r="D37" s="22">
        <f>D36-C37</f>
        <v>1523317</v>
      </c>
    </row>
    <row r="38" spans="1:6" x14ac:dyDescent="0.4">
      <c r="A38" s="7">
        <v>202108</v>
      </c>
      <c r="B38" s="7"/>
      <c r="C38" s="21">
        <v>300806</v>
      </c>
      <c r="D38" s="22">
        <f>D37-C38</f>
        <v>1222511</v>
      </c>
    </row>
    <row r="39" spans="1:6" x14ac:dyDescent="0.4">
      <c r="A39" s="7">
        <v>202109</v>
      </c>
      <c r="B39" s="7"/>
      <c r="C39" s="21">
        <v>188639</v>
      </c>
      <c r="D39" s="22">
        <f>D38-C39</f>
        <v>1033872</v>
      </c>
    </row>
    <row r="40" spans="1:6" x14ac:dyDescent="0.4">
      <c r="A40" s="7">
        <v>202110</v>
      </c>
      <c r="B40" s="7"/>
      <c r="C40" s="21">
        <v>325666</v>
      </c>
      <c r="D40" s="22">
        <f>D39-C40</f>
        <v>708206</v>
      </c>
    </row>
    <row r="41" spans="1:6" x14ac:dyDescent="0.4">
      <c r="A41" s="7">
        <v>202111</v>
      </c>
      <c r="B41" s="7"/>
      <c r="C41" s="21">
        <v>295037</v>
      </c>
      <c r="D41" s="22">
        <f>D40-C41</f>
        <v>413169</v>
      </c>
    </row>
    <row r="42" spans="1:6" x14ac:dyDescent="0.4">
      <c r="A42" s="7">
        <v>202112</v>
      </c>
      <c r="B42" s="28">
        <v>20000000</v>
      </c>
      <c r="C42" s="21">
        <v>353299</v>
      </c>
      <c r="D42" s="22">
        <f>D41-C42+B42</f>
        <v>20059870</v>
      </c>
    </row>
    <row r="43" spans="1:6" s="17" customFormat="1" x14ac:dyDescent="0.4">
      <c r="A43" s="7">
        <v>202201</v>
      </c>
      <c r="B43" s="28"/>
      <c r="C43" s="21">
        <f>AP15</f>
        <v>246202</v>
      </c>
      <c r="D43" s="22">
        <f>D42-C43</f>
        <v>19813668</v>
      </c>
      <c r="F43" s="29"/>
    </row>
    <row r="44" spans="1:6" x14ac:dyDescent="0.4">
      <c r="A44" s="7"/>
      <c r="B44" s="7"/>
      <c r="C44" s="21"/>
      <c r="D44" s="22"/>
    </row>
    <row r="45" spans="1:6" x14ac:dyDescent="0.4">
      <c r="A45" s="7" t="s">
        <v>156</v>
      </c>
      <c r="B45" s="23">
        <f>SUM(B18:B44)</f>
        <v>70000000</v>
      </c>
      <c r="C45" s="23">
        <f>SUM(C18:C44)</f>
        <v>50186332</v>
      </c>
      <c r="D45" s="7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P48"/>
  <sheetViews>
    <sheetView topLeftCell="X27" workbookViewId="0">
      <selection activeCell="AA50" sqref="AA50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2.3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10.199218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10.199218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10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47026662</v>
      </c>
      <c r="K2" s="18" t="s">
        <v>133</v>
      </c>
      <c r="L2" s="18"/>
      <c r="M2" s="18"/>
      <c r="N2" s="18" t="s">
        <v>64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6518300</v>
      </c>
      <c r="U2" s="19">
        <v>881200</v>
      </c>
      <c r="V2" s="19">
        <v>0</v>
      </c>
      <c r="W2" s="19">
        <v>0</v>
      </c>
      <c r="X2" s="19">
        <v>0</v>
      </c>
      <c r="Y2" s="19">
        <v>32750</v>
      </c>
      <c r="Z2" s="19">
        <v>80500</v>
      </c>
      <c r="AA2" s="19">
        <v>0</v>
      </c>
      <c r="AB2" s="19">
        <v>0</v>
      </c>
      <c r="AC2" s="19">
        <v>5523850</v>
      </c>
      <c r="AD2" s="19">
        <v>6532900</v>
      </c>
      <c r="AE2" s="19">
        <v>881200</v>
      </c>
      <c r="AF2" s="19">
        <v>0</v>
      </c>
      <c r="AG2" s="19">
        <v>0</v>
      </c>
      <c r="AH2" s="19">
        <v>0</v>
      </c>
      <c r="AI2" s="19">
        <v>39300</v>
      </c>
      <c r="AJ2" s="19">
        <v>88550</v>
      </c>
      <c r="AK2" s="19">
        <v>0</v>
      </c>
      <c r="AL2" s="19">
        <v>0</v>
      </c>
      <c r="AM2" s="19">
        <v>5523850</v>
      </c>
      <c r="AN2" s="19">
        <v>3593095</v>
      </c>
      <c r="AO2" s="19">
        <v>0</v>
      </c>
      <c r="AP2" s="19">
        <v>3593095</v>
      </c>
    </row>
    <row r="3" spans="1:42" x14ac:dyDescent="0.4">
      <c r="A3" s="18" t="s">
        <v>48</v>
      </c>
      <c r="B3" s="18" t="s">
        <v>83</v>
      </c>
      <c r="C3" s="18" t="s">
        <v>84</v>
      </c>
      <c r="D3" s="18" t="s">
        <v>85</v>
      </c>
      <c r="E3" s="18" t="s">
        <v>86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47026662</v>
      </c>
      <c r="K3" s="18" t="s">
        <v>133</v>
      </c>
      <c r="L3" s="18"/>
      <c r="M3" s="18"/>
      <c r="N3" s="18" t="s">
        <v>64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1800</v>
      </c>
      <c r="T3" s="19">
        <v>4145800</v>
      </c>
      <c r="U3" s="19">
        <v>2421950</v>
      </c>
      <c r="V3" s="19">
        <v>0</v>
      </c>
      <c r="W3" s="19">
        <v>0</v>
      </c>
      <c r="X3" s="19">
        <v>0</v>
      </c>
      <c r="Y3" s="19">
        <v>19900</v>
      </c>
      <c r="Z3" s="19">
        <v>141950</v>
      </c>
      <c r="AA3" s="19">
        <v>0</v>
      </c>
      <c r="AB3" s="19">
        <v>0</v>
      </c>
      <c r="AC3" s="19">
        <v>1562000</v>
      </c>
      <c r="AD3" s="19">
        <v>4163975</v>
      </c>
      <c r="AE3" s="19">
        <v>2421950</v>
      </c>
      <c r="AF3" s="19">
        <v>0</v>
      </c>
      <c r="AG3" s="19">
        <v>0</v>
      </c>
      <c r="AH3" s="19">
        <v>0</v>
      </c>
      <c r="AI3" s="19">
        <v>23880</v>
      </c>
      <c r="AJ3" s="19">
        <v>156145</v>
      </c>
      <c r="AK3" s="19">
        <v>0</v>
      </c>
      <c r="AL3" s="19">
        <v>0</v>
      </c>
      <c r="AM3" s="19">
        <v>1562000</v>
      </c>
      <c r="AN3" s="19">
        <v>2290186</v>
      </c>
      <c r="AO3" s="19">
        <v>0</v>
      </c>
      <c r="AP3" s="19">
        <v>2290186</v>
      </c>
    </row>
    <row r="4" spans="1:42" x14ac:dyDescent="0.4">
      <c r="A4" s="18" t="s">
        <v>48</v>
      </c>
      <c r="B4" s="18" t="s">
        <v>83</v>
      </c>
      <c r="C4" s="18" t="s">
        <v>84</v>
      </c>
      <c r="D4" s="18" t="s">
        <v>85</v>
      </c>
      <c r="E4" s="18" t="s">
        <v>86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47026662</v>
      </c>
      <c r="K4" s="18" t="s">
        <v>133</v>
      </c>
      <c r="L4" s="18"/>
      <c r="M4" s="18"/>
      <c r="N4" s="18" t="s">
        <v>64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4500</v>
      </c>
      <c r="T4" s="19">
        <v>3626400</v>
      </c>
      <c r="U4" s="19">
        <v>2927350</v>
      </c>
      <c r="V4" s="19">
        <v>0</v>
      </c>
      <c r="W4" s="19">
        <v>0</v>
      </c>
      <c r="X4" s="19">
        <v>0</v>
      </c>
      <c r="Y4" s="19">
        <v>300</v>
      </c>
      <c r="Z4" s="19">
        <v>123700</v>
      </c>
      <c r="AA4" s="19">
        <v>0</v>
      </c>
      <c r="AB4" s="19">
        <v>0</v>
      </c>
      <c r="AC4" s="19">
        <v>575050</v>
      </c>
      <c r="AD4" s="19">
        <v>3638830</v>
      </c>
      <c r="AE4" s="19">
        <v>2927350</v>
      </c>
      <c r="AF4" s="19">
        <v>0</v>
      </c>
      <c r="AG4" s="19">
        <v>0</v>
      </c>
      <c r="AH4" s="19">
        <v>0</v>
      </c>
      <c r="AI4" s="19">
        <v>360</v>
      </c>
      <c r="AJ4" s="19">
        <v>136070</v>
      </c>
      <c r="AK4" s="19">
        <v>0</v>
      </c>
      <c r="AL4" s="19">
        <v>0</v>
      </c>
      <c r="AM4" s="19">
        <v>575050</v>
      </c>
      <c r="AN4" s="19">
        <v>2001357</v>
      </c>
      <c r="AO4" s="19">
        <v>0</v>
      </c>
      <c r="AP4" s="19">
        <v>2001357</v>
      </c>
    </row>
    <row r="5" spans="1:42" x14ac:dyDescent="0.4">
      <c r="A5" s="18" t="s">
        <v>48</v>
      </c>
      <c r="B5" s="18" t="s">
        <v>83</v>
      </c>
      <c r="C5" s="18" t="s">
        <v>84</v>
      </c>
      <c r="D5" s="18" t="s">
        <v>85</v>
      </c>
      <c r="E5" s="18" t="s">
        <v>86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47026662</v>
      </c>
      <c r="K5" s="18" t="s">
        <v>133</v>
      </c>
      <c r="L5" s="18"/>
      <c r="M5" s="18"/>
      <c r="N5" s="18" t="s">
        <v>64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9000</v>
      </c>
      <c r="T5" s="19">
        <v>8456200</v>
      </c>
      <c r="U5" s="19">
        <v>7097700</v>
      </c>
      <c r="V5" s="19">
        <v>0</v>
      </c>
      <c r="W5" s="19">
        <v>0</v>
      </c>
      <c r="X5" s="19">
        <v>0</v>
      </c>
      <c r="Y5" s="19">
        <v>13100</v>
      </c>
      <c r="Z5" s="19">
        <v>647900</v>
      </c>
      <c r="AA5" s="19">
        <v>0</v>
      </c>
      <c r="AB5" s="19">
        <v>0</v>
      </c>
      <c r="AC5" s="19">
        <v>697500</v>
      </c>
      <c r="AD5" s="19">
        <v>8523610</v>
      </c>
      <c r="AE5" s="19">
        <v>7097700</v>
      </c>
      <c r="AF5" s="19">
        <v>0</v>
      </c>
      <c r="AG5" s="19">
        <v>0</v>
      </c>
      <c r="AH5" s="19">
        <v>0</v>
      </c>
      <c r="AI5" s="19">
        <v>15720</v>
      </c>
      <c r="AJ5" s="19">
        <v>712690</v>
      </c>
      <c r="AK5" s="19">
        <v>0</v>
      </c>
      <c r="AL5" s="19">
        <v>0</v>
      </c>
      <c r="AM5" s="19">
        <v>697500</v>
      </c>
      <c r="AN5" s="19">
        <v>4687986</v>
      </c>
      <c r="AO5" s="19">
        <v>0</v>
      </c>
      <c r="AP5" s="19">
        <v>4687986</v>
      </c>
    </row>
    <row r="6" spans="1:42" x14ac:dyDescent="0.4">
      <c r="A6" s="18" t="s">
        <v>48</v>
      </c>
      <c r="B6" s="18" t="s">
        <v>83</v>
      </c>
      <c r="C6" s="18" t="s">
        <v>84</v>
      </c>
      <c r="D6" s="18" t="s">
        <v>85</v>
      </c>
      <c r="E6" s="18" t="s">
        <v>86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47944978</v>
      </c>
      <c r="K6" s="18" t="s">
        <v>134</v>
      </c>
      <c r="L6" s="18"/>
      <c r="M6" s="18"/>
      <c r="N6" s="18" t="s">
        <v>64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100</v>
      </c>
      <c r="T6" s="19">
        <v>662000</v>
      </c>
      <c r="U6" s="19">
        <v>214950</v>
      </c>
      <c r="V6" s="19">
        <v>0</v>
      </c>
      <c r="W6" s="19">
        <v>0</v>
      </c>
      <c r="X6" s="19">
        <v>0</v>
      </c>
      <c r="Y6" s="19">
        <v>500</v>
      </c>
      <c r="Z6" s="19">
        <v>8700</v>
      </c>
      <c r="AA6" s="19">
        <v>0</v>
      </c>
      <c r="AB6" s="19">
        <v>0</v>
      </c>
      <c r="AC6" s="19">
        <v>437850</v>
      </c>
      <c r="AD6" s="19">
        <v>662970</v>
      </c>
      <c r="AE6" s="19">
        <v>214950</v>
      </c>
      <c r="AF6" s="19">
        <v>0</v>
      </c>
      <c r="AG6" s="19">
        <v>0</v>
      </c>
      <c r="AH6" s="19">
        <v>0</v>
      </c>
      <c r="AI6" s="19">
        <v>600</v>
      </c>
      <c r="AJ6" s="19">
        <v>9570</v>
      </c>
      <c r="AK6" s="19">
        <v>0</v>
      </c>
      <c r="AL6" s="19">
        <v>0</v>
      </c>
      <c r="AM6" s="19">
        <v>437850</v>
      </c>
      <c r="AN6" s="19">
        <v>364634</v>
      </c>
      <c r="AO6" s="19">
        <v>0</v>
      </c>
      <c r="AP6" s="19">
        <v>364634</v>
      </c>
    </row>
    <row r="7" spans="1:42" x14ac:dyDescent="0.4">
      <c r="A7" s="18" t="s">
        <v>48</v>
      </c>
      <c r="B7" s="18" t="s">
        <v>83</v>
      </c>
      <c r="C7" s="18" t="s">
        <v>84</v>
      </c>
      <c r="D7" s="18" t="s">
        <v>85</v>
      </c>
      <c r="E7" s="18" t="s">
        <v>86</v>
      </c>
      <c r="F7" s="18" t="s">
        <v>49</v>
      </c>
      <c r="G7" s="18" t="s">
        <v>20</v>
      </c>
      <c r="H7" s="18" t="s">
        <v>21</v>
      </c>
      <c r="I7" s="18" t="s">
        <v>22</v>
      </c>
      <c r="J7" s="18">
        <v>47944978</v>
      </c>
      <c r="K7" s="18" t="s">
        <v>134</v>
      </c>
      <c r="L7" s="18"/>
      <c r="M7" s="18"/>
      <c r="N7" s="18" t="s">
        <v>64</v>
      </c>
      <c r="O7" s="18" t="s">
        <v>23</v>
      </c>
      <c r="P7" s="18">
        <v>0.55000000000000004</v>
      </c>
      <c r="Q7" s="18">
        <v>0.55000000000000004</v>
      </c>
      <c r="R7" s="19" t="s">
        <v>24</v>
      </c>
      <c r="S7" s="19">
        <v>4800</v>
      </c>
      <c r="T7" s="19">
        <v>393200</v>
      </c>
      <c r="U7" s="19">
        <v>317100</v>
      </c>
      <c r="V7" s="19">
        <v>0</v>
      </c>
      <c r="W7" s="19">
        <v>0</v>
      </c>
      <c r="X7" s="19">
        <v>0</v>
      </c>
      <c r="Y7" s="19">
        <v>4500</v>
      </c>
      <c r="Z7" s="19">
        <v>14500</v>
      </c>
      <c r="AA7" s="19">
        <v>0</v>
      </c>
      <c r="AB7" s="19">
        <v>0</v>
      </c>
      <c r="AC7" s="19">
        <v>57100</v>
      </c>
      <c r="AD7" s="19">
        <v>395550</v>
      </c>
      <c r="AE7" s="19">
        <v>317100</v>
      </c>
      <c r="AF7" s="19">
        <v>0</v>
      </c>
      <c r="AG7" s="19">
        <v>0</v>
      </c>
      <c r="AH7" s="19">
        <v>0</v>
      </c>
      <c r="AI7" s="19">
        <v>5400</v>
      </c>
      <c r="AJ7" s="19">
        <v>15950</v>
      </c>
      <c r="AK7" s="19">
        <v>0</v>
      </c>
      <c r="AL7" s="19">
        <v>0</v>
      </c>
      <c r="AM7" s="19">
        <v>57100</v>
      </c>
      <c r="AN7" s="19">
        <v>217553</v>
      </c>
      <c r="AO7" s="19">
        <v>0</v>
      </c>
      <c r="AP7" s="19">
        <v>217553</v>
      </c>
    </row>
    <row r="8" spans="1:42" x14ac:dyDescent="0.4">
      <c r="A8" s="18" t="s">
        <v>48</v>
      </c>
      <c r="B8" s="18" t="s">
        <v>83</v>
      </c>
      <c r="C8" s="18" t="s">
        <v>84</v>
      </c>
      <c r="D8" s="18" t="s">
        <v>85</v>
      </c>
      <c r="E8" s="18" t="s">
        <v>86</v>
      </c>
      <c r="F8" s="18" t="s">
        <v>49</v>
      </c>
      <c r="G8" s="18" t="s">
        <v>20</v>
      </c>
      <c r="H8" s="18" t="s">
        <v>21</v>
      </c>
      <c r="I8" s="18" t="s">
        <v>22</v>
      </c>
      <c r="J8" s="18">
        <v>47944978</v>
      </c>
      <c r="K8" s="18" t="s">
        <v>134</v>
      </c>
      <c r="L8" s="18"/>
      <c r="M8" s="18"/>
      <c r="N8" s="18" t="s">
        <v>64</v>
      </c>
      <c r="O8" s="18" t="s">
        <v>23</v>
      </c>
      <c r="P8" s="18">
        <v>0.55000000000000004</v>
      </c>
      <c r="Q8" s="18">
        <v>0.55000000000000004</v>
      </c>
      <c r="R8" s="19" t="s">
        <v>24</v>
      </c>
      <c r="S8" s="19">
        <v>9200</v>
      </c>
      <c r="T8" s="19">
        <v>255500</v>
      </c>
      <c r="U8" s="19">
        <v>177300</v>
      </c>
      <c r="V8" s="19">
        <v>0</v>
      </c>
      <c r="W8" s="19">
        <v>0</v>
      </c>
      <c r="X8" s="19">
        <v>0</v>
      </c>
      <c r="Y8" s="19">
        <v>0</v>
      </c>
      <c r="Z8" s="19">
        <v>36800</v>
      </c>
      <c r="AA8" s="19">
        <v>0</v>
      </c>
      <c r="AB8" s="19">
        <v>0</v>
      </c>
      <c r="AC8" s="19">
        <v>41400</v>
      </c>
      <c r="AD8" s="19">
        <v>259180</v>
      </c>
      <c r="AE8" s="19">
        <v>177300</v>
      </c>
      <c r="AF8" s="19">
        <v>0</v>
      </c>
      <c r="AG8" s="19">
        <v>0</v>
      </c>
      <c r="AH8" s="19">
        <v>0</v>
      </c>
      <c r="AI8" s="19">
        <v>0</v>
      </c>
      <c r="AJ8" s="19">
        <v>40480</v>
      </c>
      <c r="AK8" s="19">
        <v>0</v>
      </c>
      <c r="AL8" s="19">
        <v>0</v>
      </c>
      <c r="AM8" s="19">
        <v>41400</v>
      </c>
      <c r="AN8" s="19">
        <v>142549</v>
      </c>
      <c r="AO8" s="19">
        <v>0</v>
      </c>
      <c r="AP8" s="19">
        <v>142549</v>
      </c>
    </row>
    <row r="9" spans="1:42" x14ac:dyDescent="0.4">
      <c r="A9" s="18" t="s">
        <v>48</v>
      </c>
      <c r="B9" s="18" t="s">
        <v>83</v>
      </c>
      <c r="C9" s="18" t="s">
        <v>84</v>
      </c>
      <c r="D9" s="18" t="s">
        <v>85</v>
      </c>
      <c r="E9" s="18" t="s">
        <v>86</v>
      </c>
      <c r="F9" s="18" t="s">
        <v>49</v>
      </c>
      <c r="G9" s="18" t="s">
        <v>20</v>
      </c>
      <c r="H9" s="18" t="s">
        <v>21</v>
      </c>
      <c r="I9" s="18" t="s">
        <v>22</v>
      </c>
      <c r="J9" s="18">
        <v>47944978</v>
      </c>
      <c r="K9" s="18" t="s">
        <v>134</v>
      </c>
      <c r="L9" s="18"/>
      <c r="M9" s="18"/>
      <c r="N9" s="18" t="s">
        <v>64</v>
      </c>
      <c r="O9" s="18" t="s">
        <v>23</v>
      </c>
      <c r="P9" s="18">
        <v>0.55000000000000004</v>
      </c>
      <c r="Q9" s="18">
        <v>0.55000000000000004</v>
      </c>
      <c r="R9" s="19" t="s">
        <v>24</v>
      </c>
      <c r="S9" s="19">
        <v>13500</v>
      </c>
      <c r="T9" s="19">
        <v>281700</v>
      </c>
      <c r="U9" s="19">
        <v>256060</v>
      </c>
      <c r="V9" s="19">
        <v>0</v>
      </c>
      <c r="W9" s="19">
        <v>0</v>
      </c>
      <c r="X9" s="19">
        <v>0</v>
      </c>
      <c r="Y9" s="19">
        <v>0</v>
      </c>
      <c r="Z9" s="19">
        <v>22940</v>
      </c>
      <c r="AA9" s="19">
        <v>0</v>
      </c>
      <c r="AB9" s="19">
        <v>0</v>
      </c>
      <c r="AC9" s="19">
        <v>2700</v>
      </c>
      <c r="AD9" s="19">
        <v>283994</v>
      </c>
      <c r="AE9" s="19">
        <v>256060</v>
      </c>
      <c r="AF9" s="19">
        <v>0</v>
      </c>
      <c r="AG9" s="19">
        <v>0</v>
      </c>
      <c r="AH9" s="19">
        <v>0</v>
      </c>
      <c r="AI9" s="19">
        <v>0</v>
      </c>
      <c r="AJ9" s="19">
        <v>25234</v>
      </c>
      <c r="AK9" s="19">
        <v>0</v>
      </c>
      <c r="AL9" s="19">
        <v>0</v>
      </c>
      <c r="AM9" s="19">
        <v>2700</v>
      </c>
      <c r="AN9" s="19">
        <v>156197</v>
      </c>
      <c r="AO9" s="19">
        <v>0</v>
      </c>
      <c r="AP9" s="19">
        <v>156197</v>
      </c>
    </row>
    <row r="10" spans="1:42" x14ac:dyDescent="0.4">
      <c r="A10" s="18" t="s">
        <v>48</v>
      </c>
      <c r="B10" s="18" t="s">
        <v>83</v>
      </c>
      <c r="C10" s="18" t="s">
        <v>84</v>
      </c>
      <c r="D10" s="18" t="s">
        <v>85</v>
      </c>
      <c r="E10" s="18" t="s">
        <v>86</v>
      </c>
      <c r="F10" s="18" t="s">
        <v>49</v>
      </c>
      <c r="G10" s="18" t="s">
        <v>20</v>
      </c>
      <c r="H10" s="18" t="s">
        <v>21</v>
      </c>
      <c r="I10" s="18" t="s">
        <v>22</v>
      </c>
      <c r="J10" s="18">
        <v>48836576</v>
      </c>
      <c r="K10" s="18" t="s">
        <v>66</v>
      </c>
      <c r="L10" s="18"/>
      <c r="M10" s="18"/>
      <c r="N10" s="18" t="s">
        <v>64</v>
      </c>
      <c r="O10" s="18" t="s">
        <v>23</v>
      </c>
      <c r="P10" s="18">
        <v>0.55000000000000004</v>
      </c>
      <c r="Q10" s="18">
        <v>0.55000000000000004</v>
      </c>
      <c r="R10" s="19" t="s">
        <v>25</v>
      </c>
      <c r="S10" s="19">
        <v>100</v>
      </c>
      <c r="T10" s="19">
        <v>803700</v>
      </c>
      <c r="U10" s="19">
        <v>146850</v>
      </c>
      <c r="V10" s="19">
        <v>0</v>
      </c>
      <c r="W10" s="19">
        <v>0</v>
      </c>
      <c r="X10" s="19">
        <v>0</v>
      </c>
      <c r="Y10" s="19">
        <v>700</v>
      </c>
      <c r="Z10" s="19">
        <v>3400</v>
      </c>
      <c r="AA10" s="19">
        <v>0</v>
      </c>
      <c r="AB10" s="19">
        <v>0</v>
      </c>
      <c r="AC10" s="19">
        <v>652750</v>
      </c>
      <c r="AD10" s="19">
        <v>804180</v>
      </c>
      <c r="AE10" s="19">
        <v>146850</v>
      </c>
      <c r="AF10" s="19">
        <v>0</v>
      </c>
      <c r="AG10" s="19">
        <v>0</v>
      </c>
      <c r="AH10" s="19">
        <v>0</v>
      </c>
      <c r="AI10" s="19">
        <v>840</v>
      </c>
      <c r="AJ10" s="19">
        <v>3740</v>
      </c>
      <c r="AK10" s="19">
        <v>0</v>
      </c>
      <c r="AL10" s="19">
        <v>0</v>
      </c>
      <c r="AM10" s="19">
        <v>652750</v>
      </c>
      <c r="AN10" s="19">
        <v>442299</v>
      </c>
      <c r="AO10" s="19">
        <v>0</v>
      </c>
      <c r="AP10" s="19">
        <v>442299</v>
      </c>
    </row>
    <row r="11" spans="1:42" x14ac:dyDescent="0.4">
      <c r="A11" s="18" t="s">
        <v>48</v>
      </c>
      <c r="B11" s="18" t="s">
        <v>83</v>
      </c>
      <c r="C11" s="18" t="s">
        <v>84</v>
      </c>
      <c r="D11" s="18" t="s">
        <v>85</v>
      </c>
      <c r="E11" s="18" t="s">
        <v>86</v>
      </c>
      <c r="F11" s="18" t="s">
        <v>49</v>
      </c>
      <c r="G11" s="18" t="s">
        <v>20</v>
      </c>
      <c r="H11" s="18" t="s">
        <v>21</v>
      </c>
      <c r="I11" s="18" t="s">
        <v>22</v>
      </c>
      <c r="J11" s="18">
        <v>48836576</v>
      </c>
      <c r="K11" s="18" t="s">
        <v>66</v>
      </c>
      <c r="L11" s="18"/>
      <c r="M11" s="18"/>
      <c r="N11" s="18" t="s">
        <v>64</v>
      </c>
      <c r="O11" s="18" t="s">
        <v>23</v>
      </c>
      <c r="P11" s="18">
        <v>0.55000000000000004</v>
      </c>
      <c r="Q11" s="18">
        <v>0.55000000000000004</v>
      </c>
      <c r="R11" s="19" t="s">
        <v>24</v>
      </c>
      <c r="S11" s="19">
        <v>2400</v>
      </c>
      <c r="T11" s="19">
        <v>589100</v>
      </c>
      <c r="U11" s="19">
        <v>441700</v>
      </c>
      <c r="V11" s="19">
        <v>0</v>
      </c>
      <c r="W11" s="19">
        <v>0</v>
      </c>
      <c r="X11" s="19">
        <v>-300</v>
      </c>
      <c r="Y11" s="19">
        <v>300</v>
      </c>
      <c r="Z11" s="19">
        <v>1800</v>
      </c>
      <c r="AA11" s="19">
        <v>0</v>
      </c>
      <c r="AB11" s="19">
        <v>0</v>
      </c>
      <c r="AC11" s="19">
        <v>145600</v>
      </c>
      <c r="AD11" s="19">
        <v>589249.55870000005</v>
      </c>
      <c r="AE11" s="19">
        <v>441700</v>
      </c>
      <c r="AF11" s="19">
        <v>0</v>
      </c>
      <c r="AG11" s="19">
        <v>0</v>
      </c>
      <c r="AH11" s="19">
        <v>-390.44130000000001</v>
      </c>
      <c r="AI11" s="19">
        <v>360</v>
      </c>
      <c r="AJ11" s="19">
        <v>1980</v>
      </c>
      <c r="AK11" s="19">
        <v>0</v>
      </c>
      <c r="AL11" s="19">
        <v>0</v>
      </c>
      <c r="AM11" s="19">
        <v>145600</v>
      </c>
      <c r="AN11" s="19">
        <v>324087</v>
      </c>
      <c r="AO11" s="19">
        <v>0</v>
      </c>
      <c r="AP11" s="19">
        <v>324087</v>
      </c>
    </row>
    <row r="12" spans="1:42" x14ac:dyDescent="0.4">
      <c r="A12" s="18" t="s">
        <v>48</v>
      </c>
      <c r="B12" s="18" t="s">
        <v>83</v>
      </c>
      <c r="C12" s="18" t="s">
        <v>84</v>
      </c>
      <c r="D12" s="18" t="s">
        <v>85</v>
      </c>
      <c r="E12" s="18" t="s">
        <v>86</v>
      </c>
      <c r="F12" s="18" t="s">
        <v>49</v>
      </c>
      <c r="G12" s="18" t="s">
        <v>20</v>
      </c>
      <c r="H12" s="18" t="s">
        <v>21</v>
      </c>
      <c r="I12" s="18" t="s">
        <v>22</v>
      </c>
      <c r="J12" s="18">
        <v>48836576</v>
      </c>
      <c r="K12" s="18" t="s">
        <v>66</v>
      </c>
      <c r="L12" s="18"/>
      <c r="M12" s="18"/>
      <c r="N12" s="18" t="s">
        <v>64</v>
      </c>
      <c r="O12" s="18" t="s">
        <v>23</v>
      </c>
      <c r="P12" s="18">
        <v>0.55000000000000004</v>
      </c>
      <c r="Q12" s="18">
        <v>0.55000000000000004</v>
      </c>
      <c r="R12" s="19" t="s">
        <v>24</v>
      </c>
      <c r="S12" s="19">
        <v>9200</v>
      </c>
      <c r="T12" s="19">
        <v>561700</v>
      </c>
      <c r="U12" s="19">
        <v>461550</v>
      </c>
      <c r="V12" s="19">
        <v>0</v>
      </c>
      <c r="W12" s="19">
        <v>0</v>
      </c>
      <c r="X12" s="19">
        <v>0</v>
      </c>
      <c r="Y12" s="19">
        <v>0</v>
      </c>
      <c r="Z12" s="19">
        <v>9200</v>
      </c>
      <c r="AA12" s="19">
        <v>0</v>
      </c>
      <c r="AB12" s="19">
        <v>0</v>
      </c>
      <c r="AC12" s="19">
        <v>90950</v>
      </c>
      <c r="AD12" s="19">
        <v>562620</v>
      </c>
      <c r="AE12" s="19">
        <v>461550</v>
      </c>
      <c r="AF12" s="19">
        <v>0</v>
      </c>
      <c r="AG12" s="19">
        <v>0</v>
      </c>
      <c r="AH12" s="19">
        <v>0</v>
      </c>
      <c r="AI12" s="19">
        <v>0</v>
      </c>
      <c r="AJ12" s="19">
        <v>10120</v>
      </c>
      <c r="AK12" s="19">
        <v>0</v>
      </c>
      <c r="AL12" s="19">
        <v>0</v>
      </c>
      <c r="AM12" s="19">
        <v>90950</v>
      </c>
      <c r="AN12" s="19">
        <v>309441</v>
      </c>
      <c r="AO12" s="19">
        <v>0</v>
      </c>
      <c r="AP12" s="19">
        <v>309441</v>
      </c>
    </row>
    <row r="13" spans="1:42" x14ac:dyDescent="0.4">
      <c r="A13" s="18" t="s">
        <v>48</v>
      </c>
      <c r="B13" s="18" t="s">
        <v>83</v>
      </c>
      <c r="C13" s="18" t="s">
        <v>84</v>
      </c>
      <c r="D13" s="18" t="s">
        <v>85</v>
      </c>
      <c r="E13" s="18" t="s">
        <v>86</v>
      </c>
      <c r="F13" s="18" t="s">
        <v>49</v>
      </c>
      <c r="G13" s="18" t="s">
        <v>20</v>
      </c>
      <c r="H13" s="18" t="s">
        <v>21</v>
      </c>
      <c r="I13" s="18" t="s">
        <v>22</v>
      </c>
      <c r="J13" s="18">
        <v>48836576</v>
      </c>
      <c r="K13" s="18" t="s">
        <v>66</v>
      </c>
      <c r="L13" s="18"/>
      <c r="M13" s="18"/>
      <c r="N13" s="18" t="s">
        <v>64</v>
      </c>
      <c r="O13" s="18" t="s">
        <v>23</v>
      </c>
      <c r="P13" s="18">
        <v>0.55000000000000004</v>
      </c>
      <c r="Q13" s="18">
        <v>0.55000000000000004</v>
      </c>
      <c r="R13" s="19" t="s">
        <v>24</v>
      </c>
      <c r="S13" s="19">
        <v>18000</v>
      </c>
      <c r="T13" s="19">
        <v>225700</v>
      </c>
      <c r="U13" s="19">
        <v>224950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750</v>
      </c>
      <c r="AD13" s="19">
        <v>225700</v>
      </c>
      <c r="AE13" s="19">
        <v>224950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750</v>
      </c>
      <c r="AN13" s="19">
        <v>124135</v>
      </c>
      <c r="AO13" s="19">
        <v>0</v>
      </c>
      <c r="AP13" s="19">
        <v>124135</v>
      </c>
    </row>
    <row r="14" spans="1:42" x14ac:dyDescent="0.4">
      <c r="A14" s="18" t="s">
        <v>48</v>
      </c>
      <c r="B14" s="18" t="s">
        <v>83</v>
      </c>
      <c r="C14" s="18" t="s">
        <v>84</v>
      </c>
      <c r="D14" s="18" t="s">
        <v>85</v>
      </c>
      <c r="E14" s="18" t="s">
        <v>86</v>
      </c>
      <c r="F14" s="18" t="s">
        <v>49</v>
      </c>
      <c r="G14" s="18" t="s">
        <v>20</v>
      </c>
      <c r="H14" s="18" t="s">
        <v>21</v>
      </c>
      <c r="I14" s="18" t="s">
        <v>22</v>
      </c>
      <c r="J14" s="18">
        <v>49231182</v>
      </c>
      <c r="K14" s="18" t="s">
        <v>141</v>
      </c>
      <c r="L14" s="18"/>
      <c r="M14" s="18"/>
      <c r="N14" s="18" t="s">
        <v>64</v>
      </c>
      <c r="O14" s="18" t="s">
        <v>23</v>
      </c>
      <c r="P14" s="18">
        <v>0.55000000000000004</v>
      </c>
      <c r="Q14" s="18">
        <v>0.55000000000000004</v>
      </c>
      <c r="R14" s="19" t="s">
        <v>25</v>
      </c>
      <c r="S14" s="19">
        <v>100</v>
      </c>
      <c r="T14" s="19">
        <v>21600</v>
      </c>
      <c r="U14" s="19">
        <v>6650</v>
      </c>
      <c r="V14" s="19">
        <v>0</v>
      </c>
      <c r="W14" s="19">
        <v>0</v>
      </c>
      <c r="X14" s="19">
        <v>0</v>
      </c>
      <c r="Y14" s="19">
        <v>0</v>
      </c>
      <c r="Z14" s="19">
        <v>100</v>
      </c>
      <c r="AA14" s="19">
        <v>0</v>
      </c>
      <c r="AB14" s="19">
        <v>0</v>
      </c>
      <c r="AC14" s="19">
        <v>14850</v>
      </c>
      <c r="AD14" s="19">
        <v>21610</v>
      </c>
      <c r="AE14" s="19">
        <v>6650</v>
      </c>
      <c r="AF14" s="19">
        <v>0</v>
      </c>
      <c r="AG14" s="19">
        <v>0</v>
      </c>
      <c r="AH14" s="19">
        <v>0</v>
      </c>
      <c r="AI14" s="19">
        <v>0</v>
      </c>
      <c r="AJ14" s="19">
        <v>110</v>
      </c>
      <c r="AK14" s="19">
        <v>0</v>
      </c>
      <c r="AL14" s="19">
        <v>0</v>
      </c>
      <c r="AM14" s="19">
        <v>14850</v>
      </c>
      <c r="AN14" s="19">
        <v>11886</v>
      </c>
      <c r="AO14" s="19">
        <v>0</v>
      </c>
      <c r="AP14" s="19">
        <v>11886</v>
      </c>
    </row>
    <row r="15" spans="1:42" x14ac:dyDescent="0.4">
      <c r="A15" s="18" t="s">
        <v>48</v>
      </c>
      <c r="B15" s="18" t="s">
        <v>83</v>
      </c>
      <c r="C15" s="18" t="s">
        <v>84</v>
      </c>
      <c r="D15" s="18" t="s">
        <v>85</v>
      </c>
      <c r="E15" s="18" t="s">
        <v>86</v>
      </c>
      <c r="F15" s="18" t="s">
        <v>49</v>
      </c>
      <c r="G15" s="18" t="s">
        <v>20</v>
      </c>
      <c r="H15" s="18" t="s">
        <v>21</v>
      </c>
      <c r="I15" s="18" t="s">
        <v>22</v>
      </c>
      <c r="J15" s="18">
        <v>49231182</v>
      </c>
      <c r="K15" s="18" t="s">
        <v>141</v>
      </c>
      <c r="L15" s="18"/>
      <c r="M15" s="18"/>
      <c r="N15" s="18" t="s">
        <v>64</v>
      </c>
      <c r="O15" s="18" t="s">
        <v>23</v>
      </c>
      <c r="P15" s="18">
        <v>0.55000000000000004</v>
      </c>
      <c r="Q15" s="18">
        <v>0.55000000000000004</v>
      </c>
      <c r="R15" s="19" t="s">
        <v>24</v>
      </c>
      <c r="S15" s="19">
        <v>1800</v>
      </c>
      <c r="T15" s="19">
        <v>41100</v>
      </c>
      <c r="U15" s="19">
        <v>29000</v>
      </c>
      <c r="V15" s="19">
        <v>0</v>
      </c>
      <c r="W15" s="19">
        <v>0</v>
      </c>
      <c r="X15" s="19">
        <v>0</v>
      </c>
      <c r="Y15" s="19">
        <v>0</v>
      </c>
      <c r="Z15" s="19">
        <v>5400</v>
      </c>
      <c r="AA15" s="19">
        <v>0</v>
      </c>
      <c r="AB15" s="19">
        <v>0</v>
      </c>
      <c r="AC15" s="19">
        <v>6700</v>
      </c>
      <c r="AD15" s="19">
        <v>41640</v>
      </c>
      <c r="AE15" s="19">
        <v>29000</v>
      </c>
      <c r="AF15" s="19">
        <v>0</v>
      </c>
      <c r="AG15" s="19">
        <v>0</v>
      </c>
      <c r="AH15" s="19">
        <v>0</v>
      </c>
      <c r="AI15" s="19">
        <v>0</v>
      </c>
      <c r="AJ15" s="19">
        <v>5940</v>
      </c>
      <c r="AK15" s="19">
        <v>0</v>
      </c>
      <c r="AL15" s="19">
        <v>0</v>
      </c>
      <c r="AM15" s="19">
        <v>6700</v>
      </c>
      <c r="AN15" s="19">
        <v>22902</v>
      </c>
      <c r="AO15" s="19">
        <v>0</v>
      </c>
      <c r="AP15" s="19">
        <v>22902</v>
      </c>
    </row>
    <row r="16" spans="1:42" x14ac:dyDescent="0.4">
      <c r="A16" s="18" t="s">
        <v>48</v>
      </c>
      <c r="B16" s="18" t="s">
        <v>83</v>
      </c>
      <c r="C16" s="18" t="s">
        <v>84</v>
      </c>
      <c r="D16" s="18" t="s">
        <v>85</v>
      </c>
      <c r="E16" s="18" t="s">
        <v>86</v>
      </c>
      <c r="F16" s="18" t="s">
        <v>49</v>
      </c>
      <c r="G16" s="18" t="s">
        <v>20</v>
      </c>
      <c r="H16" s="18" t="s">
        <v>21</v>
      </c>
      <c r="I16" s="18" t="s">
        <v>22</v>
      </c>
      <c r="J16" s="18">
        <v>49231182</v>
      </c>
      <c r="K16" s="18" t="s">
        <v>141</v>
      </c>
      <c r="L16" s="18"/>
      <c r="M16" s="18"/>
      <c r="N16" s="18" t="s">
        <v>64</v>
      </c>
      <c r="O16" s="18" t="s">
        <v>23</v>
      </c>
      <c r="P16" s="18">
        <v>0.55000000000000004</v>
      </c>
      <c r="Q16" s="18">
        <v>0.55000000000000004</v>
      </c>
      <c r="R16" s="19" t="s">
        <v>24</v>
      </c>
      <c r="S16" s="19">
        <v>4500</v>
      </c>
      <c r="T16" s="19">
        <v>11700</v>
      </c>
      <c r="U16" s="19">
        <v>11700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11700</v>
      </c>
      <c r="AE16" s="19">
        <v>11700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6435</v>
      </c>
      <c r="AO16" s="19">
        <v>0</v>
      </c>
      <c r="AP16" s="19">
        <v>6435</v>
      </c>
    </row>
    <row r="17" spans="1:42" x14ac:dyDescent="0.4">
      <c r="A17" s="18" t="s">
        <v>48</v>
      </c>
      <c r="B17" s="18" t="s">
        <v>83</v>
      </c>
      <c r="C17" s="18" t="s">
        <v>84</v>
      </c>
      <c r="D17" s="18" t="s">
        <v>85</v>
      </c>
      <c r="E17" s="18" t="s">
        <v>86</v>
      </c>
      <c r="F17" s="18" t="s">
        <v>49</v>
      </c>
      <c r="G17" s="18" t="s">
        <v>20</v>
      </c>
      <c r="H17" s="18" t="s">
        <v>21</v>
      </c>
      <c r="I17" s="18" t="s">
        <v>22</v>
      </c>
      <c r="J17" s="18">
        <v>49394422</v>
      </c>
      <c r="K17" s="18" t="s">
        <v>142</v>
      </c>
      <c r="L17" s="18"/>
      <c r="M17" s="18"/>
      <c r="N17" s="18" t="s">
        <v>64</v>
      </c>
      <c r="O17" s="18" t="s">
        <v>23</v>
      </c>
      <c r="P17" s="18">
        <v>0.55000000000000004</v>
      </c>
      <c r="Q17" s="18">
        <v>0.55000000000000004</v>
      </c>
      <c r="R17" s="19" t="s">
        <v>25</v>
      </c>
      <c r="S17" s="19">
        <v>100</v>
      </c>
      <c r="T17" s="19">
        <v>33300</v>
      </c>
      <c r="U17" s="19">
        <v>5450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27850</v>
      </c>
      <c r="AD17" s="19">
        <v>33300</v>
      </c>
      <c r="AE17" s="19">
        <v>5450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27850</v>
      </c>
      <c r="AN17" s="19">
        <v>18315</v>
      </c>
      <c r="AO17" s="19">
        <v>0</v>
      </c>
      <c r="AP17" s="19">
        <v>18315</v>
      </c>
    </row>
    <row r="18" spans="1:42" x14ac:dyDescent="0.4">
      <c r="A18" s="18" t="s">
        <v>48</v>
      </c>
      <c r="B18" s="18" t="s">
        <v>83</v>
      </c>
      <c r="C18" s="18" t="s">
        <v>84</v>
      </c>
      <c r="D18" s="18" t="s">
        <v>85</v>
      </c>
      <c r="E18" s="18" t="s">
        <v>86</v>
      </c>
      <c r="F18" s="18" t="s">
        <v>49</v>
      </c>
      <c r="G18" s="18" t="s">
        <v>20</v>
      </c>
      <c r="H18" s="18" t="s">
        <v>21</v>
      </c>
      <c r="I18" s="18" t="s">
        <v>22</v>
      </c>
      <c r="J18" s="18">
        <v>49394422</v>
      </c>
      <c r="K18" s="18" t="s">
        <v>142</v>
      </c>
      <c r="L18" s="18"/>
      <c r="M18" s="18"/>
      <c r="N18" s="18" t="s">
        <v>64</v>
      </c>
      <c r="O18" s="18" t="s">
        <v>23</v>
      </c>
      <c r="P18" s="18">
        <v>0.55000000000000004</v>
      </c>
      <c r="Q18" s="18">
        <v>0.55000000000000004</v>
      </c>
      <c r="R18" s="19" t="s">
        <v>24</v>
      </c>
      <c r="S18" s="19">
        <v>1800</v>
      </c>
      <c r="T18" s="19">
        <v>46800</v>
      </c>
      <c r="U18" s="19">
        <v>30100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16700</v>
      </c>
      <c r="AD18" s="19">
        <v>46800</v>
      </c>
      <c r="AE18" s="19">
        <v>30100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16700</v>
      </c>
      <c r="AN18" s="19">
        <v>25740</v>
      </c>
      <c r="AO18" s="19">
        <v>0</v>
      </c>
      <c r="AP18" s="19">
        <v>25740</v>
      </c>
    </row>
    <row r="19" spans="1:42" x14ac:dyDescent="0.4">
      <c r="A19" s="18" t="s">
        <v>48</v>
      </c>
      <c r="B19" s="18" t="s">
        <v>83</v>
      </c>
      <c r="C19" s="18" t="s">
        <v>84</v>
      </c>
      <c r="D19" s="18" t="s">
        <v>85</v>
      </c>
      <c r="E19" s="18" t="s">
        <v>86</v>
      </c>
      <c r="F19" s="18" t="s">
        <v>49</v>
      </c>
      <c r="G19" s="18" t="s">
        <v>20</v>
      </c>
      <c r="H19" s="18" t="s">
        <v>21</v>
      </c>
      <c r="I19" s="18" t="s">
        <v>22</v>
      </c>
      <c r="J19" s="18">
        <v>49394422</v>
      </c>
      <c r="K19" s="18" t="s">
        <v>142</v>
      </c>
      <c r="L19" s="18"/>
      <c r="M19" s="18"/>
      <c r="N19" s="18" t="s">
        <v>64</v>
      </c>
      <c r="O19" s="18" t="s">
        <v>23</v>
      </c>
      <c r="P19" s="18">
        <v>0.55000000000000004</v>
      </c>
      <c r="Q19" s="18">
        <v>0.55000000000000004</v>
      </c>
      <c r="R19" s="19" t="s">
        <v>24</v>
      </c>
      <c r="S19" s="19">
        <v>4500</v>
      </c>
      <c r="T19" s="19">
        <v>8100</v>
      </c>
      <c r="U19" s="19">
        <v>8850</v>
      </c>
      <c r="V19" s="19">
        <v>0</v>
      </c>
      <c r="W19" s="19">
        <v>0</v>
      </c>
      <c r="X19" s="19">
        <v>0</v>
      </c>
      <c r="Y19" s="19">
        <v>-900</v>
      </c>
      <c r="Z19" s="19">
        <v>0</v>
      </c>
      <c r="AA19" s="19">
        <v>0</v>
      </c>
      <c r="AB19" s="19">
        <v>0</v>
      </c>
      <c r="AC19" s="19">
        <v>150</v>
      </c>
      <c r="AD19" s="19">
        <v>7920</v>
      </c>
      <c r="AE19" s="19">
        <v>8850</v>
      </c>
      <c r="AF19" s="19">
        <v>0</v>
      </c>
      <c r="AG19" s="19">
        <v>0</v>
      </c>
      <c r="AH19" s="19">
        <v>0</v>
      </c>
      <c r="AI19" s="19">
        <v>-1080</v>
      </c>
      <c r="AJ19" s="19">
        <v>0</v>
      </c>
      <c r="AK19" s="19">
        <v>0</v>
      </c>
      <c r="AL19" s="19">
        <v>0</v>
      </c>
      <c r="AM19" s="19">
        <v>150</v>
      </c>
      <c r="AN19" s="19">
        <v>4356</v>
      </c>
      <c r="AO19" s="19">
        <v>0</v>
      </c>
      <c r="AP19" s="19">
        <v>4356</v>
      </c>
    </row>
    <row r="20" spans="1:42" x14ac:dyDescent="0.4">
      <c r="A20" s="18" t="s">
        <v>48</v>
      </c>
      <c r="B20" s="18" t="s">
        <v>83</v>
      </c>
      <c r="C20" s="18" t="s">
        <v>84</v>
      </c>
      <c r="D20" s="18" t="s">
        <v>85</v>
      </c>
      <c r="E20" s="18" t="s">
        <v>86</v>
      </c>
      <c r="F20" s="18" t="s">
        <v>49</v>
      </c>
      <c r="G20" s="18" t="s">
        <v>20</v>
      </c>
      <c r="H20" s="18" t="s">
        <v>21</v>
      </c>
      <c r="I20" s="18" t="s">
        <v>22</v>
      </c>
      <c r="J20" s="18">
        <v>49394422</v>
      </c>
      <c r="K20" s="18" t="s">
        <v>142</v>
      </c>
      <c r="L20" s="18"/>
      <c r="M20" s="18"/>
      <c r="N20" s="18" t="s">
        <v>64</v>
      </c>
      <c r="O20" s="18" t="s">
        <v>23</v>
      </c>
      <c r="P20" s="18">
        <v>0.55000000000000004</v>
      </c>
      <c r="Q20" s="18">
        <v>0.55000000000000004</v>
      </c>
      <c r="R20" s="19" t="s">
        <v>24</v>
      </c>
      <c r="S20" s="19">
        <v>9000</v>
      </c>
      <c r="T20" s="19">
        <v>9000</v>
      </c>
      <c r="U20" s="19">
        <v>9000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9000</v>
      </c>
      <c r="AE20" s="19">
        <v>9000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4950</v>
      </c>
      <c r="AO20" s="19">
        <v>0</v>
      </c>
      <c r="AP20" s="19">
        <v>4950</v>
      </c>
    </row>
    <row r="21" spans="1:42" x14ac:dyDescent="0.4">
      <c r="A21" s="18" t="s">
        <v>48</v>
      </c>
      <c r="B21" s="18" t="s">
        <v>83</v>
      </c>
      <c r="C21" s="18" t="s">
        <v>84</v>
      </c>
      <c r="D21" s="18" t="s">
        <v>85</v>
      </c>
      <c r="E21" s="18" t="s">
        <v>86</v>
      </c>
      <c r="F21" s="18" t="s">
        <v>49</v>
      </c>
      <c r="G21" s="18" t="s">
        <v>20</v>
      </c>
      <c r="H21" s="18" t="s">
        <v>21</v>
      </c>
      <c r="I21" s="18" t="s">
        <v>22</v>
      </c>
      <c r="J21" s="18">
        <v>49403666</v>
      </c>
      <c r="K21" s="18" t="s">
        <v>135</v>
      </c>
      <c r="L21" s="18"/>
      <c r="M21" s="18"/>
      <c r="N21" s="18" t="s">
        <v>64</v>
      </c>
      <c r="O21" s="18" t="s">
        <v>23</v>
      </c>
      <c r="P21" s="18">
        <v>0.55000000000000004</v>
      </c>
      <c r="Q21" s="18">
        <v>0.55000000000000004</v>
      </c>
      <c r="R21" s="19" t="s">
        <v>25</v>
      </c>
      <c r="S21" s="19">
        <v>100</v>
      </c>
      <c r="T21" s="19">
        <v>56000</v>
      </c>
      <c r="U21" s="19">
        <v>9800</v>
      </c>
      <c r="V21" s="19">
        <v>0</v>
      </c>
      <c r="W21" s="19">
        <v>0</v>
      </c>
      <c r="X21" s="19">
        <v>0</v>
      </c>
      <c r="Y21" s="19">
        <v>0</v>
      </c>
      <c r="Z21" s="19">
        <v>800</v>
      </c>
      <c r="AA21" s="19">
        <v>0</v>
      </c>
      <c r="AB21" s="19">
        <v>0</v>
      </c>
      <c r="AC21" s="19">
        <v>45400</v>
      </c>
      <c r="AD21" s="19">
        <v>56080</v>
      </c>
      <c r="AE21" s="19">
        <v>9800</v>
      </c>
      <c r="AF21" s="19">
        <v>0</v>
      </c>
      <c r="AG21" s="19">
        <v>0</v>
      </c>
      <c r="AH21" s="19">
        <v>0</v>
      </c>
      <c r="AI21" s="19">
        <v>0</v>
      </c>
      <c r="AJ21" s="19">
        <v>880</v>
      </c>
      <c r="AK21" s="19">
        <v>0</v>
      </c>
      <c r="AL21" s="19">
        <v>0</v>
      </c>
      <c r="AM21" s="19">
        <v>45400</v>
      </c>
      <c r="AN21" s="19">
        <v>30844</v>
      </c>
      <c r="AO21" s="19">
        <v>0</v>
      </c>
      <c r="AP21" s="19">
        <v>30844</v>
      </c>
    </row>
    <row r="22" spans="1:42" x14ac:dyDescent="0.4">
      <c r="A22" s="18" t="s">
        <v>48</v>
      </c>
      <c r="B22" s="18" t="s">
        <v>83</v>
      </c>
      <c r="C22" s="18" t="s">
        <v>84</v>
      </c>
      <c r="D22" s="18" t="s">
        <v>85</v>
      </c>
      <c r="E22" s="18" t="s">
        <v>86</v>
      </c>
      <c r="F22" s="18" t="s">
        <v>49</v>
      </c>
      <c r="G22" s="18" t="s">
        <v>20</v>
      </c>
      <c r="H22" s="18" t="s">
        <v>21</v>
      </c>
      <c r="I22" s="18" t="s">
        <v>22</v>
      </c>
      <c r="J22" s="18">
        <v>49403666</v>
      </c>
      <c r="K22" s="18" t="s">
        <v>135</v>
      </c>
      <c r="L22" s="18"/>
      <c r="M22" s="18"/>
      <c r="N22" s="18" t="s">
        <v>64</v>
      </c>
      <c r="O22" s="18" t="s">
        <v>23</v>
      </c>
      <c r="P22" s="18">
        <v>0.55000000000000004</v>
      </c>
      <c r="Q22" s="18">
        <v>0.55000000000000004</v>
      </c>
      <c r="R22" s="19" t="s">
        <v>24</v>
      </c>
      <c r="S22" s="19">
        <v>1800</v>
      </c>
      <c r="T22" s="19">
        <v>48200</v>
      </c>
      <c r="U22" s="19">
        <v>28000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20200</v>
      </c>
      <c r="AD22" s="19">
        <v>48200</v>
      </c>
      <c r="AE22" s="19">
        <v>28000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20200</v>
      </c>
      <c r="AN22" s="19">
        <v>26510</v>
      </c>
      <c r="AO22" s="19">
        <v>0</v>
      </c>
      <c r="AP22" s="19">
        <v>26510</v>
      </c>
    </row>
    <row r="23" spans="1:42" x14ac:dyDescent="0.4">
      <c r="A23" s="18" t="s">
        <v>48</v>
      </c>
      <c r="B23" s="18" t="s">
        <v>83</v>
      </c>
      <c r="C23" s="18" t="s">
        <v>84</v>
      </c>
      <c r="D23" s="18" t="s">
        <v>85</v>
      </c>
      <c r="E23" s="18" t="s">
        <v>86</v>
      </c>
      <c r="F23" s="18" t="s">
        <v>49</v>
      </c>
      <c r="G23" s="18" t="s">
        <v>20</v>
      </c>
      <c r="H23" s="18" t="s">
        <v>21</v>
      </c>
      <c r="I23" s="18" t="s">
        <v>22</v>
      </c>
      <c r="J23" s="18">
        <v>49403666</v>
      </c>
      <c r="K23" s="18" t="s">
        <v>135</v>
      </c>
      <c r="L23" s="18"/>
      <c r="M23" s="18"/>
      <c r="N23" s="18" t="s">
        <v>64</v>
      </c>
      <c r="O23" s="18" t="s">
        <v>23</v>
      </c>
      <c r="P23" s="18">
        <v>0.55000000000000004</v>
      </c>
      <c r="Q23" s="18">
        <v>0.55000000000000004</v>
      </c>
      <c r="R23" s="19" t="s">
        <v>24</v>
      </c>
      <c r="S23" s="19">
        <v>4500</v>
      </c>
      <c r="T23" s="19">
        <v>22500</v>
      </c>
      <c r="U23" s="19">
        <v>13200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9300</v>
      </c>
      <c r="AD23" s="19">
        <v>22500</v>
      </c>
      <c r="AE23" s="19">
        <v>13200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9300</v>
      </c>
      <c r="AN23" s="19">
        <v>12375</v>
      </c>
      <c r="AO23" s="19">
        <v>0</v>
      </c>
      <c r="AP23" s="19">
        <v>12375</v>
      </c>
    </row>
    <row r="24" spans="1:42" x14ac:dyDescent="0.4">
      <c r="A24" s="18" t="s">
        <v>48</v>
      </c>
      <c r="B24" s="18" t="s">
        <v>83</v>
      </c>
      <c r="C24" s="18" t="s">
        <v>84</v>
      </c>
      <c r="D24" s="18" t="s">
        <v>85</v>
      </c>
      <c r="E24" s="18" t="s">
        <v>86</v>
      </c>
      <c r="F24" s="18" t="s">
        <v>49</v>
      </c>
      <c r="G24" s="18" t="s">
        <v>20</v>
      </c>
      <c r="H24" s="18" t="s">
        <v>21</v>
      </c>
      <c r="I24" s="18" t="s">
        <v>22</v>
      </c>
      <c r="J24" s="18">
        <v>49403666</v>
      </c>
      <c r="K24" s="18" t="s">
        <v>135</v>
      </c>
      <c r="L24" s="18"/>
      <c r="M24" s="18"/>
      <c r="N24" s="18" t="s">
        <v>64</v>
      </c>
      <c r="O24" s="18" t="s">
        <v>23</v>
      </c>
      <c r="P24" s="18">
        <v>0.55000000000000004</v>
      </c>
      <c r="Q24" s="18">
        <v>0.55000000000000004</v>
      </c>
      <c r="R24" s="19" t="s">
        <v>24</v>
      </c>
      <c r="S24" s="19">
        <v>9000</v>
      </c>
      <c r="T24" s="19">
        <v>9000</v>
      </c>
      <c r="U24" s="19">
        <v>9000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9000</v>
      </c>
      <c r="AE24" s="19">
        <v>9000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4950</v>
      </c>
      <c r="AO24" s="19">
        <v>0</v>
      </c>
      <c r="AP24" s="19">
        <v>4950</v>
      </c>
    </row>
    <row r="25" spans="1:42" x14ac:dyDescent="0.4">
      <c r="A25" s="18" t="s">
        <v>48</v>
      </c>
      <c r="B25" s="18" t="s">
        <v>83</v>
      </c>
      <c r="C25" s="18" t="s">
        <v>84</v>
      </c>
      <c r="D25" s="18" t="s">
        <v>85</v>
      </c>
      <c r="E25" s="18" t="s">
        <v>86</v>
      </c>
      <c r="F25" s="18" t="s">
        <v>49</v>
      </c>
      <c r="G25" s="18" t="s">
        <v>20</v>
      </c>
      <c r="H25" s="18" t="s">
        <v>21</v>
      </c>
      <c r="I25" s="18" t="s">
        <v>22</v>
      </c>
      <c r="J25" s="18">
        <v>50171772</v>
      </c>
      <c r="K25" s="18" t="s">
        <v>71</v>
      </c>
      <c r="L25" s="18"/>
      <c r="M25" s="18"/>
      <c r="N25" s="18" t="s">
        <v>64</v>
      </c>
      <c r="O25" s="18" t="s">
        <v>23</v>
      </c>
      <c r="P25" s="18">
        <v>0.55000000000000004</v>
      </c>
      <c r="Q25" s="18">
        <v>0.55000000000000004</v>
      </c>
      <c r="R25" s="19" t="s">
        <v>25</v>
      </c>
      <c r="S25" s="19">
        <v>100</v>
      </c>
      <c r="T25" s="19">
        <v>2556300</v>
      </c>
      <c r="U25" s="19">
        <v>582400</v>
      </c>
      <c r="V25" s="19">
        <v>0</v>
      </c>
      <c r="W25" s="19">
        <v>0</v>
      </c>
      <c r="X25" s="19">
        <v>0</v>
      </c>
      <c r="Y25" s="19">
        <v>15250</v>
      </c>
      <c r="Z25" s="19">
        <v>12250</v>
      </c>
      <c r="AA25" s="19">
        <v>0</v>
      </c>
      <c r="AB25" s="19">
        <v>0</v>
      </c>
      <c r="AC25" s="19">
        <v>1946400</v>
      </c>
      <c r="AD25" s="19">
        <v>2560575</v>
      </c>
      <c r="AE25" s="19">
        <v>582400</v>
      </c>
      <c r="AF25" s="19">
        <v>0</v>
      </c>
      <c r="AG25" s="19">
        <v>0</v>
      </c>
      <c r="AH25" s="19">
        <v>0</v>
      </c>
      <c r="AI25" s="19">
        <v>18300</v>
      </c>
      <c r="AJ25" s="19">
        <v>13475</v>
      </c>
      <c r="AK25" s="19">
        <v>0</v>
      </c>
      <c r="AL25" s="19">
        <v>0</v>
      </c>
      <c r="AM25" s="19">
        <v>1946400</v>
      </c>
      <c r="AN25" s="19">
        <v>1408316</v>
      </c>
      <c r="AO25" s="19">
        <v>0</v>
      </c>
      <c r="AP25" s="19">
        <v>1408316</v>
      </c>
    </row>
    <row r="26" spans="1:42" x14ac:dyDescent="0.4">
      <c r="A26" s="18" t="s">
        <v>48</v>
      </c>
      <c r="B26" s="18" t="s">
        <v>83</v>
      </c>
      <c r="C26" s="18" t="s">
        <v>84</v>
      </c>
      <c r="D26" s="18" t="s">
        <v>85</v>
      </c>
      <c r="E26" s="18" t="s">
        <v>86</v>
      </c>
      <c r="F26" s="18" t="s">
        <v>49</v>
      </c>
      <c r="G26" s="18" t="s">
        <v>20</v>
      </c>
      <c r="H26" s="18" t="s">
        <v>21</v>
      </c>
      <c r="I26" s="18" t="s">
        <v>22</v>
      </c>
      <c r="J26" s="18">
        <v>50171772</v>
      </c>
      <c r="K26" s="18" t="s">
        <v>71</v>
      </c>
      <c r="L26" s="18"/>
      <c r="M26" s="18"/>
      <c r="N26" s="18" t="s">
        <v>64</v>
      </c>
      <c r="O26" s="18" t="s">
        <v>23</v>
      </c>
      <c r="P26" s="18">
        <v>0.55000000000000004</v>
      </c>
      <c r="Q26" s="18">
        <v>0.55000000000000004</v>
      </c>
      <c r="R26" s="19" t="s">
        <v>24</v>
      </c>
      <c r="S26" s="19">
        <v>2400</v>
      </c>
      <c r="T26" s="19">
        <v>2195900</v>
      </c>
      <c r="U26" s="19">
        <v>1661700</v>
      </c>
      <c r="V26" s="19">
        <v>0</v>
      </c>
      <c r="W26" s="19">
        <v>0</v>
      </c>
      <c r="X26" s="19">
        <v>0</v>
      </c>
      <c r="Y26" s="19">
        <v>1600</v>
      </c>
      <c r="Z26" s="19">
        <v>76300</v>
      </c>
      <c r="AA26" s="19">
        <v>0</v>
      </c>
      <c r="AB26" s="19">
        <v>0</v>
      </c>
      <c r="AC26" s="19">
        <v>456300</v>
      </c>
      <c r="AD26" s="19">
        <v>2203850</v>
      </c>
      <c r="AE26" s="19">
        <v>1661700</v>
      </c>
      <c r="AF26" s="19">
        <v>0</v>
      </c>
      <c r="AG26" s="19">
        <v>0</v>
      </c>
      <c r="AH26" s="19">
        <v>0</v>
      </c>
      <c r="AI26" s="19">
        <v>1920</v>
      </c>
      <c r="AJ26" s="19">
        <v>83930</v>
      </c>
      <c r="AK26" s="19">
        <v>0</v>
      </c>
      <c r="AL26" s="19">
        <v>0</v>
      </c>
      <c r="AM26" s="19">
        <v>456300</v>
      </c>
      <c r="AN26" s="19">
        <v>1212118</v>
      </c>
      <c r="AO26" s="19">
        <v>0</v>
      </c>
      <c r="AP26" s="19">
        <v>1212118</v>
      </c>
    </row>
    <row r="27" spans="1:42" x14ac:dyDescent="0.4">
      <c r="A27" s="18" t="s">
        <v>48</v>
      </c>
      <c r="B27" s="18" t="s">
        <v>83</v>
      </c>
      <c r="C27" s="18" t="s">
        <v>84</v>
      </c>
      <c r="D27" s="18" t="s">
        <v>85</v>
      </c>
      <c r="E27" s="18" t="s">
        <v>86</v>
      </c>
      <c r="F27" s="18" t="s">
        <v>49</v>
      </c>
      <c r="G27" s="18" t="s">
        <v>20</v>
      </c>
      <c r="H27" s="18" t="s">
        <v>21</v>
      </c>
      <c r="I27" s="18" t="s">
        <v>22</v>
      </c>
      <c r="J27" s="18">
        <v>50171772</v>
      </c>
      <c r="K27" s="18" t="s">
        <v>71</v>
      </c>
      <c r="L27" s="18"/>
      <c r="M27" s="18"/>
      <c r="N27" s="18" t="s">
        <v>64</v>
      </c>
      <c r="O27" s="18" t="s">
        <v>23</v>
      </c>
      <c r="P27" s="18">
        <v>0.55000000000000004</v>
      </c>
      <c r="Q27" s="18">
        <v>0.55000000000000004</v>
      </c>
      <c r="R27" s="19" t="s">
        <v>24</v>
      </c>
      <c r="S27" s="19">
        <v>9200</v>
      </c>
      <c r="T27" s="19">
        <v>1730800</v>
      </c>
      <c r="U27" s="19">
        <v>1511200</v>
      </c>
      <c r="V27" s="19">
        <v>0</v>
      </c>
      <c r="W27" s="19">
        <v>0</v>
      </c>
      <c r="X27" s="19">
        <v>0</v>
      </c>
      <c r="Y27" s="19">
        <v>18400</v>
      </c>
      <c r="Z27" s="19">
        <v>53500</v>
      </c>
      <c r="AA27" s="19">
        <v>0</v>
      </c>
      <c r="AB27" s="19">
        <v>0</v>
      </c>
      <c r="AC27" s="19">
        <v>147700</v>
      </c>
      <c r="AD27" s="19">
        <v>1739830</v>
      </c>
      <c r="AE27" s="19">
        <v>1511200</v>
      </c>
      <c r="AF27" s="19">
        <v>0</v>
      </c>
      <c r="AG27" s="19">
        <v>0</v>
      </c>
      <c r="AH27" s="19">
        <v>0</v>
      </c>
      <c r="AI27" s="19">
        <v>22080</v>
      </c>
      <c r="AJ27" s="19">
        <v>58850</v>
      </c>
      <c r="AK27" s="19">
        <v>0</v>
      </c>
      <c r="AL27" s="19">
        <v>0</v>
      </c>
      <c r="AM27" s="19">
        <v>147700</v>
      </c>
      <c r="AN27" s="19">
        <v>956907</v>
      </c>
      <c r="AO27" s="19">
        <v>0</v>
      </c>
      <c r="AP27" s="19">
        <v>956907</v>
      </c>
    </row>
    <row r="28" spans="1:42" x14ac:dyDescent="0.4">
      <c r="A28" s="18" t="s">
        <v>48</v>
      </c>
      <c r="B28" s="18" t="s">
        <v>83</v>
      </c>
      <c r="C28" s="18" t="s">
        <v>84</v>
      </c>
      <c r="D28" s="18" t="s">
        <v>85</v>
      </c>
      <c r="E28" s="18" t="s">
        <v>86</v>
      </c>
      <c r="F28" s="18" t="s">
        <v>49</v>
      </c>
      <c r="G28" s="18" t="s">
        <v>20</v>
      </c>
      <c r="H28" s="18" t="s">
        <v>21</v>
      </c>
      <c r="I28" s="18" t="s">
        <v>22</v>
      </c>
      <c r="J28" s="18">
        <v>50171772</v>
      </c>
      <c r="K28" s="18" t="s">
        <v>71</v>
      </c>
      <c r="L28" s="18"/>
      <c r="M28" s="18"/>
      <c r="N28" s="18" t="s">
        <v>64</v>
      </c>
      <c r="O28" s="18" t="s">
        <v>23</v>
      </c>
      <c r="P28" s="18">
        <v>0.55000000000000004</v>
      </c>
      <c r="Q28" s="18">
        <v>0.55000000000000004</v>
      </c>
      <c r="R28" s="19" t="s">
        <v>24</v>
      </c>
      <c r="S28" s="19">
        <v>18000</v>
      </c>
      <c r="T28" s="19">
        <v>789200</v>
      </c>
      <c r="U28" s="19">
        <v>684800</v>
      </c>
      <c r="V28" s="19">
        <v>0</v>
      </c>
      <c r="W28" s="19">
        <v>0</v>
      </c>
      <c r="X28" s="19">
        <v>-50</v>
      </c>
      <c r="Y28" s="19">
        <v>950</v>
      </c>
      <c r="Z28" s="19">
        <v>71050</v>
      </c>
      <c r="AA28" s="19">
        <v>-1250</v>
      </c>
      <c r="AB28" s="19">
        <v>0</v>
      </c>
      <c r="AC28" s="19">
        <v>33700</v>
      </c>
      <c r="AD28" s="19">
        <v>796103.08790000004</v>
      </c>
      <c r="AE28" s="19">
        <v>684800</v>
      </c>
      <c r="AF28" s="19">
        <v>0</v>
      </c>
      <c r="AG28" s="19">
        <v>0</v>
      </c>
      <c r="AH28" s="19">
        <v>-65.073499999999996</v>
      </c>
      <c r="AI28" s="19">
        <v>1140</v>
      </c>
      <c r="AJ28" s="19">
        <v>78155</v>
      </c>
      <c r="AK28" s="19">
        <v>-1626.8386</v>
      </c>
      <c r="AL28" s="19">
        <v>0</v>
      </c>
      <c r="AM28" s="19">
        <v>33700</v>
      </c>
      <c r="AN28" s="19">
        <v>437857</v>
      </c>
      <c r="AO28" s="19">
        <v>0</v>
      </c>
      <c r="AP28" s="19">
        <v>437857</v>
      </c>
    </row>
    <row r="29" spans="1:42" x14ac:dyDescent="0.4">
      <c r="A29" s="18" t="s">
        <v>48</v>
      </c>
      <c r="B29" s="18" t="s">
        <v>83</v>
      </c>
      <c r="C29" s="18" t="s">
        <v>84</v>
      </c>
      <c r="D29" s="18" t="s">
        <v>85</v>
      </c>
      <c r="E29" s="18" t="s">
        <v>86</v>
      </c>
      <c r="F29" s="18" t="s">
        <v>49</v>
      </c>
      <c r="G29" s="18" t="s">
        <v>20</v>
      </c>
      <c r="H29" s="18" t="s">
        <v>21</v>
      </c>
      <c r="I29" s="18" t="s">
        <v>22</v>
      </c>
      <c r="J29" s="18">
        <v>52327507</v>
      </c>
      <c r="K29" s="18" t="s">
        <v>92</v>
      </c>
      <c r="L29" s="18"/>
      <c r="M29" s="18"/>
      <c r="N29" s="18" t="s">
        <v>64</v>
      </c>
      <c r="O29" s="18" t="s">
        <v>23</v>
      </c>
      <c r="P29" s="18">
        <v>0.55000000000000004</v>
      </c>
      <c r="Q29" s="18">
        <v>0.55000000000000004</v>
      </c>
      <c r="R29" s="19" t="s">
        <v>25</v>
      </c>
      <c r="S29" s="19">
        <v>100</v>
      </c>
      <c r="T29" s="19">
        <v>283900</v>
      </c>
      <c r="U29" s="19">
        <v>74700</v>
      </c>
      <c r="V29" s="19">
        <v>0</v>
      </c>
      <c r="W29" s="19">
        <v>0</v>
      </c>
      <c r="X29" s="19">
        <v>0</v>
      </c>
      <c r="Y29" s="19">
        <v>0</v>
      </c>
      <c r="Z29" s="19">
        <v>6100</v>
      </c>
      <c r="AA29" s="19">
        <v>0</v>
      </c>
      <c r="AB29" s="19">
        <v>0</v>
      </c>
      <c r="AC29" s="19">
        <v>203100</v>
      </c>
      <c r="AD29" s="19">
        <v>284510</v>
      </c>
      <c r="AE29" s="19">
        <v>74700</v>
      </c>
      <c r="AF29" s="19">
        <v>0</v>
      </c>
      <c r="AG29" s="19">
        <v>0</v>
      </c>
      <c r="AH29" s="19">
        <v>0</v>
      </c>
      <c r="AI29" s="19">
        <v>0</v>
      </c>
      <c r="AJ29" s="19">
        <v>6710</v>
      </c>
      <c r="AK29" s="19">
        <v>0</v>
      </c>
      <c r="AL29" s="19">
        <v>0</v>
      </c>
      <c r="AM29" s="19">
        <v>203100</v>
      </c>
      <c r="AN29" s="19">
        <v>156481</v>
      </c>
      <c r="AO29" s="19">
        <v>0</v>
      </c>
      <c r="AP29" s="19">
        <v>156481</v>
      </c>
    </row>
    <row r="30" spans="1:42" x14ac:dyDescent="0.4">
      <c r="A30" s="18" t="s">
        <v>48</v>
      </c>
      <c r="B30" s="18" t="s">
        <v>83</v>
      </c>
      <c r="C30" s="18" t="s">
        <v>84</v>
      </c>
      <c r="D30" s="18" t="s">
        <v>85</v>
      </c>
      <c r="E30" s="18" t="s">
        <v>86</v>
      </c>
      <c r="F30" s="18" t="s">
        <v>49</v>
      </c>
      <c r="G30" s="18" t="s">
        <v>20</v>
      </c>
      <c r="H30" s="18" t="s">
        <v>21</v>
      </c>
      <c r="I30" s="18" t="s">
        <v>22</v>
      </c>
      <c r="J30" s="18">
        <v>52327507</v>
      </c>
      <c r="K30" s="18" t="s">
        <v>92</v>
      </c>
      <c r="L30" s="18"/>
      <c r="M30" s="18"/>
      <c r="N30" s="18" t="s">
        <v>64</v>
      </c>
      <c r="O30" s="18" t="s">
        <v>23</v>
      </c>
      <c r="P30" s="18">
        <v>0.55000000000000004</v>
      </c>
      <c r="Q30" s="18">
        <v>0.55000000000000004</v>
      </c>
      <c r="R30" s="19" t="s">
        <v>24</v>
      </c>
      <c r="S30" s="19">
        <v>2400</v>
      </c>
      <c r="T30" s="19">
        <v>225800</v>
      </c>
      <c r="U30" s="19">
        <v>176000</v>
      </c>
      <c r="V30" s="19">
        <v>0</v>
      </c>
      <c r="W30" s="19">
        <v>0</v>
      </c>
      <c r="X30" s="19">
        <v>0</v>
      </c>
      <c r="Y30" s="19">
        <v>0</v>
      </c>
      <c r="Z30" s="19">
        <v>7200</v>
      </c>
      <c r="AA30" s="19">
        <v>0</v>
      </c>
      <c r="AB30" s="19">
        <v>0</v>
      </c>
      <c r="AC30" s="19">
        <v>42600</v>
      </c>
      <c r="AD30" s="19">
        <v>226520</v>
      </c>
      <c r="AE30" s="19">
        <v>176000</v>
      </c>
      <c r="AF30" s="19">
        <v>0</v>
      </c>
      <c r="AG30" s="19">
        <v>0</v>
      </c>
      <c r="AH30" s="19">
        <v>0</v>
      </c>
      <c r="AI30" s="19">
        <v>0</v>
      </c>
      <c r="AJ30" s="19">
        <v>7920</v>
      </c>
      <c r="AK30" s="19">
        <v>0</v>
      </c>
      <c r="AL30" s="19">
        <v>0</v>
      </c>
      <c r="AM30" s="19">
        <v>42600</v>
      </c>
      <c r="AN30" s="19">
        <v>124586</v>
      </c>
      <c r="AO30" s="19">
        <v>0</v>
      </c>
      <c r="AP30" s="19">
        <v>124586</v>
      </c>
    </row>
    <row r="31" spans="1:42" x14ac:dyDescent="0.4">
      <c r="A31" s="18" t="s">
        <v>48</v>
      </c>
      <c r="B31" s="18" t="s">
        <v>83</v>
      </c>
      <c r="C31" s="18" t="s">
        <v>84</v>
      </c>
      <c r="D31" s="18" t="s">
        <v>85</v>
      </c>
      <c r="E31" s="18" t="s">
        <v>86</v>
      </c>
      <c r="F31" s="18" t="s">
        <v>49</v>
      </c>
      <c r="G31" s="18" t="s">
        <v>20</v>
      </c>
      <c r="H31" s="18" t="s">
        <v>21</v>
      </c>
      <c r="I31" s="18" t="s">
        <v>22</v>
      </c>
      <c r="J31" s="18">
        <v>52327507</v>
      </c>
      <c r="K31" s="18" t="s">
        <v>92</v>
      </c>
      <c r="L31" s="18"/>
      <c r="M31" s="18"/>
      <c r="N31" s="18" t="s">
        <v>64</v>
      </c>
      <c r="O31" s="18" t="s">
        <v>23</v>
      </c>
      <c r="P31" s="18">
        <v>0.55000000000000004</v>
      </c>
      <c r="Q31" s="18">
        <v>0.55000000000000004</v>
      </c>
      <c r="R31" s="19" t="s">
        <v>24</v>
      </c>
      <c r="S31" s="19">
        <v>9200</v>
      </c>
      <c r="T31" s="19">
        <v>247200</v>
      </c>
      <c r="U31" s="19">
        <v>212250</v>
      </c>
      <c r="V31" s="19">
        <v>0</v>
      </c>
      <c r="W31" s="19">
        <v>0</v>
      </c>
      <c r="X31" s="19">
        <v>0</v>
      </c>
      <c r="Y31" s="19">
        <v>0</v>
      </c>
      <c r="Z31" s="19">
        <v>18400</v>
      </c>
      <c r="AA31" s="19">
        <v>0</v>
      </c>
      <c r="AB31" s="19">
        <v>0</v>
      </c>
      <c r="AC31" s="19">
        <v>16550</v>
      </c>
      <c r="AD31" s="19">
        <v>249040</v>
      </c>
      <c r="AE31" s="19">
        <v>212250</v>
      </c>
      <c r="AF31" s="19">
        <v>0</v>
      </c>
      <c r="AG31" s="19">
        <v>0</v>
      </c>
      <c r="AH31" s="19">
        <v>0</v>
      </c>
      <c r="AI31" s="19">
        <v>0</v>
      </c>
      <c r="AJ31" s="19">
        <v>20240</v>
      </c>
      <c r="AK31" s="19">
        <v>0</v>
      </c>
      <c r="AL31" s="19">
        <v>0</v>
      </c>
      <c r="AM31" s="19">
        <v>16550</v>
      </c>
      <c r="AN31" s="19">
        <v>136972</v>
      </c>
      <c r="AO31" s="19">
        <v>0</v>
      </c>
      <c r="AP31" s="19">
        <v>136972</v>
      </c>
    </row>
    <row r="32" spans="1:42" x14ac:dyDescent="0.4">
      <c r="A32" s="18" t="s">
        <v>48</v>
      </c>
      <c r="B32" s="18" t="s">
        <v>83</v>
      </c>
      <c r="C32" s="18" t="s">
        <v>84</v>
      </c>
      <c r="D32" s="18" t="s">
        <v>85</v>
      </c>
      <c r="E32" s="18" t="s">
        <v>86</v>
      </c>
      <c r="F32" s="18" t="s">
        <v>49</v>
      </c>
      <c r="G32" s="18" t="s">
        <v>20</v>
      </c>
      <c r="H32" s="18" t="s">
        <v>21</v>
      </c>
      <c r="I32" s="18" t="s">
        <v>22</v>
      </c>
      <c r="J32" s="18">
        <v>52327507</v>
      </c>
      <c r="K32" s="18" t="s">
        <v>92</v>
      </c>
      <c r="L32" s="18"/>
      <c r="M32" s="18"/>
      <c r="N32" s="18" t="s">
        <v>64</v>
      </c>
      <c r="O32" s="18" t="s">
        <v>23</v>
      </c>
      <c r="P32" s="18">
        <v>0.55000000000000004</v>
      </c>
      <c r="Q32" s="18">
        <v>0.55000000000000004</v>
      </c>
      <c r="R32" s="19" t="s">
        <v>24</v>
      </c>
      <c r="S32" s="19">
        <v>18000</v>
      </c>
      <c r="T32" s="19">
        <v>78000</v>
      </c>
      <c r="U32" s="19">
        <v>42000</v>
      </c>
      <c r="V32" s="19">
        <v>0</v>
      </c>
      <c r="W32" s="19">
        <v>0</v>
      </c>
      <c r="X32" s="19">
        <v>0</v>
      </c>
      <c r="Y32" s="19">
        <v>0</v>
      </c>
      <c r="Z32" s="19">
        <v>36000</v>
      </c>
      <c r="AA32" s="19">
        <v>0</v>
      </c>
      <c r="AB32" s="19">
        <v>0</v>
      </c>
      <c r="AC32" s="19">
        <v>0</v>
      </c>
      <c r="AD32" s="19">
        <v>81600</v>
      </c>
      <c r="AE32" s="19">
        <v>42000</v>
      </c>
      <c r="AF32" s="19">
        <v>0</v>
      </c>
      <c r="AG32" s="19">
        <v>0</v>
      </c>
      <c r="AH32" s="19">
        <v>0</v>
      </c>
      <c r="AI32" s="19">
        <v>0</v>
      </c>
      <c r="AJ32" s="19">
        <v>39600</v>
      </c>
      <c r="AK32" s="19">
        <v>0</v>
      </c>
      <c r="AL32" s="19">
        <v>0</v>
      </c>
      <c r="AM32" s="19">
        <v>0</v>
      </c>
      <c r="AN32" s="19">
        <v>44880</v>
      </c>
      <c r="AO32" s="19">
        <v>0</v>
      </c>
      <c r="AP32" s="19">
        <v>44880</v>
      </c>
    </row>
    <row r="33" spans="1:42" x14ac:dyDescent="0.4">
      <c r="A33" s="18" t="s">
        <v>48</v>
      </c>
      <c r="B33" s="18" t="s">
        <v>83</v>
      </c>
      <c r="C33" s="18" t="s">
        <v>84</v>
      </c>
      <c r="D33" s="18" t="s">
        <v>85</v>
      </c>
      <c r="E33" s="18" t="s">
        <v>86</v>
      </c>
      <c r="F33" s="18" t="s">
        <v>49</v>
      </c>
      <c r="G33" s="18" t="s">
        <v>20</v>
      </c>
      <c r="H33" s="18" t="s">
        <v>21</v>
      </c>
      <c r="I33" s="18" t="s">
        <v>22</v>
      </c>
      <c r="J33" s="18">
        <v>55635870</v>
      </c>
      <c r="K33" s="18" t="s">
        <v>90</v>
      </c>
      <c r="L33" s="18"/>
      <c r="M33" s="18"/>
      <c r="N33" s="18" t="s">
        <v>64</v>
      </c>
      <c r="O33" s="18" t="s">
        <v>23</v>
      </c>
      <c r="P33" s="18">
        <v>0.55000000000000004</v>
      </c>
      <c r="Q33" s="18">
        <v>0.55000000000000004</v>
      </c>
      <c r="R33" s="19" t="s">
        <v>25</v>
      </c>
      <c r="S33" s="19">
        <v>100</v>
      </c>
      <c r="T33" s="19">
        <v>4389800</v>
      </c>
      <c r="U33" s="19">
        <v>774500</v>
      </c>
      <c r="V33" s="19">
        <v>0</v>
      </c>
      <c r="W33" s="19">
        <v>0</v>
      </c>
      <c r="X33" s="19">
        <v>0</v>
      </c>
      <c r="Y33" s="19">
        <v>13350</v>
      </c>
      <c r="Z33" s="19">
        <v>50350</v>
      </c>
      <c r="AA33" s="19">
        <v>0</v>
      </c>
      <c r="AB33" s="19">
        <v>0</v>
      </c>
      <c r="AC33" s="19">
        <v>3551600</v>
      </c>
      <c r="AD33" s="19">
        <v>4397505</v>
      </c>
      <c r="AE33" s="19">
        <v>774500</v>
      </c>
      <c r="AF33" s="19">
        <v>0</v>
      </c>
      <c r="AG33" s="19">
        <v>0</v>
      </c>
      <c r="AH33" s="19">
        <v>0</v>
      </c>
      <c r="AI33" s="19">
        <v>16020</v>
      </c>
      <c r="AJ33" s="19">
        <v>55385</v>
      </c>
      <c r="AK33" s="19">
        <v>0</v>
      </c>
      <c r="AL33" s="19">
        <v>0</v>
      </c>
      <c r="AM33" s="19">
        <v>3551600</v>
      </c>
      <c r="AN33" s="19">
        <v>2418628</v>
      </c>
      <c r="AO33" s="19">
        <v>0</v>
      </c>
      <c r="AP33" s="19">
        <v>2418628</v>
      </c>
    </row>
    <row r="34" spans="1:42" x14ac:dyDescent="0.4">
      <c r="A34" s="18" t="s">
        <v>48</v>
      </c>
      <c r="B34" s="18" t="s">
        <v>83</v>
      </c>
      <c r="C34" s="18" t="s">
        <v>84</v>
      </c>
      <c r="D34" s="18" t="s">
        <v>85</v>
      </c>
      <c r="E34" s="18" t="s">
        <v>86</v>
      </c>
      <c r="F34" s="18" t="s">
        <v>49</v>
      </c>
      <c r="G34" s="18" t="s">
        <v>20</v>
      </c>
      <c r="H34" s="18" t="s">
        <v>21</v>
      </c>
      <c r="I34" s="18" t="s">
        <v>22</v>
      </c>
      <c r="J34" s="18">
        <v>55635870</v>
      </c>
      <c r="K34" s="18" t="s">
        <v>90</v>
      </c>
      <c r="L34" s="18"/>
      <c r="M34" s="18"/>
      <c r="N34" s="18" t="s">
        <v>64</v>
      </c>
      <c r="O34" s="18" t="s">
        <v>23</v>
      </c>
      <c r="P34" s="18">
        <v>0.55000000000000004</v>
      </c>
      <c r="Q34" s="18">
        <v>0.55000000000000004</v>
      </c>
      <c r="R34" s="19" t="s">
        <v>24</v>
      </c>
      <c r="S34" s="19">
        <v>2400</v>
      </c>
      <c r="T34" s="19">
        <v>2476700</v>
      </c>
      <c r="U34" s="19">
        <v>1703120</v>
      </c>
      <c r="V34" s="19">
        <v>0</v>
      </c>
      <c r="W34" s="19">
        <v>0</v>
      </c>
      <c r="X34" s="19">
        <v>0</v>
      </c>
      <c r="Y34" s="19">
        <v>6870</v>
      </c>
      <c r="Z34" s="19">
        <v>87860</v>
      </c>
      <c r="AA34" s="19">
        <v>0</v>
      </c>
      <c r="AB34" s="19">
        <v>0</v>
      </c>
      <c r="AC34" s="19">
        <v>678850</v>
      </c>
      <c r="AD34" s="19">
        <v>2486860</v>
      </c>
      <c r="AE34" s="19">
        <v>1703120</v>
      </c>
      <c r="AF34" s="19">
        <v>0</v>
      </c>
      <c r="AG34" s="19">
        <v>0</v>
      </c>
      <c r="AH34" s="19">
        <v>0</v>
      </c>
      <c r="AI34" s="19">
        <v>8244</v>
      </c>
      <c r="AJ34" s="19">
        <v>96646</v>
      </c>
      <c r="AK34" s="19">
        <v>0</v>
      </c>
      <c r="AL34" s="19">
        <v>0</v>
      </c>
      <c r="AM34" s="19">
        <v>678850</v>
      </c>
      <c r="AN34" s="19">
        <v>1367773</v>
      </c>
      <c r="AO34" s="19">
        <v>0</v>
      </c>
      <c r="AP34" s="19">
        <v>1367773</v>
      </c>
    </row>
    <row r="35" spans="1:42" x14ac:dyDescent="0.4">
      <c r="A35" s="18" t="s">
        <v>48</v>
      </c>
      <c r="B35" s="18" t="s">
        <v>83</v>
      </c>
      <c r="C35" s="18" t="s">
        <v>84</v>
      </c>
      <c r="D35" s="18" t="s">
        <v>85</v>
      </c>
      <c r="E35" s="18" t="s">
        <v>86</v>
      </c>
      <c r="F35" s="18" t="s">
        <v>49</v>
      </c>
      <c r="G35" s="18" t="s">
        <v>20</v>
      </c>
      <c r="H35" s="18" t="s">
        <v>21</v>
      </c>
      <c r="I35" s="18" t="s">
        <v>22</v>
      </c>
      <c r="J35" s="18">
        <v>55635870</v>
      </c>
      <c r="K35" s="18" t="s">
        <v>90</v>
      </c>
      <c r="L35" s="18"/>
      <c r="M35" s="18"/>
      <c r="N35" s="18" t="s">
        <v>64</v>
      </c>
      <c r="O35" s="18" t="s">
        <v>23</v>
      </c>
      <c r="P35" s="18">
        <v>0.55000000000000004</v>
      </c>
      <c r="Q35" s="18">
        <v>0.55000000000000004</v>
      </c>
      <c r="R35" s="19" t="s">
        <v>24</v>
      </c>
      <c r="S35" s="19">
        <v>9200</v>
      </c>
      <c r="T35" s="19">
        <v>3216000</v>
      </c>
      <c r="U35" s="19">
        <v>2719150</v>
      </c>
      <c r="V35" s="19">
        <v>0</v>
      </c>
      <c r="W35" s="19">
        <v>0</v>
      </c>
      <c r="X35" s="19">
        <v>0</v>
      </c>
      <c r="Y35" s="19">
        <v>150</v>
      </c>
      <c r="Z35" s="19">
        <v>191500</v>
      </c>
      <c r="AA35" s="19">
        <v>0</v>
      </c>
      <c r="AB35" s="19">
        <v>0</v>
      </c>
      <c r="AC35" s="19">
        <v>305200</v>
      </c>
      <c r="AD35" s="19">
        <v>3235180</v>
      </c>
      <c r="AE35" s="19">
        <v>2719150</v>
      </c>
      <c r="AF35" s="19">
        <v>0</v>
      </c>
      <c r="AG35" s="19">
        <v>0</v>
      </c>
      <c r="AH35" s="19">
        <v>0</v>
      </c>
      <c r="AI35" s="19">
        <v>180</v>
      </c>
      <c r="AJ35" s="19">
        <v>210650</v>
      </c>
      <c r="AK35" s="19">
        <v>0</v>
      </c>
      <c r="AL35" s="19">
        <v>0</v>
      </c>
      <c r="AM35" s="19">
        <v>305200</v>
      </c>
      <c r="AN35" s="19">
        <v>1779349</v>
      </c>
      <c r="AO35" s="19">
        <v>0</v>
      </c>
      <c r="AP35" s="19">
        <v>1779349</v>
      </c>
    </row>
    <row r="36" spans="1:42" x14ac:dyDescent="0.4">
      <c r="A36" s="18" t="s">
        <v>48</v>
      </c>
      <c r="B36" s="18" t="s">
        <v>83</v>
      </c>
      <c r="C36" s="18" t="s">
        <v>84</v>
      </c>
      <c r="D36" s="18" t="s">
        <v>85</v>
      </c>
      <c r="E36" s="18" t="s">
        <v>86</v>
      </c>
      <c r="F36" s="18" t="s">
        <v>49</v>
      </c>
      <c r="G36" s="18" t="s">
        <v>20</v>
      </c>
      <c r="H36" s="18" t="s">
        <v>21</v>
      </c>
      <c r="I36" s="18" t="s">
        <v>22</v>
      </c>
      <c r="J36" s="18">
        <v>55635870</v>
      </c>
      <c r="K36" s="18" t="s">
        <v>90</v>
      </c>
      <c r="L36" s="18"/>
      <c r="M36" s="18"/>
      <c r="N36" s="18" t="s">
        <v>64</v>
      </c>
      <c r="O36" s="18" t="s">
        <v>23</v>
      </c>
      <c r="P36" s="18">
        <v>0.55000000000000004</v>
      </c>
      <c r="Q36" s="18">
        <v>0.55000000000000004</v>
      </c>
      <c r="R36" s="19" t="s">
        <v>24</v>
      </c>
      <c r="S36" s="19">
        <v>18000</v>
      </c>
      <c r="T36" s="19">
        <v>1774500</v>
      </c>
      <c r="U36" s="19">
        <v>1589250</v>
      </c>
      <c r="V36" s="19">
        <v>0</v>
      </c>
      <c r="W36" s="19">
        <v>0</v>
      </c>
      <c r="X36" s="19">
        <v>0</v>
      </c>
      <c r="Y36" s="19">
        <v>0</v>
      </c>
      <c r="Z36" s="19">
        <v>124200</v>
      </c>
      <c r="AA36" s="19">
        <v>0</v>
      </c>
      <c r="AB36" s="19">
        <v>0</v>
      </c>
      <c r="AC36" s="19">
        <v>61050</v>
      </c>
      <c r="AD36" s="19">
        <v>1786920</v>
      </c>
      <c r="AE36" s="19">
        <v>1589250</v>
      </c>
      <c r="AF36" s="19">
        <v>0</v>
      </c>
      <c r="AG36" s="19">
        <v>0</v>
      </c>
      <c r="AH36" s="19">
        <v>0</v>
      </c>
      <c r="AI36" s="19">
        <v>0</v>
      </c>
      <c r="AJ36" s="19">
        <v>136620</v>
      </c>
      <c r="AK36" s="19">
        <v>0</v>
      </c>
      <c r="AL36" s="19">
        <v>0</v>
      </c>
      <c r="AM36" s="19">
        <v>61050</v>
      </c>
      <c r="AN36" s="19">
        <v>982806</v>
      </c>
      <c r="AO36" s="19">
        <v>0</v>
      </c>
      <c r="AP36" s="19">
        <v>982806</v>
      </c>
    </row>
    <row r="37" spans="1:42" x14ac:dyDescent="0.4">
      <c r="A37" s="18" t="s">
        <v>48</v>
      </c>
      <c r="B37" s="18" t="s">
        <v>83</v>
      </c>
      <c r="C37" s="18" t="s">
        <v>84</v>
      </c>
      <c r="D37" s="18" t="s">
        <v>85</v>
      </c>
      <c r="E37" s="18" t="s">
        <v>86</v>
      </c>
      <c r="F37" s="18" t="s">
        <v>49</v>
      </c>
      <c r="G37" s="18" t="s">
        <v>20</v>
      </c>
      <c r="H37" s="18" t="s">
        <v>21</v>
      </c>
      <c r="I37" s="18" t="s">
        <v>22</v>
      </c>
      <c r="J37" s="18">
        <v>56485755</v>
      </c>
      <c r="K37" s="18" t="s">
        <v>93</v>
      </c>
      <c r="L37" s="18"/>
      <c r="M37" s="18"/>
      <c r="N37" s="18" t="s">
        <v>64</v>
      </c>
      <c r="O37" s="18" t="s">
        <v>23</v>
      </c>
      <c r="P37" s="18">
        <v>0.55000000000000004</v>
      </c>
      <c r="Q37" s="18">
        <v>0.55000000000000004</v>
      </c>
      <c r="R37" s="19" t="s">
        <v>25</v>
      </c>
      <c r="S37" s="19">
        <v>3200</v>
      </c>
      <c r="T37" s="19">
        <v>883200</v>
      </c>
      <c r="U37" s="19">
        <v>736600</v>
      </c>
      <c r="V37" s="19">
        <v>0</v>
      </c>
      <c r="W37" s="19">
        <v>0</v>
      </c>
      <c r="X37" s="19">
        <v>0</v>
      </c>
      <c r="Y37" s="19">
        <v>1000</v>
      </c>
      <c r="Z37" s="19">
        <v>48100</v>
      </c>
      <c r="AA37" s="19">
        <v>0</v>
      </c>
      <c r="AB37" s="19">
        <v>0</v>
      </c>
      <c r="AC37" s="19">
        <v>97500</v>
      </c>
      <c r="AD37" s="19">
        <v>888210</v>
      </c>
      <c r="AE37" s="19">
        <v>736600</v>
      </c>
      <c r="AF37" s="19">
        <v>0</v>
      </c>
      <c r="AG37" s="19">
        <v>0</v>
      </c>
      <c r="AH37" s="19">
        <v>0</v>
      </c>
      <c r="AI37" s="19">
        <v>1200</v>
      </c>
      <c r="AJ37" s="19">
        <v>52910</v>
      </c>
      <c r="AK37" s="19">
        <v>0</v>
      </c>
      <c r="AL37" s="19">
        <v>0</v>
      </c>
      <c r="AM37" s="19">
        <v>97500</v>
      </c>
      <c r="AN37" s="19">
        <v>488516</v>
      </c>
      <c r="AO37" s="19">
        <v>0</v>
      </c>
      <c r="AP37" s="19">
        <v>488516</v>
      </c>
    </row>
    <row r="38" spans="1:42" x14ac:dyDescent="0.4">
      <c r="A38" s="18" t="s">
        <v>48</v>
      </c>
      <c r="B38" s="18" t="s">
        <v>83</v>
      </c>
      <c r="C38" s="18" t="s">
        <v>84</v>
      </c>
      <c r="D38" s="18" t="s">
        <v>85</v>
      </c>
      <c r="E38" s="18" t="s">
        <v>86</v>
      </c>
      <c r="F38" s="18" t="s">
        <v>49</v>
      </c>
      <c r="G38" s="18" t="s">
        <v>20</v>
      </c>
      <c r="H38" s="18" t="s">
        <v>21</v>
      </c>
      <c r="I38" s="18" t="s">
        <v>22</v>
      </c>
      <c r="J38" s="18">
        <v>56485755</v>
      </c>
      <c r="K38" s="18" t="s">
        <v>93</v>
      </c>
      <c r="L38" s="18"/>
      <c r="M38" s="18"/>
      <c r="N38" s="18" t="s">
        <v>64</v>
      </c>
      <c r="O38" s="18" t="s">
        <v>23</v>
      </c>
      <c r="P38" s="18">
        <v>0.55000000000000004</v>
      </c>
      <c r="Q38" s="18">
        <v>0.55000000000000004</v>
      </c>
      <c r="R38" s="19" t="s">
        <v>24</v>
      </c>
      <c r="S38" s="19">
        <v>44800</v>
      </c>
      <c r="T38" s="19">
        <v>131200</v>
      </c>
      <c r="U38" s="19">
        <v>131200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131200</v>
      </c>
      <c r="AE38" s="19">
        <v>131200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72160</v>
      </c>
      <c r="AO38" s="19">
        <v>0</v>
      </c>
      <c r="AP38" s="19">
        <v>72160</v>
      </c>
    </row>
    <row r="39" spans="1:42" x14ac:dyDescent="0.4">
      <c r="A39" s="18" t="s">
        <v>48</v>
      </c>
      <c r="B39" s="18" t="s">
        <v>83</v>
      </c>
      <c r="C39" s="18" t="s">
        <v>84</v>
      </c>
      <c r="D39" s="18" t="s">
        <v>85</v>
      </c>
      <c r="E39" s="18" t="s">
        <v>86</v>
      </c>
      <c r="F39" s="18" t="s">
        <v>49</v>
      </c>
      <c r="G39" s="18" t="s">
        <v>20</v>
      </c>
      <c r="H39" s="18" t="s">
        <v>21</v>
      </c>
      <c r="I39" s="18" t="s">
        <v>22</v>
      </c>
      <c r="J39" s="18">
        <v>56765062</v>
      </c>
      <c r="K39" s="18" t="s">
        <v>100</v>
      </c>
      <c r="L39" s="18"/>
      <c r="M39" s="18"/>
      <c r="N39" s="18" t="s">
        <v>64</v>
      </c>
      <c r="O39" s="18" t="s">
        <v>23</v>
      </c>
      <c r="P39" s="18">
        <v>0.55000000000000004</v>
      </c>
      <c r="Q39" s="18">
        <v>0.55000000000000004</v>
      </c>
      <c r="R39" s="19" t="s">
        <v>25</v>
      </c>
      <c r="S39" s="19">
        <v>3200</v>
      </c>
      <c r="T39" s="19">
        <v>38400</v>
      </c>
      <c r="U39" s="19">
        <v>38400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38400</v>
      </c>
      <c r="AE39" s="19">
        <v>38400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21120</v>
      </c>
      <c r="AO39" s="19">
        <v>0</v>
      </c>
      <c r="AP39" s="19">
        <v>21120</v>
      </c>
    </row>
    <row r="40" spans="1:42" x14ac:dyDescent="0.4">
      <c r="A40" s="18" t="s">
        <v>48</v>
      </c>
      <c r="B40" s="18" t="s">
        <v>83</v>
      </c>
      <c r="C40" s="18" t="s">
        <v>84</v>
      </c>
      <c r="D40" s="18" t="s">
        <v>85</v>
      </c>
      <c r="E40" s="18" t="s">
        <v>86</v>
      </c>
      <c r="F40" s="18" t="s">
        <v>49</v>
      </c>
      <c r="G40" s="18" t="s">
        <v>20</v>
      </c>
      <c r="H40" s="18" t="s">
        <v>21</v>
      </c>
      <c r="I40" s="18" t="s">
        <v>22</v>
      </c>
      <c r="J40" s="18">
        <v>56765062</v>
      </c>
      <c r="K40" s="18" t="s">
        <v>100</v>
      </c>
      <c r="L40" s="18"/>
      <c r="M40" s="18"/>
      <c r="N40" s="18" t="s">
        <v>64</v>
      </c>
      <c r="O40" s="18" t="s">
        <v>23</v>
      </c>
      <c r="P40" s="18">
        <v>0.55000000000000004</v>
      </c>
      <c r="Q40" s="18">
        <v>0.55000000000000004</v>
      </c>
      <c r="R40" s="19" t="s">
        <v>98</v>
      </c>
      <c r="S40" s="19">
        <v>900</v>
      </c>
      <c r="T40" s="19">
        <v>151200</v>
      </c>
      <c r="U40" s="19">
        <v>114900</v>
      </c>
      <c r="V40" s="19">
        <v>0</v>
      </c>
      <c r="W40" s="19">
        <v>0</v>
      </c>
      <c r="X40" s="19">
        <v>0</v>
      </c>
      <c r="Y40" s="19">
        <v>0</v>
      </c>
      <c r="Z40" s="19">
        <v>18900</v>
      </c>
      <c r="AA40" s="19">
        <v>0</v>
      </c>
      <c r="AB40" s="19">
        <v>0</v>
      </c>
      <c r="AC40" s="19">
        <v>17400</v>
      </c>
      <c r="AD40" s="19">
        <v>153090</v>
      </c>
      <c r="AE40" s="19">
        <v>114900</v>
      </c>
      <c r="AF40" s="19">
        <v>0</v>
      </c>
      <c r="AG40" s="19">
        <v>0</v>
      </c>
      <c r="AH40" s="19">
        <v>0</v>
      </c>
      <c r="AI40" s="19">
        <v>0</v>
      </c>
      <c r="AJ40" s="19">
        <v>20790</v>
      </c>
      <c r="AK40" s="19">
        <v>0</v>
      </c>
      <c r="AL40" s="19">
        <v>0</v>
      </c>
      <c r="AM40" s="19">
        <v>17400</v>
      </c>
      <c r="AN40" s="19">
        <v>84200</v>
      </c>
      <c r="AO40" s="19">
        <v>0</v>
      </c>
      <c r="AP40" s="19">
        <v>84200</v>
      </c>
    </row>
    <row r="41" spans="1:42" x14ac:dyDescent="0.4">
      <c r="A41" s="18" t="s">
        <v>48</v>
      </c>
      <c r="B41" s="18" t="s">
        <v>83</v>
      </c>
      <c r="C41" s="18" t="s">
        <v>84</v>
      </c>
      <c r="D41" s="18" t="s">
        <v>85</v>
      </c>
      <c r="E41" s="18" t="s">
        <v>86</v>
      </c>
      <c r="F41" s="18" t="s">
        <v>49</v>
      </c>
      <c r="G41" s="18" t="s">
        <v>20</v>
      </c>
      <c r="H41" s="18" t="s">
        <v>21</v>
      </c>
      <c r="I41" s="18" t="s">
        <v>22</v>
      </c>
      <c r="J41" s="18">
        <v>56765062</v>
      </c>
      <c r="K41" s="18" t="s">
        <v>100</v>
      </c>
      <c r="L41" s="18"/>
      <c r="M41" s="18"/>
      <c r="N41" s="18" t="s">
        <v>64</v>
      </c>
      <c r="O41" s="18" t="s">
        <v>23</v>
      </c>
      <c r="P41" s="18">
        <v>0.55000000000000004</v>
      </c>
      <c r="Q41" s="18">
        <v>0.55000000000000004</v>
      </c>
      <c r="R41" s="19" t="s">
        <v>136</v>
      </c>
      <c r="S41" s="19">
        <v>10800</v>
      </c>
      <c r="T41" s="19">
        <v>900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900</v>
      </c>
      <c r="AD41" s="19">
        <v>900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900</v>
      </c>
      <c r="AN41" s="19">
        <v>495</v>
      </c>
      <c r="AO41" s="19">
        <v>0</v>
      </c>
      <c r="AP41" s="19">
        <v>495</v>
      </c>
    </row>
    <row r="42" spans="1:42" x14ac:dyDescent="0.4">
      <c r="A42" s="18" t="s">
        <v>48</v>
      </c>
      <c r="B42" s="18" t="s">
        <v>83</v>
      </c>
      <c r="C42" s="18" t="s">
        <v>84</v>
      </c>
      <c r="D42" s="18" t="s">
        <v>85</v>
      </c>
      <c r="E42" s="18" t="s">
        <v>86</v>
      </c>
      <c r="F42" s="18" t="s">
        <v>49</v>
      </c>
      <c r="G42" s="18" t="s">
        <v>20</v>
      </c>
      <c r="H42" s="18" t="s">
        <v>21</v>
      </c>
      <c r="I42" s="18" t="s">
        <v>22</v>
      </c>
      <c r="J42" s="18">
        <v>56765133</v>
      </c>
      <c r="K42" s="18" t="s">
        <v>101</v>
      </c>
      <c r="L42" s="18"/>
      <c r="M42" s="18"/>
      <c r="N42" s="18" t="s">
        <v>64</v>
      </c>
      <c r="O42" s="18" t="s">
        <v>23</v>
      </c>
      <c r="P42" s="18">
        <v>0.55000000000000004</v>
      </c>
      <c r="Q42" s="18">
        <v>0.55000000000000004</v>
      </c>
      <c r="R42" s="19" t="s">
        <v>25</v>
      </c>
      <c r="S42" s="19">
        <v>3200</v>
      </c>
      <c r="T42" s="19">
        <v>204800</v>
      </c>
      <c r="U42" s="19">
        <v>186400</v>
      </c>
      <c r="V42" s="19">
        <v>0</v>
      </c>
      <c r="W42" s="19">
        <v>0</v>
      </c>
      <c r="X42" s="19">
        <v>0</v>
      </c>
      <c r="Y42" s="19">
        <v>0</v>
      </c>
      <c r="Z42" s="19">
        <v>16000</v>
      </c>
      <c r="AA42" s="19">
        <v>0</v>
      </c>
      <c r="AB42" s="19">
        <v>0</v>
      </c>
      <c r="AC42" s="19">
        <v>2400</v>
      </c>
      <c r="AD42" s="19">
        <v>206400</v>
      </c>
      <c r="AE42" s="19">
        <v>186400</v>
      </c>
      <c r="AF42" s="19">
        <v>0</v>
      </c>
      <c r="AG42" s="19">
        <v>0</v>
      </c>
      <c r="AH42" s="19">
        <v>0</v>
      </c>
      <c r="AI42" s="19">
        <v>0</v>
      </c>
      <c r="AJ42" s="19">
        <v>17600</v>
      </c>
      <c r="AK42" s="19">
        <v>0</v>
      </c>
      <c r="AL42" s="19">
        <v>0</v>
      </c>
      <c r="AM42" s="19">
        <v>2400</v>
      </c>
      <c r="AN42" s="19">
        <v>113520</v>
      </c>
      <c r="AO42" s="19">
        <v>0</v>
      </c>
      <c r="AP42" s="19">
        <v>113520</v>
      </c>
    </row>
    <row r="43" spans="1:42" x14ac:dyDescent="0.4">
      <c r="A43" s="18" t="s">
        <v>48</v>
      </c>
      <c r="B43" s="18" t="s">
        <v>83</v>
      </c>
      <c r="C43" s="18" t="s">
        <v>84</v>
      </c>
      <c r="D43" s="18" t="s">
        <v>85</v>
      </c>
      <c r="E43" s="18" t="s">
        <v>86</v>
      </c>
      <c r="F43" s="18" t="s">
        <v>49</v>
      </c>
      <c r="G43" s="18" t="s">
        <v>20</v>
      </c>
      <c r="H43" s="18" t="s">
        <v>21</v>
      </c>
      <c r="I43" s="18" t="s">
        <v>22</v>
      </c>
      <c r="J43" s="18">
        <v>56765133</v>
      </c>
      <c r="K43" s="18" t="s">
        <v>101</v>
      </c>
      <c r="L43" s="18"/>
      <c r="M43" s="18"/>
      <c r="N43" s="18" t="s">
        <v>64</v>
      </c>
      <c r="O43" s="18" t="s">
        <v>23</v>
      </c>
      <c r="P43" s="18">
        <v>0.55000000000000004</v>
      </c>
      <c r="Q43" s="18">
        <v>0.55000000000000004</v>
      </c>
      <c r="R43" s="19" t="s">
        <v>24</v>
      </c>
      <c r="S43" s="19">
        <v>48000</v>
      </c>
      <c r="T43" s="19">
        <v>48000</v>
      </c>
      <c r="U43" s="19">
        <v>48000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48000</v>
      </c>
      <c r="AE43" s="19">
        <v>48000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26400</v>
      </c>
      <c r="AO43" s="19">
        <v>0</v>
      </c>
      <c r="AP43" s="19">
        <v>26400</v>
      </c>
    </row>
    <row r="44" spans="1:42" x14ac:dyDescent="0.4">
      <c r="A44" s="18" t="s">
        <v>48</v>
      </c>
      <c r="B44" s="18" t="s">
        <v>83</v>
      </c>
      <c r="C44" s="18" t="s">
        <v>84</v>
      </c>
      <c r="D44" s="18" t="s">
        <v>85</v>
      </c>
      <c r="E44" s="18" t="s">
        <v>86</v>
      </c>
      <c r="F44" s="18" t="s">
        <v>49</v>
      </c>
      <c r="G44" s="18" t="s">
        <v>20</v>
      </c>
      <c r="H44" s="18" t="s">
        <v>21</v>
      </c>
      <c r="I44" s="18" t="s">
        <v>22</v>
      </c>
      <c r="J44" s="18">
        <v>58523432</v>
      </c>
      <c r="K44" s="18" t="s">
        <v>140</v>
      </c>
      <c r="L44" s="18"/>
      <c r="M44" s="18"/>
      <c r="N44" s="18" t="s">
        <v>64</v>
      </c>
      <c r="O44" s="18" t="s">
        <v>23</v>
      </c>
      <c r="P44" s="18">
        <v>0.55000000000000004</v>
      </c>
      <c r="Q44" s="18">
        <v>0.55000000000000004</v>
      </c>
      <c r="R44" s="19" t="s">
        <v>25</v>
      </c>
      <c r="S44" s="19">
        <v>100</v>
      </c>
      <c r="T44" s="19">
        <v>14209100</v>
      </c>
      <c r="U44" s="19">
        <v>2536200</v>
      </c>
      <c r="V44" s="19">
        <v>0</v>
      </c>
      <c r="W44" s="19">
        <v>0</v>
      </c>
      <c r="X44" s="19">
        <v>200</v>
      </c>
      <c r="Y44" s="19">
        <v>30300</v>
      </c>
      <c r="Z44" s="19">
        <v>66500</v>
      </c>
      <c r="AA44" s="19">
        <v>0</v>
      </c>
      <c r="AB44" s="19">
        <v>0</v>
      </c>
      <c r="AC44" s="19">
        <v>11575900</v>
      </c>
      <c r="AD44" s="19">
        <v>14221870.294199999</v>
      </c>
      <c r="AE44" s="19">
        <v>2536200</v>
      </c>
      <c r="AF44" s="19">
        <v>0</v>
      </c>
      <c r="AG44" s="19">
        <v>0</v>
      </c>
      <c r="AH44" s="19">
        <v>260.29419999999999</v>
      </c>
      <c r="AI44" s="19">
        <v>36360</v>
      </c>
      <c r="AJ44" s="19">
        <v>73150</v>
      </c>
      <c r="AK44" s="19">
        <v>0</v>
      </c>
      <c r="AL44" s="19">
        <v>0</v>
      </c>
      <c r="AM44" s="19">
        <v>11575900</v>
      </c>
      <c r="AN44" s="19">
        <v>7822029</v>
      </c>
      <c r="AO44" s="19">
        <v>0</v>
      </c>
      <c r="AP44" s="19">
        <v>7822029</v>
      </c>
    </row>
    <row r="45" spans="1:42" x14ac:dyDescent="0.4">
      <c r="A45" s="18" t="s">
        <v>48</v>
      </c>
      <c r="B45" s="18" t="s">
        <v>83</v>
      </c>
      <c r="C45" s="18" t="s">
        <v>84</v>
      </c>
      <c r="D45" s="18" t="s">
        <v>85</v>
      </c>
      <c r="E45" s="18" t="s">
        <v>86</v>
      </c>
      <c r="F45" s="18" t="s">
        <v>49</v>
      </c>
      <c r="G45" s="18" t="s">
        <v>20</v>
      </c>
      <c r="H45" s="18" t="s">
        <v>21</v>
      </c>
      <c r="I45" s="18" t="s">
        <v>22</v>
      </c>
      <c r="J45" s="18">
        <v>58523432</v>
      </c>
      <c r="K45" s="18" t="s">
        <v>140</v>
      </c>
      <c r="L45" s="18"/>
      <c r="M45" s="18"/>
      <c r="N45" s="18" t="s">
        <v>64</v>
      </c>
      <c r="O45" s="18" t="s">
        <v>23</v>
      </c>
      <c r="P45" s="18">
        <v>0.55000000000000004</v>
      </c>
      <c r="Q45" s="18">
        <v>0.55000000000000004</v>
      </c>
      <c r="R45" s="19" t="s">
        <v>24</v>
      </c>
      <c r="S45" s="19">
        <v>2400</v>
      </c>
      <c r="T45" s="19">
        <v>7859500</v>
      </c>
      <c r="U45" s="19">
        <v>5407030</v>
      </c>
      <c r="V45" s="19">
        <v>0</v>
      </c>
      <c r="W45" s="19">
        <v>0</v>
      </c>
      <c r="X45" s="19">
        <v>2400</v>
      </c>
      <c r="Y45" s="19">
        <v>20420</v>
      </c>
      <c r="Z45" s="19">
        <v>145800</v>
      </c>
      <c r="AA45" s="19">
        <v>0</v>
      </c>
      <c r="AB45" s="19">
        <v>0</v>
      </c>
      <c r="AC45" s="19">
        <v>2283850</v>
      </c>
      <c r="AD45" s="19">
        <v>7878887.5301999999</v>
      </c>
      <c r="AE45" s="19">
        <v>5407030</v>
      </c>
      <c r="AF45" s="19">
        <v>0</v>
      </c>
      <c r="AG45" s="19">
        <v>0</v>
      </c>
      <c r="AH45" s="19">
        <v>3123.5302000000001</v>
      </c>
      <c r="AI45" s="19">
        <v>24504</v>
      </c>
      <c r="AJ45" s="19">
        <v>160380</v>
      </c>
      <c r="AK45" s="19">
        <v>0</v>
      </c>
      <c r="AL45" s="19">
        <v>0</v>
      </c>
      <c r="AM45" s="19">
        <v>2283850</v>
      </c>
      <c r="AN45" s="19">
        <v>4333388</v>
      </c>
      <c r="AO45" s="19">
        <v>0</v>
      </c>
      <c r="AP45" s="19">
        <v>4333388</v>
      </c>
    </row>
    <row r="46" spans="1:42" x14ac:dyDescent="0.4">
      <c r="A46" s="18" t="s">
        <v>48</v>
      </c>
      <c r="B46" s="18" t="s">
        <v>83</v>
      </c>
      <c r="C46" s="18" t="s">
        <v>84</v>
      </c>
      <c r="D46" s="18" t="s">
        <v>85</v>
      </c>
      <c r="E46" s="18" t="s">
        <v>86</v>
      </c>
      <c r="F46" s="18" t="s">
        <v>49</v>
      </c>
      <c r="G46" s="18" t="s">
        <v>20</v>
      </c>
      <c r="H46" s="18" t="s">
        <v>21</v>
      </c>
      <c r="I46" s="18" t="s">
        <v>22</v>
      </c>
      <c r="J46" s="18">
        <v>58523432</v>
      </c>
      <c r="K46" s="18" t="s">
        <v>140</v>
      </c>
      <c r="L46" s="18"/>
      <c r="M46" s="18"/>
      <c r="N46" s="18" t="s">
        <v>64</v>
      </c>
      <c r="O46" s="18" t="s">
        <v>23</v>
      </c>
      <c r="P46" s="18">
        <v>0.55000000000000004</v>
      </c>
      <c r="Q46" s="18">
        <v>0.55000000000000004</v>
      </c>
      <c r="R46" s="19" t="s">
        <v>24</v>
      </c>
      <c r="S46" s="19">
        <v>4700</v>
      </c>
      <c r="T46" s="19">
        <v>6241000</v>
      </c>
      <c r="U46" s="19">
        <v>5020840</v>
      </c>
      <c r="V46" s="19">
        <v>0</v>
      </c>
      <c r="W46" s="19">
        <v>0</v>
      </c>
      <c r="X46" s="19">
        <v>50</v>
      </c>
      <c r="Y46" s="19">
        <v>11600</v>
      </c>
      <c r="Z46" s="19">
        <v>119910</v>
      </c>
      <c r="AA46" s="19">
        <v>0</v>
      </c>
      <c r="AB46" s="19">
        <v>0</v>
      </c>
      <c r="AC46" s="19">
        <v>1088600</v>
      </c>
      <c r="AD46" s="19">
        <v>6255326.0734999999</v>
      </c>
      <c r="AE46" s="19">
        <v>5020840</v>
      </c>
      <c r="AF46" s="19">
        <v>0</v>
      </c>
      <c r="AG46" s="19">
        <v>0</v>
      </c>
      <c r="AH46" s="19">
        <v>65.073499999999996</v>
      </c>
      <c r="AI46" s="19">
        <v>13920</v>
      </c>
      <c r="AJ46" s="19">
        <v>131901</v>
      </c>
      <c r="AK46" s="19">
        <v>0</v>
      </c>
      <c r="AL46" s="19">
        <v>0</v>
      </c>
      <c r="AM46" s="19">
        <v>1088600</v>
      </c>
      <c r="AN46" s="19">
        <v>3440429</v>
      </c>
      <c r="AO46" s="19">
        <v>0</v>
      </c>
      <c r="AP46" s="19">
        <v>3440429</v>
      </c>
    </row>
    <row r="47" spans="1:42" x14ac:dyDescent="0.4">
      <c r="A47" s="18" t="s">
        <v>48</v>
      </c>
      <c r="B47" s="18" t="s">
        <v>83</v>
      </c>
      <c r="C47" s="18" t="s">
        <v>84</v>
      </c>
      <c r="D47" s="18" t="s">
        <v>85</v>
      </c>
      <c r="E47" s="18" t="s">
        <v>86</v>
      </c>
      <c r="F47" s="18" t="s">
        <v>49</v>
      </c>
      <c r="G47" s="18" t="s">
        <v>20</v>
      </c>
      <c r="H47" s="18" t="s">
        <v>21</v>
      </c>
      <c r="I47" s="18" t="s">
        <v>22</v>
      </c>
      <c r="J47" s="18">
        <v>58523432</v>
      </c>
      <c r="K47" s="18" t="s">
        <v>140</v>
      </c>
      <c r="L47" s="18"/>
      <c r="M47" s="18"/>
      <c r="N47" s="18" t="s">
        <v>64</v>
      </c>
      <c r="O47" s="18" t="s">
        <v>23</v>
      </c>
      <c r="P47" s="18">
        <v>0.55000000000000004</v>
      </c>
      <c r="Q47" s="18">
        <v>0.55000000000000004</v>
      </c>
      <c r="R47" s="19" t="s">
        <v>24</v>
      </c>
      <c r="S47" s="19">
        <v>9200</v>
      </c>
      <c r="T47" s="19">
        <v>6769700</v>
      </c>
      <c r="U47" s="19">
        <v>5678010</v>
      </c>
      <c r="V47" s="19">
        <v>0</v>
      </c>
      <c r="W47" s="19">
        <v>0</v>
      </c>
      <c r="X47" s="19">
        <v>0</v>
      </c>
      <c r="Y47" s="19">
        <v>35730</v>
      </c>
      <c r="Z47" s="19">
        <v>251710</v>
      </c>
      <c r="AA47" s="19">
        <v>0</v>
      </c>
      <c r="AB47" s="19">
        <v>0</v>
      </c>
      <c r="AC47" s="19">
        <v>804250</v>
      </c>
      <c r="AD47" s="19">
        <v>6802017</v>
      </c>
      <c r="AE47" s="19">
        <v>5678010</v>
      </c>
      <c r="AF47" s="19">
        <v>0</v>
      </c>
      <c r="AG47" s="19">
        <v>0</v>
      </c>
      <c r="AH47" s="19">
        <v>0</v>
      </c>
      <c r="AI47" s="19">
        <v>42876</v>
      </c>
      <c r="AJ47" s="19">
        <v>276881</v>
      </c>
      <c r="AK47" s="19">
        <v>0</v>
      </c>
      <c r="AL47" s="19">
        <v>0</v>
      </c>
      <c r="AM47" s="19">
        <v>804250</v>
      </c>
      <c r="AN47" s="19">
        <v>3741109</v>
      </c>
      <c r="AO47" s="19">
        <v>0</v>
      </c>
      <c r="AP47" s="19">
        <v>3741109</v>
      </c>
    </row>
    <row r="48" spans="1:42" x14ac:dyDescent="0.4">
      <c r="AP48" s="15">
        <f>SUM(AP2:AP47)</f>
        <v>45992821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P7"/>
  <sheetViews>
    <sheetView topLeftCell="X1" workbookViewId="0">
      <selection activeCell="AP7" sqref="AP7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0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49089226</v>
      </c>
      <c r="K2" s="18" t="s">
        <v>72</v>
      </c>
      <c r="L2" s="18"/>
      <c r="M2" s="18"/>
      <c r="N2" s="18" t="s">
        <v>73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386400</v>
      </c>
      <c r="U2" s="19">
        <v>104900</v>
      </c>
      <c r="V2" s="19">
        <v>0</v>
      </c>
      <c r="W2" s="19">
        <v>0</v>
      </c>
      <c r="X2" s="19">
        <v>0</v>
      </c>
      <c r="Y2" s="19">
        <v>3850</v>
      </c>
      <c r="Z2" s="19">
        <v>8550</v>
      </c>
      <c r="AA2" s="19">
        <v>0</v>
      </c>
      <c r="AB2" s="19">
        <v>0</v>
      </c>
      <c r="AC2" s="19">
        <v>269100</v>
      </c>
      <c r="AD2" s="19">
        <v>388025</v>
      </c>
      <c r="AE2" s="19">
        <v>104900</v>
      </c>
      <c r="AF2" s="19">
        <v>0</v>
      </c>
      <c r="AG2" s="19">
        <v>0</v>
      </c>
      <c r="AH2" s="19">
        <v>0</v>
      </c>
      <c r="AI2" s="19">
        <v>4620</v>
      </c>
      <c r="AJ2" s="19">
        <v>9405</v>
      </c>
      <c r="AK2" s="19">
        <v>0</v>
      </c>
      <c r="AL2" s="19">
        <v>0</v>
      </c>
      <c r="AM2" s="19">
        <v>269100</v>
      </c>
      <c r="AN2" s="19">
        <v>213414</v>
      </c>
      <c r="AO2" s="19">
        <v>0</v>
      </c>
      <c r="AP2" s="19">
        <v>213414</v>
      </c>
    </row>
    <row r="3" spans="1:42" x14ac:dyDescent="0.4">
      <c r="A3" s="18" t="s">
        <v>48</v>
      </c>
      <c r="B3" s="18" t="s">
        <v>83</v>
      </c>
      <c r="C3" s="18" t="s">
        <v>84</v>
      </c>
      <c r="D3" s="18" t="s">
        <v>85</v>
      </c>
      <c r="E3" s="18" t="s">
        <v>86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49089226</v>
      </c>
      <c r="K3" s="18" t="s">
        <v>72</v>
      </c>
      <c r="L3" s="18"/>
      <c r="M3" s="18"/>
      <c r="N3" s="18" t="s">
        <v>73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339600</v>
      </c>
      <c r="U3" s="19">
        <v>257750</v>
      </c>
      <c r="V3" s="19">
        <v>0</v>
      </c>
      <c r="W3" s="19">
        <v>0</v>
      </c>
      <c r="X3" s="19">
        <v>0</v>
      </c>
      <c r="Y3" s="19">
        <v>2650</v>
      </c>
      <c r="Z3" s="19">
        <v>12850</v>
      </c>
      <c r="AA3" s="19">
        <v>0</v>
      </c>
      <c r="AB3" s="19">
        <v>0</v>
      </c>
      <c r="AC3" s="19">
        <v>66350</v>
      </c>
      <c r="AD3" s="19">
        <v>341415</v>
      </c>
      <c r="AE3" s="19">
        <v>257750</v>
      </c>
      <c r="AF3" s="19">
        <v>0</v>
      </c>
      <c r="AG3" s="19">
        <v>0</v>
      </c>
      <c r="AH3" s="19">
        <v>0</v>
      </c>
      <c r="AI3" s="19">
        <v>3180</v>
      </c>
      <c r="AJ3" s="19">
        <v>14135</v>
      </c>
      <c r="AK3" s="19">
        <v>0</v>
      </c>
      <c r="AL3" s="19">
        <v>0</v>
      </c>
      <c r="AM3" s="19">
        <v>66350</v>
      </c>
      <c r="AN3" s="19">
        <v>187778</v>
      </c>
      <c r="AO3" s="19">
        <v>0</v>
      </c>
      <c r="AP3" s="19">
        <v>187778</v>
      </c>
    </row>
    <row r="4" spans="1:42" x14ac:dyDescent="0.4">
      <c r="A4" s="18" t="s">
        <v>48</v>
      </c>
      <c r="B4" s="18" t="s">
        <v>83</v>
      </c>
      <c r="C4" s="18" t="s">
        <v>84</v>
      </c>
      <c r="D4" s="18" t="s">
        <v>85</v>
      </c>
      <c r="E4" s="18" t="s">
        <v>86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49089226</v>
      </c>
      <c r="K4" s="18" t="s">
        <v>72</v>
      </c>
      <c r="L4" s="18"/>
      <c r="M4" s="18"/>
      <c r="N4" s="18" t="s">
        <v>73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359800</v>
      </c>
      <c r="U4" s="19">
        <v>308750</v>
      </c>
      <c r="V4" s="19">
        <v>0</v>
      </c>
      <c r="W4" s="19">
        <v>0</v>
      </c>
      <c r="X4" s="19">
        <v>0</v>
      </c>
      <c r="Y4" s="19">
        <v>-2250</v>
      </c>
      <c r="Z4" s="19">
        <v>35000</v>
      </c>
      <c r="AA4" s="19">
        <v>0</v>
      </c>
      <c r="AB4" s="19">
        <v>0</v>
      </c>
      <c r="AC4" s="19">
        <v>18300</v>
      </c>
      <c r="AD4" s="19">
        <v>362850</v>
      </c>
      <c r="AE4" s="19">
        <v>308750</v>
      </c>
      <c r="AF4" s="19">
        <v>0</v>
      </c>
      <c r="AG4" s="19">
        <v>0</v>
      </c>
      <c r="AH4" s="19">
        <v>0</v>
      </c>
      <c r="AI4" s="19">
        <v>-2700</v>
      </c>
      <c r="AJ4" s="19">
        <v>38500</v>
      </c>
      <c r="AK4" s="19">
        <v>0</v>
      </c>
      <c r="AL4" s="19">
        <v>0</v>
      </c>
      <c r="AM4" s="19">
        <v>18300</v>
      </c>
      <c r="AN4" s="19">
        <v>199568</v>
      </c>
      <c r="AO4" s="19">
        <v>0</v>
      </c>
      <c r="AP4" s="19">
        <v>199568</v>
      </c>
    </row>
    <row r="5" spans="1:42" x14ac:dyDescent="0.4">
      <c r="A5" s="18" t="s">
        <v>48</v>
      </c>
      <c r="B5" s="18" t="s">
        <v>83</v>
      </c>
      <c r="C5" s="18" t="s">
        <v>84</v>
      </c>
      <c r="D5" s="18" t="s">
        <v>85</v>
      </c>
      <c r="E5" s="18" t="s">
        <v>86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49089226</v>
      </c>
      <c r="K5" s="18" t="s">
        <v>72</v>
      </c>
      <c r="L5" s="18"/>
      <c r="M5" s="18"/>
      <c r="N5" s="18" t="s">
        <v>73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180600</v>
      </c>
      <c r="U5" s="19">
        <v>144600</v>
      </c>
      <c r="V5" s="19">
        <v>0</v>
      </c>
      <c r="W5" s="19">
        <v>0</v>
      </c>
      <c r="X5" s="19">
        <v>0</v>
      </c>
      <c r="Y5" s="19">
        <v>0</v>
      </c>
      <c r="Z5" s="19">
        <v>36000</v>
      </c>
      <c r="AA5" s="19">
        <v>0</v>
      </c>
      <c r="AB5" s="19">
        <v>0</v>
      </c>
      <c r="AC5" s="19">
        <v>0</v>
      </c>
      <c r="AD5" s="19">
        <v>184200</v>
      </c>
      <c r="AE5" s="19">
        <v>144600</v>
      </c>
      <c r="AF5" s="19">
        <v>0</v>
      </c>
      <c r="AG5" s="19">
        <v>0</v>
      </c>
      <c r="AH5" s="19">
        <v>0</v>
      </c>
      <c r="AI5" s="19">
        <v>0</v>
      </c>
      <c r="AJ5" s="19">
        <v>39600</v>
      </c>
      <c r="AK5" s="19">
        <v>0</v>
      </c>
      <c r="AL5" s="19">
        <v>0</v>
      </c>
      <c r="AM5" s="19">
        <v>0</v>
      </c>
      <c r="AN5" s="19">
        <v>101310</v>
      </c>
      <c r="AO5" s="19">
        <v>0</v>
      </c>
      <c r="AP5" s="19">
        <v>101310</v>
      </c>
    </row>
    <row r="6" spans="1:42" x14ac:dyDescent="0.4">
      <c r="A6" s="18" t="s">
        <v>48</v>
      </c>
      <c r="B6" s="18" t="s">
        <v>83</v>
      </c>
      <c r="C6" s="18" t="s">
        <v>84</v>
      </c>
      <c r="D6" s="18" t="s">
        <v>85</v>
      </c>
      <c r="E6" s="18" t="s">
        <v>86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56764793</v>
      </c>
      <c r="K6" s="18" t="s">
        <v>117</v>
      </c>
      <c r="L6" s="18"/>
      <c r="M6" s="18"/>
      <c r="N6" s="18" t="s">
        <v>73</v>
      </c>
      <c r="O6" s="18" t="s">
        <v>23</v>
      </c>
      <c r="P6" s="18">
        <v>0.55000000000000004</v>
      </c>
      <c r="Q6" s="18">
        <v>0.55000000000000004</v>
      </c>
      <c r="R6" s="19" t="s">
        <v>98</v>
      </c>
      <c r="S6" s="19">
        <v>900</v>
      </c>
      <c r="T6" s="19">
        <v>45900</v>
      </c>
      <c r="U6" s="19">
        <v>35000</v>
      </c>
      <c r="V6" s="19">
        <v>0</v>
      </c>
      <c r="W6" s="19">
        <v>0</v>
      </c>
      <c r="X6" s="19">
        <v>0</v>
      </c>
      <c r="Y6" s="19">
        <v>0</v>
      </c>
      <c r="Z6" s="19">
        <v>2600</v>
      </c>
      <c r="AA6" s="19">
        <v>0</v>
      </c>
      <c r="AB6" s="19">
        <v>0</v>
      </c>
      <c r="AC6" s="19">
        <v>8300</v>
      </c>
      <c r="AD6" s="19">
        <v>46160</v>
      </c>
      <c r="AE6" s="19">
        <v>35000</v>
      </c>
      <c r="AF6" s="19">
        <v>0</v>
      </c>
      <c r="AG6" s="19">
        <v>0</v>
      </c>
      <c r="AH6" s="19">
        <v>0</v>
      </c>
      <c r="AI6" s="19">
        <v>0</v>
      </c>
      <c r="AJ6" s="19">
        <v>2860</v>
      </c>
      <c r="AK6" s="19">
        <v>0</v>
      </c>
      <c r="AL6" s="19">
        <v>0</v>
      </c>
      <c r="AM6" s="19">
        <v>8300</v>
      </c>
      <c r="AN6" s="19">
        <v>25388</v>
      </c>
      <c r="AO6" s="19">
        <v>0</v>
      </c>
      <c r="AP6" s="19">
        <v>25388</v>
      </c>
    </row>
    <row r="7" spans="1:42" x14ac:dyDescent="0.4">
      <c r="AP7" s="15">
        <f>SUM(AP2:AP6)</f>
        <v>727458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P7"/>
  <sheetViews>
    <sheetView topLeftCell="X1" workbookViewId="0">
      <selection activeCell="AP7" sqref="AP7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6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49689447</v>
      </c>
      <c r="K2" s="18" t="s">
        <v>79</v>
      </c>
      <c r="L2" s="18"/>
      <c r="M2" s="18"/>
      <c r="N2" s="18" t="s">
        <v>80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178700</v>
      </c>
      <c r="U2" s="19">
        <v>40750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137950</v>
      </c>
      <c r="AD2" s="19">
        <v>178700</v>
      </c>
      <c r="AE2" s="19">
        <v>40750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137950</v>
      </c>
      <c r="AN2" s="19">
        <v>98285</v>
      </c>
      <c r="AO2" s="19">
        <v>0</v>
      </c>
      <c r="AP2" s="19">
        <v>98285</v>
      </c>
    </row>
    <row r="3" spans="1:42" x14ac:dyDescent="0.4">
      <c r="A3" s="18" t="s">
        <v>48</v>
      </c>
      <c r="B3" s="18" t="s">
        <v>83</v>
      </c>
      <c r="C3" s="18" t="s">
        <v>84</v>
      </c>
      <c r="D3" s="18" t="s">
        <v>85</v>
      </c>
      <c r="E3" s="18" t="s">
        <v>86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49689447</v>
      </c>
      <c r="K3" s="18" t="s">
        <v>79</v>
      </c>
      <c r="L3" s="18"/>
      <c r="M3" s="18"/>
      <c r="N3" s="18" t="s">
        <v>80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2700</v>
      </c>
      <c r="T3" s="19">
        <v>68100</v>
      </c>
      <c r="U3" s="19">
        <v>46250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21850</v>
      </c>
      <c r="AD3" s="19">
        <v>68100</v>
      </c>
      <c r="AE3" s="19">
        <v>46250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21850</v>
      </c>
      <c r="AN3" s="19">
        <v>37455</v>
      </c>
      <c r="AO3" s="19">
        <v>0</v>
      </c>
      <c r="AP3" s="19">
        <v>37455</v>
      </c>
    </row>
    <row r="4" spans="1:42" x14ac:dyDescent="0.4">
      <c r="A4" s="18" t="s">
        <v>48</v>
      </c>
      <c r="B4" s="18" t="s">
        <v>83</v>
      </c>
      <c r="C4" s="18" t="s">
        <v>84</v>
      </c>
      <c r="D4" s="18" t="s">
        <v>85</v>
      </c>
      <c r="E4" s="18" t="s">
        <v>86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49689447</v>
      </c>
      <c r="K4" s="18" t="s">
        <v>79</v>
      </c>
      <c r="L4" s="18"/>
      <c r="M4" s="18"/>
      <c r="N4" s="18" t="s">
        <v>80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5300</v>
      </c>
      <c r="T4" s="19">
        <v>51100</v>
      </c>
      <c r="U4" s="19">
        <v>49600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1500</v>
      </c>
      <c r="AD4" s="19">
        <v>51100</v>
      </c>
      <c r="AE4" s="19">
        <v>49600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1500</v>
      </c>
      <c r="AN4" s="19">
        <v>28105</v>
      </c>
      <c r="AO4" s="19">
        <v>0</v>
      </c>
      <c r="AP4" s="19">
        <v>28105</v>
      </c>
    </row>
    <row r="5" spans="1:42" x14ac:dyDescent="0.4">
      <c r="A5" s="18" t="s">
        <v>48</v>
      </c>
      <c r="B5" s="18" t="s">
        <v>83</v>
      </c>
      <c r="C5" s="18" t="s">
        <v>84</v>
      </c>
      <c r="D5" s="18" t="s">
        <v>85</v>
      </c>
      <c r="E5" s="18" t="s">
        <v>86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49689447</v>
      </c>
      <c r="K5" s="18" t="s">
        <v>79</v>
      </c>
      <c r="L5" s="18"/>
      <c r="M5" s="18"/>
      <c r="N5" s="18" t="s">
        <v>80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7900</v>
      </c>
      <c r="T5" s="19">
        <v>32600</v>
      </c>
      <c r="U5" s="19">
        <v>31900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700</v>
      </c>
      <c r="AD5" s="19">
        <v>32600</v>
      </c>
      <c r="AE5" s="19">
        <v>31900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700</v>
      </c>
      <c r="AN5" s="19">
        <v>17930</v>
      </c>
      <c r="AO5" s="19">
        <v>0</v>
      </c>
      <c r="AP5" s="19">
        <v>17930</v>
      </c>
    </row>
    <row r="6" spans="1:42" x14ac:dyDescent="0.4">
      <c r="A6" s="18" t="s">
        <v>48</v>
      </c>
      <c r="B6" s="18" t="s">
        <v>83</v>
      </c>
      <c r="C6" s="18" t="s">
        <v>84</v>
      </c>
      <c r="D6" s="18" t="s">
        <v>85</v>
      </c>
      <c r="E6" s="18" t="s">
        <v>86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56766247</v>
      </c>
      <c r="K6" s="18" t="s">
        <v>114</v>
      </c>
      <c r="L6" s="18"/>
      <c r="M6" s="18"/>
      <c r="N6" s="18" t="s">
        <v>80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3500</v>
      </c>
      <c r="T6" s="19">
        <v>17500</v>
      </c>
      <c r="U6" s="19">
        <v>17500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17500</v>
      </c>
      <c r="AE6" s="19">
        <v>17500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9625</v>
      </c>
      <c r="AO6" s="19">
        <v>0</v>
      </c>
      <c r="AP6" s="19">
        <v>9625</v>
      </c>
    </row>
    <row r="7" spans="1:42" x14ac:dyDescent="0.4">
      <c r="AP7" s="15">
        <f>SUM(AP2:AP6)</f>
        <v>191400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P19"/>
  <sheetViews>
    <sheetView topLeftCell="X1" workbookViewId="0">
      <selection activeCell="AP19" sqref="AP19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6.0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49989820</v>
      </c>
      <c r="K2" s="18" t="s">
        <v>65</v>
      </c>
      <c r="L2" s="18"/>
      <c r="M2" s="18"/>
      <c r="N2" s="18" t="s">
        <v>58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13500</v>
      </c>
      <c r="U2" s="19">
        <v>4050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9450</v>
      </c>
      <c r="AD2" s="19">
        <v>13500</v>
      </c>
      <c r="AE2" s="19">
        <v>4050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9450</v>
      </c>
      <c r="AN2" s="19">
        <v>7425</v>
      </c>
      <c r="AO2" s="19">
        <v>0</v>
      </c>
      <c r="AP2" s="19">
        <v>7425</v>
      </c>
    </row>
    <row r="3" spans="1:42" x14ac:dyDescent="0.4">
      <c r="A3" s="18" t="s">
        <v>48</v>
      </c>
      <c r="B3" s="18" t="s">
        <v>83</v>
      </c>
      <c r="C3" s="18" t="s">
        <v>84</v>
      </c>
      <c r="D3" s="18" t="s">
        <v>85</v>
      </c>
      <c r="E3" s="18" t="s">
        <v>86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49989820</v>
      </c>
      <c r="K3" s="18" t="s">
        <v>65</v>
      </c>
      <c r="L3" s="18"/>
      <c r="M3" s="18"/>
      <c r="N3" s="18" t="s">
        <v>58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25500</v>
      </c>
      <c r="U3" s="19">
        <v>24500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1000</v>
      </c>
      <c r="AD3" s="19">
        <v>25500</v>
      </c>
      <c r="AE3" s="19">
        <v>24500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1000</v>
      </c>
      <c r="AN3" s="19">
        <v>14025</v>
      </c>
      <c r="AO3" s="19">
        <v>0</v>
      </c>
      <c r="AP3" s="19">
        <v>14025</v>
      </c>
    </row>
    <row r="4" spans="1:42" x14ac:dyDescent="0.4">
      <c r="A4" s="18" t="s">
        <v>48</v>
      </c>
      <c r="B4" s="18" t="s">
        <v>83</v>
      </c>
      <c r="C4" s="18" t="s">
        <v>84</v>
      </c>
      <c r="D4" s="18" t="s">
        <v>85</v>
      </c>
      <c r="E4" s="18" t="s">
        <v>86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49989820</v>
      </c>
      <c r="K4" s="18" t="s">
        <v>65</v>
      </c>
      <c r="L4" s="18"/>
      <c r="M4" s="18"/>
      <c r="N4" s="18" t="s">
        <v>58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9000</v>
      </c>
      <c r="T4" s="19">
        <v>18000</v>
      </c>
      <c r="U4" s="19">
        <v>17600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400</v>
      </c>
      <c r="AD4" s="19">
        <v>18000</v>
      </c>
      <c r="AE4" s="19">
        <v>17600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400</v>
      </c>
      <c r="AN4" s="19">
        <v>9900</v>
      </c>
      <c r="AO4" s="19">
        <v>0</v>
      </c>
      <c r="AP4" s="19">
        <v>9900</v>
      </c>
    </row>
    <row r="5" spans="1:42" x14ac:dyDescent="0.4">
      <c r="A5" s="18" t="s">
        <v>48</v>
      </c>
      <c r="B5" s="18" t="s">
        <v>83</v>
      </c>
      <c r="C5" s="18" t="s">
        <v>84</v>
      </c>
      <c r="D5" s="18" t="s">
        <v>85</v>
      </c>
      <c r="E5" s="18" t="s">
        <v>86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49989820</v>
      </c>
      <c r="K5" s="18" t="s">
        <v>65</v>
      </c>
      <c r="L5" s="18"/>
      <c r="M5" s="18"/>
      <c r="N5" s="18" t="s">
        <v>58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13500</v>
      </c>
      <c r="T5" s="19">
        <v>27000</v>
      </c>
      <c r="U5" s="19">
        <v>27000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27000</v>
      </c>
      <c r="AE5" s="19">
        <v>27000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14850</v>
      </c>
      <c r="AO5" s="19">
        <v>0</v>
      </c>
      <c r="AP5" s="19">
        <v>14850</v>
      </c>
    </row>
    <row r="6" spans="1:42" x14ac:dyDescent="0.4">
      <c r="A6" s="18" t="s">
        <v>48</v>
      </c>
      <c r="B6" s="18" t="s">
        <v>83</v>
      </c>
      <c r="C6" s="18" t="s">
        <v>84</v>
      </c>
      <c r="D6" s="18" t="s">
        <v>85</v>
      </c>
      <c r="E6" s="18" t="s">
        <v>86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51584299</v>
      </c>
      <c r="K6" s="18" t="s">
        <v>57</v>
      </c>
      <c r="L6" s="18"/>
      <c r="M6" s="18"/>
      <c r="N6" s="18" t="s">
        <v>58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100</v>
      </c>
      <c r="T6" s="19">
        <v>14700</v>
      </c>
      <c r="U6" s="19">
        <v>8100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6600</v>
      </c>
      <c r="AD6" s="19">
        <v>14700</v>
      </c>
      <c r="AE6" s="19">
        <v>8100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6600</v>
      </c>
      <c r="AN6" s="19">
        <v>8085</v>
      </c>
      <c r="AO6" s="19">
        <v>0</v>
      </c>
      <c r="AP6" s="19">
        <v>8085</v>
      </c>
    </row>
    <row r="7" spans="1:42" x14ac:dyDescent="0.4">
      <c r="A7" s="18" t="s">
        <v>48</v>
      </c>
      <c r="B7" s="18" t="s">
        <v>83</v>
      </c>
      <c r="C7" s="18" t="s">
        <v>84</v>
      </c>
      <c r="D7" s="18" t="s">
        <v>85</v>
      </c>
      <c r="E7" s="18" t="s">
        <v>86</v>
      </c>
      <c r="F7" s="18" t="s">
        <v>49</v>
      </c>
      <c r="G7" s="18" t="s">
        <v>20</v>
      </c>
      <c r="H7" s="18" t="s">
        <v>21</v>
      </c>
      <c r="I7" s="18" t="s">
        <v>22</v>
      </c>
      <c r="J7" s="18">
        <v>51584299</v>
      </c>
      <c r="K7" s="18" t="s">
        <v>57</v>
      </c>
      <c r="L7" s="18"/>
      <c r="M7" s="18"/>
      <c r="N7" s="18" t="s">
        <v>58</v>
      </c>
      <c r="O7" s="18" t="s">
        <v>23</v>
      </c>
      <c r="P7" s="18">
        <v>0.55000000000000004</v>
      </c>
      <c r="Q7" s="18">
        <v>0.55000000000000004</v>
      </c>
      <c r="R7" s="19" t="s">
        <v>24</v>
      </c>
      <c r="S7" s="19">
        <v>2400</v>
      </c>
      <c r="T7" s="19">
        <v>65900</v>
      </c>
      <c r="U7" s="19">
        <v>52300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13600</v>
      </c>
      <c r="AD7" s="19">
        <v>65900</v>
      </c>
      <c r="AE7" s="19">
        <v>52300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13600</v>
      </c>
      <c r="AN7" s="19">
        <v>36245</v>
      </c>
      <c r="AO7" s="19">
        <v>0</v>
      </c>
      <c r="AP7" s="19">
        <v>36245</v>
      </c>
    </row>
    <row r="8" spans="1:42" x14ac:dyDescent="0.4">
      <c r="A8" s="18" t="s">
        <v>48</v>
      </c>
      <c r="B8" s="18" t="s">
        <v>83</v>
      </c>
      <c r="C8" s="18" t="s">
        <v>84</v>
      </c>
      <c r="D8" s="18" t="s">
        <v>85</v>
      </c>
      <c r="E8" s="18" t="s">
        <v>86</v>
      </c>
      <c r="F8" s="18" t="s">
        <v>49</v>
      </c>
      <c r="G8" s="18" t="s">
        <v>20</v>
      </c>
      <c r="H8" s="18" t="s">
        <v>21</v>
      </c>
      <c r="I8" s="18" t="s">
        <v>22</v>
      </c>
      <c r="J8" s="18">
        <v>51584299</v>
      </c>
      <c r="K8" s="18" t="s">
        <v>57</v>
      </c>
      <c r="L8" s="18"/>
      <c r="M8" s="18"/>
      <c r="N8" s="18" t="s">
        <v>58</v>
      </c>
      <c r="O8" s="18" t="s">
        <v>23</v>
      </c>
      <c r="P8" s="18">
        <v>0.55000000000000004</v>
      </c>
      <c r="Q8" s="18">
        <v>0.55000000000000004</v>
      </c>
      <c r="R8" s="19" t="s">
        <v>24</v>
      </c>
      <c r="S8" s="19">
        <v>9200</v>
      </c>
      <c r="T8" s="19">
        <v>31800</v>
      </c>
      <c r="U8" s="19">
        <v>29400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2400</v>
      </c>
      <c r="AD8" s="19">
        <v>31800</v>
      </c>
      <c r="AE8" s="19">
        <v>29400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2400</v>
      </c>
      <c r="AN8" s="19">
        <v>17490</v>
      </c>
      <c r="AO8" s="19">
        <v>0</v>
      </c>
      <c r="AP8" s="19">
        <v>17490</v>
      </c>
    </row>
    <row r="9" spans="1:42" x14ac:dyDescent="0.4">
      <c r="A9" s="18" t="s">
        <v>48</v>
      </c>
      <c r="B9" s="18" t="s">
        <v>83</v>
      </c>
      <c r="C9" s="18" t="s">
        <v>84</v>
      </c>
      <c r="D9" s="18" t="s">
        <v>85</v>
      </c>
      <c r="E9" s="18" t="s">
        <v>86</v>
      </c>
      <c r="F9" s="18" t="s">
        <v>49</v>
      </c>
      <c r="G9" s="18" t="s">
        <v>20</v>
      </c>
      <c r="H9" s="18" t="s">
        <v>21</v>
      </c>
      <c r="I9" s="18" t="s">
        <v>22</v>
      </c>
      <c r="J9" s="18">
        <v>51584299</v>
      </c>
      <c r="K9" s="18" t="s">
        <v>57</v>
      </c>
      <c r="L9" s="18"/>
      <c r="M9" s="18"/>
      <c r="N9" s="18" t="s">
        <v>58</v>
      </c>
      <c r="O9" s="18" t="s">
        <v>23</v>
      </c>
      <c r="P9" s="18">
        <v>0.55000000000000004</v>
      </c>
      <c r="Q9" s="18">
        <v>0.55000000000000004</v>
      </c>
      <c r="R9" s="19" t="s">
        <v>24</v>
      </c>
      <c r="S9" s="19">
        <v>18000</v>
      </c>
      <c r="T9" s="19">
        <v>31600</v>
      </c>
      <c r="U9" s="19">
        <v>31600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31600</v>
      </c>
      <c r="AE9" s="19">
        <v>31600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17380</v>
      </c>
      <c r="AO9" s="19">
        <v>0</v>
      </c>
      <c r="AP9" s="19">
        <v>17380</v>
      </c>
    </row>
    <row r="10" spans="1:42" x14ac:dyDescent="0.4">
      <c r="A10" s="18" t="s">
        <v>48</v>
      </c>
      <c r="B10" s="18" t="s">
        <v>83</v>
      </c>
      <c r="C10" s="18" t="s">
        <v>84</v>
      </c>
      <c r="D10" s="18" t="s">
        <v>85</v>
      </c>
      <c r="E10" s="18" t="s">
        <v>86</v>
      </c>
      <c r="F10" s="18" t="s">
        <v>49</v>
      </c>
      <c r="G10" s="18" t="s">
        <v>20</v>
      </c>
      <c r="H10" s="18" t="s">
        <v>21</v>
      </c>
      <c r="I10" s="18" t="s">
        <v>22</v>
      </c>
      <c r="J10" s="18">
        <v>52963521</v>
      </c>
      <c r="K10" s="18" t="s">
        <v>75</v>
      </c>
      <c r="L10" s="18"/>
      <c r="M10" s="18"/>
      <c r="N10" s="18" t="s">
        <v>58</v>
      </c>
      <c r="O10" s="18" t="s">
        <v>23</v>
      </c>
      <c r="P10" s="18">
        <v>0.55000000000000004</v>
      </c>
      <c r="Q10" s="18">
        <v>0.55000000000000004</v>
      </c>
      <c r="R10" s="19" t="s">
        <v>25</v>
      </c>
      <c r="S10" s="19">
        <v>100</v>
      </c>
      <c r="T10" s="19">
        <v>37500</v>
      </c>
      <c r="U10" s="19">
        <v>4700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32800</v>
      </c>
      <c r="AD10" s="19">
        <v>37500</v>
      </c>
      <c r="AE10" s="19">
        <v>4700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32800</v>
      </c>
      <c r="AN10" s="19">
        <v>20625</v>
      </c>
      <c r="AO10" s="19">
        <v>0</v>
      </c>
      <c r="AP10" s="19">
        <v>20625</v>
      </c>
    </row>
    <row r="11" spans="1:42" x14ac:dyDescent="0.4">
      <c r="A11" s="18" t="s">
        <v>48</v>
      </c>
      <c r="B11" s="18" t="s">
        <v>83</v>
      </c>
      <c r="C11" s="18" t="s">
        <v>84</v>
      </c>
      <c r="D11" s="18" t="s">
        <v>85</v>
      </c>
      <c r="E11" s="18" t="s">
        <v>86</v>
      </c>
      <c r="F11" s="18" t="s">
        <v>49</v>
      </c>
      <c r="G11" s="18" t="s">
        <v>20</v>
      </c>
      <c r="H11" s="18" t="s">
        <v>21</v>
      </c>
      <c r="I11" s="18" t="s">
        <v>22</v>
      </c>
      <c r="J11" s="18">
        <v>52963521</v>
      </c>
      <c r="K11" s="18" t="s">
        <v>75</v>
      </c>
      <c r="L11" s="18"/>
      <c r="M11" s="18"/>
      <c r="N11" s="18" t="s">
        <v>58</v>
      </c>
      <c r="O11" s="18" t="s">
        <v>23</v>
      </c>
      <c r="P11" s="18">
        <v>0.55000000000000004</v>
      </c>
      <c r="Q11" s="18">
        <v>0.55000000000000004</v>
      </c>
      <c r="R11" s="19" t="s">
        <v>24</v>
      </c>
      <c r="S11" s="19">
        <v>2400</v>
      </c>
      <c r="T11" s="19">
        <v>16000</v>
      </c>
      <c r="U11" s="19">
        <v>4000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12000</v>
      </c>
      <c r="AD11" s="19">
        <v>16000</v>
      </c>
      <c r="AE11" s="19">
        <v>4000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12000</v>
      </c>
      <c r="AN11" s="19">
        <v>8800</v>
      </c>
      <c r="AO11" s="19">
        <v>0</v>
      </c>
      <c r="AP11" s="19">
        <v>8800</v>
      </c>
    </row>
    <row r="12" spans="1:42" x14ac:dyDescent="0.4">
      <c r="A12" s="18" t="s">
        <v>48</v>
      </c>
      <c r="B12" s="18" t="s">
        <v>83</v>
      </c>
      <c r="C12" s="18" t="s">
        <v>84</v>
      </c>
      <c r="D12" s="18" t="s">
        <v>85</v>
      </c>
      <c r="E12" s="18" t="s">
        <v>86</v>
      </c>
      <c r="F12" s="18" t="s">
        <v>49</v>
      </c>
      <c r="G12" s="18" t="s">
        <v>20</v>
      </c>
      <c r="H12" s="18" t="s">
        <v>21</v>
      </c>
      <c r="I12" s="18" t="s">
        <v>22</v>
      </c>
      <c r="J12" s="18">
        <v>52963521</v>
      </c>
      <c r="K12" s="18" t="s">
        <v>75</v>
      </c>
      <c r="L12" s="18"/>
      <c r="M12" s="18"/>
      <c r="N12" s="18" t="s">
        <v>58</v>
      </c>
      <c r="O12" s="18" t="s">
        <v>23</v>
      </c>
      <c r="P12" s="18">
        <v>0.55000000000000004</v>
      </c>
      <c r="Q12" s="18">
        <v>0.55000000000000004</v>
      </c>
      <c r="R12" s="19" t="s">
        <v>24</v>
      </c>
      <c r="S12" s="19">
        <v>9200</v>
      </c>
      <c r="T12" s="19">
        <v>26700</v>
      </c>
      <c r="U12" s="19">
        <v>17500</v>
      </c>
      <c r="V12" s="19">
        <v>0</v>
      </c>
      <c r="W12" s="19">
        <v>0</v>
      </c>
      <c r="X12" s="19">
        <v>0</v>
      </c>
      <c r="Y12" s="19">
        <v>-600</v>
      </c>
      <c r="Z12" s="19">
        <v>0</v>
      </c>
      <c r="AA12" s="19">
        <v>0</v>
      </c>
      <c r="AB12" s="19">
        <v>0</v>
      </c>
      <c r="AC12" s="19">
        <v>9800</v>
      </c>
      <c r="AD12" s="19">
        <v>26580</v>
      </c>
      <c r="AE12" s="19">
        <v>17500</v>
      </c>
      <c r="AF12" s="19">
        <v>0</v>
      </c>
      <c r="AG12" s="19">
        <v>0</v>
      </c>
      <c r="AH12" s="19">
        <v>0</v>
      </c>
      <c r="AI12" s="19">
        <v>-720</v>
      </c>
      <c r="AJ12" s="19">
        <v>0</v>
      </c>
      <c r="AK12" s="19">
        <v>0</v>
      </c>
      <c r="AL12" s="19">
        <v>0</v>
      </c>
      <c r="AM12" s="19">
        <v>9800</v>
      </c>
      <c r="AN12" s="19">
        <v>14619</v>
      </c>
      <c r="AO12" s="19">
        <v>0</v>
      </c>
      <c r="AP12" s="19">
        <v>14619</v>
      </c>
    </row>
    <row r="13" spans="1:42" x14ac:dyDescent="0.4">
      <c r="A13" s="18" t="s">
        <v>48</v>
      </c>
      <c r="B13" s="18" t="s">
        <v>83</v>
      </c>
      <c r="C13" s="18" t="s">
        <v>84</v>
      </c>
      <c r="D13" s="18" t="s">
        <v>85</v>
      </c>
      <c r="E13" s="18" t="s">
        <v>86</v>
      </c>
      <c r="F13" s="18" t="s">
        <v>49</v>
      </c>
      <c r="G13" s="18" t="s">
        <v>20</v>
      </c>
      <c r="H13" s="18" t="s">
        <v>21</v>
      </c>
      <c r="I13" s="18" t="s">
        <v>22</v>
      </c>
      <c r="J13" s="18">
        <v>52963521</v>
      </c>
      <c r="K13" s="18" t="s">
        <v>75</v>
      </c>
      <c r="L13" s="18"/>
      <c r="M13" s="18"/>
      <c r="N13" s="18" t="s">
        <v>58</v>
      </c>
      <c r="O13" s="18" t="s">
        <v>23</v>
      </c>
      <c r="P13" s="18">
        <v>0.55000000000000004</v>
      </c>
      <c r="Q13" s="18">
        <v>0.55000000000000004</v>
      </c>
      <c r="R13" s="19" t="s">
        <v>24</v>
      </c>
      <c r="S13" s="19">
        <v>18000</v>
      </c>
      <c r="T13" s="19">
        <v>15800</v>
      </c>
      <c r="U13" s="19">
        <v>14000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1800</v>
      </c>
      <c r="AD13" s="19">
        <v>15800</v>
      </c>
      <c r="AE13" s="19">
        <v>14000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1800</v>
      </c>
      <c r="AN13" s="19">
        <v>8690</v>
      </c>
      <c r="AO13" s="19">
        <v>0</v>
      </c>
      <c r="AP13" s="19">
        <v>8690</v>
      </c>
    </row>
    <row r="14" spans="1:42" x14ac:dyDescent="0.4">
      <c r="A14" s="18" t="s">
        <v>48</v>
      </c>
      <c r="B14" s="18" t="s">
        <v>83</v>
      </c>
      <c r="C14" s="18" t="s">
        <v>84</v>
      </c>
      <c r="D14" s="18" t="s">
        <v>85</v>
      </c>
      <c r="E14" s="18" t="s">
        <v>86</v>
      </c>
      <c r="F14" s="18" t="s">
        <v>49</v>
      </c>
      <c r="G14" s="18" t="s">
        <v>20</v>
      </c>
      <c r="H14" s="18" t="s">
        <v>21</v>
      </c>
      <c r="I14" s="18" t="s">
        <v>22</v>
      </c>
      <c r="J14" s="18">
        <v>56766146</v>
      </c>
      <c r="K14" s="18" t="s">
        <v>103</v>
      </c>
      <c r="L14" s="18"/>
      <c r="M14" s="18"/>
      <c r="N14" s="18" t="s">
        <v>58</v>
      </c>
      <c r="O14" s="18" t="s">
        <v>23</v>
      </c>
      <c r="P14" s="18">
        <v>0.55000000000000004</v>
      </c>
      <c r="Q14" s="18">
        <v>0.55000000000000004</v>
      </c>
      <c r="R14" s="19" t="s">
        <v>25</v>
      </c>
      <c r="S14" s="19">
        <v>3200</v>
      </c>
      <c r="T14" s="19">
        <v>28800</v>
      </c>
      <c r="U14" s="19">
        <v>28300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500</v>
      </c>
      <c r="AD14" s="19">
        <v>28800</v>
      </c>
      <c r="AE14" s="19">
        <v>28300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500</v>
      </c>
      <c r="AN14" s="19">
        <v>15840</v>
      </c>
      <c r="AO14" s="19">
        <v>0</v>
      </c>
      <c r="AP14" s="19">
        <v>15840</v>
      </c>
    </row>
    <row r="15" spans="1:42" x14ac:dyDescent="0.4">
      <c r="A15" s="18" t="s">
        <v>48</v>
      </c>
      <c r="B15" s="18" t="s">
        <v>83</v>
      </c>
      <c r="C15" s="18" t="s">
        <v>84</v>
      </c>
      <c r="D15" s="18" t="s">
        <v>85</v>
      </c>
      <c r="E15" s="18" t="s">
        <v>86</v>
      </c>
      <c r="F15" s="18" t="s">
        <v>49</v>
      </c>
      <c r="G15" s="18" t="s">
        <v>20</v>
      </c>
      <c r="H15" s="18" t="s">
        <v>21</v>
      </c>
      <c r="I15" s="18" t="s">
        <v>22</v>
      </c>
      <c r="J15" s="18">
        <v>58669835</v>
      </c>
      <c r="K15" s="18" t="s">
        <v>149</v>
      </c>
      <c r="L15" s="18"/>
      <c r="M15" s="18"/>
      <c r="N15" s="18" t="s">
        <v>58</v>
      </c>
      <c r="O15" s="18" t="s">
        <v>23</v>
      </c>
      <c r="P15" s="18">
        <v>0.55000000000000004</v>
      </c>
      <c r="Q15" s="18">
        <v>0.55000000000000004</v>
      </c>
      <c r="R15" s="19" t="s">
        <v>25</v>
      </c>
      <c r="S15" s="19">
        <v>100</v>
      </c>
      <c r="T15" s="19">
        <v>278900</v>
      </c>
      <c r="U15" s="19">
        <v>205700</v>
      </c>
      <c r="V15" s="19">
        <v>0</v>
      </c>
      <c r="W15" s="19">
        <v>0</v>
      </c>
      <c r="X15" s="19">
        <v>0</v>
      </c>
      <c r="Y15" s="19">
        <v>9200</v>
      </c>
      <c r="Z15" s="19">
        <v>3700</v>
      </c>
      <c r="AA15" s="19">
        <v>0</v>
      </c>
      <c r="AB15" s="19">
        <v>0</v>
      </c>
      <c r="AC15" s="19">
        <v>60300</v>
      </c>
      <c r="AD15" s="19">
        <v>281110</v>
      </c>
      <c r="AE15" s="19">
        <v>205700</v>
      </c>
      <c r="AF15" s="19">
        <v>0</v>
      </c>
      <c r="AG15" s="19">
        <v>0</v>
      </c>
      <c r="AH15" s="19">
        <v>0</v>
      </c>
      <c r="AI15" s="19">
        <v>11040</v>
      </c>
      <c r="AJ15" s="19">
        <v>4070</v>
      </c>
      <c r="AK15" s="19">
        <v>0</v>
      </c>
      <c r="AL15" s="19">
        <v>0</v>
      </c>
      <c r="AM15" s="19">
        <v>60300</v>
      </c>
      <c r="AN15" s="19">
        <v>154611</v>
      </c>
      <c r="AO15" s="19">
        <v>0</v>
      </c>
      <c r="AP15" s="19">
        <v>154611</v>
      </c>
    </row>
    <row r="16" spans="1:42" x14ac:dyDescent="0.4">
      <c r="A16" s="18" t="s">
        <v>48</v>
      </c>
      <c r="B16" s="18" t="s">
        <v>83</v>
      </c>
      <c r="C16" s="18" t="s">
        <v>84</v>
      </c>
      <c r="D16" s="18" t="s">
        <v>85</v>
      </c>
      <c r="E16" s="18" t="s">
        <v>86</v>
      </c>
      <c r="F16" s="18" t="s">
        <v>49</v>
      </c>
      <c r="G16" s="18" t="s">
        <v>20</v>
      </c>
      <c r="H16" s="18" t="s">
        <v>21</v>
      </c>
      <c r="I16" s="18" t="s">
        <v>22</v>
      </c>
      <c r="J16" s="18">
        <v>58669835</v>
      </c>
      <c r="K16" s="18" t="s">
        <v>149</v>
      </c>
      <c r="L16" s="18"/>
      <c r="M16" s="18"/>
      <c r="N16" s="18" t="s">
        <v>58</v>
      </c>
      <c r="O16" s="18" t="s">
        <v>23</v>
      </c>
      <c r="P16" s="18">
        <v>0.55000000000000004</v>
      </c>
      <c r="Q16" s="18">
        <v>0.55000000000000004</v>
      </c>
      <c r="R16" s="19" t="s">
        <v>24</v>
      </c>
      <c r="S16" s="19">
        <v>2400</v>
      </c>
      <c r="T16" s="19">
        <v>165000</v>
      </c>
      <c r="U16" s="19">
        <v>164600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400</v>
      </c>
      <c r="AD16" s="19">
        <v>165000</v>
      </c>
      <c r="AE16" s="19">
        <v>164600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400</v>
      </c>
      <c r="AN16" s="19">
        <v>90750</v>
      </c>
      <c r="AO16" s="19">
        <v>0</v>
      </c>
      <c r="AP16" s="19">
        <v>90750</v>
      </c>
    </row>
    <row r="17" spans="1:42" x14ac:dyDescent="0.4">
      <c r="A17" s="18" t="s">
        <v>48</v>
      </c>
      <c r="B17" s="18" t="s">
        <v>83</v>
      </c>
      <c r="C17" s="18" t="s">
        <v>84</v>
      </c>
      <c r="D17" s="18" t="s">
        <v>85</v>
      </c>
      <c r="E17" s="18" t="s">
        <v>86</v>
      </c>
      <c r="F17" s="18" t="s">
        <v>49</v>
      </c>
      <c r="G17" s="18" t="s">
        <v>20</v>
      </c>
      <c r="H17" s="18" t="s">
        <v>21</v>
      </c>
      <c r="I17" s="18" t="s">
        <v>22</v>
      </c>
      <c r="J17" s="18">
        <v>58669835</v>
      </c>
      <c r="K17" s="18" t="s">
        <v>149</v>
      </c>
      <c r="L17" s="18"/>
      <c r="M17" s="18"/>
      <c r="N17" s="18" t="s">
        <v>58</v>
      </c>
      <c r="O17" s="18" t="s">
        <v>23</v>
      </c>
      <c r="P17" s="18">
        <v>0.55000000000000004</v>
      </c>
      <c r="Q17" s="18">
        <v>0.55000000000000004</v>
      </c>
      <c r="R17" s="19" t="s">
        <v>24</v>
      </c>
      <c r="S17" s="19">
        <v>4700</v>
      </c>
      <c r="T17" s="19">
        <v>41900</v>
      </c>
      <c r="U17" s="19">
        <v>40200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1700</v>
      </c>
      <c r="AD17" s="19">
        <v>41900</v>
      </c>
      <c r="AE17" s="19">
        <v>40200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1700</v>
      </c>
      <c r="AN17" s="19">
        <v>23045</v>
      </c>
      <c r="AO17" s="19">
        <v>0</v>
      </c>
      <c r="AP17" s="19">
        <v>23045</v>
      </c>
    </row>
    <row r="18" spans="1:42" x14ac:dyDescent="0.4">
      <c r="A18" s="18" t="s">
        <v>48</v>
      </c>
      <c r="B18" s="18" t="s">
        <v>83</v>
      </c>
      <c r="C18" s="18" t="s">
        <v>84</v>
      </c>
      <c r="D18" s="18" t="s">
        <v>85</v>
      </c>
      <c r="E18" s="18" t="s">
        <v>86</v>
      </c>
      <c r="F18" s="18" t="s">
        <v>49</v>
      </c>
      <c r="G18" s="18" t="s">
        <v>20</v>
      </c>
      <c r="H18" s="18" t="s">
        <v>21</v>
      </c>
      <c r="I18" s="18" t="s">
        <v>22</v>
      </c>
      <c r="J18" s="18">
        <v>58669835</v>
      </c>
      <c r="K18" s="18" t="s">
        <v>149</v>
      </c>
      <c r="L18" s="18"/>
      <c r="M18" s="18"/>
      <c r="N18" s="18" t="s">
        <v>58</v>
      </c>
      <c r="O18" s="18" t="s">
        <v>23</v>
      </c>
      <c r="P18" s="18">
        <v>0.55000000000000004</v>
      </c>
      <c r="Q18" s="18">
        <v>0.55000000000000004</v>
      </c>
      <c r="R18" s="19" t="s">
        <v>24</v>
      </c>
      <c r="S18" s="19">
        <v>9200</v>
      </c>
      <c r="T18" s="19">
        <v>27600</v>
      </c>
      <c r="U18" s="19">
        <v>18300</v>
      </c>
      <c r="V18" s="19">
        <v>0</v>
      </c>
      <c r="W18" s="19">
        <v>0</v>
      </c>
      <c r="X18" s="19">
        <v>0</v>
      </c>
      <c r="Y18" s="19">
        <v>0</v>
      </c>
      <c r="Z18" s="19">
        <v>9200</v>
      </c>
      <c r="AA18" s="19">
        <v>0</v>
      </c>
      <c r="AB18" s="19">
        <v>0</v>
      </c>
      <c r="AC18" s="19">
        <v>100</v>
      </c>
      <c r="AD18" s="19">
        <v>28520</v>
      </c>
      <c r="AE18" s="19">
        <v>18300</v>
      </c>
      <c r="AF18" s="19">
        <v>0</v>
      </c>
      <c r="AG18" s="19">
        <v>0</v>
      </c>
      <c r="AH18" s="19">
        <v>0</v>
      </c>
      <c r="AI18" s="19">
        <v>0</v>
      </c>
      <c r="AJ18" s="19">
        <v>10120</v>
      </c>
      <c r="AK18" s="19">
        <v>0</v>
      </c>
      <c r="AL18" s="19">
        <v>0</v>
      </c>
      <c r="AM18" s="19">
        <v>100</v>
      </c>
      <c r="AN18" s="19">
        <v>15686</v>
      </c>
      <c r="AO18" s="19">
        <v>0</v>
      </c>
      <c r="AP18" s="19">
        <v>15686</v>
      </c>
    </row>
    <row r="19" spans="1:42" x14ac:dyDescent="0.4">
      <c r="AP19" s="15">
        <f>SUM(AP2:AP18)</f>
        <v>478066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P5"/>
  <sheetViews>
    <sheetView topLeftCell="X1" workbookViewId="0">
      <selection activeCell="AP5" sqref="AP5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3" bestFit="1" customWidth="1"/>
    <col min="12" max="12" width="21.5" bestFit="1" customWidth="1"/>
    <col min="13" max="13" width="6.796875" bestFit="1" customWidth="1"/>
    <col min="14" max="14" width="10.3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50982116</v>
      </c>
      <c r="K2" s="18" t="s">
        <v>59</v>
      </c>
      <c r="L2" s="18"/>
      <c r="M2" s="18"/>
      <c r="N2" s="18" t="s">
        <v>60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49900</v>
      </c>
      <c r="U2" s="19">
        <v>14900</v>
      </c>
      <c r="V2" s="19">
        <v>0</v>
      </c>
      <c r="W2" s="19">
        <v>0</v>
      </c>
      <c r="X2" s="19">
        <v>0</v>
      </c>
      <c r="Y2" s="19">
        <v>100</v>
      </c>
      <c r="Z2" s="19">
        <v>0</v>
      </c>
      <c r="AA2" s="19">
        <v>0</v>
      </c>
      <c r="AB2" s="19">
        <v>0</v>
      </c>
      <c r="AC2" s="19">
        <v>34900</v>
      </c>
      <c r="AD2" s="19">
        <v>49920</v>
      </c>
      <c r="AE2" s="19">
        <v>14900</v>
      </c>
      <c r="AF2" s="19">
        <v>0</v>
      </c>
      <c r="AG2" s="19">
        <v>0</v>
      </c>
      <c r="AH2" s="19">
        <v>0</v>
      </c>
      <c r="AI2" s="19">
        <v>120</v>
      </c>
      <c r="AJ2" s="19">
        <v>0</v>
      </c>
      <c r="AK2" s="19">
        <v>0</v>
      </c>
      <c r="AL2" s="19">
        <v>0</v>
      </c>
      <c r="AM2" s="19">
        <v>34900</v>
      </c>
      <c r="AN2" s="19">
        <v>27456</v>
      </c>
      <c r="AO2" s="19">
        <v>0</v>
      </c>
      <c r="AP2" s="19">
        <v>27456</v>
      </c>
    </row>
    <row r="3" spans="1:42" x14ac:dyDescent="0.4">
      <c r="A3" s="18" t="s">
        <v>48</v>
      </c>
      <c r="B3" s="18" t="s">
        <v>83</v>
      </c>
      <c r="C3" s="18" t="s">
        <v>84</v>
      </c>
      <c r="D3" s="18" t="s">
        <v>85</v>
      </c>
      <c r="E3" s="18" t="s">
        <v>86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50982116</v>
      </c>
      <c r="K3" s="18" t="s">
        <v>59</v>
      </c>
      <c r="L3" s="18"/>
      <c r="M3" s="18"/>
      <c r="N3" s="18" t="s">
        <v>60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2900</v>
      </c>
      <c r="T3" s="19">
        <v>33700</v>
      </c>
      <c r="U3" s="19">
        <v>33700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33700</v>
      </c>
      <c r="AE3" s="19">
        <v>33700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18535</v>
      </c>
      <c r="AO3" s="19">
        <v>0</v>
      </c>
      <c r="AP3" s="19">
        <v>18535</v>
      </c>
    </row>
    <row r="4" spans="1:42" x14ac:dyDescent="0.4">
      <c r="A4" s="18" t="s">
        <v>48</v>
      </c>
      <c r="B4" s="18" t="s">
        <v>83</v>
      </c>
      <c r="C4" s="18" t="s">
        <v>84</v>
      </c>
      <c r="D4" s="18" t="s">
        <v>85</v>
      </c>
      <c r="E4" s="18" t="s">
        <v>86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50982116</v>
      </c>
      <c r="K4" s="18" t="s">
        <v>59</v>
      </c>
      <c r="L4" s="18"/>
      <c r="M4" s="18"/>
      <c r="N4" s="18" t="s">
        <v>60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9000</v>
      </c>
      <c r="T4" s="19">
        <v>9000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9000</v>
      </c>
      <c r="AD4" s="19">
        <v>9000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9000</v>
      </c>
      <c r="AN4" s="19">
        <v>4950</v>
      </c>
      <c r="AO4" s="19">
        <v>0</v>
      </c>
      <c r="AP4" s="19">
        <v>4950</v>
      </c>
    </row>
    <row r="5" spans="1:42" x14ac:dyDescent="0.4">
      <c r="AP5" s="15">
        <f>SUM(AP2:AP4)</f>
        <v>50941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P5"/>
  <sheetViews>
    <sheetView topLeftCell="X1" workbookViewId="0">
      <selection activeCell="AP5" sqref="AP5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2.1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51286038</v>
      </c>
      <c r="K2" s="18" t="s">
        <v>67</v>
      </c>
      <c r="L2" s="18"/>
      <c r="M2" s="18"/>
      <c r="N2" s="18" t="s">
        <v>68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100</v>
      </c>
      <c r="U2" s="19">
        <v>100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100</v>
      </c>
      <c r="AE2" s="19">
        <v>100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55</v>
      </c>
      <c r="AO2" s="19">
        <v>0</v>
      </c>
      <c r="AP2" s="19">
        <v>55</v>
      </c>
    </row>
    <row r="3" spans="1:42" x14ac:dyDescent="0.4">
      <c r="A3" s="18" t="s">
        <v>48</v>
      </c>
      <c r="B3" s="18" t="s">
        <v>83</v>
      </c>
      <c r="C3" s="18" t="s">
        <v>84</v>
      </c>
      <c r="D3" s="18" t="s">
        <v>85</v>
      </c>
      <c r="E3" s="18" t="s">
        <v>86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51286038</v>
      </c>
      <c r="K3" s="18" t="s">
        <v>67</v>
      </c>
      <c r="L3" s="18"/>
      <c r="M3" s="18"/>
      <c r="N3" s="18" t="s">
        <v>68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-2200</v>
      </c>
      <c r="U3" s="19">
        <v>-2200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-2200</v>
      </c>
      <c r="AE3" s="19">
        <v>-2200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-1210</v>
      </c>
      <c r="AO3" s="19">
        <v>0</v>
      </c>
      <c r="AP3" s="19">
        <v>-1210</v>
      </c>
    </row>
    <row r="4" spans="1:42" x14ac:dyDescent="0.4">
      <c r="A4" s="18" t="s">
        <v>48</v>
      </c>
      <c r="B4" s="18" t="s">
        <v>83</v>
      </c>
      <c r="C4" s="18" t="s">
        <v>84</v>
      </c>
      <c r="D4" s="18" t="s">
        <v>85</v>
      </c>
      <c r="E4" s="18" t="s">
        <v>86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56767324</v>
      </c>
      <c r="K4" s="18" t="s">
        <v>104</v>
      </c>
      <c r="L4" s="18"/>
      <c r="M4" s="18"/>
      <c r="N4" s="18" t="s">
        <v>68</v>
      </c>
      <c r="O4" s="18" t="s">
        <v>23</v>
      </c>
      <c r="P4" s="18">
        <v>0.55000000000000004</v>
      </c>
      <c r="Q4" s="18">
        <v>0.55000000000000004</v>
      </c>
      <c r="R4" s="19" t="s">
        <v>25</v>
      </c>
      <c r="S4" s="19">
        <v>3200</v>
      </c>
      <c r="T4" s="19">
        <v>25600</v>
      </c>
      <c r="U4" s="19">
        <v>12800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12800</v>
      </c>
      <c r="AD4" s="19">
        <v>25600</v>
      </c>
      <c r="AE4" s="19">
        <v>12800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12800</v>
      </c>
      <c r="AN4" s="19">
        <v>14080</v>
      </c>
      <c r="AO4" s="19">
        <v>0</v>
      </c>
      <c r="AP4" s="19">
        <v>14080</v>
      </c>
    </row>
    <row r="5" spans="1:42" x14ac:dyDescent="0.4">
      <c r="AP5" s="15">
        <f>SUM(AP2:AP4)</f>
        <v>12925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P7"/>
  <sheetViews>
    <sheetView topLeftCell="X1" workbookViewId="0">
      <selection activeCell="AP7" sqref="AP7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51580576</v>
      </c>
      <c r="K2" s="18" t="s">
        <v>69</v>
      </c>
      <c r="L2" s="18"/>
      <c r="M2" s="18"/>
      <c r="N2" s="18" t="s">
        <v>70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49700</v>
      </c>
      <c r="U2" s="19">
        <v>16100</v>
      </c>
      <c r="V2" s="19">
        <v>0</v>
      </c>
      <c r="W2" s="19">
        <v>0</v>
      </c>
      <c r="X2" s="19">
        <v>0</v>
      </c>
      <c r="Y2" s="19">
        <v>100</v>
      </c>
      <c r="Z2" s="19">
        <v>0</v>
      </c>
      <c r="AA2" s="19">
        <v>0</v>
      </c>
      <c r="AB2" s="19">
        <v>0</v>
      </c>
      <c r="AC2" s="19">
        <v>33500</v>
      </c>
      <c r="AD2" s="19">
        <v>49720</v>
      </c>
      <c r="AE2" s="19">
        <v>16100</v>
      </c>
      <c r="AF2" s="19">
        <v>0</v>
      </c>
      <c r="AG2" s="19">
        <v>0</v>
      </c>
      <c r="AH2" s="19">
        <v>0</v>
      </c>
      <c r="AI2" s="19">
        <v>120</v>
      </c>
      <c r="AJ2" s="19">
        <v>0</v>
      </c>
      <c r="AK2" s="19">
        <v>0</v>
      </c>
      <c r="AL2" s="19">
        <v>0</v>
      </c>
      <c r="AM2" s="19">
        <v>33500</v>
      </c>
      <c r="AN2" s="19">
        <v>27346</v>
      </c>
      <c r="AO2" s="19">
        <v>0</v>
      </c>
      <c r="AP2" s="19">
        <v>27346</v>
      </c>
    </row>
    <row r="3" spans="1:42" x14ac:dyDescent="0.4">
      <c r="A3" s="18" t="s">
        <v>48</v>
      </c>
      <c r="B3" s="18" t="s">
        <v>83</v>
      </c>
      <c r="C3" s="18" t="s">
        <v>84</v>
      </c>
      <c r="D3" s="18" t="s">
        <v>85</v>
      </c>
      <c r="E3" s="18" t="s">
        <v>86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51580576</v>
      </c>
      <c r="K3" s="18" t="s">
        <v>69</v>
      </c>
      <c r="L3" s="18"/>
      <c r="M3" s="18"/>
      <c r="N3" s="18" t="s">
        <v>70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18000</v>
      </c>
      <c r="U3" s="19">
        <v>10300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7700</v>
      </c>
      <c r="AD3" s="19">
        <v>18000</v>
      </c>
      <c r="AE3" s="19">
        <v>10300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7700</v>
      </c>
      <c r="AN3" s="19">
        <v>9900</v>
      </c>
      <c r="AO3" s="19">
        <v>0</v>
      </c>
      <c r="AP3" s="19">
        <v>9900</v>
      </c>
    </row>
    <row r="4" spans="1:42" x14ac:dyDescent="0.4">
      <c r="A4" s="18" t="s">
        <v>48</v>
      </c>
      <c r="B4" s="18" t="s">
        <v>83</v>
      </c>
      <c r="C4" s="18" t="s">
        <v>84</v>
      </c>
      <c r="D4" s="18" t="s">
        <v>85</v>
      </c>
      <c r="E4" s="18" t="s">
        <v>86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51580576</v>
      </c>
      <c r="K4" s="18" t="s">
        <v>69</v>
      </c>
      <c r="L4" s="18"/>
      <c r="M4" s="18"/>
      <c r="N4" s="18" t="s">
        <v>70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59400</v>
      </c>
      <c r="U4" s="19">
        <v>59400</v>
      </c>
      <c r="V4" s="19">
        <v>0</v>
      </c>
      <c r="W4" s="19">
        <v>0</v>
      </c>
      <c r="X4" s="19">
        <v>0</v>
      </c>
      <c r="Y4" s="19">
        <v>-500</v>
      </c>
      <c r="Z4" s="19">
        <v>0</v>
      </c>
      <c r="AA4" s="19">
        <v>0</v>
      </c>
      <c r="AB4" s="19">
        <v>0</v>
      </c>
      <c r="AC4" s="19">
        <v>500</v>
      </c>
      <c r="AD4" s="19">
        <v>59300</v>
      </c>
      <c r="AE4" s="19">
        <v>59400</v>
      </c>
      <c r="AF4" s="19">
        <v>0</v>
      </c>
      <c r="AG4" s="19">
        <v>0</v>
      </c>
      <c r="AH4" s="19">
        <v>0</v>
      </c>
      <c r="AI4" s="19">
        <v>-600</v>
      </c>
      <c r="AJ4" s="19">
        <v>0</v>
      </c>
      <c r="AK4" s="19">
        <v>0</v>
      </c>
      <c r="AL4" s="19">
        <v>0</v>
      </c>
      <c r="AM4" s="19">
        <v>500</v>
      </c>
      <c r="AN4" s="19">
        <v>32615</v>
      </c>
      <c r="AO4" s="19">
        <v>0</v>
      </c>
      <c r="AP4" s="19">
        <v>32615</v>
      </c>
    </row>
    <row r="5" spans="1:42" x14ac:dyDescent="0.4">
      <c r="A5" s="18" t="s">
        <v>48</v>
      </c>
      <c r="B5" s="18" t="s">
        <v>83</v>
      </c>
      <c r="C5" s="18" t="s">
        <v>84</v>
      </c>
      <c r="D5" s="18" t="s">
        <v>85</v>
      </c>
      <c r="E5" s="18" t="s">
        <v>86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51580576</v>
      </c>
      <c r="K5" s="18" t="s">
        <v>69</v>
      </c>
      <c r="L5" s="18"/>
      <c r="M5" s="18"/>
      <c r="N5" s="18" t="s">
        <v>70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8900</v>
      </c>
      <c r="U5" s="19">
        <v>25900</v>
      </c>
      <c r="V5" s="19">
        <v>0</v>
      </c>
      <c r="W5" s="19">
        <v>0</v>
      </c>
      <c r="X5" s="19">
        <v>0</v>
      </c>
      <c r="Y5" s="19">
        <v>-250</v>
      </c>
      <c r="Z5" s="19">
        <v>-16750</v>
      </c>
      <c r="AA5" s="19">
        <v>0</v>
      </c>
      <c r="AB5" s="19">
        <v>0</v>
      </c>
      <c r="AC5" s="19">
        <v>0</v>
      </c>
      <c r="AD5" s="19">
        <v>7175</v>
      </c>
      <c r="AE5" s="19">
        <v>25900</v>
      </c>
      <c r="AF5" s="19">
        <v>0</v>
      </c>
      <c r="AG5" s="19">
        <v>0</v>
      </c>
      <c r="AH5" s="19">
        <v>0</v>
      </c>
      <c r="AI5" s="19">
        <v>-300</v>
      </c>
      <c r="AJ5" s="19">
        <v>-18425</v>
      </c>
      <c r="AK5" s="19">
        <v>0</v>
      </c>
      <c r="AL5" s="19">
        <v>0</v>
      </c>
      <c r="AM5" s="19">
        <v>0</v>
      </c>
      <c r="AN5" s="19">
        <v>3946</v>
      </c>
      <c r="AO5" s="19">
        <v>0</v>
      </c>
      <c r="AP5" s="19">
        <v>3946</v>
      </c>
    </row>
    <row r="6" spans="1:42" x14ac:dyDescent="0.4">
      <c r="A6" s="18" t="s">
        <v>48</v>
      </c>
      <c r="B6" s="18" t="s">
        <v>83</v>
      </c>
      <c r="C6" s="18" t="s">
        <v>84</v>
      </c>
      <c r="D6" s="18" t="s">
        <v>85</v>
      </c>
      <c r="E6" s="18" t="s">
        <v>86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56764813</v>
      </c>
      <c r="K6" s="18" t="s">
        <v>99</v>
      </c>
      <c r="L6" s="18"/>
      <c r="M6" s="18"/>
      <c r="N6" s="18" t="s">
        <v>70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3200</v>
      </c>
      <c r="T6" s="19">
        <v>32000</v>
      </c>
      <c r="U6" s="19">
        <v>32000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32000</v>
      </c>
      <c r="AE6" s="19">
        <v>32000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17600</v>
      </c>
      <c r="AO6" s="19">
        <v>0</v>
      </c>
      <c r="AP6" s="19">
        <v>17600</v>
      </c>
    </row>
    <row r="7" spans="1:42" x14ac:dyDescent="0.4">
      <c r="AP7" s="15">
        <f>SUM(AP2:AP6)</f>
        <v>91407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P7"/>
  <sheetViews>
    <sheetView topLeftCell="X1" workbookViewId="0">
      <selection activeCell="AP7" sqref="AP7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3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52393524</v>
      </c>
      <c r="K2" s="18" t="s">
        <v>53</v>
      </c>
      <c r="L2" s="18"/>
      <c r="M2" s="18"/>
      <c r="N2" s="18" t="s">
        <v>54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61700</v>
      </c>
      <c r="U2" s="19">
        <v>23600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38100</v>
      </c>
      <c r="AD2" s="19">
        <v>61700</v>
      </c>
      <c r="AE2" s="19">
        <v>23600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38100</v>
      </c>
      <c r="AN2" s="19">
        <v>33935</v>
      </c>
      <c r="AO2" s="19">
        <v>0</v>
      </c>
      <c r="AP2" s="19">
        <v>33935</v>
      </c>
    </row>
    <row r="3" spans="1:42" x14ac:dyDescent="0.4">
      <c r="A3" s="18" t="s">
        <v>48</v>
      </c>
      <c r="B3" s="18" t="s">
        <v>83</v>
      </c>
      <c r="C3" s="18" t="s">
        <v>84</v>
      </c>
      <c r="D3" s="18" t="s">
        <v>85</v>
      </c>
      <c r="E3" s="18" t="s">
        <v>86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52393524</v>
      </c>
      <c r="K3" s="18" t="s">
        <v>53</v>
      </c>
      <c r="L3" s="18"/>
      <c r="M3" s="18"/>
      <c r="N3" s="18" t="s">
        <v>54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103800</v>
      </c>
      <c r="U3" s="19">
        <v>94850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8950</v>
      </c>
      <c r="AD3" s="19">
        <v>103800</v>
      </c>
      <c r="AE3" s="19">
        <v>94850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8950</v>
      </c>
      <c r="AN3" s="19">
        <v>57090</v>
      </c>
      <c r="AO3" s="19">
        <v>0</v>
      </c>
      <c r="AP3" s="19">
        <v>57090</v>
      </c>
    </row>
    <row r="4" spans="1:42" x14ac:dyDescent="0.4">
      <c r="A4" s="18" t="s">
        <v>48</v>
      </c>
      <c r="B4" s="18" t="s">
        <v>83</v>
      </c>
      <c r="C4" s="18" t="s">
        <v>84</v>
      </c>
      <c r="D4" s="18" t="s">
        <v>85</v>
      </c>
      <c r="E4" s="18" t="s">
        <v>86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52393524</v>
      </c>
      <c r="K4" s="18" t="s">
        <v>53</v>
      </c>
      <c r="L4" s="18"/>
      <c r="M4" s="18"/>
      <c r="N4" s="18" t="s">
        <v>54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40200</v>
      </c>
      <c r="U4" s="19">
        <v>36900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3300</v>
      </c>
      <c r="AD4" s="19">
        <v>40200</v>
      </c>
      <c r="AE4" s="19">
        <v>36900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3300</v>
      </c>
      <c r="AN4" s="19">
        <v>22110</v>
      </c>
      <c r="AO4" s="19">
        <v>0</v>
      </c>
      <c r="AP4" s="19">
        <v>22110</v>
      </c>
    </row>
    <row r="5" spans="1:42" x14ac:dyDescent="0.4">
      <c r="A5" s="18" t="s">
        <v>48</v>
      </c>
      <c r="B5" s="18" t="s">
        <v>83</v>
      </c>
      <c r="C5" s="18" t="s">
        <v>84</v>
      </c>
      <c r="D5" s="18" t="s">
        <v>85</v>
      </c>
      <c r="E5" s="18" t="s">
        <v>86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52393524</v>
      </c>
      <c r="K5" s="18" t="s">
        <v>53</v>
      </c>
      <c r="L5" s="18"/>
      <c r="M5" s="18"/>
      <c r="N5" s="18" t="s">
        <v>54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30800</v>
      </c>
      <c r="U5" s="19">
        <v>30800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30800</v>
      </c>
      <c r="AE5" s="19">
        <v>30800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16940</v>
      </c>
      <c r="AO5" s="19">
        <v>0</v>
      </c>
      <c r="AP5" s="19">
        <v>16940</v>
      </c>
    </row>
    <row r="6" spans="1:42" x14ac:dyDescent="0.4">
      <c r="A6" s="18" t="s">
        <v>48</v>
      </c>
      <c r="B6" s="18" t="s">
        <v>83</v>
      </c>
      <c r="C6" s="18" t="s">
        <v>84</v>
      </c>
      <c r="D6" s="18" t="s">
        <v>85</v>
      </c>
      <c r="E6" s="18" t="s">
        <v>86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55688392</v>
      </c>
      <c r="K6" s="18" t="s">
        <v>129</v>
      </c>
      <c r="L6" s="18"/>
      <c r="M6" s="18"/>
      <c r="N6" s="18" t="s">
        <v>54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3200</v>
      </c>
      <c r="T6" s="19">
        <v>22400</v>
      </c>
      <c r="U6" s="19">
        <v>22400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22400</v>
      </c>
      <c r="AE6" s="19">
        <v>22400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12320</v>
      </c>
      <c r="AO6" s="19">
        <v>0</v>
      </c>
      <c r="AP6" s="19">
        <v>12320</v>
      </c>
    </row>
    <row r="7" spans="1:42" x14ac:dyDescent="0.4">
      <c r="AP7" s="15">
        <f>SUM(AP2:AP6)</f>
        <v>142395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P7"/>
  <sheetViews>
    <sheetView topLeftCell="X1" workbookViewId="0">
      <selection activeCell="AP7" sqref="AP7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5.1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52438077</v>
      </c>
      <c r="K2" s="18" t="s">
        <v>77</v>
      </c>
      <c r="L2" s="18"/>
      <c r="M2" s="18"/>
      <c r="N2" s="18" t="s">
        <v>78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109000</v>
      </c>
      <c r="U2" s="19">
        <v>21450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87550</v>
      </c>
      <c r="AD2" s="19">
        <v>109000</v>
      </c>
      <c r="AE2" s="19">
        <v>21450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87550</v>
      </c>
      <c r="AN2" s="19">
        <v>59950</v>
      </c>
      <c r="AO2" s="19">
        <v>0</v>
      </c>
      <c r="AP2" s="19">
        <v>59950</v>
      </c>
    </row>
    <row r="3" spans="1:42" x14ac:dyDescent="0.4">
      <c r="A3" s="18" t="s">
        <v>48</v>
      </c>
      <c r="B3" s="18" t="s">
        <v>83</v>
      </c>
      <c r="C3" s="18" t="s">
        <v>84</v>
      </c>
      <c r="D3" s="18" t="s">
        <v>85</v>
      </c>
      <c r="E3" s="18" t="s">
        <v>86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52438077</v>
      </c>
      <c r="K3" s="18" t="s">
        <v>77</v>
      </c>
      <c r="L3" s="18"/>
      <c r="M3" s="18"/>
      <c r="N3" s="18" t="s">
        <v>78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117900</v>
      </c>
      <c r="U3" s="19">
        <v>97250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20650</v>
      </c>
      <c r="AD3" s="19">
        <v>117900</v>
      </c>
      <c r="AE3" s="19">
        <v>97250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20650</v>
      </c>
      <c r="AN3" s="19">
        <v>64845</v>
      </c>
      <c r="AO3" s="19">
        <v>0</v>
      </c>
      <c r="AP3" s="19">
        <v>64845</v>
      </c>
    </row>
    <row r="4" spans="1:42" x14ac:dyDescent="0.4">
      <c r="A4" s="18" t="s">
        <v>48</v>
      </c>
      <c r="B4" s="18" t="s">
        <v>83</v>
      </c>
      <c r="C4" s="18" t="s">
        <v>84</v>
      </c>
      <c r="D4" s="18" t="s">
        <v>85</v>
      </c>
      <c r="E4" s="18" t="s">
        <v>86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52438077</v>
      </c>
      <c r="K4" s="18" t="s">
        <v>77</v>
      </c>
      <c r="L4" s="18"/>
      <c r="M4" s="18"/>
      <c r="N4" s="18" t="s">
        <v>78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96400</v>
      </c>
      <c r="U4" s="19">
        <v>77300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19100</v>
      </c>
      <c r="AD4" s="19">
        <v>96400</v>
      </c>
      <c r="AE4" s="19">
        <v>77300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19100</v>
      </c>
      <c r="AN4" s="19">
        <v>53020</v>
      </c>
      <c r="AO4" s="19">
        <v>0</v>
      </c>
      <c r="AP4" s="19">
        <v>53020</v>
      </c>
    </row>
    <row r="5" spans="1:42" x14ac:dyDescent="0.4">
      <c r="A5" s="18" t="s">
        <v>48</v>
      </c>
      <c r="B5" s="18" t="s">
        <v>83</v>
      </c>
      <c r="C5" s="18" t="s">
        <v>84</v>
      </c>
      <c r="D5" s="18" t="s">
        <v>85</v>
      </c>
      <c r="E5" s="18" t="s">
        <v>86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52438077</v>
      </c>
      <c r="K5" s="18" t="s">
        <v>77</v>
      </c>
      <c r="L5" s="18"/>
      <c r="M5" s="18"/>
      <c r="N5" s="18" t="s">
        <v>78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10900</v>
      </c>
      <c r="U5" s="19">
        <v>6800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4100</v>
      </c>
      <c r="AD5" s="19">
        <v>10900</v>
      </c>
      <c r="AE5" s="19">
        <v>6800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4100</v>
      </c>
      <c r="AN5" s="19">
        <v>5995</v>
      </c>
      <c r="AO5" s="19">
        <v>0</v>
      </c>
      <c r="AP5" s="19">
        <v>5995</v>
      </c>
    </row>
    <row r="6" spans="1:42" x14ac:dyDescent="0.4">
      <c r="A6" s="18" t="s">
        <v>48</v>
      </c>
      <c r="B6" s="18" t="s">
        <v>83</v>
      </c>
      <c r="C6" s="18" t="s">
        <v>84</v>
      </c>
      <c r="D6" s="18" t="s">
        <v>85</v>
      </c>
      <c r="E6" s="18" t="s">
        <v>86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56764849</v>
      </c>
      <c r="K6" s="18" t="s">
        <v>118</v>
      </c>
      <c r="L6" s="18"/>
      <c r="M6" s="18"/>
      <c r="N6" s="18" t="s">
        <v>78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3200</v>
      </c>
      <c r="T6" s="19">
        <v>28800</v>
      </c>
      <c r="U6" s="19">
        <v>27300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1500</v>
      </c>
      <c r="AD6" s="19">
        <v>28800</v>
      </c>
      <c r="AE6" s="19">
        <v>27300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1500</v>
      </c>
      <c r="AN6" s="19">
        <v>15840</v>
      </c>
      <c r="AO6" s="19">
        <v>0</v>
      </c>
      <c r="AP6" s="19">
        <v>15840</v>
      </c>
    </row>
    <row r="7" spans="1:42" x14ac:dyDescent="0.4">
      <c r="AP7" s="15">
        <f>SUM(AP2:AP6)</f>
        <v>199650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P8"/>
  <sheetViews>
    <sheetView topLeftCell="X1" workbookViewId="0">
      <selection activeCell="AP8" sqref="AP8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3.296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52879801</v>
      </c>
      <c r="K2" s="18" t="s">
        <v>76</v>
      </c>
      <c r="L2" s="18"/>
      <c r="M2" s="18"/>
      <c r="N2" s="18" t="s">
        <v>52</v>
      </c>
      <c r="O2" s="18" t="s">
        <v>23</v>
      </c>
      <c r="P2" s="18">
        <v>0.55000000000000004</v>
      </c>
      <c r="Q2" s="18">
        <v>0.55000000000000004</v>
      </c>
      <c r="R2" s="19" t="s">
        <v>24</v>
      </c>
      <c r="S2" s="19">
        <v>2400</v>
      </c>
      <c r="T2" s="19">
        <v>-1400</v>
      </c>
      <c r="U2" s="19">
        <v>-1400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-1400</v>
      </c>
      <c r="AE2" s="19">
        <v>-1400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-770</v>
      </c>
      <c r="AO2" s="19">
        <v>0</v>
      </c>
      <c r="AP2" s="19">
        <v>-770</v>
      </c>
    </row>
    <row r="3" spans="1:42" x14ac:dyDescent="0.4">
      <c r="A3" s="18" t="s">
        <v>48</v>
      </c>
      <c r="B3" s="18" t="s">
        <v>83</v>
      </c>
      <c r="C3" s="18" t="s">
        <v>84</v>
      </c>
      <c r="D3" s="18" t="s">
        <v>85</v>
      </c>
      <c r="E3" s="18" t="s">
        <v>86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54231195</v>
      </c>
      <c r="K3" s="18" t="s">
        <v>61</v>
      </c>
      <c r="L3" s="18"/>
      <c r="M3" s="18"/>
      <c r="N3" s="18" t="s">
        <v>52</v>
      </c>
      <c r="O3" s="18" t="s">
        <v>23</v>
      </c>
      <c r="P3" s="18">
        <v>0.55000000000000004</v>
      </c>
      <c r="Q3" s="18">
        <v>0.55000000000000004</v>
      </c>
      <c r="R3" s="19" t="s">
        <v>25</v>
      </c>
      <c r="S3" s="19">
        <v>100</v>
      </c>
      <c r="T3" s="19">
        <v>20400</v>
      </c>
      <c r="U3" s="19">
        <v>6900</v>
      </c>
      <c r="V3" s="19">
        <v>0</v>
      </c>
      <c r="W3" s="19">
        <v>0</v>
      </c>
      <c r="X3" s="19">
        <v>0</v>
      </c>
      <c r="Y3" s="19">
        <v>1800</v>
      </c>
      <c r="Z3" s="19">
        <v>0</v>
      </c>
      <c r="AA3" s="19">
        <v>0</v>
      </c>
      <c r="AB3" s="19">
        <v>0</v>
      </c>
      <c r="AC3" s="19">
        <v>11700</v>
      </c>
      <c r="AD3" s="19">
        <v>20760</v>
      </c>
      <c r="AE3" s="19">
        <v>6900</v>
      </c>
      <c r="AF3" s="19">
        <v>0</v>
      </c>
      <c r="AG3" s="19">
        <v>0</v>
      </c>
      <c r="AH3" s="19">
        <v>0</v>
      </c>
      <c r="AI3" s="19">
        <v>2160</v>
      </c>
      <c r="AJ3" s="19">
        <v>0</v>
      </c>
      <c r="AK3" s="19">
        <v>0</v>
      </c>
      <c r="AL3" s="19">
        <v>0</v>
      </c>
      <c r="AM3" s="19">
        <v>11700</v>
      </c>
      <c r="AN3" s="19">
        <v>11418</v>
      </c>
      <c r="AO3" s="19">
        <v>0</v>
      </c>
      <c r="AP3" s="19">
        <v>11418</v>
      </c>
    </row>
    <row r="4" spans="1:42" x14ac:dyDescent="0.4">
      <c r="A4" s="18" t="s">
        <v>48</v>
      </c>
      <c r="B4" s="18" t="s">
        <v>83</v>
      </c>
      <c r="C4" s="18" t="s">
        <v>84</v>
      </c>
      <c r="D4" s="18" t="s">
        <v>85</v>
      </c>
      <c r="E4" s="18" t="s">
        <v>86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54231195</v>
      </c>
      <c r="K4" s="18" t="s">
        <v>61</v>
      </c>
      <c r="L4" s="18"/>
      <c r="M4" s="18"/>
      <c r="N4" s="18" t="s">
        <v>52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2400</v>
      </c>
      <c r="T4" s="19">
        <v>47800</v>
      </c>
      <c r="U4" s="19">
        <v>34900</v>
      </c>
      <c r="V4" s="19">
        <v>0</v>
      </c>
      <c r="W4" s="19">
        <v>0</v>
      </c>
      <c r="X4" s="19">
        <v>0</v>
      </c>
      <c r="Y4" s="19">
        <v>0</v>
      </c>
      <c r="Z4" s="19">
        <v>12000</v>
      </c>
      <c r="AA4" s="19">
        <v>0</v>
      </c>
      <c r="AB4" s="19">
        <v>0</v>
      </c>
      <c r="AC4" s="19">
        <v>900</v>
      </c>
      <c r="AD4" s="19">
        <v>49000</v>
      </c>
      <c r="AE4" s="19">
        <v>34900</v>
      </c>
      <c r="AF4" s="19">
        <v>0</v>
      </c>
      <c r="AG4" s="19">
        <v>0</v>
      </c>
      <c r="AH4" s="19">
        <v>0</v>
      </c>
      <c r="AI4" s="19">
        <v>0</v>
      </c>
      <c r="AJ4" s="19">
        <v>13200</v>
      </c>
      <c r="AK4" s="19">
        <v>0</v>
      </c>
      <c r="AL4" s="19">
        <v>0</v>
      </c>
      <c r="AM4" s="19">
        <v>900</v>
      </c>
      <c r="AN4" s="19">
        <v>26950</v>
      </c>
      <c r="AO4" s="19">
        <v>0</v>
      </c>
      <c r="AP4" s="19">
        <v>26950</v>
      </c>
    </row>
    <row r="5" spans="1:42" x14ac:dyDescent="0.4">
      <c r="A5" s="18" t="s">
        <v>48</v>
      </c>
      <c r="B5" s="18" t="s">
        <v>83</v>
      </c>
      <c r="C5" s="18" t="s">
        <v>84</v>
      </c>
      <c r="D5" s="18" t="s">
        <v>85</v>
      </c>
      <c r="E5" s="18" t="s">
        <v>86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54231195</v>
      </c>
      <c r="K5" s="18" t="s">
        <v>61</v>
      </c>
      <c r="L5" s="18"/>
      <c r="M5" s="18"/>
      <c r="N5" s="18" t="s">
        <v>52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35400</v>
      </c>
      <c r="U5" s="19">
        <v>35400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35400</v>
      </c>
      <c r="AE5" s="19">
        <v>35400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19470</v>
      </c>
      <c r="AO5" s="19">
        <v>0</v>
      </c>
      <c r="AP5" s="19">
        <v>19470</v>
      </c>
    </row>
    <row r="6" spans="1:42" x14ac:dyDescent="0.4">
      <c r="A6" s="18" t="s">
        <v>48</v>
      </c>
      <c r="B6" s="18" t="s">
        <v>83</v>
      </c>
      <c r="C6" s="18" t="s">
        <v>84</v>
      </c>
      <c r="D6" s="18" t="s">
        <v>85</v>
      </c>
      <c r="E6" s="18" t="s">
        <v>86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54231195</v>
      </c>
      <c r="K6" s="18" t="s">
        <v>61</v>
      </c>
      <c r="L6" s="18"/>
      <c r="M6" s="18"/>
      <c r="N6" s="18" t="s">
        <v>52</v>
      </c>
      <c r="O6" s="18" t="s">
        <v>23</v>
      </c>
      <c r="P6" s="18">
        <v>0.55000000000000004</v>
      </c>
      <c r="Q6" s="18">
        <v>0.55000000000000004</v>
      </c>
      <c r="R6" s="19" t="s">
        <v>24</v>
      </c>
      <c r="S6" s="19">
        <v>18000</v>
      </c>
      <c r="T6" s="19">
        <v>-800</v>
      </c>
      <c r="U6" s="19">
        <v>-800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-800</v>
      </c>
      <c r="AE6" s="19">
        <v>-800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-440</v>
      </c>
      <c r="AO6" s="19">
        <v>0</v>
      </c>
      <c r="AP6" s="19">
        <v>-440</v>
      </c>
    </row>
    <row r="7" spans="1:42" x14ac:dyDescent="0.4">
      <c r="A7" s="18" t="s">
        <v>48</v>
      </c>
      <c r="B7" s="18" t="s">
        <v>83</v>
      </c>
      <c r="C7" s="18" t="s">
        <v>84</v>
      </c>
      <c r="D7" s="18" t="s">
        <v>85</v>
      </c>
      <c r="E7" s="18" t="s">
        <v>86</v>
      </c>
      <c r="F7" s="18" t="s">
        <v>49</v>
      </c>
      <c r="G7" s="18" t="s">
        <v>20</v>
      </c>
      <c r="H7" s="18" t="s">
        <v>21</v>
      </c>
      <c r="I7" s="18" t="s">
        <v>22</v>
      </c>
      <c r="J7" s="18">
        <v>56765572</v>
      </c>
      <c r="K7" s="18" t="s">
        <v>102</v>
      </c>
      <c r="L7" s="18"/>
      <c r="M7" s="18"/>
      <c r="N7" s="18" t="s">
        <v>52</v>
      </c>
      <c r="O7" s="18" t="s">
        <v>23</v>
      </c>
      <c r="P7" s="18">
        <v>0.55000000000000004</v>
      </c>
      <c r="Q7" s="18">
        <v>0.55000000000000004</v>
      </c>
      <c r="R7" s="19" t="s">
        <v>25</v>
      </c>
      <c r="S7" s="19">
        <v>3200</v>
      </c>
      <c r="T7" s="19">
        <v>12800</v>
      </c>
      <c r="U7" s="19">
        <v>2100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10700</v>
      </c>
      <c r="AD7" s="19">
        <v>12800</v>
      </c>
      <c r="AE7" s="19">
        <v>2100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10700</v>
      </c>
      <c r="AN7" s="19">
        <v>7040</v>
      </c>
      <c r="AO7" s="19">
        <v>0</v>
      </c>
      <c r="AP7" s="19">
        <v>7040</v>
      </c>
    </row>
    <row r="8" spans="1:42" x14ac:dyDescent="0.4">
      <c r="AP8" s="15">
        <f>SUM(AP2:AP7)</f>
        <v>63668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0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52972236</v>
      </c>
      <c r="K2" s="18" t="s">
        <v>55</v>
      </c>
      <c r="L2" s="18"/>
      <c r="M2" s="18"/>
      <c r="N2" s="18" t="s">
        <v>56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11800</v>
      </c>
      <c r="U2" s="19">
        <v>800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11000</v>
      </c>
      <c r="AD2" s="19">
        <v>11800</v>
      </c>
      <c r="AE2" s="19">
        <v>800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11000</v>
      </c>
      <c r="AN2" s="19">
        <v>6490</v>
      </c>
      <c r="AO2" s="19">
        <v>0</v>
      </c>
      <c r="AP2" s="19">
        <v>6490</v>
      </c>
    </row>
    <row r="3" spans="1:42" x14ac:dyDescent="0.4">
      <c r="A3" s="18" t="s">
        <v>48</v>
      </c>
      <c r="B3" s="18" t="s">
        <v>83</v>
      </c>
      <c r="C3" s="18" t="s">
        <v>84</v>
      </c>
      <c r="D3" s="18" t="s">
        <v>85</v>
      </c>
      <c r="E3" s="18" t="s">
        <v>86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52972236</v>
      </c>
      <c r="K3" s="18" t="s">
        <v>55</v>
      </c>
      <c r="L3" s="18"/>
      <c r="M3" s="18"/>
      <c r="N3" s="18" t="s">
        <v>56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4700</v>
      </c>
      <c r="U3" s="19">
        <v>4700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4700</v>
      </c>
      <c r="AE3" s="19">
        <v>4700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2585</v>
      </c>
      <c r="AO3" s="19">
        <v>0</v>
      </c>
      <c r="AP3" s="19">
        <v>2585</v>
      </c>
    </row>
    <row r="4" spans="1:42" x14ac:dyDescent="0.4">
      <c r="A4" s="18" t="s">
        <v>48</v>
      </c>
      <c r="B4" s="18" t="s">
        <v>83</v>
      </c>
      <c r="C4" s="18" t="s">
        <v>84</v>
      </c>
      <c r="D4" s="18" t="s">
        <v>85</v>
      </c>
      <c r="E4" s="18" t="s">
        <v>86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52972236</v>
      </c>
      <c r="K4" s="18" t="s">
        <v>55</v>
      </c>
      <c r="L4" s="18"/>
      <c r="M4" s="18"/>
      <c r="N4" s="18" t="s">
        <v>56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2300</v>
      </c>
      <c r="U4" s="19">
        <v>2300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2300</v>
      </c>
      <c r="AE4" s="19">
        <v>2300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1265</v>
      </c>
      <c r="AO4" s="19">
        <v>0</v>
      </c>
      <c r="AP4" s="19">
        <v>1265</v>
      </c>
    </row>
    <row r="5" spans="1:42" x14ac:dyDescent="0.4">
      <c r="A5" s="18" t="s">
        <v>48</v>
      </c>
      <c r="B5" s="18" t="s">
        <v>83</v>
      </c>
      <c r="C5" s="18" t="s">
        <v>84</v>
      </c>
      <c r="D5" s="18" t="s">
        <v>85</v>
      </c>
      <c r="E5" s="18" t="s">
        <v>86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56766297</v>
      </c>
      <c r="K5" s="18" t="s">
        <v>146</v>
      </c>
      <c r="L5" s="18"/>
      <c r="M5" s="18"/>
      <c r="N5" s="18" t="s">
        <v>56</v>
      </c>
      <c r="O5" s="18" t="s">
        <v>23</v>
      </c>
      <c r="P5" s="18">
        <v>0.55000000000000004</v>
      </c>
      <c r="Q5" s="18">
        <v>0.55000000000000004</v>
      </c>
      <c r="R5" s="19" t="s">
        <v>25</v>
      </c>
      <c r="S5" s="19">
        <v>3200</v>
      </c>
      <c r="T5" s="19">
        <v>25600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24500</v>
      </c>
      <c r="AA5" s="19">
        <v>0</v>
      </c>
      <c r="AB5" s="19">
        <v>0</v>
      </c>
      <c r="AC5" s="19">
        <v>1100</v>
      </c>
      <c r="AD5" s="19">
        <v>28050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26950</v>
      </c>
      <c r="AK5" s="19">
        <v>0</v>
      </c>
      <c r="AL5" s="19">
        <v>0</v>
      </c>
      <c r="AM5" s="19">
        <v>1100</v>
      </c>
      <c r="AN5" s="19">
        <v>15428</v>
      </c>
      <c r="AO5" s="19">
        <v>0</v>
      </c>
      <c r="AP5" s="19">
        <v>15428</v>
      </c>
    </row>
    <row r="6" spans="1:42" x14ac:dyDescent="0.4">
      <c r="AP6" s="15">
        <f>SUM(AP2:AP5)</f>
        <v>25768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53188002</v>
      </c>
      <c r="K2" s="18" t="s">
        <v>62</v>
      </c>
      <c r="L2" s="18"/>
      <c r="M2" s="18"/>
      <c r="N2" s="18" t="s">
        <v>63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4900</v>
      </c>
      <c r="U2" s="19">
        <v>1500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3400</v>
      </c>
      <c r="AD2" s="19">
        <v>4900</v>
      </c>
      <c r="AE2" s="19">
        <v>1500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3400</v>
      </c>
      <c r="AN2" s="19">
        <v>2695</v>
      </c>
      <c r="AO2" s="19">
        <v>0</v>
      </c>
      <c r="AP2" s="19">
        <v>2695</v>
      </c>
    </row>
    <row r="3" spans="1:42" x14ac:dyDescent="0.4">
      <c r="A3" s="18" t="s">
        <v>48</v>
      </c>
      <c r="B3" s="18" t="s">
        <v>83</v>
      </c>
      <c r="C3" s="18" t="s">
        <v>84</v>
      </c>
      <c r="D3" s="18" t="s">
        <v>85</v>
      </c>
      <c r="E3" s="18" t="s">
        <v>86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53188002</v>
      </c>
      <c r="K3" s="18" t="s">
        <v>62</v>
      </c>
      <c r="L3" s="18"/>
      <c r="M3" s="18"/>
      <c r="N3" s="18" t="s">
        <v>63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20800</v>
      </c>
      <c r="U3" s="19">
        <v>20800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20800</v>
      </c>
      <c r="AE3" s="19">
        <v>20800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11440</v>
      </c>
      <c r="AO3" s="19">
        <v>0</v>
      </c>
      <c r="AP3" s="19">
        <v>11440</v>
      </c>
    </row>
    <row r="4" spans="1:42" x14ac:dyDescent="0.4">
      <c r="A4" s="18" t="s">
        <v>48</v>
      </c>
      <c r="B4" s="18" t="s">
        <v>83</v>
      </c>
      <c r="C4" s="18" t="s">
        <v>84</v>
      </c>
      <c r="D4" s="18" t="s">
        <v>85</v>
      </c>
      <c r="E4" s="18" t="s">
        <v>86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53188002</v>
      </c>
      <c r="K4" s="18" t="s">
        <v>62</v>
      </c>
      <c r="L4" s="18"/>
      <c r="M4" s="18"/>
      <c r="N4" s="18" t="s">
        <v>63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32000</v>
      </c>
      <c r="U4" s="19">
        <v>29000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3000</v>
      </c>
      <c r="AD4" s="19">
        <v>32000</v>
      </c>
      <c r="AE4" s="19">
        <v>29000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3000</v>
      </c>
      <c r="AN4" s="19">
        <v>17600</v>
      </c>
      <c r="AO4" s="19">
        <v>0</v>
      </c>
      <c r="AP4" s="19">
        <v>17600</v>
      </c>
    </row>
    <row r="5" spans="1:42" x14ac:dyDescent="0.4">
      <c r="A5" s="18" t="s">
        <v>48</v>
      </c>
      <c r="B5" s="18" t="s">
        <v>83</v>
      </c>
      <c r="C5" s="18" t="s">
        <v>84</v>
      </c>
      <c r="D5" s="18" t="s">
        <v>85</v>
      </c>
      <c r="E5" s="18" t="s">
        <v>86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53188002</v>
      </c>
      <c r="K5" s="18" t="s">
        <v>62</v>
      </c>
      <c r="L5" s="18"/>
      <c r="M5" s="18"/>
      <c r="N5" s="18" t="s">
        <v>63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9900</v>
      </c>
      <c r="U5" s="19">
        <v>9900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9900</v>
      </c>
      <c r="AE5" s="19">
        <v>9900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5445</v>
      </c>
      <c r="AO5" s="19">
        <v>0</v>
      </c>
      <c r="AP5" s="19">
        <v>5445</v>
      </c>
    </row>
    <row r="6" spans="1:42" x14ac:dyDescent="0.4">
      <c r="AP6" s="15">
        <f>SUM(AP2:AP5)</f>
        <v>37180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P4"/>
  <sheetViews>
    <sheetView topLeftCell="X1" workbookViewId="0">
      <selection activeCell="AP4" sqref="AP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0.3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53990724</v>
      </c>
      <c r="K2" s="18" t="s">
        <v>143</v>
      </c>
      <c r="L2" s="18"/>
      <c r="M2" s="18"/>
      <c r="N2" s="18" t="s">
        <v>144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2900</v>
      </c>
      <c r="U2" s="19">
        <v>2900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2900</v>
      </c>
      <c r="AE2" s="19">
        <v>2900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1595</v>
      </c>
      <c r="AO2" s="19">
        <v>0</v>
      </c>
      <c r="AP2" s="19">
        <v>1595</v>
      </c>
    </row>
    <row r="3" spans="1:42" x14ac:dyDescent="0.4">
      <c r="A3" s="18" t="s">
        <v>48</v>
      </c>
      <c r="B3" s="18" t="s">
        <v>83</v>
      </c>
      <c r="C3" s="18" t="s">
        <v>84</v>
      </c>
      <c r="D3" s="18" t="s">
        <v>85</v>
      </c>
      <c r="E3" s="18" t="s">
        <v>86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53990724</v>
      </c>
      <c r="K3" s="18" t="s">
        <v>143</v>
      </c>
      <c r="L3" s="18"/>
      <c r="M3" s="18"/>
      <c r="N3" s="18" t="s">
        <v>144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9600</v>
      </c>
      <c r="U3" s="19">
        <v>9600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9600</v>
      </c>
      <c r="AE3" s="19">
        <v>9600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5280</v>
      </c>
      <c r="AO3" s="19">
        <v>0</v>
      </c>
      <c r="AP3" s="19">
        <v>5280</v>
      </c>
    </row>
    <row r="4" spans="1:42" x14ac:dyDescent="0.4">
      <c r="AP4" s="15">
        <f>SUM(AP2:AP3)</f>
        <v>6875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P5"/>
  <sheetViews>
    <sheetView topLeftCell="X1" workbookViewId="0">
      <selection activeCell="AP5" sqref="AP5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2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54659177</v>
      </c>
      <c r="K2" s="18" t="s">
        <v>81</v>
      </c>
      <c r="L2" s="18"/>
      <c r="M2" s="18"/>
      <c r="N2" s="18" t="s">
        <v>82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2100</v>
      </c>
      <c r="U2" s="19">
        <v>1200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900</v>
      </c>
      <c r="AD2" s="19">
        <v>2100</v>
      </c>
      <c r="AE2" s="19">
        <v>1200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900</v>
      </c>
      <c r="AN2" s="19">
        <v>1155</v>
      </c>
      <c r="AO2" s="19">
        <v>0</v>
      </c>
      <c r="AP2" s="19">
        <v>1155</v>
      </c>
    </row>
    <row r="3" spans="1:42" x14ac:dyDescent="0.4">
      <c r="A3" s="18" t="s">
        <v>48</v>
      </c>
      <c r="B3" s="18" t="s">
        <v>83</v>
      </c>
      <c r="C3" s="18" t="s">
        <v>84</v>
      </c>
      <c r="D3" s="18" t="s">
        <v>85</v>
      </c>
      <c r="E3" s="18" t="s">
        <v>86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54659177</v>
      </c>
      <c r="K3" s="18" t="s">
        <v>81</v>
      </c>
      <c r="L3" s="18"/>
      <c r="M3" s="18"/>
      <c r="N3" s="18" t="s">
        <v>82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4800</v>
      </c>
      <c r="U3" s="19">
        <v>4300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500</v>
      </c>
      <c r="AD3" s="19">
        <v>4800</v>
      </c>
      <c r="AE3" s="19">
        <v>4300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500</v>
      </c>
      <c r="AN3" s="19">
        <v>2640</v>
      </c>
      <c r="AO3" s="19">
        <v>0</v>
      </c>
      <c r="AP3" s="19">
        <v>2640</v>
      </c>
    </row>
    <row r="4" spans="1:42" x14ac:dyDescent="0.4">
      <c r="A4" s="18" t="s">
        <v>48</v>
      </c>
      <c r="B4" s="18" t="s">
        <v>83</v>
      </c>
      <c r="C4" s="18" t="s">
        <v>84</v>
      </c>
      <c r="D4" s="18" t="s">
        <v>85</v>
      </c>
      <c r="E4" s="18" t="s">
        <v>86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56765349</v>
      </c>
      <c r="K4" s="18" t="s">
        <v>145</v>
      </c>
      <c r="L4" s="18"/>
      <c r="M4" s="18"/>
      <c r="N4" s="18" t="s">
        <v>82</v>
      </c>
      <c r="O4" s="18" t="s">
        <v>23</v>
      </c>
      <c r="P4" s="18">
        <v>0.55000000000000004</v>
      </c>
      <c r="Q4" s="18">
        <v>0.55000000000000004</v>
      </c>
      <c r="R4" s="19" t="s">
        <v>25</v>
      </c>
      <c r="S4" s="19">
        <v>3200</v>
      </c>
      <c r="T4" s="19">
        <v>9600</v>
      </c>
      <c r="U4" s="19">
        <v>9600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9600</v>
      </c>
      <c r="AE4" s="19">
        <v>9600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5280</v>
      </c>
      <c r="AO4" s="19">
        <v>0</v>
      </c>
      <c r="AP4" s="19">
        <v>5280</v>
      </c>
    </row>
    <row r="5" spans="1:42" x14ac:dyDescent="0.4">
      <c r="AP5" s="15">
        <f>SUM(AP2:AP4)</f>
        <v>9075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56691893</v>
      </c>
      <c r="K2" s="18" t="s">
        <v>94</v>
      </c>
      <c r="L2" s="18"/>
      <c r="M2" s="18"/>
      <c r="N2" s="18" t="s">
        <v>95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89300</v>
      </c>
      <c r="U2" s="19">
        <v>38900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50400</v>
      </c>
      <c r="AD2" s="19">
        <v>89300</v>
      </c>
      <c r="AE2" s="19">
        <v>38900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50400</v>
      </c>
      <c r="AN2" s="19">
        <v>49115</v>
      </c>
      <c r="AO2" s="19">
        <v>0</v>
      </c>
      <c r="AP2" s="19">
        <v>49115</v>
      </c>
    </row>
    <row r="3" spans="1:42" x14ac:dyDescent="0.4">
      <c r="A3" s="18" t="s">
        <v>48</v>
      </c>
      <c r="B3" s="18" t="s">
        <v>83</v>
      </c>
      <c r="C3" s="18" t="s">
        <v>84</v>
      </c>
      <c r="D3" s="18" t="s">
        <v>85</v>
      </c>
      <c r="E3" s="18" t="s">
        <v>86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56691893</v>
      </c>
      <c r="K3" s="18" t="s">
        <v>94</v>
      </c>
      <c r="L3" s="18"/>
      <c r="M3" s="18"/>
      <c r="N3" s="18" t="s">
        <v>95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26400</v>
      </c>
      <c r="U3" s="19">
        <v>-100</v>
      </c>
      <c r="V3" s="19">
        <v>0</v>
      </c>
      <c r="W3" s="19">
        <v>0</v>
      </c>
      <c r="X3" s="19">
        <v>0</v>
      </c>
      <c r="Y3" s="19">
        <v>0</v>
      </c>
      <c r="Z3" s="19">
        <v>19200</v>
      </c>
      <c r="AA3" s="19">
        <v>0</v>
      </c>
      <c r="AB3" s="19">
        <v>0</v>
      </c>
      <c r="AC3" s="19">
        <v>7300</v>
      </c>
      <c r="AD3" s="19">
        <v>28320</v>
      </c>
      <c r="AE3" s="19">
        <v>-100</v>
      </c>
      <c r="AF3" s="19">
        <v>0</v>
      </c>
      <c r="AG3" s="19">
        <v>0</v>
      </c>
      <c r="AH3" s="19">
        <v>0</v>
      </c>
      <c r="AI3" s="19">
        <v>0</v>
      </c>
      <c r="AJ3" s="19">
        <v>21120</v>
      </c>
      <c r="AK3" s="19">
        <v>0</v>
      </c>
      <c r="AL3" s="19">
        <v>0</v>
      </c>
      <c r="AM3" s="19">
        <v>7300</v>
      </c>
      <c r="AN3" s="19">
        <v>15576</v>
      </c>
      <c r="AO3" s="19">
        <v>0</v>
      </c>
      <c r="AP3" s="19">
        <v>15576</v>
      </c>
    </row>
    <row r="4" spans="1:42" x14ac:dyDescent="0.4">
      <c r="A4" s="18" t="s">
        <v>48</v>
      </c>
      <c r="B4" s="18" t="s">
        <v>83</v>
      </c>
      <c r="C4" s="18" t="s">
        <v>84</v>
      </c>
      <c r="D4" s="18" t="s">
        <v>85</v>
      </c>
      <c r="E4" s="18" t="s">
        <v>86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56691893</v>
      </c>
      <c r="K4" s="18" t="s">
        <v>94</v>
      </c>
      <c r="L4" s="18"/>
      <c r="M4" s="18"/>
      <c r="N4" s="18" t="s">
        <v>95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21900</v>
      </c>
      <c r="U4" s="19">
        <v>17800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4100</v>
      </c>
      <c r="AD4" s="19">
        <v>21900</v>
      </c>
      <c r="AE4" s="19">
        <v>17800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4100</v>
      </c>
      <c r="AN4" s="19">
        <v>12045</v>
      </c>
      <c r="AO4" s="19">
        <v>0</v>
      </c>
      <c r="AP4" s="19">
        <v>12045</v>
      </c>
    </row>
    <row r="5" spans="1:42" x14ac:dyDescent="0.4">
      <c r="A5" s="18" t="s">
        <v>48</v>
      </c>
      <c r="B5" s="18" t="s">
        <v>83</v>
      </c>
      <c r="C5" s="18" t="s">
        <v>84</v>
      </c>
      <c r="D5" s="18" t="s">
        <v>85</v>
      </c>
      <c r="E5" s="18" t="s">
        <v>86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56691893</v>
      </c>
      <c r="K5" s="18" t="s">
        <v>94</v>
      </c>
      <c r="L5" s="18"/>
      <c r="M5" s="18"/>
      <c r="N5" s="18" t="s">
        <v>95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76200</v>
      </c>
      <c r="U5" s="19">
        <v>74100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2100</v>
      </c>
      <c r="AD5" s="19">
        <v>76200</v>
      </c>
      <c r="AE5" s="19">
        <v>74100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2100</v>
      </c>
      <c r="AN5" s="19">
        <v>41910</v>
      </c>
      <c r="AO5" s="19">
        <v>0</v>
      </c>
      <c r="AP5" s="19">
        <v>41910</v>
      </c>
    </row>
    <row r="6" spans="1:42" x14ac:dyDescent="0.4">
      <c r="AP6" s="15">
        <f>SUM(AP2:AP5)</f>
        <v>118646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3.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56742705</v>
      </c>
      <c r="K2" s="18" t="s">
        <v>96</v>
      </c>
      <c r="L2" s="18"/>
      <c r="M2" s="18"/>
      <c r="N2" s="18" t="s">
        <v>97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35300</v>
      </c>
      <c r="U2" s="19">
        <v>9200</v>
      </c>
      <c r="V2" s="19">
        <v>0</v>
      </c>
      <c r="W2" s="19">
        <v>0</v>
      </c>
      <c r="X2" s="19">
        <v>0</v>
      </c>
      <c r="Y2" s="19">
        <v>100</v>
      </c>
      <c r="Z2" s="19">
        <v>0</v>
      </c>
      <c r="AA2" s="19">
        <v>0</v>
      </c>
      <c r="AB2" s="19">
        <v>0</v>
      </c>
      <c r="AC2" s="19">
        <v>26000</v>
      </c>
      <c r="AD2" s="19">
        <v>35320</v>
      </c>
      <c r="AE2" s="19">
        <v>9200</v>
      </c>
      <c r="AF2" s="19">
        <v>0</v>
      </c>
      <c r="AG2" s="19">
        <v>0</v>
      </c>
      <c r="AH2" s="19">
        <v>0</v>
      </c>
      <c r="AI2" s="19">
        <v>120</v>
      </c>
      <c r="AJ2" s="19">
        <v>0</v>
      </c>
      <c r="AK2" s="19">
        <v>0</v>
      </c>
      <c r="AL2" s="19">
        <v>0</v>
      </c>
      <c r="AM2" s="19">
        <v>26000</v>
      </c>
      <c r="AN2" s="19">
        <v>19426</v>
      </c>
      <c r="AO2" s="19">
        <v>0</v>
      </c>
      <c r="AP2" s="19">
        <v>19426</v>
      </c>
    </row>
    <row r="3" spans="1:42" x14ac:dyDescent="0.4">
      <c r="A3" s="18" t="s">
        <v>48</v>
      </c>
      <c r="B3" s="18" t="s">
        <v>83</v>
      </c>
      <c r="C3" s="18" t="s">
        <v>84</v>
      </c>
      <c r="D3" s="18" t="s">
        <v>85</v>
      </c>
      <c r="E3" s="18" t="s">
        <v>86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56742705</v>
      </c>
      <c r="K3" s="18" t="s">
        <v>96</v>
      </c>
      <c r="L3" s="18"/>
      <c r="M3" s="18"/>
      <c r="N3" s="18" t="s">
        <v>97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21600</v>
      </c>
      <c r="U3" s="19">
        <v>17500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4100</v>
      </c>
      <c r="AD3" s="19">
        <v>21600</v>
      </c>
      <c r="AE3" s="19">
        <v>17500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4100</v>
      </c>
      <c r="AN3" s="19">
        <v>11880</v>
      </c>
      <c r="AO3" s="19">
        <v>0</v>
      </c>
      <c r="AP3" s="19">
        <v>11880</v>
      </c>
    </row>
    <row r="4" spans="1:42" x14ac:dyDescent="0.4">
      <c r="A4" s="18" t="s">
        <v>48</v>
      </c>
      <c r="B4" s="18" t="s">
        <v>83</v>
      </c>
      <c r="C4" s="18" t="s">
        <v>84</v>
      </c>
      <c r="D4" s="18" t="s">
        <v>85</v>
      </c>
      <c r="E4" s="18" t="s">
        <v>86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56742705</v>
      </c>
      <c r="K4" s="18" t="s">
        <v>96</v>
      </c>
      <c r="L4" s="18"/>
      <c r="M4" s="18"/>
      <c r="N4" s="18" t="s">
        <v>97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37600</v>
      </c>
      <c r="U4" s="19">
        <v>32400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5200</v>
      </c>
      <c r="AD4" s="19">
        <v>37600</v>
      </c>
      <c r="AE4" s="19">
        <v>32400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5200</v>
      </c>
      <c r="AN4" s="19">
        <v>20680</v>
      </c>
      <c r="AO4" s="19">
        <v>0</v>
      </c>
      <c r="AP4" s="19">
        <v>20680</v>
      </c>
    </row>
    <row r="5" spans="1:42" x14ac:dyDescent="0.4">
      <c r="A5" s="18" t="s">
        <v>48</v>
      </c>
      <c r="B5" s="18" t="s">
        <v>83</v>
      </c>
      <c r="C5" s="18" t="s">
        <v>84</v>
      </c>
      <c r="D5" s="18" t="s">
        <v>85</v>
      </c>
      <c r="E5" s="18" t="s">
        <v>86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56742705</v>
      </c>
      <c r="K5" s="18" t="s">
        <v>96</v>
      </c>
      <c r="L5" s="18"/>
      <c r="M5" s="18"/>
      <c r="N5" s="18" t="s">
        <v>97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21800</v>
      </c>
      <c r="U5" s="19">
        <v>21300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500</v>
      </c>
      <c r="AD5" s="19">
        <v>21800</v>
      </c>
      <c r="AE5" s="19">
        <v>21300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500</v>
      </c>
      <c r="AN5" s="19">
        <v>11990</v>
      </c>
      <c r="AO5" s="19">
        <v>0</v>
      </c>
      <c r="AP5" s="19">
        <v>11990</v>
      </c>
    </row>
    <row r="6" spans="1:42" x14ac:dyDescent="0.4">
      <c r="AP6" s="15">
        <f>SUM(AP2:AP5)</f>
        <v>63976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P5"/>
  <sheetViews>
    <sheetView topLeftCell="X1" workbookViewId="0">
      <selection activeCell="AP5" sqref="AP5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8.5976562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56772299</v>
      </c>
      <c r="K2" s="18" t="s">
        <v>105</v>
      </c>
      <c r="L2" s="18"/>
      <c r="M2" s="18"/>
      <c r="N2" s="18" t="s">
        <v>106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7200</v>
      </c>
      <c r="U2" s="19">
        <v>5600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1600</v>
      </c>
      <c r="AD2" s="19">
        <v>7200</v>
      </c>
      <c r="AE2" s="19">
        <v>5600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1600</v>
      </c>
      <c r="AN2" s="19">
        <v>3960</v>
      </c>
      <c r="AO2" s="19">
        <v>0</v>
      </c>
      <c r="AP2" s="19">
        <v>3960</v>
      </c>
    </row>
    <row r="3" spans="1:42" x14ac:dyDescent="0.4">
      <c r="A3" s="18" t="s">
        <v>48</v>
      </c>
      <c r="B3" s="18" t="s">
        <v>83</v>
      </c>
      <c r="C3" s="18" t="s">
        <v>84</v>
      </c>
      <c r="D3" s="18" t="s">
        <v>85</v>
      </c>
      <c r="E3" s="18" t="s">
        <v>86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56772299</v>
      </c>
      <c r="K3" s="18" t="s">
        <v>105</v>
      </c>
      <c r="L3" s="18"/>
      <c r="M3" s="18"/>
      <c r="N3" s="18" t="s">
        <v>106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7200</v>
      </c>
      <c r="U3" s="19">
        <v>7200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7200</v>
      </c>
      <c r="AE3" s="19">
        <v>7200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3960</v>
      </c>
      <c r="AO3" s="19">
        <v>0</v>
      </c>
      <c r="AP3" s="19">
        <v>3960</v>
      </c>
    </row>
    <row r="4" spans="1:42" x14ac:dyDescent="0.4">
      <c r="A4" s="18" t="s">
        <v>48</v>
      </c>
      <c r="B4" s="18" t="s">
        <v>83</v>
      </c>
      <c r="C4" s="18" t="s">
        <v>84</v>
      </c>
      <c r="D4" s="18" t="s">
        <v>85</v>
      </c>
      <c r="E4" s="18" t="s">
        <v>86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56772299</v>
      </c>
      <c r="K4" s="18" t="s">
        <v>105</v>
      </c>
      <c r="L4" s="18"/>
      <c r="M4" s="18"/>
      <c r="N4" s="18" t="s">
        <v>106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18000</v>
      </c>
      <c r="T4" s="19">
        <v>18000</v>
      </c>
      <c r="U4" s="19">
        <v>18000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18000</v>
      </c>
      <c r="AE4" s="19">
        <v>18000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9900</v>
      </c>
      <c r="AO4" s="19">
        <v>0</v>
      </c>
      <c r="AP4" s="19">
        <v>9900</v>
      </c>
    </row>
    <row r="5" spans="1:42" x14ac:dyDescent="0.4">
      <c r="AP5" s="15">
        <f>SUM(AP2:AP4)</f>
        <v>17820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59765625" bestFit="1" customWidth="1"/>
    <col min="12" max="12" width="21.5" bestFit="1" customWidth="1"/>
    <col min="13" max="13" width="6.796875" bestFit="1" customWidth="1"/>
    <col min="14" max="14" width="6.8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56782260</v>
      </c>
      <c r="K2" s="18" t="s">
        <v>115</v>
      </c>
      <c r="L2" s="18"/>
      <c r="M2" s="18"/>
      <c r="N2" s="18" t="s">
        <v>116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799100</v>
      </c>
      <c r="U2" s="19">
        <v>399700</v>
      </c>
      <c r="V2" s="19">
        <v>0</v>
      </c>
      <c r="W2" s="19">
        <v>0</v>
      </c>
      <c r="X2" s="19">
        <v>0</v>
      </c>
      <c r="Y2" s="19">
        <v>16600</v>
      </c>
      <c r="Z2" s="19">
        <v>30900</v>
      </c>
      <c r="AA2" s="19">
        <v>0</v>
      </c>
      <c r="AB2" s="19">
        <v>0</v>
      </c>
      <c r="AC2" s="19">
        <v>351900</v>
      </c>
      <c r="AD2" s="19">
        <v>805510</v>
      </c>
      <c r="AE2" s="19">
        <v>399700</v>
      </c>
      <c r="AF2" s="19">
        <v>0</v>
      </c>
      <c r="AG2" s="19">
        <v>0</v>
      </c>
      <c r="AH2" s="19">
        <v>0</v>
      </c>
      <c r="AI2" s="19">
        <v>19920</v>
      </c>
      <c r="AJ2" s="19">
        <v>33990</v>
      </c>
      <c r="AK2" s="19">
        <v>0</v>
      </c>
      <c r="AL2" s="19">
        <v>0</v>
      </c>
      <c r="AM2" s="19">
        <v>351900</v>
      </c>
      <c r="AN2" s="19">
        <v>443031</v>
      </c>
      <c r="AO2" s="19">
        <v>0</v>
      </c>
      <c r="AP2" s="19">
        <v>443031</v>
      </c>
    </row>
    <row r="3" spans="1:42" x14ac:dyDescent="0.4">
      <c r="A3" s="18" t="s">
        <v>48</v>
      </c>
      <c r="B3" s="18" t="s">
        <v>83</v>
      </c>
      <c r="C3" s="18" t="s">
        <v>84</v>
      </c>
      <c r="D3" s="18" t="s">
        <v>85</v>
      </c>
      <c r="E3" s="18" t="s">
        <v>86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56782260</v>
      </c>
      <c r="K3" s="18" t="s">
        <v>115</v>
      </c>
      <c r="L3" s="18"/>
      <c r="M3" s="18"/>
      <c r="N3" s="18" t="s">
        <v>116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943800</v>
      </c>
      <c r="U3" s="19">
        <v>747300</v>
      </c>
      <c r="V3" s="19">
        <v>0</v>
      </c>
      <c r="W3" s="19">
        <v>0</v>
      </c>
      <c r="X3" s="19">
        <v>0</v>
      </c>
      <c r="Y3" s="19">
        <v>10050</v>
      </c>
      <c r="Z3" s="19">
        <v>54650</v>
      </c>
      <c r="AA3" s="19">
        <v>0</v>
      </c>
      <c r="AB3" s="19">
        <v>0</v>
      </c>
      <c r="AC3" s="19">
        <v>131800</v>
      </c>
      <c r="AD3" s="19">
        <v>951275</v>
      </c>
      <c r="AE3" s="19">
        <v>747300</v>
      </c>
      <c r="AF3" s="19">
        <v>0</v>
      </c>
      <c r="AG3" s="19">
        <v>0</v>
      </c>
      <c r="AH3" s="19">
        <v>0</v>
      </c>
      <c r="AI3" s="19">
        <v>12060</v>
      </c>
      <c r="AJ3" s="19">
        <v>60115</v>
      </c>
      <c r="AK3" s="19">
        <v>0</v>
      </c>
      <c r="AL3" s="19">
        <v>0</v>
      </c>
      <c r="AM3" s="19">
        <v>131800</v>
      </c>
      <c r="AN3" s="19">
        <v>523201</v>
      </c>
      <c r="AO3" s="19">
        <v>0</v>
      </c>
      <c r="AP3" s="19">
        <v>523201</v>
      </c>
    </row>
    <row r="4" spans="1:42" x14ac:dyDescent="0.4">
      <c r="A4" s="18" t="s">
        <v>48</v>
      </c>
      <c r="B4" s="18" t="s">
        <v>83</v>
      </c>
      <c r="C4" s="18" t="s">
        <v>84</v>
      </c>
      <c r="D4" s="18" t="s">
        <v>85</v>
      </c>
      <c r="E4" s="18" t="s">
        <v>86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56782260</v>
      </c>
      <c r="K4" s="18" t="s">
        <v>115</v>
      </c>
      <c r="L4" s="18"/>
      <c r="M4" s="18"/>
      <c r="N4" s="18" t="s">
        <v>116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898600</v>
      </c>
      <c r="U4" s="19">
        <v>812650</v>
      </c>
      <c r="V4" s="19">
        <v>0</v>
      </c>
      <c r="W4" s="19">
        <v>0</v>
      </c>
      <c r="X4" s="19">
        <v>0</v>
      </c>
      <c r="Y4" s="19">
        <v>550</v>
      </c>
      <c r="Z4" s="19">
        <v>30850</v>
      </c>
      <c r="AA4" s="19">
        <v>0</v>
      </c>
      <c r="AB4" s="19">
        <v>0</v>
      </c>
      <c r="AC4" s="19">
        <v>54550</v>
      </c>
      <c r="AD4" s="19">
        <v>901795</v>
      </c>
      <c r="AE4" s="19">
        <v>812650</v>
      </c>
      <c r="AF4" s="19">
        <v>0</v>
      </c>
      <c r="AG4" s="19">
        <v>0</v>
      </c>
      <c r="AH4" s="19">
        <v>0</v>
      </c>
      <c r="AI4" s="19">
        <v>660</v>
      </c>
      <c r="AJ4" s="19">
        <v>33935</v>
      </c>
      <c r="AK4" s="19">
        <v>0</v>
      </c>
      <c r="AL4" s="19">
        <v>0</v>
      </c>
      <c r="AM4" s="19">
        <v>54550</v>
      </c>
      <c r="AN4" s="19">
        <v>495987</v>
      </c>
      <c r="AO4" s="19">
        <v>0</v>
      </c>
      <c r="AP4" s="19">
        <v>495987</v>
      </c>
    </row>
    <row r="5" spans="1:42" x14ac:dyDescent="0.4">
      <c r="A5" s="18" t="s">
        <v>48</v>
      </c>
      <c r="B5" s="18" t="s">
        <v>83</v>
      </c>
      <c r="C5" s="18" t="s">
        <v>84</v>
      </c>
      <c r="D5" s="18" t="s">
        <v>85</v>
      </c>
      <c r="E5" s="18" t="s">
        <v>86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56782260</v>
      </c>
      <c r="K5" s="18" t="s">
        <v>115</v>
      </c>
      <c r="L5" s="18"/>
      <c r="M5" s="18"/>
      <c r="N5" s="18" t="s">
        <v>116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1769400</v>
      </c>
      <c r="U5" s="19">
        <v>1587850</v>
      </c>
      <c r="V5" s="19">
        <v>0</v>
      </c>
      <c r="W5" s="19">
        <v>0</v>
      </c>
      <c r="X5" s="19">
        <v>0</v>
      </c>
      <c r="Y5" s="19">
        <v>0</v>
      </c>
      <c r="Z5" s="19">
        <v>86500</v>
      </c>
      <c r="AA5" s="19">
        <v>0</v>
      </c>
      <c r="AB5" s="19">
        <v>0</v>
      </c>
      <c r="AC5" s="19">
        <v>95050</v>
      </c>
      <c r="AD5" s="19">
        <v>1778050</v>
      </c>
      <c r="AE5" s="19">
        <v>1587850</v>
      </c>
      <c r="AF5" s="19">
        <v>0</v>
      </c>
      <c r="AG5" s="19">
        <v>0</v>
      </c>
      <c r="AH5" s="19">
        <v>0</v>
      </c>
      <c r="AI5" s="19">
        <v>0</v>
      </c>
      <c r="AJ5" s="19">
        <v>95150</v>
      </c>
      <c r="AK5" s="19">
        <v>0</v>
      </c>
      <c r="AL5" s="19">
        <v>0</v>
      </c>
      <c r="AM5" s="19">
        <v>95050</v>
      </c>
      <c r="AN5" s="19">
        <v>977928</v>
      </c>
      <c r="AO5" s="19">
        <v>0</v>
      </c>
      <c r="AP5" s="19">
        <v>977928</v>
      </c>
    </row>
    <row r="6" spans="1:42" x14ac:dyDescent="0.4">
      <c r="AP6" s="15">
        <f>SUM(AP2:AP5)</f>
        <v>2440147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57675324</v>
      </c>
      <c r="K2" s="18" t="s">
        <v>121</v>
      </c>
      <c r="L2" s="18"/>
      <c r="M2" s="18"/>
      <c r="N2" s="18" t="s">
        <v>122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689100</v>
      </c>
      <c r="U2" s="19">
        <v>310650</v>
      </c>
      <c r="V2" s="19">
        <v>0</v>
      </c>
      <c r="W2" s="19">
        <v>0</v>
      </c>
      <c r="X2" s="19">
        <v>0</v>
      </c>
      <c r="Y2" s="19">
        <v>5550</v>
      </c>
      <c r="Z2" s="19">
        <v>4400</v>
      </c>
      <c r="AA2" s="19">
        <v>0</v>
      </c>
      <c r="AB2" s="19">
        <v>0</v>
      </c>
      <c r="AC2" s="19">
        <v>368500</v>
      </c>
      <c r="AD2" s="19">
        <v>690650</v>
      </c>
      <c r="AE2" s="19">
        <v>310650</v>
      </c>
      <c r="AF2" s="19">
        <v>0</v>
      </c>
      <c r="AG2" s="19">
        <v>0</v>
      </c>
      <c r="AH2" s="19">
        <v>0</v>
      </c>
      <c r="AI2" s="19">
        <v>6660</v>
      </c>
      <c r="AJ2" s="19">
        <v>4840</v>
      </c>
      <c r="AK2" s="19">
        <v>0</v>
      </c>
      <c r="AL2" s="19">
        <v>0</v>
      </c>
      <c r="AM2" s="19">
        <v>368500</v>
      </c>
      <c r="AN2" s="19">
        <v>379858</v>
      </c>
      <c r="AO2" s="19">
        <v>0</v>
      </c>
      <c r="AP2" s="19">
        <v>379858</v>
      </c>
    </row>
    <row r="3" spans="1:42" x14ac:dyDescent="0.4">
      <c r="A3" s="18" t="s">
        <v>48</v>
      </c>
      <c r="B3" s="18" t="s">
        <v>83</v>
      </c>
      <c r="C3" s="18" t="s">
        <v>84</v>
      </c>
      <c r="D3" s="18" t="s">
        <v>85</v>
      </c>
      <c r="E3" s="18" t="s">
        <v>86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57675324</v>
      </c>
      <c r="K3" s="18" t="s">
        <v>121</v>
      </c>
      <c r="L3" s="18"/>
      <c r="M3" s="18"/>
      <c r="N3" s="18" t="s">
        <v>122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693200</v>
      </c>
      <c r="U3" s="19">
        <v>619600</v>
      </c>
      <c r="V3" s="19">
        <v>0</v>
      </c>
      <c r="W3" s="19">
        <v>0</v>
      </c>
      <c r="X3" s="19">
        <v>0</v>
      </c>
      <c r="Y3" s="19">
        <v>-2100</v>
      </c>
      <c r="Z3" s="19">
        <v>6500</v>
      </c>
      <c r="AA3" s="19">
        <v>0</v>
      </c>
      <c r="AB3" s="19">
        <v>0</v>
      </c>
      <c r="AC3" s="19">
        <v>69200</v>
      </c>
      <c r="AD3" s="19">
        <v>693430</v>
      </c>
      <c r="AE3" s="19">
        <v>619600</v>
      </c>
      <c r="AF3" s="19">
        <v>0</v>
      </c>
      <c r="AG3" s="19">
        <v>0</v>
      </c>
      <c r="AH3" s="19">
        <v>0</v>
      </c>
      <c r="AI3" s="19">
        <v>-2520</v>
      </c>
      <c r="AJ3" s="19">
        <v>7150</v>
      </c>
      <c r="AK3" s="19">
        <v>0</v>
      </c>
      <c r="AL3" s="19">
        <v>0</v>
      </c>
      <c r="AM3" s="19">
        <v>69200</v>
      </c>
      <c r="AN3" s="19">
        <v>381387</v>
      </c>
      <c r="AO3" s="19">
        <v>0</v>
      </c>
      <c r="AP3" s="19">
        <v>381387</v>
      </c>
    </row>
    <row r="4" spans="1:42" x14ac:dyDescent="0.4">
      <c r="A4" s="18" t="s">
        <v>48</v>
      </c>
      <c r="B4" s="18" t="s">
        <v>83</v>
      </c>
      <c r="C4" s="18" t="s">
        <v>84</v>
      </c>
      <c r="D4" s="18" t="s">
        <v>85</v>
      </c>
      <c r="E4" s="18" t="s">
        <v>86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57675324</v>
      </c>
      <c r="K4" s="18" t="s">
        <v>121</v>
      </c>
      <c r="L4" s="18"/>
      <c r="M4" s="18"/>
      <c r="N4" s="18" t="s">
        <v>122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691800</v>
      </c>
      <c r="U4" s="19">
        <v>642500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49300</v>
      </c>
      <c r="AD4" s="19">
        <v>691800</v>
      </c>
      <c r="AE4" s="19">
        <v>642500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49300</v>
      </c>
      <c r="AN4" s="19">
        <v>380490</v>
      </c>
      <c r="AO4" s="19">
        <v>0</v>
      </c>
      <c r="AP4" s="19">
        <v>380490</v>
      </c>
    </row>
    <row r="5" spans="1:42" x14ac:dyDescent="0.4">
      <c r="A5" s="18" t="s">
        <v>48</v>
      </c>
      <c r="B5" s="18" t="s">
        <v>83</v>
      </c>
      <c r="C5" s="18" t="s">
        <v>84</v>
      </c>
      <c r="D5" s="18" t="s">
        <v>85</v>
      </c>
      <c r="E5" s="18" t="s">
        <v>86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57675324</v>
      </c>
      <c r="K5" s="18" t="s">
        <v>121</v>
      </c>
      <c r="L5" s="18"/>
      <c r="M5" s="18"/>
      <c r="N5" s="18" t="s">
        <v>122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1195800</v>
      </c>
      <c r="U5" s="19">
        <v>1106900</v>
      </c>
      <c r="V5" s="19">
        <v>0</v>
      </c>
      <c r="W5" s="19">
        <v>0</v>
      </c>
      <c r="X5" s="19">
        <v>0</v>
      </c>
      <c r="Y5" s="19">
        <v>0</v>
      </c>
      <c r="Z5" s="19">
        <v>18400</v>
      </c>
      <c r="AA5" s="19">
        <v>0</v>
      </c>
      <c r="AB5" s="19">
        <v>0</v>
      </c>
      <c r="AC5" s="19">
        <v>70500</v>
      </c>
      <c r="AD5" s="19">
        <v>1197640</v>
      </c>
      <c r="AE5" s="19">
        <v>1106900</v>
      </c>
      <c r="AF5" s="19">
        <v>0</v>
      </c>
      <c r="AG5" s="19">
        <v>0</v>
      </c>
      <c r="AH5" s="19">
        <v>0</v>
      </c>
      <c r="AI5" s="19">
        <v>0</v>
      </c>
      <c r="AJ5" s="19">
        <v>20240</v>
      </c>
      <c r="AK5" s="19">
        <v>0</v>
      </c>
      <c r="AL5" s="19">
        <v>0</v>
      </c>
      <c r="AM5" s="19">
        <v>70500</v>
      </c>
      <c r="AN5" s="19">
        <v>658702</v>
      </c>
      <c r="AO5" s="19">
        <v>0</v>
      </c>
      <c r="AP5" s="19">
        <v>658702</v>
      </c>
    </row>
    <row r="6" spans="1:42" x14ac:dyDescent="0.4">
      <c r="AP6" s="15">
        <f>SUM(AP2:AP5)</f>
        <v>1800437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4"/>
  <sheetViews>
    <sheetView topLeftCell="X1" workbookViewId="0">
      <selection activeCell="AP4" sqref="AP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2.1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57750623</v>
      </c>
      <c r="K2" s="18" t="s">
        <v>123</v>
      </c>
      <c r="L2" s="18"/>
      <c r="M2" s="18"/>
      <c r="N2" s="18" t="s">
        <v>124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1500</v>
      </c>
      <c r="U2" s="19">
        <v>200</v>
      </c>
      <c r="V2" s="19">
        <v>0</v>
      </c>
      <c r="W2" s="19">
        <v>0</v>
      </c>
      <c r="X2" s="19">
        <v>0</v>
      </c>
      <c r="Y2" s="19">
        <v>0</v>
      </c>
      <c r="Z2" s="19">
        <v>600</v>
      </c>
      <c r="AA2" s="19">
        <v>0</v>
      </c>
      <c r="AB2" s="19">
        <v>0</v>
      </c>
      <c r="AC2" s="19">
        <v>700</v>
      </c>
      <c r="AD2" s="19">
        <v>1560</v>
      </c>
      <c r="AE2" s="19">
        <v>200</v>
      </c>
      <c r="AF2" s="19">
        <v>0</v>
      </c>
      <c r="AG2" s="19">
        <v>0</v>
      </c>
      <c r="AH2" s="19">
        <v>0</v>
      </c>
      <c r="AI2" s="19">
        <v>0</v>
      </c>
      <c r="AJ2" s="19">
        <v>660</v>
      </c>
      <c r="AK2" s="19">
        <v>0</v>
      </c>
      <c r="AL2" s="19">
        <v>0</v>
      </c>
      <c r="AM2" s="19">
        <v>700</v>
      </c>
      <c r="AN2" s="19">
        <v>858</v>
      </c>
      <c r="AO2" s="19">
        <v>0</v>
      </c>
      <c r="AP2" s="19">
        <v>858</v>
      </c>
    </row>
    <row r="3" spans="1:42" x14ac:dyDescent="0.4">
      <c r="A3" s="18" t="s">
        <v>48</v>
      </c>
      <c r="B3" s="18" t="s">
        <v>83</v>
      </c>
      <c r="C3" s="18" t="s">
        <v>84</v>
      </c>
      <c r="D3" s="18" t="s">
        <v>85</v>
      </c>
      <c r="E3" s="18" t="s">
        <v>86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57750623</v>
      </c>
      <c r="K3" s="18" t="s">
        <v>123</v>
      </c>
      <c r="L3" s="18"/>
      <c r="M3" s="18"/>
      <c r="N3" s="18" t="s">
        <v>124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9200</v>
      </c>
      <c r="T3" s="19">
        <v>9200</v>
      </c>
      <c r="U3" s="19">
        <v>0</v>
      </c>
      <c r="V3" s="19">
        <v>0</v>
      </c>
      <c r="W3" s="19">
        <v>0</v>
      </c>
      <c r="X3" s="19">
        <v>0</v>
      </c>
      <c r="Y3" s="19">
        <v>0</v>
      </c>
      <c r="Z3" s="19">
        <v>9200</v>
      </c>
      <c r="AA3" s="19">
        <v>0</v>
      </c>
      <c r="AB3" s="19">
        <v>0</v>
      </c>
      <c r="AC3" s="19">
        <v>0</v>
      </c>
      <c r="AD3" s="19">
        <v>10120</v>
      </c>
      <c r="AE3" s="19">
        <v>0</v>
      </c>
      <c r="AF3" s="19">
        <v>0</v>
      </c>
      <c r="AG3" s="19">
        <v>0</v>
      </c>
      <c r="AH3" s="19">
        <v>0</v>
      </c>
      <c r="AI3" s="19">
        <v>0</v>
      </c>
      <c r="AJ3" s="19">
        <v>10120</v>
      </c>
      <c r="AK3" s="19">
        <v>0</v>
      </c>
      <c r="AL3" s="19">
        <v>0</v>
      </c>
      <c r="AM3" s="19">
        <v>0</v>
      </c>
      <c r="AN3" s="19">
        <v>5566</v>
      </c>
      <c r="AO3" s="19">
        <v>0</v>
      </c>
      <c r="AP3" s="19">
        <v>5566</v>
      </c>
    </row>
    <row r="4" spans="1:42" x14ac:dyDescent="0.4">
      <c r="AP4" s="15">
        <f>SUM(AP2:AP3)</f>
        <v>6424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P3"/>
  <sheetViews>
    <sheetView topLeftCell="X1" workbookViewId="0">
      <selection activeCell="AP3" sqref="AP3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58093302</v>
      </c>
      <c r="K2" s="18" t="s">
        <v>127</v>
      </c>
      <c r="L2" s="18"/>
      <c r="M2" s="18"/>
      <c r="N2" s="18" t="s">
        <v>128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2863800</v>
      </c>
      <c r="U2" s="19">
        <v>2009000</v>
      </c>
      <c r="V2" s="19">
        <v>0</v>
      </c>
      <c r="W2" s="19">
        <v>0</v>
      </c>
      <c r="X2" s="19">
        <v>0</v>
      </c>
      <c r="Y2" s="19">
        <v>9500</v>
      </c>
      <c r="Z2" s="19">
        <v>107200</v>
      </c>
      <c r="AA2" s="19">
        <v>0</v>
      </c>
      <c r="AB2" s="19">
        <v>0</v>
      </c>
      <c r="AC2" s="19">
        <v>738100</v>
      </c>
      <c r="AD2" s="19">
        <v>2876420</v>
      </c>
      <c r="AE2" s="19">
        <v>2009000</v>
      </c>
      <c r="AF2" s="19">
        <v>0</v>
      </c>
      <c r="AG2" s="19">
        <v>0</v>
      </c>
      <c r="AH2" s="19">
        <v>0</v>
      </c>
      <c r="AI2" s="19">
        <v>11400</v>
      </c>
      <c r="AJ2" s="19">
        <v>117920</v>
      </c>
      <c r="AK2" s="19">
        <v>0</v>
      </c>
      <c r="AL2" s="19">
        <v>0</v>
      </c>
      <c r="AM2" s="19">
        <v>738100</v>
      </c>
      <c r="AN2" s="19">
        <v>1582031</v>
      </c>
      <c r="AO2" s="19">
        <v>0</v>
      </c>
      <c r="AP2" s="19">
        <v>1582031</v>
      </c>
    </row>
    <row r="3" spans="1:42" x14ac:dyDescent="0.4">
      <c r="AP3" s="15">
        <f>SUM(AP2)</f>
        <v>1582031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P7"/>
  <sheetViews>
    <sheetView topLeftCell="X1" workbookViewId="0">
      <selection activeCell="AP7" sqref="AP7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59765625" bestFit="1" customWidth="1"/>
    <col min="12" max="12" width="21.5" bestFit="1" customWidth="1"/>
    <col min="13" max="13" width="6.796875" bestFit="1" customWidth="1"/>
    <col min="14" max="14" width="12.3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58194218</v>
      </c>
      <c r="K2" s="18" t="s">
        <v>130</v>
      </c>
      <c r="L2" s="18"/>
      <c r="M2" s="18"/>
      <c r="N2" s="18" t="s">
        <v>131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145200</v>
      </c>
      <c r="U2" s="19">
        <v>132050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13150</v>
      </c>
      <c r="AD2" s="19">
        <v>145200</v>
      </c>
      <c r="AE2" s="19">
        <v>132050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13150</v>
      </c>
      <c r="AN2" s="19">
        <v>79860</v>
      </c>
      <c r="AO2" s="19">
        <v>0</v>
      </c>
      <c r="AP2" s="19">
        <v>79860</v>
      </c>
    </row>
    <row r="3" spans="1:42" x14ac:dyDescent="0.4">
      <c r="A3" s="18" t="s">
        <v>48</v>
      </c>
      <c r="B3" s="18" t="s">
        <v>83</v>
      </c>
      <c r="C3" s="18" t="s">
        <v>84</v>
      </c>
      <c r="D3" s="18" t="s">
        <v>85</v>
      </c>
      <c r="E3" s="18" t="s">
        <v>86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58672980</v>
      </c>
      <c r="K3" s="18" t="s">
        <v>150</v>
      </c>
      <c r="L3" s="18"/>
      <c r="M3" s="18"/>
      <c r="N3" s="18" t="s">
        <v>131</v>
      </c>
      <c r="O3" s="18" t="s">
        <v>23</v>
      </c>
      <c r="P3" s="18">
        <v>0.55000000000000004</v>
      </c>
      <c r="Q3" s="18">
        <v>0.55000000000000004</v>
      </c>
      <c r="R3" s="19" t="s">
        <v>25</v>
      </c>
      <c r="S3" s="19">
        <v>100</v>
      </c>
      <c r="T3" s="19">
        <v>172400</v>
      </c>
      <c r="U3" s="19">
        <v>128100</v>
      </c>
      <c r="V3" s="19">
        <v>0</v>
      </c>
      <c r="W3" s="19">
        <v>0</v>
      </c>
      <c r="X3" s="19">
        <v>0</v>
      </c>
      <c r="Y3" s="19">
        <v>400</v>
      </c>
      <c r="Z3" s="19">
        <v>500</v>
      </c>
      <c r="AA3" s="19">
        <v>0</v>
      </c>
      <c r="AB3" s="19">
        <v>0</v>
      </c>
      <c r="AC3" s="19">
        <v>43400</v>
      </c>
      <c r="AD3" s="19">
        <v>172530</v>
      </c>
      <c r="AE3" s="19">
        <v>128100</v>
      </c>
      <c r="AF3" s="19">
        <v>0</v>
      </c>
      <c r="AG3" s="19">
        <v>0</v>
      </c>
      <c r="AH3" s="19">
        <v>0</v>
      </c>
      <c r="AI3" s="19">
        <v>480</v>
      </c>
      <c r="AJ3" s="19">
        <v>550</v>
      </c>
      <c r="AK3" s="19">
        <v>0</v>
      </c>
      <c r="AL3" s="19">
        <v>0</v>
      </c>
      <c r="AM3" s="19">
        <v>43400</v>
      </c>
      <c r="AN3" s="19">
        <v>94892</v>
      </c>
      <c r="AO3" s="19">
        <v>0</v>
      </c>
      <c r="AP3" s="19">
        <v>94892</v>
      </c>
    </row>
    <row r="4" spans="1:42" x14ac:dyDescent="0.4">
      <c r="A4" s="18" t="s">
        <v>48</v>
      </c>
      <c r="B4" s="18" t="s">
        <v>83</v>
      </c>
      <c r="C4" s="18" t="s">
        <v>84</v>
      </c>
      <c r="D4" s="18" t="s">
        <v>85</v>
      </c>
      <c r="E4" s="18" t="s">
        <v>86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58672980</v>
      </c>
      <c r="K4" s="18" t="s">
        <v>150</v>
      </c>
      <c r="L4" s="18"/>
      <c r="M4" s="18"/>
      <c r="N4" s="18" t="s">
        <v>131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2400</v>
      </c>
      <c r="T4" s="19">
        <v>129700</v>
      </c>
      <c r="U4" s="19">
        <v>120400</v>
      </c>
      <c r="V4" s="19">
        <v>0</v>
      </c>
      <c r="W4" s="19">
        <v>0</v>
      </c>
      <c r="X4" s="19">
        <v>0</v>
      </c>
      <c r="Y4" s="19">
        <v>0</v>
      </c>
      <c r="Z4" s="19">
        <v>2300</v>
      </c>
      <c r="AA4" s="19">
        <v>0</v>
      </c>
      <c r="AB4" s="19">
        <v>0</v>
      </c>
      <c r="AC4" s="19">
        <v>7000</v>
      </c>
      <c r="AD4" s="19">
        <v>129930</v>
      </c>
      <c r="AE4" s="19">
        <v>120400</v>
      </c>
      <c r="AF4" s="19">
        <v>0</v>
      </c>
      <c r="AG4" s="19">
        <v>0</v>
      </c>
      <c r="AH4" s="19">
        <v>0</v>
      </c>
      <c r="AI4" s="19">
        <v>0</v>
      </c>
      <c r="AJ4" s="19">
        <v>2530</v>
      </c>
      <c r="AK4" s="19">
        <v>0</v>
      </c>
      <c r="AL4" s="19">
        <v>0</v>
      </c>
      <c r="AM4" s="19">
        <v>7000</v>
      </c>
      <c r="AN4" s="19">
        <v>71462</v>
      </c>
      <c r="AO4" s="19">
        <v>0</v>
      </c>
      <c r="AP4" s="19">
        <v>71462</v>
      </c>
    </row>
    <row r="5" spans="1:42" x14ac:dyDescent="0.4">
      <c r="A5" s="18" t="s">
        <v>48</v>
      </c>
      <c r="B5" s="18" t="s">
        <v>83</v>
      </c>
      <c r="C5" s="18" t="s">
        <v>84</v>
      </c>
      <c r="D5" s="18" t="s">
        <v>85</v>
      </c>
      <c r="E5" s="18" t="s">
        <v>86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58672980</v>
      </c>
      <c r="K5" s="18" t="s">
        <v>150</v>
      </c>
      <c r="L5" s="18"/>
      <c r="M5" s="18"/>
      <c r="N5" s="18" t="s">
        <v>131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4700</v>
      </c>
      <c r="T5" s="19">
        <v>103500</v>
      </c>
      <c r="U5" s="19">
        <v>100500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3000</v>
      </c>
      <c r="AD5" s="19">
        <v>103500</v>
      </c>
      <c r="AE5" s="19">
        <v>100500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3000</v>
      </c>
      <c r="AN5" s="19">
        <v>56925</v>
      </c>
      <c r="AO5" s="19">
        <v>0</v>
      </c>
      <c r="AP5" s="19">
        <v>56925</v>
      </c>
    </row>
    <row r="6" spans="1:42" x14ac:dyDescent="0.4">
      <c r="A6" s="18" t="s">
        <v>48</v>
      </c>
      <c r="B6" s="18" t="s">
        <v>83</v>
      </c>
      <c r="C6" s="18" t="s">
        <v>84</v>
      </c>
      <c r="D6" s="18" t="s">
        <v>85</v>
      </c>
      <c r="E6" s="18" t="s">
        <v>86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58672980</v>
      </c>
      <c r="K6" s="18" t="s">
        <v>150</v>
      </c>
      <c r="L6" s="18"/>
      <c r="M6" s="18"/>
      <c r="N6" s="18" t="s">
        <v>131</v>
      </c>
      <c r="O6" s="18" t="s">
        <v>23</v>
      </c>
      <c r="P6" s="18">
        <v>0.55000000000000004</v>
      </c>
      <c r="Q6" s="18">
        <v>0.55000000000000004</v>
      </c>
      <c r="R6" s="19" t="s">
        <v>24</v>
      </c>
      <c r="S6" s="19">
        <v>9200</v>
      </c>
      <c r="T6" s="19">
        <v>220800</v>
      </c>
      <c r="U6" s="19">
        <v>172700</v>
      </c>
      <c r="V6" s="19">
        <v>0</v>
      </c>
      <c r="W6" s="19">
        <v>0</v>
      </c>
      <c r="X6" s="19">
        <v>0</v>
      </c>
      <c r="Y6" s="19">
        <v>0</v>
      </c>
      <c r="Z6" s="19">
        <v>700</v>
      </c>
      <c r="AA6" s="19">
        <v>0</v>
      </c>
      <c r="AB6" s="19">
        <v>0</v>
      </c>
      <c r="AC6" s="19">
        <v>47400</v>
      </c>
      <c r="AD6" s="19">
        <v>220870</v>
      </c>
      <c r="AE6" s="19">
        <v>172700</v>
      </c>
      <c r="AF6" s="19">
        <v>0</v>
      </c>
      <c r="AG6" s="19">
        <v>0</v>
      </c>
      <c r="AH6" s="19">
        <v>0</v>
      </c>
      <c r="AI6" s="19">
        <v>0</v>
      </c>
      <c r="AJ6" s="19">
        <v>770</v>
      </c>
      <c r="AK6" s="19">
        <v>0</v>
      </c>
      <c r="AL6" s="19">
        <v>0</v>
      </c>
      <c r="AM6" s="19">
        <v>47400</v>
      </c>
      <c r="AN6" s="19">
        <v>121479</v>
      </c>
      <c r="AO6" s="19">
        <v>0</v>
      </c>
      <c r="AP6" s="19">
        <v>121479</v>
      </c>
    </row>
    <row r="7" spans="1:42" x14ac:dyDescent="0.4">
      <c r="AP7" s="15">
        <f>SUM(AP2:AP6)</f>
        <v>424618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P3"/>
  <sheetViews>
    <sheetView topLeftCell="X1" workbookViewId="0">
      <selection activeCell="AP3" sqref="AP3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7.5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58436496</v>
      </c>
      <c r="K2" s="18" t="s">
        <v>137</v>
      </c>
      <c r="L2" s="18"/>
      <c r="M2" s="18"/>
      <c r="N2" s="18" t="s">
        <v>138</v>
      </c>
      <c r="O2" s="18" t="s">
        <v>23</v>
      </c>
      <c r="P2" s="18">
        <v>0.55000000000000004</v>
      </c>
      <c r="Q2" s="18">
        <v>0.55000000000000004</v>
      </c>
      <c r="R2" s="19" t="s">
        <v>139</v>
      </c>
      <c r="S2" s="19">
        <v>100</v>
      </c>
      <c r="T2" s="19">
        <v>1353300</v>
      </c>
      <c r="U2" s="19">
        <v>1038200</v>
      </c>
      <c r="V2" s="19">
        <v>0</v>
      </c>
      <c r="W2" s="19">
        <v>0</v>
      </c>
      <c r="X2" s="19">
        <v>0</v>
      </c>
      <c r="Y2" s="19">
        <v>10200</v>
      </c>
      <c r="Z2" s="19">
        <v>77450</v>
      </c>
      <c r="AA2" s="19">
        <v>0</v>
      </c>
      <c r="AB2" s="19">
        <v>0</v>
      </c>
      <c r="AC2" s="19">
        <v>227450</v>
      </c>
      <c r="AD2" s="19">
        <v>1363085</v>
      </c>
      <c r="AE2" s="19">
        <v>1038200</v>
      </c>
      <c r="AF2" s="19">
        <v>0</v>
      </c>
      <c r="AG2" s="19">
        <v>0</v>
      </c>
      <c r="AH2" s="19">
        <v>0</v>
      </c>
      <c r="AI2" s="19">
        <v>12240</v>
      </c>
      <c r="AJ2" s="19">
        <v>85195</v>
      </c>
      <c r="AK2" s="19">
        <v>0</v>
      </c>
      <c r="AL2" s="19">
        <v>0</v>
      </c>
      <c r="AM2" s="19">
        <v>227450</v>
      </c>
      <c r="AN2" s="19">
        <v>749697</v>
      </c>
      <c r="AO2" s="19">
        <v>0</v>
      </c>
      <c r="AP2" s="19">
        <v>749697</v>
      </c>
    </row>
    <row r="3" spans="1:42" x14ac:dyDescent="0.4">
      <c r="AP3" s="15">
        <f>SUM(AP2)</f>
        <v>749697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P5"/>
  <sheetViews>
    <sheetView topLeftCell="X1" workbookViewId="0">
      <selection activeCell="AP5" sqref="AP5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2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58575247</v>
      </c>
      <c r="K2" s="18" t="s">
        <v>147</v>
      </c>
      <c r="L2" s="18"/>
      <c r="M2" s="18"/>
      <c r="N2" s="18" t="s">
        <v>148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186900</v>
      </c>
      <c r="U2" s="19">
        <v>130600</v>
      </c>
      <c r="V2" s="19">
        <v>0</v>
      </c>
      <c r="W2" s="19">
        <v>0</v>
      </c>
      <c r="X2" s="19">
        <v>0</v>
      </c>
      <c r="Y2" s="19">
        <v>2800</v>
      </c>
      <c r="Z2" s="19">
        <v>3100</v>
      </c>
      <c r="AA2" s="19">
        <v>0</v>
      </c>
      <c r="AB2" s="19">
        <v>0</v>
      </c>
      <c r="AC2" s="19">
        <v>50400</v>
      </c>
      <c r="AD2" s="19">
        <v>187770</v>
      </c>
      <c r="AE2" s="19">
        <v>130600</v>
      </c>
      <c r="AF2" s="19">
        <v>0</v>
      </c>
      <c r="AG2" s="19">
        <v>0</v>
      </c>
      <c r="AH2" s="19">
        <v>0</v>
      </c>
      <c r="AI2" s="19">
        <v>3360</v>
      </c>
      <c r="AJ2" s="19">
        <v>3410</v>
      </c>
      <c r="AK2" s="19">
        <v>0</v>
      </c>
      <c r="AL2" s="19">
        <v>0</v>
      </c>
      <c r="AM2" s="19">
        <v>50400</v>
      </c>
      <c r="AN2" s="19">
        <v>103274</v>
      </c>
      <c r="AO2" s="19">
        <v>0</v>
      </c>
      <c r="AP2" s="19">
        <v>103274</v>
      </c>
    </row>
    <row r="3" spans="1:42" x14ac:dyDescent="0.4">
      <c r="A3" s="18" t="s">
        <v>48</v>
      </c>
      <c r="B3" s="18" t="s">
        <v>83</v>
      </c>
      <c r="C3" s="18" t="s">
        <v>84</v>
      </c>
      <c r="D3" s="18" t="s">
        <v>85</v>
      </c>
      <c r="E3" s="18" t="s">
        <v>86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58575247</v>
      </c>
      <c r="K3" s="18" t="s">
        <v>147</v>
      </c>
      <c r="L3" s="18"/>
      <c r="M3" s="18"/>
      <c r="N3" s="18" t="s">
        <v>148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12000</v>
      </c>
      <c r="U3" s="19">
        <v>9600</v>
      </c>
      <c r="V3" s="19">
        <v>0</v>
      </c>
      <c r="W3" s="19">
        <v>0</v>
      </c>
      <c r="X3" s="19">
        <v>0</v>
      </c>
      <c r="Y3" s="19">
        <v>0</v>
      </c>
      <c r="Z3" s="19">
        <v>2400</v>
      </c>
      <c r="AA3" s="19">
        <v>0</v>
      </c>
      <c r="AB3" s="19">
        <v>0</v>
      </c>
      <c r="AC3" s="19">
        <v>0</v>
      </c>
      <c r="AD3" s="19">
        <v>12240</v>
      </c>
      <c r="AE3" s="19">
        <v>9600</v>
      </c>
      <c r="AF3" s="19">
        <v>0</v>
      </c>
      <c r="AG3" s="19">
        <v>0</v>
      </c>
      <c r="AH3" s="19">
        <v>0</v>
      </c>
      <c r="AI3" s="19">
        <v>0</v>
      </c>
      <c r="AJ3" s="19">
        <v>2640</v>
      </c>
      <c r="AK3" s="19">
        <v>0</v>
      </c>
      <c r="AL3" s="19">
        <v>0</v>
      </c>
      <c r="AM3" s="19">
        <v>0</v>
      </c>
      <c r="AN3" s="19">
        <v>6732</v>
      </c>
      <c r="AO3" s="19">
        <v>0</v>
      </c>
      <c r="AP3" s="19">
        <v>6732</v>
      </c>
    </row>
    <row r="4" spans="1:42" x14ac:dyDescent="0.4">
      <c r="A4" s="18" t="s">
        <v>48</v>
      </c>
      <c r="B4" s="18" t="s">
        <v>83</v>
      </c>
      <c r="C4" s="18" t="s">
        <v>84</v>
      </c>
      <c r="D4" s="18" t="s">
        <v>85</v>
      </c>
      <c r="E4" s="18" t="s">
        <v>86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58575247</v>
      </c>
      <c r="K4" s="18" t="s">
        <v>147</v>
      </c>
      <c r="L4" s="18"/>
      <c r="M4" s="18"/>
      <c r="N4" s="18" t="s">
        <v>148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4700</v>
      </c>
      <c r="U4" s="19">
        <v>4700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4700</v>
      </c>
      <c r="AE4" s="19">
        <v>4700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2585</v>
      </c>
      <c r="AO4" s="19">
        <v>0</v>
      </c>
      <c r="AP4" s="19">
        <v>2585</v>
      </c>
    </row>
    <row r="5" spans="1:42" x14ac:dyDescent="0.4">
      <c r="AP5" s="15">
        <f>SUM(AP2:AP4)</f>
        <v>112591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P6"/>
  <sheetViews>
    <sheetView tabSelected="1"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296875" bestFit="1" customWidth="1"/>
    <col min="3" max="3" width="11.5" bestFit="1" customWidth="1"/>
    <col min="4" max="4" width="18.296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3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10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87</v>
      </c>
      <c r="C2" s="18" t="s">
        <v>84</v>
      </c>
      <c r="D2" s="18" t="s">
        <v>87</v>
      </c>
      <c r="E2" s="18" t="s">
        <v>86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50875968</v>
      </c>
      <c r="K2" s="18" t="s">
        <v>88</v>
      </c>
      <c r="L2" s="18"/>
      <c r="M2" s="18"/>
      <c r="N2" s="18" t="s">
        <v>89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5862900</v>
      </c>
      <c r="U2" s="19">
        <v>986600</v>
      </c>
      <c r="V2" s="19">
        <v>0</v>
      </c>
      <c r="W2" s="19">
        <v>0</v>
      </c>
      <c r="X2" s="19">
        <v>0</v>
      </c>
      <c r="Y2" s="19">
        <v>59560</v>
      </c>
      <c r="Z2" s="19">
        <v>37790</v>
      </c>
      <c r="AA2" s="19">
        <v>0</v>
      </c>
      <c r="AB2" s="19">
        <v>0</v>
      </c>
      <c r="AC2" s="19">
        <v>4778950</v>
      </c>
      <c r="AD2" s="19">
        <v>5878591</v>
      </c>
      <c r="AE2" s="19">
        <v>986600</v>
      </c>
      <c r="AF2" s="19">
        <v>0</v>
      </c>
      <c r="AG2" s="19">
        <v>0</v>
      </c>
      <c r="AH2" s="19">
        <v>0</v>
      </c>
      <c r="AI2" s="19">
        <v>71472</v>
      </c>
      <c r="AJ2" s="19">
        <v>41569</v>
      </c>
      <c r="AK2" s="19">
        <v>0</v>
      </c>
      <c r="AL2" s="19">
        <v>0</v>
      </c>
      <c r="AM2" s="19">
        <v>4778950</v>
      </c>
      <c r="AN2" s="19">
        <v>3233225</v>
      </c>
      <c r="AO2" s="19">
        <v>0</v>
      </c>
      <c r="AP2" s="19">
        <v>3233225</v>
      </c>
    </row>
    <row r="3" spans="1:42" x14ac:dyDescent="0.4">
      <c r="A3" s="18" t="s">
        <v>48</v>
      </c>
      <c r="B3" s="18" t="s">
        <v>87</v>
      </c>
      <c r="C3" s="18" t="s">
        <v>84</v>
      </c>
      <c r="D3" s="18" t="s">
        <v>87</v>
      </c>
      <c r="E3" s="18" t="s">
        <v>86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50875968</v>
      </c>
      <c r="K3" s="18" t="s">
        <v>88</v>
      </c>
      <c r="L3" s="18"/>
      <c r="M3" s="18"/>
      <c r="N3" s="18" t="s">
        <v>89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2787200</v>
      </c>
      <c r="U3" s="19">
        <v>1769550</v>
      </c>
      <c r="V3" s="19">
        <v>0</v>
      </c>
      <c r="W3" s="19">
        <v>0</v>
      </c>
      <c r="X3" s="19">
        <v>0</v>
      </c>
      <c r="Y3" s="19">
        <v>11400</v>
      </c>
      <c r="Z3" s="19">
        <v>114050</v>
      </c>
      <c r="AA3" s="19">
        <v>0</v>
      </c>
      <c r="AB3" s="19">
        <v>0</v>
      </c>
      <c r="AC3" s="19">
        <v>892200</v>
      </c>
      <c r="AD3" s="19">
        <v>2800885</v>
      </c>
      <c r="AE3" s="19">
        <v>1769550</v>
      </c>
      <c r="AF3" s="19">
        <v>0</v>
      </c>
      <c r="AG3" s="19">
        <v>0</v>
      </c>
      <c r="AH3" s="19">
        <v>0</v>
      </c>
      <c r="AI3" s="19">
        <v>13680</v>
      </c>
      <c r="AJ3" s="19">
        <v>125455</v>
      </c>
      <c r="AK3" s="19">
        <v>0</v>
      </c>
      <c r="AL3" s="19">
        <v>0</v>
      </c>
      <c r="AM3" s="19">
        <v>892200</v>
      </c>
      <c r="AN3" s="19">
        <v>1540487</v>
      </c>
      <c r="AO3" s="19">
        <v>0</v>
      </c>
      <c r="AP3" s="19">
        <v>1540487</v>
      </c>
    </row>
    <row r="4" spans="1:42" x14ac:dyDescent="0.4">
      <c r="A4" s="18" t="s">
        <v>48</v>
      </c>
      <c r="B4" s="18" t="s">
        <v>87</v>
      </c>
      <c r="C4" s="18" t="s">
        <v>84</v>
      </c>
      <c r="D4" s="18" t="s">
        <v>87</v>
      </c>
      <c r="E4" s="18" t="s">
        <v>86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50875968</v>
      </c>
      <c r="K4" s="18" t="s">
        <v>88</v>
      </c>
      <c r="L4" s="18"/>
      <c r="M4" s="18"/>
      <c r="N4" s="18" t="s">
        <v>89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4363300</v>
      </c>
      <c r="U4" s="19">
        <v>3578040</v>
      </c>
      <c r="V4" s="19">
        <v>0</v>
      </c>
      <c r="W4" s="19">
        <v>0</v>
      </c>
      <c r="X4" s="19">
        <v>0</v>
      </c>
      <c r="Y4" s="19">
        <v>23000</v>
      </c>
      <c r="Z4" s="19">
        <v>244610</v>
      </c>
      <c r="AA4" s="19">
        <v>0</v>
      </c>
      <c r="AB4" s="19">
        <v>0</v>
      </c>
      <c r="AC4" s="19">
        <v>517650</v>
      </c>
      <c r="AD4" s="19">
        <v>4392361</v>
      </c>
      <c r="AE4" s="19">
        <v>3578040</v>
      </c>
      <c r="AF4" s="19">
        <v>0</v>
      </c>
      <c r="AG4" s="19">
        <v>0</v>
      </c>
      <c r="AH4" s="19">
        <v>0</v>
      </c>
      <c r="AI4" s="19">
        <v>27600</v>
      </c>
      <c r="AJ4" s="19">
        <v>269071</v>
      </c>
      <c r="AK4" s="19">
        <v>0</v>
      </c>
      <c r="AL4" s="19">
        <v>0</v>
      </c>
      <c r="AM4" s="19">
        <v>517650</v>
      </c>
      <c r="AN4" s="19">
        <v>2415799</v>
      </c>
      <c r="AO4" s="19">
        <v>0</v>
      </c>
      <c r="AP4" s="19">
        <v>2415799</v>
      </c>
    </row>
    <row r="5" spans="1:42" x14ac:dyDescent="0.4">
      <c r="A5" s="18" t="s">
        <v>48</v>
      </c>
      <c r="B5" s="18" t="s">
        <v>87</v>
      </c>
      <c r="C5" s="18" t="s">
        <v>84</v>
      </c>
      <c r="D5" s="18" t="s">
        <v>87</v>
      </c>
      <c r="E5" s="18" t="s">
        <v>86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50875968</v>
      </c>
      <c r="K5" s="18" t="s">
        <v>88</v>
      </c>
      <c r="L5" s="18"/>
      <c r="M5" s="18"/>
      <c r="N5" s="18" t="s">
        <v>89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6697800</v>
      </c>
      <c r="U5" s="19">
        <v>5961550</v>
      </c>
      <c r="V5" s="19">
        <v>0</v>
      </c>
      <c r="W5" s="19">
        <v>0</v>
      </c>
      <c r="X5" s="19">
        <v>0</v>
      </c>
      <c r="Y5" s="19">
        <v>12500</v>
      </c>
      <c r="Z5" s="19">
        <v>288800</v>
      </c>
      <c r="AA5" s="19">
        <v>0</v>
      </c>
      <c r="AB5" s="19">
        <v>0</v>
      </c>
      <c r="AC5" s="19">
        <v>434950</v>
      </c>
      <c r="AD5" s="19">
        <v>6729180</v>
      </c>
      <c r="AE5" s="19">
        <v>5961550</v>
      </c>
      <c r="AF5" s="19">
        <v>0</v>
      </c>
      <c r="AG5" s="19">
        <v>0</v>
      </c>
      <c r="AH5" s="19">
        <v>0</v>
      </c>
      <c r="AI5" s="19">
        <v>15000</v>
      </c>
      <c r="AJ5" s="19">
        <v>317680</v>
      </c>
      <c r="AK5" s="19">
        <v>0</v>
      </c>
      <c r="AL5" s="19">
        <v>0</v>
      </c>
      <c r="AM5" s="19">
        <v>434950</v>
      </c>
      <c r="AN5" s="19">
        <v>3701049</v>
      </c>
      <c r="AO5" s="19">
        <v>0</v>
      </c>
      <c r="AP5" s="19">
        <v>3701049</v>
      </c>
    </row>
    <row r="6" spans="1:42" x14ac:dyDescent="0.4">
      <c r="AP6" s="15">
        <f>SUM(AP2:AP5)</f>
        <v>10890560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이름이 지정된 범위</vt:lpstr>
      </vt:variant>
      <vt:variant>
        <vt:i4>26</vt:i4>
      </vt:variant>
    </vt:vector>
  </HeadingPairs>
  <TitlesOfParts>
    <vt:vector size="53" baseType="lpstr">
      <vt:lpstr>특별계약(1)</vt:lpstr>
      <vt:lpstr>청빙</vt:lpstr>
      <vt:lpstr>무장</vt:lpstr>
      <vt:lpstr>공든탑</vt:lpstr>
      <vt:lpstr>이린비</vt:lpstr>
      <vt:lpstr>이동열</vt:lpstr>
      <vt:lpstr>불고기자리</vt:lpstr>
      <vt:lpstr>진문</vt:lpstr>
      <vt:lpstr>구유</vt:lpstr>
      <vt:lpstr>찬동</vt:lpstr>
      <vt:lpstr>루이세</vt:lpstr>
      <vt:lpstr>예로나</vt:lpstr>
      <vt:lpstr>이준영</vt:lpstr>
      <vt:lpstr>하이후</vt:lpstr>
      <vt:lpstr>vvk</vt:lpstr>
      <vt:lpstr>벗우</vt:lpstr>
      <vt:lpstr>갓띵작</vt:lpstr>
      <vt:lpstr>이한애비</vt:lpstr>
      <vt:lpstr>만렙도끼</vt:lpstr>
      <vt:lpstr>mollen</vt:lpstr>
      <vt:lpstr>이도스</vt:lpstr>
      <vt:lpstr>비고</vt:lpstr>
      <vt:lpstr>구땡</vt:lpstr>
      <vt:lpstr>왕십리글쟁이</vt:lpstr>
      <vt:lpstr>깡펀치</vt:lpstr>
      <vt:lpstr>알랙스</vt:lpstr>
      <vt:lpstr>담화공</vt:lpstr>
      <vt:lpstr>mollen!Extract</vt:lpstr>
      <vt:lpstr>vvk!Extract</vt:lpstr>
      <vt:lpstr>갓띵작!Extract</vt:lpstr>
      <vt:lpstr>공든탑!Extract</vt:lpstr>
      <vt:lpstr>구땡!Extract</vt:lpstr>
      <vt:lpstr>구유!Extract</vt:lpstr>
      <vt:lpstr>깡펀치!Extract</vt:lpstr>
      <vt:lpstr>담화공!Extract</vt:lpstr>
      <vt:lpstr>루이세!Extract</vt:lpstr>
      <vt:lpstr>만렙도끼!Extract</vt:lpstr>
      <vt:lpstr>무장!Extract</vt:lpstr>
      <vt:lpstr>벗우!Extract</vt:lpstr>
      <vt:lpstr>불고기자리!Extract</vt:lpstr>
      <vt:lpstr>비고!Extract</vt:lpstr>
      <vt:lpstr>알랙스!Extract</vt:lpstr>
      <vt:lpstr>예로나!Extract</vt:lpstr>
      <vt:lpstr>왕십리글쟁이!Extract</vt:lpstr>
      <vt:lpstr>이도스!Extract</vt:lpstr>
      <vt:lpstr>이동열!Extract</vt:lpstr>
      <vt:lpstr>이린비!Extract</vt:lpstr>
      <vt:lpstr>이준영!Extract</vt:lpstr>
      <vt:lpstr>이한애비!Extract</vt:lpstr>
      <vt:lpstr>진문!Extract</vt:lpstr>
      <vt:lpstr>찬동!Extract</vt:lpstr>
      <vt:lpstr>청빙!Extract</vt:lpstr>
      <vt:lpstr>하이후!Extract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2019-06-05T05:07:12Z</dcterms:created>
  <dcterms:modified xsi:type="dcterms:W3CDTF">2022-02-07T07:46:09Z</dcterms:modified>
</cp:coreProperties>
</file>