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카카오\"/>
    </mc:Choice>
  </mc:AlternateContent>
  <bookViews>
    <workbookView xWindow="27132" yWindow="0" windowWidth="23040" windowHeight="10812" tabRatio="885"/>
  </bookViews>
  <sheets>
    <sheet name="일반계약_만화(1)" sheetId="126" r:id="rId1"/>
    <sheet name="진엔터" sheetId="127" r:id="rId2"/>
    <sheet name="혜원" sheetId="134" r:id="rId3"/>
  </sheets>
  <definedNames>
    <definedName name="_xlnm._FilterDatabase" localSheetId="0" hidden="1">'일반계약_만화(1)'!$A$1:$AP$1</definedName>
    <definedName name="_xlnm.Extract" localSheetId="0">'일반계약_만화(1)'!#REF!</definedName>
    <definedName name="_xlnm.Extract" localSheetId="1">진엔터!$A$1:$AP$1</definedName>
    <definedName name="_xlnm.Extract" localSheetId="2">혜원!$A$1:$AP$1</definedName>
  </definedNames>
  <calcPr calcId="152511"/>
</workbook>
</file>

<file path=xl/calcChain.xml><?xml version="1.0" encoding="utf-8"?>
<calcChain xmlns="http://schemas.openxmlformats.org/spreadsheetml/2006/main">
  <c r="AP8" i="127" l="1"/>
  <c r="AP10" i="134"/>
  <c r="AP53" i="126"/>
</calcChain>
</file>

<file path=xl/sharedStrings.xml><?xml version="1.0" encoding="utf-8"?>
<sst xmlns="http://schemas.openxmlformats.org/spreadsheetml/2006/main" count="906" uniqueCount="73">
  <si>
    <t/>
  </si>
  <si>
    <t>사업자명</t>
  </si>
  <si>
    <t>사업자번호</t>
  </si>
  <si>
    <t>발행자명</t>
  </si>
  <si>
    <t>계약UID</t>
  </si>
  <si>
    <t>계약유형</t>
  </si>
  <si>
    <t>당월신규계약여부</t>
  </si>
  <si>
    <t>카테고리</t>
  </si>
  <si>
    <t>시리즈ID</t>
  </si>
  <si>
    <t>시리즈명</t>
  </si>
  <si>
    <t>작가명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</si>
  <si>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</si>
  <si>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</si>
  <si>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</si>
  <si>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</si>
  <si>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</si>
  <si>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</si>
  <si>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</si>
  <si>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</si>
  <si>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</si>
  <si>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</si>
  <si>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</si>
  <si>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일반계약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</si>
  <si>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</si>
  <si>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</si>
  <si>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</si>
  <si>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</si>
  <si>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</si>
  <si>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</si>
  <si>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</si>
  <si>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</si>
  <si>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</si>
  <si>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</si>
  <si>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</si>
  <si>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</si>
  <si>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</si>
  <si>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</si>
  <si>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</si>
  <si>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</si>
  <si>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</si>
  <si>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</si>
  <si>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</si>
  <si>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</si>
  <si>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</si>
  <si>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</si>
  <si>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</si>
  <si>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</si>
  <si>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</si>
  <si>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로맨틱 시그널</t>
  </si>
  <si>
    <t>계약연애, 오늘부터 1일</t>
  </si>
  <si>
    <t>원기공장</t>
  </si>
  <si>
    <t>폐하, 옥체 보존하세요!</t>
  </si>
  <si>
    <t>lvyeqianhe x youzhijiaozi</t>
  </si>
  <si>
    <t>주식회사 스토리위즈</t>
  </si>
  <si>
    <t>3828601768</t>
  </si>
  <si>
    <t>연애 2분의 1</t>
  </si>
  <si>
    <t>너랑 나랑 하면</t>
  </si>
  <si>
    <t>Bless+cangshukou</t>
  </si>
  <si>
    <t>storywiz</t>
  </si>
  <si>
    <t>백스테이지 키스신</t>
  </si>
  <si>
    <t>최도비,수정과</t>
  </si>
  <si>
    <t>내 남편의 스토커</t>
  </si>
  <si>
    <t>혜원</t>
  </si>
  <si>
    <t>공주전쟁</t>
  </si>
  <si>
    <t>Hujing×Luojie</t>
  </si>
  <si>
    <t>별빛 아래 우리</t>
  </si>
  <si>
    <t>건일</t>
  </si>
  <si>
    <t>특별+일반</t>
  </si>
  <si>
    <t>계약(과+면세)</t>
  </si>
  <si>
    <t>ISBN(유+무)</t>
  </si>
  <si>
    <t>CP정산율_안드로이드+이벤트캐시</t>
  </si>
  <si>
    <t>ZHUPI/YANGXUETU</t>
  </si>
  <si>
    <t>NISANSUI/ZIQUAN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</si>
</sst>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0" borderId="0" xfId="0" applyNumberFormat="1">
      <alignment vertical="center"/>
    </xf>
  </cellXfs>
  <cellStyles count="3"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53"/>
  <sheetViews>
    <sheetView tabSelected="1" zoomScale="55" zoomScaleNormal="55" workbookViewId="0">
      <selection activeCell="P51" sqref="P51"/>
    </sheetView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35.69921875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</row>
    <row r="2" spans="1:42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50540426</v>
      </c>
      <c r="K2" s="3" t="s">
        <v>49</v>
      </c>
      <c r="L2" s="3"/>
      <c r="M2" s="3"/>
      <c r="N2" s="3" t="s">
        <v>50</v>
      </c>
      <c r="O2" s="3" t="s">
        <v>19</v>
      </c>
      <c r="P2" s="3">
        <v>0.7</v>
      </c>
      <c r="Q2" s="3">
        <v>0.6</v>
      </c>
      <c r="R2" s="4" t="s">
        <v>21</v>
      </c>
      <c r="S2" s="4">
        <v>200</v>
      </c>
      <c r="T2" s="4">
        <v>2000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2000</v>
      </c>
      <c r="AD2" s="4">
        <v>2000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2000</v>
      </c>
      <c r="AN2" s="4">
        <v>1400</v>
      </c>
      <c r="AO2" s="4">
        <v>0</v>
      </c>
      <c r="AP2" s="4">
        <v>1400</v>
      </c>
    </row>
    <row r="3" spans="1:42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50540426</v>
      </c>
      <c r="K3" s="3" t="s">
        <v>49</v>
      </c>
      <c r="L3" s="3"/>
      <c r="M3" s="3"/>
      <c r="N3" s="3" t="s">
        <v>50</v>
      </c>
      <c r="O3" s="3" t="s">
        <v>19</v>
      </c>
      <c r="P3" s="3">
        <v>0.7</v>
      </c>
      <c r="Q3" s="3">
        <v>0.6</v>
      </c>
      <c r="R3" s="4" t="s">
        <v>47</v>
      </c>
      <c r="S3" s="4">
        <v>100</v>
      </c>
      <c r="T3" s="4">
        <v>53300</v>
      </c>
      <c r="U3" s="4">
        <v>7650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45650</v>
      </c>
      <c r="AD3" s="4">
        <v>53300</v>
      </c>
      <c r="AE3" s="4">
        <v>7650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45650</v>
      </c>
      <c r="AN3" s="4">
        <v>37310</v>
      </c>
      <c r="AO3" s="4">
        <v>0</v>
      </c>
      <c r="AP3" s="4">
        <v>37310</v>
      </c>
    </row>
    <row r="4" spans="1:42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50540426</v>
      </c>
      <c r="K4" s="3" t="s">
        <v>49</v>
      </c>
      <c r="L4" s="3"/>
      <c r="M4" s="3"/>
      <c r="N4" s="3" t="s">
        <v>50</v>
      </c>
      <c r="O4" s="3" t="s">
        <v>19</v>
      </c>
      <c r="P4" s="3">
        <v>0.7</v>
      </c>
      <c r="Q4" s="3">
        <v>0.6</v>
      </c>
      <c r="R4" s="4" t="s">
        <v>24</v>
      </c>
      <c r="S4" s="4">
        <v>900</v>
      </c>
      <c r="T4" s="4">
        <v>23100</v>
      </c>
      <c r="U4" s="4">
        <v>17900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5200</v>
      </c>
      <c r="AD4" s="4">
        <v>23100</v>
      </c>
      <c r="AE4" s="4">
        <v>17900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5200</v>
      </c>
      <c r="AN4" s="4">
        <v>16170</v>
      </c>
      <c r="AO4" s="4">
        <v>0</v>
      </c>
      <c r="AP4" s="4">
        <v>16170</v>
      </c>
    </row>
    <row r="5" spans="1:42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50540426</v>
      </c>
      <c r="K5" s="3" t="s">
        <v>49</v>
      </c>
      <c r="L5" s="3"/>
      <c r="M5" s="3"/>
      <c r="N5" s="3" t="s">
        <v>50</v>
      </c>
      <c r="O5" s="3" t="s">
        <v>19</v>
      </c>
      <c r="P5" s="3">
        <v>0.7</v>
      </c>
      <c r="Q5" s="3">
        <v>0.6</v>
      </c>
      <c r="R5" s="4" t="s">
        <v>24</v>
      </c>
      <c r="S5" s="4">
        <v>1800</v>
      </c>
      <c r="T5" s="4">
        <v>18000</v>
      </c>
      <c r="U5" s="4">
        <v>16200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1800</v>
      </c>
      <c r="AD5" s="4">
        <v>18000</v>
      </c>
      <c r="AE5" s="4">
        <v>16200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1800</v>
      </c>
      <c r="AN5" s="4">
        <v>12600</v>
      </c>
      <c r="AO5" s="4">
        <v>0</v>
      </c>
      <c r="AP5" s="4">
        <v>12600</v>
      </c>
    </row>
    <row r="6" spans="1:42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50540426</v>
      </c>
      <c r="K6" s="3" t="s">
        <v>49</v>
      </c>
      <c r="L6" s="3"/>
      <c r="M6" s="3"/>
      <c r="N6" s="3" t="s">
        <v>50</v>
      </c>
      <c r="O6" s="3" t="s">
        <v>19</v>
      </c>
      <c r="P6" s="3">
        <v>0.7</v>
      </c>
      <c r="Q6" s="3">
        <v>0.6</v>
      </c>
      <c r="R6" s="4" t="s">
        <v>24</v>
      </c>
      <c r="S6" s="4">
        <v>3600</v>
      </c>
      <c r="T6" s="4">
        <v>14400</v>
      </c>
      <c r="U6" s="4">
        <v>14100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300</v>
      </c>
      <c r="AD6" s="4">
        <v>14400</v>
      </c>
      <c r="AE6" s="4">
        <v>14100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300</v>
      </c>
      <c r="AN6" s="4">
        <v>10080</v>
      </c>
      <c r="AO6" s="4">
        <v>0</v>
      </c>
      <c r="AP6" s="4">
        <v>10080</v>
      </c>
    </row>
    <row r="7" spans="1:42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56451540</v>
      </c>
      <c r="K7" s="3" t="s">
        <v>63</v>
      </c>
      <c r="L7" s="3"/>
      <c r="M7" s="3"/>
      <c r="N7" s="3" t="s">
        <v>64</v>
      </c>
      <c r="O7" s="3" t="s">
        <v>19</v>
      </c>
      <c r="P7" s="3">
        <v>0.7</v>
      </c>
      <c r="Q7" s="3">
        <v>0.6</v>
      </c>
      <c r="R7" s="4" t="s">
        <v>21</v>
      </c>
      <c r="S7" s="4">
        <v>400</v>
      </c>
      <c r="T7" s="4">
        <v>16800</v>
      </c>
      <c r="U7" s="4">
        <v>15700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1100</v>
      </c>
      <c r="AD7" s="4">
        <v>16800</v>
      </c>
      <c r="AE7" s="4">
        <v>15700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1100</v>
      </c>
      <c r="AN7" s="4">
        <v>11760</v>
      </c>
      <c r="AO7" s="4">
        <v>0</v>
      </c>
      <c r="AP7" s="4">
        <v>11760</v>
      </c>
    </row>
    <row r="8" spans="1:42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56451540</v>
      </c>
      <c r="K8" s="3" t="s">
        <v>63</v>
      </c>
      <c r="L8" s="3"/>
      <c r="M8" s="3"/>
      <c r="N8" s="3" t="s">
        <v>64</v>
      </c>
      <c r="O8" s="3" t="s">
        <v>19</v>
      </c>
      <c r="P8" s="3">
        <v>0.7</v>
      </c>
      <c r="Q8" s="3">
        <v>0.6</v>
      </c>
      <c r="R8" s="4" t="s">
        <v>20</v>
      </c>
      <c r="S8" s="4">
        <v>3600</v>
      </c>
      <c r="T8" s="4">
        <v>3600</v>
      </c>
      <c r="U8" s="4">
        <v>3600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3600</v>
      </c>
      <c r="AE8" s="4">
        <v>3600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2520</v>
      </c>
      <c r="AO8" s="4">
        <v>0</v>
      </c>
      <c r="AP8" s="4">
        <v>2520</v>
      </c>
    </row>
    <row r="9" spans="1:42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56451540</v>
      </c>
      <c r="K9" s="3" t="s">
        <v>63</v>
      </c>
      <c r="L9" s="3"/>
      <c r="M9" s="3"/>
      <c r="N9" s="3" t="s">
        <v>64</v>
      </c>
      <c r="O9" s="3" t="s">
        <v>19</v>
      </c>
      <c r="P9" s="3">
        <v>0.7</v>
      </c>
      <c r="Q9" s="3">
        <v>0.6</v>
      </c>
      <c r="R9" s="4" t="s">
        <v>47</v>
      </c>
      <c r="S9" s="4">
        <v>200</v>
      </c>
      <c r="T9" s="4">
        <v>278600</v>
      </c>
      <c r="U9" s="4">
        <v>158450</v>
      </c>
      <c r="V9" s="4">
        <v>0</v>
      </c>
      <c r="W9" s="4">
        <v>0</v>
      </c>
      <c r="X9" s="4">
        <v>0</v>
      </c>
      <c r="Y9" s="4">
        <v>1600</v>
      </c>
      <c r="Z9" s="4">
        <v>8700</v>
      </c>
      <c r="AA9" s="4">
        <v>0</v>
      </c>
      <c r="AB9" s="4">
        <v>0</v>
      </c>
      <c r="AC9" s="4">
        <v>109850</v>
      </c>
      <c r="AD9" s="4">
        <v>279790</v>
      </c>
      <c r="AE9" s="4">
        <v>158450</v>
      </c>
      <c r="AF9" s="4">
        <v>0</v>
      </c>
      <c r="AG9" s="4">
        <v>0</v>
      </c>
      <c r="AH9" s="4">
        <v>0</v>
      </c>
      <c r="AI9" s="4">
        <v>1920</v>
      </c>
      <c r="AJ9" s="4">
        <v>9570</v>
      </c>
      <c r="AK9" s="4">
        <v>0</v>
      </c>
      <c r="AL9" s="4">
        <v>0</v>
      </c>
      <c r="AM9" s="4">
        <v>109850</v>
      </c>
      <c r="AN9" s="4">
        <v>194704</v>
      </c>
      <c r="AO9" s="4">
        <v>0</v>
      </c>
      <c r="AP9" s="4">
        <v>194704</v>
      </c>
    </row>
    <row r="10" spans="1:42" x14ac:dyDescent="0.4">
      <c r="A10" s="3" t="s">
        <v>22</v>
      </c>
      <c r="B10" s="3" t="s">
        <v>53</v>
      </c>
      <c r="C10" s="3" t="s">
        <v>54</v>
      </c>
      <c r="D10" s="3" t="s">
        <v>58</v>
      </c>
      <c r="E10" s="3"/>
      <c r="F10" s="3" t="s">
        <v>0</v>
      </c>
      <c r="G10" s="3" t="s">
        <v>17</v>
      </c>
      <c r="H10" s="3" t="s">
        <v>18</v>
      </c>
      <c r="I10" s="3" t="s">
        <v>23</v>
      </c>
      <c r="J10" s="3">
        <v>56451540</v>
      </c>
      <c r="K10" s="3" t="s">
        <v>63</v>
      </c>
      <c r="L10" s="3"/>
      <c r="M10" s="3"/>
      <c r="N10" s="3" t="s">
        <v>64</v>
      </c>
      <c r="O10" s="3" t="s">
        <v>19</v>
      </c>
      <c r="P10" s="3">
        <v>0.7</v>
      </c>
      <c r="Q10" s="3">
        <v>0.6</v>
      </c>
      <c r="R10" s="4" t="s">
        <v>24</v>
      </c>
      <c r="S10" s="4">
        <v>1800</v>
      </c>
      <c r="T10" s="4">
        <v>149000</v>
      </c>
      <c r="U10" s="4">
        <v>125800</v>
      </c>
      <c r="V10" s="4">
        <v>0</v>
      </c>
      <c r="W10" s="4">
        <v>0</v>
      </c>
      <c r="X10" s="4">
        <v>0</v>
      </c>
      <c r="Y10" s="4">
        <v>0</v>
      </c>
      <c r="Z10" s="4">
        <v>7200</v>
      </c>
      <c r="AA10" s="4">
        <v>0</v>
      </c>
      <c r="AB10" s="4">
        <v>0</v>
      </c>
      <c r="AC10" s="4">
        <v>16000</v>
      </c>
      <c r="AD10" s="4">
        <v>149720</v>
      </c>
      <c r="AE10" s="4">
        <v>125800</v>
      </c>
      <c r="AF10" s="4">
        <v>0</v>
      </c>
      <c r="AG10" s="4">
        <v>0</v>
      </c>
      <c r="AH10" s="4">
        <v>0</v>
      </c>
      <c r="AI10" s="4">
        <v>0</v>
      </c>
      <c r="AJ10" s="4">
        <v>7920</v>
      </c>
      <c r="AK10" s="4">
        <v>0</v>
      </c>
      <c r="AL10" s="4">
        <v>0</v>
      </c>
      <c r="AM10" s="4">
        <v>16000</v>
      </c>
      <c r="AN10" s="4">
        <v>104012</v>
      </c>
      <c r="AO10" s="4">
        <v>0</v>
      </c>
      <c r="AP10" s="4">
        <v>104012</v>
      </c>
    </row>
    <row r="11" spans="1:42" x14ac:dyDescent="0.4">
      <c r="A11" s="3" t="s">
        <v>22</v>
      </c>
      <c r="B11" s="3" t="s">
        <v>53</v>
      </c>
      <c r="C11" s="3" t="s">
        <v>54</v>
      </c>
      <c r="D11" s="3" t="s">
        <v>58</v>
      </c>
      <c r="E11" s="3"/>
      <c r="F11" s="3" t="s">
        <v>0</v>
      </c>
      <c r="G11" s="3" t="s">
        <v>17</v>
      </c>
      <c r="H11" s="3" t="s">
        <v>18</v>
      </c>
      <c r="I11" s="3" t="s">
        <v>23</v>
      </c>
      <c r="J11" s="3">
        <v>56451540</v>
      </c>
      <c r="K11" s="3" t="s">
        <v>63</v>
      </c>
      <c r="L11" s="3"/>
      <c r="M11" s="3"/>
      <c r="N11" s="3" t="s">
        <v>64</v>
      </c>
      <c r="O11" s="3" t="s">
        <v>19</v>
      </c>
      <c r="P11" s="3">
        <v>0.7</v>
      </c>
      <c r="Q11" s="3">
        <v>0.6</v>
      </c>
      <c r="R11" s="4" t="s">
        <v>24</v>
      </c>
      <c r="S11" s="4">
        <v>3600</v>
      </c>
      <c r="T11" s="4">
        <v>56800</v>
      </c>
      <c r="U11" s="4">
        <v>53200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3600</v>
      </c>
      <c r="AD11" s="4">
        <v>56800</v>
      </c>
      <c r="AE11" s="4">
        <v>53200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3600</v>
      </c>
      <c r="AN11" s="4">
        <v>39760</v>
      </c>
      <c r="AO11" s="4">
        <v>0</v>
      </c>
      <c r="AP11" s="4">
        <v>39760</v>
      </c>
    </row>
    <row r="12" spans="1:42" x14ac:dyDescent="0.4">
      <c r="A12" s="3" t="s">
        <v>22</v>
      </c>
      <c r="B12" s="3" t="s">
        <v>53</v>
      </c>
      <c r="C12" s="3" t="s">
        <v>54</v>
      </c>
      <c r="D12" s="3" t="s">
        <v>58</v>
      </c>
      <c r="E12" s="3"/>
      <c r="F12" s="3" t="s">
        <v>0</v>
      </c>
      <c r="G12" s="3" t="s">
        <v>17</v>
      </c>
      <c r="H12" s="3" t="s">
        <v>18</v>
      </c>
      <c r="I12" s="3" t="s">
        <v>23</v>
      </c>
      <c r="J12" s="3">
        <v>56451540</v>
      </c>
      <c r="K12" s="3" t="s">
        <v>63</v>
      </c>
      <c r="L12" s="3"/>
      <c r="M12" s="3"/>
      <c r="N12" s="3" t="s">
        <v>64</v>
      </c>
      <c r="O12" s="3" t="s">
        <v>19</v>
      </c>
      <c r="P12" s="3">
        <v>0.7</v>
      </c>
      <c r="Q12" s="3">
        <v>0.6</v>
      </c>
      <c r="R12" s="4" t="s">
        <v>24</v>
      </c>
      <c r="S12" s="4">
        <v>7200</v>
      </c>
      <c r="T12" s="4">
        <v>52800</v>
      </c>
      <c r="U12" s="4">
        <v>49400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3400</v>
      </c>
      <c r="AD12" s="4">
        <v>52800</v>
      </c>
      <c r="AE12" s="4">
        <v>49400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3400</v>
      </c>
      <c r="AN12" s="4">
        <v>36960</v>
      </c>
      <c r="AO12" s="4">
        <v>0</v>
      </c>
      <c r="AP12" s="4">
        <v>36960</v>
      </c>
    </row>
    <row r="13" spans="1:42" x14ac:dyDescent="0.4">
      <c r="A13" s="3" t="s">
        <v>22</v>
      </c>
      <c r="B13" s="3" t="s">
        <v>53</v>
      </c>
      <c r="C13" s="3" t="s">
        <v>54</v>
      </c>
      <c r="D13" s="3" t="s">
        <v>58</v>
      </c>
      <c r="E13" s="3"/>
      <c r="F13" s="3" t="s">
        <v>0</v>
      </c>
      <c r="G13" s="3" t="s">
        <v>17</v>
      </c>
      <c r="H13" s="3" t="s">
        <v>18</v>
      </c>
      <c r="I13" s="3" t="s">
        <v>23</v>
      </c>
      <c r="J13" s="3">
        <v>53879878</v>
      </c>
      <c r="K13" s="3" t="s">
        <v>61</v>
      </c>
      <c r="L13" s="3"/>
      <c r="M13" s="3"/>
      <c r="N13" s="3" t="s">
        <v>62</v>
      </c>
      <c r="O13" s="3" t="s">
        <v>19</v>
      </c>
      <c r="P13" s="3">
        <v>0.7</v>
      </c>
      <c r="Q13" s="3">
        <v>0.6</v>
      </c>
      <c r="R13" s="4" t="s">
        <v>21</v>
      </c>
      <c r="S13" s="4">
        <v>400</v>
      </c>
      <c r="T13" s="4">
        <v>1200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1200</v>
      </c>
      <c r="AD13" s="4">
        <v>1200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1200</v>
      </c>
      <c r="AN13" s="4">
        <v>840</v>
      </c>
      <c r="AO13" s="4">
        <v>0</v>
      </c>
      <c r="AP13" s="4">
        <v>840</v>
      </c>
    </row>
    <row r="14" spans="1:42" x14ac:dyDescent="0.4">
      <c r="A14" s="3" t="s">
        <v>22</v>
      </c>
      <c r="B14" s="3" t="s">
        <v>53</v>
      </c>
      <c r="C14" s="3" t="s">
        <v>54</v>
      </c>
      <c r="D14" s="3" t="s">
        <v>58</v>
      </c>
      <c r="E14" s="3"/>
      <c r="F14" s="3" t="s">
        <v>0</v>
      </c>
      <c r="G14" s="3" t="s">
        <v>17</v>
      </c>
      <c r="H14" s="3" t="s">
        <v>18</v>
      </c>
      <c r="I14" s="3" t="s">
        <v>23</v>
      </c>
      <c r="J14" s="3">
        <v>53879878</v>
      </c>
      <c r="K14" s="3" t="s">
        <v>61</v>
      </c>
      <c r="L14" s="3"/>
      <c r="M14" s="3"/>
      <c r="N14" s="3" t="s">
        <v>62</v>
      </c>
      <c r="O14" s="3" t="s">
        <v>19</v>
      </c>
      <c r="P14" s="3">
        <v>0.7</v>
      </c>
      <c r="Q14" s="3">
        <v>0.6</v>
      </c>
      <c r="R14" s="4" t="s">
        <v>20</v>
      </c>
      <c r="S14" s="4">
        <v>3600</v>
      </c>
      <c r="T14" s="4">
        <v>32400</v>
      </c>
      <c r="U14" s="4">
        <v>32300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100</v>
      </c>
      <c r="AD14" s="4">
        <v>32400</v>
      </c>
      <c r="AE14" s="4">
        <v>32300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100</v>
      </c>
      <c r="AN14" s="4">
        <v>22680</v>
      </c>
      <c r="AO14" s="4">
        <v>0</v>
      </c>
      <c r="AP14" s="4">
        <v>22680</v>
      </c>
    </row>
    <row r="15" spans="1:42" x14ac:dyDescent="0.4">
      <c r="A15" s="3" t="s">
        <v>22</v>
      </c>
      <c r="B15" s="3" t="s">
        <v>53</v>
      </c>
      <c r="C15" s="3" t="s">
        <v>54</v>
      </c>
      <c r="D15" s="3" t="s">
        <v>58</v>
      </c>
      <c r="E15" s="3"/>
      <c r="F15" s="3" t="s">
        <v>0</v>
      </c>
      <c r="G15" s="3" t="s">
        <v>17</v>
      </c>
      <c r="H15" s="3" t="s">
        <v>18</v>
      </c>
      <c r="I15" s="3" t="s">
        <v>23</v>
      </c>
      <c r="J15" s="3">
        <v>53879878</v>
      </c>
      <c r="K15" s="3" t="s">
        <v>61</v>
      </c>
      <c r="L15" s="3"/>
      <c r="M15" s="3"/>
      <c r="N15" s="3" t="s">
        <v>62</v>
      </c>
      <c r="O15" s="3" t="s">
        <v>19</v>
      </c>
      <c r="P15" s="3">
        <v>0.7</v>
      </c>
      <c r="Q15" s="3">
        <v>0.6</v>
      </c>
      <c r="R15" s="4" t="s">
        <v>20</v>
      </c>
      <c r="S15" s="4">
        <v>10800</v>
      </c>
      <c r="T15" s="4">
        <v>10800</v>
      </c>
      <c r="U15" s="4">
        <v>10800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10800</v>
      </c>
      <c r="AE15" s="4">
        <v>10800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7560</v>
      </c>
      <c r="AO15" s="4">
        <v>0</v>
      </c>
      <c r="AP15" s="4">
        <v>7560</v>
      </c>
    </row>
    <row r="16" spans="1:42" x14ac:dyDescent="0.4">
      <c r="A16" s="3" t="s">
        <v>22</v>
      </c>
      <c r="B16" s="3" t="s">
        <v>53</v>
      </c>
      <c r="C16" s="3" t="s">
        <v>54</v>
      </c>
      <c r="D16" s="3" t="s">
        <v>58</v>
      </c>
      <c r="E16" s="3"/>
      <c r="F16" s="3" t="s">
        <v>0</v>
      </c>
      <c r="G16" s="3" t="s">
        <v>17</v>
      </c>
      <c r="H16" s="3" t="s">
        <v>18</v>
      </c>
      <c r="I16" s="3" t="s">
        <v>23</v>
      </c>
      <c r="J16" s="3">
        <v>53879878</v>
      </c>
      <c r="K16" s="3" t="s">
        <v>61</v>
      </c>
      <c r="L16" s="3"/>
      <c r="M16" s="3"/>
      <c r="N16" s="3" t="s">
        <v>62</v>
      </c>
      <c r="O16" s="3" t="s">
        <v>19</v>
      </c>
      <c r="P16" s="3">
        <v>0.7</v>
      </c>
      <c r="Q16" s="3">
        <v>0.6</v>
      </c>
      <c r="R16" s="4" t="s">
        <v>20</v>
      </c>
      <c r="S16" s="4">
        <v>21600</v>
      </c>
      <c r="T16" s="4">
        <v>21600</v>
      </c>
      <c r="U16" s="4">
        <v>21600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21600</v>
      </c>
      <c r="AE16" s="4">
        <v>21600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15120</v>
      </c>
      <c r="AO16" s="4">
        <v>0</v>
      </c>
      <c r="AP16" s="4">
        <v>15120</v>
      </c>
    </row>
    <row r="17" spans="1:42" x14ac:dyDescent="0.4">
      <c r="A17" s="3" t="s">
        <v>22</v>
      </c>
      <c r="B17" s="3" t="s">
        <v>53</v>
      </c>
      <c r="C17" s="3" t="s">
        <v>54</v>
      </c>
      <c r="D17" s="3" t="s">
        <v>58</v>
      </c>
      <c r="E17" s="3"/>
      <c r="F17" s="3" t="s">
        <v>0</v>
      </c>
      <c r="G17" s="3" t="s">
        <v>17</v>
      </c>
      <c r="H17" s="3" t="s">
        <v>18</v>
      </c>
      <c r="I17" s="3" t="s">
        <v>23</v>
      </c>
      <c r="J17" s="3">
        <v>53879878</v>
      </c>
      <c r="K17" s="3" t="s">
        <v>61</v>
      </c>
      <c r="L17" s="3"/>
      <c r="M17" s="3"/>
      <c r="N17" s="3" t="s">
        <v>62</v>
      </c>
      <c r="O17" s="3" t="s">
        <v>19</v>
      </c>
      <c r="P17" s="3">
        <v>0.7</v>
      </c>
      <c r="Q17" s="3">
        <v>0.6</v>
      </c>
      <c r="R17" s="4" t="s">
        <v>47</v>
      </c>
      <c r="S17" s="4">
        <v>200</v>
      </c>
      <c r="T17" s="4">
        <v>330800</v>
      </c>
      <c r="U17" s="4">
        <v>62500</v>
      </c>
      <c r="V17" s="4">
        <v>0</v>
      </c>
      <c r="W17" s="4">
        <v>0</v>
      </c>
      <c r="X17" s="4">
        <v>0</v>
      </c>
      <c r="Y17" s="4">
        <v>6500</v>
      </c>
      <c r="Z17" s="4">
        <v>3800</v>
      </c>
      <c r="AA17" s="4">
        <v>0</v>
      </c>
      <c r="AB17" s="4">
        <v>0</v>
      </c>
      <c r="AC17" s="4">
        <v>258000</v>
      </c>
      <c r="AD17" s="4">
        <v>332480</v>
      </c>
      <c r="AE17" s="4">
        <v>62500</v>
      </c>
      <c r="AF17" s="4">
        <v>0</v>
      </c>
      <c r="AG17" s="4">
        <v>0</v>
      </c>
      <c r="AH17" s="4">
        <v>0</v>
      </c>
      <c r="AI17" s="4">
        <v>7800</v>
      </c>
      <c r="AJ17" s="4">
        <v>4180</v>
      </c>
      <c r="AK17" s="4">
        <v>0</v>
      </c>
      <c r="AL17" s="4">
        <v>0</v>
      </c>
      <c r="AM17" s="4">
        <v>258000</v>
      </c>
      <c r="AN17" s="4">
        <v>231538</v>
      </c>
      <c r="AO17" s="4">
        <v>0</v>
      </c>
      <c r="AP17" s="4">
        <v>231538</v>
      </c>
    </row>
    <row r="18" spans="1:42" x14ac:dyDescent="0.4">
      <c r="A18" s="3" t="s">
        <v>22</v>
      </c>
      <c r="B18" s="3" t="s">
        <v>53</v>
      </c>
      <c r="C18" s="3" t="s">
        <v>54</v>
      </c>
      <c r="D18" s="3" t="s">
        <v>58</v>
      </c>
      <c r="E18" s="3"/>
      <c r="F18" s="3" t="s">
        <v>0</v>
      </c>
      <c r="G18" s="3" t="s">
        <v>17</v>
      </c>
      <c r="H18" s="3" t="s">
        <v>18</v>
      </c>
      <c r="I18" s="3" t="s">
        <v>23</v>
      </c>
      <c r="J18" s="3">
        <v>53879878</v>
      </c>
      <c r="K18" s="3" t="s">
        <v>61</v>
      </c>
      <c r="L18" s="3"/>
      <c r="M18" s="3"/>
      <c r="N18" s="3" t="s">
        <v>62</v>
      </c>
      <c r="O18" s="3" t="s">
        <v>19</v>
      </c>
      <c r="P18" s="3">
        <v>0.7</v>
      </c>
      <c r="Q18" s="3">
        <v>0.6</v>
      </c>
      <c r="R18" s="4" t="s">
        <v>24</v>
      </c>
      <c r="S18" s="4">
        <v>1800</v>
      </c>
      <c r="T18" s="4">
        <v>210600</v>
      </c>
      <c r="U18" s="4">
        <v>143950</v>
      </c>
      <c r="V18" s="4">
        <v>0</v>
      </c>
      <c r="W18" s="4">
        <v>0</v>
      </c>
      <c r="X18" s="4">
        <v>0</v>
      </c>
      <c r="Y18" s="4">
        <v>1500</v>
      </c>
      <c r="Z18" s="4">
        <v>19000</v>
      </c>
      <c r="AA18" s="4">
        <v>0</v>
      </c>
      <c r="AB18" s="4">
        <v>0</v>
      </c>
      <c r="AC18" s="4">
        <v>46150</v>
      </c>
      <c r="AD18" s="4">
        <v>212800</v>
      </c>
      <c r="AE18" s="4">
        <v>143950</v>
      </c>
      <c r="AF18" s="4">
        <v>0</v>
      </c>
      <c r="AG18" s="4">
        <v>0</v>
      </c>
      <c r="AH18" s="4">
        <v>0</v>
      </c>
      <c r="AI18" s="4">
        <v>1800</v>
      </c>
      <c r="AJ18" s="4">
        <v>20900</v>
      </c>
      <c r="AK18" s="4">
        <v>0</v>
      </c>
      <c r="AL18" s="4">
        <v>0</v>
      </c>
      <c r="AM18" s="4">
        <v>46150</v>
      </c>
      <c r="AN18" s="4">
        <v>146690</v>
      </c>
      <c r="AO18" s="4">
        <v>0</v>
      </c>
      <c r="AP18" s="4">
        <v>146690</v>
      </c>
    </row>
    <row r="19" spans="1:42" x14ac:dyDescent="0.4">
      <c r="A19" s="3" t="s">
        <v>22</v>
      </c>
      <c r="B19" s="3" t="s">
        <v>53</v>
      </c>
      <c r="C19" s="3" t="s">
        <v>54</v>
      </c>
      <c r="D19" s="3" t="s">
        <v>58</v>
      </c>
      <c r="E19" s="3"/>
      <c r="F19" s="3" t="s">
        <v>0</v>
      </c>
      <c r="G19" s="3" t="s">
        <v>17</v>
      </c>
      <c r="H19" s="3" t="s">
        <v>18</v>
      </c>
      <c r="I19" s="3" t="s">
        <v>23</v>
      </c>
      <c r="J19" s="3">
        <v>53879878</v>
      </c>
      <c r="K19" s="3" t="s">
        <v>61</v>
      </c>
      <c r="L19" s="3"/>
      <c r="M19" s="3"/>
      <c r="N19" s="3" t="s">
        <v>62</v>
      </c>
      <c r="O19" s="3" t="s">
        <v>19</v>
      </c>
      <c r="P19" s="3">
        <v>0.7</v>
      </c>
      <c r="Q19" s="3">
        <v>0.6</v>
      </c>
      <c r="R19" s="4" t="s">
        <v>24</v>
      </c>
      <c r="S19" s="4">
        <v>5400</v>
      </c>
      <c r="T19" s="4">
        <v>59400</v>
      </c>
      <c r="U19" s="4">
        <v>48300</v>
      </c>
      <c r="V19" s="4">
        <v>0</v>
      </c>
      <c r="W19" s="4">
        <v>0</v>
      </c>
      <c r="X19" s="4">
        <v>0</v>
      </c>
      <c r="Y19" s="4">
        <v>0</v>
      </c>
      <c r="Z19" s="4">
        <v>5400</v>
      </c>
      <c r="AA19" s="4">
        <v>0</v>
      </c>
      <c r="AB19" s="4">
        <v>0</v>
      </c>
      <c r="AC19" s="4">
        <v>5700</v>
      </c>
      <c r="AD19" s="4">
        <v>59940</v>
      </c>
      <c r="AE19" s="4">
        <v>48300</v>
      </c>
      <c r="AF19" s="4">
        <v>0</v>
      </c>
      <c r="AG19" s="4">
        <v>0</v>
      </c>
      <c r="AH19" s="4">
        <v>0</v>
      </c>
      <c r="AI19" s="4">
        <v>0</v>
      </c>
      <c r="AJ19" s="4">
        <v>5940</v>
      </c>
      <c r="AK19" s="4">
        <v>0</v>
      </c>
      <c r="AL19" s="4">
        <v>0</v>
      </c>
      <c r="AM19" s="4">
        <v>5700</v>
      </c>
      <c r="AN19" s="4">
        <v>41364</v>
      </c>
      <c r="AO19" s="4">
        <v>0</v>
      </c>
      <c r="AP19" s="4">
        <v>41364</v>
      </c>
    </row>
    <row r="20" spans="1:42" x14ac:dyDescent="0.4">
      <c r="A20" s="3" t="s">
        <v>22</v>
      </c>
      <c r="B20" s="3" t="s">
        <v>53</v>
      </c>
      <c r="C20" s="3" t="s">
        <v>54</v>
      </c>
      <c r="D20" s="3" t="s">
        <v>58</v>
      </c>
      <c r="E20" s="3"/>
      <c r="F20" s="3" t="s">
        <v>0</v>
      </c>
      <c r="G20" s="3" t="s">
        <v>17</v>
      </c>
      <c r="H20" s="3" t="s">
        <v>18</v>
      </c>
      <c r="I20" s="3" t="s">
        <v>23</v>
      </c>
      <c r="J20" s="3">
        <v>53879878</v>
      </c>
      <c r="K20" s="3" t="s">
        <v>61</v>
      </c>
      <c r="L20" s="3"/>
      <c r="M20" s="3"/>
      <c r="N20" s="3" t="s">
        <v>62</v>
      </c>
      <c r="O20" s="3" t="s">
        <v>19</v>
      </c>
      <c r="P20" s="3">
        <v>0.7</v>
      </c>
      <c r="Q20" s="3">
        <v>0.6</v>
      </c>
      <c r="R20" s="4" t="s">
        <v>24</v>
      </c>
      <c r="S20" s="4">
        <v>10800</v>
      </c>
      <c r="T20" s="4">
        <v>10800</v>
      </c>
      <c r="U20" s="4">
        <v>10800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10800</v>
      </c>
      <c r="AE20" s="4">
        <v>10800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7560</v>
      </c>
      <c r="AO20" s="4">
        <v>0</v>
      </c>
      <c r="AP20" s="4">
        <v>7560</v>
      </c>
    </row>
    <row r="21" spans="1:42" x14ac:dyDescent="0.4">
      <c r="A21" s="3" t="s">
        <v>22</v>
      </c>
      <c r="B21" s="3" t="s">
        <v>53</v>
      </c>
      <c r="C21" s="3" t="s">
        <v>54</v>
      </c>
      <c r="D21" s="3" t="s">
        <v>58</v>
      </c>
      <c r="E21" s="3"/>
      <c r="F21" s="3" t="s">
        <v>0</v>
      </c>
      <c r="G21" s="3" t="s">
        <v>17</v>
      </c>
      <c r="H21" s="3" t="s">
        <v>18</v>
      </c>
      <c r="I21" s="3" t="s">
        <v>23</v>
      </c>
      <c r="J21" s="3">
        <v>55269331</v>
      </c>
      <c r="K21" s="3" t="s">
        <v>56</v>
      </c>
      <c r="L21" s="3"/>
      <c r="M21" s="3"/>
      <c r="N21" s="3" t="s">
        <v>72</v>
      </c>
      <c r="O21" s="3" t="s">
        <v>19</v>
      </c>
      <c r="P21" s="3">
        <v>0.7</v>
      </c>
      <c r="Q21" s="3">
        <v>0.6</v>
      </c>
      <c r="R21" s="4" t="s">
        <v>21</v>
      </c>
      <c r="S21" s="4">
        <v>400</v>
      </c>
      <c r="T21" s="4">
        <v>11600</v>
      </c>
      <c r="U21" s="4">
        <v>4200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7400</v>
      </c>
      <c r="AD21" s="4">
        <v>11600</v>
      </c>
      <c r="AE21" s="4">
        <v>4200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7400</v>
      </c>
      <c r="AN21" s="4">
        <v>8120</v>
      </c>
      <c r="AO21" s="4">
        <v>0</v>
      </c>
      <c r="AP21" s="4">
        <v>8120</v>
      </c>
    </row>
    <row r="22" spans="1:42" x14ac:dyDescent="0.4">
      <c r="A22" s="3" t="s">
        <v>22</v>
      </c>
      <c r="B22" s="3" t="s">
        <v>53</v>
      </c>
      <c r="C22" s="3" t="s">
        <v>54</v>
      </c>
      <c r="D22" s="3" t="s">
        <v>58</v>
      </c>
      <c r="E22" s="3"/>
      <c r="F22" s="3" t="s">
        <v>0</v>
      </c>
      <c r="G22" s="3" t="s">
        <v>17</v>
      </c>
      <c r="H22" s="3" t="s">
        <v>18</v>
      </c>
      <c r="I22" s="3" t="s">
        <v>23</v>
      </c>
      <c r="J22" s="3">
        <v>55269331</v>
      </c>
      <c r="K22" s="3" t="s">
        <v>56</v>
      </c>
      <c r="L22" s="3"/>
      <c r="M22" s="3"/>
      <c r="N22" s="3" t="s">
        <v>72</v>
      </c>
      <c r="O22" s="3" t="s">
        <v>19</v>
      </c>
      <c r="P22" s="3">
        <v>0.7</v>
      </c>
      <c r="Q22" s="3">
        <v>0.6</v>
      </c>
      <c r="R22" s="4" t="s">
        <v>20</v>
      </c>
      <c r="S22" s="4">
        <v>3600</v>
      </c>
      <c r="T22" s="4">
        <v>3600</v>
      </c>
      <c r="U22" s="4">
        <v>3600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3600</v>
      </c>
      <c r="AE22" s="4">
        <v>3600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2520</v>
      </c>
      <c r="AO22" s="4">
        <v>0</v>
      </c>
      <c r="AP22" s="4">
        <v>2520</v>
      </c>
    </row>
    <row r="23" spans="1:42" x14ac:dyDescent="0.4">
      <c r="A23" s="3" t="s">
        <v>22</v>
      </c>
      <c r="B23" s="3" t="s">
        <v>53</v>
      </c>
      <c r="C23" s="3" t="s">
        <v>54</v>
      </c>
      <c r="D23" s="3" t="s">
        <v>58</v>
      </c>
      <c r="E23" s="3"/>
      <c r="F23" s="3" t="s">
        <v>0</v>
      </c>
      <c r="G23" s="3" t="s">
        <v>17</v>
      </c>
      <c r="H23" s="3" t="s">
        <v>18</v>
      </c>
      <c r="I23" s="3" t="s">
        <v>23</v>
      </c>
      <c r="J23" s="3">
        <v>55269331</v>
      </c>
      <c r="K23" s="3" t="s">
        <v>56</v>
      </c>
      <c r="L23" s="3"/>
      <c r="M23" s="3"/>
      <c r="N23" s="3" t="s">
        <v>72</v>
      </c>
      <c r="O23" s="3" t="s">
        <v>19</v>
      </c>
      <c r="P23" s="3">
        <v>0.7</v>
      </c>
      <c r="Q23" s="3">
        <v>0.6</v>
      </c>
      <c r="R23" s="4" t="s">
        <v>47</v>
      </c>
      <c r="S23" s="4">
        <v>200</v>
      </c>
      <c r="T23" s="4">
        <v>204200</v>
      </c>
      <c r="U23" s="4">
        <v>64500</v>
      </c>
      <c r="V23" s="4">
        <v>0</v>
      </c>
      <c r="W23" s="4">
        <v>0</v>
      </c>
      <c r="X23" s="4">
        <v>0</v>
      </c>
      <c r="Y23" s="4">
        <v>4800</v>
      </c>
      <c r="Z23" s="4">
        <v>3000</v>
      </c>
      <c r="AA23" s="4">
        <v>0</v>
      </c>
      <c r="AB23" s="4">
        <v>0</v>
      </c>
      <c r="AC23" s="4">
        <v>131900</v>
      </c>
      <c r="AD23" s="4">
        <v>205460</v>
      </c>
      <c r="AE23" s="4">
        <v>64500</v>
      </c>
      <c r="AF23" s="4">
        <v>0</v>
      </c>
      <c r="AG23" s="4">
        <v>0</v>
      </c>
      <c r="AH23" s="4">
        <v>0</v>
      </c>
      <c r="AI23" s="4">
        <v>5760</v>
      </c>
      <c r="AJ23" s="4">
        <v>3300</v>
      </c>
      <c r="AK23" s="4">
        <v>0</v>
      </c>
      <c r="AL23" s="4">
        <v>0</v>
      </c>
      <c r="AM23" s="4">
        <v>131900</v>
      </c>
      <c r="AN23" s="4">
        <v>142916</v>
      </c>
      <c r="AO23" s="4">
        <v>0</v>
      </c>
      <c r="AP23" s="4">
        <v>142916</v>
      </c>
    </row>
    <row r="24" spans="1:42" x14ac:dyDescent="0.4">
      <c r="A24" s="3" t="s">
        <v>22</v>
      </c>
      <c r="B24" s="3" t="s">
        <v>53</v>
      </c>
      <c r="C24" s="3" t="s">
        <v>54</v>
      </c>
      <c r="D24" s="3" t="s">
        <v>58</v>
      </c>
      <c r="E24" s="3"/>
      <c r="F24" s="3" t="s">
        <v>0</v>
      </c>
      <c r="G24" s="3" t="s">
        <v>17</v>
      </c>
      <c r="H24" s="3" t="s">
        <v>18</v>
      </c>
      <c r="I24" s="3" t="s">
        <v>23</v>
      </c>
      <c r="J24" s="3">
        <v>55269331</v>
      </c>
      <c r="K24" s="3" t="s">
        <v>56</v>
      </c>
      <c r="L24" s="3"/>
      <c r="M24" s="3"/>
      <c r="N24" s="3" t="s">
        <v>72</v>
      </c>
      <c r="O24" s="3" t="s">
        <v>19</v>
      </c>
      <c r="P24" s="3">
        <v>0.7</v>
      </c>
      <c r="Q24" s="3">
        <v>0.6</v>
      </c>
      <c r="R24" s="4" t="s">
        <v>24</v>
      </c>
      <c r="S24" s="4">
        <v>1800</v>
      </c>
      <c r="T24" s="4">
        <v>105800</v>
      </c>
      <c r="U24" s="4">
        <v>83800</v>
      </c>
      <c r="V24" s="4">
        <v>0</v>
      </c>
      <c r="W24" s="4">
        <v>0</v>
      </c>
      <c r="X24" s="4">
        <v>0</v>
      </c>
      <c r="Y24" s="4">
        <v>0</v>
      </c>
      <c r="Z24" s="4">
        <v>10800</v>
      </c>
      <c r="AA24" s="4">
        <v>0</v>
      </c>
      <c r="AB24" s="4">
        <v>0</v>
      </c>
      <c r="AC24" s="4">
        <v>11200</v>
      </c>
      <c r="AD24" s="4">
        <v>106880</v>
      </c>
      <c r="AE24" s="4">
        <v>83800</v>
      </c>
      <c r="AF24" s="4">
        <v>0</v>
      </c>
      <c r="AG24" s="4">
        <v>0</v>
      </c>
      <c r="AH24" s="4">
        <v>0</v>
      </c>
      <c r="AI24" s="4">
        <v>0</v>
      </c>
      <c r="AJ24" s="4">
        <v>11880</v>
      </c>
      <c r="AK24" s="4">
        <v>0</v>
      </c>
      <c r="AL24" s="4">
        <v>0</v>
      </c>
      <c r="AM24" s="4">
        <v>11200</v>
      </c>
      <c r="AN24" s="4">
        <v>73628</v>
      </c>
      <c r="AO24" s="4">
        <v>0</v>
      </c>
      <c r="AP24" s="4">
        <v>73628</v>
      </c>
    </row>
    <row r="25" spans="1:42" x14ac:dyDescent="0.4">
      <c r="A25" s="3" t="s">
        <v>22</v>
      </c>
      <c r="B25" s="3" t="s">
        <v>53</v>
      </c>
      <c r="C25" s="3" t="s">
        <v>54</v>
      </c>
      <c r="D25" s="3" t="s">
        <v>58</v>
      </c>
      <c r="E25" s="3"/>
      <c r="F25" s="3" t="s">
        <v>0</v>
      </c>
      <c r="G25" s="3" t="s">
        <v>17</v>
      </c>
      <c r="H25" s="3" t="s">
        <v>18</v>
      </c>
      <c r="I25" s="3" t="s">
        <v>23</v>
      </c>
      <c r="J25" s="3">
        <v>55269331</v>
      </c>
      <c r="K25" s="3" t="s">
        <v>56</v>
      </c>
      <c r="L25" s="3"/>
      <c r="M25" s="3"/>
      <c r="N25" s="3" t="s">
        <v>72</v>
      </c>
      <c r="O25" s="3" t="s">
        <v>19</v>
      </c>
      <c r="P25" s="3">
        <v>0.7</v>
      </c>
      <c r="Q25" s="3">
        <v>0.6</v>
      </c>
      <c r="R25" s="4" t="s">
        <v>24</v>
      </c>
      <c r="S25" s="4">
        <v>3600</v>
      </c>
      <c r="T25" s="4">
        <v>30400</v>
      </c>
      <c r="U25" s="4">
        <v>23100</v>
      </c>
      <c r="V25" s="4">
        <v>0</v>
      </c>
      <c r="W25" s="4">
        <v>0</v>
      </c>
      <c r="X25" s="4">
        <v>0</v>
      </c>
      <c r="Y25" s="4">
        <v>3600</v>
      </c>
      <c r="Z25" s="4">
        <v>3600</v>
      </c>
      <c r="AA25" s="4">
        <v>0</v>
      </c>
      <c r="AB25" s="4">
        <v>0</v>
      </c>
      <c r="AC25" s="4">
        <v>100</v>
      </c>
      <c r="AD25" s="4">
        <v>31480</v>
      </c>
      <c r="AE25" s="4">
        <v>23100</v>
      </c>
      <c r="AF25" s="4">
        <v>0</v>
      </c>
      <c r="AG25" s="4">
        <v>0</v>
      </c>
      <c r="AH25" s="4">
        <v>0</v>
      </c>
      <c r="AI25" s="4">
        <v>4320</v>
      </c>
      <c r="AJ25" s="4">
        <v>3960</v>
      </c>
      <c r="AK25" s="4">
        <v>0</v>
      </c>
      <c r="AL25" s="4">
        <v>0</v>
      </c>
      <c r="AM25" s="4">
        <v>100</v>
      </c>
      <c r="AN25" s="4">
        <v>21208</v>
      </c>
      <c r="AO25" s="4">
        <v>0</v>
      </c>
      <c r="AP25" s="4">
        <v>21208</v>
      </c>
    </row>
    <row r="26" spans="1:42" x14ac:dyDescent="0.4">
      <c r="A26" s="3" t="s">
        <v>22</v>
      </c>
      <c r="B26" s="3" t="s">
        <v>53</v>
      </c>
      <c r="C26" s="3" t="s">
        <v>54</v>
      </c>
      <c r="D26" s="3" t="s">
        <v>58</v>
      </c>
      <c r="E26" s="3"/>
      <c r="F26" s="3" t="s">
        <v>0</v>
      </c>
      <c r="G26" s="3" t="s">
        <v>17</v>
      </c>
      <c r="H26" s="3" t="s">
        <v>18</v>
      </c>
      <c r="I26" s="3" t="s">
        <v>23</v>
      </c>
      <c r="J26" s="3">
        <v>55269331</v>
      </c>
      <c r="K26" s="3" t="s">
        <v>56</v>
      </c>
      <c r="L26" s="3"/>
      <c r="M26" s="3"/>
      <c r="N26" s="3" t="s">
        <v>72</v>
      </c>
      <c r="O26" s="3" t="s">
        <v>19</v>
      </c>
      <c r="P26" s="3">
        <v>0.7</v>
      </c>
      <c r="Q26" s="3">
        <v>0.6</v>
      </c>
      <c r="R26" s="4" t="s">
        <v>24</v>
      </c>
      <c r="S26" s="4">
        <v>7200</v>
      </c>
      <c r="T26" s="4">
        <v>64800</v>
      </c>
      <c r="U26" s="4">
        <v>50400</v>
      </c>
      <c r="V26" s="4">
        <v>0</v>
      </c>
      <c r="W26" s="4">
        <v>0</v>
      </c>
      <c r="X26" s="4">
        <v>0</v>
      </c>
      <c r="Y26" s="4">
        <v>0</v>
      </c>
      <c r="Z26" s="4">
        <v>14400</v>
      </c>
      <c r="AA26" s="4">
        <v>0</v>
      </c>
      <c r="AB26" s="4">
        <v>0</v>
      </c>
      <c r="AC26" s="4">
        <v>0</v>
      </c>
      <c r="AD26" s="4">
        <v>66240</v>
      </c>
      <c r="AE26" s="4">
        <v>50400</v>
      </c>
      <c r="AF26" s="4">
        <v>0</v>
      </c>
      <c r="AG26" s="4">
        <v>0</v>
      </c>
      <c r="AH26" s="4">
        <v>0</v>
      </c>
      <c r="AI26" s="4">
        <v>0</v>
      </c>
      <c r="AJ26" s="4">
        <v>15840</v>
      </c>
      <c r="AK26" s="4">
        <v>0</v>
      </c>
      <c r="AL26" s="4">
        <v>0</v>
      </c>
      <c r="AM26" s="4">
        <v>0</v>
      </c>
      <c r="AN26" s="4">
        <v>44784</v>
      </c>
      <c r="AO26" s="4">
        <v>0</v>
      </c>
      <c r="AP26" s="4">
        <v>44784</v>
      </c>
    </row>
    <row r="27" spans="1:42" x14ac:dyDescent="0.4">
      <c r="A27" s="3" t="s">
        <v>22</v>
      </c>
      <c r="B27" s="3" t="s">
        <v>53</v>
      </c>
      <c r="C27" s="3" t="s">
        <v>54</v>
      </c>
      <c r="D27" s="3" t="s">
        <v>58</v>
      </c>
      <c r="E27" s="3"/>
      <c r="F27" s="3" t="s">
        <v>0</v>
      </c>
      <c r="G27" s="3" t="s">
        <v>17</v>
      </c>
      <c r="H27" s="3" t="s">
        <v>18</v>
      </c>
      <c r="I27" s="3" t="s">
        <v>23</v>
      </c>
      <c r="J27" s="3">
        <v>52513817</v>
      </c>
      <c r="K27" s="3" t="s">
        <v>48</v>
      </c>
      <c r="L27" s="3"/>
      <c r="M27" s="3"/>
      <c r="N27" s="3" t="s">
        <v>57</v>
      </c>
      <c r="O27" s="3" t="s">
        <v>19</v>
      </c>
      <c r="P27" s="3">
        <v>0.7</v>
      </c>
      <c r="Q27" s="3">
        <v>0.6</v>
      </c>
      <c r="R27" s="4" t="s">
        <v>47</v>
      </c>
      <c r="S27" s="4">
        <v>100</v>
      </c>
      <c r="T27" s="4">
        <v>10900</v>
      </c>
      <c r="U27" s="4">
        <v>3600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7300</v>
      </c>
      <c r="AD27" s="4">
        <v>10900</v>
      </c>
      <c r="AE27" s="4">
        <v>3600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7300</v>
      </c>
      <c r="AN27" s="4">
        <v>7630</v>
      </c>
      <c r="AO27" s="4">
        <v>0</v>
      </c>
      <c r="AP27" s="4">
        <v>7630</v>
      </c>
    </row>
    <row r="28" spans="1:42" x14ac:dyDescent="0.4">
      <c r="A28" s="3" t="s">
        <v>22</v>
      </c>
      <c r="B28" s="3" t="s">
        <v>53</v>
      </c>
      <c r="C28" s="3" t="s">
        <v>54</v>
      </c>
      <c r="D28" s="3" t="s">
        <v>58</v>
      </c>
      <c r="E28" s="3"/>
      <c r="F28" s="3" t="s">
        <v>0</v>
      </c>
      <c r="G28" s="3" t="s">
        <v>17</v>
      </c>
      <c r="H28" s="3" t="s">
        <v>18</v>
      </c>
      <c r="I28" s="3" t="s">
        <v>23</v>
      </c>
      <c r="J28" s="3">
        <v>52513817</v>
      </c>
      <c r="K28" s="3" t="s">
        <v>48</v>
      </c>
      <c r="L28" s="3"/>
      <c r="M28" s="3"/>
      <c r="N28" s="3" t="s">
        <v>57</v>
      </c>
      <c r="O28" s="3" t="s">
        <v>19</v>
      </c>
      <c r="P28" s="3">
        <v>0.7</v>
      </c>
      <c r="Q28" s="3">
        <v>0.6</v>
      </c>
      <c r="R28" s="4" t="s">
        <v>24</v>
      </c>
      <c r="S28" s="4">
        <v>900</v>
      </c>
      <c r="T28" s="4">
        <v>1400</v>
      </c>
      <c r="U28" s="4">
        <v>-200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1600</v>
      </c>
      <c r="AD28" s="4">
        <v>1400</v>
      </c>
      <c r="AE28" s="4">
        <v>-200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1600</v>
      </c>
      <c r="AN28" s="4">
        <v>980</v>
      </c>
      <c r="AO28" s="4">
        <v>0</v>
      </c>
      <c r="AP28" s="4">
        <v>980</v>
      </c>
    </row>
    <row r="29" spans="1:42" x14ac:dyDescent="0.4">
      <c r="A29" s="3" t="s">
        <v>22</v>
      </c>
      <c r="B29" s="3" t="s">
        <v>53</v>
      </c>
      <c r="C29" s="3" t="s">
        <v>54</v>
      </c>
      <c r="D29" s="3" t="s">
        <v>58</v>
      </c>
      <c r="E29" s="3"/>
      <c r="F29" s="3" t="s">
        <v>0</v>
      </c>
      <c r="G29" s="3" t="s">
        <v>17</v>
      </c>
      <c r="H29" s="3" t="s">
        <v>18</v>
      </c>
      <c r="I29" s="3" t="s">
        <v>23</v>
      </c>
      <c r="J29" s="3">
        <v>52303465</v>
      </c>
      <c r="K29" s="3" t="s">
        <v>59</v>
      </c>
      <c r="L29" s="3"/>
      <c r="M29" s="3"/>
      <c r="N29" s="3" t="s">
        <v>60</v>
      </c>
      <c r="O29" s="3" t="s">
        <v>19</v>
      </c>
      <c r="P29" s="3">
        <v>0.7</v>
      </c>
      <c r="Q29" s="3">
        <v>0.6</v>
      </c>
      <c r="R29" s="4" t="s">
        <v>21</v>
      </c>
      <c r="S29" s="4">
        <v>400</v>
      </c>
      <c r="T29" s="4">
        <v>4800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4800</v>
      </c>
      <c r="AD29" s="4">
        <v>4800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4800</v>
      </c>
      <c r="AN29" s="4">
        <v>3360</v>
      </c>
      <c r="AO29" s="4">
        <v>0</v>
      </c>
      <c r="AP29" s="4">
        <v>3360</v>
      </c>
    </row>
    <row r="30" spans="1:42" x14ac:dyDescent="0.4">
      <c r="A30" s="3" t="s">
        <v>22</v>
      </c>
      <c r="B30" s="3" t="s">
        <v>53</v>
      </c>
      <c r="C30" s="3" t="s">
        <v>54</v>
      </c>
      <c r="D30" s="3" t="s">
        <v>58</v>
      </c>
      <c r="E30" s="3"/>
      <c r="F30" s="3" t="s">
        <v>0</v>
      </c>
      <c r="G30" s="3" t="s">
        <v>17</v>
      </c>
      <c r="H30" s="3" t="s">
        <v>18</v>
      </c>
      <c r="I30" s="3" t="s">
        <v>23</v>
      </c>
      <c r="J30" s="3">
        <v>52303465</v>
      </c>
      <c r="K30" s="3" t="s">
        <v>59</v>
      </c>
      <c r="L30" s="3"/>
      <c r="M30" s="3"/>
      <c r="N30" s="3" t="s">
        <v>60</v>
      </c>
      <c r="O30" s="3" t="s">
        <v>19</v>
      </c>
      <c r="P30" s="3">
        <v>0.7</v>
      </c>
      <c r="Q30" s="3">
        <v>0.6</v>
      </c>
      <c r="R30" s="4" t="s">
        <v>20</v>
      </c>
      <c r="S30" s="4">
        <v>3600</v>
      </c>
      <c r="T30" s="4">
        <v>3600</v>
      </c>
      <c r="U30" s="4">
        <v>3600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3600</v>
      </c>
      <c r="AE30" s="4">
        <v>3600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2520</v>
      </c>
      <c r="AO30" s="4">
        <v>0</v>
      </c>
      <c r="AP30" s="4">
        <v>2520</v>
      </c>
    </row>
    <row r="31" spans="1:42" x14ac:dyDescent="0.4">
      <c r="A31" s="3" t="s">
        <v>22</v>
      </c>
      <c r="B31" s="3" t="s">
        <v>53</v>
      </c>
      <c r="C31" s="3" t="s">
        <v>54</v>
      </c>
      <c r="D31" s="3" t="s">
        <v>58</v>
      </c>
      <c r="E31" s="3"/>
      <c r="F31" s="3" t="s">
        <v>0</v>
      </c>
      <c r="G31" s="3" t="s">
        <v>17</v>
      </c>
      <c r="H31" s="3" t="s">
        <v>18</v>
      </c>
      <c r="I31" s="3" t="s">
        <v>23</v>
      </c>
      <c r="J31" s="3">
        <v>52303465</v>
      </c>
      <c r="K31" s="3" t="s">
        <v>59</v>
      </c>
      <c r="L31" s="3"/>
      <c r="M31" s="3"/>
      <c r="N31" s="3" t="s">
        <v>60</v>
      </c>
      <c r="O31" s="3" t="s">
        <v>19</v>
      </c>
      <c r="P31" s="3">
        <v>0.7</v>
      </c>
      <c r="Q31" s="3">
        <v>0.6</v>
      </c>
      <c r="R31" s="4" t="s">
        <v>47</v>
      </c>
      <c r="S31" s="4">
        <v>200</v>
      </c>
      <c r="T31" s="4">
        <v>241200</v>
      </c>
      <c r="U31" s="4">
        <v>95500</v>
      </c>
      <c r="V31" s="4">
        <v>0</v>
      </c>
      <c r="W31" s="4">
        <v>0</v>
      </c>
      <c r="X31" s="4">
        <v>0</v>
      </c>
      <c r="Y31" s="4">
        <v>2200</v>
      </c>
      <c r="Z31" s="4">
        <v>9400</v>
      </c>
      <c r="AA31" s="4">
        <v>0</v>
      </c>
      <c r="AB31" s="4">
        <v>0</v>
      </c>
      <c r="AC31" s="4">
        <v>134100</v>
      </c>
      <c r="AD31" s="4">
        <v>242580</v>
      </c>
      <c r="AE31" s="4">
        <v>95500</v>
      </c>
      <c r="AF31" s="4">
        <v>0</v>
      </c>
      <c r="AG31" s="4">
        <v>0</v>
      </c>
      <c r="AH31" s="4">
        <v>0</v>
      </c>
      <c r="AI31" s="4">
        <v>2640</v>
      </c>
      <c r="AJ31" s="4">
        <v>10340</v>
      </c>
      <c r="AK31" s="4">
        <v>0</v>
      </c>
      <c r="AL31" s="4">
        <v>0</v>
      </c>
      <c r="AM31" s="4">
        <v>134100</v>
      </c>
      <c r="AN31" s="4">
        <v>168508</v>
      </c>
      <c r="AO31" s="4">
        <v>0</v>
      </c>
      <c r="AP31" s="4">
        <v>168508</v>
      </c>
    </row>
    <row r="32" spans="1:42" x14ac:dyDescent="0.4">
      <c r="A32" s="3" t="s">
        <v>22</v>
      </c>
      <c r="B32" s="3" t="s">
        <v>53</v>
      </c>
      <c r="C32" s="3" t="s">
        <v>54</v>
      </c>
      <c r="D32" s="3" t="s">
        <v>58</v>
      </c>
      <c r="E32" s="3"/>
      <c r="F32" s="3" t="s">
        <v>0</v>
      </c>
      <c r="G32" s="3" t="s">
        <v>17</v>
      </c>
      <c r="H32" s="3" t="s">
        <v>18</v>
      </c>
      <c r="I32" s="3" t="s">
        <v>23</v>
      </c>
      <c r="J32" s="3">
        <v>52303465</v>
      </c>
      <c r="K32" s="3" t="s">
        <v>59</v>
      </c>
      <c r="L32" s="3"/>
      <c r="M32" s="3"/>
      <c r="N32" s="3" t="s">
        <v>60</v>
      </c>
      <c r="O32" s="3" t="s">
        <v>19</v>
      </c>
      <c r="P32" s="3">
        <v>0.7</v>
      </c>
      <c r="Q32" s="3">
        <v>0.6</v>
      </c>
      <c r="R32" s="4" t="s">
        <v>24</v>
      </c>
      <c r="S32" s="4">
        <v>1800</v>
      </c>
      <c r="T32" s="4">
        <v>161400</v>
      </c>
      <c r="U32" s="4">
        <v>120300</v>
      </c>
      <c r="V32" s="4">
        <v>0</v>
      </c>
      <c r="W32" s="4">
        <v>0</v>
      </c>
      <c r="X32" s="4">
        <v>0</v>
      </c>
      <c r="Y32" s="4">
        <v>1800</v>
      </c>
      <c r="Z32" s="4">
        <v>14400</v>
      </c>
      <c r="AA32" s="4">
        <v>0</v>
      </c>
      <c r="AB32" s="4">
        <v>0</v>
      </c>
      <c r="AC32" s="4">
        <v>24900</v>
      </c>
      <c r="AD32" s="4">
        <v>163200</v>
      </c>
      <c r="AE32" s="4">
        <v>120300</v>
      </c>
      <c r="AF32" s="4">
        <v>0</v>
      </c>
      <c r="AG32" s="4">
        <v>0</v>
      </c>
      <c r="AH32" s="4">
        <v>0</v>
      </c>
      <c r="AI32" s="4">
        <v>2160</v>
      </c>
      <c r="AJ32" s="4">
        <v>15840</v>
      </c>
      <c r="AK32" s="4">
        <v>0</v>
      </c>
      <c r="AL32" s="4">
        <v>0</v>
      </c>
      <c r="AM32" s="4">
        <v>24900</v>
      </c>
      <c r="AN32" s="4">
        <v>112440</v>
      </c>
      <c r="AO32" s="4">
        <v>0</v>
      </c>
      <c r="AP32" s="4">
        <v>112440</v>
      </c>
    </row>
    <row r="33" spans="1:42" x14ac:dyDescent="0.4">
      <c r="A33" s="3" t="s">
        <v>22</v>
      </c>
      <c r="B33" s="3" t="s">
        <v>53</v>
      </c>
      <c r="C33" s="3" t="s">
        <v>54</v>
      </c>
      <c r="D33" s="3" t="s">
        <v>58</v>
      </c>
      <c r="E33" s="3"/>
      <c r="F33" s="3" t="s">
        <v>0</v>
      </c>
      <c r="G33" s="3" t="s">
        <v>17</v>
      </c>
      <c r="H33" s="3" t="s">
        <v>18</v>
      </c>
      <c r="I33" s="3" t="s">
        <v>23</v>
      </c>
      <c r="J33" s="3">
        <v>52303465</v>
      </c>
      <c r="K33" s="3" t="s">
        <v>59</v>
      </c>
      <c r="L33" s="3"/>
      <c r="M33" s="3"/>
      <c r="N33" s="3" t="s">
        <v>60</v>
      </c>
      <c r="O33" s="3" t="s">
        <v>19</v>
      </c>
      <c r="P33" s="3">
        <v>0.7</v>
      </c>
      <c r="Q33" s="3">
        <v>0.6</v>
      </c>
      <c r="R33" s="4" t="s">
        <v>24</v>
      </c>
      <c r="S33" s="4">
        <v>3600</v>
      </c>
      <c r="T33" s="4">
        <v>118800</v>
      </c>
      <c r="U33" s="4">
        <v>103400</v>
      </c>
      <c r="V33" s="4">
        <v>0</v>
      </c>
      <c r="W33" s="4">
        <v>0</v>
      </c>
      <c r="X33" s="4">
        <v>0</v>
      </c>
      <c r="Y33" s="4">
        <v>0</v>
      </c>
      <c r="Z33" s="4">
        <v>10800</v>
      </c>
      <c r="AA33" s="4">
        <v>0</v>
      </c>
      <c r="AB33" s="4">
        <v>0</v>
      </c>
      <c r="AC33" s="4">
        <v>4600</v>
      </c>
      <c r="AD33" s="4">
        <v>119880</v>
      </c>
      <c r="AE33" s="4">
        <v>103400</v>
      </c>
      <c r="AF33" s="4">
        <v>0</v>
      </c>
      <c r="AG33" s="4">
        <v>0</v>
      </c>
      <c r="AH33" s="4">
        <v>0</v>
      </c>
      <c r="AI33" s="4">
        <v>0</v>
      </c>
      <c r="AJ33" s="4">
        <v>11880</v>
      </c>
      <c r="AK33" s="4">
        <v>0</v>
      </c>
      <c r="AL33" s="4">
        <v>0</v>
      </c>
      <c r="AM33" s="4">
        <v>4600</v>
      </c>
      <c r="AN33" s="4">
        <v>82728</v>
      </c>
      <c r="AO33" s="4">
        <v>0</v>
      </c>
      <c r="AP33" s="4">
        <v>82728</v>
      </c>
    </row>
    <row r="34" spans="1:42" x14ac:dyDescent="0.4">
      <c r="A34" s="3" t="s">
        <v>22</v>
      </c>
      <c r="B34" s="3" t="s">
        <v>53</v>
      </c>
      <c r="C34" s="3" t="s">
        <v>54</v>
      </c>
      <c r="D34" s="3" t="s">
        <v>58</v>
      </c>
      <c r="E34" s="3"/>
      <c r="F34" s="3" t="s">
        <v>0</v>
      </c>
      <c r="G34" s="3" t="s">
        <v>17</v>
      </c>
      <c r="H34" s="3" t="s">
        <v>18</v>
      </c>
      <c r="I34" s="3" t="s">
        <v>23</v>
      </c>
      <c r="J34" s="3">
        <v>52303465</v>
      </c>
      <c r="K34" s="3" t="s">
        <v>59</v>
      </c>
      <c r="L34" s="3"/>
      <c r="M34" s="3"/>
      <c r="N34" s="3" t="s">
        <v>60</v>
      </c>
      <c r="O34" s="3" t="s">
        <v>19</v>
      </c>
      <c r="P34" s="3">
        <v>0.7</v>
      </c>
      <c r="Q34" s="3">
        <v>0.6</v>
      </c>
      <c r="R34" s="4" t="s">
        <v>24</v>
      </c>
      <c r="S34" s="4">
        <v>7200</v>
      </c>
      <c r="T34" s="4">
        <v>65600</v>
      </c>
      <c r="U34" s="4">
        <v>58100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7500</v>
      </c>
      <c r="AD34" s="4">
        <v>65600</v>
      </c>
      <c r="AE34" s="4">
        <v>58100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7500</v>
      </c>
      <c r="AN34" s="4">
        <v>45920</v>
      </c>
      <c r="AO34" s="4">
        <v>0</v>
      </c>
      <c r="AP34" s="4">
        <v>45920</v>
      </c>
    </row>
    <row r="35" spans="1:42" x14ac:dyDescent="0.4">
      <c r="A35" s="3" t="s">
        <v>22</v>
      </c>
      <c r="B35" s="3" t="s">
        <v>53</v>
      </c>
      <c r="C35" s="3" t="s">
        <v>54</v>
      </c>
      <c r="D35" s="3" t="s">
        <v>58</v>
      </c>
      <c r="E35" s="3"/>
      <c r="F35" s="3" t="s">
        <v>0</v>
      </c>
      <c r="G35" s="3" t="s">
        <v>17</v>
      </c>
      <c r="H35" s="3" t="s">
        <v>18</v>
      </c>
      <c r="I35" s="3" t="s">
        <v>23</v>
      </c>
      <c r="J35" s="3">
        <v>57328143</v>
      </c>
      <c r="K35" s="3" t="s">
        <v>65</v>
      </c>
      <c r="L35" s="3"/>
      <c r="M35" s="3"/>
      <c r="N35" s="3" t="s">
        <v>66</v>
      </c>
      <c r="O35" s="3" t="s">
        <v>19</v>
      </c>
      <c r="P35" s="3">
        <v>0.7</v>
      </c>
      <c r="Q35" s="3">
        <v>0.6</v>
      </c>
      <c r="R35" s="4" t="s">
        <v>21</v>
      </c>
      <c r="S35" s="4">
        <v>400</v>
      </c>
      <c r="T35" s="4">
        <v>67600</v>
      </c>
      <c r="U35" s="4">
        <v>9400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58200</v>
      </c>
      <c r="AD35" s="4">
        <v>67600</v>
      </c>
      <c r="AE35" s="4">
        <v>9400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58200</v>
      </c>
      <c r="AN35" s="4">
        <v>47320</v>
      </c>
      <c r="AO35" s="4">
        <v>0</v>
      </c>
      <c r="AP35" s="4">
        <v>47320</v>
      </c>
    </row>
    <row r="36" spans="1:42" x14ac:dyDescent="0.4">
      <c r="A36" s="3" t="s">
        <v>22</v>
      </c>
      <c r="B36" s="3" t="s">
        <v>53</v>
      </c>
      <c r="C36" s="3" t="s">
        <v>54</v>
      </c>
      <c r="D36" s="3" t="s">
        <v>58</v>
      </c>
      <c r="E36" s="3"/>
      <c r="F36" s="3" t="s">
        <v>0</v>
      </c>
      <c r="G36" s="3" t="s">
        <v>17</v>
      </c>
      <c r="H36" s="3" t="s">
        <v>18</v>
      </c>
      <c r="I36" s="3" t="s">
        <v>23</v>
      </c>
      <c r="J36" s="3">
        <v>57328143</v>
      </c>
      <c r="K36" s="3" t="s">
        <v>65</v>
      </c>
      <c r="L36" s="3"/>
      <c r="M36" s="3"/>
      <c r="N36" s="3" t="s">
        <v>66</v>
      </c>
      <c r="O36" s="3" t="s">
        <v>19</v>
      </c>
      <c r="P36" s="3">
        <v>0.7</v>
      </c>
      <c r="Q36" s="3">
        <v>0.6</v>
      </c>
      <c r="R36" s="4" t="s">
        <v>20</v>
      </c>
      <c r="S36" s="4">
        <v>3600</v>
      </c>
      <c r="T36" s="4">
        <v>25200</v>
      </c>
      <c r="U36" s="4">
        <v>15700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9500</v>
      </c>
      <c r="AD36" s="4">
        <v>25200</v>
      </c>
      <c r="AE36" s="4">
        <v>15700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9500</v>
      </c>
      <c r="AN36" s="4">
        <v>17640</v>
      </c>
      <c r="AO36" s="4">
        <v>0</v>
      </c>
      <c r="AP36" s="4">
        <v>17640</v>
      </c>
    </row>
    <row r="37" spans="1:42" x14ac:dyDescent="0.4">
      <c r="A37" s="3" t="s">
        <v>22</v>
      </c>
      <c r="B37" s="3" t="s">
        <v>53</v>
      </c>
      <c r="C37" s="3" t="s">
        <v>54</v>
      </c>
      <c r="D37" s="3" t="s">
        <v>58</v>
      </c>
      <c r="E37" s="3"/>
      <c r="F37" s="3" t="s">
        <v>0</v>
      </c>
      <c r="G37" s="3" t="s">
        <v>17</v>
      </c>
      <c r="H37" s="3" t="s">
        <v>18</v>
      </c>
      <c r="I37" s="3" t="s">
        <v>23</v>
      </c>
      <c r="J37" s="3">
        <v>57328143</v>
      </c>
      <c r="K37" s="3" t="s">
        <v>65</v>
      </c>
      <c r="L37" s="3"/>
      <c r="M37" s="3"/>
      <c r="N37" s="3" t="s">
        <v>66</v>
      </c>
      <c r="O37" s="3" t="s">
        <v>19</v>
      </c>
      <c r="P37" s="3">
        <v>0.7</v>
      </c>
      <c r="Q37" s="3">
        <v>0.6</v>
      </c>
      <c r="R37" s="4" t="s">
        <v>20</v>
      </c>
      <c r="S37" s="4">
        <v>7200</v>
      </c>
      <c r="T37" s="4">
        <v>14400</v>
      </c>
      <c r="U37" s="4">
        <v>14400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14400</v>
      </c>
      <c r="AE37" s="4">
        <v>14400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10080</v>
      </c>
      <c r="AO37" s="4">
        <v>0</v>
      </c>
      <c r="AP37" s="4">
        <v>10080</v>
      </c>
    </row>
    <row r="38" spans="1:42" x14ac:dyDescent="0.4">
      <c r="A38" s="3" t="s">
        <v>22</v>
      </c>
      <c r="B38" s="3" t="s">
        <v>53</v>
      </c>
      <c r="C38" s="3" t="s">
        <v>54</v>
      </c>
      <c r="D38" s="3" t="s">
        <v>58</v>
      </c>
      <c r="E38" s="3"/>
      <c r="F38" s="3" t="s">
        <v>0</v>
      </c>
      <c r="G38" s="3" t="s">
        <v>17</v>
      </c>
      <c r="H38" s="3" t="s">
        <v>18</v>
      </c>
      <c r="I38" s="3" t="s">
        <v>23</v>
      </c>
      <c r="J38" s="3">
        <v>57328143</v>
      </c>
      <c r="K38" s="3" t="s">
        <v>65</v>
      </c>
      <c r="L38" s="3"/>
      <c r="M38" s="3"/>
      <c r="N38" s="3" t="s">
        <v>66</v>
      </c>
      <c r="O38" s="3" t="s">
        <v>19</v>
      </c>
      <c r="P38" s="3">
        <v>0.7</v>
      </c>
      <c r="Q38" s="3">
        <v>0.6</v>
      </c>
      <c r="R38" s="4" t="s">
        <v>47</v>
      </c>
      <c r="S38" s="4">
        <v>200</v>
      </c>
      <c r="T38" s="4">
        <v>496200</v>
      </c>
      <c r="U38" s="4">
        <v>62850</v>
      </c>
      <c r="V38" s="4">
        <v>0</v>
      </c>
      <c r="W38" s="4">
        <v>0</v>
      </c>
      <c r="X38" s="4">
        <v>0</v>
      </c>
      <c r="Y38" s="4">
        <v>17500</v>
      </c>
      <c r="Z38" s="4">
        <v>4800</v>
      </c>
      <c r="AA38" s="4">
        <v>0</v>
      </c>
      <c r="AB38" s="4">
        <v>0</v>
      </c>
      <c r="AC38" s="4">
        <v>411050</v>
      </c>
      <c r="AD38" s="4">
        <v>500180</v>
      </c>
      <c r="AE38" s="4">
        <v>62850</v>
      </c>
      <c r="AF38" s="4">
        <v>0</v>
      </c>
      <c r="AG38" s="4">
        <v>0</v>
      </c>
      <c r="AH38" s="4">
        <v>0</v>
      </c>
      <c r="AI38" s="4">
        <v>21000</v>
      </c>
      <c r="AJ38" s="4">
        <v>5280</v>
      </c>
      <c r="AK38" s="4">
        <v>0</v>
      </c>
      <c r="AL38" s="4">
        <v>0</v>
      </c>
      <c r="AM38" s="4">
        <v>411050</v>
      </c>
      <c r="AN38" s="4">
        <v>347498</v>
      </c>
      <c r="AO38" s="4">
        <v>0</v>
      </c>
      <c r="AP38" s="4">
        <v>347498</v>
      </c>
    </row>
    <row r="39" spans="1:42" x14ac:dyDescent="0.4">
      <c r="A39" s="3" t="s">
        <v>22</v>
      </c>
      <c r="B39" s="3" t="s">
        <v>53</v>
      </c>
      <c r="C39" s="3" t="s">
        <v>54</v>
      </c>
      <c r="D39" s="3" t="s">
        <v>58</v>
      </c>
      <c r="E39" s="3"/>
      <c r="F39" s="3" t="s">
        <v>0</v>
      </c>
      <c r="G39" s="3" t="s">
        <v>17</v>
      </c>
      <c r="H39" s="3" t="s">
        <v>18</v>
      </c>
      <c r="I39" s="3" t="s">
        <v>23</v>
      </c>
      <c r="J39" s="3">
        <v>57328143</v>
      </c>
      <c r="K39" s="3" t="s">
        <v>65</v>
      </c>
      <c r="L39" s="3"/>
      <c r="M39" s="3"/>
      <c r="N39" s="3" t="s">
        <v>66</v>
      </c>
      <c r="O39" s="3" t="s">
        <v>19</v>
      </c>
      <c r="P39" s="3">
        <v>0.7</v>
      </c>
      <c r="Q39" s="3">
        <v>0.6</v>
      </c>
      <c r="R39" s="4" t="s">
        <v>24</v>
      </c>
      <c r="S39" s="4">
        <v>1800</v>
      </c>
      <c r="T39" s="4">
        <v>113400</v>
      </c>
      <c r="U39" s="4">
        <v>61700</v>
      </c>
      <c r="V39" s="4">
        <v>0</v>
      </c>
      <c r="W39" s="4">
        <v>0</v>
      </c>
      <c r="X39" s="4">
        <v>0</v>
      </c>
      <c r="Y39" s="4">
        <v>8900</v>
      </c>
      <c r="Z39" s="4">
        <v>7200</v>
      </c>
      <c r="AA39" s="4">
        <v>0</v>
      </c>
      <c r="AB39" s="4">
        <v>0</v>
      </c>
      <c r="AC39" s="4">
        <v>35600</v>
      </c>
      <c r="AD39" s="4">
        <v>115900</v>
      </c>
      <c r="AE39" s="4">
        <v>61700</v>
      </c>
      <c r="AF39" s="4">
        <v>0</v>
      </c>
      <c r="AG39" s="4">
        <v>0</v>
      </c>
      <c r="AH39" s="4">
        <v>0</v>
      </c>
      <c r="AI39" s="4">
        <v>10680</v>
      </c>
      <c r="AJ39" s="4">
        <v>7920</v>
      </c>
      <c r="AK39" s="4">
        <v>0</v>
      </c>
      <c r="AL39" s="4">
        <v>0</v>
      </c>
      <c r="AM39" s="4">
        <v>35600</v>
      </c>
      <c r="AN39" s="4">
        <v>79270</v>
      </c>
      <c r="AO39" s="4">
        <v>0</v>
      </c>
      <c r="AP39" s="4">
        <v>79270</v>
      </c>
    </row>
    <row r="40" spans="1:42" x14ac:dyDescent="0.4">
      <c r="A40" s="3" t="s">
        <v>22</v>
      </c>
      <c r="B40" s="3" t="s">
        <v>53</v>
      </c>
      <c r="C40" s="3" t="s">
        <v>54</v>
      </c>
      <c r="D40" s="3" t="s">
        <v>58</v>
      </c>
      <c r="E40" s="3"/>
      <c r="F40" s="3" t="s">
        <v>0</v>
      </c>
      <c r="G40" s="3" t="s">
        <v>17</v>
      </c>
      <c r="H40" s="3" t="s">
        <v>18</v>
      </c>
      <c r="I40" s="3" t="s">
        <v>23</v>
      </c>
      <c r="J40" s="3">
        <v>57328143</v>
      </c>
      <c r="K40" s="3" t="s">
        <v>65</v>
      </c>
      <c r="L40" s="3"/>
      <c r="M40" s="3"/>
      <c r="N40" s="3" t="s">
        <v>66</v>
      </c>
      <c r="O40" s="3" t="s">
        <v>19</v>
      </c>
      <c r="P40" s="3">
        <v>0.7</v>
      </c>
      <c r="Q40" s="3">
        <v>0.6</v>
      </c>
      <c r="R40" s="4" t="s">
        <v>24</v>
      </c>
      <c r="S40" s="4">
        <v>3600</v>
      </c>
      <c r="T40" s="4">
        <v>28800</v>
      </c>
      <c r="U40" s="4">
        <v>14400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14400</v>
      </c>
      <c r="AD40" s="4">
        <v>28800</v>
      </c>
      <c r="AE40" s="4">
        <v>14400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14400</v>
      </c>
      <c r="AN40" s="4">
        <v>20160</v>
      </c>
      <c r="AO40" s="4">
        <v>0</v>
      </c>
      <c r="AP40" s="4">
        <v>20160</v>
      </c>
    </row>
    <row r="41" spans="1:42" x14ac:dyDescent="0.4">
      <c r="A41" s="3" t="s">
        <v>22</v>
      </c>
      <c r="B41" s="3" t="s">
        <v>53</v>
      </c>
      <c r="C41" s="3" t="s">
        <v>54</v>
      </c>
      <c r="D41" s="3" t="s">
        <v>58</v>
      </c>
      <c r="E41" s="3"/>
      <c r="F41" s="3" t="s">
        <v>0</v>
      </c>
      <c r="G41" s="3" t="s">
        <v>17</v>
      </c>
      <c r="H41" s="3" t="s">
        <v>18</v>
      </c>
      <c r="I41" s="3" t="s">
        <v>23</v>
      </c>
      <c r="J41" s="3">
        <v>57328143</v>
      </c>
      <c r="K41" s="3" t="s">
        <v>65</v>
      </c>
      <c r="L41" s="3"/>
      <c r="M41" s="3"/>
      <c r="N41" s="3" t="s">
        <v>66</v>
      </c>
      <c r="O41" s="3" t="s">
        <v>19</v>
      </c>
      <c r="P41" s="3">
        <v>0.7</v>
      </c>
      <c r="Q41" s="3">
        <v>0.6</v>
      </c>
      <c r="R41" s="4" t="s">
        <v>24</v>
      </c>
      <c r="S41" s="4">
        <v>7200</v>
      </c>
      <c r="T41" s="4">
        <v>86400</v>
      </c>
      <c r="U41" s="4">
        <v>43200</v>
      </c>
      <c r="V41" s="4">
        <v>0</v>
      </c>
      <c r="W41" s="4">
        <v>0</v>
      </c>
      <c r="X41" s="4">
        <v>0</v>
      </c>
      <c r="Y41" s="4">
        <v>7200</v>
      </c>
      <c r="Z41" s="4">
        <v>21600</v>
      </c>
      <c r="AA41" s="4">
        <v>0</v>
      </c>
      <c r="AB41" s="4">
        <v>0</v>
      </c>
      <c r="AC41" s="4">
        <v>14400</v>
      </c>
      <c r="AD41" s="4">
        <v>90000</v>
      </c>
      <c r="AE41" s="4">
        <v>43200</v>
      </c>
      <c r="AF41" s="4">
        <v>0</v>
      </c>
      <c r="AG41" s="4">
        <v>0</v>
      </c>
      <c r="AH41" s="4">
        <v>0</v>
      </c>
      <c r="AI41" s="4">
        <v>8640</v>
      </c>
      <c r="AJ41" s="4">
        <v>23760</v>
      </c>
      <c r="AK41" s="4">
        <v>0</v>
      </c>
      <c r="AL41" s="4">
        <v>0</v>
      </c>
      <c r="AM41" s="4">
        <v>14400</v>
      </c>
      <c r="AN41" s="4">
        <v>59760</v>
      </c>
      <c r="AO41" s="4">
        <v>0</v>
      </c>
      <c r="AP41" s="4">
        <v>59760</v>
      </c>
    </row>
    <row r="42" spans="1:42" x14ac:dyDescent="0.4">
      <c r="A42" s="3" t="s">
        <v>22</v>
      </c>
      <c r="B42" s="3" t="s">
        <v>53</v>
      </c>
      <c r="C42" s="3" t="s">
        <v>54</v>
      </c>
      <c r="D42" s="3" t="s">
        <v>58</v>
      </c>
      <c r="E42" s="3"/>
      <c r="F42" s="3" t="s">
        <v>0</v>
      </c>
      <c r="G42" s="3" t="s">
        <v>17</v>
      </c>
      <c r="H42" s="3" t="s">
        <v>18</v>
      </c>
      <c r="I42" s="3" t="s">
        <v>23</v>
      </c>
      <c r="J42" s="3">
        <v>54953089</v>
      </c>
      <c r="K42" s="3" t="s">
        <v>55</v>
      </c>
      <c r="L42" s="3"/>
      <c r="M42" s="3"/>
      <c r="N42" s="3" t="s">
        <v>71</v>
      </c>
      <c r="O42" s="3" t="s">
        <v>19</v>
      </c>
      <c r="P42" s="3">
        <v>0.7</v>
      </c>
      <c r="Q42" s="3">
        <v>0.6</v>
      </c>
      <c r="R42" s="4" t="s">
        <v>47</v>
      </c>
      <c r="S42" s="4">
        <v>100</v>
      </c>
      <c r="T42" s="4">
        <v>5500</v>
      </c>
      <c r="U42" s="4">
        <v>800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4700</v>
      </c>
      <c r="AD42" s="4">
        <v>5500</v>
      </c>
      <c r="AE42" s="4">
        <v>800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4700</v>
      </c>
      <c r="AN42" s="4">
        <v>3850</v>
      </c>
      <c r="AO42" s="4">
        <v>0</v>
      </c>
      <c r="AP42" s="4">
        <v>3850</v>
      </c>
    </row>
    <row r="43" spans="1:42" x14ac:dyDescent="0.4">
      <c r="A43" s="3" t="s">
        <v>22</v>
      </c>
      <c r="B43" s="3" t="s">
        <v>53</v>
      </c>
      <c r="C43" s="3" t="s">
        <v>54</v>
      </c>
      <c r="D43" s="3" t="s">
        <v>58</v>
      </c>
      <c r="E43" s="3"/>
      <c r="F43" s="3" t="s">
        <v>0</v>
      </c>
      <c r="G43" s="3" t="s">
        <v>17</v>
      </c>
      <c r="H43" s="3" t="s">
        <v>18</v>
      </c>
      <c r="I43" s="3" t="s">
        <v>23</v>
      </c>
      <c r="J43" s="3">
        <v>54953089</v>
      </c>
      <c r="K43" s="3" t="s">
        <v>55</v>
      </c>
      <c r="L43" s="3"/>
      <c r="M43" s="3"/>
      <c r="N43" s="3" t="s">
        <v>71</v>
      </c>
      <c r="O43" s="3" t="s">
        <v>19</v>
      </c>
      <c r="P43" s="3">
        <v>0.7</v>
      </c>
      <c r="Q43" s="3">
        <v>0.6</v>
      </c>
      <c r="R43" s="4" t="s">
        <v>24</v>
      </c>
      <c r="S43" s="4">
        <v>900</v>
      </c>
      <c r="T43" s="4">
        <v>900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900</v>
      </c>
      <c r="AD43" s="4">
        <v>900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900</v>
      </c>
      <c r="AN43" s="4">
        <v>630</v>
      </c>
      <c r="AO43" s="4">
        <v>0</v>
      </c>
      <c r="AP43" s="4">
        <v>630</v>
      </c>
    </row>
    <row r="44" spans="1:42" x14ac:dyDescent="0.4">
      <c r="A44" s="3" t="s">
        <v>22</v>
      </c>
      <c r="B44" s="3" t="s">
        <v>53</v>
      </c>
      <c r="C44" s="3" t="s">
        <v>54</v>
      </c>
      <c r="D44" s="3" t="s">
        <v>58</v>
      </c>
      <c r="E44" s="3"/>
      <c r="F44" s="3" t="s">
        <v>0</v>
      </c>
      <c r="G44" s="3" t="s">
        <v>17</v>
      </c>
      <c r="H44" s="3" t="s">
        <v>18</v>
      </c>
      <c r="I44" s="3" t="s">
        <v>23</v>
      </c>
      <c r="J44" s="3">
        <v>54953089</v>
      </c>
      <c r="K44" s="3" t="s">
        <v>55</v>
      </c>
      <c r="L44" s="3"/>
      <c r="M44" s="3"/>
      <c r="N44" s="3" t="s">
        <v>71</v>
      </c>
      <c r="O44" s="3" t="s">
        <v>19</v>
      </c>
      <c r="P44" s="3">
        <v>0.7</v>
      </c>
      <c r="Q44" s="3">
        <v>0.6</v>
      </c>
      <c r="R44" s="4" t="s">
        <v>24</v>
      </c>
      <c r="S44" s="4">
        <v>3600</v>
      </c>
      <c r="T44" s="4">
        <v>7200</v>
      </c>
      <c r="U44" s="4">
        <v>7200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7200</v>
      </c>
      <c r="AE44" s="4">
        <v>7200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5040</v>
      </c>
      <c r="AO44" s="4">
        <v>0</v>
      </c>
      <c r="AP44" s="4">
        <v>5040</v>
      </c>
    </row>
    <row r="45" spans="1:42" x14ac:dyDescent="0.4">
      <c r="A45" s="3" t="s">
        <v>22</v>
      </c>
      <c r="B45" s="3" t="s">
        <v>53</v>
      </c>
      <c r="C45" s="3" t="s">
        <v>54</v>
      </c>
      <c r="D45" s="3" t="s">
        <v>58</v>
      </c>
      <c r="E45" s="3"/>
      <c r="F45" s="3" t="s">
        <v>0</v>
      </c>
      <c r="G45" s="3" t="s">
        <v>17</v>
      </c>
      <c r="H45" s="3" t="s">
        <v>18</v>
      </c>
      <c r="I45" s="3" t="s">
        <v>23</v>
      </c>
      <c r="J45" s="3">
        <v>51188786</v>
      </c>
      <c r="K45" s="3" t="s">
        <v>51</v>
      </c>
      <c r="L45" s="3"/>
      <c r="M45" s="3"/>
      <c r="N45" s="3" t="s">
        <v>52</v>
      </c>
      <c r="O45" s="3" t="s">
        <v>19</v>
      </c>
      <c r="P45" s="3">
        <v>0.7</v>
      </c>
      <c r="Q45" s="3">
        <v>0.6</v>
      </c>
      <c r="R45" s="4" t="s">
        <v>21</v>
      </c>
      <c r="S45" s="4">
        <v>200</v>
      </c>
      <c r="T45" s="4">
        <v>4000</v>
      </c>
      <c r="U45" s="4">
        <v>2600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1400</v>
      </c>
      <c r="AD45" s="4">
        <v>4000</v>
      </c>
      <c r="AE45" s="4">
        <v>2600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1400</v>
      </c>
      <c r="AN45" s="4">
        <v>2800</v>
      </c>
      <c r="AO45" s="4">
        <v>0</v>
      </c>
      <c r="AP45" s="4">
        <v>2800</v>
      </c>
    </row>
    <row r="46" spans="1:42" x14ac:dyDescent="0.4">
      <c r="A46" s="3" t="s">
        <v>22</v>
      </c>
      <c r="B46" s="3" t="s">
        <v>53</v>
      </c>
      <c r="C46" s="3" t="s">
        <v>54</v>
      </c>
      <c r="D46" s="3" t="s">
        <v>58</v>
      </c>
      <c r="E46" s="3"/>
      <c r="F46" s="3" t="s">
        <v>0</v>
      </c>
      <c r="G46" s="3" t="s">
        <v>17</v>
      </c>
      <c r="H46" s="3" t="s">
        <v>18</v>
      </c>
      <c r="I46" s="3" t="s">
        <v>23</v>
      </c>
      <c r="J46" s="3">
        <v>51188786</v>
      </c>
      <c r="K46" s="3" t="s">
        <v>51</v>
      </c>
      <c r="L46" s="3"/>
      <c r="M46" s="3"/>
      <c r="N46" s="3" t="s">
        <v>52</v>
      </c>
      <c r="O46" s="3" t="s">
        <v>19</v>
      </c>
      <c r="P46" s="3">
        <v>0.7</v>
      </c>
      <c r="Q46" s="3">
        <v>0.6</v>
      </c>
      <c r="R46" s="4" t="s">
        <v>20</v>
      </c>
      <c r="S46" s="4">
        <v>1800</v>
      </c>
      <c r="T46" s="4">
        <v>18000</v>
      </c>
      <c r="U46" s="4">
        <v>14800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3200</v>
      </c>
      <c r="AD46" s="4">
        <v>18000</v>
      </c>
      <c r="AE46" s="4">
        <v>14800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3200</v>
      </c>
      <c r="AN46" s="4">
        <v>12600</v>
      </c>
      <c r="AO46" s="4">
        <v>0</v>
      </c>
      <c r="AP46" s="4">
        <v>12600</v>
      </c>
    </row>
    <row r="47" spans="1:42" x14ac:dyDescent="0.4">
      <c r="A47" s="3" t="s">
        <v>22</v>
      </c>
      <c r="B47" s="3" t="s">
        <v>53</v>
      </c>
      <c r="C47" s="3" t="s">
        <v>54</v>
      </c>
      <c r="D47" s="3" t="s">
        <v>58</v>
      </c>
      <c r="E47" s="3"/>
      <c r="F47" s="3" t="s">
        <v>0</v>
      </c>
      <c r="G47" s="3" t="s">
        <v>17</v>
      </c>
      <c r="H47" s="3" t="s">
        <v>18</v>
      </c>
      <c r="I47" s="3" t="s">
        <v>23</v>
      </c>
      <c r="J47" s="3">
        <v>51188786</v>
      </c>
      <c r="K47" s="3" t="s">
        <v>51</v>
      </c>
      <c r="L47" s="3"/>
      <c r="M47" s="3"/>
      <c r="N47" s="3" t="s">
        <v>52</v>
      </c>
      <c r="O47" s="3" t="s">
        <v>19</v>
      </c>
      <c r="P47" s="3">
        <v>0.7</v>
      </c>
      <c r="Q47" s="3">
        <v>0.6</v>
      </c>
      <c r="R47" s="4" t="s">
        <v>20</v>
      </c>
      <c r="S47" s="4">
        <v>3600</v>
      </c>
      <c r="T47" s="4">
        <v>3600</v>
      </c>
      <c r="U47" s="4">
        <v>3600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3600</v>
      </c>
      <c r="AE47" s="4">
        <v>3600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2520</v>
      </c>
      <c r="AO47" s="4">
        <v>0</v>
      </c>
      <c r="AP47" s="4">
        <v>2520</v>
      </c>
    </row>
    <row r="48" spans="1:42" x14ac:dyDescent="0.4">
      <c r="A48" s="3" t="s">
        <v>22</v>
      </c>
      <c r="B48" s="3" t="s">
        <v>53</v>
      </c>
      <c r="C48" s="3" t="s">
        <v>54</v>
      </c>
      <c r="D48" s="3" t="s">
        <v>58</v>
      </c>
      <c r="E48" s="3"/>
      <c r="F48" s="3" t="s">
        <v>0</v>
      </c>
      <c r="G48" s="3" t="s">
        <v>17</v>
      </c>
      <c r="H48" s="3" t="s">
        <v>18</v>
      </c>
      <c r="I48" s="3" t="s">
        <v>23</v>
      </c>
      <c r="J48" s="3">
        <v>51188786</v>
      </c>
      <c r="K48" s="3" t="s">
        <v>51</v>
      </c>
      <c r="L48" s="3"/>
      <c r="M48" s="3"/>
      <c r="N48" s="3" t="s">
        <v>52</v>
      </c>
      <c r="O48" s="3" t="s">
        <v>19</v>
      </c>
      <c r="P48" s="3">
        <v>0.7</v>
      </c>
      <c r="Q48" s="3">
        <v>0.6</v>
      </c>
      <c r="R48" s="4" t="s">
        <v>20</v>
      </c>
      <c r="S48" s="4">
        <v>7200</v>
      </c>
      <c r="T48" s="4">
        <v>28800</v>
      </c>
      <c r="U48" s="4">
        <v>28800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28800</v>
      </c>
      <c r="AE48" s="4">
        <v>28800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20160</v>
      </c>
      <c r="AO48" s="4">
        <v>0</v>
      </c>
      <c r="AP48" s="4">
        <v>20160</v>
      </c>
    </row>
    <row r="49" spans="1:42" x14ac:dyDescent="0.4">
      <c r="A49" s="3" t="s">
        <v>22</v>
      </c>
      <c r="B49" s="3" t="s">
        <v>53</v>
      </c>
      <c r="C49" s="3" t="s">
        <v>54</v>
      </c>
      <c r="D49" s="3" t="s">
        <v>58</v>
      </c>
      <c r="E49" s="3"/>
      <c r="F49" s="3" t="s">
        <v>0</v>
      </c>
      <c r="G49" s="3" t="s">
        <v>17</v>
      </c>
      <c r="H49" s="3" t="s">
        <v>18</v>
      </c>
      <c r="I49" s="3" t="s">
        <v>23</v>
      </c>
      <c r="J49" s="3">
        <v>51188786</v>
      </c>
      <c r="K49" s="3" t="s">
        <v>51</v>
      </c>
      <c r="L49" s="3"/>
      <c r="M49" s="3"/>
      <c r="N49" s="3" t="s">
        <v>52</v>
      </c>
      <c r="O49" s="3" t="s">
        <v>19</v>
      </c>
      <c r="P49" s="3">
        <v>0.7</v>
      </c>
      <c r="Q49" s="3">
        <v>0.6</v>
      </c>
      <c r="R49" s="4" t="s">
        <v>47</v>
      </c>
      <c r="S49" s="4">
        <v>100</v>
      </c>
      <c r="T49" s="4">
        <v>65700</v>
      </c>
      <c r="U49" s="4">
        <v>20300</v>
      </c>
      <c r="V49" s="4">
        <v>0</v>
      </c>
      <c r="W49" s="4">
        <v>0</v>
      </c>
      <c r="X49" s="4">
        <v>0</v>
      </c>
      <c r="Y49" s="4">
        <v>4700</v>
      </c>
      <c r="Z49" s="4">
        <v>1500</v>
      </c>
      <c r="AA49" s="4">
        <v>0</v>
      </c>
      <c r="AB49" s="4">
        <v>0</v>
      </c>
      <c r="AC49" s="4">
        <v>39200</v>
      </c>
      <c r="AD49" s="4">
        <v>66790</v>
      </c>
      <c r="AE49" s="4">
        <v>20300</v>
      </c>
      <c r="AF49" s="4">
        <v>0</v>
      </c>
      <c r="AG49" s="4">
        <v>0</v>
      </c>
      <c r="AH49" s="4">
        <v>0</v>
      </c>
      <c r="AI49" s="4">
        <v>5640</v>
      </c>
      <c r="AJ49" s="4">
        <v>1650</v>
      </c>
      <c r="AK49" s="4">
        <v>0</v>
      </c>
      <c r="AL49" s="4">
        <v>0</v>
      </c>
      <c r="AM49" s="4">
        <v>39200</v>
      </c>
      <c r="AN49" s="4">
        <v>46024</v>
      </c>
      <c r="AO49" s="4">
        <v>0</v>
      </c>
      <c r="AP49" s="4">
        <v>46024</v>
      </c>
    </row>
    <row r="50" spans="1:42" x14ac:dyDescent="0.4">
      <c r="A50" s="3" t="s">
        <v>22</v>
      </c>
      <c r="B50" s="3" t="s">
        <v>53</v>
      </c>
      <c r="C50" s="3" t="s">
        <v>54</v>
      </c>
      <c r="D50" s="3" t="s">
        <v>58</v>
      </c>
      <c r="E50" s="3"/>
      <c r="F50" s="3" t="s">
        <v>0</v>
      </c>
      <c r="G50" s="3" t="s">
        <v>17</v>
      </c>
      <c r="H50" s="3" t="s">
        <v>18</v>
      </c>
      <c r="I50" s="3" t="s">
        <v>23</v>
      </c>
      <c r="J50" s="3">
        <v>51188786</v>
      </c>
      <c r="K50" s="3" t="s">
        <v>51</v>
      </c>
      <c r="L50" s="3"/>
      <c r="M50" s="3"/>
      <c r="N50" s="3" t="s">
        <v>52</v>
      </c>
      <c r="O50" s="3" t="s">
        <v>19</v>
      </c>
      <c r="P50" s="3">
        <v>0.7</v>
      </c>
      <c r="Q50" s="3">
        <v>0.6</v>
      </c>
      <c r="R50" s="4" t="s">
        <v>24</v>
      </c>
      <c r="S50" s="4">
        <v>900</v>
      </c>
      <c r="T50" s="4">
        <v>20900</v>
      </c>
      <c r="U50" s="4">
        <v>4700</v>
      </c>
      <c r="V50" s="4">
        <v>0</v>
      </c>
      <c r="W50" s="4">
        <v>0</v>
      </c>
      <c r="X50" s="4">
        <v>0</v>
      </c>
      <c r="Y50" s="4">
        <v>2700</v>
      </c>
      <c r="Z50" s="4">
        <v>4300</v>
      </c>
      <c r="AA50" s="4">
        <v>0</v>
      </c>
      <c r="AB50" s="4">
        <v>0</v>
      </c>
      <c r="AC50" s="4">
        <v>9200</v>
      </c>
      <c r="AD50" s="4">
        <v>21870</v>
      </c>
      <c r="AE50" s="4">
        <v>4700</v>
      </c>
      <c r="AF50" s="4">
        <v>0</v>
      </c>
      <c r="AG50" s="4">
        <v>0</v>
      </c>
      <c r="AH50" s="4">
        <v>0</v>
      </c>
      <c r="AI50" s="4">
        <v>3240</v>
      </c>
      <c r="AJ50" s="4">
        <v>4730</v>
      </c>
      <c r="AK50" s="4">
        <v>0</v>
      </c>
      <c r="AL50" s="4">
        <v>0</v>
      </c>
      <c r="AM50" s="4">
        <v>9200</v>
      </c>
      <c r="AN50" s="4">
        <v>14512</v>
      </c>
      <c r="AO50" s="4">
        <v>0</v>
      </c>
      <c r="AP50" s="4">
        <v>14512</v>
      </c>
    </row>
    <row r="51" spans="1:42" x14ac:dyDescent="0.4">
      <c r="A51" s="3" t="s">
        <v>22</v>
      </c>
      <c r="B51" s="3" t="s">
        <v>53</v>
      </c>
      <c r="C51" s="3" t="s">
        <v>54</v>
      </c>
      <c r="D51" s="3" t="s">
        <v>58</v>
      </c>
      <c r="E51" s="3"/>
      <c r="F51" s="3" t="s">
        <v>0</v>
      </c>
      <c r="G51" s="3" t="s">
        <v>17</v>
      </c>
      <c r="H51" s="3" t="s">
        <v>18</v>
      </c>
      <c r="I51" s="3" t="s">
        <v>23</v>
      </c>
      <c r="J51" s="3">
        <v>51188786</v>
      </c>
      <c r="K51" s="3" t="s">
        <v>51</v>
      </c>
      <c r="L51" s="3"/>
      <c r="M51" s="3"/>
      <c r="N51" s="3" t="s">
        <v>52</v>
      </c>
      <c r="O51" s="3" t="s">
        <v>19</v>
      </c>
      <c r="P51" s="3">
        <v>0.7</v>
      </c>
      <c r="Q51" s="3">
        <v>0.6</v>
      </c>
      <c r="R51" s="4" t="s">
        <v>24</v>
      </c>
      <c r="S51" s="4">
        <v>1800</v>
      </c>
      <c r="T51" s="4">
        <v>12300</v>
      </c>
      <c r="U51" s="4">
        <v>5100</v>
      </c>
      <c r="V51" s="4">
        <v>0</v>
      </c>
      <c r="W51" s="4">
        <v>0</v>
      </c>
      <c r="X51" s="4">
        <v>0</v>
      </c>
      <c r="Y51" s="4">
        <v>0</v>
      </c>
      <c r="Z51" s="4">
        <v>5100</v>
      </c>
      <c r="AA51" s="4">
        <v>0</v>
      </c>
      <c r="AB51" s="4">
        <v>0</v>
      </c>
      <c r="AC51" s="4">
        <v>2100</v>
      </c>
      <c r="AD51" s="4">
        <v>12810</v>
      </c>
      <c r="AE51" s="4">
        <v>5100</v>
      </c>
      <c r="AF51" s="4">
        <v>0</v>
      </c>
      <c r="AG51" s="4">
        <v>0</v>
      </c>
      <c r="AH51" s="4">
        <v>0</v>
      </c>
      <c r="AI51" s="4">
        <v>0</v>
      </c>
      <c r="AJ51" s="4">
        <v>5610</v>
      </c>
      <c r="AK51" s="4">
        <v>0</v>
      </c>
      <c r="AL51" s="4">
        <v>0</v>
      </c>
      <c r="AM51" s="4">
        <v>2100</v>
      </c>
      <c r="AN51" s="4">
        <v>8406</v>
      </c>
      <c r="AO51" s="4">
        <v>0</v>
      </c>
      <c r="AP51" s="4">
        <v>8406</v>
      </c>
    </row>
    <row r="52" spans="1:42" x14ac:dyDescent="0.4">
      <c r="A52" s="3" t="s">
        <v>22</v>
      </c>
      <c r="B52" s="3" t="s">
        <v>53</v>
      </c>
      <c r="C52" s="3" t="s">
        <v>54</v>
      </c>
      <c r="D52" s="3" t="s">
        <v>58</v>
      </c>
      <c r="E52" s="3"/>
      <c r="F52" s="3" t="s">
        <v>0</v>
      </c>
      <c r="G52" s="3" t="s">
        <v>17</v>
      </c>
      <c r="H52" s="3" t="s">
        <v>18</v>
      </c>
      <c r="I52" s="3" t="s">
        <v>23</v>
      </c>
      <c r="J52" s="3">
        <v>51188786</v>
      </c>
      <c r="K52" s="3" t="s">
        <v>51</v>
      </c>
      <c r="L52" s="3"/>
      <c r="M52" s="3"/>
      <c r="N52" s="3" t="s">
        <v>52</v>
      </c>
      <c r="O52" s="3" t="s">
        <v>19</v>
      </c>
      <c r="P52" s="3">
        <v>0.7</v>
      </c>
      <c r="Q52" s="3">
        <v>0.6</v>
      </c>
      <c r="R52" s="4" t="s">
        <v>24</v>
      </c>
      <c r="S52" s="4">
        <v>3600</v>
      </c>
      <c r="T52" s="4">
        <v>20400</v>
      </c>
      <c r="U52" s="4">
        <v>13200</v>
      </c>
      <c r="V52" s="4">
        <v>0</v>
      </c>
      <c r="W52" s="4">
        <v>0</v>
      </c>
      <c r="X52" s="4">
        <v>0</v>
      </c>
      <c r="Y52" s="4">
        <v>0</v>
      </c>
      <c r="Z52" s="4">
        <v>7200</v>
      </c>
      <c r="AA52" s="4">
        <v>0</v>
      </c>
      <c r="AB52" s="4">
        <v>0</v>
      </c>
      <c r="AC52" s="4">
        <v>0</v>
      </c>
      <c r="AD52" s="4">
        <v>21120</v>
      </c>
      <c r="AE52" s="4">
        <v>13200</v>
      </c>
      <c r="AF52" s="4">
        <v>0</v>
      </c>
      <c r="AG52" s="4">
        <v>0</v>
      </c>
      <c r="AH52" s="4">
        <v>0</v>
      </c>
      <c r="AI52" s="4">
        <v>0</v>
      </c>
      <c r="AJ52" s="4">
        <v>7920</v>
      </c>
      <c r="AK52" s="4">
        <v>0</v>
      </c>
      <c r="AL52" s="4">
        <v>0</v>
      </c>
      <c r="AM52" s="4">
        <v>0</v>
      </c>
      <c r="AN52" s="4">
        <v>13992</v>
      </c>
      <c r="AO52" s="4">
        <v>0</v>
      </c>
      <c r="AP52" s="4">
        <v>13992</v>
      </c>
    </row>
    <row r="53" spans="1:42" x14ac:dyDescent="0.4">
      <c r="AP53" s="5">
        <f>SUM(AP2:AP52)</f>
        <v>2370152</v>
      </c>
    </row>
  </sheetData>
  <autoFilter ref="A1:AP1">
    <sortState ref="A2:AP53">
      <sortCondition ref="K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P8"/>
  <sheetViews>
    <sheetView topLeftCell="S1" zoomScale="78" zoomScaleNormal="78" workbookViewId="0">
      <selection activeCell="AP9" sqref="AP9"/>
    </sheetView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7" bestFit="1" customWidth="1"/>
    <col min="12" max="12" width="21.5" bestFit="1" customWidth="1"/>
    <col min="13" max="13" width="6.796875" bestFit="1" customWidth="1"/>
    <col min="14" max="14" width="12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</row>
    <row r="2" spans="1:42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52303465</v>
      </c>
      <c r="K2" s="3" t="s">
        <v>59</v>
      </c>
      <c r="L2" s="3"/>
      <c r="M2" s="3"/>
      <c r="N2" s="3" t="s">
        <v>60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4800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4800</v>
      </c>
      <c r="AD2" s="4">
        <v>4800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4800</v>
      </c>
      <c r="AN2" s="4">
        <v>3360</v>
      </c>
      <c r="AO2" s="4">
        <v>0</v>
      </c>
      <c r="AP2" s="4">
        <v>3360</v>
      </c>
    </row>
    <row r="3" spans="1:42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52303465</v>
      </c>
      <c r="K3" s="3" t="s">
        <v>59</v>
      </c>
      <c r="L3" s="3"/>
      <c r="M3" s="3"/>
      <c r="N3" s="3" t="s">
        <v>60</v>
      </c>
      <c r="O3" s="3" t="s">
        <v>19</v>
      </c>
      <c r="P3" s="3">
        <v>0.7</v>
      </c>
      <c r="Q3" s="3">
        <v>0.6</v>
      </c>
      <c r="R3" s="4" t="s">
        <v>20</v>
      </c>
      <c r="S3" s="4">
        <v>3600</v>
      </c>
      <c r="T3" s="4">
        <v>3600</v>
      </c>
      <c r="U3" s="4">
        <v>3600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3600</v>
      </c>
      <c r="AE3" s="4">
        <v>3600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2520</v>
      </c>
      <c r="AO3" s="4">
        <v>0</v>
      </c>
      <c r="AP3" s="4">
        <v>2520</v>
      </c>
    </row>
    <row r="4" spans="1:42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52303465</v>
      </c>
      <c r="K4" s="3" t="s">
        <v>59</v>
      </c>
      <c r="L4" s="3"/>
      <c r="M4" s="3"/>
      <c r="N4" s="3" t="s">
        <v>60</v>
      </c>
      <c r="O4" s="3" t="s">
        <v>19</v>
      </c>
      <c r="P4" s="3">
        <v>0.7</v>
      </c>
      <c r="Q4" s="3">
        <v>0.6</v>
      </c>
      <c r="R4" s="4" t="s">
        <v>47</v>
      </c>
      <c r="S4" s="4">
        <v>200</v>
      </c>
      <c r="T4" s="4">
        <v>241200</v>
      </c>
      <c r="U4" s="4">
        <v>95500</v>
      </c>
      <c r="V4" s="4">
        <v>0</v>
      </c>
      <c r="W4" s="4">
        <v>0</v>
      </c>
      <c r="X4" s="4">
        <v>0</v>
      </c>
      <c r="Y4" s="4">
        <v>2200</v>
      </c>
      <c r="Z4" s="4">
        <v>9400</v>
      </c>
      <c r="AA4" s="4">
        <v>0</v>
      </c>
      <c r="AB4" s="4">
        <v>0</v>
      </c>
      <c r="AC4" s="4">
        <v>134100</v>
      </c>
      <c r="AD4" s="4">
        <v>242580</v>
      </c>
      <c r="AE4" s="4">
        <v>95500</v>
      </c>
      <c r="AF4" s="4">
        <v>0</v>
      </c>
      <c r="AG4" s="4">
        <v>0</v>
      </c>
      <c r="AH4" s="4">
        <v>0</v>
      </c>
      <c r="AI4" s="4">
        <v>2640</v>
      </c>
      <c r="AJ4" s="4">
        <v>10340</v>
      </c>
      <c r="AK4" s="4">
        <v>0</v>
      </c>
      <c r="AL4" s="4">
        <v>0</v>
      </c>
      <c r="AM4" s="4">
        <v>134100</v>
      </c>
      <c r="AN4" s="4">
        <v>168508</v>
      </c>
      <c r="AO4" s="4">
        <v>0</v>
      </c>
      <c r="AP4" s="4">
        <v>168508</v>
      </c>
    </row>
    <row r="5" spans="1:42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52303465</v>
      </c>
      <c r="K5" s="3" t="s">
        <v>59</v>
      </c>
      <c r="L5" s="3"/>
      <c r="M5" s="3"/>
      <c r="N5" s="3" t="s">
        <v>60</v>
      </c>
      <c r="O5" s="3" t="s">
        <v>19</v>
      </c>
      <c r="P5" s="3">
        <v>0.7</v>
      </c>
      <c r="Q5" s="3">
        <v>0.6</v>
      </c>
      <c r="R5" s="4" t="s">
        <v>24</v>
      </c>
      <c r="S5" s="4">
        <v>1800</v>
      </c>
      <c r="T5" s="4">
        <v>161400</v>
      </c>
      <c r="U5" s="4">
        <v>120300</v>
      </c>
      <c r="V5" s="4">
        <v>0</v>
      </c>
      <c r="W5" s="4">
        <v>0</v>
      </c>
      <c r="X5" s="4">
        <v>0</v>
      </c>
      <c r="Y5" s="4">
        <v>1800</v>
      </c>
      <c r="Z5" s="4">
        <v>14400</v>
      </c>
      <c r="AA5" s="4">
        <v>0</v>
      </c>
      <c r="AB5" s="4">
        <v>0</v>
      </c>
      <c r="AC5" s="4">
        <v>24900</v>
      </c>
      <c r="AD5" s="4">
        <v>163200</v>
      </c>
      <c r="AE5" s="4">
        <v>120300</v>
      </c>
      <c r="AF5" s="4">
        <v>0</v>
      </c>
      <c r="AG5" s="4">
        <v>0</v>
      </c>
      <c r="AH5" s="4">
        <v>0</v>
      </c>
      <c r="AI5" s="4">
        <v>2160</v>
      </c>
      <c r="AJ5" s="4">
        <v>15840</v>
      </c>
      <c r="AK5" s="4">
        <v>0</v>
      </c>
      <c r="AL5" s="4">
        <v>0</v>
      </c>
      <c r="AM5" s="4">
        <v>24900</v>
      </c>
      <c r="AN5" s="4">
        <v>112440</v>
      </c>
      <c r="AO5" s="4">
        <v>0</v>
      </c>
      <c r="AP5" s="4">
        <v>112440</v>
      </c>
    </row>
    <row r="6" spans="1:42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52303465</v>
      </c>
      <c r="K6" s="3" t="s">
        <v>59</v>
      </c>
      <c r="L6" s="3"/>
      <c r="M6" s="3"/>
      <c r="N6" s="3" t="s">
        <v>60</v>
      </c>
      <c r="O6" s="3" t="s">
        <v>19</v>
      </c>
      <c r="P6" s="3">
        <v>0.7</v>
      </c>
      <c r="Q6" s="3">
        <v>0.6</v>
      </c>
      <c r="R6" s="4" t="s">
        <v>24</v>
      </c>
      <c r="S6" s="4">
        <v>3600</v>
      </c>
      <c r="T6" s="4">
        <v>118800</v>
      </c>
      <c r="U6" s="4">
        <v>103400</v>
      </c>
      <c r="V6" s="4">
        <v>0</v>
      </c>
      <c r="W6" s="4">
        <v>0</v>
      </c>
      <c r="X6" s="4">
        <v>0</v>
      </c>
      <c r="Y6" s="4">
        <v>0</v>
      </c>
      <c r="Z6" s="4">
        <v>10800</v>
      </c>
      <c r="AA6" s="4">
        <v>0</v>
      </c>
      <c r="AB6" s="4">
        <v>0</v>
      </c>
      <c r="AC6" s="4">
        <v>4600</v>
      </c>
      <c r="AD6" s="4">
        <v>119880</v>
      </c>
      <c r="AE6" s="4">
        <v>103400</v>
      </c>
      <c r="AF6" s="4">
        <v>0</v>
      </c>
      <c r="AG6" s="4">
        <v>0</v>
      </c>
      <c r="AH6" s="4">
        <v>0</v>
      </c>
      <c r="AI6" s="4">
        <v>0</v>
      </c>
      <c r="AJ6" s="4">
        <v>11880</v>
      </c>
      <c r="AK6" s="4">
        <v>0</v>
      </c>
      <c r="AL6" s="4">
        <v>0</v>
      </c>
      <c r="AM6" s="4">
        <v>4600</v>
      </c>
      <c r="AN6" s="4">
        <v>82728</v>
      </c>
      <c r="AO6" s="4">
        <v>0</v>
      </c>
      <c r="AP6" s="4">
        <v>82728</v>
      </c>
    </row>
    <row r="7" spans="1:42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52303465</v>
      </c>
      <c r="K7" s="3" t="s">
        <v>59</v>
      </c>
      <c r="L7" s="3"/>
      <c r="M7" s="3"/>
      <c r="N7" s="3" t="s">
        <v>60</v>
      </c>
      <c r="O7" s="3" t="s">
        <v>19</v>
      </c>
      <c r="P7" s="3">
        <v>0.7</v>
      </c>
      <c r="Q7" s="3">
        <v>0.6</v>
      </c>
      <c r="R7" s="4" t="s">
        <v>24</v>
      </c>
      <c r="S7" s="4">
        <v>7200</v>
      </c>
      <c r="T7" s="4">
        <v>65600</v>
      </c>
      <c r="U7" s="4">
        <v>58100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7500</v>
      </c>
      <c r="AD7" s="4">
        <v>65600</v>
      </c>
      <c r="AE7" s="4">
        <v>58100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7500</v>
      </c>
      <c r="AN7" s="4">
        <v>45920</v>
      </c>
      <c r="AO7" s="4">
        <v>0</v>
      </c>
      <c r="AP7" s="4">
        <v>45920</v>
      </c>
    </row>
    <row r="8" spans="1:42" x14ac:dyDescent="0.4">
      <c r="AP8" s="5">
        <f>SUM(AP2:AP7)</f>
        <v>415476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P10"/>
  <sheetViews>
    <sheetView topLeftCell="Q1" zoomScale="66" zoomScaleNormal="66" workbookViewId="0">
      <selection activeCell="Q2" sqref="A2:XFD9"/>
    </sheetView>
  </sheetViews>
  <sheetFormatPr defaultRowHeight="17.399999999999999" x14ac:dyDescent="0.4"/>
  <cols>
    <col min="1" max="1" width="9.8984375" bestFit="1" customWidth="1"/>
    <col min="2" max="2" width="18.8984375" bestFit="1" customWidth="1"/>
    <col min="3" max="3" width="11.5" bestFit="1" customWidth="1"/>
    <col min="4" max="4" width="8.59765625" bestFit="1" customWidth="1"/>
    <col min="5" max="5" width="8.09765625" bestFit="1" customWidth="1"/>
    <col min="6" max="6" width="8.59765625" bestFit="1" customWidth="1"/>
    <col min="7" max="7" width="12.8984375" bestFit="1" customWidth="1"/>
    <col min="8" max="8" width="16.296875" bestFit="1" customWidth="1"/>
    <col min="9" max="9" width="8.59765625" bestFit="1" customWidth="1"/>
    <col min="10" max="10" width="9.3984375" bestFit="1" customWidth="1"/>
    <col min="11" max="11" width="15.69921875" bestFit="1" customWidth="1"/>
    <col min="12" max="12" width="21.5" bestFit="1" customWidth="1"/>
    <col min="13" max="14" width="6.796875" bestFit="1" customWidth="1"/>
    <col min="15" max="15" width="11.3984375" bestFit="1" customWidth="1"/>
    <col min="16" max="16" width="30.69921875" bestFit="1" customWidth="1"/>
    <col min="17" max="17" width="12.69921875" bestFit="1" customWidth="1"/>
    <col min="18" max="18" width="24.09765625" bestFit="1" customWidth="1"/>
    <col min="19" max="19" width="11.09765625" bestFit="1" customWidth="1"/>
    <col min="20" max="20" width="9.3984375" bestFit="1" customWidth="1"/>
    <col min="21" max="21" width="8.8984375" bestFit="1" customWidth="1"/>
    <col min="22" max="22" width="8.3984375" bestFit="1" customWidth="1"/>
    <col min="23" max="28" width="8.8984375" bestFit="1" customWidth="1"/>
    <col min="29" max="29" width="15.19921875" bestFit="1" customWidth="1"/>
    <col min="30" max="30" width="9.3984375" bestFit="1" customWidth="1"/>
    <col min="31" max="31" width="8.8984375" bestFit="1" customWidth="1"/>
    <col min="32" max="32" width="8.3984375" bestFit="1" customWidth="1"/>
    <col min="33" max="38" width="8.8984375" bestFit="1" customWidth="1"/>
    <col min="39" max="39" width="15.19921875" bestFit="1" customWidth="1"/>
    <col min="40" max="40" width="8.59765625" bestFit="1" customWidth="1"/>
    <col min="41" max="41" width="6.796875" bestFit="1" customWidth="1"/>
    <col min="42" max="42" width="8.59765625" bestFit="1" customWidth="1"/>
  </cols>
  <sheetData>
    <row r="1" spans="1:42" ht="18" thickBot="1" x14ac:dyDescent="0.45">
      <c r="A1" s="1" t="s">
        <v>67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46</v>
      </c>
      <c r="M1" s="1" t="s">
        <v>45</v>
      </c>
      <c r="N1" s="2" t="s">
        <v>10</v>
      </c>
      <c r="O1" s="1" t="s">
        <v>69</v>
      </c>
      <c r="P1" s="2" t="s">
        <v>70</v>
      </c>
      <c r="Q1" s="1" t="s">
        <v>11</v>
      </c>
      <c r="R1" s="1" t="s">
        <v>12</v>
      </c>
      <c r="S1" s="1" t="s">
        <v>13</v>
      </c>
      <c r="T1" s="1" t="s">
        <v>25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2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14</v>
      </c>
      <c r="AO1" s="1" t="s">
        <v>15</v>
      </c>
      <c r="AP1" s="2" t="s">
        <v>16</v>
      </c>
    </row>
    <row r="2" spans="1:42" ht="18" thickTop="1" x14ac:dyDescent="0.4">
      <c r="A2" s="3" t="s">
        <v>22</v>
      </c>
      <c r="B2" s="3" t="s">
        <v>53</v>
      </c>
      <c r="C2" s="3" t="s">
        <v>54</v>
      </c>
      <c r="D2" s="3" t="s">
        <v>58</v>
      </c>
      <c r="E2" s="3"/>
      <c r="F2" s="3" t="s">
        <v>0</v>
      </c>
      <c r="G2" s="3" t="s">
        <v>17</v>
      </c>
      <c r="H2" s="3" t="s">
        <v>18</v>
      </c>
      <c r="I2" s="3" t="s">
        <v>23</v>
      </c>
      <c r="J2" s="3">
        <v>53879878</v>
      </c>
      <c r="K2" s="3" t="s">
        <v>61</v>
      </c>
      <c r="L2" s="3"/>
      <c r="M2" s="3"/>
      <c r="N2" s="3" t="s">
        <v>62</v>
      </c>
      <c r="O2" s="3" t="s">
        <v>19</v>
      </c>
      <c r="P2" s="3">
        <v>0.7</v>
      </c>
      <c r="Q2" s="3">
        <v>0.6</v>
      </c>
      <c r="R2" s="4" t="s">
        <v>21</v>
      </c>
      <c r="S2" s="4">
        <v>400</v>
      </c>
      <c r="T2" s="4">
        <v>1200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1200</v>
      </c>
      <c r="AD2" s="4">
        <v>1200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1200</v>
      </c>
      <c r="AN2" s="4">
        <v>840</v>
      </c>
      <c r="AO2" s="4">
        <v>0</v>
      </c>
      <c r="AP2" s="4">
        <v>840</v>
      </c>
    </row>
    <row r="3" spans="1:42" x14ac:dyDescent="0.4">
      <c r="A3" s="3" t="s">
        <v>22</v>
      </c>
      <c r="B3" s="3" t="s">
        <v>53</v>
      </c>
      <c r="C3" s="3" t="s">
        <v>54</v>
      </c>
      <c r="D3" s="3" t="s">
        <v>58</v>
      </c>
      <c r="E3" s="3"/>
      <c r="F3" s="3" t="s">
        <v>0</v>
      </c>
      <c r="G3" s="3" t="s">
        <v>17</v>
      </c>
      <c r="H3" s="3" t="s">
        <v>18</v>
      </c>
      <c r="I3" s="3" t="s">
        <v>23</v>
      </c>
      <c r="J3" s="3">
        <v>53879878</v>
      </c>
      <c r="K3" s="3" t="s">
        <v>61</v>
      </c>
      <c r="L3" s="3"/>
      <c r="M3" s="3"/>
      <c r="N3" s="3" t="s">
        <v>62</v>
      </c>
      <c r="O3" s="3" t="s">
        <v>19</v>
      </c>
      <c r="P3" s="3">
        <v>0.7</v>
      </c>
      <c r="Q3" s="3">
        <v>0.6</v>
      </c>
      <c r="R3" s="4" t="s">
        <v>20</v>
      </c>
      <c r="S3" s="4">
        <v>3600</v>
      </c>
      <c r="T3" s="4">
        <v>32400</v>
      </c>
      <c r="U3" s="4">
        <v>32300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100</v>
      </c>
      <c r="AD3" s="4">
        <v>32400</v>
      </c>
      <c r="AE3" s="4">
        <v>32300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100</v>
      </c>
      <c r="AN3" s="4">
        <v>22680</v>
      </c>
      <c r="AO3" s="4">
        <v>0</v>
      </c>
      <c r="AP3" s="4">
        <v>22680</v>
      </c>
    </row>
    <row r="4" spans="1:42" x14ac:dyDescent="0.4">
      <c r="A4" s="3" t="s">
        <v>22</v>
      </c>
      <c r="B4" s="3" t="s">
        <v>53</v>
      </c>
      <c r="C4" s="3" t="s">
        <v>54</v>
      </c>
      <c r="D4" s="3" t="s">
        <v>58</v>
      </c>
      <c r="E4" s="3"/>
      <c r="F4" s="3" t="s">
        <v>0</v>
      </c>
      <c r="G4" s="3" t="s">
        <v>17</v>
      </c>
      <c r="H4" s="3" t="s">
        <v>18</v>
      </c>
      <c r="I4" s="3" t="s">
        <v>23</v>
      </c>
      <c r="J4" s="3">
        <v>53879878</v>
      </c>
      <c r="K4" s="3" t="s">
        <v>61</v>
      </c>
      <c r="L4" s="3"/>
      <c r="M4" s="3"/>
      <c r="N4" s="3" t="s">
        <v>62</v>
      </c>
      <c r="O4" s="3" t="s">
        <v>19</v>
      </c>
      <c r="P4" s="3">
        <v>0.7</v>
      </c>
      <c r="Q4" s="3">
        <v>0.6</v>
      </c>
      <c r="R4" s="4" t="s">
        <v>20</v>
      </c>
      <c r="S4" s="4">
        <v>10800</v>
      </c>
      <c r="T4" s="4">
        <v>10800</v>
      </c>
      <c r="U4" s="4">
        <v>10800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10800</v>
      </c>
      <c r="AE4" s="4">
        <v>10800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7560</v>
      </c>
      <c r="AO4" s="4">
        <v>0</v>
      </c>
      <c r="AP4" s="4">
        <v>7560</v>
      </c>
    </row>
    <row r="5" spans="1:42" x14ac:dyDescent="0.4">
      <c r="A5" s="3" t="s">
        <v>22</v>
      </c>
      <c r="B5" s="3" t="s">
        <v>53</v>
      </c>
      <c r="C5" s="3" t="s">
        <v>54</v>
      </c>
      <c r="D5" s="3" t="s">
        <v>58</v>
      </c>
      <c r="E5" s="3"/>
      <c r="F5" s="3" t="s">
        <v>0</v>
      </c>
      <c r="G5" s="3" t="s">
        <v>17</v>
      </c>
      <c r="H5" s="3" t="s">
        <v>18</v>
      </c>
      <c r="I5" s="3" t="s">
        <v>23</v>
      </c>
      <c r="J5" s="3">
        <v>53879878</v>
      </c>
      <c r="K5" s="3" t="s">
        <v>61</v>
      </c>
      <c r="L5" s="3"/>
      <c r="M5" s="3"/>
      <c r="N5" s="3" t="s">
        <v>62</v>
      </c>
      <c r="O5" s="3" t="s">
        <v>19</v>
      </c>
      <c r="P5" s="3">
        <v>0.7</v>
      </c>
      <c r="Q5" s="3">
        <v>0.6</v>
      </c>
      <c r="R5" s="4" t="s">
        <v>20</v>
      </c>
      <c r="S5" s="4">
        <v>21600</v>
      </c>
      <c r="T5" s="4">
        <v>21600</v>
      </c>
      <c r="U5" s="4">
        <v>21600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21600</v>
      </c>
      <c r="AE5" s="4">
        <v>21600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15120</v>
      </c>
      <c r="AO5" s="4">
        <v>0</v>
      </c>
      <c r="AP5" s="4">
        <v>15120</v>
      </c>
    </row>
    <row r="6" spans="1:42" x14ac:dyDescent="0.4">
      <c r="A6" s="3" t="s">
        <v>22</v>
      </c>
      <c r="B6" s="3" t="s">
        <v>53</v>
      </c>
      <c r="C6" s="3" t="s">
        <v>54</v>
      </c>
      <c r="D6" s="3" t="s">
        <v>58</v>
      </c>
      <c r="E6" s="3"/>
      <c r="F6" s="3" t="s">
        <v>0</v>
      </c>
      <c r="G6" s="3" t="s">
        <v>17</v>
      </c>
      <c r="H6" s="3" t="s">
        <v>18</v>
      </c>
      <c r="I6" s="3" t="s">
        <v>23</v>
      </c>
      <c r="J6" s="3">
        <v>53879878</v>
      </c>
      <c r="K6" s="3" t="s">
        <v>61</v>
      </c>
      <c r="L6" s="3"/>
      <c r="M6" s="3"/>
      <c r="N6" s="3" t="s">
        <v>62</v>
      </c>
      <c r="O6" s="3" t="s">
        <v>19</v>
      </c>
      <c r="P6" s="3">
        <v>0.7</v>
      </c>
      <c r="Q6" s="3">
        <v>0.6</v>
      </c>
      <c r="R6" s="4" t="s">
        <v>47</v>
      </c>
      <c r="S6" s="4">
        <v>200</v>
      </c>
      <c r="T6" s="4">
        <v>330800</v>
      </c>
      <c r="U6" s="4">
        <v>62500</v>
      </c>
      <c r="V6" s="4">
        <v>0</v>
      </c>
      <c r="W6" s="4">
        <v>0</v>
      </c>
      <c r="X6" s="4">
        <v>0</v>
      </c>
      <c r="Y6" s="4">
        <v>6500</v>
      </c>
      <c r="Z6" s="4">
        <v>3800</v>
      </c>
      <c r="AA6" s="4">
        <v>0</v>
      </c>
      <c r="AB6" s="4">
        <v>0</v>
      </c>
      <c r="AC6" s="4">
        <v>258000</v>
      </c>
      <c r="AD6" s="4">
        <v>332480</v>
      </c>
      <c r="AE6" s="4">
        <v>62500</v>
      </c>
      <c r="AF6" s="4">
        <v>0</v>
      </c>
      <c r="AG6" s="4">
        <v>0</v>
      </c>
      <c r="AH6" s="4">
        <v>0</v>
      </c>
      <c r="AI6" s="4">
        <v>7800</v>
      </c>
      <c r="AJ6" s="4">
        <v>4180</v>
      </c>
      <c r="AK6" s="4">
        <v>0</v>
      </c>
      <c r="AL6" s="4">
        <v>0</v>
      </c>
      <c r="AM6" s="4">
        <v>258000</v>
      </c>
      <c r="AN6" s="4">
        <v>231538</v>
      </c>
      <c r="AO6" s="4">
        <v>0</v>
      </c>
      <c r="AP6" s="4">
        <v>231538</v>
      </c>
    </row>
    <row r="7" spans="1:42" x14ac:dyDescent="0.4">
      <c r="A7" s="3" t="s">
        <v>22</v>
      </c>
      <c r="B7" s="3" t="s">
        <v>53</v>
      </c>
      <c r="C7" s="3" t="s">
        <v>54</v>
      </c>
      <c r="D7" s="3" t="s">
        <v>58</v>
      </c>
      <c r="E7" s="3"/>
      <c r="F7" s="3" t="s">
        <v>0</v>
      </c>
      <c r="G7" s="3" t="s">
        <v>17</v>
      </c>
      <c r="H7" s="3" t="s">
        <v>18</v>
      </c>
      <c r="I7" s="3" t="s">
        <v>23</v>
      </c>
      <c r="J7" s="3">
        <v>53879878</v>
      </c>
      <c r="K7" s="3" t="s">
        <v>61</v>
      </c>
      <c r="L7" s="3"/>
      <c r="M7" s="3"/>
      <c r="N7" s="3" t="s">
        <v>62</v>
      </c>
      <c r="O7" s="3" t="s">
        <v>19</v>
      </c>
      <c r="P7" s="3">
        <v>0.7</v>
      </c>
      <c r="Q7" s="3">
        <v>0.6</v>
      </c>
      <c r="R7" s="4" t="s">
        <v>24</v>
      </c>
      <c r="S7" s="4">
        <v>1800</v>
      </c>
      <c r="T7" s="4">
        <v>210600</v>
      </c>
      <c r="U7" s="4">
        <v>143950</v>
      </c>
      <c r="V7" s="4">
        <v>0</v>
      </c>
      <c r="W7" s="4">
        <v>0</v>
      </c>
      <c r="X7" s="4">
        <v>0</v>
      </c>
      <c r="Y7" s="4">
        <v>1500</v>
      </c>
      <c r="Z7" s="4">
        <v>19000</v>
      </c>
      <c r="AA7" s="4">
        <v>0</v>
      </c>
      <c r="AB7" s="4">
        <v>0</v>
      </c>
      <c r="AC7" s="4">
        <v>46150</v>
      </c>
      <c r="AD7" s="4">
        <v>212800</v>
      </c>
      <c r="AE7" s="4">
        <v>143950</v>
      </c>
      <c r="AF7" s="4">
        <v>0</v>
      </c>
      <c r="AG7" s="4">
        <v>0</v>
      </c>
      <c r="AH7" s="4">
        <v>0</v>
      </c>
      <c r="AI7" s="4">
        <v>1800</v>
      </c>
      <c r="AJ7" s="4">
        <v>20900</v>
      </c>
      <c r="AK7" s="4">
        <v>0</v>
      </c>
      <c r="AL7" s="4">
        <v>0</v>
      </c>
      <c r="AM7" s="4">
        <v>46150</v>
      </c>
      <c r="AN7" s="4">
        <v>146690</v>
      </c>
      <c r="AO7" s="4">
        <v>0</v>
      </c>
      <c r="AP7" s="4">
        <v>146690</v>
      </c>
    </row>
    <row r="8" spans="1:42" x14ac:dyDescent="0.4">
      <c r="A8" s="3" t="s">
        <v>22</v>
      </c>
      <c r="B8" s="3" t="s">
        <v>53</v>
      </c>
      <c r="C8" s="3" t="s">
        <v>54</v>
      </c>
      <c r="D8" s="3" t="s">
        <v>58</v>
      </c>
      <c r="E8" s="3"/>
      <c r="F8" s="3" t="s">
        <v>0</v>
      </c>
      <c r="G8" s="3" t="s">
        <v>17</v>
      </c>
      <c r="H8" s="3" t="s">
        <v>18</v>
      </c>
      <c r="I8" s="3" t="s">
        <v>23</v>
      </c>
      <c r="J8" s="3">
        <v>53879878</v>
      </c>
      <c r="K8" s="3" t="s">
        <v>61</v>
      </c>
      <c r="L8" s="3"/>
      <c r="M8" s="3"/>
      <c r="N8" s="3" t="s">
        <v>62</v>
      </c>
      <c r="O8" s="3" t="s">
        <v>19</v>
      </c>
      <c r="P8" s="3">
        <v>0.7</v>
      </c>
      <c r="Q8" s="3">
        <v>0.6</v>
      </c>
      <c r="R8" s="4" t="s">
        <v>24</v>
      </c>
      <c r="S8" s="4">
        <v>5400</v>
      </c>
      <c r="T8" s="4">
        <v>59400</v>
      </c>
      <c r="U8" s="4">
        <v>48300</v>
      </c>
      <c r="V8" s="4">
        <v>0</v>
      </c>
      <c r="W8" s="4">
        <v>0</v>
      </c>
      <c r="X8" s="4">
        <v>0</v>
      </c>
      <c r="Y8" s="4">
        <v>0</v>
      </c>
      <c r="Z8" s="4">
        <v>5400</v>
      </c>
      <c r="AA8" s="4">
        <v>0</v>
      </c>
      <c r="AB8" s="4">
        <v>0</v>
      </c>
      <c r="AC8" s="4">
        <v>5700</v>
      </c>
      <c r="AD8" s="4">
        <v>59940</v>
      </c>
      <c r="AE8" s="4">
        <v>48300</v>
      </c>
      <c r="AF8" s="4">
        <v>0</v>
      </c>
      <c r="AG8" s="4">
        <v>0</v>
      </c>
      <c r="AH8" s="4">
        <v>0</v>
      </c>
      <c r="AI8" s="4">
        <v>0</v>
      </c>
      <c r="AJ8" s="4">
        <v>5940</v>
      </c>
      <c r="AK8" s="4">
        <v>0</v>
      </c>
      <c r="AL8" s="4">
        <v>0</v>
      </c>
      <c r="AM8" s="4">
        <v>5700</v>
      </c>
      <c r="AN8" s="4">
        <v>41364</v>
      </c>
      <c r="AO8" s="4">
        <v>0</v>
      </c>
      <c r="AP8" s="4">
        <v>41364</v>
      </c>
    </row>
    <row r="9" spans="1:42" x14ac:dyDescent="0.4">
      <c r="A9" s="3" t="s">
        <v>22</v>
      </c>
      <c r="B9" s="3" t="s">
        <v>53</v>
      </c>
      <c r="C9" s="3" t="s">
        <v>54</v>
      </c>
      <c r="D9" s="3" t="s">
        <v>58</v>
      </c>
      <c r="E9" s="3"/>
      <c r="F9" s="3" t="s">
        <v>0</v>
      </c>
      <c r="G9" s="3" t="s">
        <v>17</v>
      </c>
      <c r="H9" s="3" t="s">
        <v>18</v>
      </c>
      <c r="I9" s="3" t="s">
        <v>23</v>
      </c>
      <c r="J9" s="3">
        <v>53879878</v>
      </c>
      <c r="K9" s="3" t="s">
        <v>61</v>
      </c>
      <c r="L9" s="3"/>
      <c r="M9" s="3"/>
      <c r="N9" s="3" t="s">
        <v>62</v>
      </c>
      <c r="O9" s="3" t="s">
        <v>19</v>
      </c>
      <c r="P9" s="3">
        <v>0.7</v>
      </c>
      <c r="Q9" s="3">
        <v>0.6</v>
      </c>
      <c r="R9" s="4" t="s">
        <v>24</v>
      </c>
      <c r="S9" s="4">
        <v>10800</v>
      </c>
      <c r="T9" s="4">
        <v>10800</v>
      </c>
      <c r="U9" s="4">
        <v>10800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10800</v>
      </c>
      <c r="AE9" s="4">
        <v>10800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7560</v>
      </c>
      <c r="AO9" s="4">
        <v>0</v>
      </c>
      <c r="AP9" s="4">
        <v>7560</v>
      </c>
    </row>
    <row r="10" spans="1:42" x14ac:dyDescent="0.4">
      <c r="AP10" s="5">
        <f>SUM(AP2:AP9)</f>
        <v>473352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일반계약_만화(1)</vt:lpstr>
      <vt:lpstr>진엔터</vt:lpstr>
      <vt:lpstr>혜원</vt:lpstr>
      <vt:lpstr>진엔터!Extract</vt:lpstr>
      <vt:lpstr>혜원!Extract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2022-02-07T05:42:05Z</dcterms:modified>
</cp:coreProperties>
</file>