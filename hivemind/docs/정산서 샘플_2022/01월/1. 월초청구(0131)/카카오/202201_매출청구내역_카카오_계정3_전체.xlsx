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27132" yWindow="0" windowWidth="23040" windowHeight="10812"/>
  </bookViews>
  <sheets>
    <sheet name="전체(1)" sheetId="100" r:id="rId1"/>
    <sheet name="특별계약" sheetId="111" r:id="rId2"/>
    <sheet name="일반계약" sheetId="113" r:id="rId3"/>
  </sheets>
  <definedNames>
    <definedName name="_xlnm._FilterDatabase" localSheetId="2" hidden="1">일반계약!$A$1:$AP$1</definedName>
    <definedName name="_xlnm._FilterDatabase" localSheetId="0" hidden="1">'전체(1)'!$A$1:$AP$1</definedName>
    <definedName name="_xlnm._FilterDatabase" localSheetId="1" hidden="1">특별계약!$A$1:$AP$1</definedName>
    <definedName name="_xlnm.Extract" localSheetId="2">일반계약!#REF!</definedName>
    <definedName name="_xlnm.Extract" localSheetId="0">'전체(1)'!#REF!</definedName>
    <definedName name="_xlnm.Extract" localSheetId="1">특별계약!#REF!</definedName>
  </definedNames>
  <calcPr calcId="152511"/>
</workbook>
</file>

<file path=xl/calcChain.xml><?xml version="1.0" encoding="utf-8"?>
<calcChain xmlns="http://schemas.openxmlformats.org/spreadsheetml/2006/main">
  <c r="AP75" i="100" l="1"/>
  <c r="AP53" i="113"/>
  <c r="AP23" i="111"/>
  <c r="AP74" i="100"/>
</calcChain>
</file>

<file path=xl/sharedStrings.xml><?xml version="1.0" encoding="utf-8"?>
<sst xmlns="http://schemas.openxmlformats.org/spreadsheetml/2006/main" count="1896" uniqueCount="83">
  <si>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</si>
  <si>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</si>
  <si>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</si>
  <si>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</si>
  <si>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</si>
  <si>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</si>
  <si>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</si>
  <si>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</si>
  <si>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</si>
  <si>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</si>
  <si>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</si>
  <si>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</si>
  <si>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</si>
  <si>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</si>
  <si>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</si>
  <si>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</si>
  <si>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</si>
  <si>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</si>
  <si>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</si>
  <si>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</si>
  <si>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</si>
  <si>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</si>
  <si>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</si>
  <si>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</si>
  <si>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</si>
  <si>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</si>
  <si>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</si>
  <si>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</si>
  <si>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</si>
  <si>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</si>
  <si>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</si>
  <si>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</si>
  <si>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</si>
  <si>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</si>
  <si>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</si>
  <si>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</si>
  <si>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</si>
  <si>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</si>
  <si>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</si>
  <si>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</si>
  <si>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</si>
  <si>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</si>
  <si>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</si>
  <si>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</si>
  <si>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</si>
  <si>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</si>
  <si>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</si>
  <si>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</si>
  <si>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</si>
  <si>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주식회사 스토리위즈</t>
  </si>
  <si>
    <t>3828601768</t>
  </si>
  <si>
    <t>storywiz</t>
  </si>
  <si>
    <t>1944.0</t>
  </si>
  <si>
    <t>만화</t>
  </si>
  <si>
    <t>마왕의 딸로 태어났습니다</t>
  </si>
  <si>
    <t>은민,여울</t>
  </si>
  <si>
    <t>단일 대여 이용권</t>
  </si>
  <si>
    <t>시리즈 대여 이용권 패키지</t>
  </si>
  <si>
    <t>옹주의 호위무사</t>
  </si>
  <si>
    <t>정훈,수국</t>
  </si>
  <si>
    <t>일반계약</t>
  </si>
  <si>
    <t/>
  </si>
  <si>
    <t>계약연애, 오늘부터 1일</t>
  </si>
  <si>
    <t>원기공장</t>
  </si>
  <si>
    <t>로맨틱 시그널</t>
  </si>
  <si>
    <t>Bless+cangshukou</t>
  </si>
  <si>
    <t>백스테이지 키스신</t>
  </si>
  <si>
    <t>최도비,수정과</t>
  </si>
  <si>
    <t>너랑 나랑 하면</t>
  </si>
  <si>
    <t>NISANSUI/ZIQUAN</t>
  </si>
  <si>
    <t>내 남편의 스토커</t>
  </si>
  <si>
    <t>혜원</t>
  </si>
  <si>
    <t>폐하, 옥체 보존하세요!</t>
  </si>
  <si>
    <t>lvyeqianhe x youzhijiaozi</t>
  </si>
  <si>
    <t>연애 2분의 1</t>
  </si>
  <si>
    <t>ZHUPI/YANGXUETU</t>
  </si>
  <si>
    <t>공주전쟁</t>
  </si>
  <si>
    <t>Hujing×Luojie</t>
  </si>
  <si>
    <t>별빛 아래 우리</t>
  </si>
  <si>
    <t>건일</t>
  </si>
  <si>
    <t>2531.0</t>
  </si>
  <si>
    <t>회귀의 전설</t>
  </si>
  <si>
    <t>송진우,김광수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</si>
</sst>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75"/>
  <sheetViews>
    <sheetView tabSelected="1" topLeftCell="A34" zoomScale="55" zoomScaleNormal="55" workbookViewId="0">
      <selection activeCell="AP76" sqref="AP76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80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57928448</v>
      </c>
      <c r="K2" s="5" t="s">
        <v>81</v>
      </c>
      <c r="L2" s="5"/>
      <c r="M2" s="5"/>
      <c r="N2" s="5" t="s">
        <v>82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382800</v>
      </c>
      <c r="U2" s="6">
        <v>273700</v>
      </c>
      <c r="V2" s="6">
        <v>0</v>
      </c>
      <c r="W2" s="6">
        <v>0</v>
      </c>
      <c r="X2" s="6">
        <v>0</v>
      </c>
      <c r="Y2" s="6">
        <v>400</v>
      </c>
      <c r="Z2" s="6">
        <v>14400</v>
      </c>
      <c r="AA2" s="6">
        <v>0</v>
      </c>
      <c r="AB2" s="6">
        <v>0</v>
      </c>
      <c r="AC2" s="6">
        <v>94300</v>
      </c>
      <c r="AD2" s="6">
        <v>384320</v>
      </c>
      <c r="AE2" s="6">
        <v>273700</v>
      </c>
      <c r="AF2" s="6">
        <v>0</v>
      </c>
      <c r="AG2" s="6">
        <v>0</v>
      </c>
      <c r="AH2" s="6">
        <v>0</v>
      </c>
      <c r="AI2" s="6">
        <v>480</v>
      </c>
      <c r="AJ2" s="6">
        <v>15840</v>
      </c>
      <c r="AK2" s="6">
        <v>0</v>
      </c>
      <c r="AL2" s="6">
        <v>0</v>
      </c>
      <c r="AM2" s="6">
        <v>94300</v>
      </c>
      <c r="AN2" s="6">
        <v>211376</v>
      </c>
      <c r="AO2" s="6">
        <v>0</v>
      </c>
      <c r="AP2" s="6">
        <v>211376</v>
      </c>
    </row>
    <row r="3" spans="1:42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80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57928448</v>
      </c>
      <c r="K3" s="5" t="s">
        <v>81</v>
      </c>
      <c r="L3" s="5"/>
      <c r="M3" s="5"/>
      <c r="N3" s="5" t="s">
        <v>82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414800</v>
      </c>
      <c r="U3" s="6">
        <v>342600</v>
      </c>
      <c r="V3" s="6">
        <v>0</v>
      </c>
      <c r="W3" s="6">
        <v>0</v>
      </c>
      <c r="X3" s="6">
        <v>0</v>
      </c>
      <c r="Y3" s="6">
        <v>0</v>
      </c>
      <c r="Z3" s="6">
        <v>14400</v>
      </c>
      <c r="AA3" s="6">
        <v>0</v>
      </c>
      <c r="AB3" s="6">
        <v>0</v>
      </c>
      <c r="AC3" s="6">
        <v>57800</v>
      </c>
      <c r="AD3" s="6">
        <v>416240</v>
      </c>
      <c r="AE3" s="6">
        <v>342600</v>
      </c>
      <c r="AF3" s="6">
        <v>0</v>
      </c>
      <c r="AG3" s="6">
        <v>0</v>
      </c>
      <c r="AH3" s="6">
        <v>0</v>
      </c>
      <c r="AI3" s="6">
        <v>0</v>
      </c>
      <c r="AJ3" s="6">
        <v>15840</v>
      </c>
      <c r="AK3" s="6">
        <v>0</v>
      </c>
      <c r="AL3" s="6">
        <v>0</v>
      </c>
      <c r="AM3" s="6">
        <v>57800</v>
      </c>
      <c r="AN3" s="6">
        <v>228932</v>
      </c>
      <c r="AO3" s="6">
        <v>0</v>
      </c>
      <c r="AP3" s="6">
        <v>228932</v>
      </c>
    </row>
    <row r="4" spans="1:42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80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57928448</v>
      </c>
      <c r="K4" s="5" t="s">
        <v>81</v>
      </c>
      <c r="L4" s="5"/>
      <c r="M4" s="5"/>
      <c r="N4" s="5" t="s">
        <v>82</v>
      </c>
      <c r="O4" s="5" t="s">
        <v>22</v>
      </c>
      <c r="P4" s="5">
        <v>0.55000000000000004</v>
      </c>
      <c r="Q4" s="5">
        <v>0.55000000000000004</v>
      </c>
      <c r="R4" s="6" t="s">
        <v>23</v>
      </c>
      <c r="S4" s="6">
        <v>10800</v>
      </c>
      <c r="T4" s="6">
        <v>248400</v>
      </c>
      <c r="U4" s="6">
        <v>234500</v>
      </c>
      <c r="V4" s="6">
        <v>0</v>
      </c>
      <c r="W4" s="6">
        <v>0</v>
      </c>
      <c r="X4" s="6">
        <v>0</v>
      </c>
      <c r="Y4" s="6">
        <v>0</v>
      </c>
      <c r="Z4" s="6">
        <v>10800</v>
      </c>
      <c r="AA4" s="6">
        <v>0</v>
      </c>
      <c r="AB4" s="6">
        <v>0</v>
      </c>
      <c r="AC4" s="6">
        <v>3100</v>
      </c>
      <c r="AD4" s="6">
        <v>249480</v>
      </c>
      <c r="AE4" s="6">
        <v>234500</v>
      </c>
      <c r="AF4" s="6">
        <v>0</v>
      </c>
      <c r="AG4" s="6">
        <v>0</v>
      </c>
      <c r="AH4" s="6">
        <v>0</v>
      </c>
      <c r="AI4" s="6">
        <v>0</v>
      </c>
      <c r="AJ4" s="6">
        <v>11880</v>
      </c>
      <c r="AK4" s="6">
        <v>0</v>
      </c>
      <c r="AL4" s="6">
        <v>0</v>
      </c>
      <c r="AM4" s="6">
        <v>3100</v>
      </c>
      <c r="AN4" s="6">
        <v>137214</v>
      </c>
      <c r="AO4" s="6">
        <v>0</v>
      </c>
      <c r="AP4" s="6">
        <v>137214</v>
      </c>
    </row>
    <row r="5" spans="1:42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80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57928448</v>
      </c>
      <c r="K5" s="5" t="s">
        <v>81</v>
      </c>
      <c r="L5" s="5"/>
      <c r="M5" s="5"/>
      <c r="N5" s="5" t="s">
        <v>82</v>
      </c>
      <c r="O5" s="5" t="s">
        <v>22</v>
      </c>
      <c r="P5" s="5">
        <v>0.55000000000000004</v>
      </c>
      <c r="Q5" s="5">
        <v>0.55000000000000004</v>
      </c>
      <c r="R5" s="6" t="s">
        <v>23</v>
      </c>
      <c r="S5" s="6">
        <v>18000</v>
      </c>
      <c r="T5" s="6">
        <v>316400</v>
      </c>
      <c r="U5" s="6">
        <v>284900</v>
      </c>
      <c r="V5" s="6">
        <v>0</v>
      </c>
      <c r="W5" s="6">
        <v>0</v>
      </c>
      <c r="X5" s="6">
        <v>0</v>
      </c>
      <c r="Y5" s="6">
        <v>600</v>
      </c>
      <c r="Z5" s="6">
        <v>17400</v>
      </c>
      <c r="AA5" s="6">
        <v>0</v>
      </c>
      <c r="AB5" s="6">
        <v>0</v>
      </c>
      <c r="AC5" s="6">
        <v>13500</v>
      </c>
      <c r="AD5" s="6">
        <v>318260</v>
      </c>
      <c r="AE5" s="6">
        <v>284900</v>
      </c>
      <c r="AF5" s="6">
        <v>0</v>
      </c>
      <c r="AG5" s="6">
        <v>0</v>
      </c>
      <c r="AH5" s="6">
        <v>0</v>
      </c>
      <c r="AI5" s="6">
        <v>720</v>
      </c>
      <c r="AJ5" s="6">
        <v>19140</v>
      </c>
      <c r="AK5" s="6">
        <v>0</v>
      </c>
      <c r="AL5" s="6">
        <v>0</v>
      </c>
      <c r="AM5" s="6">
        <v>13500</v>
      </c>
      <c r="AN5" s="6">
        <v>175043</v>
      </c>
      <c r="AO5" s="6">
        <v>0</v>
      </c>
      <c r="AP5" s="6">
        <v>175043</v>
      </c>
    </row>
    <row r="6" spans="1:42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80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57928448</v>
      </c>
      <c r="K6" s="5" t="s">
        <v>81</v>
      </c>
      <c r="L6" s="5"/>
      <c r="M6" s="5"/>
      <c r="N6" s="5" t="s">
        <v>82</v>
      </c>
      <c r="O6" s="5" t="s">
        <v>22</v>
      </c>
      <c r="P6" s="5">
        <v>0.55000000000000004</v>
      </c>
      <c r="Q6" s="5">
        <v>0.55000000000000004</v>
      </c>
      <c r="R6" s="6" t="s">
        <v>56</v>
      </c>
      <c r="S6" s="6">
        <v>200</v>
      </c>
      <c r="T6" s="6">
        <v>13236800</v>
      </c>
      <c r="U6" s="6">
        <v>7197060</v>
      </c>
      <c r="V6" s="6">
        <v>0</v>
      </c>
      <c r="W6" s="6">
        <v>0</v>
      </c>
      <c r="X6" s="6">
        <v>1200</v>
      </c>
      <c r="Y6" s="6">
        <v>140950</v>
      </c>
      <c r="Z6" s="6">
        <v>486790</v>
      </c>
      <c r="AA6" s="6">
        <v>0</v>
      </c>
      <c r="AB6" s="6">
        <v>0</v>
      </c>
      <c r="AC6" s="6">
        <v>5410800</v>
      </c>
      <c r="AD6" s="6">
        <v>13314030.7651</v>
      </c>
      <c r="AE6" s="6">
        <v>7197060</v>
      </c>
      <c r="AF6" s="6">
        <v>0</v>
      </c>
      <c r="AG6" s="6">
        <v>0</v>
      </c>
      <c r="AH6" s="6">
        <v>1561.7651000000001</v>
      </c>
      <c r="AI6" s="6">
        <v>169140</v>
      </c>
      <c r="AJ6" s="6">
        <v>535469</v>
      </c>
      <c r="AK6" s="6">
        <v>0</v>
      </c>
      <c r="AL6" s="6">
        <v>0</v>
      </c>
      <c r="AM6" s="6">
        <v>5410800</v>
      </c>
      <c r="AN6" s="6">
        <v>7322717</v>
      </c>
      <c r="AO6" s="6">
        <v>0</v>
      </c>
      <c r="AP6" s="6">
        <v>7322717</v>
      </c>
    </row>
    <row r="7" spans="1:42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80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57928448</v>
      </c>
      <c r="K7" s="5" t="s">
        <v>81</v>
      </c>
      <c r="L7" s="5"/>
      <c r="M7" s="5"/>
      <c r="N7" s="5" t="s">
        <v>82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1800</v>
      </c>
      <c r="T7" s="6">
        <v>9405800</v>
      </c>
      <c r="U7" s="6">
        <v>7393700</v>
      </c>
      <c r="V7" s="6">
        <v>0</v>
      </c>
      <c r="W7" s="6">
        <v>0</v>
      </c>
      <c r="X7" s="6">
        <v>0</v>
      </c>
      <c r="Y7" s="6">
        <v>34370</v>
      </c>
      <c r="Z7" s="6">
        <v>571180</v>
      </c>
      <c r="AA7" s="6">
        <v>0</v>
      </c>
      <c r="AB7" s="6">
        <v>0</v>
      </c>
      <c r="AC7" s="6">
        <v>1406550</v>
      </c>
      <c r="AD7" s="6">
        <v>9469792</v>
      </c>
      <c r="AE7" s="6">
        <v>7393700</v>
      </c>
      <c r="AF7" s="6">
        <v>0</v>
      </c>
      <c r="AG7" s="6">
        <v>0</v>
      </c>
      <c r="AH7" s="6">
        <v>0</v>
      </c>
      <c r="AI7" s="6">
        <v>41244</v>
      </c>
      <c r="AJ7" s="6">
        <v>628298</v>
      </c>
      <c r="AK7" s="6">
        <v>0</v>
      </c>
      <c r="AL7" s="6">
        <v>0</v>
      </c>
      <c r="AM7" s="6">
        <v>1406550</v>
      </c>
      <c r="AN7" s="6">
        <v>5208386</v>
      </c>
      <c r="AO7" s="6">
        <v>0</v>
      </c>
      <c r="AP7" s="6">
        <v>5208386</v>
      </c>
    </row>
    <row r="8" spans="1:42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57</v>
      </c>
      <c r="S8" s="6">
        <v>5400</v>
      </c>
      <c r="T8" s="6">
        <v>2573200</v>
      </c>
      <c r="U8" s="6">
        <v>2163350</v>
      </c>
      <c r="V8" s="6">
        <v>0</v>
      </c>
      <c r="W8" s="6">
        <v>0</v>
      </c>
      <c r="X8" s="6">
        <v>0</v>
      </c>
      <c r="Y8" s="6">
        <v>24400</v>
      </c>
      <c r="Z8" s="6">
        <v>227350</v>
      </c>
      <c r="AA8" s="6">
        <v>0</v>
      </c>
      <c r="AB8" s="6">
        <v>0</v>
      </c>
      <c r="AC8" s="6">
        <v>158100</v>
      </c>
      <c r="AD8" s="6">
        <v>2600815</v>
      </c>
      <c r="AE8" s="6">
        <v>2163350</v>
      </c>
      <c r="AF8" s="6">
        <v>0</v>
      </c>
      <c r="AG8" s="6">
        <v>0</v>
      </c>
      <c r="AH8" s="6">
        <v>0</v>
      </c>
      <c r="AI8" s="6">
        <v>29280</v>
      </c>
      <c r="AJ8" s="6">
        <v>250085</v>
      </c>
      <c r="AK8" s="6">
        <v>0</v>
      </c>
      <c r="AL8" s="6">
        <v>0</v>
      </c>
      <c r="AM8" s="6">
        <v>158100</v>
      </c>
      <c r="AN8" s="6">
        <v>1430448</v>
      </c>
      <c r="AO8" s="6">
        <v>0</v>
      </c>
      <c r="AP8" s="6">
        <v>1430448</v>
      </c>
    </row>
    <row r="9" spans="1:42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57</v>
      </c>
      <c r="S9" s="6">
        <v>9000</v>
      </c>
      <c r="T9" s="6">
        <v>934400</v>
      </c>
      <c r="U9" s="6">
        <v>806400</v>
      </c>
      <c r="V9" s="6">
        <v>0</v>
      </c>
      <c r="W9" s="6">
        <v>0</v>
      </c>
      <c r="X9" s="6">
        <v>0</v>
      </c>
      <c r="Y9" s="6">
        <v>9000</v>
      </c>
      <c r="Z9" s="6">
        <v>82200</v>
      </c>
      <c r="AA9" s="6">
        <v>0</v>
      </c>
      <c r="AB9" s="6">
        <v>0</v>
      </c>
      <c r="AC9" s="6">
        <v>36800</v>
      </c>
      <c r="AD9" s="6">
        <v>944420</v>
      </c>
      <c r="AE9" s="6">
        <v>806400</v>
      </c>
      <c r="AF9" s="6">
        <v>0</v>
      </c>
      <c r="AG9" s="6">
        <v>0</v>
      </c>
      <c r="AH9" s="6">
        <v>0</v>
      </c>
      <c r="AI9" s="6">
        <v>10800</v>
      </c>
      <c r="AJ9" s="6">
        <v>90420</v>
      </c>
      <c r="AK9" s="6">
        <v>0</v>
      </c>
      <c r="AL9" s="6">
        <v>0</v>
      </c>
      <c r="AM9" s="6">
        <v>36800</v>
      </c>
      <c r="AN9" s="6">
        <v>519431</v>
      </c>
      <c r="AO9" s="6">
        <v>0</v>
      </c>
      <c r="AP9" s="6">
        <v>519431</v>
      </c>
    </row>
    <row r="10" spans="1:42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53361105</v>
      </c>
      <c r="K10" s="5" t="s">
        <v>54</v>
      </c>
      <c r="L10" s="5"/>
      <c r="M10" s="5"/>
      <c r="N10" s="5" t="s">
        <v>55</v>
      </c>
      <c r="O10" s="5" t="s">
        <v>22</v>
      </c>
      <c r="P10" s="5">
        <v>0.55000000000000004</v>
      </c>
      <c r="Q10" s="5">
        <v>0.55000000000000004</v>
      </c>
      <c r="R10" s="6" t="s">
        <v>24</v>
      </c>
      <c r="S10" s="6">
        <v>400</v>
      </c>
      <c r="T10" s="6">
        <v>126400</v>
      </c>
      <c r="U10" s="6">
        <v>93100</v>
      </c>
      <c r="V10" s="6">
        <v>0</v>
      </c>
      <c r="W10" s="6">
        <v>0</v>
      </c>
      <c r="X10" s="6">
        <v>0</v>
      </c>
      <c r="Y10" s="6">
        <v>0</v>
      </c>
      <c r="Z10" s="6">
        <v>4800</v>
      </c>
      <c r="AA10" s="6">
        <v>0</v>
      </c>
      <c r="AB10" s="6">
        <v>0</v>
      </c>
      <c r="AC10" s="6">
        <v>28500</v>
      </c>
      <c r="AD10" s="6">
        <v>126880</v>
      </c>
      <c r="AE10" s="6">
        <v>93100</v>
      </c>
      <c r="AF10" s="6">
        <v>0</v>
      </c>
      <c r="AG10" s="6">
        <v>0</v>
      </c>
      <c r="AH10" s="6">
        <v>0</v>
      </c>
      <c r="AI10" s="6">
        <v>0</v>
      </c>
      <c r="AJ10" s="6">
        <v>5280</v>
      </c>
      <c r="AK10" s="6">
        <v>0</v>
      </c>
      <c r="AL10" s="6">
        <v>0</v>
      </c>
      <c r="AM10" s="6">
        <v>28500</v>
      </c>
      <c r="AN10" s="6">
        <v>69784</v>
      </c>
      <c r="AO10" s="6">
        <v>0</v>
      </c>
      <c r="AP10" s="6">
        <v>69784</v>
      </c>
    </row>
    <row r="11" spans="1:42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53361105</v>
      </c>
      <c r="K11" s="5" t="s">
        <v>54</v>
      </c>
      <c r="L11" s="5"/>
      <c r="M11" s="5"/>
      <c r="N11" s="5" t="s">
        <v>55</v>
      </c>
      <c r="O11" s="5" t="s">
        <v>22</v>
      </c>
      <c r="P11" s="5">
        <v>0.55000000000000004</v>
      </c>
      <c r="Q11" s="5">
        <v>0.55000000000000004</v>
      </c>
      <c r="R11" s="6" t="s">
        <v>23</v>
      </c>
      <c r="S11" s="6">
        <v>3600</v>
      </c>
      <c r="T11" s="6">
        <v>97200</v>
      </c>
      <c r="U11" s="6">
        <v>73600</v>
      </c>
      <c r="V11" s="6">
        <v>0</v>
      </c>
      <c r="W11" s="6">
        <v>0</v>
      </c>
      <c r="X11" s="6">
        <v>0</v>
      </c>
      <c r="Y11" s="6">
        <v>0</v>
      </c>
      <c r="Z11" s="6">
        <v>10800</v>
      </c>
      <c r="AA11" s="6">
        <v>0</v>
      </c>
      <c r="AB11" s="6">
        <v>0</v>
      </c>
      <c r="AC11" s="6">
        <v>12800</v>
      </c>
      <c r="AD11" s="6">
        <v>98280</v>
      </c>
      <c r="AE11" s="6">
        <v>73600</v>
      </c>
      <c r="AF11" s="6">
        <v>0</v>
      </c>
      <c r="AG11" s="6">
        <v>0</v>
      </c>
      <c r="AH11" s="6">
        <v>0</v>
      </c>
      <c r="AI11" s="6">
        <v>0</v>
      </c>
      <c r="AJ11" s="6">
        <v>11880</v>
      </c>
      <c r="AK11" s="6">
        <v>0</v>
      </c>
      <c r="AL11" s="6">
        <v>0</v>
      </c>
      <c r="AM11" s="6">
        <v>12800</v>
      </c>
      <c r="AN11" s="6">
        <v>54054</v>
      </c>
      <c r="AO11" s="6">
        <v>0</v>
      </c>
      <c r="AP11" s="6">
        <v>54054</v>
      </c>
    </row>
    <row r="12" spans="1:42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53361105</v>
      </c>
      <c r="K12" s="5" t="s">
        <v>54</v>
      </c>
      <c r="L12" s="5"/>
      <c r="M12" s="5"/>
      <c r="N12" s="5" t="s">
        <v>55</v>
      </c>
      <c r="O12" s="5" t="s">
        <v>22</v>
      </c>
      <c r="P12" s="5">
        <v>0.55000000000000004</v>
      </c>
      <c r="Q12" s="5">
        <v>0.55000000000000004</v>
      </c>
      <c r="R12" s="6" t="s">
        <v>23</v>
      </c>
      <c r="S12" s="6">
        <v>10800</v>
      </c>
      <c r="T12" s="6">
        <v>54000</v>
      </c>
      <c r="U12" s="6">
        <v>21100</v>
      </c>
      <c r="V12" s="6">
        <v>0</v>
      </c>
      <c r="W12" s="6">
        <v>0</v>
      </c>
      <c r="X12" s="6">
        <v>0</v>
      </c>
      <c r="Y12" s="6">
        <v>0</v>
      </c>
      <c r="Z12" s="6">
        <v>32400</v>
      </c>
      <c r="AA12" s="6">
        <v>0</v>
      </c>
      <c r="AB12" s="6">
        <v>0</v>
      </c>
      <c r="AC12" s="6">
        <v>500</v>
      </c>
      <c r="AD12" s="6">
        <v>57240</v>
      </c>
      <c r="AE12" s="6">
        <v>21100</v>
      </c>
      <c r="AF12" s="6">
        <v>0</v>
      </c>
      <c r="AG12" s="6">
        <v>0</v>
      </c>
      <c r="AH12" s="6">
        <v>0</v>
      </c>
      <c r="AI12" s="6">
        <v>0</v>
      </c>
      <c r="AJ12" s="6">
        <v>35640</v>
      </c>
      <c r="AK12" s="6">
        <v>0</v>
      </c>
      <c r="AL12" s="6">
        <v>0</v>
      </c>
      <c r="AM12" s="6">
        <v>500</v>
      </c>
      <c r="AN12" s="6">
        <v>31482</v>
      </c>
      <c r="AO12" s="6">
        <v>0</v>
      </c>
      <c r="AP12" s="6">
        <v>31482</v>
      </c>
    </row>
    <row r="13" spans="1:42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53361105</v>
      </c>
      <c r="K13" s="5" t="s">
        <v>54</v>
      </c>
      <c r="L13" s="5"/>
      <c r="M13" s="5"/>
      <c r="N13" s="5" t="s">
        <v>55</v>
      </c>
      <c r="O13" s="5" t="s">
        <v>22</v>
      </c>
      <c r="P13" s="5">
        <v>0.55000000000000004</v>
      </c>
      <c r="Q13" s="5">
        <v>0.55000000000000004</v>
      </c>
      <c r="R13" s="6" t="s">
        <v>23</v>
      </c>
      <c r="S13" s="6">
        <v>18000</v>
      </c>
      <c r="T13" s="6">
        <v>75200</v>
      </c>
      <c r="U13" s="6">
        <v>62200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13000</v>
      </c>
      <c r="AD13" s="6">
        <v>75200</v>
      </c>
      <c r="AE13" s="6">
        <v>62200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13000</v>
      </c>
      <c r="AN13" s="6">
        <v>41360</v>
      </c>
      <c r="AO13" s="6">
        <v>0</v>
      </c>
      <c r="AP13" s="6">
        <v>41360</v>
      </c>
    </row>
    <row r="14" spans="1:42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52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53361105</v>
      </c>
      <c r="K14" s="5" t="s">
        <v>54</v>
      </c>
      <c r="L14" s="5"/>
      <c r="M14" s="5"/>
      <c r="N14" s="5" t="s">
        <v>55</v>
      </c>
      <c r="O14" s="5" t="s">
        <v>22</v>
      </c>
      <c r="P14" s="5">
        <v>0.55000000000000004</v>
      </c>
      <c r="Q14" s="5">
        <v>0.55000000000000004</v>
      </c>
      <c r="R14" s="6" t="s">
        <v>56</v>
      </c>
      <c r="S14" s="6">
        <v>200</v>
      </c>
      <c r="T14" s="6">
        <v>2843400</v>
      </c>
      <c r="U14" s="6">
        <v>1296300</v>
      </c>
      <c r="V14" s="6">
        <v>0</v>
      </c>
      <c r="W14" s="6">
        <v>0</v>
      </c>
      <c r="X14" s="6">
        <v>0</v>
      </c>
      <c r="Y14" s="6">
        <v>70370</v>
      </c>
      <c r="Z14" s="6">
        <v>96130</v>
      </c>
      <c r="AA14" s="6">
        <v>0</v>
      </c>
      <c r="AB14" s="6">
        <v>0</v>
      </c>
      <c r="AC14" s="6">
        <v>1380600</v>
      </c>
      <c r="AD14" s="6">
        <v>2867087</v>
      </c>
      <c r="AE14" s="6">
        <v>1296300</v>
      </c>
      <c r="AF14" s="6">
        <v>0</v>
      </c>
      <c r="AG14" s="6">
        <v>0</v>
      </c>
      <c r="AH14" s="6">
        <v>0</v>
      </c>
      <c r="AI14" s="6">
        <v>84444</v>
      </c>
      <c r="AJ14" s="6">
        <v>105743</v>
      </c>
      <c r="AK14" s="6">
        <v>0</v>
      </c>
      <c r="AL14" s="6">
        <v>0</v>
      </c>
      <c r="AM14" s="6">
        <v>1380600</v>
      </c>
      <c r="AN14" s="6">
        <v>1576898</v>
      </c>
      <c r="AO14" s="6">
        <v>0</v>
      </c>
      <c r="AP14" s="6">
        <v>1576898</v>
      </c>
    </row>
    <row r="15" spans="1:42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52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53361105</v>
      </c>
      <c r="K15" s="5" t="s">
        <v>54</v>
      </c>
      <c r="L15" s="5"/>
      <c r="M15" s="5"/>
      <c r="N15" s="5" t="s">
        <v>55</v>
      </c>
      <c r="O15" s="5" t="s">
        <v>22</v>
      </c>
      <c r="P15" s="5">
        <v>0.55000000000000004</v>
      </c>
      <c r="Q15" s="5">
        <v>0.55000000000000004</v>
      </c>
      <c r="R15" s="6" t="s">
        <v>57</v>
      </c>
      <c r="S15" s="6">
        <v>1800</v>
      </c>
      <c r="T15" s="6">
        <v>1451000</v>
      </c>
      <c r="U15" s="6">
        <v>1088400</v>
      </c>
      <c r="V15" s="6">
        <v>0</v>
      </c>
      <c r="W15" s="6">
        <v>0</v>
      </c>
      <c r="X15" s="6">
        <v>0</v>
      </c>
      <c r="Y15" s="6">
        <v>16100</v>
      </c>
      <c r="Z15" s="6">
        <v>160400</v>
      </c>
      <c r="AA15" s="6">
        <v>0</v>
      </c>
      <c r="AB15" s="6">
        <v>0</v>
      </c>
      <c r="AC15" s="6">
        <v>186100</v>
      </c>
      <c r="AD15" s="6">
        <v>1470260</v>
      </c>
      <c r="AE15" s="6">
        <v>1088400</v>
      </c>
      <c r="AF15" s="6">
        <v>0</v>
      </c>
      <c r="AG15" s="6">
        <v>0</v>
      </c>
      <c r="AH15" s="6">
        <v>0</v>
      </c>
      <c r="AI15" s="6">
        <v>19320</v>
      </c>
      <c r="AJ15" s="6">
        <v>176440</v>
      </c>
      <c r="AK15" s="6">
        <v>0</v>
      </c>
      <c r="AL15" s="6">
        <v>0</v>
      </c>
      <c r="AM15" s="6">
        <v>186100</v>
      </c>
      <c r="AN15" s="6">
        <v>808643</v>
      </c>
      <c r="AO15" s="6">
        <v>0</v>
      </c>
      <c r="AP15" s="6">
        <v>808643</v>
      </c>
    </row>
    <row r="16" spans="1:42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53361105</v>
      </c>
      <c r="K16" s="5" t="s">
        <v>54</v>
      </c>
      <c r="L16" s="5"/>
      <c r="M16" s="5"/>
      <c r="N16" s="5" t="s">
        <v>55</v>
      </c>
      <c r="O16" s="5" t="s">
        <v>22</v>
      </c>
      <c r="P16" s="5">
        <v>0.55000000000000004</v>
      </c>
      <c r="Q16" s="5">
        <v>0.55000000000000004</v>
      </c>
      <c r="R16" s="6" t="s">
        <v>57</v>
      </c>
      <c r="S16" s="6">
        <v>5400</v>
      </c>
      <c r="T16" s="6">
        <v>562800</v>
      </c>
      <c r="U16" s="6">
        <v>488300</v>
      </c>
      <c r="V16" s="6">
        <v>0</v>
      </c>
      <c r="W16" s="6">
        <v>0</v>
      </c>
      <c r="X16" s="6">
        <v>0</v>
      </c>
      <c r="Y16" s="6">
        <v>-4200</v>
      </c>
      <c r="Z16" s="6">
        <v>24800</v>
      </c>
      <c r="AA16" s="6">
        <v>0</v>
      </c>
      <c r="AB16" s="6">
        <v>0</v>
      </c>
      <c r="AC16" s="6">
        <v>53900</v>
      </c>
      <c r="AD16" s="6">
        <v>564440</v>
      </c>
      <c r="AE16" s="6">
        <v>488300</v>
      </c>
      <c r="AF16" s="6">
        <v>0</v>
      </c>
      <c r="AG16" s="6">
        <v>0</v>
      </c>
      <c r="AH16" s="6">
        <v>0</v>
      </c>
      <c r="AI16" s="6">
        <v>-5040</v>
      </c>
      <c r="AJ16" s="6">
        <v>27280</v>
      </c>
      <c r="AK16" s="6">
        <v>0</v>
      </c>
      <c r="AL16" s="6">
        <v>0</v>
      </c>
      <c r="AM16" s="6">
        <v>53900</v>
      </c>
      <c r="AN16" s="6">
        <v>310442</v>
      </c>
      <c r="AO16" s="6">
        <v>0</v>
      </c>
      <c r="AP16" s="6">
        <v>310442</v>
      </c>
    </row>
    <row r="17" spans="1:42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53361105</v>
      </c>
      <c r="K17" s="5" t="s">
        <v>54</v>
      </c>
      <c r="L17" s="5"/>
      <c r="M17" s="5"/>
      <c r="N17" s="5" t="s">
        <v>55</v>
      </c>
      <c r="O17" s="5" t="s">
        <v>22</v>
      </c>
      <c r="P17" s="5">
        <v>0.55000000000000004</v>
      </c>
      <c r="Q17" s="5">
        <v>0.55000000000000004</v>
      </c>
      <c r="R17" s="6" t="s">
        <v>57</v>
      </c>
      <c r="S17" s="6">
        <v>9000</v>
      </c>
      <c r="T17" s="6">
        <v>678600</v>
      </c>
      <c r="U17" s="6">
        <v>484300</v>
      </c>
      <c r="V17" s="6">
        <v>0</v>
      </c>
      <c r="W17" s="6">
        <v>0</v>
      </c>
      <c r="X17" s="6">
        <v>0</v>
      </c>
      <c r="Y17" s="6">
        <v>600</v>
      </c>
      <c r="Z17" s="6">
        <v>172200</v>
      </c>
      <c r="AA17" s="6">
        <v>0</v>
      </c>
      <c r="AB17" s="6">
        <v>0</v>
      </c>
      <c r="AC17" s="6">
        <v>21500</v>
      </c>
      <c r="AD17" s="6">
        <v>695940</v>
      </c>
      <c r="AE17" s="6">
        <v>484300</v>
      </c>
      <c r="AF17" s="6">
        <v>0</v>
      </c>
      <c r="AG17" s="6">
        <v>0</v>
      </c>
      <c r="AH17" s="6">
        <v>0</v>
      </c>
      <c r="AI17" s="6">
        <v>720</v>
      </c>
      <c r="AJ17" s="6">
        <v>189420</v>
      </c>
      <c r="AK17" s="6">
        <v>0</v>
      </c>
      <c r="AL17" s="6">
        <v>0</v>
      </c>
      <c r="AM17" s="6">
        <v>21500</v>
      </c>
      <c r="AN17" s="6">
        <v>382767</v>
      </c>
      <c r="AO17" s="6">
        <v>0</v>
      </c>
      <c r="AP17" s="6">
        <v>382767</v>
      </c>
    </row>
    <row r="18" spans="1:42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53361778</v>
      </c>
      <c r="K18" s="5" t="s">
        <v>58</v>
      </c>
      <c r="L18" s="5"/>
      <c r="M18" s="5"/>
      <c r="N18" s="5" t="s">
        <v>59</v>
      </c>
      <c r="O18" s="5" t="s">
        <v>22</v>
      </c>
      <c r="P18" s="5">
        <v>0.55000000000000004</v>
      </c>
      <c r="Q18" s="5">
        <v>0.55000000000000004</v>
      </c>
      <c r="R18" s="6" t="s">
        <v>24</v>
      </c>
      <c r="S18" s="6">
        <v>400</v>
      </c>
      <c r="T18" s="6">
        <v>800</v>
      </c>
      <c r="U18" s="6">
        <v>300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500</v>
      </c>
      <c r="AD18" s="6">
        <v>800</v>
      </c>
      <c r="AE18" s="6">
        <v>300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500</v>
      </c>
      <c r="AN18" s="6">
        <v>440</v>
      </c>
      <c r="AO18" s="6">
        <v>0</v>
      </c>
      <c r="AP18" s="6">
        <v>440</v>
      </c>
    </row>
    <row r="19" spans="1:42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53361778</v>
      </c>
      <c r="K19" s="5" t="s">
        <v>58</v>
      </c>
      <c r="L19" s="5"/>
      <c r="M19" s="5"/>
      <c r="N19" s="5" t="s">
        <v>59</v>
      </c>
      <c r="O19" s="5" t="s">
        <v>22</v>
      </c>
      <c r="P19" s="5">
        <v>0.55000000000000004</v>
      </c>
      <c r="Q19" s="5">
        <v>0.55000000000000004</v>
      </c>
      <c r="R19" s="6" t="s">
        <v>56</v>
      </c>
      <c r="S19" s="6">
        <v>200</v>
      </c>
      <c r="T19" s="6">
        <v>193400</v>
      </c>
      <c r="U19" s="6">
        <v>74650</v>
      </c>
      <c r="V19" s="6">
        <v>0</v>
      </c>
      <c r="W19" s="6">
        <v>0</v>
      </c>
      <c r="X19" s="6">
        <v>0</v>
      </c>
      <c r="Y19" s="6">
        <v>0</v>
      </c>
      <c r="Z19" s="6">
        <v>2200</v>
      </c>
      <c r="AA19" s="6">
        <v>0</v>
      </c>
      <c r="AB19" s="6">
        <v>0</v>
      </c>
      <c r="AC19" s="6">
        <v>116550</v>
      </c>
      <c r="AD19" s="6">
        <v>193620</v>
      </c>
      <c r="AE19" s="6">
        <v>74650</v>
      </c>
      <c r="AF19" s="6">
        <v>0</v>
      </c>
      <c r="AG19" s="6">
        <v>0</v>
      </c>
      <c r="AH19" s="6">
        <v>0</v>
      </c>
      <c r="AI19" s="6">
        <v>0</v>
      </c>
      <c r="AJ19" s="6">
        <v>2420</v>
      </c>
      <c r="AK19" s="6">
        <v>0</v>
      </c>
      <c r="AL19" s="6">
        <v>0</v>
      </c>
      <c r="AM19" s="6">
        <v>116550</v>
      </c>
      <c r="AN19" s="6">
        <v>106491</v>
      </c>
      <c r="AO19" s="6">
        <v>0</v>
      </c>
      <c r="AP19" s="6">
        <v>106491</v>
      </c>
    </row>
    <row r="20" spans="1:42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53361778</v>
      </c>
      <c r="K20" s="5" t="s">
        <v>58</v>
      </c>
      <c r="L20" s="5"/>
      <c r="M20" s="5"/>
      <c r="N20" s="5" t="s">
        <v>59</v>
      </c>
      <c r="O20" s="5" t="s">
        <v>22</v>
      </c>
      <c r="P20" s="5">
        <v>0.55000000000000004</v>
      </c>
      <c r="Q20" s="5">
        <v>0.55000000000000004</v>
      </c>
      <c r="R20" s="6" t="s">
        <v>57</v>
      </c>
      <c r="S20" s="6">
        <v>1800</v>
      </c>
      <c r="T20" s="6">
        <v>177600</v>
      </c>
      <c r="U20" s="6">
        <v>150300</v>
      </c>
      <c r="V20" s="6">
        <v>0</v>
      </c>
      <c r="W20" s="6">
        <v>0</v>
      </c>
      <c r="X20" s="6">
        <v>0</v>
      </c>
      <c r="Y20" s="6">
        <v>0</v>
      </c>
      <c r="Z20" s="6">
        <v>10800</v>
      </c>
      <c r="AA20" s="6">
        <v>0</v>
      </c>
      <c r="AB20" s="6">
        <v>0</v>
      </c>
      <c r="AC20" s="6">
        <v>16500</v>
      </c>
      <c r="AD20" s="6">
        <v>178680</v>
      </c>
      <c r="AE20" s="6">
        <v>150300</v>
      </c>
      <c r="AF20" s="6">
        <v>0</v>
      </c>
      <c r="AG20" s="6">
        <v>0</v>
      </c>
      <c r="AH20" s="6">
        <v>0</v>
      </c>
      <c r="AI20" s="6">
        <v>0</v>
      </c>
      <c r="AJ20" s="6">
        <v>11880</v>
      </c>
      <c r="AK20" s="6">
        <v>0</v>
      </c>
      <c r="AL20" s="6">
        <v>0</v>
      </c>
      <c r="AM20" s="6">
        <v>16500</v>
      </c>
      <c r="AN20" s="6">
        <v>98274</v>
      </c>
      <c r="AO20" s="6">
        <v>0</v>
      </c>
      <c r="AP20" s="6">
        <v>98274</v>
      </c>
    </row>
    <row r="21" spans="1:42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53361778</v>
      </c>
      <c r="K21" s="5" t="s">
        <v>58</v>
      </c>
      <c r="L21" s="5"/>
      <c r="M21" s="5"/>
      <c r="N21" s="5" t="s">
        <v>59</v>
      </c>
      <c r="O21" s="5" t="s">
        <v>22</v>
      </c>
      <c r="P21" s="5">
        <v>0.55000000000000004</v>
      </c>
      <c r="Q21" s="5">
        <v>0.55000000000000004</v>
      </c>
      <c r="R21" s="6" t="s">
        <v>57</v>
      </c>
      <c r="S21" s="6">
        <v>5400</v>
      </c>
      <c r="T21" s="6">
        <v>48400</v>
      </c>
      <c r="U21" s="6">
        <v>48100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300</v>
      </c>
      <c r="AD21" s="6">
        <v>48400</v>
      </c>
      <c r="AE21" s="6">
        <v>48100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300</v>
      </c>
      <c r="AN21" s="6">
        <v>26620</v>
      </c>
      <c r="AO21" s="6">
        <v>0</v>
      </c>
      <c r="AP21" s="6">
        <v>26620</v>
      </c>
    </row>
    <row r="22" spans="1:42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53361778</v>
      </c>
      <c r="K22" s="5" t="s">
        <v>58</v>
      </c>
      <c r="L22" s="5"/>
      <c r="M22" s="5"/>
      <c r="N22" s="5" t="s">
        <v>59</v>
      </c>
      <c r="O22" s="5" t="s">
        <v>22</v>
      </c>
      <c r="P22" s="5">
        <v>0.55000000000000004</v>
      </c>
      <c r="Q22" s="5">
        <v>0.55000000000000004</v>
      </c>
      <c r="R22" s="6" t="s">
        <v>57</v>
      </c>
      <c r="S22" s="6">
        <v>9000</v>
      </c>
      <c r="T22" s="6">
        <v>18000</v>
      </c>
      <c r="U22" s="6">
        <v>17300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700</v>
      </c>
      <c r="AD22" s="6">
        <v>18000</v>
      </c>
      <c r="AE22" s="6">
        <v>17300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700</v>
      </c>
      <c r="AN22" s="6">
        <v>9900</v>
      </c>
      <c r="AO22" s="6">
        <v>0</v>
      </c>
      <c r="AP22" s="6">
        <v>9900</v>
      </c>
    </row>
    <row r="23" spans="1:42" x14ac:dyDescent="0.4">
      <c r="A23" s="5" t="s">
        <v>60</v>
      </c>
      <c r="B23" s="5" t="s">
        <v>49</v>
      </c>
      <c r="C23" s="5" t="s">
        <v>50</v>
      </c>
      <c r="D23" s="5" t="s">
        <v>51</v>
      </c>
      <c r="E23" s="5"/>
      <c r="F23" s="5" t="s">
        <v>61</v>
      </c>
      <c r="G23" s="5" t="s">
        <v>20</v>
      </c>
      <c r="H23" s="5" t="s">
        <v>21</v>
      </c>
      <c r="I23" s="5" t="s">
        <v>53</v>
      </c>
      <c r="J23" s="5">
        <v>57328143</v>
      </c>
      <c r="K23" s="5" t="s">
        <v>78</v>
      </c>
      <c r="L23" s="5"/>
      <c r="M23" s="5"/>
      <c r="N23" s="5" t="s">
        <v>79</v>
      </c>
      <c r="O23" s="5" t="s">
        <v>22</v>
      </c>
      <c r="P23" s="5">
        <v>0.7</v>
      </c>
      <c r="Q23" s="5">
        <v>0.6</v>
      </c>
      <c r="R23" s="6" t="s">
        <v>24</v>
      </c>
      <c r="S23" s="6">
        <v>400</v>
      </c>
      <c r="T23" s="6">
        <v>67600</v>
      </c>
      <c r="U23" s="6">
        <v>9400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58200</v>
      </c>
      <c r="AD23" s="6">
        <v>67600</v>
      </c>
      <c r="AE23" s="6">
        <v>9400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58200</v>
      </c>
      <c r="AN23" s="6">
        <v>47320</v>
      </c>
      <c r="AO23" s="6">
        <v>0</v>
      </c>
      <c r="AP23" s="6">
        <v>47320</v>
      </c>
    </row>
    <row r="24" spans="1:42" x14ac:dyDescent="0.4">
      <c r="A24" s="5" t="s">
        <v>60</v>
      </c>
      <c r="B24" s="5" t="s">
        <v>49</v>
      </c>
      <c r="C24" s="5" t="s">
        <v>50</v>
      </c>
      <c r="D24" s="5" t="s">
        <v>51</v>
      </c>
      <c r="E24" s="5"/>
      <c r="F24" s="5" t="s">
        <v>61</v>
      </c>
      <c r="G24" s="5" t="s">
        <v>20</v>
      </c>
      <c r="H24" s="5" t="s">
        <v>21</v>
      </c>
      <c r="I24" s="5" t="s">
        <v>53</v>
      </c>
      <c r="J24" s="5">
        <v>57328143</v>
      </c>
      <c r="K24" s="5" t="s">
        <v>78</v>
      </c>
      <c r="L24" s="5"/>
      <c r="M24" s="5"/>
      <c r="N24" s="5" t="s">
        <v>79</v>
      </c>
      <c r="O24" s="5" t="s">
        <v>22</v>
      </c>
      <c r="P24" s="5">
        <v>0.7</v>
      </c>
      <c r="Q24" s="5">
        <v>0.6</v>
      </c>
      <c r="R24" s="6" t="s">
        <v>23</v>
      </c>
      <c r="S24" s="6">
        <v>3600</v>
      </c>
      <c r="T24" s="6">
        <v>25200</v>
      </c>
      <c r="U24" s="6">
        <v>15700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9500</v>
      </c>
      <c r="AD24" s="6">
        <v>25200</v>
      </c>
      <c r="AE24" s="6">
        <v>15700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9500</v>
      </c>
      <c r="AN24" s="6">
        <v>17640</v>
      </c>
      <c r="AO24" s="6">
        <v>0</v>
      </c>
      <c r="AP24" s="6">
        <v>17640</v>
      </c>
    </row>
    <row r="25" spans="1:42" x14ac:dyDescent="0.4">
      <c r="A25" s="5" t="s">
        <v>60</v>
      </c>
      <c r="B25" s="5" t="s">
        <v>49</v>
      </c>
      <c r="C25" s="5" t="s">
        <v>50</v>
      </c>
      <c r="D25" s="5" t="s">
        <v>51</v>
      </c>
      <c r="E25" s="5"/>
      <c r="F25" s="5" t="s">
        <v>61</v>
      </c>
      <c r="G25" s="5" t="s">
        <v>20</v>
      </c>
      <c r="H25" s="5" t="s">
        <v>21</v>
      </c>
      <c r="I25" s="5" t="s">
        <v>53</v>
      </c>
      <c r="J25" s="5">
        <v>57328143</v>
      </c>
      <c r="K25" s="5" t="s">
        <v>78</v>
      </c>
      <c r="L25" s="5"/>
      <c r="M25" s="5"/>
      <c r="N25" s="5" t="s">
        <v>79</v>
      </c>
      <c r="O25" s="5" t="s">
        <v>22</v>
      </c>
      <c r="P25" s="5">
        <v>0.7</v>
      </c>
      <c r="Q25" s="5">
        <v>0.6</v>
      </c>
      <c r="R25" s="6" t="s">
        <v>23</v>
      </c>
      <c r="S25" s="6">
        <v>7200</v>
      </c>
      <c r="T25" s="6">
        <v>14400</v>
      </c>
      <c r="U25" s="6">
        <v>14400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14400</v>
      </c>
      <c r="AE25" s="6">
        <v>14400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10080</v>
      </c>
      <c r="AO25" s="6">
        <v>0</v>
      </c>
      <c r="AP25" s="6">
        <v>10080</v>
      </c>
    </row>
    <row r="26" spans="1:42" x14ac:dyDescent="0.4">
      <c r="A26" s="5" t="s">
        <v>60</v>
      </c>
      <c r="B26" s="5" t="s">
        <v>49</v>
      </c>
      <c r="C26" s="5" t="s">
        <v>50</v>
      </c>
      <c r="D26" s="5" t="s">
        <v>51</v>
      </c>
      <c r="E26" s="5"/>
      <c r="F26" s="5" t="s">
        <v>61</v>
      </c>
      <c r="G26" s="5" t="s">
        <v>20</v>
      </c>
      <c r="H26" s="5" t="s">
        <v>21</v>
      </c>
      <c r="I26" s="5" t="s">
        <v>53</v>
      </c>
      <c r="J26" s="5">
        <v>57328143</v>
      </c>
      <c r="K26" s="5" t="s">
        <v>78</v>
      </c>
      <c r="L26" s="5"/>
      <c r="M26" s="5"/>
      <c r="N26" s="5" t="s">
        <v>79</v>
      </c>
      <c r="O26" s="5" t="s">
        <v>22</v>
      </c>
      <c r="P26" s="5">
        <v>0.7</v>
      </c>
      <c r="Q26" s="5">
        <v>0.6</v>
      </c>
      <c r="R26" s="6" t="s">
        <v>56</v>
      </c>
      <c r="S26" s="6">
        <v>200</v>
      </c>
      <c r="T26" s="6">
        <v>496200</v>
      </c>
      <c r="U26" s="6">
        <v>62850</v>
      </c>
      <c r="V26" s="6">
        <v>0</v>
      </c>
      <c r="W26" s="6">
        <v>0</v>
      </c>
      <c r="X26" s="6">
        <v>0</v>
      </c>
      <c r="Y26" s="6">
        <v>17500</v>
      </c>
      <c r="Z26" s="6">
        <v>4800</v>
      </c>
      <c r="AA26" s="6">
        <v>0</v>
      </c>
      <c r="AB26" s="6">
        <v>0</v>
      </c>
      <c r="AC26" s="6">
        <v>411050</v>
      </c>
      <c r="AD26" s="6">
        <v>500180</v>
      </c>
      <c r="AE26" s="6">
        <v>62850</v>
      </c>
      <c r="AF26" s="6">
        <v>0</v>
      </c>
      <c r="AG26" s="6">
        <v>0</v>
      </c>
      <c r="AH26" s="6">
        <v>0</v>
      </c>
      <c r="AI26" s="6">
        <v>21000</v>
      </c>
      <c r="AJ26" s="6">
        <v>5280</v>
      </c>
      <c r="AK26" s="6">
        <v>0</v>
      </c>
      <c r="AL26" s="6">
        <v>0</v>
      </c>
      <c r="AM26" s="6">
        <v>411050</v>
      </c>
      <c r="AN26" s="6">
        <v>347498</v>
      </c>
      <c r="AO26" s="6">
        <v>0</v>
      </c>
      <c r="AP26" s="6">
        <v>347498</v>
      </c>
    </row>
    <row r="27" spans="1:42" x14ac:dyDescent="0.4">
      <c r="A27" s="5" t="s">
        <v>60</v>
      </c>
      <c r="B27" s="5" t="s">
        <v>49</v>
      </c>
      <c r="C27" s="5" t="s">
        <v>50</v>
      </c>
      <c r="D27" s="5" t="s">
        <v>51</v>
      </c>
      <c r="E27" s="5"/>
      <c r="F27" s="5" t="s">
        <v>61</v>
      </c>
      <c r="G27" s="5" t="s">
        <v>20</v>
      </c>
      <c r="H27" s="5" t="s">
        <v>21</v>
      </c>
      <c r="I27" s="5" t="s">
        <v>53</v>
      </c>
      <c r="J27" s="5">
        <v>57328143</v>
      </c>
      <c r="K27" s="5" t="s">
        <v>78</v>
      </c>
      <c r="L27" s="5"/>
      <c r="M27" s="5"/>
      <c r="N27" s="5" t="s">
        <v>79</v>
      </c>
      <c r="O27" s="5" t="s">
        <v>22</v>
      </c>
      <c r="P27" s="5">
        <v>0.7</v>
      </c>
      <c r="Q27" s="5">
        <v>0.6</v>
      </c>
      <c r="R27" s="6" t="s">
        <v>57</v>
      </c>
      <c r="S27" s="6">
        <v>1800</v>
      </c>
      <c r="T27" s="6">
        <v>113400</v>
      </c>
      <c r="U27" s="6">
        <v>61700</v>
      </c>
      <c r="V27" s="6">
        <v>0</v>
      </c>
      <c r="W27" s="6">
        <v>0</v>
      </c>
      <c r="X27" s="6">
        <v>0</v>
      </c>
      <c r="Y27" s="6">
        <v>8900</v>
      </c>
      <c r="Z27" s="6">
        <v>7200</v>
      </c>
      <c r="AA27" s="6">
        <v>0</v>
      </c>
      <c r="AB27" s="6">
        <v>0</v>
      </c>
      <c r="AC27" s="6">
        <v>35600</v>
      </c>
      <c r="AD27" s="6">
        <v>115900</v>
      </c>
      <c r="AE27" s="6">
        <v>61700</v>
      </c>
      <c r="AF27" s="6">
        <v>0</v>
      </c>
      <c r="AG27" s="6">
        <v>0</v>
      </c>
      <c r="AH27" s="6">
        <v>0</v>
      </c>
      <c r="AI27" s="6">
        <v>10680</v>
      </c>
      <c r="AJ27" s="6">
        <v>7920</v>
      </c>
      <c r="AK27" s="6">
        <v>0</v>
      </c>
      <c r="AL27" s="6">
        <v>0</v>
      </c>
      <c r="AM27" s="6">
        <v>35600</v>
      </c>
      <c r="AN27" s="6">
        <v>79270</v>
      </c>
      <c r="AO27" s="6">
        <v>0</v>
      </c>
      <c r="AP27" s="6">
        <v>79270</v>
      </c>
    </row>
    <row r="28" spans="1:42" x14ac:dyDescent="0.4">
      <c r="A28" s="5" t="s">
        <v>60</v>
      </c>
      <c r="B28" s="5" t="s">
        <v>49</v>
      </c>
      <c r="C28" s="5" t="s">
        <v>50</v>
      </c>
      <c r="D28" s="5" t="s">
        <v>51</v>
      </c>
      <c r="E28" s="5"/>
      <c r="F28" s="5" t="s">
        <v>61</v>
      </c>
      <c r="G28" s="5" t="s">
        <v>20</v>
      </c>
      <c r="H28" s="5" t="s">
        <v>21</v>
      </c>
      <c r="I28" s="5" t="s">
        <v>53</v>
      </c>
      <c r="J28" s="5">
        <v>57328143</v>
      </c>
      <c r="K28" s="5" t="s">
        <v>78</v>
      </c>
      <c r="L28" s="5"/>
      <c r="M28" s="5"/>
      <c r="N28" s="5" t="s">
        <v>79</v>
      </c>
      <c r="O28" s="5" t="s">
        <v>22</v>
      </c>
      <c r="P28" s="5">
        <v>0.7</v>
      </c>
      <c r="Q28" s="5">
        <v>0.6</v>
      </c>
      <c r="R28" s="6" t="s">
        <v>57</v>
      </c>
      <c r="S28" s="6">
        <v>3600</v>
      </c>
      <c r="T28" s="6">
        <v>28800</v>
      </c>
      <c r="U28" s="6">
        <v>14400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14400</v>
      </c>
      <c r="AD28" s="6">
        <v>28800</v>
      </c>
      <c r="AE28" s="6">
        <v>14400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14400</v>
      </c>
      <c r="AN28" s="6">
        <v>20160</v>
      </c>
      <c r="AO28" s="6">
        <v>0</v>
      </c>
      <c r="AP28" s="6">
        <v>20160</v>
      </c>
    </row>
    <row r="29" spans="1:42" x14ac:dyDescent="0.4">
      <c r="A29" s="5" t="s">
        <v>60</v>
      </c>
      <c r="B29" s="5" t="s">
        <v>49</v>
      </c>
      <c r="C29" s="5" t="s">
        <v>50</v>
      </c>
      <c r="D29" s="5" t="s">
        <v>51</v>
      </c>
      <c r="E29" s="5"/>
      <c r="F29" s="5" t="s">
        <v>61</v>
      </c>
      <c r="G29" s="5" t="s">
        <v>20</v>
      </c>
      <c r="H29" s="5" t="s">
        <v>21</v>
      </c>
      <c r="I29" s="5" t="s">
        <v>53</v>
      </c>
      <c r="J29" s="5">
        <v>57328143</v>
      </c>
      <c r="K29" s="5" t="s">
        <v>78</v>
      </c>
      <c r="L29" s="5"/>
      <c r="M29" s="5"/>
      <c r="N29" s="5" t="s">
        <v>79</v>
      </c>
      <c r="O29" s="5" t="s">
        <v>22</v>
      </c>
      <c r="P29" s="5">
        <v>0.7</v>
      </c>
      <c r="Q29" s="5">
        <v>0.6</v>
      </c>
      <c r="R29" s="6" t="s">
        <v>57</v>
      </c>
      <c r="S29" s="6">
        <v>7200</v>
      </c>
      <c r="T29" s="6">
        <v>86400</v>
      </c>
      <c r="U29" s="6">
        <v>43200</v>
      </c>
      <c r="V29" s="6">
        <v>0</v>
      </c>
      <c r="W29" s="6">
        <v>0</v>
      </c>
      <c r="X29" s="6">
        <v>0</v>
      </c>
      <c r="Y29" s="6">
        <v>7200</v>
      </c>
      <c r="Z29" s="6">
        <v>21600</v>
      </c>
      <c r="AA29" s="6">
        <v>0</v>
      </c>
      <c r="AB29" s="6">
        <v>0</v>
      </c>
      <c r="AC29" s="6">
        <v>14400</v>
      </c>
      <c r="AD29" s="6">
        <v>90000</v>
      </c>
      <c r="AE29" s="6">
        <v>43200</v>
      </c>
      <c r="AF29" s="6">
        <v>0</v>
      </c>
      <c r="AG29" s="6">
        <v>0</v>
      </c>
      <c r="AH29" s="6">
        <v>0</v>
      </c>
      <c r="AI29" s="6">
        <v>8640</v>
      </c>
      <c r="AJ29" s="6">
        <v>23760</v>
      </c>
      <c r="AK29" s="6">
        <v>0</v>
      </c>
      <c r="AL29" s="6">
        <v>0</v>
      </c>
      <c r="AM29" s="6">
        <v>14400</v>
      </c>
      <c r="AN29" s="6">
        <v>59760</v>
      </c>
      <c r="AO29" s="6">
        <v>0</v>
      </c>
      <c r="AP29" s="6">
        <v>59760</v>
      </c>
    </row>
    <row r="30" spans="1:42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53879878</v>
      </c>
      <c r="K30" s="5" t="s">
        <v>70</v>
      </c>
      <c r="L30" s="5"/>
      <c r="M30" s="5"/>
      <c r="N30" s="5" t="s">
        <v>71</v>
      </c>
      <c r="O30" s="5" t="s">
        <v>22</v>
      </c>
      <c r="P30" s="5">
        <v>0.7</v>
      </c>
      <c r="Q30" s="5">
        <v>0.6</v>
      </c>
      <c r="R30" s="6" t="s">
        <v>24</v>
      </c>
      <c r="S30" s="6">
        <v>400</v>
      </c>
      <c r="T30" s="6">
        <v>1200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1200</v>
      </c>
      <c r="AD30" s="6">
        <v>1200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1200</v>
      </c>
      <c r="AN30" s="6">
        <v>840</v>
      </c>
      <c r="AO30" s="6">
        <v>0</v>
      </c>
      <c r="AP30" s="6">
        <v>840</v>
      </c>
    </row>
    <row r="31" spans="1:42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53879878</v>
      </c>
      <c r="K31" s="5" t="s">
        <v>70</v>
      </c>
      <c r="L31" s="5"/>
      <c r="M31" s="5"/>
      <c r="N31" s="5" t="s">
        <v>71</v>
      </c>
      <c r="O31" s="5" t="s">
        <v>22</v>
      </c>
      <c r="P31" s="5">
        <v>0.7</v>
      </c>
      <c r="Q31" s="5">
        <v>0.6</v>
      </c>
      <c r="R31" s="6" t="s">
        <v>23</v>
      </c>
      <c r="S31" s="6">
        <v>3600</v>
      </c>
      <c r="T31" s="6">
        <v>32400</v>
      </c>
      <c r="U31" s="6">
        <v>32300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100</v>
      </c>
      <c r="AD31" s="6">
        <v>32400</v>
      </c>
      <c r="AE31" s="6">
        <v>32300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100</v>
      </c>
      <c r="AN31" s="6">
        <v>22680</v>
      </c>
      <c r="AO31" s="6">
        <v>0</v>
      </c>
      <c r="AP31" s="6">
        <v>22680</v>
      </c>
    </row>
    <row r="32" spans="1:42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53879878</v>
      </c>
      <c r="K32" s="5" t="s">
        <v>70</v>
      </c>
      <c r="L32" s="5"/>
      <c r="M32" s="5"/>
      <c r="N32" s="5" t="s">
        <v>71</v>
      </c>
      <c r="O32" s="5" t="s">
        <v>22</v>
      </c>
      <c r="P32" s="5">
        <v>0.7</v>
      </c>
      <c r="Q32" s="5">
        <v>0.6</v>
      </c>
      <c r="R32" s="6" t="s">
        <v>23</v>
      </c>
      <c r="S32" s="6">
        <v>10800</v>
      </c>
      <c r="T32" s="6">
        <v>10800</v>
      </c>
      <c r="U32" s="6">
        <v>10800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10800</v>
      </c>
      <c r="AE32" s="6">
        <v>10800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7560</v>
      </c>
      <c r="AO32" s="6">
        <v>0</v>
      </c>
      <c r="AP32" s="6">
        <v>7560</v>
      </c>
    </row>
    <row r="33" spans="1:42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53879878</v>
      </c>
      <c r="K33" s="5" t="s">
        <v>70</v>
      </c>
      <c r="L33" s="5"/>
      <c r="M33" s="5"/>
      <c r="N33" s="5" t="s">
        <v>71</v>
      </c>
      <c r="O33" s="5" t="s">
        <v>22</v>
      </c>
      <c r="P33" s="5">
        <v>0.7</v>
      </c>
      <c r="Q33" s="5">
        <v>0.6</v>
      </c>
      <c r="R33" s="6" t="s">
        <v>23</v>
      </c>
      <c r="S33" s="6">
        <v>21600</v>
      </c>
      <c r="T33" s="6">
        <v>21600</v>
      </c>
      <c r="U33" s="6">
        <v>21600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21600</v>
      </c>
      <c r="AE33" s="6">
        <v>21600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15120</v>
      </c>
      <c r="AO33" s="6">
        <v>0</v>
      </c>
      <c r="AP33" s="6">
        <v>15120</v>
      </c>
    </row>
    <row r="34" spans="1:42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53879878</v>
      </c>
      <c r="K34" s="5" t="s">
        <v>70</v>
      </c>
      <c r="L34" s="5"/>
      <c r="M34" s="5"/>
      <c r="N34" s="5" t="s">
        <v>71</v>
      </c>
      <c r="O34" s="5" t="s">
        <v>22</v>
      </c>
      <c r="P34" s="5">
        <v>0.7</v>
      </c>
      <c r="Q34" s="5">
        <v>0.6</v>
      </c>
      <c r="R34" s="6" t="s">
        <v>56</v>
      </c>
      <c r="S34" s="6">
        <v>200</v>
      </c>
      <c r="T34" s="6">
        <v>330800</v>
      </c>
      <c r="U34" s="6">
        <v>62500</v>
      </c>
      <c r="V34" s="6">
        <v>0</v>
      </c>
      <c r="W34" s="6">
        <v>0</v>
      </c>
      <c r="X34" s="6">
        <v>0</v>
      </c>
      <c r="Y34" s="6">
        <v>6500</v>
      </c>
      <c r="Z34" s="6">
        <v>3800</v>
      </c>
      <c r="AA34" s="6">
        <v>0</v>
      </c>
      <c r="AB34" s="6">
        <v>0</v>
      </c>
      <c r="AC34" s="6">
        <v>258000</v>
      </c>
      <c r="AD34" s="6">
        <v>332480</v>
      </c>
      <c r="AE34" s="6">
        <v>62500</v>
      </c>
      <c r="AF34" s="6">
        <v>0</v>
      </c>
      <c r="AG34" s="6">
        <v>0</v>
      </c>
      <c r="AH34" s="6">
        <v>0</v>
      </c>
      <c r="AI34" s="6">
        <v>7800</v>
      </c>
      <c r="AJ34" s="6">
        <v>4180</v>
      </c>
      <c r="AK34" s="6">
        <v>0</v>
      </c>
      <c r="AL34" s="6">
        <v>0</v>
      </c>
      <c r="AM34" s="6">
        <v>258000</v>
      </c>
      <c r="AN34" s="6">
        <v>231538</v>
      </c>
      <c r="AO34" s="6">
        <v>0</v>
      </c>
      <c r="AP34" s="6">
        <v>231538</v>
      </c>
    </row>
    <row r="35" spans="1:42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53879878</v>
      </c>
      <c r="K35" s="5" t="s">
        <v>70</v>
      </c>
      <c r="L35" s="5"/>
      <c r="M35" s="5"/>
      <c r="N35" s="5" t="s">
        <v>71</v>
      </c>
      <c r="O35" s="5" t="s">
        <v>22</v>
      </c>
      <c r="P35" s="5">
        <v>0.7</v>
      </c>
      <c r="Q35" s="5">
        <v>0.6</v>
      </c>
      <c r="R35" s="6" t="s">
        <v>57</v>
      </c>
      <c r="S35" s="6">
        <v>1800</v>
      </c>
      <c r="T35" s="6">
        <v>210600</v>
      </c>
      <c r="U35" s="6">
        <v>143950</v>
      </c>
      <c r="V35" s="6">
        <v>0</v>
      </c>
      <c r="W35" s="6">
        <v>0</v>
      </c>
      <c r="X35" s="6">
        <v>0</v>
      </c>
      <c r="Y35" s="6">
        <v>1500</v>
      </c>
      <c r="Z35" s="6">
        <v>19000</v>
      </c>
      <c r="AA35" s="6">
        <v>0</v>
      </c>
      <c r="AB35" s="6">
        <v>0</v>
      </c>
      <c r="AC35" s="6">
        <v>46150</v>
      </c>
      <c r="AD35" s="6">
        <v>212800</v>
      </c>
      <c r="AE35" s="6">
        <v>143950</v>
      </c>
      <c r="AF35" s="6">
        <v>0</v>
      </c>
      <c r="AG35" s="6">
        <v>0</v>
      </c>
      <c r="AH35" s="6">
        <v>0</v>
      </c>
      <c r="AI35" s="6">
        <v>1800</v>
      </c>
      <c r="AJ35" s="6">
        <v>20900</v>
      </c>
      <c r="AK35" s="6">
        <v>0</v>
      </c>
      <c r="AL35" s="6">
        <v>0</v>
      </c>
      <c r="AM35" s="6">
        <v>46150</v>
      </c>
      <c r="AN35" s="6">
        <v>146690</v>
      </c>
      <c r="AO35" s="6">
        <v>0</v>
      </c>
      <c r="AP35" s="6">
        <v>146690</v>
      </c>
    </row>
    <row r="36" spans="1:42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53879878</v>
      </c>
      <c r="K36" s="5" t="s">
        <v>70</v>
      </c>
      <c r="L36" s="5"/>
      <c r="M36" s="5"/>
      <c r="N36" s="5" t="s">
        <v>71</v>
      </c>
      <c r="O36" s="5" t="s">
        <v>22</v>
      </c>
      <c r="P36" s="5">
        <v>0.7</v>
      </c>
      <c r="Q36" s="5">
        <v>0.6</v>
      </c>
      <c r="R36" s="6" t="s">
        <v>57</v>
      </c>
      <c r="S36" s="6">
        <v>5400</v>
      </c>
      <c r="T36" s="6">
        <v>59400</v>
      </c>
      <c r="U36" s="6">
        <v>48300</v>
      </c>
      <c r="V36" s="6">
        <v>0</v>
      </c>
      <c r="W36" s="6">
        <v>0</v>
      </c>
      <c r="X36" s="6">
        <v>0</v>
      </c>
      <c r="Y36" s="6">
        <v>0</v>
      </c>
      <c r="Z36" s="6">
        <v>5400</v>
      </c>
      <c r="AA36" s="6">
        <v>0</v>
      </c>
      <c r="AB36" s="6">
        <v>0</v>
      </c>
      <c r="AC36" s="6">
        <v>5700</v>
      </c>
      <c r="AD36" s="6">
        <v>59940</v>
      </c>
      <c r="AE36" s="6">
        <v>48300</v>
      </c>
      <c r="AF36" s="6">
        <v>0</v>
      </c>
      <c r="AG36" s="6">
        <v>0</v>
      </c>
      <c r="AH36" s="6">
        <v>0</v>
      </c>
      <c r="AI36" s="6">
        <v>0</v>
      </c>
      <c r="AJ36" s="6">
        <v>5940</v>
      </c>
      <c r="AK36" s="6">
        <v>0</v>
      </c>
      <c r="AL36" s="6">
        <v>0</v>
      </c>
      <c r="AM36" s="6">
        <v>5700</v>
      </c>
      <c r="AN36" s="6">
        <v>41364</v>
      </c>
      <c r="AO36" s="6">
        <v>0</v>
      </c>
      <c r="AP36" s="6">
        <v>41364</v>
      </c>
    </row>
    <row r="37" spans="1:42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53879878</v>
      </c>
      <c r="K37" s="5" t="s">
        <v>70</v>
      </c>
      <c r="L37" s="5"/>
      <c r="M37" s="5"/>
      <c r="N37" s="5" t="s">
        <v>71</v>
      </c>
      <c r="O37" s="5" t="s">
        <v>22</v>
      </c>
      <c r="P37" s="5">
        <v>0.7</v>
      </c>
      <c r="Q37" s="5">
        <v>0.6</v>
      </c>
      <c r="R37" s="6" t="s">
        <v>57</v>
      </c>
      <c r="S37" s="6">
        <v>10800</v>
      </c>
      <c r="T37" s="6">
        <v>10800</v>
      </c>
      <c r="U37" s="6">
        <v>10800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10800</v>
      </c>
      <c r="AE37" s="6">
        <v>10800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7560</v>
      </c>
      <c r="AO37" s="6">
        <v>0</v>
      </c>
      <c r="AP37" s="6">
        <v>7560</v>
      </c>
    </row>
    <row r="38" spans="1:42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50540426</v>
      </c>
      <c r="K38" s="5" t="s">
        <v>62</v>
      </c>
      <c r="L38" s="5"/>
      <c r="M38" s="5"/>
      <c r="N38" s="5" t="s">
        <v>63</v>
      </c>
      <c r="O38" s="5" t="s">
        <v>22</v>
      </c>
      <c r="P38" s="5">
        <v>0.7</v>
      </c>
      <c r="Q38" s="5">
        <v>0.6</v>
      </c>
      <c r="R38" s="6" t="s">
        <v>24</v>
      </c>
      <c r="S38" s="6">
        <v>200</v>
      </c>
      <c r="T38" s="6">
        <v>2000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2000</v>
      </c>
      <c r="AD38" s="6">
        <v>2000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2000</v>
      </c>
      <c r="AN38" s="6">
        <v>1400</v>
      </c>
      <c r="AO38" s="6">
        <v>0</v>
      </c>
      <c r="AP38" s="6">
        <v>1400</v>
      </c>
    </row>
    <row r="39" spans="1:42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50540426</v>
      </c>
      <c r="K39" s="5" t="s">
        <v>62</v>
      </c>
      <c r="L39" s="5"/>
      <c r="M39" s="5"/>
      <c r="N39" s="5" t="s">
        <v>63</v>
      </c>
      <c r="O39" s="5" t="s">
        <v>22</v>
      </c>
      <c r="P39" s="5">
        <v>0.7</v>
      </c>
      <c r="Q39" s="5">
        <v>0.6</v>
      </c>
      <c r="R39" s="6" t="s">
        <v>56</v>
      </c>
      <c r="S39" s="6">
        <v>100</v>
      </c>
      <c r="T39" s="6">
        <v>53300</v>
      </c>
      <c r="U39" s="6">
        <v>7650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45650</v>
      </c>
      <c r="AD39" s="6">
        <v>53300</v>
      </c>
      <c r="AE39" s="6">
        <v>7650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45650</v>
      </c>
      <c r="AN39" s="6">
        <v>37310</v>
      </c>
      <c r="AO39" s="6">
        <v>0</v>
      </c>
      <c r="AP39" s="6">
        <v>37310</v>
      </c>
    </row>
    <row r="40" spans="1:42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50540426</v>
      </c>
      <c r="K40" s="5" t="s">
        <v>62</v>
      </c>
      <c r="L40" s="5"/>
      <c r="M40" s="5"/>
      <c r="N40" s="5" t="s">
        <v>63</v>
      </c>
      <c r="O40" s="5" t="s">
        <v>22</v>
      </c>
      <c r="P40" s="5">
        <v>0.7</v>
      </c>
      <c r="Q40" s="5">
        <v>0.6</v>
      </c>
      <c r="R40" s="6" t="s">
        <v>57</v>
      </c>
      <c r="S40" s="6">
        <v>900</v>
      </c>
      <c r="T40" s="6">
        <v>23100</v>
      </c>
      <c r="U40" s="6">
        <v>17900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5200</v>
      </c>
      <c r="AD40" s="6">
        <v>23100</v>
      </c>
      <c r="AE40" s="6">
        <v>17900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5200</v>
      </c>
      <c r="AN40" s="6">
        <v>16170</v>
      </c>
      <c r="AO40" s="6">
        <v>0</v>
      </c>
      <c r="AP40" s="6">
        <v>16170</v>
      </c>
    </row>
    <row r="41" spans="1:42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50540426</v>
      </c>
      <c r="K41" s="5" t="s">
        <v>62</v>
      </c>
      <c r="L41" s="5"/>
      <c r="M41" s="5"/>
      <c r="N41" s="5" t="s">
        <v>63</v>
      </c>
      <c r="O41" s="5" t="s">
        <v>22</v>
      </c>
      <c r="P41" s="5">
        <v>0.7</v>
      </c>
      <c r="Q41" s="5">
        <v>0.6</v>
      </c>
      <c r="R41" s="6" t="s">
        <v>57</v>
      </c>
      <c r="S41" s="6">
        <v>1800</v>
      </c>
      <c r="T41" s="6">
        <v>18000</v>
      </c>
      <c r="U41" s="6">
        <v>16200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1800</v>
      </c>
      <c r="AD41" s="6">
        <v>18000</v>
      </c>
      <c r="AE41" s="6">
        <v>16200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1800</v>
      </c>
      <c r="AN41" s="6">
        <v>12600</v>
      </c>
      <c r="AO41" s="6">
        <v>0</v>
      </c>
      <c r="AP41" s="6">
        <v>12600</v>
      </c>
    </row>
    <row r="42" spans="1:42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50540426</v>
      </c>
      <c r="K42" s="5" t="s">
        <v>62</v>
      </c>
      <c r="L42" s="5"/>
      <c r="M42" s="5"/>
      <c r="N42" s="5" t="s">
        <v>63</v>
      </c>
      <c r="O42" s="5" t="s">
        <v>22</v>
      </c>
      <c r="P42" s="5">
        <v>0.7</v>
      </c>
      <c r="Q42" s="5">
        <v>0.6</v>
      </c>
      <c r="R42" s="6" t="s">
        <v>57</v>
      </c>
      <c r="S42" s="6">
        <v>3600</v>
      </c>
      <c r="T42" s="6">
        <v>14400</v>
      </c>
      <c r="U42" s="6">
        <v>14100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300</v>
      </c>
      <c r="AD42" s="6">
        <v>14400</v>
      </c>
      <c r="AE42" s="6">
        <v>14100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300</v>
      </c>
      <c r="AN42" s="6">
        <v>10080</v>
      </c>
      <c r="AO42" s="6">
        <v>0</v>
      </c>
      <c r="AP42" s="6">
        <v>10080</v>
      </c>
    </row>
    <row r="43" spans="1:42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54953089</v>
      </c>
      <c r="K43" s="5" t="s">
        <v>74</v>
      </c>
      <c r="L43" s="5"/>
      <c r="M43" s="5"/>
      <c r="N43" s="5" t="s">
        <v>75</v>
      </c>
      <c r="O43" s="5" t="s">
        <v>22</v>
      </c>
      <c r="P43" s="5">
        <v>0.7</v>
      </c>
      <c r="Q43" s="5">
        <v>0.6</v>
      </c>
      <c r="R43" s="6" t="s">
        <v>56</v>
      </c>
      <c r="S43" s="6">
        <v>100</v>
      </c>
      <c r="T43" s="6">
        <v>5500</v>
      </c>
      <c r="U43" s="6">
        <v>800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4700</v>
      </c>
      <c r="AD43" s="6">
        <v>5500</v>
      </c>
      <c r="AE43" s="6">
        <v>800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4700</v>
      </c>
      <c r="AN43" s="6">
        <v>3850</v>
      </c>
      <c r="AO43" s="6">
        <v>0</v>
      </c>
      <c r="AP43" s="6">
        <v>3850</v>
      </c>
    </row>
    <row r="44" spans="1:42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54953089</v>
      </c>
      <c r="K44" s="5" t="s">
        <v>74</v>
      </c>
      <c r="L44" s="5"/>
      <c r="M44" s="5"/>
      <c r="N44" s="5" t="s">
        <v>75</v>
      </c>
      <c r="O44" s="5" t="s">
        <v>22</v>
      </c>
      <c r="P44" s="5">
        <v>0.7</v>
      </c>
      <c r="Q44" s="5">
        <v>0.6</v>
      </c>
      <c r="R44" s="6" t="s">
        <v>57</v>
      </c>
      <c r="S44" s="6">
        <v>900</v>
      </c>
      <c r="T44" s="6">
        <v>900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900</v>
      </c>
      <c r="AD44" s="6">
        <v>900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900</v>
      </c>
      <c r="AN44" s="6">
        <v>630</v>
      </c>
      <c r="AO44" s="6">
        <v>0</v>
      </c>
      <c r="AP44" s="6">
        <v>630</v>
      </c>
    </row>
    <row r="45" spans="1:42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54953089</v>
      </c>
      <c r="K45" s="5" t="s">
        <v>74</v>
      </c>
      <c r="L45" s="5"/>
      <c r="M45" s="5"/>
      <c r="N45" s="5" t="s">
        <v>75</v>
      </c>
      <c r="O45" s="5" t="s">
        <v>22</v>
      </c>
      <c r="P45" s="5">
        <v>0.7</v>
      </c>
      <c r="Q45" s="5">
        <v>0.6</v>
      </c>
      <c r="R45" s="6" t="s">
        <v>57</v>
      </c>
      <c r="S45" s="6">
        <v>3600</v>
      </c>
      <c r="T45" s="6">
        <v>7200</v>
      </c>
      <c r="U45" s="6">
        <v>7200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7200</v>
      </c>
      <c r="AE45" s="6">
        <v>7200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5040</v>
      </c>
      <c r="AO45" s="6">
        <v>0</v>
      </c>
      <c r="AP45" s="6">
        <v>5040</v>
      </c>
    </row>
    <row r="46" spans="1:42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55269331</v>
      </c>
      <c r="K46" s="5" t="s">
        <v>68</v>
      </c>
      <c r="L46" s="5"/>
      <c r="M46" s="5"/>
      <c r="N46" s="5" t="s">
        <v>69</v>
      </c>
      <c r="O46" s="5" t="s">
        <v>22</v>
      </c>
      <c r="P46" s="5">
        <v>0.7</v>
      </c>
      <c r="Q46" s="5">
        <v>0.6</v>
      </c>
      <c r="R46" s="6" t="s">
        <v>24</v>
      </c>
      <c r="S46" s="6">
        <v>400</v>
      </c>
      <c r="T46" s="6">
        <v>11600</v>
      </c>
      <c r="U46" s="6">
        <v>4200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7400</v>
      </c>
      <c r="AD46" s="6">
        <v>11600</v>
      </c>
      <c r="AE46" s="6">
        <v>4200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7400</v>
      </c>
      <c r="AN46" s="6">
        <v>8120</v>
      </c>
      <c r="AO46" s="6">
        <v>0</v>
      </c>
      <c r="AP46" s="6">
        <v>8120</v>
      </c>
    </row>
    <row r="47" spans="1:42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55269331</v>
      </c>
      <c r="K47" s="5" t="s">
        <v>68</v>
      </c>
      <c r="L47" s="5"/>
      <c r="M47" s="5"/>
      <c r="N47" s="5" t="s">
        <v>69</v>
      </c>
      <c r="O47" s="5" t="s">
        <v>22</v>
      </c>
      <c r="P47" s="5">
        <v>0.7</v>
      </c>
      <c r="Q47" s="5">
        <v>0.6</v>
      </c>
      <c r="R47" s="6" t="s">
        <v>23</v>
      </c>
      <c r="S47" s="6">
        <v>3600</v>
      </c>
      <c r="T47" s="6">
        <v>3600</v>
      </c>
      <c r="U47" s="6">
        <v>3600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3600</v>
      </c>
      <c r="AE47" s="6">
        <v>3600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2520</v>
      </c>
      <c r="AO47" s="6">
        <v>0</v>
      </c>
      <c r="AP47" s="6">
        <v>2520</v>
      </c>
    </row>
    <row r="48" spans="1:42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55269331</v>
      </c>
      <c r="K48" s="5" t="s">
        <v>68</v>
      </c>
      <c r="L48" s="5"/>
      <c r="M48" s="5"/>
      <c r="N48" s="5" t="s">
        <v>69</v>
      </c>
      <c r="O48" s="5" t="s">
        <v>22</v>
      </c>
      <c r="P48" s="5">
        <v>0.7</v>
      </c>
      <c r="Q48" s="5">
        <v>0.6</v>
      </c>
      <c r="R48" s="6" t="s">
        <v>56</v>
      </c>
      <c r="S48" s="6">
        <v>200</v>
      </c>
      <c r="T48" s="6">
        <v>204200</v>
      </c>
      <c r="U48" s="6">
        <v>64500</v>
      </c>
      <c r="V48" s="6">
        <v>0</v>
      </c>
      <c r="W48" s="6">
        <v>0</v>
      </c>
      <c r="X48" s="6">
        <v>0</v>
      </c>
      <c r="Y48" s="6">
        <v>4800</v>
      </c>
      <c r="Z48" s="6">
        <v>3000</v>
      </c>
      <c r="AA48" s="6">
        <v>0</v>
      </c>
      <c r="AB48" s="6">
        <v>0</v>
      </c>
      <c r="AC48" s="6">
        <v>131900</v>
      </c>
      <c r="AD48" s="6">
        <v>205460</v>
      </c>
      <c r="AE48" s="6">
        <v>64500</v>
      </c>
      <c r="AF48" s="6">
        <v>0</v>
      </c>
      <c r="AG48" s="6">
        <v>0</v>
      </c>
      <c r="AH48" s="6">
        <v>0</v>
      </c>
      <c r="AI48" s="6">
        <v>5760</v>
      </c>
      <c r="AJ48" s="6">
        <v>3300</v>
      </c>
      <c r="AK48" s="6">
        <v>0</v>
      </c>
      <c r="AL48" s="6">
        <v>0</v>
      </c>
      <c r="AM48" s="6">
        <v>131900</v>
      </c>
      <c r="AN48" s="6">
        <v>142916</v>
      </c>
      <c r="AO48" s="6">
        <v>0</v>
      </c>
      <c r="AP48" s="6">
        <v>142916</v>
      </c>
    </row>
    <row r="49" spans="1:42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55269331</v>
      </c>
      <c r="K49" s="5" t="s">
        <v>68</v>
      </c>
      <c r="L49" s="5"/>
      <c r="M49" s="5"/>
      <c r="N49" s="5" t="s">
        <v>69</v>
      </c>
      <c r="O49" s="5" t="s">
        <v>22</v>
      </c>
      <c r="P49" s="5">
        <v>0.7</v>
      </c>
      <c r="Q49" s="5">
        <v>0.6</v>
      </c>
      <c r="R49" s="6" t="s">
        <v>57</v>
      </c>
      <c r="S49" s="6">
        <v>1800</v>
      </c>
      <c r="T49" s="6">
        <v>105800</v>
      </c>
      <c r="U49" s="6">
        <v>83800</v>
      </c>
      <c r="V49" s="6">
        <v>0</v>
      </c>
      <c r="W49" s="6">
        <v>0</v>
      </c>
      <c r="X49" s="6">
        <v>0</v>
      </c>
      <c r="Y49" s="6">
        <v>0</v>
      </c>
      <c r="Z49" s="6">
        <v>10800</v>
      </c>
      <c r="AA49" s="6">
        <v>0</v>
      </c>
      <c r="AB49" s="6">
        <v>0</v>
      </c>
      <c r="AC49" s="6">
        <v>11200</v>
      </c>
      <c r="AD49" s="6">
        <v>106880</v>
      </c>
      <c r="AE49" s="6">
        <v>83800</v>
      </c>
      <c r="AF49" s="6">
        <v>0</v>
      </c>
      <c r="AG49" s="6">
        <v>0</v>
      </c>
      <c r="AH49" s="6">
        <v>0</v>
      </c>
      <c r="AI49" s="6">
        <v>0</v>
      </c>
      <c r="AJ49" s="6">
        <v>11880</v>
      </c>
      <c r="AK49" s="6">
        <v>0</v>
      </c>
      <c r="AL49" s="6">
        <v>0</v>
      </c>
      <c r="AM49" s="6">
        <v>11200</v>
      </c>
      <c r="AN49" s="6">
        <v>73628</v>
      </c>
      <c r="AO49" s="6">
        <v>0</v>
      </c>
      <c r="AP49" s="6">
        <v>73628</v>
      </c>
    </row>
    <row r="50" spans="1:42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55269331</v>
      </c>
      <c r="K50" s="5" t="s">
        <v>68</v>
      </c>
      <c r="L50" s="5"/>
      <c r="M50" s="5"/>
      <c r="N50" s="5" t="s">
        <v>69</v>
      </c>
      <c r="O50" s="5" t="s">
        <v>22</v>
      </c>
      <c r="P50" s="5">
        <v>0.7</v>
      </c>
      <c r="Q50" s="5">
        <v>0.6</v>
      </c>
      <c r="R50" s="6" t="s">
        <v>57</v>
      </c>
      <c r="S50" s="6">
        <v>3600</v>
      </c>
      <c r="T50" s="6">
        <v>30400</v>
      </c>
      <c r="U50" s="6">
        <v>23100</v>
      </c>
      <c r="V50" s="6">
        <v>0</v>
      </c>
      <c r="W50" s="6">
        <v>0</v>
      </c>
      <c r="X50" s="6">
        <v>0</v>
      </c>
      <c r="Y50" s="6">
        <v>3600</v>
      </c>
      <c r="Z50" s="6">
        <v>3600</v>
      </c>
      <c r="AA50" s="6">
        <v>0</v>
      </c>
      <c r="AB50" s="6">
        <v>0</v>
      </c>
      <c r="AC50" s="6">
        <v>100</v>
      </c>
      <c r="AD50" s="6">
        <v>31480</v>
      </c>
      <c r="AE50" s="6">
        <v>23100</v>
      </c>
      <c r="AF50" s="6">
        <v>0</v>
      </c>
      <c r="AG50" s="6">
        <v>0</v>
      </c>
      <c r="AH50" s="6">
        <v>0</v>
      </c>
      <c r="AI50" s="6">
        <v>4320</v>
      </c>
      <c r="AJ50" s="6">
        <v>3960</v>
      </c>
      <c r="AK50" s="6">
        <v>0</v>
      </c>
      <c r="AL50" s="6">
        <v>0</v>
      </c>
      <c r="AM50" s="6">
        <v>100</v>
      </c>
      <c r="AN50" s="6">
        <v>21208</v>
      </c>
      <c r="AO50" s="6">
        <v>0</v>
      </c>
      <c r="AP50" s="6">
        <v>21208</v>
      </c>
    </row>
    <row r="51" spans="1:42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55269331</v>
      </c>
      <c r="K51" s="5" t="s">
        <v>68</v>
      </c>
      <c r="L51" s="5"/>
      <c r="M51" s="5"/>
      <c r="N51" s="5" t="s">
        <v>69</v>
      </c>
      <c r="O51" s="5" t="s">
        <v>22</v>
      </c>
      <c r="P51" s="5">
        <v>0.7</v>
      </c>
      <c r="Q51" s="5">
        <v>0.6</v>
      </c>
      <c r="R51" s="6" t="s">
        <v>57</v>
      </c>
      <c r="S51" s="6">
        <v>7200</v>
      </c>
      <c r="T51" s="6">
        <v>64800</v>
      </c>
      <c r="U51" s="6">
        <v>50400</v>
      </c>
      <c r="V51" s="6">
        <v>0</v>
      </c>
      <c r="W51" s="6">
        <v>0</v>
      </c>
      <c r="X51" s="6">
        <v>0</v>
      </c>
      <c r="Y51" s="6">
        <v>0</v>
      </c>
      <c r="Z51" s="6">
        <v>14400</v>
      </c>
      <c r="AA51" s="6">
        <v>0</v>
      </c>
      <c r="AB51" s="6">
        <v>0</v>
      </c>
      <c r="AC51" s="6">
        <v>0</v>
      </c>
      <c r="AD51" s="6">
        <v>66240</v>
      </c>
      <c r="AE51" s="6">
        <v>50400</v>
      </c>
      <c r="AF51" s="6">
        <v>0</v>
      </c>
      <c r="AG51" s="6">
        <v>0</v>
      </c>
      <c r="AH51" s="6">
        <v>0</v>
      </c>
      <c r="AI51" s="6">
        <v>0</v>
      </c>
      <c r="AJ51" s="6">
        <v>15840</v>
      </c>
      <c r="AK51" s="6">
        <v>0</v>
      </c>
      <c r="AL51" s="6">
        <v>0</v>
      </c>
      <c r="AM51" s="6">
        <v>0</v>
      </c>
      <c r="AN51" s="6">
        <v>44784</v>
      </c>
      <c r="AO51" s="6">
        <v>0</v>
      </c>
      <c r="AP51" s="6">
        <v>44784</v>
      </c>
    </row>
    <row r="52" spans="1:42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52513817</v>
      </c>
      <c r="K52" s="5" t="s">
        <v>64</v>
      </c>
      <c r="L52" s="5"/>
      <c r="M52" s="5"/>
      <c r="N52" s="5" t="s">
        <v>65</v>
      </c>
      <c r="O52" s="5" t="s">
        <v>22</v>
      </c>
      <c r="P52" s="5">
        <v>0.7</v>
      </c>
      <c r="Q52" s="5">
        <v>0.6</v>
      </c>
      <c r="R52" s="6" t="s">
        <v>56</v>
      </c>
      <c r="S52" s="6">
        <v>100</v>
      </c>
      <c r="T52" s="6">
        <v>10900</v>
      </c>
      <c r="U52" s="6">
        <v>3600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7300</v>
      </c>
      <c r="AD52" s="6">
        <v>10900</v>
      </c>
      <c r="AE52" s="6">
        <v>3600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7300</v>
      </c>
      <c r="AN52" s="6">
        <v>7630</v>
      </c>
      <c r="AO52" s="6">
        <v>0</v>
      </c>
      <c r="AP52" s="6">
        <v>7630</v>
      </c>
    </row>
    <row r="53" spans="1:42" x14ac:dyDescent="0.4">
      <c r="A53" s="5" t="s">
        <v>60</v>
      </c>
      <c r="B53" s="5" t="s">
        <v>49</v>
      </c>
      <c r="C53" s="5" t="s">
        <v>50</v>
      </c>
      <c r="D53" s="5" t="s">
        <v>51</v>
      </c>
      <c r="E53" s="5"/>
      <c r="F53" s="5" t="s">
        <v>61</v>
      </c>
      <c r="G53" s="5" t="s">
        <v>20</v>
      </c>
      <c r="H53" s="5" t="s">
        <v>21</v>
      </c>
      <c r="I53" s="5" t="s">
        <v>53</v>
      </c>
      <c r="J53" s="5">
        <v>52303465</v>
      </c>
      <c r="K53" s="5" t="s">
        <v>66</v>
      </c>
      <c r="L53" s="5"/>
      <c r="M53" s="5"/>
      <c r="N53" s="5" t="s">
        <v>67</v>
      </c>
      <c r="O53" s="5" t="s">
        <v>22</v>
      </c>
      <c r="P53" s="5">
        <v>0.7</v>
      </c>
      <c r="Q53" s="5">
        <v>0.6</v>
      </c>
      <c r="R53" s="6" t="s">
        <v>24</v>
      </c>
      <c r="S53" s="6">
        <v>400</v>
      </c>
      <c r="T53" s="6">
        <v>4800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4800</v>
      </c>
      <c r="AD53" s="6">
        <v>4800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4800</v>
      </c>
      <c r="AN53" s="6">
        <v>3360</v>
      </c>
      <c r="AO53" s="6">
        <v>0</v>
      </c>
      <c r="AP53" s="6">
        <v>3360</v>
      </c>
    </row>
    <row r="54" spans="1:42" x14ac:dyDescent="0.4">
      <c r="A54" s="5" t="s">
        <v>60</v>
      </c>
      <c r="B54" s="5" t="s">
        <v>49</v>
      </c>
      <c r="C54" s="5" t="s">
        <v>50</v>
      </c>
      <c r="D54" s="5" t="s">
        <v>51</v>
      </c>
      <c r="E54" s="5"/>
      <c r="F54" s="5" t="s">
        <v>61</v>
      </c>
      <c r="G54" s="5" t="s">
        <v>20</v>
      </c>
      <c r="H54" s="5" t="s">
        <v>21</v>
      </c>
      <c r="I54" s="5" t="s">
        <v>53</v>
      </c>
      <c r="J54" s="5">
        <v>52513817</v>
      </c>
      <c r="K54" s="5" t="s">
        <v>64</v>
      </c>
      <c r="L54" s="5"/>
      <c r="M54" s="5"/>
      <c r="N54" s="5" t="s">
        <v>65</v>
      </c>
      <c r="O54" s="5" t="s">
        <v>22</v>
      </c>
      <c r="P54" s="5">
        <v>0.7</v>
      </c>
      <c r="Q54" s="5">
        <v>0.6</v>
      </c>
      <c r="R54" s="6" t="s">
        <v>57</v>
      </c>
      <c r="S54" s="6">
        <v>900</v>
      </c>
      <c r="T54" s="6">
        <v>1400</v>
      </c>
      <c r="U54" s="6">
        <v>-200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1600</v>
      </c>
      <c r="AD54" s="6">
        <v>1400</v>
      </c>
      <c r="AE54" s="6">
        <v>-200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1600</v>
      </c>
      <c r="AN54" s="6">
        <v>980</v>
      </c>
      <c r="AO54" s="6">
        <v>0</v>
      </c>
      <c r="AP54" s="6">
        <v>980</v>
      </c>
    </row>
    <row r="55" spans="1:42" x14ac:dyDescent="0.4">
      <c r="A55" s="5" t="s">
        <v>60</v>
      </c>
      <c r="B55" s="5" t="s">
        <v>49</v>
      </c>
      <c r="C55" s="5" t="s">
        <v>50</v>
      </c>
      <c r="D55" s="5" t="s">
        <v>51</v>
      </c>
      <c r="E55" s="5"/>
      <c r="F55" s="5" t="s">
        <v>61</v>
      </c>
      <c r="G55" s="5" t="s">
        <v>20</v>
      </c>
      <c r="H55" s="5" t="s">
        <v>21</v>
      </c>
      <c r="I55" s="5" t="s">
        <v>53</v>
      </c>
      <c r="J55" s="5">
        <v>52303465</v>
      </c>
      <c r="K55" s="5" t="s">
        <v>66</v>
      </c>
      <c r="L55" s="5"/>
      <c r="M55" s="5"/>
      <c r="N55" s="5" t="s">
        <v>67</v>
      </c>
      <c r="O55" s="5" t="s">
        <v>22</v>
      </c>
      <c r="P55" s="5">
        <v>0.7</v>
      </c>
      <c r="Q55" s="5">
        <v>0.6</v>
      </c>
      <c r="R55" s="6" t="s">
        <v>23</v>
      </c>
      <c r="S55" s="6">
        <v>3600</v>
      </c>
      <c r="T55" s="6">
        <v>3600</v>
      </c>
      <c r="U55" s="6">
        <v>3600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3600</v>
      </c>
      <c r="AE55" s="6">
        <v>3600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2520</v>
      </c>
      <c r="AO55" s="6">
        <v>0</v>
      </c>
      <c r="AP55" s="6">
        <v>2520</v>
      </c>
    </row>
    <row r="56" spans="1:42" x14ac:dyDescent="0.4">
      <c r="A56" s="5" t="s">
        <v>60</v>
      </c>
      <c r="B56" s="5" t="s">
        <v>49</v>
      </c>
      <c r="C56" s="5" t="s">
        <v>50</v>
      </c>
      <c r="D56" s="5" t="s">
        <v>51</v>
      </c>
      <c r="E56" s="5"/>
      <c r="F56" s="5" t="s">
        <v>61</v>
      </c>
      <c r="G56" s="5" t="s">
        <v>20</v>
      </c>
      <c r="H56" s="5" t="s">
        <v>21</v>
      </c>
      <c r="I56" s="5" t="s">
        <v>53</v>
      </c>
      <c r="J56" s="5">
        <v>56451540</v>
      </c>
      <c r="K56" s="5" t="s">
        <v>76</v>
      </c>
      <c r="L56" s="5"/>
      <c r="M56" s="5"/>
      <c r="N56" s="5" t="s">
        <v>77</v>
      </c>
      <c r="O56" s="5" t="s">
        <v>22</v>
      </c>
      <c r="P56" s="5">
        <v>0.7</v>
      </c>
      <c r="Q56" s="5">
        <v>0.6</v>
      </c>
      <c r="R56" s="6" t="s">
        <v>24</v>
      </c>
      <c r="S56" s="6">
        <v>400</v>
      </c>
      <c r="T56" s="6">
        <v>16800</v>
      </c>
      <c r="U56" s="6">
        <v>15700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1100</v>
      </c>
      <c r="AD56" s="6">
        <v>16800</v>
      </c>
      <c r="AE56" s="6">
        <v>15700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1100</v>
      </c>
      <c r="AN56" s="6">
        <v>11760</v>
      </c>
      <c r="AO56" s="6">
        <v>0</v>
      </c>
      <c r="AP56" s="6">
        <v>11760</v>
      </c>
    </row>
    <row r="57" spans="1:42" x14ac:dyDescent="0.4">
      <c r="A57" s="5" t="s">
        <v>60</v>
      </c>
      <c r="B57" s="5" t="s">
        <v>49</v>
      </c>
      <c r="C57" s="5" t="s">
        <v>50</v>
      </c>
      <c r="D57" s="5" t="s">
        <v>51</v>
      </c>
      <c r="E57" s="5"/>
      <c r="F57" s="5" t="s">
        <v>61</v>
      </c>
      <c r="G57" s="5" t="s">
        <v>20</v>
      </c>
      <c r="H57" s="5" t="s">
        <v>21</v>
      </c>
      <c r="I57" s="5" t="s">
        <v>53</v>
      </c>
      <c r="J57" s="5">
        <v>52303465</v>
      </c>
      <c r="K57" s="5" t="s">
        <v>66</v>
      </c>
      <c r="L57" s="5"/>
      <c r="M57" s="5"/>
      <c r="N57" s="5" t="s">
        <v>67</v>
      </c>
      <c r="O57" s="5" t="s">
        <v>22</v>
      </c>
      <c r="P57" s="5">
        <v>0.7</v>
      </c>
      <c r="Q57" s="5">
        <v>0.6</v>
      </c>
      <c r="R57" s="6" t="s">
        <v>56</v>
      </c>
      <c r="S57" s="6">
        <v>200</v>
      </c>
      <c r="T57" s="6">
        <v>241200</v>
      </c>
      <c r="U57" s="6">
        <v>95500</v>
      </c>
      <c r="V57" s="6">
        <v>0</v>
      </c>
      <c r="W57" s="6">
        <v>0</v>
      </c>
      <c r="X57" s="6">
        <v>0</v>
      </c>
      <c r="Y57" s="6">
        <v>2200</v>
      </c>
      <c r="Z57" s="6">
        <v>9400</v>
      </c>
      <c r="AA57" s="6">
        <v>0</v>
      </c>
      <c r="AB57" s="6">
        <v>0</v>
      </c>
      <c r="AC57" s="6">
        <v>134100</v>
      </c>
      <c r="AD57" s="6">
        <v>242580</v>
      </c>
      <c r="AE57" s="6">
        <v>95500</v>
      </c>
      <c r="AF57" s="6">
        <v>0</v>
      </c>
      <c r="AG57" s="6">
        <v>0</v>
      </c>
      <c r="AH57" s="6">
        <v>0</v>
      </c>
      <c r="AI57" s="6">
        <v>2640</v>
      </c>
      <c r="AJ57" s="6">
        <v>10340</v>
      </c>
      <c r="AK57" s="6">
        <v>0</v>
      </c>
      <c r="AL57" s="6">
        <v>0</v>
      </c>
      <c r="AM57" s="6">
        <v>134100</v>
      </c>
      <c r="AN57" s="6">
        <v>168508</v>
      </c>
      <c r="AO57" s="6">
        <v>0</v>
      </c>
      <c r="AP57" s="6">
        <v>168508</v>
      </c>
    </row>
    <row r="58" spans="1:42" x14ac:dyDescent="0.4">
      <c r="A58" s="5" t="s">
        <v>60</v>
      </c>
      <c r="B58" s="5" t="s">
        <v>49</v>
      </c>
      <c r="C58" s="5" t="s">
        <v>50</v>
      </c>
      <c r="D58" s="5" t="s">
        <v>51</v>
      </c>
      <c r="E58" s="5"/>
      <c r="F58" s="5" t="s">
        <v>61</v>
      </c>
      <c r="G58" s="5" t="s">
        <v>20</v>
      </c>
      <c r="H58" s="5" t="s">
        <v>21</v>
      </c>
      <c r="I58" s="5" t="s">
        <v>53</v>
      </c>
      <c r="J58" s="5">
        <v>56451540</v>
      </c>
      <c r="K58" s="5" t="s">
        <v>76</v>
      </c>
      <c r="L58" s="5"/>
      <c r="M58" s="5"/>
      <c r="N58" s="5" t="s">
        <v>77</v>
      </c>
      <c r="O58" s="5" t="s">
        <v>22</v>
      </c>
      <c r="P58" s="5">
        <v>0.7</v>
      </c>
      <c r="Q58" s="5">
        <v>0.6</v>
      </c>
      <c r="R58" s="6" t="s">
        <v>23</v>
      </c>
      <c r="S58" s="6">
        <v>3600</v>
      </c>
      <c r="T58" s="6">
        <v>3600</v>
      </c>
      <c r="U58" s="6">
        <v>3600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3600</v>
      </c>
      <c r="AE58" s="6">
        <v>3600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2520</v>
      </c>
      <c r="AO58" s="6">
        <v>0</v>
      </c>
      <c r="AP58" s="6">
        <v>2520</v>
      </c>
    </row>
    <row r="59" spans="1:42" x14ac:dyDescent="0.4">
      <c r="A59" s="5" t="s">
        <v>60</v>
      </c>
      <c r="B59" s="5" t="s">
        <v>49</v>
      </c>
      <c r="C59" s="5" t="s">
        <v>50</v>
      </c>
      <c r="D59" s="5" t="s">
        <v>51</v>
      </c>
      <c r="E59" s="5"/>
      <c r="F59" s="5" t="s">
        <v>61</v>
      </c>
      <c r="G59" s="5" t="s">
        <v>20</v>
      </c>
      <c r="H59" s="5" t="s">
        <v>21</v>
      </c>
      <c r="I59" s="5" t="s">
        <v>53</v>
      </c>
      <c r="J59" s="5">
        <v>52303465</v>
      </c>
      <c r="K59" s="5" t="s">
        <v>66</v>
      </c>
      <c r="L59" s="5"/>
      <c r="M59" s="5"/>
      <c r="N59" s="5" t="s">
        <v>67</v>
      </c>
      <c r="O59" s="5" t="s">
        <v>22</v>
      </c>
      <c r="P59" s="5">
        <v>0.7</v>
      </c>
      <c r="Q59" s="5">
        <v>0.6</v>
      </c>
      <c r="R59" s="6" t="s">
        <v>57</v>
      </c>
      <c r="S59" s="6">
        <v>1800</v>
      </c>
      <c r="T59" s="6">
        <v>161400</v>
      </c>
      <c r="U59" s="6">
        <v>120300</v>
      </c>
      <c r="V59" s="6">
        <v>0</v>
      </c>
      <c r="W59" s="6">
        <v>0</v>
      </c>
      <c r="X59" s="6">
        <v>0</v>
      </c>
      <c r="Y59" s="6">
        <v>1800</v>
      </c>
      <c r="Z59" s="6">
        <v>14400</v>
      </c>
      <c r="AA59" s="6">
        <v>0</v>
      </c>
      <c r="AB59" s="6">
        <v>0</v>
      </c>
      <c r="AC59" s="6">
        <v>24900</v>
      </c>
      <c r="AD59" s="6">
        <v>163200</v>
      </c>
      <c r="AE59" s="6">
        <v>120300</v>
      </c>
      <c r="AF59" s="6">
        <v>0</v>
      </c>
      <c r="AG59" s="6">
        <v>0</v>
      </c>
      <c r="AH59" s="6">
        <v>0</v>
      </c>
      <c r="AI59" s="6">
        <v>2160</v>
      </c>
      <c r="AJ59" s="6">
        <v>15840</v>
      </c>
      <c r="AK59" s="6">
        <v>0</v>
      </c>
      <c r="AL59" s="6">
        <v>0</v>
      </c>
      <c r="AM59" s="6">
        <v>24900</v>
      </c>
      <c r="AN59" s="6">
        <v>112440</v>
      </c>
      <c r="AO59" s="6">
        <v>0</v>
      </c>
      <c r="AP59" s="6">
        <v>112440</v>
      </c>
    </row>
    <row r="60" spans="1:42" x14ac:dyDescent="0.4">
      <c r="A60" s="5" t="s">
        <v>60</v>
      </c>
      <c r="B60" s="5" t="s">
        <v>49</v>
      </c>
      <c r="C60" s="5" t="s">
        <v>50</v>
      </c>
      <c r="D60" s="5" t="s">
        <v>51</v>
      </c>
      <c r="E60" s="5"/>
      <c r="F60" s="5" t="s">
        <v>61</v>
      </c>
      <c r="G60" s="5" t="s">
        <v>20</v>
      </c>
      <c r="H60" s="5" t="s">
        <v>21</v>
      </c>
      <c r="I60" s="5" t="s">
        <v>53</v>
      </c>
      <c r="J60" s="5">
        <v>56451540</v>
      </c>
      <c r="K60" s="5" t="s">
        <v>76</v>
      </c>
      <c r="L60" s="5"/>
      <c r="M60" s="5"/>
      <c r="N60" s="5" t="s">
        <v>77</v>
      </c>
      <c r="O60" s="5" t="s">
        <v>22</v>
      </c>
      <c r="P60" s="5">
        <v>0.7</v>
      </c>
      <c r="Q60" s="5">
        <v>0.6</v>
      </c>
      <c r="R60" s="6" t="s">
        <v>56</v>
      </c>
      <c r="S60" s="6">
        <v>200</v>
      </c>
      <c r="T60" s="6">
        <v>278600</v>
      </c>
      <c r="U60" s="6">
        <v>158450</v>
      </c>
      <c r="V60" s="6">
        <v>0</v>
      </c>
      <c r="W60" s="6">
        <v>0</v>
      </c>
      <c r="X60" s="6">
        <v>0</v>
      </c>
      <c r="Y60" s="6">
        <v>1600</v>
      </c>
      <c r="Z60" s="6">
        <v>8700</v>
      </c>
      <c r="AA60" s="6">
        <v>0</v>
      </c>
      <c r="AB60" s="6">
        <v>0</v>
      </c>
      <c r="AC60" s="6">
        <v>109850</v>
      </c>
      <c r="AD60" s="6">
        <v>279790</v>
      </c>
      <c r="AE60" s="6">
        <v>158450</v>
      </c>
      <c r="AF60" s="6">
        <v>0</v>
      </c>
      <c r="AG60" s="6">
        <v>0</v>
      </c>
      <c r="AH60" s="6">
        <v>0</v>
      </c>
      <c r="AI60" s="6">
        <v>1920</v>
      </c>
      <c r="AJ60" s="6">
        <v>9570</v>
      </c>
      <c r="AK60" s="6">
        <v>0</v>
      </c>
      <c r="AL60" s="6">
        <v>0</v>
      </c>
      <c r="AM60" s="6">
        <v>109850</v>
      </c>
      <c r="AN60" s="6">
        <v>194704</v>
      </c>
      <c r="AO60" s="6">
        <v>0</v>
      </c>
      <c r="AP60" s="6">
        <v>194704</v>
      </c>
    </row>
    <row r="61" spans="1:42" x14ac:dyDescent="0.4">
      <c r="A61" s="5" t="s">
        <v>60</v>
      </c>
      <c r="B61" s="5" t="s">
        <v>49</v>
      </c>
      <c r="C61" s="5" t="s">
        <v>50</v>
      </c>
      <c r="D61" s="5" t="s">
        <v>51</v>
      </c>
      <c r="E61" s="5"/>
      <c r="F61" s="5" t="s">
        <v>61</v>
      </c>
      <c r="G61" s="5" t="s">
        <v>20</v>
      </c>
      <c r="H61" s="5" t="s">
        <v>21</v>
      </c>
      <c r="I61" s="5" t="s">
        <v>53</v>
      </c>
      <c r="J61" s="5">
        <v>52303465</v>
      </c>
      <c r="K61" s="5" t="s">
        <v>66</v>
      </c>
      <c r="L61" s="5"/>
      <c r="M61" s="5"/>
      <c r="N61" s="5" t="s">
        <v>67</v>
      </c>
      <c r="O61" s="5" t="s">
        <v>22</v>
      </c>
      <c r="P61" s="5">
        <v>0.7</v>
      </c>
      <c r="Q61" s="5">
        <v>0.6</v>
      </c>
      <c r="R61" s="6" t="s">
        <v>57</v>
      </c>
      <c r="S61" s="6">
        <v>3600</v>
      </c>
      <c r="T61" s="6">
        <v>118800</v>
      </c>
      <c r="U61" s="6">
        <v>103400</v>
      </c>
      <c r="V61" s="6">
        <v>0</v>
      </c>
      <c r="W61" s="6">
        <v>0</v>
      </c>
      <c r="X61" s="6">
        <v>0</v>
      </c>
      <c r="Y61" s="6">
        <v>0</v>
      </c>
      <c r="Z61" s="6">
        <v>10800</v>
      </c>
      <c r="AA61" s="6">
        <v>0</v>
      </c>
      <c r="AB61" s="6">
        <v>0</v>
      </c>
      <c r="AC61" s="6">
        <v>4600</v>
      </c>
      <c r="AD61" s="6">
        <v>119880</v>
      </c>
      <c r="AE61" s="6">
        <v>103400</v>
      </c>
      <c r="AF61" s="6">
        <v>0</v>
      </c>
      <c r="AG61" s="6">
        <v>0</v>
      </c>
      <c r="AH61" s="6">
        <v>0</v>
      </c>
      <c r="AI61" s="6">
        <v>0</v>
      </c>
      <c r="AJ61" s="6">
        <v>11880</v>
      </c>
      <c r="AK61" s="6">
        <v>0</v>
      </c>
      <c r="AL61" s="6">
        <v>0</v>
      </c>
      <c r="AM61" s="6">
        <v>4600</v>
      </c>
      <c r="AN61" s="6">
        <v>82728</v>
      </c>
      <c r="AO61" s="6">
        <v>0</v>
      </c>
      <c r="AP61" s="6">
        <v>82728</v>
      </c>
    </row>
    <row r="62" spans="1:42" x14ac:dyDescent="0.4">
      <c r="A62" s="5" t="s">
        <v>60</v>
      </c>
      <c r="B62" s="5" t="s">
        <v>49</v>
      </c>
      <c r="C62" s="5" t="s">
        <v>50</v>
      </c>
      <c r="D62" s="5" t="s">
        <v>51</v>
      </c>
      <c r="E62" s="5"/>
      <c r="F62" s="5" t="s">
        <v>61</v>
      </c>
      <c r="G62" s="5" t="s">
        <v>20</v>
      </c>
      <c r="H62" s="5" t="s">
        <v>21</v>
      </c>
      <c r="I62" s="5" t="s">
        <v>53</v>
      </c>
      <c r="J62" s="5">
        <v>56451540</v>
      </c>
      <c r="K62" s="5" t="s">
        <v>76</v>
      </c>
      <c r="L62" s="5"/>
      <c r="M62" s="5"/>
      <c r="N62" s="5" t="s">
        <v>77</v>
      </c>
      <c r="O62" s="5" t="s">
        <v>22</v>
      </c>
      <c r="P62" s="5">
        <v>0.7</v>
      </c>
      <c r="Q62" s="5">
        <v>0.6</v>
      </c>
      <c r="R62" s="6" t="s">
        <v>57</v>
      </c>
      <c r="S62" s="6">
        <v>1800</v>
      </c>
      <c r="T62" s="6">
        <v>149000</v>
      </c>
      <c r="U62" s="6">
        <v>125800</v>
      </c>
      <c r="V62" s="6">
        <v>0</v>
      </c>
      <c r="W62" s="6">
        <v>0</v>
      </c>
      <c r="X62" s="6">
        <v>0</v>
      </c>
      <c r="Y62" s="6">
        <v>0</v>
      </c>
      <c r="Z62" s="6">
        <v>7200</v>
      </c>
      <c r="AA62" s="6">
        <v>0</v>
      </c>
      <c r="AB62" s="6">
        <v>0</v>
      </c>
      <c r="AC62" s="6">
        <v>16000</v>
      </c>
      <c r="AD62" s="6">
        <v>149720</v>
      </c>
      <c r="AE62" s="6">
        <v>125800</v>
      </c>
      <c r="AF62" s="6">
        <v>0</v>
      </c>
      <c r="AG62" s="6">
        <v>0</v>
      </c>
      <c r="AH62" s="6">
        <v>0</v>
      </c>
      <c r="AI62" s="6">
        <v>0</v>
      </c>
      <c r="AJ62" s="6">
        <v>7920</v>
      </c>
      <c r="AK62" s="6">
        <v>0</v>
      </c>
      <c r="AL62" s="6">
        <v>0</v>
      </c>
      <c r="AM62" s="6">
        <v>16000</v>
      </c>
      <c r="AN62" s="6">
        <v>104012</v>
      </c>
      <c r="AO62" s="6">
        <v>0</v>
      </c>
      <c r="AP62" s="6">
        <v>104012</v>
      </c>
    </row>
    <row r="63" spans="1:42" x14ac:dyDescent="0.4">
      <c r="A63" s="5" t="s">
        <v>60</v>
      </c>
      <c r="B63" s="5" t="s">
        <v>49</v>
      </c>
      <c r="C63" s="5" t="s">
        <v>50</v>
      </c>
      <c r="D63" s="5" t="s">
        <v>51</v>
      </c>
      <c r="E63" s="5"/>
      <c r="F63" s="5" t="s">
        <v>61</v>
      </c>
      <c r="G63" s="5" t="s">
        <v>20</v>
      </c>
      <c r="H63" s="5" t="s">
        <v>21</v>
      </c>
      <c r="I63" s="5" t="s">
        <v>53</v>
      </c>
      <c r="J63" s="5">
        <v>52303465</v>
      </c>
      <c r="K63" s="5" t="s">
        <v>66</v>
      </c>
      <c r="L63" s="5"/>
      <c r="M63" s="5"/>
      <c r="N63" s="5" t="s">
        <v>67</v>
      </c>
      <c r="O63" s="5" t="s">
        <v>22</v>
      </c>
      <c r="P63" s="5">
        <v>0.7</v>
      </c>
      <c r="Q63" s="5">
        <v>0.6</v>
      </c>
      <c r="R63" s="6" t="s">
        <v>57</v>
      </c>
      <c r="S63" s="6">
        <v>7200</v>
      </c>
      <c r="T63" s="6">
        <v>65600</v>
      </c>
      <c r="U63" s="6">
        <v>58100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7500</v>
      </c>
      <c r="AD63" s="6">
        <v>65600</v>
      </c>
      <c r="AE63" s="6">
        <v>58100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7500</v>
      </c>
      <c r="AN63" s="6">
        <v>45920</v>
      </c>
      <c r="AO63" s="6">
        <v>0</v>
      </c>
      <c r="AP63" s="6">
        <v>45920</v>
      </c>
    </row>
    <row r="64" spans="1:42" x14ac:dyDescent="0.4">
      <c r="A64" s="5" t="s">
        <v>60</v>
      </c>
      <c r="B64" s="5" t="s">
        <v>49</v>
      </c>
      <c r="C64" s="5" t="s">
        <v>50</v>
      </c>
      <c r="D64" s="5" t="s">
        <v>51</v>
      </c>
      <c r="E64" s="5"/>
      <c r="F64" s="5" t="s">
        <v>61</v>
      </c>
      <c r="G64" s="5" t="s">
        <v>20</v>
      </c>
      <c r="H64" s="5" t="s">
        <v>21</v>
      </c>
      <c r="I64" s="5" t="s">
        <v>53</v>
      </c>
      <c r="J64" s="5">
        <v>56451540</v>
      </c>
      <c r="K64" s="5" t="s">
        <v>76</v>
      </c>
      <c r="L64" s="5"/>
      <c r="M64" s="5"/>
      <c r="N64" s="5" t="s">
        <v>77</v>
      </c>
      <c r="O64" s="5" t="s">
        <v>22</v>
      </c>
      <c r="P64" s="5">
        <v>0.7</v>
      </c>
      <c r="Q64" s="5">
        <v>0.6</v>
      </c>
      <c r="R64" s="6" t="s">
        <v>57</v>
      </c>
      <c r="S64" s="6">
        <v>3600</v>
      </c>
      <c r="T64" s="6">
        <v>56800</v>
      </c>
      <c r="U64" s="6">
        <v>53200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3600</v>
      </c>
      <c r="AD64" s="6">
        <v>56800</v>
      </c>
      <c r="AE64" s="6">
        <v>53200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3600</v>
      </c>
      <c r="AN64" s="6">
        <v>39760</v>
      </c>
      <c r="AO64" s="6">
        <v>0</v>
      </c>
      <c r="AP64" s="6">
        <v>39760</v>
      </c>
    </row>
    <row r="65" spans="1:42" x14ac:dyDescent="0.4">
      <c r="A65" s="5" t="s">
        <v>60</v>
      </c>
      <c r="B65" s="5" t="s">
        <v>49</v>
      </c>
      <c r="C65" s="5" t="s">
        <v>50</v>
      </c>
      <c r="D65" s="5" t="s">
        <v>51</v>
      </c>
      <c r="E65" s="5"/>
      <c r="F65" s="5" t="s">
        <v>61</v>
      </c>
      <c r="G65" s="5" t="s">
        <v>20</v>
      </c>
      <c r="H65" s="5" t="s">
        <v>21</v>
      </c>
      <c r="I65" s="5" t="s">
        <v>53</v>
      </c>
      <c r="J65" s="5">
        <v>56451540</v>
      </c>
      <c r="K65" s="5" t="s">
        <v>76</v>
      </c>
      <c r="L65" s="5"/>
      <c r="M65" s="5"/>
      <c r="N65" s="5" t="s">
        <v>77</v>
      </c>
      <c r="O65" s="5" t="s">
        <v>22</v>
      </c>
      <c r="P65" s="5">
        <v>0.7</v>
      </c>
      <c r="Q65" s="5">
        <v>0.6</v>
      </c>
      <c r="R65" s="6" t="s">
        <v>57</v>
      </c>
      <c r="S65" s="6">
        <v>7200</v>
      </c>
      <c r="T65" s="6">
        <v>52800</v>
      </c>
      <c r="U65" s="6">
        <v>49400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3400</v>
      </c>
      <c r="AD65" s="6">
        <v>52800</v>
      </c>
      <c r="AE65" s="6">
        <v>49400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3400</v>
      </c>
      <c r="AN65" s="6">
        <v>36960</v>
      </c>
      <c r="AO65" s="6">
        <v>0</v>
      </c>
      <c r="AP65" s="6">
        <v>36960</v>
      </c>
    </row>
    <row r="66" spans="1:42" x14ac:dyDescent="0.4">
      <c r="A66" s="5" t="s">
        <v>60</v>
      </c>
      <c r="B66" s="5" t="s">
        <v>49</v>
      </c>
      <c r="C66" s="5" t="s">
        <v>50</v>
      </c>
      <c r="D66" s="5" t="s">
        <v>51</v>
      </c>
      <c r="E66" s="5"/>
      <c r="F66" s="5" t="s">
        <v>61</v>
      </c>
      <c r="G66" s="5" t="s">
        <v>20</v>
      </c>
      <c r="H66" s="5" t="s">
        <v>21</v>
      </c>
      <c r="I66" s="5" t="s">
        <v>53</v>
      </c>
      <c r="J66" s="5">
        <v>51188786</v>
      </c>
      <c r="K66" s="5" t="s">
        <v>72</v>
      </c>
      <c r="L66" s="5"/>
      <c r="M66" s="5"/>
      <c r="N66" s="5" t="s">
        <v>73</v>
      </c>
      <c r="O66" s="5" t="s">
        <v>22</v>
      </c>
      <c r="P66" s="5">
        <v>0.7</v>
      </c>
      <c r="Q66" s="5">
        <v>0.6</v>
      </c>
      <c r="R66" s="6" t="s">
        <v>24</v>
      </c>
      <c r="S66" s="6">
        <v>200</v>
      </c>
      <c r="T66" s="6">
        <v>4000</v>
      </c>
      <c r="U66" s="6">
        <v>2600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1400</v>
      </c>
      <c r="AD66" s="6">
        <v>4000</v>
      </c>
      <c r="AE66" s="6">
        <v>2600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1400</v>
      </c>
      <c r="AN66" s="6">
        <v>2800</v>
      </c>
      <c r="AO66" s="6">
        <v>0</v>
      </c>
      <c r="AP66" s="6">
        <v>2800</v>
      </c>
    </row>
    <row r="67" spans="1:42" x14ac:dyDescent="0.4">
      <c r="A67" s="5" t="s">
        <v>60</v>
      </c>
      <c r="B67" s="5" t="s">
        <v>49</v>
      </c>
      <c r="C67" s="5" t="s">
        <v>50</v>
      </c>
      <c r="D67" s="5" t="s">
        <v>51</v>
      </c>
      <c r="E67" s="5"/>
      <c r="F67" s="5" t="s">
        <v>61</v>
      </c>
      <c r="G67" s="5" t="s">
        <v>20</v>
      </c>
      <c r="H67" s="5" t="s">
        <v>21</v>
      </c>
      <c r="I67" s="5" t="s">
        <v>53</v>
      </c>
      <c r="J67" s="5">
        <v>51188786</v>
      </c>
      <c r="K67" s="5" t="s">
        <v>72</v>
      </c>
      <c r="L67" s="5"/>
      <c r="M67" s="5"/>
      <c r="N67" s="5" t="s">
        <v>73</v>
      </c>
      <c r="O67" s="5" t="s">
        <v>22</v>
      </c>
      <c r="P67" s="5">
        <v>0.7</v>
      </c>
      <c r="Q67" s="5">
        <v>0.6</v>
      </c>
      <c r="R67" s="6" t="s">
        <v>23</v>
      </c>
      <c r="S67" s="6">
        <v>1800</v>
      </c>
      <c r="T67" s="6">
        <v>18000</v>
      </c>
      <c r="U67" s="6">
        <v>14800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3200</v>
      </c>
      <c r="AD67" s="6">
        <v>18000</v>
      </c>
      <c r="AE67" s="6">
        <v>14800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3200</v>
      </c>
      <c r="AN67" s="6">
        <v>12600</v>
      </c>
      <c r="AO67" s="6">
        <v>0</v>
      </c>
      <c r="AP67" s="6">
        <v>12600</v>
      </c>
    </row>
    <row r="68" spans="1:42" x14ac:dyDescent="0.4">
      <c r="A68" s="5" t="s">
        <v>60</v>
      </c>
      <c r="B68" s="5" t="s">
        <v>49</v>
      </c>
      <c r="C68" s="5" t="s">
        <v>50</v>
      </c>
      <c r="D68" s="5" t="s">
        <v>51</v>
      </c>
      <c r="E68" s="5"/>
      <c r="F68" s="5" t="s">
        <v>61</v>
      </c>
      <c r="G68" s="5" t="s">
        <v>20</v>
      </c>
      <c r="H68" s="5" t="s">
        <v>21</v>
      </c>
      <c r="I68" s="5" t="s">
        <v>53</v>
      </c>
      <c r="J68" s="5">
        <v>51188786</v>
      </c>
      <c r="K68" s="5" t="s">
        <v>72</v>
      </c>
      <c r="L68" s="5"/>
      <c r="M68" s="5"/>
      <c r="N68" s="5" t="s">
        <v>73</v>
      </c>
      <c r="O68" s="5" t="s">
        <v>22</v>
      </c>
      <c r="P68" s="5">
        <v>0.7</v>
      </c>
      <c r="Q68" s="5">
        <v>0.6</v>
      </c>
      <c r="R68" s="6" t="s">
        <v>23</v>
      </c>
      <c r="S68" s="6">
        <v>3600</v>
      </c>
      <c r="T68" s="6">
        <v>3600</v>
      </c>
      <c r="U68" s="6">
        <v>3600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3600</v>
      </c>
      <c r="AE68" s="6">
        <v>3600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2520</v>
      </c>
      <c r="AO68" s="6">
        <v>0</v>
      </c>
      <c r="AP68" s="6">
        <v>2520</v>
      </c>
    </row>
    <row r="69" spans="1:42" x14ac:dyDescent="0.4">
      <c r="A69" s="5" t="s">
        <v>60</v>
      </c>
      <c r="B69" s="5" t="s">
        <v>49</v>
      </c>
      <c r="C69" s="5" t="s">
        <v>50</v>
      </c>
      <c r="D69" s="5" t="s">
        <v>51</v>
      </c>
      <c r="E69" s="5"/>
      <c r="F69" s="5" t="s">
        <v>61</v>
      </c>
      <c r="G69" s="5" t="s">
        <v>20</v>
      </c>
      <c r="H69" s="5" t="s">
        <v>21</v>
      </c>
      <c r="I69" s="5" t="s">
        <v>53</v>
      </c>
      <c r="J69" s="5">
        <v>51188786</v>
      </c>
      <c r="K69" s="5" t="s">
        <v>72</v>
      </c>
      <c r="L69" s="5"/>
      <c r="M69" s="5"/>
      <c r="N69" s="5" t="s">
        <v>73</v>
      </c>
      <c r="O69" s="5" t="s">
        <v>22</v>
      </c>
      <c r="P69" s="5">
        <v>0.7</v>
      </c>
      <c r="Q69" s="5">
        <v>0.6</v>
      </c>
      <c r="R69" s="6" t="s">
        <v>23</v>
      </c>
      <c r="S69" s="6">
        <v>7200</v>
      </c>
      <c r="T69" s="6">
        <v>28800</v>
      </c>
      <c r="U69" s="6">
        <v>28800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28800</v>
      </c>
      <c r="AE69" s="6">
        <v>28800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20160</v>
      </c>
      <c r="AO69" s="6">
        <v>0</v>
      </c>
      <c r="AP69" s="6">
        <v>20160</v>
      </c>
    </row>
    <row r="70" spans="1:42" x14ac:dyDescent="0.4">
      <c r="A70" s="5" t="s">
        <v>60</v>
      </c>
      <c r="B70" s="5" t="s">
        <v>49</v>
      </c>
      <c r="C70" s="5" t="s">
        <v>50</v>
      </c>
      <c r="D70" s="5" t="s">
        <v>51</v>
      </c>
      <c r="E70" s="5"/>
      <c r="F70" s="5" t="s">
        <v>61</v>
      </c>
      <c r="G70" s="5" t="s">
        <v>20</v>
      </c>
      <c r="H70" s="5" t="s">
        <v>21</v>
      </c>
      <c r="I70" s="5" t="s">
        <v>53</v>
      </c>
      <c r="J70" s="5">
        <v>51188786</v>
      </c>
      <c r="K70" s="5" t="s">
        <v>72</v>
      </c>
      <c r="L70" s="5"/>
      <c r="M70" s="5"/>
      <c r="N70" s="5" t="s">
        <v>73</v>
      </c>
      <c r="O70" s="5" t="s">
        <v>22</v>
      </c>
      <c r="P70" s="5">
        <v>0.7</v>
      </c>
      <c r="Q70" s="5">
        <v>0.6</v>
      </c>
      <c r="R70" s="6" t="s">
        <v>56</v>
      </c>
      <c r="S70" s="6">
        <v>100</v>
      </c>
      <c r="T70" s="6">
        <v>65700</v>
      </c>
      <c r="U70" s="6">
        <v>20300</v>
      </c>
      <c r="V70" s="6">
        <v>0</v>
      </c>
      <c r="W70" s="6">
        <v>0</v>
      </c>
      <c r="X70" s="6">
        <v>0</v>
      </c>
      <c r="Y70" s="6">
        <v>4700</v>
      </c>
      <c r="Z70" s="6">
        <v>1500</v>
      </c>
      <c r="AA70" s="6">
        <v>0</v>
      </c>
      <c r="AB70" s="6">
        <v>0</v>
      </c>
      <c r="AC70" s="6">
        <v>39200</v>
      </c>
      <c r="AD70" s="6">
        <v>66790</v>
      </c>
      <c r="AE70" s="6">
        <v>20300</v>
      </c>
      <c r="AF70" s="6">
        <v>0</v>
      </c>
      <c r="AG70" s="6">
        <v>0</v>
      </c>
      <c r="AH70" s="6">
        <v>0</v>
      </c>
      <c r="AI70" s="6">
        <v>5640</v>
      </c>
      <c r="AJ70" s="6">
        <v>1650</v>
      </c>
      <c r="AK70" s="6">
        <v>0</v>
      </c>
      <c r="AL70" s="6">
        <v>0</v>
      </c>
      <c r="AM70" s="6">
        <v>39200</v>
      </c>
      <c r="AN70" s="6">
        <v>46024</v>
      </c>
      <c r="AO70" s="6">
        <v>0</v>
      </c>
      <c r="AP70" s="6">
        <v>46024</v>
      </c>
    </row>
    <row r="71" spans="1:42" x14ac:dyDescent="0.4">
      <c r="A71" s="5" t="s">
        <v>60</v>
      </c>
      <c r="B71" s="5" t="s">
        <v>49</v>
      </c>
      <c r="C71" s="5" t="s">
        <v>50</v>
      </c>
      <c r="D71" s="5" t="s">
        <v>51</v>
      </c>
      <c r="E71" s="5"/>
      <c r="F71" s="5" t="s">
        <v>61</v>
      </c>
      <c r="G71" s="5" t="s">
        <v>20</v>
      </c>
      <c r="H71" s="5" t="s">
        <v>21</v>
      </c>
      <c r="I71" s="5" t="s">
        <v>53</v>
      </c>
      <c r="J71" s="5">
        <v>51188786</v>
      </c>
      <c r="K71" s="5" t="s">
        <v>72</v>
      </c>
      <c r="L71" s="5"/>
      <c r="M71" s="5"/>
      <c r="N71" s="5" t="s">
        <v>73</v>
      </c>
      <c r="O71" s="5" t="s">
        <v>22</v>
      </c>
      <c r="P71" s="5">
        <v>0.7</v>
      </c>
      <c r="Q71" s="5">
        <v>0.6</v>
      </c>
      <c r="R71" s="6" t="s">
        <v>57</v>
      </c>
      <c r="S71" s="6">
        <v>900</v>
      </c>
      <c r="T71" s="6">
        <v>20900</v>
      </c>
      <c r="U71" s="6">
        <v>4700</v>
      </c>
      <c r="V71" s="6">
        <v>0</v>
      </c>
      <c r="W71" s="6">
        <v>0</v>
      </c>
      <c r="X71" s="6">
        <v>0</v>
      </c>
      <c r="Y71" s="6">
        <v>2700</v>
      </c>
      <c r="Z71" s="6">
        <v>4300</v>
      </c>
      <c r="AA71" s="6">
        <v>0</v>
      </c>
      <c r="AB71" s="6">
        <v>0</v>
      </c>
      <c r="AC71" s="6">
        <v>9200</v>
      </c>
      <c r="AD71" s="6">
        <v>21870</v>
      </c>
      <c r="AE71" s="6">
        <v>4700</v>
      </c>
      <c r="AF71" s="6">
        <v>0</v>
      </c>
      <c r="AG71" s="6">
        <v>0</v>
      </c>
      <c r="AH71" s="6">
        <v>0</v>
      </c>
      <c r="AI71" s="6">
        <v>3240</v>
      </c>
      <c r="AJ71" s="6">
        <v>4730</v>
      </c>
      <c r="AK71" s="6">
        <v>0</v>
      </c>
      <c r="AL71" s="6">
        <v>0</v>
      </c>
      <c r="AM71" s="6">
        <v>9200</v>
      </c>
      <c r="AN71" s="6">
        <v>14512</v>
      </c>
      <c r="AO71" s="6">
        <v>0</v>
      </c>
      <c r="AP71" s="6">
        <v>14512</v>
      </c>
    </row>
    <row r="72" spans="1:42" x14ac:dyDescent="0.4">
      <c r="A72" s="5" t="s">
        <v>60</v>
      </c>
      <c r="B72" s="5" t="s">
        <v>49</v>
      </c>
      <c r="C72" s="5" t="s">
        <v>50</v>
      </c>
      <c r="D72" s="5" t="s">
        <v>51</v>
      </c>
      <c r="E72" s="5"/>
      <c r="F72" s="5" t="s">
        <v>61</v>
      </c>
      <c r="G72" s="5" t="s">
        <v>20</v>
      </c>
      <c r="H72" s="5" t="s">
        <v>21</v>
      </c>
      <c r="I72" s="5" t="s">
        <v>53</v>
      </c>
      <c r="J72" s="5">
        <v>51188786</v>
      </c>
      <c r="K72" s="5" t="s">
        <v>72</v>
      </c>
      <c r="L72" s="5"/>
      <c r="M72" s="5"/>
      <c r="N72" s="5" t="s">
        <v>73</v>
      </c>
      <c r="O72" s="5" t="s">
        <v>22</v>
      </c>
      <c r="P72" s="5">
        <v>0.7</v>
      </c>
      <c r="Q72" s="5">
        <v>0.6</v>
      </c>
      <c r="R72" s="6" t="s">
        <v>57</v>
      </c>
      <c r="S72" s="6">
        <v>1800</v>
      </c>
      <c r="T72" s="6">
        <v>12300</v>
      </c>
      <c r="U72" s="6">
        <v>5100</v>
      </c>
      <c r="V72" s="6">
        <v>0</v>
      </c>
      <c r="W72" s="6">
        <v>0</v>
      </c>
      <c r="X72" s="6">
        <v>0</v>
      </c>
      <c r="Y72" s="6">
        <v>0</v>
      </c>
      <c r="Z72" s="6">
        <v>5100</v>
      </c>
      <c r="AA72" s="6">
        <v>0</v>
      </c>
      <c r="AB72" s="6">
        <v>0</v>
      </c>
      <c r="AC72" s="6">
        <v>2100</v>
      </c>
      <c r="AD72" s="6">
        <v>12810</v>
      </c>
      <c r="AE72" s="6">
        <v>5100</v>
      </c>
      <c r="AF72" s="6">
        <v>0</v>
      </c>
      <c r="AG72" s="6">
        <v>0</v>
      </c>
      <c r="AH72" s="6">
        <v>0</v>
      </c>
      <c r="AI72" s="6">
        <v>0</v>
      </c>
      <c r="AJ72" s="6">
        <v>5610</v>
      </c>
      <c r="AK72" s="6">
        <v>0</v>
      </c>
      <c r="AL72" s="6">
        <v>0</v>
      </c>
      <c r="AM72" s="6">
        <v>2100</v>
      </c>
      <c r="AN72" s="6">
        <v>8406</v>
      </c>
      <c r="AO72" s="6">
        <v>0</v>
      </c>
      <c r="AP72" s="6">
        <v>8406</v>
      </c>
    </row>
    <row r="73" spans="1:42" x14ac:dyDescent="0.4">
      <c r="A73" s="5" t="s">
        <v>60</v>
      </c>
      <c r="B73" s="5" t="s">
        <v>49</v>
      </c>
      <c r="C73" s="5" t="s">
        <v>50</v>
      </c>
      <c r="D73" s="5" t="s">
        <v>51</v>
      </c>
      <c r="E73" s="5"/>
      <c r="F73" s="5" t="s">
        <v>61</v>
      </c>
      <c r="G73" s="5" t="s">
        <v>20</v>
      </c>
      <c r="H73" s="5" t="s">
        <v>21</v>
      </c>
      <c r="I73" s="5" t="s">
        <v>53</v>
      </c>
      <c r="J73" s="5">
        <v>51188786</v>
      </c>
      <c r="K73" s="5" t="s">
        <v>72</v>
      </c>
      <c r="L73" s="5"/>
      <c r="M73" s="5"/>
      <c r="N73" s="5" t="s">
        <v>73</v>
      </c>
      <c r="O73" s="5" t="s">
        <v>22</v>
      </c>
      <c r="P73" s="5">
        <v>0.7</v>
      </c>
      <c r="Q73" s="5">
        <v>0.6</v>
      </c>
      <c r="R73" s="6" t="s">
        <v>57</v>
      </c>
      <c r="S73" s="6">
        <v>3600</v>
      </c>
      <c r="T73" s="6">
        <v>20400</v>
      </c>
      <c r="U73" s="6">
        <v>13200</v>
      </c>
      <c r="V73" s="6">
        <v>0</v>
      </c>
      <c r="W73" s="6">
        <v>0</v>
      </c>
      <c r="X73" s="6">
        <v>0</v>
      </c>
      <c r="Y73" s="6">
        <v>0</v>
      </c>
      <c r="Z73" s="6">
        <v>7200</v>
      </c>
      <c r="AA73" s="6">
        <v>0</v>
      </c>
      <c r="AB73" s="6">
        <v>0</v>
      </c>
      <c r="AC73" s="6">
        <v>0</v>
      </c>
      <c r="AD73" s="6">
        <v>21120</v>
      </c>
      <c r="AE73" s="6">
        <v>13200</v>
      </c>
      <c r="AF73" s="6">
        <v>0</v>
      </c>
      <c r="AG73" s="6">
        <v>0</v>
      </c>
      <c r="AH73" s="6">
        <v>0</v>
      </c>
      <c r="AI73" s="6">
        <v>0</v>
      </c>
      <c r="AJ73" s="6">
        <v>7920</v>
      </c>
      <c r="AK73" s="6">
        <v>0</v>
      </c>
      <c r="AL73" s="6">
        <v>0</v>
      </c>
      <c r="AM73" s="6">
        <v>0</v>
      </c>
      <c r="AN73" s="6">
        <v>13992</v>
      </c>
      <c r="AO73" s="6">
        <v>0</v>
      </c>
      <c r="AP73" s="6">
        <v>13992</v>
      </c>
    </row>
    <row r="74" spans="1:42" x14ac:dyDescent="0.4">
      <c r="AP74" s="7">
        <f>SUM(AP2:AP73)</f>
        <v>21120854</v>
      </c>
    </row>
    <row r="75" spans="1:42" x14ac:dyDescent="0.4">
      <c r="AP75" s="7">
        <f>특별계약!AP23+일반계약!AP53</f>
        <v>21120854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zoomScale="55" zoomScaleNormal="55" workbookViewId="0">
      <selection activeCell="D32" sqref="D32"/>
    </sheetView>
  </sheetViews>
  <sheetFormatPr defaultRowHeight="17.399999999999999" x14ac:dyDescent="0.4"/>
  <cols>
    <col min="1" max="1" width="9.296875" style="4" bestFit="1" customWidth="1"/>
    <col min="2" max="2" width="15" style="4" bestFit="1" customWidth="1"/>
    <col min="3" max="3" width="13.8984375" style="4" customWidth="1"/>
    <col min="4" max="4" width="11.69921875" style="4" customWidth="1"/>
    <col min="5" max="5" width="4.796875" style="4" customWidth="1"/>
    <col min="6" max="6" width="5.796875" style="4" customWidth="1"/>
    <col min="7" max="7" width="4.796875" style="4" customWidth="1"/>
    <col min="8" max="8" width="3.69921875" style="4" customWidth="1"/>
    <col min="9" max="9" width="5.59765625" style="4" customWidth="1"/>
    <col min="10" max="10" width="7.8984375" style="4" customWidth="1"/>
    <col min="11" max="11" width="23.296875" style="4" bestFit="1" customWidth="1"/>
    <col min="12" max="13" width="2" style="4" customWidth="1"/>
    <col min="14" max="14" width="6.796875" style="4" bestFit="1" customWidth="1"/>
    <col min="15" max="15" width="2.69921875" style="4" customWidth="1"/>
    <col min="16" max="16" width="30" style="4" bestFit="1" customWidth="1"/>
    <col min="17" max="17" width="11.69921875" style="4" customWidth="1"/>
    <col min="18" max="18" width="19.59765625" style="4" bestFit="1" customWidth="1"/>
    <col min="19" max="19" width="11.09765625" style="4" bestFit="1" customWidth="1"/>
    <col min="20" max="20" width="9.3984375" style="4" bestFit="1" customWidth="1"/>
    <col min="21" max="29" width="1.69921875" style="4" customWidth="1"/>
    <col min="30" max="30" width="10.69921875" style="4" bestFit="1" customWidth="1"/>
    <col min="31" max="39" width="1.69921875" style="4" customWidth="1"/>
    <col min="40" max="40" width="9.19921875" style="4" bestFit="1" customWidth="1"/>
    <col min="41" max="41" width="1.69921875" style="4" customWidth="1"/>
    <col min="42" max="42" width="13.19921875" style="4" bestFit="1" customWidth="1"/>
    <col min="43" max="16384" width="8.796875" style="4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80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57928448</v>
      </c>
      <c r="K2" s="5" t="s">
        <v>81</v>
      </c>
      <c r="L2" s="5"/>
      <c r="M2" s="5"/>
      <c r="N2" s="5" t="s">
        <v>82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382800</v>
      </c>
      <c r="U2" s="6">
        <v>273700</v>
      </c>
      <c r="V2" s="6">
        <v>0</v>
      </c>
      <c r="W2" s="6">
        <v>0</v>
      </c>
      <c r="X2" s="6">
        <v>0</v>
      </c>
      <c r="Y2" s="6">
        <v>400</v>
      </c>
      <c r="Z2" s="6">
        <v>14400</v>
      </c>
      <c r="AA2" s="6">
        <v>0</v>
      </c>
      <c r="AB2" s="6">
        <v>0</v>
      </c>
      <c r="AC2" s="6">
        <v>94300</v>
      </c>
      <c r="AD2" s="6">
        <v>384320</v>
      </c>
      <c r="AE2" s="6">
        <v>273700</v>
      </c>
      <c r="AF2" s="6">
        <v>0</v>
      </c>
      <c r="AG2" s="6">
        <v>0</v>
      </c>
      <c r="AH2" s="6">
        <v>0</v>
      </c>
      <c r="AI2" s="6">
        <v>480</v>
      </c>
      <c r="AJ2" s="6">
        <v>15840</v>
      </c>
      <c r="AK2" s="6">
        <v>0</v>
      </c>
      <c r="AL2" s="6">
        <v>0</v>
      </c>
      <c r="AM2" s="6">
        <v>94300</v>
      </c>
      <c r="AN2" s="6">
        <v>211376</v>
      </c>
      <c r="AO2" s="6">
        <v>0</v>
      </c>
      <c r="AP2" s="6">
        <v>211376</v>
      </c>
    </row>
    <row r="3" spans="1:42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80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57928448</v>
      </c>
      <c r="K3" s="5" t="s">
        <v>81</v>
      </c>
      <c r="L3" s="5"/>
      <c r="M3" s="5"/>
      <c r="N3" s="5" t="s">
        <v>82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414800</v>
      </c>
      <c r="U3" s="6">
        <v>342600</v>
      </c>
      <c r="V3" s="6">
        <v>0</v>
      </c>
      <c r="W3" s="6">
        <v>0</v>
      </c>
      <c r="X3" s="6">
        <v>0</v>
      </c>
      <c r="Y3" s="6">
        <v>0</v>
      </c>
      <c r="Z3" s="6">
        <v>14400</v>
      </c>
      <c r="AA3" s="6">
        <v>0</v>
      </c>
      <c r="AB3" s="6">
        <v>0</v>
      </c>
      <c r="AC3" s="6">
        <v>57800</v>
      </c>
      <c r="AD3" s="6">
        <v>416240</v>
      </c>
      <c r="AE3" s="6">
        <v>342600</v>
      </c>
      <c r="AF3" s="6">
        <v>0</v>
      </c>
      <c r="AG3" s="6">
        <v>0</v>
      </c>
      <c r="AH3" s="6">
        <v>0</v>
      </c>
      <c r="AI3" s="6">
        <v>0</v>
      </c>
      <c r="AJ3" s="6">
        <v>15840</v>
      </c>
      <c r="AK3" s="6">
        <v>0</v>
      </c>
      <c r="AL3" s="6">
        <v>0</v>
      </c>
      <c r="AM3" s="6">
        <v>57800</v>
      </c>
      <c r="AN3" s="6">
        <v>228932</v>
      </c>
      <c r="AO3" s="6">
        <v>0</v>
      </c>
      <c r="AP3" s="6">
        <v>228932</v>
      </c>
    </row>
    <row r="4" spans="1:42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80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57928448</v>
      </c>
      <c r="K4" s="5" t="s">
        <v>81</v>
      </c>
      <c r="L4" s="5"/>
      <c r="M4" s="5"/>
      <c r="N4" s="5" t="s">
        <v>82</v>
      </c>
      <c r="O4" s="5" t="s">
        <v>22</v>
      </c>
      <c r="P4" s="5">
        <v>0.55000000000000004</v>
      </c>
      <c r="Q4" s="5">
        <v>0.55000000000000004</v>
      </c>
      <c r="R4" s="6" t="s">
        <v>23</v>
      </c>
      <c r="S4" s="6">
        <v>10800</v>
      </c>
      <c r="T4" s="6">
        <v>248400</v>
      </c>
      <c r="U4" s="6">
        <v>234500</v>
      </c>
      <c r="V4" s="6">
        <v>0</v>
      </c>
      <c r="W4" s="6">
        <v>0</v>
      </c>
      <c r="X4" s="6">
        <v>0</v>
      </c>
      <c r="Y4" s="6">
        <v>0</v>
      </c>
      <c r="Z4" s="6">
        <v>10800</v>
      </c>
      <c r="AA4" s="6">
        <v>0</v>
      </c>
      <c r="AB4" s="6">
        <v>0</v>
      </c>
      <c r="AC4" s="6">
        <v>3100</v>
      </c>
      <c r="AD4" s="6">
        <v>249480</v>
      </c>
      <c r="AE4" s="6">
        <v>234500</v>
      </c>
      <c r="AF4" s="6">
        <v>0</v>
      </c>
      <c r="AG4" s="6">
        <v>0</v>
      </c>
      <c r="AH4" s="6">
        <v>0</v>
      </c>
      <c r="AI4" s="6">
        <v>0</v>
      </c>
      <c r="AJ4" s="6">
        <v>11880</v>
      </c>
      <c r="AK4" s="6">
        <v>0</v>
      </c>
      <c r="AL4" s="6">
        <v>0</v>
      </c>
      <c r="AM4" s="6">
        <v>3100</v>
      </c>
      <c r="AN4" s="6">
        <v>137214</v>
      </c>
      <c r="AO4" s="6">
        <v>0</v>
      </c>
      <c r="AP4" s="6">
        <v>137214</v>
      </c>
    </row>
    <row r="5" spans="1:42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80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57928448</v>
      </c>
      <c r="K5" s="5" t="s">
        <v>81</v>
      </c>
      <c r="L5" s="5"/>
      <c r="M5" s="5"/>
      <c r="N5" s="5" t="s">
        <v>82</v>
      </c>
      <c r="O5" s="5" t="s">
        <v>22</v>
      </c>
      <c r="P5" s="5">
        <v>0.55000000000000004</v>
      </c>
      <c r="Q5" s="5">
        <v>0.55000000000000004</v>
      </c>
      <c r="R5" s="6" t="s">
        <v>23</v>
      </c>
      <c r="S5" s="6">
        <v>18000</v>
      </c>
      <c r="T5" s="6">
        <v>316400</v>
      </c>
      <c r="U5" s="6">
        <v>284900</v>
      </c>
      <c r="V5" s="6">
        <v>0</v>
      </c>
      <c r="W5" s="6">
        <v>0</v>
      </c>
      <c r="X5" s="6">
        <v>0</v>
      </c>
      <c r="Y5" s="6">
        <v>600</v>
      </c>
      <c r="Z5" s="6">
        <v>17400</v>
      </c>
      <c r="AA5" s="6">
        <v>0</v>
      </c>
      <c r="AB5" s="6">
        <v>0</v>
      </c>
      <c r="AC5" s="6">
        <v>13500</v>
      </c>
      <c r="AD5" s="6">
        <v>318260</v>
      </c>
      <c r="AE5" s="6">
        <v>284900</v>
      </c>
      <c r="AF5" s="6">
        <v>0</v>
      </c>
      <c r="AG5" s="6">
        <v>0</v>
      </c>
      <c r="AH5" s="6">
        <v>0</v>
      </c>
      <c r="AI5" s="6">
        <v>720</v>
      </c>
      <c r="AJ5" s="6">
        <v>19140</v>
      </c>
      <c r="AK5" s="6">
        <v>0</v>
      </c>
      <c r="AL5" s="6">
        <v>0</v>
      </c>
      <c r="AM5" s="6">
        <v>13500</v>
      </c>
      <c r="AN5" s="6">
        <v>175043</v>
      </c>
      <c r="AO5" s="6">
        <v>0</v>
      </c>
      <c r="AP5" s="6">
        <v>175043</v>
      </c>
    </row>
    <row r="6" spans="1:42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80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57928448</v>
      </c>
      <c r="K6" s="5" t="s">
        <v>81</v>
      </c>
      <c r="L6" s="5"/>
      <c r="M6" s="5"/>
      <c r="N6" s="5" t="s">
        <v>82</v>
      </c>
      <c r="O6" s="5" t="s">
        <v>22</v>
      </c>
      <c r="P6" s="5">
        <v>0.55000000000000004</v>
      </c>
      <c r="Q6" s="5">
        <v>0.55000000000000004</v>
      </c>
      <c r="R6" s="6" t="s">
        <v>56</v>
      </c>
      <c r="S6" s="6">
        <v>200</v>
      </c>
      <c r="T6" s="6">
        <v>13236800</v>
      </c>
      <c r="U6" s="6">
        <v>7197060</v>
      </c>
      <c r="V6" s="6">
        <v>0</v>
      </c>
      <c r="W6" s="6">
        <v>0</v>
      </c>
      <c r="X6" s="6">
        <v>1200</v>
      </c>
      <c r="Y6" s="6">
        <v>140950</v>
      </c>
      <c r="Z6" s="6">
        <v>486790</v>
      </c>
      <c r="AA6" s="6">
        <v>0</v>
      </c>
      <c r="AB6" s="6">
        <v>0</v>
      </c>
      <c r="AC6" s="6">
        <v>5410800</v>
      </c>
      <c r="AD6" s="6">
        <v>13314030.7651</v>
      </c>
      <c r="AE6" s="6">
        <v>7197060</v>
      </c>
      <c r="AF6" s="6">
        <v>0</v>
      </c>
      <c r="AG6" s="6">
        <v>0</v>
      </c>
      <c r="AH6" s="6">
        <v>1561.7651000000001</v>
      </c>
      <c r="AI6" s="6">
        <v>169140</v>
      </c>
      <c r="AJ6" s="6">
        <v>535469</v>
      </c>
      <c r="AK6" s="6">
        <v>0</v>
      </c>
      <c r="AL6" s="6">
        <v>0</v>
      </c>
      <c r="AM6" s="6">
        <v>5410800</v>
      </c>
      <c r="AN6" s="6">
        <v>7322717</v>
      </c>
      <c r="AO6" s="6">
        <v>0</v>
      </c>
      <c r="AP6" s="6">
        <v>7322717</v>
      </c>
    </row>
    <row r="7" spans="1:42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80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57928448</v>
      </c>
      <c r="K7" s="5" t="s">
        <v>81</v>
      </c>
      <c r="L7" s="5"/>
      <c r="M7" s="5"/>
      <c r="N7" s="5" t="s">
        <v>82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1800</v>
      </c>
      <c r="T7" s="6">
        <v>9405800</v>
      </c>
      <c r="U7" s="6">
        <v>7393700</v>
      </c>
      <c r="V7" s="6">
        <v>0</v>
      </c>
      <c r="W7" s="6">
        <v>0</v>
      </c>
      <c r="X7" s="6">
        <v>0</v>
      </c>
      <c r="Y7" s="6">
        <v>34370</v>
      </c>
      <c r="Z7" s="6">
        <v>571180</v>
      </c>
      <c r="AA7" s="6">
        <v>0</v>
      </c>
      <c r="AB7" s="6">
        <v>0</v>
      </c>
      <c r="AC7" s="6">
        <v>1406550</v>
      </c>
      <c r="AD7" s="6">
        <v>9469792</v>
      </c>
      <c r="AE7" s="6">
        <v>7393700</v>
      </c>
      <c r="AF7" s="6">
        <v>0</v>
      </c>
      <c r="AG7" s="6">
        <v>0</v>
      </c>
      <c r="AH7" s="6">
        <v>0</v>
      </c>
      <c r="AI7" s="6">
        <v>41244</v>
      </c>
      <c r="AJ7" s="6">
        <v>628298</v>
      </c>
      <c r="AK7" s="6">
        <v>0</v>
      </c>
      <c r="AL7" s="6">
        <v>0</v>
      </c>
      <c r="AM7" s="6">
        <v>1406550</v>
      </c>
      <c r="AN7" s="6">
        <v>5208386</v>
      </c>
      <c r="AO7" s="6">
        <v>0</v>
      </c>
      <c r="AP7" s="6">
        <v>5208386</v>
      </c>
    </row>
    <row r="8" spans="1:42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57</v>
      </c>
      <c r="S8" s="6">
        <v>5400</v>
      </c>
      <c r="T8" s="6">
        <v>2573200</v>
      </c>
      <c r="U8" s="6">
        <v>2163350</v>
      </c>
      <c r="V8" s="6">
        <v>0</v>
      </c>
      <c r="W8" s="6">
        <v>0</v>
      </c>
      <c r="X8" s="6">
        <v>0</v>
      </c>
      <c r="Y8" s="6">
        <v>24400</v>
      </c>
      <c r="Z8" s="6">
        <v>227350</v>
      </c>
      <c r="AA8" s="6">
        <v>0</v>
      </c>
      <c r="AB8" s="6">
        <v>0</v>
      </c>
      <c r="AC8" s="6">
        <v>158100</v>
      </c>
      <c r="AD8" s="6">
        <v>2600815</v>
      </c>
      <c r="AE8" s="6">
        <v>2163350</v>
      </c>
      <c r="AF8" s="6">
        <v>0</v>
      </c>
      <c r="AG8" s="6">
        <v>0</v>
      </c>
      <c r="AH8" s="6">
        <v>0</v>
      </c>
      <c r="AI8" s="6">
        <v>29280</v>
      </c>
      <c r="AJ8" s="6">
        <v>250085</v>
      </c>
      <c r="AK8" s="6">
        <v>0</v>
      </c>
      <c r="AL8" s="6">
        <v>0</v>
      </c>
      <c r="AM8" s="6">
        <v>158100</v>
      </c>
      <c r="AN8" s="6">
        <v>1430448</v>
      </c>
      <c r="AO8" s="6">
        <v>0</v>
      </c>
      <c r="AP8" s="6">
        <v>1430448</v>
      </c>
    </row>
    <row r="9" spans="1:42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57</v>
      </c>
      <c r="S9" s="6">
        <v>9000</v>
      </c>
      <c r="T9" s="6">
        <v>934400</v>
      </c>
      <c r="U9" s="6">
        <v>806400</v>
      </c>
      <c r="V9" s="6">
        <v>0</v>
      </c>
      <c r="W9" s="6">
        <v>0</v>
      </c>
      <c r="X9" s="6">
        <v>0</v>
      </c>
      <c r="Y9" s="6">
        <v>9000</v>
      </c>
      <c r="Z9" s="6">
        <v>82200</v>
      </c>
      <c r="AA9" s="6">
        <v>0</v>
      </c>
      <c r="AB9" s="6">
        <v>0</v>
      </c>
      <c r="AC9" s="6">
        <v>36800</v>
      </c>
      <c r="AD9" s="6">
        <v>944420</v>
      </c>
      <c r="AE9" s="6">
        <v>806400</v>
      </c>
      <c r="AF9" s="6">
        <v>0</v>
      </c>
      <c r="AG9" s="6">
        <v>0</v>
      </c>
      <c r="AH9" s="6">
        <v>0</v>
      </c>
      <c r="AI9" s="6">
        <v>10800</v>
      </c>
      <c r="AJ9" s="6">
        <v>90420</v>
      </c>
      <c r="AK9" s="6">
        <v>0</v>
      </c>
      <c r="AL9" s="6">
        <v>0</v>
      </c>
      <c r="AM9" s="6">
        <v>36800</v>
      </c>
      <c r="AN9" s="6">
        <v>519431</v>
      </c>
      <c r="AO9" s="6">
        <v>0</v>
      </c>
      <c r="AP9" s="6">
        <v>519431</v>
      </c>
    </row>
    <row r="10" spans="1:42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53361105</v>
      </c>
      <c r="K10" s="5" t="s">
        <v>54</v>
      </c>
      <c r="L10" s="5"/>
      <c r="M10" s="5"/>
      <c r="N10" s="5" t="s">
        <v>55</v>
      </c>
      <c r="O10" s="5" t="s">
        <v>22</v>
      </c>
      <c r="P10" s="5">
        <v>0.55000000000000004</v>
      </c>
      <c r="Q10" s="5">
        <v>0.55000000000000004</v>
      </c>
      <c r="R10" s="6" t="s">
        <v>24</v>
      </c>
      <c r="S10" s="6">
        <v>400</v>
      </c>
      <c r="T10" s="6">
        <v>126400</v>
      </c>
      <c r="U10" s="6">
        <v>93100</v>
      </c>
      <c r="V10" s="6">
        <v>0</v>
      </c>
      <c r="W10" s="6">
        <v>0</v>
      </c>
      <c r="X10" s="6">
        <v>0</v>
      </c>
      <c r="Y10" s="6">
        <v>0</v>
      </c>
      <c r="Z10" s="6">
        <v>4800</v>
      </c>
      <c r="AA10" s="6">
        <v>0</v>
      </c>
      <c r="AB10" s="6">
        <v>0</v>
      </c>
      <c r="AC10" s="6">
        <v>28500</v>
      </c>
      <c r="AD10" s="6">
        <v>126880</v>
      </c>
      <c r="AE10" s="6">
        <v>93100</v>
      </c>
      <c r="AF10" s="6">
        <v>0</v>
      </c>
      <c r="AG10" s="6">
        <v>0</v>
      </c>
      <c r="AH10" s="6">
        <v>0</v>
      </c>
      <c r="AI10" s="6">
        <v>0</v>
      </c>
      <c r="AJ10" s="6">
        <v>5280</v>
      </c>
      <c r="AK10" s="6">
        <v>0</v>
      </c>
      <c r="AL10" s="6">
        <v>0</v>
      </c>
      <c r="AM10" s="6">
        <v>28500</v>
      </c>
      <c r="AN10" s="6">
        <v>69784</v>
      </c>
      <c r="AO10" s="6">
        <v>0</v>
      </c>
      <c r="AP10" s="6">
        <v>69784</v>
      </c>
    </row>
    <row r="11" spans="1:42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53361105</v>
      </c>
      <c r="K11" s="5" t="s">
        <v>54</v>
      </c>
      <c r="L11" s="5"/>
      <c r="M11" s="5"/>
      <c r="N11" s="5" t="s">
        <v>55</v>
      </c>
      <c r="O11" s="5" t="s">
        <v>22</v>
      </c>
      <c r="P11" s="5">
        <v>0.55000000000000004</v>
      </c>
      <c r="Q11" s="5">
        <v>0.55000000000000004</v>
      </c>
      <c r="R11" s="6" t="s">
        <v>23</v>
      </c>
      <c r="S11" s="6">
        <v>3600</v>
      </c>
      <c r="T11" s="6">
        <v>97200</v>
      </c>
      <c r="U11" s="6">
        <v>73600</v>
      </c>
      <c r="V11" s="6">
        <v>0</v>
      </c>
      <c r="W11" s="6">
        <v>0</v>
      </c>
      <c r="X11" s="6">
        <v>0</v>
      </c>
      <c r="Y11" s="6">
        <v>0</v>
      </c>
      <c r="Z11" s="6">
        <v>10800</v>
      </c>
      <c r="AA11" s="6">
        <v>0</v>
      </c>
      <c r="AB11" s="6">
        <v>0</v>
      </c>
      <c r="AC11" s="6">
        <v>12800</v>
      </c>
      <c r="AD11" s="6">
        <v>98280</v>
      </c>
      <c r="AE11" s="6">
        <v>73600</v>
      </c>
      <c r="AF11" s="6">
        <v>0</v>
      </c>
      <c r="AG11" s="6">
        <v>0</v>
      </c>
      <c r="AH11" s="6">
        <v>0</v>
      </c>
      <c r="AI11" s="6">
        <v>0</v>
      </c>
      <c r="AJ11" s="6">
        <v>11880</v>
      </c>
      <c r="AK11" s="6">
        <v>0</v>
      </c>
      <c r="AL11" s="6">
        <v>0</v>
      </c>
      <c r="AM11" s="6">
        <v>12800</v>
      </c>
      <c r="AN11" s="6">
        <v>54054</v>
      </c>
      <c r="AO11" s="6">
        <v>0</v>
      </c>
      <c r="AP11" s="6">
        <v>54054</v>
      </c>
    </row>
    <row r="12" spans="1:42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53361105</v>
      </c>
      <c r="K12" s="5" t="s">
        <v>54</v>
      </c>
      <c r="L12" s="5"/>
      <c r="M12" s="5"/>
      <c r="N12" s="5" t="s">
        <v>55</v>
      </c>
      <c r="O12" s="5" t="s">
        <v>22</v>
      </c>
      <c r="P12" s="5">
        <v>0.55000000000000004</v>
      </c>
      <c r="Q12" s="5">
        <v>0.55000000000000004</v>
      </c>
      <c r="R12" s="6" t="s">
        <v>23</v>
      </c>
      <c r="S12" s="6">
        <v>10800</v>
      </c>
      <c r="T12" s="6">
        <v>54000</v>
      </c>
      <c r="U12" s="6">
        <v>21100</v>
      </c>
      <c r="V12" s="6">
        <v>0</v>
      </c>
      <c r="W12" s="6">
        <v>0</v>
      </c>
      <c r="X12" s="6">
        <v>0</v>
      </c>
      <c r="Y12" s="6">
        <v>0</v>
      </c>
      <c r="Z12" s="6">
        <v>32400</v>
      </c>
      <c r="AA12" s="6">
        <v>0</v>
      </c>
      <c r="AB12" s="6">
        <v>0</v>
      </c>
      <c r="AC12" s="6">
        <v>500</v>
      </c>
      <c r="AD12" s="6">
        <v>57240</v>
      </c>
      <c r="AE12" s="6">
        <v>21100</v>
      </c>
      <c r="AF12" s="6">
        <v>0</v>
      </c>
      <c r="AG12" s="6">
        <v>0</v>
      </c>
      <c r="AH12" s="6">
        <v>0</v>
      </c>
      <c r="AI12" s="6">
        <v>0</v>
      </c>
      <c r="AJ12" s="6">
        <v>35640</v>
      </c>
      <c r="AK12" s="6">
        <v>0</v>
      </c>
      <c r="AL12" s="6">
        <v>0</v>
      </c>
      <c r="AM12" s="6">
        <v>500</v>
      </c>
      <c r="AN12" s="6">
        <v>31482</v>
      </c>
      <c r="AO12" s="6">
        <v>0</v>
      </c>
      <c r="AP12" s="6">
        <v>31482</v>
      </c>
    </row>
    <row r="13" spans="1:42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53361105</v>
      </c>
      <c r="K13" s="5" t="s">
        <v>54</v>
      </c>
      <c r="L13" s="5"/>
      <c r="M13" s="5"/>
      <c r="N13" s="5" t="s">
        <v>55</v>
      </c>
      <c r="O13" s="5" t="s">
        <v>22</v>
      </c>
      <c r="P13" s="5">
        <v>0.55000000000000004</v>
      </c>
      <c r="Q13" s="5">
        <v>0.55000000000000004</v>
      </c>
      <c r="R13" s="6" t="s">
        <v>23</v>
      </c>
      <c r="S13" s="6">
        <v>18000</v>
      </c>
      <c r="T13" s="6">
        <v>75200</v>
      </c>
      <c r="U13" s="6">
        <v>62200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13000</v>
      </c>
      <c r="AD13" s="6">
        <v>75200</v>
      </c>
      <c r="AE13" s="6">
        <v>62200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13000</v>
      </c>
      <c r="AN13" s="6">
        <v>41360</v>
      </c>
      <c r="AO13" s="6">
        <v>0</v>
      </c>
      <c r="AP13" s="6">
        <v>41360</v>
      </c>
    </row>
    <row r="14" spans="1:42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52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53361105</v>
      </c>
      <c r="K14" s="5" t="s">
        <v>54</v>
      </c>
      <c r="L14" s="5"/>
      <c r="M14" s="5"/>
      <c r="N14" s="5" t="s">
        <v>55</v>
      </c>
      <c r="O14" s="5" t="s">
        <v>22</v>
      </c>
      <c r="P14" s="5">
        <v>0.55000000000000004</v>
      </c>
      <c r="Q14" s="5">
        <v>0.55000000000000004</v>
      </c>
      <c r="R14" s="6" t="s">
        <v>56</v>
      </c>
      <c r="S14" s="6">
        <v>200</v>
      </c>
      <c r="T14" s="6">
        <v>2843400</v>
      </c>
      <c r="U14" s="6">
        <v>1296300</v>
      </c>
      <c r="V14" s="6">
        <v>0</v>
      </c>
      <c r="W14" s="6">
        <v>0</v>
      </c>
      <c r="X14" s="6">
        <v>0</v>
      </c>
      <c r="Y14" s="6">
        <v>70370</v>
      </c>
      <c r="Z14" s="6">
        <v>96130</v>
      </c>
      <c r="AA14" s="6">
        <v>0</v>
      </c>
      <c r="AB14" s="6">
        <v>0</v>
      </c>
      <c r="AC14" s="6">
        <v>1380600</v>
      </c>
      <c r="AD14" s="6">
        <v>2867087</v>
      </c>
      <c r="AE14" s="6">
        <v>1296300</v>
      </c>
      <c r="AF14" s="6">
        <v>0</v>
      </c>
      <c r="AG14" s="6">
        <v>0</v>
      </c>
      <c r="AH14" s="6">
        <v>0</v>
      </c>
      <c r="AI14" s="6">
        <v>84444</v>
      </c>
      <c r="AJ14" s="6">
        <v>105743</v>
      </c>
      <c r="AK14" s="6">
        <v>0</v>
      </c>
      <c r="AL14" s="6">
        <v>0</v>
      </c>
      <c r="AM14" s="6">
        <v>1380600</v>
      </c>
      <c r="AN14" s="6">
        <v>1576898</v>
      </c>
      <c r="AO14" s="6">
        <v>0</v>
      </c>
      <c r="AP14" s="6">
        <v>1576898</v>
      </c>
    </row>
    <row r="15" spans="1:42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52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53361105</v>
      </c>
      <c r="K15" s="5" t="s">
        <v>54</v>
      </c>
      <c r="L15" s="5"/>
      <c r="M15" s="5"/>
      <c r="N15" s="5" t="s">
        <v>55</v>
      </c>
      <c r="O15" s="5" t="s">
        <v>22</v>
      </c>
      <c r="P15" s="5">
        <v>0.55000000000000004</v>
      </c>
      <c r="Q15" s="5">
        <v>0.55000000000000004</v>
      </c>
      <c r="R15" s="6" t="s">
        <v>57</v>
      </c>
      <c r="S15" s="6">
        <v>1800</v>
      </c>
      <c r="T15" s="6">
        <v>1451000</v>
      </c>
      <c r="U15" s="6">
        <v>1088400</v>
      </c>
      <c r="V15" s="6">
        <v>0</v>
      </c>
      <c r="W15" s="6">
        <v>0</v>
      </c>
      <c r="X15" s="6">
        <v>0</v>
      </c>
      <c r="Y15" s="6">
        <v>16100</v>
      </c>
      <c r="Z15" s="6">
        <v>160400</v>
      </c>
      <c r="AA15" s="6">
        <v>0</v>
      </c>
      <c r="AB15" s="6">
        <v>0</v>
      </c>
      <c r="AC15" s="6">
        <v>186100</v>
      </c>
      <c r="AD15" s="6">
        <v>1470260</v>
      </c>
      <c r="AE15" s="6">
        <v>1088400</v>
      </c>
      <c r="AF15" s="6">
        <v>0</v>
      </c>
      <c r="AG15" s="6">
        <v>0</v>
      </c>
      <c r="AH15" s="6">
        <v>0</v>
      </c>
      <c r="AI15" s="6">
        <v>19320</v>
      </c>
      <c r="AJ15" s="6">
        <v>176440</v>
      </c>
      <c r="AK15" s="6">
        <v>0</v>
      </c>
      <c r="AL15" s="6">
        <v>0</v>
      </c>
      <c r="AM15" s="6">
        <v>186100</v>
      </c>
      <c r="AN15" s="6">
        <v>808643</v>
      </c>
      <c r="AO15" s="6">
        <v>0</v>
      </c>
      <c r="AP15" s="6">
        <v>808643</v>
      </c>
    </row>
    <row r="16" spans="1:42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53361105</v>
      </c>
      <c r="K16" s="5" t="s">
        <v>54</v>
      </c>
      <c r="L16" s="5"/>
      <c r="M16" s="5"/>
      <c r="N16" s="5" t="s">
        <v>55</v>
      </c>
      <c r="O16" s="5" t="s">
        <v>22</v>
      </c>
      <c r="P16" s="5">
        <v>0.55000000000000004</v>
      </c>
      <c r="Q16" s="5">
        <v>0.55000000000000004</v>
      </c>
      <c r="R16" s="6" t="s">
        <v>57</v>
      </c>
      <c r="S16" s="6">
        <v>5400</v>
      </c>
      <c r="T16" s="6">
        <v>562800</v>
      </c>
      <c r="U16" s="6">
        <v>488300</v>
      </c>
      <c r="V16" s="6">
        <v>0</v>
      </c>
      <c r="W16" s="6">
        <v>0</v>
      </c>
      <c r="X16" s="6">
        <v>0</v>
      </c>
      <c r="Y16" s="6">
        <v>-4200</v>
      </c>
      <c r="Z16" s="6">
        <v>24800</v>
      </c>
      <c r="AA16" s="6">
        <v>0</v>
      </c>
      <c r="AB16" s="6">
        <v>0</v>
      </c>
      <c r="AC16" s="6">
        <v>53900</v>
      </c>
      <c r="AD16" s="6">
        <v>564440</v>
      </c>
      <c r="AE16" s="6">
        <v>488300</v>
      </c>
      <c r="AF16" s="6">
        <v>0</v>
      </c>
      <c r="AG16" s="6">
        <v>0</v>
      </c>
      <c r="AH16" s="6">
        <v>0</v>
      </c>
      <c r="AI16" s="6">
        <v>-5040</v>
      </c>
      <c r="AJ16" s="6">
        <v>27280</v>
      </c>
      <c r="AK16" s="6">
        <v>0</v>
      </c>
      <c r="AL16" s="6">
        <v>0</v>
      </c>
      <c r="AM16" s="6">
        <v>53900</v>
      </c>
      <c r="AN16" s="6">
        <v>310442</v>
      </c>
      <c r="AO16" s="6">
        <v>0</v>
      </c>
      <c r="AP16" s="6">
        <v>310442</v>
      </c>
    </row>
    <row r="17" spans="1:42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53361105</v>
      </c>
      <c r="K17" s="5" t="s">
        <v>54</v>
      </c>
      <c r="L17" s="5"/>
      <c r="M17" s="5"/>
      <c r="N17" s="5" t="s">
        <v>55</v>
      </c>
      <c r="O17" s="5" t="s">
        <v>22</v>
      </c>
      <c r="P17" s="5">
        <v>0.55000000000000004</v>
      </c>
      <c r="Q17" s="5">
        <v>0.55000000000000004</v>
      </c>
      <c r="R17" s="6" t="s">
        <v>57</v>
      </c>
      <c r="S17" s="6">
        <v>9000</v>
      </c>
      <c r="T17" s="6">
        <v>678600</v>
      </c>
      <c r="U17" s="6">
        <v>484300</v>
      </c>
      <c r="V17" s="6">
        <v>0</v>
      </c>
      <c r="W17" s="6">
        <v>0</v>
      </c>
      <c r="X17" s="6">
        <v>0</v>
      </c>
      <c r="Y17" s="6">
        <v>600</v>
      </c>
      <c r="Z17" s="6">
        <v>172200</v>
      </c>
      <c r="AA17" s="6">
        <v>0</v>
      </c>
      <c r="AB17" s="6">
        <v>0</v>
      </c>
      <c r="AC17" s="6">
        <v>21500</v>
      </c>
      <c r="AD17" s="6">
        <v>695940</v>
      </c>
      <c r="AE17" s="6">
        <v>484300</v>
      </c>
      <c r="AF17" s="6">
        <v>0</v>
      </c>
      <c r="AG17" s="6">
        <v>0</v>
      </c>
      <c r="AH17" s="6">
        <v>0</v>
      </c>
      <c r="AI17" s="6">
        <v>720</v>
      </c>
      <c r="AJ17" s="6">
        <v>189420</v>
      </c>
      <c r="AK17" s="6">
        <v>0</v>
      </c>
      <c r="AL17" s="6">
        <v>0</v>
      </c>
      <c r="AM17" s="6">
        <v>21500</v>
      </c>
      <c r="AN17" s="6">
        <v>382767</v>
      </c>
      <c r="AO17" s="6">
        <v>0</v>
      </c>
      <c r="AP17" s="6">
        <v>382767</v>
      </c>
    </row>
    <row r="18" spans="1:42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53361778</v>
      </c>
      <c r="K18" s="5" t="s">
        <v>58</v>
      </c>
      <c r="L18" s="5"/>
      <c r="M18" s="5"/>
      <c r="N18" s="5" t="s">
        <v>59</v>
      </c>
      <c r="O18" s="5" t="s">
        <v>22</v>
      </c>
      <c r="P18" s="5">
        <v>0.55000000000000004</v>
      </c>
      <c r="Q18" s="5">
        <v>0.55000000000000004</v>
      </c>
      <c r="R18" s="6" t="s">
        <v>24</v>
      </c>
      <c r="S18" s="6">
        <v>400</v>
      </c>
      <c r="T18" s="6">
        <v>800</v>
      </c>
      <c r="U18" s="6">
        <v>300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500</v>
      </c>
      <c r="AD18" s="6">
        <v>800</v>
      </c>
      <c r="AE18" s="6">
        <v>300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500</v>
      </c>
      <c r="AN18" s="6">
        <v>440</v>
      </c>
      <c r="AO18" s="6">
        <v>0</v>
      </c>
      <c r="AP18" s="6">
        <v>440</v>
      </c>
    </row>
    <row r="19" spans="1:42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53361778</v>
      </c>
      <c r="K19" s="5" t="s">
        <v>58</v>
      </c>
      <c r="L19" s="5"/>
      <c r="M19" s="5"/>
      <c r="N19" s="5" t="s">
        <v>59</v>
      </c>
      <c r="O19" s="5" t="s">
        <v>22</v>
      </c>
      <c r="P19" s="5">
        <v>0.55000000000000004</v>
      </c>
      <c r="Q19" s="5">
        <v>0.55000000000000004</v>
      </c>
      <c r="R19" s="6" t="s">
        <v>56</v>
      </c>
      <c r="S19" s="6">
        <v>200</v>
      </c>
      <c r="T19" s="6">
        <v>193400</v>
      </c>
      <c r="U19" s="6">
        <v>74650</v>
      </c>
      <c r="V19" s="6">
        <v>0</v>
      </c>
      <c r="W19" s="6">
        <v>0</v>
      </c>
      <c r="X19" s="6">
        <v>0</v>
      </c>
      <c r="Y19" s="6">
        <v>0</v>
      </c>
      <c r="Z19" s="6">
        <v>2200</v>
      </c>
      <c r="AA19" s="6">
        <v>0</v>
      </c>
      <c r="AB19" s="6">
        <v>0</v>
      </c>
      <c r="AC19" s="6">
        <v>116550</v>
      </c>
      <c r="AD19" s="6">
        <v>193620</v>
      </c>
      <c r="AE19" s="6">
        <v>74650</v>
      </c>
      <c r="AF19" s="6">
        <v>0</v>
      </c>
      <c r="AG19" s="6">
        <v>0</v>
      </c>
      <c r="AH19" s="6">
        <v>0</v>
      </c>
      <c r="AI19" s="6">
        <v>0</v>
      </c>
      <c r="AJ19" s="6">
        <v>2420</v>
      </c>
      <c r="AK19" s="6">
        <v>0</v>
      </c>
      <c r="AL19" s="6">
        <v>0</v>
      </c>
      <c r="AM19" s="6">
        <v>116550</v>
      </c>
      <c r="AN19" s="6">
        <v>106491</v>
      </c>
      <c r="AO19" s="6">
        <v>0</v>
      </c>
      <c r="AP19" s="6">
        <v>106491</v>
      </c>
    </row>
    <row r="20" spans="1:42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53361778</v>
      </c>
      <c r="K20" s="5" t="s">
        <v>58</v>
      </c>
      <c r="L20" s="5"/>
      <c r="M20" s="5"/>
      <c r="N20" s="5" t="s">
        <v>59</v>
      </c>
      <c r="O20" s="5" t="s">
        <v>22</v>
      </c>
      <c r="P20" s="5">
        <v>0.55000000000000004</v>
      </c>
      <c r="Q20" s="5">
        <v>0.55000000000000004</v>
      </c>
      <c r="R20" s="6" t="s">
        <v>57</v>
      </c>
      <c r="S20" s="6">
        <v>1800</v>
      </c>
      <c r="T20" s="6">
        <v>177600</v>
      </c>
      <c r="U20" s="6">
        <v>150300</v>
      </c>
      <c r="V20" s="6">
        <v>0</v>
      </c>
      <c r="W20" s="6">
        <v>0</v>
      </c>
      <c r="X20" s="6">
        <v>0</v>
      </c>
      <c r="Y20" s="6">
        <v>0</v>
      </c>
      <c r="Z20" s="6">
        <v>10800</v>
      </c>
      <c r="AA20" s="6">
        <v>0</v>
      </c>
      <c r="AB20" s="6">
        <v>0</v>
      </c>
      <c r="AC20" s="6">
        <v>16500</v>
      </c>
      <c r="AD20" s="6">
        <v>178680</v>
      </c>
      <c r="AE20" s="6">
        <v>150300</v>
      </c>
      <c r="AF20" s="6">
        <v>0</v>
      </c>
      <c r="AG20" s="6">
        <v>0</v>
      </c>
      <c r="AH20" s="6">
        <v>0</v>
      </c>
      <c r="AI20" s="6">
        <v>0</v>
      </c>
      <c r="AJ20" s="6">
        <v>11880</v>
      </c>
      <c r="AK20" s="6">
        <v>0</v>
      </c>
      <c r="AL20" s="6">
        <v>0</v>
      </c>
      <c r="AM20" s="6">
        <v>16500</v>
      </c>
      <c r="AN20" s="6">
        <v>98274</v>
      </c>
      <c r="AO20" s="6">
        <v>0</v>
      </c>
      <c r="AP20" s="6">
        <v>98274</v>
      </c>
    </row>
    <row r="21" spans="1:42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53361778</v>
      </c>
      <c r="K21" s="5" t="s">
        <v>58</v>
      </c>
      <c r="L21" s="5"/>
      <c r="M21" s="5"/>
      <c r="N21" s="5" t="s">
        <v>59</v>
      </c>
      <c r="O21" s="5" t="s">
        <v>22</v>
      </c>
      <c r="P21" s="5">
        <v>0.55000000000000004</v>
      </c>
      <c r="Q21" s="5">
        <v>0.55000000000000004</v>
      </c>
      <c r="R21" s="6" t="s">
        <v>57</v>
      </c>
      <c r="S21" s="6">
        <v>5400</v>
      </c>
      <c r="T21" s="6">
        <v>48400</v>
      </c>
      <c r="U21" s="6">
        <v>48100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300</v>
      </c>
      <c r="AD21" s="6">
        <v>48400</v>
      </c>
      <c r="AE21" s="6">
        <v>48100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300</v>
      </c>
      <c r="AN21" s="6">
        <v>26620</v>
      </c>
      <c r="AO21" s="6">
        <v>0</v>
      </c>
      <c r="AP21" s="6">
        <v>26620</v>
      </c>
    </row>
    <row r="22" spans="1:42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53361778</v>
      </c>
      <c r="K22" s="5" t="s">
        <v>58</v>
      </c>
      <c r="L22" s="5"/>
      <c r="M22" s="5"/>
      <c r="N22" s="5" t="s">
        <v>59</v>
      </c>
      <c r="O22" s="5" t="s">
        <v>22</v>
      </c>
      <c r="P22" s="5">
        <v>0.55000000000000004</v>
      </c>
      <c r="Q22" s="5">
        <v>0.55000000000000004</v>
      </c>
      <c r="R22" s="6" t="s">
        <v>57</v>
      </c>
      <c r="S22" s="6">
        <v>9000</v>
      </c>
      <c r="T22" s="6">
        <v>18000</v>
      </c>
      <c r="U22" s="6">
        <v>17300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700</v>
      </c>
      <c r="AD22" s="6">
        <v>18000</v>
      </c>
      <c r="AE22" s="6">
        <v>17300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700</v>
      </c>
      <c r="AN22" s="6">
        <v>9900</v>
      </c>
      <c r="AO22" s="6">
        <v>0</v>
      </c>
      <c r="AP22" s="6">
        <v>9900</v>
      </c>
    </row>
    <row r="23" spans="1:42" x14ac:dyDescent="0.4">
      <c r="AP23" s="7">
        <f>SUM(AP2:AP22)</f>
        <v>18750702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zoomScale="55" zoomScaleNormal="55" workbookViewId="0">
      <selection activeCell="AP52" sqref="A2:AP52"/>
    </sheetView>
  </sheetViews>
  <sheetFormatPr defaultRowHeight="17.399999999999999" x14ac:dyDescent="0.4"/>
  <cols>
    <col min="1" max="1" width="9.296875" style="4" bestFit="1" customWidth="1"/>
    <col min="2" max="2" width="15" style="4" bestFit="1" customWidth="1"/>
    <col min="3" max="3" width="13.8984375" style="4" customWidth="1"/>
    <col min="4" max="4" width="11.69921875" style="4" customWidth="1"/>
    <col min="5" max="5" width="4.796875" style="4" customWidth="1"/>
    <col min="6" max="6" width="5.796875" style="4" customWidth="1"/>
    <col min="7" max="7" width="4.796875" style="4" customWidth="1"/>
    <col min="8" max="8" width="3.69921875" style="4" customWidth="1"/>
    <col min="9" max="9" width="5.59765625" style="4" customWidth="1"/>
    <col min="10" max="10" width="7.8984375" style="4" customWidth="1"/>
    <col min="11" max="11" width="23.296875" style="4" bestFit="1" customWidth="1"/>
    <col min="12" max="13" width="2" style="4" customWidth="1"/>
    <col min="14" max="14" width="6.796875" style="4" bestFit="1" customWidth="1"/>
    <col min="15" max="15" width="2.69921875" style="4" customWidth="1"/>
    <col min="16" max="16" width="30" style="4" bestFit="1" customWidth="1"/>
    <col min="17" max="17" width="11.69921875" style="4" customWidth="1"/>
    <col min="18" max="18" width="19.59765625" style="4" bestFit="1" customWidth="1"/>
    <col min="19" max="19" width="11.09765625" style="4" bestFit="1" customWidth="1"/>
    <col min="20" max="20" width="9.3984375" style="4" bestFit="1" customWidth="1"/>
    <col min="21" max="29" width="1.69921875" style="4" customWidth="1"/>
    <col min="30" max="30" width="10.69921875" style="4" bestFit="1" customWidth="1"/>
    <col min="31" max="39" width="1.69921875" style="4" customWidth="1"/>
    <col min="40" max="40" width="9.19921875" style="4" bestFit="1" customWidth="1"/>
    <col min="41" max="41" width="1.69921875" style="4" customWidth="1"/>
    <col min="42" max="42" width="13.19921875" style="4" bestFit="1" customWidth="1"/>
    <col min="43" max="16384" width="8.796875" style="4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60</v>
      </c>
      <c r="B2" s="5" t="s">
        <v>49</v>
      </c>
      <c r="C2" s="5" t="s">
        <v>50</v>
      </c>
      <c r="D2" s="5" t="s">
        <v>51</v>
      </c>
      <c r="E2" s="5"/>
      <c r="F2" s="5" t="s">
        <v>61</v>
      </c>
      <c r="G2" s="5" t="s">
        <v>20</v>
      </c>
      <c r="H2" s="5" t="s">
        <v>21</v>
      </c>
      <c r="I2" s="5" t="s">
        <v>53</v>
      </c>
      <c r="J2" s="5">
        <v>57328143</v>
      </c>
      <c r="K2" s="5" t="s">
        <v>78</v>
      </c>
      <c r="L2" s="5"/>
      <c r="M2" s="5"/>
      <c r="N2" s="5" t="s">
        <v>79</v>
      </c>
      <c r="O2" s="5" t="s">
        <v>22</v>
      </c>
      <c r="P2" s="5">
        <v>0.7</v>
      </c>
      <c r="Q2" s="5">
        <v>0.6</v>
      </c>
      <c r="R2" s="6" t="s">
        <v>24</v>
      </c>
      <c r="S2" s="6">
        <v>400</v>
      </c>
      <c r="T2" s="6">
        <v>67600</v>
      </c>
      <c r="U2" s="6">
        <v>9400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58200</v>
      </c>
      <c r="AD2" s="6">
        <v>67600</v>
      </c>
      <c r="AE2" s="6">
        <v>9400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58200</v>
      </c>
      <c r="AN2" s="6">
        <v>47320</v>
      </c>
      <c r="AO2" s="6">
        <v>0</v>
      </c>
      <c r="AP2" s="6">
        <v>47320</v>
      </c>
    </row>
    <row r="3" spans="1:42" x14ac:dyDescent="0.4">
      <c r="A3" s="5" t="s">
        <v>60</v>
      </c>
      <c r="B3" s="5" t="s">
        <v>49</v>
      </c>
      <c r="C3" s="5" t="s">
        <v>50</v>
      </c>
      <c r="D3" s="5" t="s">
        <v>51</v>
      </c>
      <c r="E3" s="5"/>
      <c r="F3" s="5" t="s">
        <v>61</v>
      </c>
      <c r="G3" s="5" t="s">
        <v>20</v>
      </c>
      <c r="H3" s="5" t="s">
        <v>21</v>
      </c>
      <c r="I3" s="5" t="s">
        <v>53</v>
      </c>
      <c r="J3" s="5">
        <v>57328143</v>
      </c>
      <c r="K3" s="5" t="s">
        <v>78</v>
      </c>
      <c r="L3" s="5"/>
      <c r="M3" s="5"/>
      <c r="N3" s="5" t="s">
        <v>79</v>
      </c>
      <c r="O3" s="5" t="s">
        <v>22</v>
      </c>
      <c r="P3" s="5">
        <v>0.7</v>
      </c>
      <c r="Q3" s="5">
        <v>0.6</v>
      </c>
      <c r="R3" s="6" t="s">
        <v>23</v>
      </c>
      <c r="S3" s="6">
        <v>3600</v>
      </c>
      <c r="T3" s="6">
        <v>25200</v>
      </c>
      <c r="U3" s="6">
        <v>15700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9500</v>
      </c>
      <c r="AD3" s="6">
        <v>25200</v>
      </c>
      <c r="AE3" s="6">
        <v>15700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9500</v>
      </c>
      <c r="AN3" s="6">
        <v>17640</v>
      </c>
      <c r="AO3" s="6">
        <v>0</v>
      </c>
      <c r="AP3" s="6">
        <v>17640</v>
      </c>
    </row>
    <row r="4" spans="1:42" x14ac:dyDescent="0.4">
      <c r="A4" s="5" t="s">
        <v>60</v>
      </c>
      <c r="B4" s="5" t="s">
        <v>49</v>
      </c>
      <c r="C4" s="5" t="s">
        <v>50</v>
      </c>
      <c r="D4" s="5" t="s">
        <v>51</v>
      </c>
      <c r="E4" s="5"/>
      <c r="F4" s="5" t="s">
        <v>61</v>
      </c>
      <c r="G4" s="5" t="s">
        <v>20</v>
      </c>
      <c r="H4" s="5" t="s">
        <v>21</v>
      </c>
      <c r="I4" s="5" t="s">
        <v>53</v>
      </c>
      <c r="J4" s="5">
        <v>57328143</v>
      </c>
      <c r="K4" s="5" t="s">
        <v>78</v>
      </c>
      <c r="L4" s="5"/>
      <c r="M4" s="5"/>
      <c r="N4" s="5" t="s">
        <v>79</v>
      </c>
      <c r="O4" s="5" t="s">
        <v>22</v>
      </c>
      <c r="P4" s="5">
        <v>0.7</v>
      </c>
      <c r="Q4" s="5">
        <v>0.6</v>
      </c>
      <c r="R4" s="6" t="s">
        <v>23</v>
      </c>
      <c r="S4" s="6">
        <v>7200</v>
      </c>
      <c r="T4" s="6">
        <v>14400</v>
      </c>
      <c r="U4" s="6">
        <v>14400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14400</v>
      </c>
      <c r="AE4" s="6">
        <v>14400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10080</v>
      </c>
      <c r="AO4" s="6">
        <v>0</v>
      </c>
      <c r="AP4" s="6">
        <v>10080</v>
      </c>
    </row>
    <row r="5" spans="1:42" x14ac:dyDescent="0.4">
      <c r="A5" s="5" t="s">
        <v>60</v>
      </c>
      <c r="B5" s="5" t="s">
        <v>49</v>
      </c>
      <c r="C5" s="5" t="s">
        <v>50</v>
      </c>
      <c r="D5" s="5" t="s">
        <v>51</v>
      </c>
      <c r="E5" s="5"/>
      <c r="F5" s="5" t="s">
        <v>61</v>
      </c>
      <c r="G5" s="5" t="s">
        <v>20</v>
      </c>
      <c r="H5" s="5" t="s">
        <v>21</v>
      </c>
      <c r="I5" s="5" t="s">
        <v>53</v>
      </c>
      <c r="J5" s="5">
        <v>57328143</v>
      </c>
      <c r="K5" s="5" t="s">
        <v>78</v>
      </c>
      <c r="L5" s="5"/>
      <c r="M5" s="5"/>
      <c r="N5" s="5" t="s">
        <v>79</v>
      </c>
      <c r="O5" s="5" t="s">
        <v>22</v>
      </c>
      <c r="P5" s="5">
        <v>0.7</v>
      </c>
      <c r="Q5" s="5">
        <v>0.6</v>
      </c>
      <c r="R5" s="6" t="s">
        <v>56</v>
      </c>
      <c r="S5" s="6">
        <v>200</v>
      </c>
      <c r="T5" s="6">
        <v>496200</v>
      </c>
      <c r="U5" s="6">
        <v>62850</v>
      </c>
      <c r="V5" s="6">
        <v>0</v>
      </c>
      <c r="W5" s="6">
        <v>0</v>
      </c>
      <c r="X5" s="6">
        <v>0</v>
      </c>
      <c r="Y5" s="6">
        <v>17500</v>
      </c>
      <c r="Z5" s="6">
        <v>4800</v>
      </c>
      <c r="AA5" s="6">
        <v>0</v>
      </c>
      <c r="AB5" s="6">
        <v>0</v>
      </c>
      <c r="AC5" s="6">
        <v>411050</v>
      </c>
      <c r="AD5" s="6">
        <v>500180</v>
      </c>
      <c r="AE5" s="6">
        <v>62850</v>
      </c>
      <c r="AF5" s="6">
        <v>0</v>
      </c>
      <c r="AG5" s="6">
        <v>0</v>
      </c>
      <c r="AH5" s="6">
        <v>0</v>
      </c>
      <c r="AI5" s="6">
        <v>21000</v>
      </c>
      <c r="AJ5" s="6">
        <v>5280</v>
      </c>
      <c r="AK5" s="6">
        <v>0</v>
      </c>
      <c r="AL5" s="6">
        <v>0</v>
      </c>
      <c r="AM5" s="6">
        <v>411050</v>
      </c>
      <c r="AN5" s="6">
        <v>347498</v>
      </c>
      <c r="AO5" s="6">
        <v>0</v>
      </c>
      <c r="AP5" s="6">
        <v>347498</v>
      </c>
    </row>
    <row r="6" spans="1:42" x14ac:dyDescent="0.4">
      <c r="A6" s="5" t="s">
        <v>60</v>
      </c>
      <c r="B6" s="5" t="s">
        <v>49</v>
      </c>
      <c r="C6" s="5" t="s">
        <v>50</v>
      </c>
      <c r="D6" s="5" t="s">
        <v>51</v>
      </c>
      <c r="E6" s="5"/>
      <c r="F6" s="5" t="s">
        <v>61</v>
      </c>
      <c r="G6" s="5" t="s">
        <v>20</v>
      </c>
      <c r="H6" s="5" t="s">
        <v>21</v>
      </c>
      <c r="I6" s="5" t="s">
        <v>53</v>
      </c>
      <c r="J6" s="5">
        <v>57328143</v>
      </c>
      <c r="K6" s="5" t="s">
        <v>78</v>
      </c>
      <c r="L6" s="5"/>
      <c r="M6" s="5"/>
      <c r="N6" s="5" t="s">
        <v>79</v>
      </c>
      <c r="O6" s="5" t="s">
        <v>22</v>
      </c>
      <c r="P6" s="5">
        <v>0.7</v>
      </c>
      <c r="Q6" s="5">
        <v>0.6</v>
      </c>
      <c r="R6" s="6" t="s">
        <v>57</v>
      </c>
      <c r="S6" s="6">
        <v>1800</v>
      </c>
      <c r="T6" s="6">
        <v>113400</v>
      </c>
      <c r="U6" s="6">
        <v>61700</v>
      </c>
      <c r="V6" s="6">
        <v>0</v>
      </c>
      <c r="W6" s="6">
        <v>0</v>
      </c>
      <c r="X6" s="6">
        <v>0</v>
      </c>
      <c r="Y6" s="6">
        <v>8900</v>
      </c>
      <c r="Z6" s="6">
        <v>7200</v>
      </c>
      <c r="AA6" s="6">
        <v>0</v>
      </c>
      <c r="AB6" s="6">
        <v>0</v>
      </c>
      <c r="AC6" s="6">
        <v>35600</v>
      </c>
      <c r="AD6" s="6">
        <v>115900</v>
      </c>
      <c r="AE6" s="6">
        <v>61700</v>
      </c>
      <c r="AF6" s="6">
        <v>0</v>
      </c>
      <c r="AG6" s="6">
        <v>0</v>
      </c>
      <c r="AH6" s="6">
        <v>0</v>
      </c>
      <c r="AI6" s="6">
        <v>10680</v>
      </c>
      <c r="AJ6" s="6">
        <v>7920</v>
      </c>
      <c r="AK6" s="6">
        <v>0</v>
      </c>
      <c r="AL6" s="6">
        <v>0</v>
      </c>
      <c r="AM6" s="6">
        <v>35600</v>
      </c>
      <c r="AN6" s="6">
        <v>79270</v>
      </c>
      <c r="AO6" s="6">
        <v>0</v>
      </c>
      <c r="AP6" s="6">
        <v>79270</v>
      </c>
    </row>
    <row r="7" spans="1:42" x14ac:dyDescent="0.4">
      <c r="A7" s="5" t="s">
        <v>60</v>
      </c>
      <c r="B7" s="5" t="s">
        <v>49</v>
      </c>
      <c r="C7" s="5" t="s">
        <v>50</v>
      </c>
      <c r="D7" s="5" t="s">
        <v>51</v>
      </c>
      <c r="E7" s="5"/>
      <c r="F7" s="5" t="s">
        <v>61</v>
      </c>
      <c r="G7" s="5" t="s">
        <v>20</v>
      </c>
      <c r="H7" s="5" t="s">
        <v>21</v>
      </c>
      <c r="I7" s="5" t="s">
        <v>53</v>
      </c>
      <c r="J7" s="5">
        <v>57328143</v>
      </c>
      <c r="K7" s="5" t="s">
        <v>78</v>
      </c>
      <c r="L7" s="5"/>
      <c r="M7" s="5"/>
      <c r="N7" s="5" t="s">
        <v>79</v>
      </c>
      <c r="O7" s="5" t="s">
        <v>22</v>
      </c>
      <c r="P7" s="5">
        <v>0.7</v>
      </c>
      <c r="Q7" s="5">
        <v>0.6</v>
      </c>
      <c r="R7" s="6" t="s">
        <v>57</v>
      </c>
      <c r="S7" s="6">
        <v>3600</v>
      </c>
      <c r="T7" s="6">
        <v>28800</v>
      </c>
      <c r="U7" s="6">
        <v>14400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14400</v>
      </c>
      <c r="AD7" s="6">
        <v>28800</v>
      </c>
      <c r="AE7" s="6">
        <v>14400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14400</v>
      </c>
      <c r="AN7" s="6">
        <v>20160</v>
      </c>
      <c r="AO7" s="6">
        <v>0</v>
      </c>
      <c r="AP7" s="6">
        <v>20160</v>
      </c>
    </row>
    <row r="8" spans="1:42" x14ac:dyDescent="0.4">
      <c r="A8" s="5" t="s">
        <v>60</v>
      </c>
      <c r="B8" s="5" t="s">
        <v>49</v>
      </c>
      <c r="C8" s="5" t="s">
        <v>50</v>
      </c>
      <c r="D8" s="5" t="s">
        <v>51</v>
      </c>
      <c r="E8" s="5"/>
      <c r="F8" s="5" t="s">
        <v>61</v>
      </c>
      <c r="G8" s="5" t="s">
        <v>20</v>
      </c>
      <c r="H8" s="5" t="s">
        <v>21</v>
      </c>
      <c r="I8" s="5" t="s">
        <v>53</v>
      </c>
      <c r="J8" s="5">
        <v>57328143</v>
      </c>
      <c r="K8" s="5" t="s">
        <v>78</v>
      </c>
      <c r="L8" s="5"/>
      <c r="M8" s="5"/>
      <c r="N8" s="5" t="s">
        <v>79</v>
      </c>
      <c r="O8" s="5" t="s">
        <v>22</v>
      </c>
      <c r="P8" s="5">
        <v>0.7</v>
      </c>
      <c r="Q8" s="5">
        <v>0.6</v>
      </c>
      <c r="R8" s="6" t="s">
        <v>57</v>
      </c>
      <c r="S8" s="6">
        <v>7200</v>
      </c>
      <c r="T8" s="6">
        <v>86400</v>
      </c>
      <c r="U8" s="6">
        <v>43200</v>
      </c>
      <c r="V8" s="6">
        <v>0</v>
      </c>
      <c r="W8" s="6">
        <v>0</v>
      </c>
      <c r="X8" s="6">
        <v>0</v>
      </c>
      <c r="Y8" s="6">
        <v>7200</v>
      </c>
      <c r="Z8" s="6">
        <v>21600</v>
      </c>
      <c r="AA8" s="6">
        <v>0</v>
      </c>
      <c r="AB8" s="6">
        <v>0</v>
      </c>
      <c r="AC8" s="6">
        <v>14400</v>
      </c>
      <c r="AD8" s="6">
        <v>90000</v>
      </c>
      <c r="AE8" s="6">
        <v>43200</v>
      </c>
      <c r="AF8" s="6">
        <v>0</v>
      </c>
      <c r="AG8" s="6">
        <v>0</v>
      </c>
      <c r="AH8" s="6">
        <v>0</v>
      </c>
      <c r="AI8" s="6">
        <v>8640</v>
      </c>
      <c r="AJ8" s="6">
        <v>23760</v>
      </c>
      <c r="AK8" s="6">
        <v>0</v>
      </c>
      <c r="AL8" s="6">
        <v>0</v>
      </c>
      <c r="AM8" s="6">
        <v>14400</v>
      </c>
      <c r="AN8" s="6">
        <v>59760</v>
      </c>
      <c r="AO8" s="6">
        <v>0</v>
      </c>
      <c r="AP8" s="6">
        <v>59760</v>
      </c>
    </row>
    <row r="9" spans="1:42" x14ac:dyDescent="0.4">
      <c r="A9" s="5" t="s">
        <v>60</v>
      </c>
      <c r="B9" s="5" t="s">
        <v>49</v>
      </c>
      <c r="C9" s="5" t="s">
        <v>50</v>
      </c>
      <c r="D9" s="5" t="s">
        <v>51</v>
      </c>
      <c r="E9" s="5"/>
      <c r="F9" s="5" t="s">
        <v>61</v>
      </c>
      <c r="G9" s="5" t="s">
        <v>20</v>
      </c>
      <c r="H9" s="5" t="s">
        <v>21</v>
      </c>
      <c r="I9" s="5" t="s">
        <v>53</v>
      </c>
      <c r="J9" s="5">
        <v>53879878</v>
      </c>
      <c r="K9" s="5" t="s">
        <v>70</v>
      </c>
      <c r="L9" s="5"/>
      <c r="M9" s="5"/>
      <c r="N9" s="5" t="s">
        <v>71</v>
      </c>
      <c r="O9" s="5" t="s">
        <v>22</v>
      </c>
      <c r="P9" s="5">
        <v>0.7</v>
      </c>
      <c r="Q9" s="5">
        <v>0.6</v>
      </c>
      <c r="R9" s="6" t="s">
        <v>24</v>
      </c>
      <c r="S9" s="6">
        <v>400</v>
      </c>
      <c r="T9" s="6">
        <v>1200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1200</v>
      </c>
      <c r="AD9" s="6">
        <v>1200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1200</v>
      </c>
      <c r="AN9" s="6">
        <v>840</v>
      </c>
      <c r="AO9" s="6">
        <v>0</v>
      </c>
      <c r="AP9" s="6">
        <v>840</v>
      </c>
    </row>
    <row r="10" spans="1:42" x14ac:dyDescent="0.4">
      <c r="A10" s="5" t="s">
        <v>60</v>
      </c>
      <c r="B10" s="5" t="s">
        <v>49</v>
      </c>
      <c r="C10" s="5" t="s">
        <v>50</v>
      </c>
      <c r="D10" s="5" t="s">
        <v>51</v>
      </c>
      <c r="E10" s="5"/>
      <c r="F10" s="5" t="s">
        <v>61</v>
      </c>
      <c r="G10" s="5" t="s">
        <v>20</v>
      </c>
      <c r="H10" s="5" t="s">
        <v>21</v>
      </c>
      <c r="I10" s="5" t="s">
        <v>53</v>
      </c>
      <c r="J10" s="5">
        <v>53879878</v>
      </c>
      <c r="K10" s="5" t="s">
        <v>70</v>
      </c>
      <c r="L10" s="5"/>
      <c r="M10" s="5"/>
      <c r="N10" s="5" t="s">
        <v>71</v>
      </c>
      <c r="O10" s="5" t="s">
        <v>22</v>
      </c>
      <c r="P10" s="5">
        <v>0.7</v>
      </c>
      <c r="Q10" s="5">
        <v>0.6</v>
      </c>
      <c r="R10" s="6" t="s">
        <v>23</v>
      </c>
      <c r="S10" s="6">
        <v>3600</v>
      </c>
      <c r="T10" s="6">
        <v>32400</v>
      </c>
      <c r="U10" s="6">
        <v>32300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100</v>
      </c>
      <c r="AD10" s="6">
        <v>32400</v>
      </c>
      <c r="AE10" s="6">
        <v>32300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100</v>
      </c>
      <c r="AN10" s="6">
        <v>22680</v>
      </c>
      <c r="AO10" s="6">
        <v>0</v>
      </c>
      <c r="AP10" s="6">
        <v>22680</v>
      </c>
    </row>
    <row r="11" spans="1:42" x14ac:dyDescent="0.4">
      <c r="A11" s="5" t="s">
        <v>60</v>
      </c>
      <c r="B11" s="5" t="s">
        <v>49</v>
      </c>
      <c r="C11" s="5" t="s">
        <v>50</v>
      </c>
      <c r="D11" s="5" t="s">
        <v>51</v>
      </c>
      <c r="E11" s="5"/>
      <c r="F11" s="5" t="s">
        <v>61</v>
      </c>
      <c r="G11" s="5" t="s">
        <v>20</v>
      </c>
      <c r="H11" s="5" t="s">
        <v>21</v>
      </c>
      <c r="I11" s="5" t="s">
        <v>53</v>
      </c>
      <c r="J11" s="5">
        <v>53879878</v>
      </c>
      <c r="K11" s="5" t="s">
        <v>70</v>
      </c>
      <c r="L11" s="5"/>
      <c r="M11" s="5"/>
      <c r="N11" s="5" t="s">
        <v>71</v>
      </c>
      <c r="O11" s="5" t="s">
        <v>22</v>
      </c>
      <c r="P11" s="5">
        <v>0.7</v>
      </c>
      <c r="Q11" s="5">
        <v>0.6</v>
      </c>
      <c r="R11" s="6" t="s">
        <v>23</v>
      </c>
      <c r="S11" s="6">
        <v>10800</v>
      </c>
      <c r="T11" s="6">
        <v>10800</v>
      </c>
      <c r="U11" s="6">
        <v>10800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10800</v>
      </c>
      <c r="AE11" s="6">
        <v>10800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7560</v>
      </c>
      <c r="AO11" s="6">
        <v>0</v>
      </c>
      <c r="AP11" s="6">
        <v>7560</v>
      </c>
    </row>
    <row r="12" spans="1:42" x14ac:dyDescent="0.4">
      <c r="A12" s="5" t="s">
        <v>60</v>
      </c>
      <c r="B12" s="5" t="s">
        <v>49</v>
      </c>
      <c r="C12" s="5" t="s">
        <v>50</v>
      </c>
      <c r="D12" s="5" t="s">
        <v>51</v>
      </c>
      <c r="E12" s="5"/>
      <c r="F12" s="5" t="s">
        <v>61</v>
      </c>
      <c r="G12" s="5" t="s">
        <v>20</v>
      </c>
      <c r="H12" s="5" t="s">
        <v>21</v>
      </c>
      <c r="I12" s="5" t="s">
        <v>53</v>
      </c>
      <c r="J12" s="5">
        <v>53879878</v>
      </c>
      <c r="K12" s="5" t="s">
        <v>70</v>
      </c>
      <c r="L12" s="5"/>
      <c r="M12" s="5"/>
      <c r="N12" s="5" t="s">
        <v>71</v>
      </c>
      <c r="O12" s="5" t="s">
        <v>22</v>
      </c>
      <c r="P12" s="5">
        <v>0.7</v>
      </c>
      <c r="Q12" s="5">
        <v>0.6</v>
      </c>
      <c r="R12" s="6" t="s">
        <v>23</v>
      </c>
      <c r="S12" s="6">
        <v>21600</v>
      </c>
      <c r="T12" s="6">
        <v>21600</v>
      </c>
      <c r="U12" s="6">
        <v>21600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21600</v>
      </c>
      <c r="AE12" s="6">
        <v>21600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15120</v>
      </c>
      <c r="AO12" s="6">
        <v>0</v>
      </c>
      <c r="AP12" s="6">
        <v>15120</v>
      </c>
    </row>
    <row r="13" spans="1:42" x14ac:dyDescent="0.4">
      <c r="A13" s="5" t="s">
        <v>60</v>
      </c>
      <c r="B13" s="5" t="s">
        <v>49</v>
      </c>
      <c r="C13" s="5" t="s">
        <v>50</v>
      </c>
      <c r="D13" s="5" t="s">
        <v>51</v>
      </c>
      <c r="E13" s="5"/>
      <c r="F13" s="5" t="s">
        <v>61</v>
      </c>
      <c r="G13" s="5" t="s">
        <v>20</v>
      </c>
      <c r="H13" s="5" t="s">
        <v>21</v>
      </c>
      <c r="I13" s="5" t="s">
        <v>53</v>
      </c>
      <c r="J13" s="5">
        <v>53879878</v>
      </c>
      <c r="K13" s="5" t="s">
        <v>70</v>
      </c>
      <c r="L13" s="5"/>
      <c r="M13" s="5"/>
      <c r="N13" s="5" t="s">
        <v>71</v>
      </c>
      <c r="O13" s="5" t="s">
        <v>22</v>
      </c>
      <c r="P13" s="5">
        <v>0.7</v>
      </c>
      <c r="Q13" s="5">
        <v>0.6</v>
      </c>
      <c r="R13" s="6" t="s">
        <v>56</v>
      </c>
      <c r="S13" s="6">
        <v>200</v>
      </c>
      <c r="T13" s="6">
        <v>330800</v>
      </c>
      <c r="U13" s="6">
        <v>62500</v>
      </c>
      <c r="V13" s="6">
        <v>0</v>
      </c>
      <c r="W13" s="6">
        <v>0</v>
      </c>
      <c r="X13" s="6">
        <v>0</v>
      </c>
      <c r="Y13" s="6">
        <v>6500</v>
      </c>
      <c r="Z13" s="6">
        <v>3800</v>
      </c>
      <c r="AA13" s="6">
        <v>0</v>
      </c>
      <c r="AB13" s="6">
        <v>0</v>
      </c>
      <c r="AC13" s="6">
        <v>258000</v>
      </c>
      <c r="AD13" s="6">
        <v>332480</v>
      </c>
      <c r="AE13" s="6">
        <v>62500</v>
      </c>
      <c r="AF13" s="6">
        <v>0</v>
      </c>
      <c r="AG13" s="6">
        <v>0</v>
      </c>
      <c r="AH13" s="6">
        <v>0</v>
      </c>
      <c r="AI13" s="6">
        <v>7800</v>
      </c>
      <c r="AJ13" s="6">
        <v>4180</v>
      </c>
      <c r="AK13" s="6">
        <v>0</v>
      </c>
      <c r="AL13" s="6">
        <v>0</v>
      </c>
      <c r="AM13" s="6">
        <v>258000</v>
      </c>
      <c r="AN13" s="6">
        <v>231538</v>
      </c>
      <c r="AO13" s="6">
        <v>0</v>
      </c>
      <c r="AP13" s="6">
        <v>231538</v>
      </c>
    </row>
    <row r="14" spans="1:42" x14ac:dyDescent="0.4">
      <c r="A14" s="5" t="s">
        <v>60</v>
      </c>
      <c r="B14" s="5" t="s">
        <v>49</v>
      </c>
      <c r="C14" s="5" t="s">
        <v>50</v>
      </c>
      <c r="D14" s="5" t="s">
        <v>51</v>
      </c>
      <c r="E14" s="5"/>
      <c r="F14" s="5" t="s">
        <v>61</v>
      </c>
      <c r="G14" s="5" t="s">
        <v>20</v>
      </c>
      <c r="H14" s="5" t="s">
        <v>21</v>
      </c>
      <c r="I14" s="5" t="s">
        <v>53</v>
      </c>
      <c r="J14" s="5">
        <v>53879878</v>
      </c>
      <c r="K14" s="5" t="s">
        <v>70</v>
      </c>
      <c r="L14" s="5"/>
      <c r="M14" s="5"/>
      <c r="N14" s="5" t="s">
        <v>71</v>
      </c>
      <c r="O14" s="5" t="s">
        <v>22</v>
      </c>
      <c r="P14" s="5">
        <v>0.7</v>
      </c>
      <c r="Q14" s="5">
        <v>0.6</v>
      </c>
      <c r="R14" s="6" t="s">
        <v>57</v>
      </c>
      <c r="S14" s="6">
        <v>1800</v>
      </c>
      <c r="T14" s="6">
        <v>210600</v>
      </c>
      <c r="U14" s="6">
        <v>143950</v>
      </c>
      <c r="V14" s="6">
        <v>0</v>
      </c>
      <c r="W14" s="6">
        <v>0</v>
      </c>
      <c r="X14" s="6">
        <v>0</v>
      </c>
      <c r="Y14" s="6">
        <v>1500</v>
      </c>
      <c r="Z14" s="6">
        <v>19000</v>
      </c>
      <c r="AA14" s="6">
        <v>0</v>
      </c>
      <c r="AB14" s="6">
        <v>0</v>
      </c>
      <c r="AC14" s="6">
        <v>46150</v>
      </c>
      <c r="AD14" s="6">
        <v>212800</v>
      </c>
      <c r="AE14" s="6">
        <v>143950</v>
      </c>
      <c r="AF14" s="6">
        <v>0</v>
      </c>
      <c r="AG14" s="6">
        <v>0</v>
      </c>
      <c r="AH14" s="6">
        <v>0</v>
      </c>
      <c r="AI14" s="6">
        <v>1800</v>
      </c>
      <c r="AJ14" s="6">
        <v>20900</v>
      </c>
      <c r="AK14" s="6">
        <v>0</v>
      </c>
      <c r="AL14" s="6">
        <v>0</v>
      </c>
      <c r="AM14" s="6">
        <v>46150</v>
      </c>
      <c r="AN14" s="6">
        <v>146690</v>
      </c>
      <c r="AO14" s="6">
        <v>0</v>
      </c>
      <c r="AP14" s="6">
        <v>146690</v>
      </c>
    </row>
    <row r="15" spans="1:42" x14ac:dyDescent="0.4">
      <c r="A15" s="5" t="s">
        <v>60</v>
      </c>
      <c r="B15" s="5" t="s">
        <v>49</v>
      </c>
      <c r="C15" s="5" t="s">
        <v>50</v>
      </c>
      <c r="D15" s="5" t="s">
        <v>51</v>
      </c>
      <c r="E15" s="5"/>
      <c r="F15" s="5" t="s">
        <v>61</v>
      </c>
      <c r="G15" s="5" t="s">
        <v>20</v>
      </c>
      <c r="H15" s="5" t="s">
        <v>21</v>
      </c>
      <c r="I15" s="5" t="s">
        <v>53</v>
      </c>
      <c r="J15" s="5">
        <v>53879878</v>
      </c>
      <c r="K15" s="5" t="s">
        <v>70</v>
      </c>
      <c r="L15" s="5"/>
      <c r="M15" s="5"/>
      <c r="N15" s="5" t="s">
        <v>71</v>
      </c>
      <c r="O15" s="5" t="s">
        <v>22</v>
      </c>
      <c r="P15" s="5">
        <v>0.7</v>
      </c>
      <c r="Q15" s="5">
        <v>0.6</v>
      </c>
      <c r="R15" s="6" t="s">
        <v>57</v>
      </c>
      <c r="S15" s="6">
        <v>5400</v>
      </c>
      <c r="T15" s="6">
        <v>59400</v>
      </c>
      <c r="U15" s="6">
        <v>48300</v>
      </c>
      <c r="V15" s="6">
        <v>0</v>
      </c>
      <c r="W15" s="6">
        <v>0</v>
      </c>
      <c r="X15" s="6">
        <v>0</v>
      </c>
      <c r="Y15" s="6">
        <v>0</v>
      </c>
      <c r="Z15" s="6">
        <v>5400</v>
      </c>
      <c r="AA15" s="6">
        <v>0</v>
      </c>
      <c r="AB15" s="6">
        <v>0</v>
      </c>
      <c r="AC15" s="6">
        <v>5700</v>
      </c>
      <c r="AD15" s="6">
        <v>59940</v>
      </c>
      <c r="AE15" s="6">
        <v>48300</v>
      </c>
      <c r="AF15" s="6">
        <v>0</v>
      </c>
      <c r="AG15" s="6">
        <v>0</v>
      </c>
      <c r="AH15" s="6">
        <v>0</v>
      </c>
      <c r="AI15" s="6">
        <v>0</v>
      </c>
      <c r="AJ15" s="6">
        <v>5940</v>
      </c>
      <c r="AK15" s="6">
        <v>0</v>
      </c>
      <c r="AL15" s="6">
        <v>0</v>
      </c>
      <c r="AM15" s="6">
        <v>5700</v>
      </c>
      <c r="AN15" s="6">
        <v>41364</v>
      </c>
      <c r="AO15" s="6">
        <v>0</v>
      </c>
      <c r="AP15" s="6">
        <v>41364</v>
      </c>
    </row>
    <row r="16" spans="1:42" x14ac:dyDescent="0.4">
      <c r="A16" s="5" t="s">
        <v>60</v>
      </c>
      <c r="B16" s="5" t="s">
        <v>49</v>
      </c>
      <c r="C16" s="5" t="s">
        <v>50</v>
      </c>
      <c r="D16" s="5" t="s">
        <v>51</v>
      </c>
      <c r="E16" s="5"/>
      <c r="F16" s="5" t="s">
        <v>61</v>
      </c>
      <c r="G16" s="5" t="s">
        <v>20</v>
      </c>
      <c r="H16" s="5" t="s">
        <v>21</v>
      </c>
      <c r="I16" s="5" t="s">
        <v>53</v>
      </c>
      <c r="J16" s="5">
        <v>53879878</v>
      </c>
      <c r="K16" s="5" t="s">
        <v>70</v>
      </c>
      <c r="L16" s="5"/>
      <c r="M16" s="5"/>
      <c r="N16" s="5" t="s">
        <v>71</v>
      </c>
      <c r="O16" s="5" t="s">
        <v>22</v>
      </c>
      <c r="P16" s="5">
        <v>0.7</v>
      </c>
      <c r="Q16" s="5">
        <v>0.6</v>
      </c>
      <c r="R16" s="6" t="s">
        <v>57</v>
      </c>
      <c r="S16" s="6">
        <v>10800</v>
      </c>
      <c r="T16" s="6">
        <v>10800</v>
      </c>
      <c r="U16" s="6">
        <v>10800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10800</v>
      </c>
      <c r="AE16" s="6">
        <v>10800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7560</v>
      </c>
      <c r="AO16" s="6">
        <v>0</v>
      </c>
      <c r="AP16" s="6">
        <v>7560</v>
      </c>
    </row>
    <row r="17" spans="1:42" x14ac:dyDescent="0.4">
      <c r="A17" s="5" t="s">
        <v>60</v>
      </c>
      <c r="B17" s="5" t="s">
        <v>49</v>
      </c>
      <c r="C17" s="5" t="s">
        <v>50</v>
      </c>
      <c r="D17" s="5" t="s">
        <v>51</v>
      </c>
      <c r="E17" s="5"/>
      <c r="F17" s="5" t="s">
        <v>61</v>
      </c>
      <c r="G17" s="5" t="s">
        <v>20</v>
      </c>
      <c r="H17" s="5" t="s">
        <v>21</v>
      </c>
      <c r="I17" s="5" t="s">
        <v>53</v>
      </c>
      <c r="J17" s="5">
        <v>50540426</v>
      </c>
      <c r="K17" s="5" t="s">
        <v>62</v>
      </c>
      <c r="L17" s="5"/>
      <c r="M17" s="5"/>
      <c r="N17" s="5" t="s">
        <v>63</v>
      </c>
      <c r="O17" s="5" t="s">
        <v>22</v>
      </c>
      <c r="P17" s="5">
        <v>0.7</v>
      </c>
      <c r="Q17" s="5">
        <v>0.6</v>
      </c>
      <c r="R17" s="6" t="s">
        <v>24</v>
      </c>
      <c r="S17" s="6">
        <v>200</v>
      </c>
      <c r="T17" s="6">
        <v>2000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2000</v>
      </c>
      <c r="AD17" s="6">
        <v>2000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2000</v>
      </c>
      <c r="AN17" s="6">
        <v>1400</v>
      </c>
      <c r="AO17" s="6">
        <v>0</v>
      </c>
      <c r="AP17" s="6">
        <v>1400</v>
      </c>
    </row>
    <row r="18" spans="1:42" x14ac:dyDescent="0.4">
      <c r="A18" s="5" t="s">
        <v>60</v>
      </c>
      <c r="B18" s="5" t="s">
        <v>49</v>
      </c>
      <c r="C18" s="5" t="s">
        <v>50</v>
      </c>
      <c r="D18" s="5" t="s">
        <v>51</v>
      </c>
      <c r="E18" s="5"/>
      <c r="F18" s="5" t="s">
        <v>61</v>
      </c>
      <c r="G18" s="5" t="s">
        <v>20</v>
      </c>
      <c r="H18" s="5" t="s">
        <v>21</v>
      </c>
      <c r="I18" s="5" t="s">
        <v>53</v>
      </c>
      <c r="J18" s="5">
        <v>50540426</v>
      </c>
      <c r="K18" s="5" t="s">
        <v>62</v>
      </c>
      <c r="L18" s="5"/>
      <c r="M18" s="5"/>
      <c r="N18" s="5" t="s">
        <v>63</v>
      </c>
      <c r="O18" s="5" t="s">
        <v>22</v>
      </c>
      <c r="P18" s="5">
        <v>0.7</v>
      </c>
      <c r="Q18" s="5">
        <v>0.6</v>
      </c>
      <c r="R18" s="6" t="s">
        <v>56</v>
      </c>
      <c r="S18" s="6">
        <v>100</v>
      </c>
      <c r="T18" s="6">
        <v>53300</v>
      </c>
      <c r="U18" s="6">
        <v>7650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45650</v>
      </c>
      <c r="AD18" s="6">
        <v>53300</v>
      </c>
      <c r="AE18" s="6">
        <v>7650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45650</v>
      </c>
      <c r="AN18" s="6">
        <v>37310</v>
      </c>
      <c r="AO18" s="6">
        <v>0</v>
      </c>
      <c r="AP18" s="6">
        <v>37310</v>
      </c>
    </row>
    <row r="19" spans="1:42" x14ac:dyDescent="0.4">
      <c r="A19" s="5" t="s">
        <v>60</v>
      </c>
      <c r="B19" s="5" t="s">
        <v>49</v>
      </c>
      <c r="C19" s="5" t="s">
        <v>50</v>
      </c>
      <c r="D19" s="5" t="s">
        <v>51</v>
      </c>
      <c r="E19" s="5"/>
      <c r="F19" s="5" t="s">
        <v>61</v>
      </c>
      <c r="G19" s="5" t="s">
        <v>20</v>
      </c>
      <c r="H19" s="5" t="s">
        <v>21</v>
      </c>
      <c r="I19" s="5" t="s">
        <v>53</v>
      </c>
      <c r="J19" s="5">
        <v>50540426</v>
      </c>
      <c r="K19" s="5" t="s">
        <v>62</v>
      </c>
      <c r="L19" s="5"/>
      <c r="M19" s="5"/>
      <c r="N19" s="5" t="s">
        <v>63</v>
      </c>
      <c r="O19" s="5" t="s">
        <v>22</v>
      </c>
      <c r="P19" s="5">
        <v>0.7</v>
      </c>
      <c r="Q19" s="5">
        <v>0.6</v>
      </c>
      <c r="R19" s="6" t="s">
        <v>57</v>
      </c>
      <c r="S19" s="6">
        <v>900</v>
      </c>
      <c r="T19" s="6">
        <v>23100</v>
      </c>
      <c r="U19" s="6">
        <v>17900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5200</v>
      </c>
      <c r="AD19" s="6">
        <v>23100</v>
      </c>
      <c r="AE19" s="6">
        <v>17900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5200</v>
      </c>
      <c r="AN19" s="6">
        <v>16170</v>
      </c>
      <c r="AO19" s="6">
        <v>0</v>
      </c>
      <c r="AP19" s="6">
        <v>16170</v>
      </c>
    </row>
    <row r="20" spans="1:42" x14ac:dyDescent="0.4">
      <c r="A20" s="5" t="s">
        <v>60</v>
      </c>
      <c r="B20" s="5" t="s">
        <v>49</v>
      </c>
      <c r="C20" s="5" t="s">
        <v>50</v>
      </c>
      <c r="D20" s="5" t="s">
        <v>51</v>
      </c>
      <c r="E20" s="5"/>
      <c r="F20" s="5" t="s">
        <v>61</v>
      </c>
      <c r="G20" s="5" t="s">
        <v>20</v>
      </c>
      <c r="H20" s="5" t="s">
        <v>21</v>
      </c>
      <c r="I20" s="5" t="s">
        <v>53</v>
      </c>
      <c r="J20" s="5">
        <v>50540426</v>
      </c>
      <c r="K20" s="5" t="s">
        <v>62</v>
      </c>
      <c r="L20" s="5"/>
      <c r="M20" s="5"/>
      <c r="N20" s="5" t="s">
        <v>63</v>
      </c>
      <c r="O20" s="5" t="s">
        <v>22</v>
      </c>
      <c r="P20" s="5">
        <v>0.7</v>
      </c>
      <c r="Q20" s="5">
        <v>0.6</v>
      </c>
      <c r="R20" s="6" t="s">
        <v>57</v>
      </c>
      <c r="S20" s="6">
        <v>1800</v>
      </c>
      <c r="T20" s="6">
        <v>18000</v>
      </c>
      <c r="U20" s="6">
        <v>16200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1800</v>
      </c>
      <c r="AD20" s="6">
        <v>18000</v>
      </c>
      <c r="AE20" s="6">
        <v>16200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1800</v>
      </c>
      <c r="AN20" s="6">
        <v>12600</v>
      </c>
      <c r="AO20" s="6">
        <v>0</v>
      </c>
      <c r="AP20" s="6">
        <v>12600</v>
      </c>
    </row>
    <row r="21" spans="1:42" x14ac:dyDescent="0.4">
      <c r="A21" s="5" t="s">
        <v>60</v>
      </c>
      <c r="B21" s="5" t="s">
        <v>49</v>
      </c>
      <c r="C21" s="5" t="s">
        <v>50</v>
      </c>
      <c r="D21" s="5" t="s">
        <v>51</v>
      </c>
      <c r="E21" s="5"/>
      <c r="F21" s="5" t="s">
        <v>61</v>
      </c>
      <c r="G21" s="5" t="s">
        <v>20</v>
      </c>
      <c r="H21" s="5" t="s">
        <v>21</v>
      </c>
      <c r="I21" s="5" t="s">
        <v>53</v>
      </c>
      <c r="J21" s="5">
        <v>50540426</v>
      </c>
      <c r="K21" s="5" t="s">
        <v>62</v>
      </c>
      <c r="L21" s="5"/>
      <c r="M21" s="5"/>
      <c r="N21" s="5" t="s">
        <v>63</v>
      </c>
      <c r="O21" s="5" t="s">
        <v>22</v>
      </c>
      <c r="P21" s="5">
        <v>0.7</v>
      </c>
      <c r="Q21" s="5">
        <v>0.6</v>
      </c>
      <c r="R21" s="6" t="s">
        <v>57</v>
      </c>
      <c r="S21" s="6">
        <v>3600</v>
      </c>
      <c r="T21" s="6">
        <v>14400</v>
      </c>
      <c r="U21" s="6">
        <v>14100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300</v>
      </c>
      <c r="AD21" s="6">
        <v>14400</v>
      </c>
      <c r="AE21" s="6">
        <v>14100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300</v>
      </c>
      <c r="AN21" s="6">
        <v>10080</v>
      </c>
      <c r="AO21" s="6">
        <v>0</v>
      </c>
      <c r="AP21" s="6">
        <v>10080</v>
      </c>
    </row>
    <row r="22" spans="1:42" x14ac:dyDescent="0.4">
      <c r="A22" s="5" t="s">
        <v>60</v>
      </c>
      <c r="B22" s="5" t="s">
        <v>49</v>
      </c>
      <c r="C22" s="5" t="s">
        <v>50</v>
      </c>
      <c r="D22" s="5" t="s">
        <v>51</v>
      </c>
      <c r="E22" s="5"/>
      <c r="F22" s="5" t="s">
        <v>61</v>
      </c>
      <c r="G22" s="5" t="s">
        <v>20</v>
      </c>
      <c r="H22" s="5" t="s">
        <v>21</v>
      </c>
      <c r="I22" s="5" t="s">
        <v>53</v>
      </c>
      <c r="J22" s="5">
        <v>54953089</v>
      </c>
      <c r="K22" s="5" t="s">
        <v>74</v>
      </c>
      <c r="L22" s="5"/>
      <c r="M22" s="5"/>
      <c r="N22" s="5" t="s">
        <v>75</v>
      </c>
      <c r="O22" s="5" t="s">
        <v>22</v>
      </c>
      <c r="P22" s="5">
        <v>0.7</v>
      </c>
      <c r="Q22" s="5">
        <v>0.6</v>
      </c>
      <c r="R22" s="6" t="s">
        <v>56</v>
      </c>
      <c r="S22" s="6">
        <v>100</v>
      </c>
      <c r="T22" s="6">
        <v>5500</v>
      </c>
      <c r="U22" s="6">
        <v>800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4700</v>
      </c>
      <c r="AD22" s="6">
        <v>5500</v>
      </c>
      <c r="AE22" s="6">
        <v>800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4700</v>
      </c>
      <c r="AN22" s="6">
        <v>3850</v>
      </c>
      <c r="AO22" s="6">
        <v>0</v>
      </c>
      <c r="AP22" s="6">
        <v>3850</v>
      </c>
    </row>
    <row r="23" spans="1:42" x14ac:dyDescent="0.4">
      <c r="A23" s="5" t="s">
        <v>60</v>
      </c>
      <c r="B23" s="5" t="s">
        <v>49</v>
      </c>
      <c r="C23" s="5" t="s">
        <v>50</v>
      </c>
      <c r="D23" s="5" t="s">
        <v>51</v>
      </c>
      <c r="E23" s="5"/>
      <c r="F23" s="5" t="s">
        <v>61</v>
      </c>
      <c r="G23" s="5" t="s">
        <v>20</v>
      </c>
      <c r="H23" s="5" t="s">
        <v>21</v>
      </c>
      <c r="I23" s="5" t="s">
        <v>53</v>
      </c>
      <c r="J23" s="5">
        <v>54953089</v>
      </c>
      <c r="K23" s="5" t="s">
        <v>74</v>
      </c>
      <c r="L23" s="5"/>
      <c r="M23" s="5"/>
      <c r="N23" s="5" t="s">
        <v>75</v>
      </c>
      <c r="O23" s="5" t="s">
        <v>22</v>
      </c>
      <c r="P23" s="5">
        <v>0.7</v>
      </c>
      <c r="Q23" s="5">
        <v>0.6</v>
      </c>
      <c r="R23" s="6" t="s">
        <v>57</v>
      </c>
      <c r="S23" s="6">
        <v>900</v>
      </c>
      <c r="T23" s="6">
        <v>900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900</v>
      </c>
      <c r="AD23" s="6">
        <v>900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900</v>
      </c>
      <c r="AN23" s="6">
        <v>630</v>
      </c>
      <c r="AO23" s="6">
        <v>0</v>
      </c>
      <c r="AP23" s="6">
        <v>630</v>
      </c>
    </row>
    <row r="24" spans="1:42" x14ac:dyDescent="0.4">
      <c r="A24" s="5" t="s">
        <v>60</v>
      </c>
      <c r="B24" s="5" t="s">
        <v>49</v>
      </c>
      <c r="C24" s="5" t="s">
        <v>50</v>
      </c>
      <c r="D24" s="5" t="s">
        <v>51</v>
      </c>
      <c r="E24" s="5"/>
      <c r="F24" s="5" t="s">
        <v>61</v>
      </c>
      <c r="G24" s="5" t="s">
        <v>20</v>
      </c>
      <c r="H24" s="5" t="s">
        <v>21</v>
      </c>
      <c r="I24" s="5" t="s">
        <v>53</v>
      </c>
      <c r="J24" s="5">
        <v>54953089</v>
      </c>
      <c r="K24" s="5" t="s">
        <v>74</v>
      </c>
      <c r="L24" s="5"/>
      <c r="M24" s="5"/>
      <c r="N24" s="5" t="s">
        <v>75</v>
      </c>
      <c r="O24" s="5" t="s">
        <v>22</v>
      </c>
      <c r="P24" s="5">
        <v>0.7</v>
      </c>
      <c r="Q24" s="5">
        <v>0.6</v>
      </c>
      <c r="R24" s="6" t="s">
        <v>57</v>
      </c>
      <c r="S24" s="6">
        <v>3600</v>
      </c>
      <c r="T24" s="6">
        <v>7200</v>
      </c>
      <c r="U24" s="6">
        <v>7200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7200</v>
      </c>
      <c r="AE24" s="6">
        <v>7200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5040</v>
      </c>
      <c r="AO24" s="6">
        <v>0</v>
      </c>
      <c r="AP24" s="6">
        <v>5040</v>
      </c>
    </row>
    <row r="25" spans="1:42" x14ac:dyDescent="0.4">
      <c r="A25" s="5" t="s">
        <v>60</v>
      </c>
      <c r="B25" s="5" t="s">
        <v>49</v>
      </c>
      <c r="C25" s="5" t="s">
        <v>50</v>
      </c>
      <c r="D25" s="5" t="s">
        <v>51</v>
      </c>
      <c r="E25" s="5"/>
      <c r="F25" s="5" t="s">
        <v>61</v>
      </c>
      <c r="G25" s="5" t="s">
        <v>20</v>
      </c>
      <c r="H25" s="5" t="s">
        <v>21</v>
      </c>
      <c r="I25" s="5" t="s">
        <v>53</v>
      </c>
      <c r="J25" s="5">
        <v>55269331</v>
      </c>
      <c r="K25" s="5" t="s">
        <v>68</v>
      </c>
      <c r="L25" s="5"/>
      <c r="M25" s="5"/>
      <c r="N25" s="5" t="s">
        <v>69</v>
      </c>
      <c r="O25" s="5" t="s">
        <v>22</v>
      </c>
      <c r="P25" s="5">
        <v>0.7</v>
      </c>
      <c r="Q25" s="5">
        <v>0.6</v>
      </c>
      <c r="R25" s="6" t="s">
        <v>24</v>
      </c>
      <c r="S25" s="6">
        <v>400</v>
      </c>
      <c r="T25" s="6">
        <v>11600</v>
      </c>
      <c r="U25" s="6">
        <v>4200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7400</v>
      </c>
      <c r="AD25" s="6">
        <v>11600</v>
      </c>
      <c r="AE25" s="6">
        <v>4200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7400</v>
      </c>
      <c r="AN25" s="6">
        <v>8120</v>
      </c>
      <c r="AO25" s="6">
        <v>0</v>
      </c>
      <c r="AP25" s="6">
        <v>8120</v>
      </c>
    </row>
    <row r="26" spans="1:42" x14ac:dyDescent="0.4">
      <c r="A26" s="5" t="s">
        <v>60</v>
      </c>
      <c r="B26" s="5" t="s">
        <v>49</v>
      </c>
      <c r="C26" s="5" t="s">
        <v>50</v>
      </c>
      <c r="D26" s="5" t="s">
        <v>51</v>
      </c>
      <c r="E26" s="5"/>
      <c r="F26" s="5" t="s">
        <v>61</v>
      </c>
      <c r="G26" s="5" t="s">
        <v>20</v>
      </c>
      <c r="H26" s="5" t="s">
        <v>21</v>
      </c>
      <c r="I26" s="5" t="s">
        <v>53</v>
      </c>
      <c r="J26" s="5">
        <v>55269331</v>
      </c>
      <c r="K26" s="5" t="s">
        <v>68</v>
      </c>
      <c r="L26" s="5"/>
      <c r="M26" s="5"/>
      <c r="N26" s="5" t="s">
        <v>69</v>
      </c>
      <c r="O26" s="5" t="s">
        <v>22</v>
      </c>
      <c r="P26" s="5">
        <v>0.7</v>
      </c>
      <c r="Q26" s="5">
        <v>0.6</v>
      </c>
      <c r="R26" s="6" t="s">
        <v>23</v>
      </c>
      <c r="S26" s="6">
        <v>3600</v>
      </c>
      <c r="T26" s="6">
        <v>3600</v>
      </c>
      <c r="U26" s="6">
        <v>3600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3600</v>
      </c>
      <c r="AE26" s="6">
        <v>3600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2520</v>
      </c>
      <c r="AO26" s="6">
        <v>0</v>
      </c>
      <c r="AP26" s="6">
        <v>2520</v>
      </c>
    </row>
    <row r="27" spans="1:42" x14ac:dyDescent="0.4">
      <c r="A27" s="5" t="s">
        <v>60</v>
      </c>
      <c r="B27" s="5" t="s">
        <v>49</v>
      </c>
      <c r="C27" s="5" t="s">
        <v>50</v>
      </c>
      <c r="D27" s="5" t="s">
        <v>51</v>
      </c>
      <c r="E27" s="5"/>
      <c r="F27" s="5" t="s">
        <v>61</v>
      </c>
      <c r="G27" s="5" t="s">
        <v>20</v>
      </c>
      <c r="H27" s="5" t="s">
        <v>21</v>
      </c>
      <c r="I27" s="5" t="s">
        <v>53</v>
      </c>
      <c r="J27" s="5">
        <v>55269331</v>
      </c>
      <c r="K27" s="5" t="s">
        <v>68</v>
      </c>
      <c r="L27" s="5"/>
      <c r="M27" s="5"/>
      <c r="N27" s="5" t="s">
        <v>69</v>
      </c>
      <c r="O27" s="5" t="s">
        <v>22</v>
      </c>
      <c r="P27" s="5">
        <v>0.7</v>
      </c>
      <c r="Q27" s="5">
        <v>0.6</v>
      </c>
      <c r="R27" s="6" t="s">
        <v>56</v>
      </c>
      <c r="S27" s="6">
        <v>200</v>
      </c>
      <c r="T27" s="6">
        <v>204200</v>
      </c>
      <c r="U27" s="6">
        <v>64500</v>
      </c>
      <c r="V27" s="6">
        <v>0</v>
      </c>
      <c r="W27" s="6">
        <v>0</v>
      </c>
      <c r="X27" s="6">
        <v>0</v>
      </c>
      <c r="Y27" s="6">
        <v>4800</v>
      </c>
      <c r="Z27" s="6">
        <v>3000</v>
      </c>
      <c r="AA27" s="6">
        <v>0</v>
      </c>
      <c r="AB27" s="6">
        <v>0</v>
      </c>
      <c r="AC27" s="6">
        <v>131900</v>
      </c>
      <c r="AD27" s="6">
        <v>205460</v>
      </c>
      <c r="AE27" s="6">
        <v>64500</v>
      </c>
      <c r="AF27" s="6">
        <v>0</v>
      </c>
      <c r="AG27" s="6">
        <v>0</v>
      </c>
      <c r="AH27" s="6">
        <v>0</v>
      </c>
      <c r="AI27" s="6">
        <v>5760</v>
      </c>
      <c r="AJ27" s="6">
        <v>3300</v>
      </c>
      <c r="AK27" s="6">
        <v>0</v>
      </c>
      <c r="AL27" s="6">
        <v>0</v>
      </c>
      <c r="AM27" s="6">
        <v>131900</v>
      </c>
      <c r="AN27" s="6">
        <v>142916</v>
      </c>
      <c r="AO27" s="6">
        <v>0</v>
      </c>
      <c r="AP27" s="6">
        <v>142916</v>
      </c>
    </row>
    <row r="28" spans="1:42" x14ac:dyDescent="0.4">
      <c r="A28" s="5" t="s">
        <v>60</v>
      </c>
      <c r="B28" s="5" t="s">
        <v>49</v>
      </c>
      <c r="C28" s="5" t="s">
        <v>50</v>
      </c>
      <c r="D28" s="5" t="s">
        <v>51</v>
      </c>
      <c r="E28" s="5"/>
      <c r="F28" s="5" t="s">
        <v>61</v>
      </c>
      <c r="G28" s="5" t="s">
        <v>20</v>
      </c>
      <c r="H28" s="5" t="s">
        <v>21</v>
      </c>
      <c r="I28" s="5" t="s">
        <v>53</v>
      </c>
      <c r="J28" s="5">
        <v>55269331</v>
      </c>
      <c r="K28" s="5" t="s">
        <v>68</v>
      </c>
      <c r="L28" s="5"/>
      <c r="M28" s="5"/>
      <c r="N28" s="5" t="s">
        <v>69</v>
      </c>
      <c r="O28" s="5" t="s">
        <v>22</v>
      </c>
      <c r="P28" s="5">
        <v>0.7</v>
      </c>
      <c r="Q28" s="5">
        <v>0.6</v>
      </c>
      <c r="R28" s="6" t="s">
        <v>57</v>
      </c>
      <c r="S28" s="6">
        <v>1800</v>
      </c>
      <c r="T28" s="6">
        <v>105800</v>
      </c>
      <c r="U28" s="6">
        <v>83800</v>
      </c>
      <c r="V28" s="6">
        <v>0</v>
      </c>
      <c r="W28" s="6">
        <v>0</v>
      </c>
      <c r="X28" s="6">
        <v>0</v>
      </c>
      <c r="Y28" s="6">
        <v>0</v>
      </c>
      <c r="Z28" s="6">
        <v>10800</v>
      </c>
      <c r="AA28" s="6">
        <v>0</v>
      </c>
      <c r="AB28" s="6">
        <v>0</v>
      </c>
      <c r="AC28" s="6">
        <v>11200</v>
      </c>
      <c r="AD28" s="6">
        <v>106880</v>
      </c>
      <c r="AE28" s="6">
        <v>83800</v>
      </c>
      <c r="AF28" s="6">
        <v>0</v>
      </c>
      <c r="AG28" s="6">
        <v>0</v>
      </c>
      <c r="AH28" s="6">
        <v>0</v>
      </c>
      <c r="AI28" s="6">
        <v>0</v>
      </c>
      <c r="AJ28" s="6">
        <v>11880</v>
      </c>
      <c r="AK28" s="6">
        <v>0</v>
      </c>
      <c r="AL28" s="6">
        <v>0</v>
      </c>
      <c r="AM28" s="6">
        <v>11200</v>
      </c>
      <c r="AN28" s="6">
        <v>73628</v>
      </c>
      <c r="AO28" s="6">
        <v>0</v>
      </c>
      <c r="AP28" s="6">
        <v>73628</v>
      </c>
    </row>
    <row r="29" spans="1:42" x14ac:dyDescent="0.4">
      <c r="A29" s="5" t="s">
        <v>60</v>
      </c>
      <c r="B29" s="5" t="s">
        <v>49</v>
      </c>
      <c r="C29" s="5" t="s">
        <v>50</v>
      </c>
      <c r="D29" s="5" t="s">
        <v>51</v>
      </c>
      <c r="E29" s="5"/>
      <c r="F29" s="5" t="s">
        <v>61</v>
      </c>
      <c r="G29" s="5" t="s">
        <v>20</v>
      </c>
      <c r="H29" s="5" t="s">
        <v>21</v>
      </c>
      <c r="I29" s="5" t="s">
        <v>53</v>
      </c>
      <c r="J29" s="5">
        <v>55269331</v>
      </c>
      <c r="K29" s="5" t="s">
        <v>68</v>
      </c>
      <c r="L29" s="5"/>
      <c r="M29" s="5"/>
      <c r="N29" s="5" t="s">
        <v>69</v>
      </c>
      <c r="O29" s="5" t="s">
        <v>22</v>
      </c>
      <c r="P29" s="5">
        <v>0.7</v>
      </c>
      <c r="Q29" s="5">
        <v>0.6</v>
      </c>
      <c r="R29" s="6" t="s">
        <v>57</v>
      </c>
      <c r="S29" s="6">
        <v>3600</v>
      </c>
      <c r="T29" s="6">
        <v>30400</v>
      </c>
      <c r="U29" s="6">
        <v>23100</v>
      </c>
      <c r="V29" s="6">
        <v>0</v>
      </c>
      <c r="W29" s="6">
        <v>0</v>
      </c>
      <c r="X29" s="6">
        <v>0</v>
      </c>
      <c r="Y29" s="6">
        <v>3600</v>
      </c>
      <c r="Z29" s="6">
        <v>3600</v>
      </c>
      <c r="AA29" s="6">
        <v>0</v>
      </c>
      <c r="AB29" s="6">
        <v>0</v>
      </c>
      <c r="AC29" s="6">
        <v>100</v>
      </c>
      <c r="AD29" s="6">
        <v>31480</v>
      </c>
      <c r="AE29" s="6">
        <v>23100</v>
      </c>
      <c r="AF29" s="6">
        <v>0</v>
      </c>
      <c r="AG29" s="6">
        <v>0</v>
      </c>
      <c r="AH29" s="6">
        <v>0</v>
      </c>
      <c r="AI29" s="6">
        <v>4320</v>
      </c>
      <c r="AJ29" s="6">
        <v>3960</v>
      </c>
      <c r="AK29" s="6">
        <v>0</v>
      </c>
      <c r="AL29" s="6">
        <v>0</v>
      </c>
      <c r="AM29" s="6">
        <v>100</v>
      </c>
      <c r="AN29" s="6">
        <v>21208</v>
      </c>
      <c r="AO29" s="6">
        <v>0</v>
      </c>
      <c r="AP29" s="6">
        <v>21208</v>
      </c>
    </row>
    <row r="30" spans="1:42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55269331</v>
      </c>
      <c r="K30" s="5" t="s">
        <v>68</v>
      </c>
      <c r="L30" s="5"/>
      <c r="M30" s="5"/>
      <c r="N30" s="5" t="s">
        <v>69</v>
      </c>
      <c r="O30" s="5" t="s">
        <v>22</v>
      </c>
      <c r="P30" s="5">
        <v>0.7</v>
      </c>
      <c r="Q30" s="5">
        <v>0.6</v>
      </c>
      <c r="R30" s="6" t="s">
        <v>57</v>
      </c>
      <c r="S30" s="6">
        <v>7200</v>
      </c>
      <c r="T30" s="6">
        <v>64800</v>
      </c>
      <c r="U30" s="6">
        <v>50400</v>
      </c>
      <c r="V30" s="6">
        <v>0</v>
      </c>
      <c r="W30" s="6">
        <v>0</v>
      </c>
      <c r="X30" s="6">
        <v>0</v>
      </c>
      <c r="Y30" s="6">
        <v>0</v>
      </c>
      <c r="Z30" s="6">
        <v>14400</v>
      </c>
      <c r="AA30" s="6">
        <v>0</v>
      </c>
      <c r="AB30" s="6">
        <v>0</v>
      </c>
      <c r="AC30" s="6">
        <v>0</v>
      </c>
      <c r="AD30" s="6">
        <v>66240</v>
      </c>
      <c r="AE30" s="6">
        <v>50400</v>
      </c>
      <c r="AF30" s="6">
        <v>0</v>
      </c>
      <c r="AG30" s="6">
        <v>0</v>
      </c>
      <c r="AH30" s="6">
        <v>0</v>
      </c>
      <c r="AI30" s="6">
        <v>0</v>
      </c>
      <c r="AJ30" s="6">
        <v>15840</v>
      </c>
      <c r="AK30" s="6">
        <v>0</v>
      </c>
      <c r="AL30" s="6">
        <v>0</v>
      </c>
      <c r="AM30" s="6">
        <v>0</v>
      </c>
      <c r="AN30" s="6">
        <v>44784</v>
      </c>
      <c r="AO30" s="6">
        <v>0</v>
      </c>
      <c r="AP30" s="6">
        <v>44784</v>
      </c>
    </row>
    <row r="31" spans="1:42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52513817</v>
      </c>
      <c r="K31" s="5" t="s">
        <v>64</v>
      </c>
      <c r="L31" s="5"/>
      <c r="M31" s="5"/>
      <c r="N31" s="5" t="s">
        <v>65</v>
      </c>
      <c r="O31" s="5" t="s">
        <v>22</v>
      </c>
      <c r="P31" s="5">
        <v>0.7</v>
      </c>
      <c r="Q31" s="5">
        <v>0.6</v>
      </c>
      <c r="R31" s="6" t="s">
        <v>56</v>
      </c>
      <c r="S31" s="6">
        <v>100</v>
      </c>
      <c r="T31" s="6">
        <v>10900</v>
      </c>
      <c r="U31" s="6">
        <v>3600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7300</v>
      </c>
      <c r="AD31" s="6">
        <v>10900</v>
      </c>
      <c r="AE31" s="6">
        <v>3600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7300</v>
      </c>
      <c r="AN31" s="6">
        <v>7630</v>
      </c>
      <c r="AO31" s="6">
        <v>0</v>
      </c>
      <c r="AP31" s="6">
        <v>7630</v>
      </c>
    </row>
    <row r="32" spans="1:42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52303465</v>
      </c>
      <c r="K32" s="5" t="s">
        <v>66</v>
      </c>
      <c r="L32" s="5"/>
      <c r="M32" s="5"/>
      <c r="N32" s="5" t="s">
        <v>67</v>
      </c>
      <c r="O32" s="5" t="s">
        <v>22</v>
      </c>
      <c r="P32" s="5">
        <v>0.7</v>
      </c>
      <c r="Q32" s="5">
        <v>0.6</v>
      </c>
      <c r="R32" s="6" t="s">
        <v>24</v>
      </c>
      <c r="S32" s="6">
        <v>400</v>
      </c>
      <c r="T32" s="6">
        <v>4800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4800</v>
      </c>
      <c r="AD32" s="6">
        <v>4800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4800</v>
      </c>
      <c r="AN32" s="6">
        <v>3360</v>
      </c>
      <c r="AO32" s="6">
        <v>0</v>
      </c>
      <c r="AP32" s="6">
        <v>3360</v>
      </c>
    </row>
    <row r="33" spans="1:42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52513817</v>
      </c>
      <c r="K33" s="5" t="s">
        <v>64</v>
      </c>
      <c r="L33" s="5"/>
      <c r="M33" s="5"/>
      <c r="N33" s="5" t="s">
        <v>65</v>
      </c>
      <c r="O33" s="5" t="s">
        <v>22</v>
      </c>
      <c r="P33" s="5">
        <v>0.7</v>
      </c>
      <c r="Q33" s="5">
        <v>0.6</v>
      </c>
      <c r="R33" s="6" t="s">
        <v>57</v>
      </c>
      <c r="S33" s="6">
        <v>900</v>
      </c>
      <c r="T33" s="6">
        <v>1400</v>
      </c>
      <c r="U33" s="6">
        <v>-200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1600</v>
      </c>
      <c r="AD33" s="6">
        <v>1400</v>
      </c>
      <c r="AE33" s="6">
        <v>-200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1600</v>
      </c>
      <c r="AN33" s="6">
        <v>980</v>
      </c>
      <c r="AO33" s="6">
        <v>0</v>
      </c>
      <c r="AP33" s="6">
        <v>980</v>
      </c>
    </row>
    <row r="34" spans="1:42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52303465</v>
      </c>
      <c r="K34" s="5" t="s">
        <v>66</v>
      </c>
      <c r="L34" s="5"/>
      <c r="M34" s="5"/>
      <c r="N34" s="5" t="s">
        <v>67</v>
      </c>
      <c r="O34" s="5" t="s">
        <v>22</v>
      </c>
      <c r="P34" s="5">
        <v>0.7</v>
      </c>
      <c r="Q34" s="5">
        <v>0.6</v>
      </c>
      <c r="R34" s="6" t="s">
        <v>23</v>
      </c>
      <c r="S34" s="6">
        <v>3600</v>
      </c>
      <c r="T34" s="6">
        <v>3600</v>
      </c>
      <c r="U34" s="6">
        <v>3600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3600</v>
      </c>
      <c r="AE34" s="6">
        <v>3600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2520</v>
      </c>
      <c r="AO34" s="6">
        <v>0</v>
      </c>
      <c r="AP34" s="6">
        <v>2520</v>
      </c>
    </row>
    <row r="35" spans="1:42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56451540</v>
      </c>
      <c r="K35" s="5" t="s">
        <v>76</v>
      </c>
      <c r="L35" s="5"/>
      <c r="M35" s="5"/>
      <c r="N35" s="5" t="s">
        <v>77</v>
      </c>
      <c r="O35" s="5" t="s">
        <v>22</v>
      </c>
      <c r="P35" s="5">
        <v>0.7</v>
      </c>
      <c r="Q35" s="5">
        <v>0.6</v>
      </c>
      <c r="R35" s="6" t="s">
        <v>24</v>
      </c>
      <c r="S35" s="6">
        <v>400</v>
      </c>
      <c r="T35" s="6">
        <v>16800</v>
      </c>
      <c r="U35" s="6">
        <v>15700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1100</v>
      </c>
      <c r="AD35" s="6">
        <v>16800</v>
      </c>
      <c r="AE35" s="6">
        <v>15700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1100</v>
      </c>
      <c r="AN35" s="6">
        <v>11760</v>
      </c>
      <c r="AO35" s="6">
        <v>0</v>
      </c>
      <c r="AP35" s="6">
        <v>11760</v>
      </c>
    </row>
    <row r="36" spans="1:42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52303465</v>
      </c>
      <c r="K36" s="5" t="s">
        <v>66</v>
      </c>
      <c r="L36" s="5"/>
      <c r="M36" s="5"/>
      <c r="N36" s="5" t="s">
        <v>67</v>
      </c>
      <c r="O36" s="5" t="s">
        <v>22</v>
      </c>
      <c r="P36" s="5">
        <v>0.7</v>
      </c>
      <c r="Q36" s="5">
        <v>0.6</v>
      </c>
      <c r="R36" s="6" t="s">
        <v>56</v>
      </c>
      <c r="S36" s="6">
        <v>200</v>
      </c>
      <c r="T36" s="6">
        <v>241200</v>
      </c>
      <c r="U36" s="6">
        <v>95500</v>
      </c>
      <c r="V36" s="6">
        <v>0</v>
      </c>
      <c r="W36" s="6">
        <v>0</v>
      </c>
      <c r="X36" s="6">
        <v>0</v>
      </c>
      <c r="Y36" s="6">
        <v>2200</v>
      </c>
      <c r="Z36" s="6">
        <v>9400</v>
      </c>
      <c r="AA36" s="6">
        <v>0</v>
      </c>
      <c r="AB36" s="6">
        <v>0</v>
      </c>
      <c r="AC36" s="6">
        <v>134100</v>
      </c>
      <c r="AD36" s="6">
        <v>242580</v>
      </c>
      <c r="AE36" s="6">
        <v>95500</v>
      </c>
      <c r="AF36" s="6">
        <v>0</v>
      </c>
      <c r="AG36" s="6">
        <v>0</v>
      </c>
      <c r="AH36" s="6">
        <v>0</v>
      </c>
      <c r="AI36" s="6">
        <v>2640</v>
      </c>
      <c r="AJ36" s="6">
        <v>10340</v>
      </c>
      <c r="AK36" s="6">
        <v>0</v>
      </c>
      <c r="AL36" s="6">
        <v>0</v>
      </c>
      <c r="AM36" s="6">
        <v>134100</v>
      </c>
      <c r="AN36" s="6">
        <v>168508</v>
      </c>
      <c r="AO36" s="6">
        <v>0</v>
      </c>
      <c r="AP36" s="6">
        <v>168508</v>
      </c>
    </row>
    <row r="37" spans="1:42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56451540</v>
      </c>
      <c r="K37" s="5" t="s">
        <v>76</v>
      </c>
      <c r="L37" s="5"/>
      <c r="M37" s="5"/>
      <c r="N37" s="5" t="s">
        <v>77</v>
      </c>
      <c r="O37" s="5" t="s">
        <v>22</v>
      </c>
      <c r="P37" s="5">
        <v>0.7</v>
      </c>
      <c r="Q37" s="5">
        <v>0.6</v>
      </c>
      <c r="R37" s="6" t="s">
        <v>23</v>
      </c>
      <c r="S37" s="6">
        <v>3600</v>
      </c>
      <c r="T37" s="6">
        <v>3600</v>
      </c>
      <c r="U37" s="6">
        <v>3600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3600</v>
      </c>
      <c r="AE37" s="6">
        <v>3600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2520</v>
      </c>
      <c r="AO37" s="6">
        <v>0</v>
      </c>
      <c r="AP37" s="6">
        <v>2520</v>
      </c>
    </row>
    <row r="38" spans="1:42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52303465</v>
      </c>
      <c r="K38" s="5" t="s">
        <v>66</v>
      </c>
      <c r="L38" s="5"/>
      <c r="M38" s="5"/>
      <c r="N38" s="5" t="s">
        <v>67</v>
      </c>
      <c r="O38" s="5" t="s">
        <v>22</v>
      </c>
      <c r="P38" s="5">
        <v>0.7</v>
      </c>
      <c r="Q38" s="5">
        <v>0.6</v>
      </c>
      <c r="R38" s="6" t="s">
        <v>57</v>
      </c>
      <c r="S38" s="6">
        <v>1800</v>
      </c>
      <c r="T38" s="6">
        <v>161400</v>
      </c>
      <c r="U38" s="6">
        <v>120300</v>
      </c>
      <c r="V38" s="6">
        <v>0</v>
      </c>
      <c r="W38" s="6">
        <v>0</v>
      </c>
      <c r="X38" s="6">
        <v>0</v>
      </c>
      <c r="Y38" s="6">
        <v>1800</v>
      </c>
      <c r="Z38" s="6">
        <v>14400</v>
      </c>
      <c r="AA38" s="6">
        <v>0</v>
      </c>
      <c r="AB38" s="6">
        <v>0</v>
      </c>
      <c r="AC38" s="6">
        <v>24900</v>
      </c>
      <c r="AD38" s="6">
        <v>163200</v>
      </c>
      <c r="AE38" s="6">
        <v>120300</v>
      </c>
      <c r="AF38" s="6">
        <v>0</v>
      </c>
      <c r="AG38" s="6">
        <v>0</v>
      </c>
      <c r="AH38" s="6">
        <v>0</v>
      </c>
      <c r="AI38" s="6">
        <v>2160</v>
      </c>
      <c r="AJ38" s="6">
        <v>15840</v>
      </c>
      <c r="AK38" s="6">
        <v>0</v>
      </c>
      <c r="AL38" s="6">
        <v>0</v>
      </c>
      <c r="AM38" s="6">
        <v>24900</v>
      </c>
      <c r="AN38" s="6">
        <v>112440</v>
      </c>
      <c r="AO38" s="6">
        <v>0</v>
      </c>
      <c r="AP38" s="6">
        <v>112440</v>
      </c>
    </row>
    <row r="39" spans="1:42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56451540</v>
      </c>
      <c r="K39" s="5" t="s">
        <v>76</v>
      </c>
      <c r="L39" s="5"/>
      <c r="M39" s="5"/>
      <c r="N39" s="5" t="s">
        <v>77</v>
      </c>
      <c r="O39" s="5" t="s">
        <v>22</v>
      </c>
      <c r="P39" s="5">
        <v>0.7</v>
      </c>
      <c r="Q39" s="5">
        <v>0.6</v>
      </c>
      <c r="R39" s="6" t="s">
        <v>56</v>
      </c>
      <c r="S39" s="6">
        <v>200</v>
      </c>
      <c r="T39" s="6">
        <v>278600</v>
      </c>
      <c r="U39" s="6">
        <v>158450</v>
      </c>
      <c r="V39" s="6">
        <v>0</v>
      </c>
      <c r="W39" s="6">
        <v>0</v>
      </c>
      <c r="X39" s="6">
        <v>0</v>
      </c>
      <c r="Y39" s="6">
        <v>1600</v>
      </c>
      <c r="Z39" s="6">
        <v>8700</v>
      </c>
      <c r="AA39" s="6">
        <v>0</v>
      </c>
      <c r="AB39" s="6">
        <v>0</v>
      </c>
      <c r="AC39" s="6">
        <v>109850</v>
      </c>
      <c r="AD39" s="6">
        <v>279790</v>
      </c>
      <c r="AE39" s="6">
        <v>158450</v>
      </c>
      <c r="AF39" s="6">
        <v>0</v>
      </c>
      <c r="AG39" s="6">
        <v>0</v>
      </c>
      <c r="AH39" s="6">
        <v>0</v>
      </c>
      <c r="AI39" s="6">
        <v>1920</v>
      </c>
      <c r="AJ39" s="6">
        <v>9570</v>
      </c>
      <c r="AK39" s="6">
        <v>0</v>
      </c>
      <c r="AL39" s="6">
        <v>0</v>
      </c>
      <c r="AM39" s="6">
        <v>109850</v>
      </c>
      <c r="AN39" s="6">
        <v>194704</v>
      </c>
      <c r="AO39" s="6">
        <v>0</v>
      </c>
      <c r="AP39" s="6">
        <v>194704</v>
      </c>
    </row>
    <row r="40" spans="1:42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52303465</v>
      </c>
      <c r="K40" s="5" t="s">
        <v>66</v>
      </c>
      <c r="L40" s="5"/>
      <c r="M40" s="5"/>
      <c r="N40" s="5" t="s">
        <v>67</v>
      </c>
      <c r="O40" s="5" t="s">
        <v>22</v>
      </c>
      <c r="P40" s="5">
        <v>0.7</v>
      </c>
      <c r="Q40" s="5">
        <v>0.6</v>
      </c>
      <c r="R40" s="6" t="s">
        <v>57</v>
      </c>
      <c r="S40" s="6">
        <v>3600</v>
      </c>
      <c r="T40" s="6">
        <v>118800</v>
      </c>
      <c r="U40" s="6">
        <v>103400</v>
      </c>
      <c r="V40" s="6">
        <v>0</v>
      </c>
      <c r="W40" s="6">
        <v>0</v>
      </c>
      <c r="X40" s="6">
        <v>0</v>
      </c>
      <c r="Y40" s="6">
        <v>0</v>
      </c>
      <c r="Z40" s="6">
        <v>10800</v>
      </c>
      <c r="AA40" s="6">
        <v>0</v>
      </c>
      <c r="AB40" s="6">
        <v>0</v>
      </c>
      <c r="AC40" s="6">
        <v>4600</v>
      </c>
      <c r="AD40" s="6">
        <v>119880</v>
      </c>
      <c r="AE40" s="6">
        <v>103400</v>
      </c>
      <c r="AF40" s="6">
        <v>0</v>
      </c>
      <c r="AG40" s="6">
        <v>0</v>
      </c>
      <c r="AH40" s="6">
        <v>0</v>
      </c>
      <c r="AI40" s="6">
        <v>0</v>
      </c>
      <c r="AJ40" s="6">
        <v>11880</v>
      </c>
      <c r="AK40" s="6">
        <v>0</v>
      </c>
      <c r="AL40" s="6">
        <v>0</v>
      </c>
      <c r="AM40" s="6">
        <v>4600</v>
      </c>
      <c r="AN40" s="6">
        <v>82728</v>
      </c>
      <c r="AO40" s="6">
        <v>0</v>
      </c>
      <c r="AP40" s="6">
        <v>82728</v>
      </c>
    </row>
    <row r="41" spans="1:42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56451540</v>
      </c>
      <c r="K41" s="5" t="s">
        <v>76</v>
      </c>
      <c r="L41" s="5"/>
      <c r="M41" s="5"/>
      <c r="N41" s="5" t="s">
        <v>77</v>
      </c>
      <c r="O41" s="5" t="s">
        <v>22</v>
      </c>
      <c r="P41" s="5">
        <v>0.7</v>
      </c>
      <c r="Q41" s="5">
        <v>0.6</v>
      </c>
      <c r="R41" s="6" t="s">
        <v>57</v>
      </c>
      <c r="S41" s="6">
        <v>1800</v>
      </c>
      <c r="T41" s="6">
        <v>149000</v>
      </c>
      <c r="U41" s="6">
        <v>125800</v>
      </c>
      <c r="V41" s="6">
        <v>0</v>
      </c>
      <c r="W41" s="6">
        <v>0</v>
      </c>
      <c r="X41" s="6">
        <v>0</v>
      </c>
      <c r="Y41" s="6">
        <v>0</v>
      </c>
      <c r="Z41" s="6">
        <v>7200</v>
      </c>
      <c r="AA41" s="6">
        <v>0</v>
      </c>
      <c r="AB41" s="6">
        <v>0</v>
      </c>
      <c r="AC41" s="6">
        <v>16000</v>
      </c>
      <c r="AD41" s="6">
        <v>149720</v>
      </c>
      <c r="AE41" s="6">
        <v>125800</v>
      </c>
      <c r="AF41" s="6">
        <v>0</v>
      </c>
      <c r="AG41" s="6">
        <v>0</v>
      </c>
      <c r="AH41" s="6">
        <v>0</v>
      </c>
      <c r="AI41" s="6">
        <v>0</v>
      </c>
      <c r="AJ41" s="6">
        <v>7920</v>
      </c>
      <c r="AK41" s="6">
        <v>0</v>
      </c>
      <c r="AL41" s="6">
        <v>0</v>
      </c>
      <c r="AM41" s="6">
        <v>16000</v>
      </c>
      <c r="AN41" s="6">
        <v>104012</v>
      </c>
      <c r="AO41" s="6">
        <v>0</v>
      </c>
      <c r="AP41" s="6">
        <v>104012</v>
      </c>
    </row>
    <row r="42" spans="1:42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52303465</v>
      </c>
      <c r="K42" s="5" t="s">
        <v>66</v>
      </c>
      <c r="L42" s="5"/>
      <c r="M42" s="5"/>
      <c r="N42" s="5" t="s">
        <v>67</v>
      </c>
      <c r="O42" s="5" t="s">
        <v>22</v>
      </c>
      <c r="P42" s="5">
        <v>0.7</v>
      </c>
      <c r="Q42" s="5">
        <v>0.6</v>
      </c>
      <c r="R42" s="6" t="s">
        <v>57</v>
      </c>
      <c r="S42" s="6">
        <v>7200</v>
      </c>
      <c r="T42" s="6">
        <v>65600</v>
      </c>
      <c r="U42" s="6">
        <v>58100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7500</v>
      </c>
      <c r="AD42" s="6">
        <v>65600</v>
      </c>
      <c r="AE42" s="6">
        <v>58100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7500</v>
      </c>
      <c r="AN42" s="6">
        <v>45920</v>
      </c>
      <c r="AO42" s="6">
        <v>0</v>
      </c>
      <c r="AP42" s="6">
        <v>45920</v>
      </c>
    </row>
    <row r="43" spans="1:42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56451540</v>
      </c>
      <c r="K43" s="5" t="s">
        <v>76</v>
      </c>
      <c r="L43" s="5"/>
      <c r="M43" s="5"/>
      <c r="N43" s="5" t="s">
        <v>77</v>
      </c>
      <c r="O43" s="5" t="s">
        <v>22</v>
      </c>
      <c r="P43" s="5">
        <v>0.7</v>
      </c>
      <c r="Q43" s="5">
        <v>0.6</v>
      </c>
      <c r="R43" s="6" t="s">
        <v>57</v>
      </c>
      <c r="S43" s="6">
        <v>3600</v>
      </c>
      <c r="T43" s="6">
        <v>56800</v>
      </c>
      <c r="U43" s="6">
        <v>53200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3600</v>
      </c>
      <c r="AD43" s="6">
        <v>56800</v>
      </c>
      <c r="AE43" s="6">
        <v>53200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3600</v>
      </c>
      <c r="AN43" s="6">
        <v>39760</v>
      </c>
      <c r="AO43" s="6">
        <v>0</v>
      </c>
      <c r="AP43" s="6">
        <v>39760</v>
      </c>
    </row>
    <row r="44" spans="1:42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56451540</v>
      </c>
      <c r="K44" s="5" t="s">
        <v>76</v>
      </c>
      <c r="L44" s="5"/>
      <c r="M44" s="5"/>
      <c r="N44" s="5" t="s">
        <v>77</v>
      </c>
      <c r="O44" s="5" t="s">
        <v>22</v>
      </c>
      <c r="P44" s="5">
        <v>0.7</v>
      </c>
      <c r="Q44" s="5">
        <v>0.6</v>
      </c>
      <c r="R44" s="6" t="s">
        <v>57</v>
      </c>
      <c r="S44" s="6">
        <v>7200</v>
      </c>
      <c r="T44" s="6">
        <v>52800</v>
      </c>
      <c r="U44" s="6">
        <v>49400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3400</v>
      </c>
      <c r="AD44" s="6">
        <v>52800</v>
      </c>
      <c r="AE44" s="6">
        <v>49400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3400</v>
      </c>
      <c r="AN44" s="6">
        <v>36960</v>
      </c>
      <c r="AO44" s="6">
        <v>0</v>
      </c>
      <c r="AP44" s="6">
        <v>36960</v>
      </c>
    </row>
    <row r="45" spans="1:42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51188786</v>
      </c>
      <c r="K45" s="5" t="s">
        <v>72</v>
      </c>
      <c r="L45" s="5"/>
      <c r="M45" s="5"/>
      <c r="N45" s="5" t="s">
        <v>73</v>
      </c>
      <c r="O45" s="5" t="s">
        <v>22</v>
      </c>
      <c r="P45" s="5">
        <v>0.7</v>
      </c>
      <c r="Q45" s="5">
        <v>0.6</v>
      </c>
      <c r="R45" s="6" t="s">
        <v>24</v>
      </c>
      <c r="S45" s="6">
        <v>200</v>
      </c>
      <c r="T45" s="6">
        <v>4000</v>
      </c>
      <c r="U45" s="6">
        <v>2600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1400</v>
      </c>
      <c r="AD45" s="6">
        <v>4000</v>
      </c>
      <c r="AE45" s="6">
        <v>2600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1400</v>
      </c>
      <c r="AN45" s="6">
        <v>2800</v>
      </c>
      <c r="AO45" s="6">
        <v>0</v>
      </c>
      <c r="AP45" s="6">
        <v>2800</v>
      </c>
    </row>
    <row r="46" spans="1:42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51188786</v>
      </c>
      <c r="K46" s="5" t="s">
        <v>72</v>
      </c>
      <c r="L46" s="5"/>
      <c r="M46" s="5"/>
      <c r="N46" s="5" t="s">
        <v>73</v>
      </c>
      <c r="O46" s="5" t="s">
        <v>22</v>
      </c>
      <c r="P46" s="5">
        <v>0.7</v>
      </c>
      <c r="Q46" s="5">
        <v>0.6</v>
      </c>
      <c r="R46" s="6" t="s">
        <v>23</v>
      </c>
      <c r="S46" s="6">
        <v>1800</v>
      </c>
      <c r="T46" s="6">
        <v>18000</v>
      </c>
      <c r="U46" s="6">
        <v>14800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3200</v>
      </c>
      <c r="AD46" s="6">
        <v>18000</v>
      </c>
      <c r="AE46" s="6">
        <v>14800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3200</v>
      </c>
      <c r="AN46" s="6">
        <v>12600</v>
      </c>
      <c r="AO46" s="6">
        <v>0</v>
      </c>
      <c r="AP46" s="6">
        <v>12600</v>
      </c>
    </row>
    <row r="47" spans="1:42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51188786</v>
      </c>
      <c r="K47" s="5" t="s">
        <v>72</v>
      </c>
      <c r="L47" s="5"/>
      <c r="M47" s="5"/>
      <c r="N47" s="5" t="s">
        <v>73</v>
      </c>
      <c r="O47" s="5" t="s">
        <v>22</v>
      </c>
      <c r="P47" s="5">
        <v>0.7</v>
      </c>
      <c r="Q47" s="5">
        <v>0.6</v>
      </c>
      <c r="R47" s="6" t="s">
        <v>23</v>
      </c>
      <c r="S47" s="6">
        <v>3600</v>
      </c>
      <c r="T47" s="6">
        <v>3600</v>
      </c>
      <c r="U47" s="6">
        <v>3600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3600</v>
      </c>
      <c r="AE47" s="6">
        <v>3600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2520</v>
      </c>
      <c r="AO47" s="6">
        <v>0</v>
      </c>
      <c r="AP47" s="6">
        <v>2520</v>
      </c>
    </row>
    <row r="48" spans="1:42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51188786</v>
      </c>
      <c r="K48" s="5" t="s">
        <v>72</v>
      </c>
      <c r="L48" s="5"/>
      <c r="M48" s="5"/>
      <c r="N48" s="5" t="s">
        <v>73</v>
      </c>
      <c r="O48" s="5" t="s">
        <v>22</v>
      </c>
      <c r="P48" s="5">
        <v>0.7</v>
      </c>
      <c r="Q48" s="5">
        <v>0.6</v>
      </c>
      <c r="R48" s="6" t="s">
        <v>23</v>
      </c>
      <c r="S48" s="6">
        <v>7200</v>
      </c>
      <c r="T48" s="6">
        <v>28800</v>
      </c>
      <c r="U48" s="6">
        <v>28800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28800</v>
      </c>
      <c r="AE48" s="6">
        <v>28800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20160</v>
      </c>
      <c r="AO48" s="6">
        <v>0</v>
      </c>
      <c r="AP48" s="6">
        <v>20160</v>
      </c>
    </row>
    <row r="49" spans="1:42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51188786</v>
      </c>
      <c r="K49" s="5" t="s">
        <v>72</v>
      </c>
      <c r="L49" s="5"/>
      <c r="M49" s="5"/>
      <c r="N49" s="5" t="s">
        <v>73</v>
      </c>
      <c r="O49" s="5" t="s">
        <v>22</v>
      </c>
      <c r="P49" s="5">
        <v>0.7</v>
      </c>
      <c r="Q49" s="5">
        <v>0.6</v>
      </c>
      <c r="R49" s="6" t="s">
        <v>56</v>
      </c>
      <c r="S49" s="6">
        <v>100</v>
      </c>
      <c r="T49" s="6">
        <v>65700</v>
      </c>
      <c r="U49" s="6">
        <v>20300</v>
      </c>
      <c r="V49" s="6">
        <v>0</v>
      </c>
      <c r="W49" s="6">
        <v>0</v>
      </c>
      <c r="X49" s="6">
        <v>0</v>
      </c>
      <c r="Y49" s="6">
        <v>4700</v>
      </c>
      <c r="Z49" s="6">
        <v>1500</v>
      </c>
      <c r="AA49" s="6">
        <v>0</v>
      </c>
      <c r="AB49" s="6">
        <v>0</v>
      </c>
      <c r="AC49" s="6">
        <v>39200</v>
      </c>
      <c r="AD49" s="6">
        <v>66790</v>
      </c>
      <c r="AE49" s="6">
        <v>20300</v>
      </c>
      <c r="AF49" s="6">
        <v>0</v>
      </c>
      <c r="AG49" s="6">
        <v>0</v>
      </c>
      <c r="AH49" s="6">
        <v>0</v>
      </c>
      <c r="AI49" s="6">
        <v>5640</v>
      </c>
      <c r="AJ49" s="6">
        <v>1650</v>
      </c>
      <c r="AK49" s="6">
        <v>0</v>
      </c>
      <c r="AL49" s="6">
        <v>0</v>
      </c>
      <c r="AM49" s="6">
        <v>39200</v>
      </c>
      <c r="AN49" s="6">
        <v>46024</v>
      </c>
      <c r="AO49" s="6">
        <v>0</v>
      </c>
      <c r="AP49" s="6">
        <v>46024</v>
      </c>
    </row>
    <row r="50" spans="1:42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51188786</v>
      </c>
      <c r="K50" s="5" t="s">
        <v>72</v>
      </c>
      <c r="L50" s="5"/>
      <c r="M50" s="5"/>
      <c r="N50" s="5" t="s">
        <v>73</v>
      </c>
      <c r="O50" s="5" t="s">
        <v>22</v>
      </c>
      <c r="P50" s="5">
        <v>0.7</v>
      </c>
      <c r="Q50" s="5">
        <v>0.6</v>
      </c>
      <c r="R50" s="6" t="s">
        <v>57</v>
      </c>
      <c r="S50" s="6">
        <v>900</v>
      </c>
      <c r="T50" s="6">
        <v>20900</v>
      </c>
      <c r="U50" s="6">
        <v>4700</v>
      </c>
      <c r="V50" s="6">
        <v>0</v>
      </c>
      <c r="W50" s="6">
        <v>0</v>
      </c>
      <c r="X50" s="6">
        <v>0</v>
      </c>
      <c r="Y50" s="6">
        <v>2700</v>
      </c>
      <c r="Z50" s="6">
        <v>4300</v>
      </c>
      <c r="AA50" s="6">
        <v>0</v>
      </c>
      <c r="AB50" s="6">
        <v>0</v>
      </c>
      <c r="AC50" s="6">
        <v>9200</v>
      </c>
      <c r="AD50" s="6">
        <v>21870</v>
      </c>
      <c r="AE50" s="6">
        <v>4700</v>
      </c>
      <c r="AF50" s="6">
        <v>0</v>
      </c>
      <c r="AG50" s="6">
        <v>0</v>
      </c>
      <c r="AH50" s="6">
        <v>0</v>
      </c>
      <c r="AI50" s="6">
        <v>3240</v>
      </c>
      <c r="AJ50" s="6">
        <v>4730</v>
      </c>
      <c r="AK50" s="6">
        <v>0</v>
      </c>
      <c r="AL50" s="6">
        <v>0</v>
      </c>
      <c r="AM50" s="6">
        <v>9200</v>
      </c>
      <c r="AN50" s="6">
        <v>14512</v>
      </c>
      <c r="AO50" s="6">
        <v>0</v>
      </c>
      <c r="AP50" s="6">
        <v>14512</v>
      </c>
    </row>
    <row r="51" spans="1:42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51188786</v>
      </c>
      <c r="K51" s="5" t="s">
        <v>72</v>
      </c>
      <c r="L51" s="5"/>
      <c r="M51" s="5"/>
      <c r="N51" s="5" t="s">
        <v>73</v>
      </c>
      <c r="O51" s="5" t="s">
        <v>22</v>
      </c>
      <c r="P51" s="5">
        <v>0.7</v>
      </c>
      <c r="Q51" s="5">
        <v>0.6</v>
      </c>
      <c r="R51" s="6" t="s">
        <v>57</v>
      </c>
      <c r="S51" s="6">
        <v>1800</v>
      </c>
      <c r="T51" s="6">
        <v>12300</v>
      </c>
      <c r="U51" s="6">
        <v>5100</v>
      </c>
      <c r="V51" s="6">
        <v>0</v>
      </c>
      <c r="W51" s="6">
        <v>0</v>
      </c>
      <c r="X51" s="6">
        <v>0</v>
      </c>
      <c r="Y51" s="6">
        <v>0</v>
      </c>
      <c r="Z51" s="6">
        <v>5100</v>
      </c>
      <c r="AA51" s="6">
        <v>0</v>
      </c>
      <c r="AB51" s="6">
        <v>0</v>
      </c>
      <c r="AC51" s="6">
        <v>2100</v>
      </c>
      <c r="AD51" s="6">
        <v>12810</v>
      </c>
      <c r="AE51" s="6">
        <v>5100</v>
      </c>
      <c r="AF51" s="6">
        <v>0</v>
      </c>
      <c r="AG51" s="6">
        <v>0</v>
      </c>
      <c r="AH51" s="6">
        <v>0</v>
      </c>
      <c r="AI51" s="6">
        <v>0</v>
      </c>
      <c r="AJ51" s="6">
        <v>5610</v>
      </c>
      <c r="AK51" s="6">
        <v>0</v>
      </c>
      <c r="AL51" s="6">
        <v>0</v>
      </c>
      <c r="AM51" s="6">
        <v>2100</v>
      </c>
      <c r="AN51" s="6">
        <v>8406</v>
      </c>
      <c r="AO51" s="6">
        <v>0</v>
      </c>
      <c r="AP51" s="6">
        <v>8406</v>
      </c>
    </row>
    <row r="52" spans="1:42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51188786</v>
      </c>
      <c r="K52" s="5" t="s">
        <v>72</v>
      </c>
      <c r="L52" s="5"/>
      <c r="M52" s="5"/>
      <c r="N52" s="5" t="s">
        <v>73</v>
      </c>
      <c r="O52" s="5" t="s">
        <v>22</v>
      </c>
      <c r="P52" s="5">
        <v>0.7</v>
      </c>
      <c r="Q52" s="5">
        <v>0.6</v>
      </c>
      <c r="R52" s="6" t="s">
        <v>57</v>
      </c>
      <c r="S52" s="6">
        <v>3600</v>
      </c>
      <c r="T52" s="6">
        <v>20400</v>
      </c>
      <c r="U52" s="6">
        <v>13200</v>
      </c>
      <c r="V52" s="6">
        <v>0</v>
      </c>
      <c r="W52" s="6">
        <v>0</v>
      </c>
      <c r="X52" s="6">
        <v>0</v>
      </c>
      <c r="Y52" s="6">
        <v>0</v>
      </c>
      <c r="Z52" s="6">
        <v>7200</v>
      </c>
      <c r="AA52" s="6">
        <v>0</v>
      </c>
      <c r="AB52" s="6">
        <v>0</v>
      </c>
      <c r="AC52" s="6">
        <v>0</v>
      </c>
      <c r="AD52" s="6">
        <v>21120</v>
      </c>
      <c r="AE52" s="6">
        <v>13200</v>
      </c>
      <c r="AF52" s="6">
        <v>0</v>
      </c>
      <c r="AG52" s="6">
        <v>0</v>
      </c>
      <c r="AH52" s="6">
        <v>0</v>
      </c>
      <c r="AI52" s="6">
        <v>0</v>
      </c>
      <c r="AJ52" s="6">
        <v>7920</v>
      </c>
      <c r="AK52" s="6">
        <v>0</v>
      </c>
      <c r="AL52" s="6">
        <v>0</v>
      </c>
      <c r="AM52" s="6">
        <v>0</v>
      </c>
      <c r="AN52" s="6">
        <v>13992</v>
      </c>
      <c r="AO52" s="6">
        <v>0</v>
      </c>
      <c r="AP52" s="6">
        <v>13992</v>
      </c>
    </row>
    <row r="53" spans="1:42" x14ac:dyDescent="0.4">
      <c r="AP53" s="7">
        <f>SUM(AP2:AP52)</f>
        <v>2370152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전체(1)</vt:lpstr>
      <vt:lpstr>특별계약</vt:lpstr>
      <vt:lpstr>일반계약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2022-02-07T05:45:11Z</dcterms:modified>
</cp:coreProperties>
</file>