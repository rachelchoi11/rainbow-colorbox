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네이버\"/>
    </mc:Choice>
  </mc:AlternateContent>
  <bookViews>
    <workbookView xWindow="0" yWindow="0" windowWidth="23040" windowHeight="8952" tabRatio="716"/>
  </bookViews>
  <sheets>
    <sheet name="합계 (1)" sheetId="283" r:id="rId1"/>
    <sheet name="밀리의 서재" sheetId="284" r:id="rId2"/>
    <sheet name="에필로그" sheetId="285" r:id="rId3"/>
    <sheet name="더컴퍼니" sheetId="286" r:id="rId4"/>
    <sheet name="아크스튜디오" sheetId="287" r:id="rId5"/>
  </sheets>
  <definedNames>
    <definedName name="_xlnm._FilterDatabase" localSheetId="0" hidden="1">'합계 (1)'!$A$1:$AX$61</definedName>
    <definedName name="_xlnm.Extract" localSheetId="3">더컴퍼니!$A$1:$AW$1</definedName>
    <definedName name="_xlnm.Extract" localSheetId="1">'밀리의 서재'!$A$1:$AW$1</definedName>
    <definedName name="_xlnm.Extract" localSheetId="4">아크스튜디오!$A$1:$AW$1</definedName>
    <definedName name="_xlnm.Extract" localSheetId="2">에필로그!$A$1:$AW$1</definedName>
    <definedName name="_xlnm.Extract" localSheetId="0">'합계 (1)'!#REF!</definedName>
  </definedNames>
  <calcPr calcId="152511"/>
</workbook>
</file>

<file path=xl/calcChain.xml><?xml version="1.0" encoding="utf-8"?>
<calcChain xmlns="http://schemas.openxmlformats.org/spreadsheetml/2006/main">
  <c r="AW4" i="287" l="1"/>
  <c r="AW27" i="286"/>
  <c r="AW23" i="285"/>
  <c r="AW13" i="284"/>
  <c r="AV47" i="283" l="1"/>
  <c r="AW47" i="283" s="1"/>
  <c r="AV48" i="283"/>
  <c r="AW48" i="283" s="1"/>
  <c r="AV49" i="283"/>
  <c r="AW49" i="283" s="1"/>
  <c r="AV50" i="283"/>
  <c r="AW50" i="283" s="1"/>
  <c r="AV51" i="283"/>
  <c r="AW51" i="283" s="1"/>
  <c r="AV52" i="283"/>
  <c r="AW52" i="283" s="1"/>
  <c r="AV53" i="283"/>
  <c r="AW53" i="283" s="1"/>
  <c r="AV54" i="283"/>
  <c r="AW54" i="283" s="1"/>
  <c r="AV55" i="283"/>
  <c r="AW55" i="283" s="1"/>
  <c r="AV56" i="283"/>
  <c r="AW56" i="283" s="1"/>
  <c r="AV57" i="283"/>
  <c r="AW57" i="283" s="1"/>
  <c r="AV58" i="283"/>
  <c r="AW58" i="283" s="1"/>
  <c r="AV59" i="283"/>
  <c r="AW59" i="283" s="1"/>
  <c r="AV60" i="283"/>
  <c r="AW60" i="283" s="1"/>
  <c r="AV3" i="283" l="1"/>
  <c r="AV4" i="283"/>
  <c r="AV5" i="283"/>
  <c r="AV6" i="283"/>
  <c r="AV7" i="283"/>
  <c r="AV8" i="283"/>
  <c r="AV9" i="283"/>
  <c r="AV10" i="283"/>
  <c r="AV11" i="283"/>
  <c r="AV12" i="283"/>
  <c r="AV13" i="283"/>
  <c r="AV14" i="283"/>
  <c r="AV15" i="283"/>
  <c r="AV16" i="283"/>
  <c r="AV17" i="283"/>
  <c r="AV18" i="283"/>
  <c r="AV19" i="283"/>
  <c r="AV20" i="283"/>
  <c r="AV21" i="283"/>
  <c r="AV22" i="283"/>
  <c r="AV23" i="283"/>
  <c r="AV24" i="283"/>
  <c r="AV25" i="283"/>
  <c r="AV26" i="283"/>
  <c r="AV27" i="283"/>
  <c r="AV28" i="283"/>
  <c r="AV29" i="283"/>
  <c r="AV30" i="283"/>
  <c r="AV31" i="283"/>
  <c r="AV32" i="283"/>
  <c r="AV33" i="283"/>
  <c r="AV34" i="283"/>
  <c r="AV35" i="283"/>
  <c r="AV36" i="283"/>
  <c r="AV37" i="283"/>
  <c r="AV38" i="283"/>
  <c r="AV39" i="283"/>
  <c r="AV40" i="283"/>
  <c r="AV41" i="283"/>
  <c r="AV42" i="283"/>
  <c r="AV43" i="283"/>
  <c r="AV44" i="283"/>
  <c r="AV45" i="283"/>
  <c r="AV46" i="283"/>
  <c r="AV2" i="283"/>
  <c r="AW3" i="283" l="1"/>
  <c r="AW4" i="283"/>
  <c r="AW5" i="283"/>
  <c r="AW6" i="283"/>
  <c r="AW7" i="283"/>
  <c r="AW8" i="283"/>
  <c r="AW9" i="283"/>
  <c r="AW10" i="283"/>
  <c r="AW11" i="283"/>
  <c r="AW12" i="283"/>
  <c r="AW13" i="283"/>
  <c r="AW14" i="283"/>
  <c r="AW15" i="283"/>
  <c r="AW16" i="283"/>
  <c r="AW17" i="283"/>
  <c r="AW18" i="283"/>
  <c r="AW19" i="283"/>
  <c r="AW20" i="283"/>
  <c r="AW21" i="283"/>
  <c r="AW22" i="283"/>
  <c r="AW23" i="283"/>
  <c r="AW24" i="283"/>
  <c r="AW25" i="283"/>
  <c r="AW26" i="283"/>
  <c r="AW27" i="283"/>
  <c r="AW28" i="283"/>
  <c r="AW29" i="283"/>
  <c r="AW30" i="283"/>
  <c r="AW31" i="283"/>
  <c r="AW32" i="283"/>
  <c r="AW33" i="283"/>
  <c r="AW34" i="283"/>
  <c r="AW35" i="283"/>
  <c r="AW36" i="283"/>
  <c r="AW37" i="283"/>
  <c r="AW38" i="283"/>
  <c r="AW39" i="283"/>
  <c r="AW40" i="283"/>
  <c r="AW41" i="283"/>
  <c r="AW42" i="283"/>
  <c r="AW43" i="283"/>
  <c r="AW44" i="283"/>
  <c r="AW45" i="283"/>
  <c r="AW46" i="283"/>
  <c r="AW2" i="283" l="1"/>
  <c r="AW61" i="283" s="1"/>
</calcChain>
</file>

<file path=xl/sharedStrings.xml><?xml version="1.0" encoding="utf-8"?>
<sst xmlns="http://schemas.openxmlformats.org/spreadsheetml/2006/main" count="1071" uniqueCount="126">
  <si>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</si>
  <si>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</si>
  <si>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</si>
  <si>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</si>
  <si>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</si>
  <si>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</si>
  <si>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</si>
  <si>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</si>
  <si>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</si>
  <si>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</si>
  <si>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</si>
  <si>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</si>
  <si>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</si>
  <si>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</si>
  <si>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</si>
  <si>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</si>
  <si>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</si>
  <si>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</si>
  <si>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</si>
  <si>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</si>
  <si>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</si>
  <si>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</si>
  <si>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</si>
  <si>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</si>
  <si>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</si>
  <si>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</si>
  <si>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스토리위즈_2</t>
  </si>
  <si>
    <t>협행마</t>
  </si>
  <si>
    <t>용가리맛쿠키</t>
  </si>
  <si>
    <t>19세 이상 이용가능</t>
  </si>
  <si>
    <t>2020.04.09</t>
  </si>
  <si>
    <t>대공의 아내 [단행본]</t>
  </si>
  <si>
    <t>문시티</t>
  </si>
  <si>
    <t>2020.01.16</t>
  </si>
  <si>
    <t>더티독 외전 [BL][단행본]</t>
  </si>
  <si>
    <t>최재봉</t>
  </si>
  <si>
    <t>2020.05.18</t>
  </si>
  <si>
    <t>남창목가 [단행본]</t>
  </si>
  <si>
    <t>진태이</t>
  </si>
  <si>
    <t>강호, 미치다</t>
  </si>
  <si>
    <t>2019.09.18</t>
  </si>
  <si>
    <t>에필로그</t>
  </si>
  <si>
    <t>사냥꾼은 마왕이 되기 싫다 [독점]</t>
  </si>
  <si>
    <t>강명운</t>
  </si>
  <si>
    <t>이세계 최강 군바리</t>
  </si>
  <si>
    <t>2019.07.31</t>
  </si>
  <si>
    <t>바보가 만드는 멋진 세상 [개정판][단행본]</t>
  </si>
  <si>
    <t>2021.09.14</t>
  </si>
  <si>
    <t>계략적 관계 [독점]</t>
  </si>
  <si>
    <t>2021.10.13</t>
  </si>
  <si>
    <t>악당의 리턴! [단행본]</t>
  </si>
  <si>
    <t>2019.11.26</t>
  </si>
  <si>
    <t>2021.08.13</t>
  </si>
  <si>
    <t>백범(白帆)</t>
  </si>
  <si>
    <t>진짜 사나이 [단행본]</t>
  </si>
  <si>
    <t>2021.12.15</t>
  </si>
  <si>
    <t>더티독 [BL][단행본]</t>
  </si>
  <si>
    <t>불건전한 수컷 [단행본]</t>
  </si>
  <si>
    <t>sJessi</t>
  </si>
  <si>
    <t>2020.10.31</t>
  </si>
  <si>
    <t>로맨스는 아닙니다 [BL][단행본]</t>
  </si>
  <si>
    <t>해양정원</t>
  </si>
  <si>
    <t>2021.04.29</t>
  </si>
  <si>
    <t>헌터 킹 [단행본]</t>
  </si>
  <si>
    <t>2021.12.10</t>
  </si>
  <si>
    <t>기획에 산다 [단행본]</t>
  </si>
  <si>
    <t>진짜 사나이</t>
  </si>
  <si>
    <t>기획에 산다</t>
  </si>
  <si>
    <t>2022.01.03</t>
  </si>
  <si>
    <t>끝도 없이 젖어드는 [단행본]</t>
  </si>
  <si>
    <t>이서윤</t>
  </si>
  <si>
    <t>2019.05.10</t>
  </si>
  <si>
    <t>로맨스는 아닙니다 외전 [BL][단행본]</t>
  </si>
  <si>
    <t>너만 보면 두근두근 [단행본]</t>
  </si>
  <si>
    <t>정경하</t>
  </si>
  <si>
    <t>2022.01.14</t>
  </si>
  <si>
    <t>설국연가 [단행본]</t>
  </si>
  <si>
    <t>마뇽</t>
  </si>
  <si>
    <t>2022.01.17</t>
  </si>
  <si>
    <t>분홍의 작약 [단행본]</t>
  </si>
  <si>
    <t>송여희</t>
  </si>
  <si>
    <t>2022.01.12</t>
  </si>
  <si>
    <t>모닝콜(Morning Call) [단행본]</t>
  </si>
  <si>
    <t>하이지</t>
  </si>
  <si>
    <t>2022.01.19</t>
  </si>
  <si>
    <t>붉은 정자-살라댕 [단행본]</t>
  </si>
  <si>
    <t>라벤더블루</t>
  </si>
  <si>
    <t>2022.01.10</t>
  </si>
  <si>
    <t>더 캡틴 [단행본]</t>
  </si>
  <si>
    <t>2022.01.21</t>
  </si>
  <si>
    <t>모어 댄 블루 (More than BLUE) [BL] [단행본]</t>
  </si>
  <si>
    <t>나나코</t>
  </si>
  <si>
    <t>2018.07.02</t>
  </si>
  <si>
    <t>집착의 맛</t>
  </si>
  <si>
    <t>2021.12.31</t>
  </si>
  <si>
    <t>더 캡틴</t>
  </si>
  <si>
    <t>N스토어(PC)</t>
    <phoneticPr fontId="20" type="noConversion"/>
  </si>
  <si>
    <t>위사무적 [단행본]</t>
  </si>
  <si>
    <t>2020.09.11</t>
  </si>
  <si>
    <t>불시착한 우주 [BL]</t>
  </si>
  <si>
    <t>2021.08.24</t>
  </si>
  <si>
    <t>더티독 [BL]</t>
  </si>
  <si>
    <t>2020.04.13</t>
  </si>
  <si>
    <t>PC뷰어(PC)</t>
    <phoneticPr fontId="20" type="noConversion"/>
  </si>
  <si>
    <t>반하는 세계 [BL][단행본]</t>
  </si>
  <si>
    <t>2019.08.01</t>
  </si>
  <si>
    <t>나는 내 연인의 것 [BL][단행본]</t>
  </si>
  <si>
    <t>SISSI</t>
  </si>
  <si>
    <t>2021.02.01</t>
  </si>
  <si>
    <t>그 순간, 별이 빛났다 [BL][단행본]</t>
  </si>
  <si>
    <t>성실</t>
  </si>
  <si>
    <t>2021.08.16</t>
  </si>
  <si>
    <t>낯선 소꿉친구 [BL][단행본]</t>
  </si>
  <si>
    <t>사나림</t>
  </si>
  <si>
    <t>사계(Four Season) [BL][단행본]</t>
  </si>
  <si>
    <t>2020.05.13</t>
  </si>
  <si>
    <t>신사동 그 사람 [BL][단행본]</t>
  </si>
  <si>
    <t>2021.04.17</t>
  </si>
  <si>
    <t>나는 내 연인의 것 외전 [BL][단행본]</t>
  </si>
  <si>
    <t>세이브 미(Save Me) [단행본]</t>
  </si>
  <si>
    <t>우유양</t>
  </si>
  <si>
    <t>2022.01.26</t>
  </si>
  <si>
    <t>N스토어(MW)</t>
    <phoneticPr fontId="20" type="noConversion"/>
  </si>
  <si>
    <t>밀리의 서재</t>
  </si>
  <si>
    <t>더컴퍼니</t>
  </si>
  <si>
    <t>아크스튜디오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</si>
</sst>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" fontId="0" fillId="0" borderId="0" xfId="0" applyNumberFormat="1">
      <alignment vertical="center"/>
    </xf>
    <xf numFmtId="4" fontId="18" fillId="0" borderId="0" xfId="0" applyNumberFormat="1" applyFont="1" applyAlignment="1">
      <alignment vertical="center" wrapText="1"/>
    </xf>
    <xf numFmtId="41" fontId="0" fillId="35" borderId="0" xfId="42" applyFont="1" applyFill="1">
      <alignment vertical="center"/>
    </xf>
    <xf numFmtId="41" fontId="0" fillId="34" borderId="0" xfId="42" applyFont="1" applyFill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62"/>
  <sheetViews>
    <sheetView tabSelected="1" zoomScale="85" zoomScaleNormal="85" workbookViewId="0">
      <selection activeCell="F15" sqref="F15"/>
    </sheetView>
  </sheetViews>
  <sheetFormatPr defaultRowHeight="17.399999999999999" x14ac:dyDescent="0.4"/>
  <cols>
    <col min="1" max="1" width="12.2968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0" customWidth="1"/>
    <col min="9" max="9" width="13.59765625" customWidth="1"/>
    <col min="10" max="10" width="7.3984375" customWidth="1"/>
    <col min="11" max="11" width="4.296875" customWidth="1"/>
    <col min="12" max="12" width="4.796875" customWidth="1"/>
    <col min="13" max="13" width="7.19921875" customWidth="1"/>
    <col min="14" max="14" width="6.69921875" customWidth="1"/>
    <col min="15" max="15" width="6" customWidth="1"/>
    <col min="16" max="17" width="6.296875" customWidth="1"/>
    <col min="18" max="18" width="5" customWidth="1"/>
    <col min="19" max="19" width="4.796875" customWidth="1"/>
    <col min="20" max="20" width="7.19921875" customWidth="1"/>
    <col min="21" max="21" width="6.69921875" customWidth="1"/>
    <col min="22" max="22" width="6" customWidth="1"/>
    <col min="23" max="24" width="6.296875" customWidth="1"/>
    <col min="25" max="25" width="3.59765625" customWidth="1"/>
    <col min="26" max="26" width="5" customWidth="1"/>
    <col min="27" max="28" width="3.59765625" customWidth="1"/>
    <col min="29" max="29" width="5" customWidth="1"/>
    <col min="30" max="30" width="4.296875" customWidth="1"/>
    <col min="31" max="36" width="3.59765625" customWidth="1"/>
    <col min="37" max="37" width="7.8984375" customWidth="1"/>
    <col min="38" max="39" width="12.8984375" bestFit="1" customWidth="1"/>
    <col min="40" max="40" width="12.296875" bestFit="1" customWidth="1"/>
    <col min="47" max="48" width="12.796875" bestFit="1" customWidth="1"/>
    <col min="49" max="49" width="13.5" bestFit="1" customWidth="1"/>
  </cols>
  <sheetData>
    <row r="1" spans="1:49" ht="25.8" customHeight="1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19.2" x14ac:dyDescent="0.4">
      <c r="A2" s="1" t="s">
        <v>96</v>
      </c>
      <c r="B2" s="4" t="s">
        <v>73</v>
      </c>
      <c r="C2" s="4">
        <v>457533</v>
      </c>
      <c r="D2" s="5"/>
      <c r="E2" s="4" t="s">
        <v>26</v>
      </c>
      <c r="F2" s="4" t="s">
        <v>74</v>
      </c>
      <c r="G2" s="4" t="s">
        <v>123</v>
      </c>
      <c r="H2" s="6" t="s">
        <v>29</v>
      </c>
      <c r="I2" s="6" t="s">
        <v>75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17</v>
      </c>
      <c r="AF2" s="7">
        <v>32400</v>
      </c>
      <c r="AG2" s="7">
        <v>7800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7">
        <v>2500</v>
      </c>
      <c r="AN2" s="6">
        <v>0</v>
      </c>
      <c r="AO2" s="6">
        <v>0</v>
      </c>
      <c r="AP2" s="6">
        <v>0</v>
      </c>
      <c r="AQ2" s="6">
        <v>0</v>
      </c>
      <c r="AR2" s="6">
        <v>4</v>
      </c>
      <c r="AS2" s="7">
        <v>9800</v>
      </c>
      <c r="AT2" s="6">
        <v>0</v>
      </c>
      <c r="AU2" s="8">
        <v>52500</v>
      </c>
      <c r="AV2" s="12">
        <f>AU2-AN2</f>
        <v>52500</v>
      </c>
      <c r="AW2">
        <f>AV2*70%</f>
        <v>36750</v>
      </c>
    </row>
    <row r="3" spans="1:49" ht="19.2" x14ac:dyDescent="0.4">
      <c r="A3" s="1" t="s">
        <v>96</v>
      </c>
      <c r="B3" s="4" t="s">
        <v>76</v>
      </c>
      <c r="C3" s="4">
        <v>457534</v>
      </c>
      <c r="D3" s="5"/>
      <c r="E3" s="4" t="s">
        <v>26</v>
      </c>
      <c r="F3" s="4" t="s">
        <v>77</v>
      </c>
      <c r="G3" s="4" t="s">
        <v>123</v>
      </c>
      <c r="H3" s="6" t="s">
        <v>29</v>
      </c>
      <c r="I3" s="6" t="s">
        <v>78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17</v>
      </c>
      <c r="AF3" s="7">
        <v>32000</v>
      </c>
      <c r="AG3" s="6">
        <v>300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2</v>
      </c>
      <c r="AS3" s="7">
        <v>1700</v>
      </c>
      <c r="AT3" s="7">
        <v>2000</v>
      </c>
      <c r="AU3" s="8">
        <v>36000</v>
      </c>
      <c r="AV3" s="12">
        <f t="shared" ref="AV3:AV46" si="0">AU3-AN3</f>
        <v>36000</v>
      </c>
      <c r="AW3">
        <f t="shared" ref="AW3:AW46" si="1">AV3*70%</f>
        <v>25200</v>
      </c>
    </row>
    <row r="4" spans="1:49" ht="19.2" x14ac:dyDescent="0.4">
      <c r="A4" s="1" t="s">
        <v>96</v>
      </c>
      <c r="B4" s="4" t="s">
        <v>79</v>
      </c>
      <c r="C4" s="4">
        <v>457239</v>
      </c>
      <c r="D4" s="5"/>
      <c r="E4" s="4" t="s">
        <v>26</v>
      </c>
      <c r="F4" s="4" t="s">
        <v>80</v>
      </c>
      <c r="G4" s="4" t="s">
        <v>123</v>
      </c>
      <c r="H4" s="6" t="s">
        <v>29</v>
      </c>
      <c r="I4" s="6" t="s">
        <v>81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4</v>
      </c>
      <c r="AF4" s="7">
        <v>8000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1</v>
      </c>
      <c r="AS4" s="7">
        <v>2000</v>
      </c>
      <c r="AT4" s="6">
        <v>0</v>
      </c>
      <c r="AU4" s="8">
        <v>10000</v>
      </c>
      <c r="AV4" s="12">
        <f t="shared" si="0"/>
        <v>10000</v>
      </c>
      <c r="AW4">
        <f t="shared" si="1"/>
        <v>7000</v>
      </c>
    </row>
    <row r="5" spans="1:49" ht="19.2" x14ac:dyDescent="0.4">
      <c r="A5" s="1" t="s">
        <v>96</v>
      </c>
      <c r="B5" s="4" t="s">
        <v>82</v>
      </c>
      <c r="C5" s="4">
        <v>457673</v>
      </c>
      <c r="D5" s="5"/>
      <c r="E5" s="4" t="s">
        <v>26</v>
      </c>
      <c r="F5" s="4" t="s">
        <v>83</v>
      </c>
      <c r="G5" s="4" t="s">
        <v>123</v>
      </c>
      <c r="H5" s="6" t="s">
        <v>29</v>
      </c>
      <c r="I5" s="6" t="s">
        <v>84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4</v>
      </c>
      <c r="AF5" s="7">
        <v>7800</v>
      </c>
      <c r="AG5" s="6">
        <v>200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1</v>
      </c>
      <c r="AS5" s="7">
        <v>2000</v>
      </c>
      <c r="AT5" s="6">
        <v>0</v>
      </c>
      <c r="AU5" s="8">
        <v>10000</v>
      </c>
      <c r="AV5" s="12">
        <f t="shared" si="0"/>
        <v>10000</v>
      </c>
      <c r="AW5">
        <f t="shared" si="1"/>
        <v>7000</v>
      </c>
    </row>
    <row r="6" spans="1:49" ht="19.2" x14ac:dyDescent="0.4">
      <c r="A6" s="1" t="s">
        <v>96</v>
      </c>
      <c r="B6" s="4" t="s">
        <v>85</v>
      </c>
      <c r="C6" s="4">
        <v>457068</v>
      </c>
      <c r="D6" s="5"/>
      <c r="E6" s="4" t="s">
        <v>26</v>
      </c>
      <c r="F6" s="4" t="s">
        <v>86</v>
      </c>
      <c r="G6" s="4" t="s">
        <v>123</v>
      </c>
      <c r="H6" s="6" t="s">
        <v>29</v>
      </c>
      <c r="I6" s="6" t="s">
        <v>87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3</v>
      </c>
      <c r="AF6" s="7">
        <v>7500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8">
        <v>7500</v>
      </c>
      <c r="AV6" s="12">
        <f t="shared" si="0"/>
        <v>7500</v>
      </c>
      <c r="AW6">
        <f t="shared" si="1"/>
        <v>5250</v>
      </c>
    </row>
    <row r="7" spans="1:49" x14ac:dyDescent="0.4">
      <c r="A7" s="1" t="s">
        <v>96</v>
      </c>
      <c r="B7" s="4" t="s">
        <v>63</v>
      </c>
      <c r="C7" s="4">
        <v>454228</v>
      </c>
      <c r="D7" s="5"/>
      <c r="E7" s="4" t="s">
        <v>26</v>
      </c>
      <c r="F7" s="4" t="s">
        <v>53</v>
      </c>
      <c r="G7" s="4" t="s">
        <v>41</v>
      </c>
      <c r="H7" s="6" t="s">
        <v>8</v>
      </c>
      <c r="I7" s="6" t="s">
        <v>64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5</v>
      </c>
      <c r="AC7" s="7">
        <v>4500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1</v>
      </c>
      <c r="AP7" s="6">
        <v>900</v>
      </c>
      <c r="AQ7" s="6">
        <v>0</v>
      </c>
      <c r="AR7" s="6">
        <v>0</v>
      </c>
      <c r="AS7" s="6">
        <v>0</v>
      </c>
      <c r="AT7" s="6">
        <v>0</v>
      </c>
      <c r="AU7" s="8">
        <v>5400</v>
      </c>
      <c r="AV7" s="12">
        <f t="shared" si="0"/>
        <v>5400</v>
      </c>
      <c r="AW7">
        <f t="shared" si="1"/>
        <v>3779.9999999999995</v>
      </c>
    </row>
    <row r="8" spans="1:49" x14ac:dyDescent="0.4">
      <c r="A8" s="1" t="s">
        <v>96</v>
      </c>
      <c r="B8" s="4" t="s">
        <v>88</v>
      </c>
      <c r="C8" s="4">
        <v>455900</v>
      </c>
      <c r="D8" s="5"/>
      <c r="E8" s="4" t="s">
        <v>26</v>
      </c>
      <c r="F8" s="4" t="s">
        <v>53</v>
      </c>
      <c r="G8" s="4" t="s">
        <v>41</v>
      </c>
      <c r="H8" s="6" t="s">
        <v>8</v>
      </c>
      <c r="I8" s="6" t="s">
        <v>89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6">
        <v>700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2</v>
      </c>
      <c r="AS8" s="7">
        <v>3300</v>
      </c>
      <c r="AT8" s="6">
        <v>0</v>
      </c>
      <c r="AU8" s="8">
        <v>4000</v>
      </c>
      <c r="AV8" s="12">
        <f t="shared" si="0"/>
        <v>4000</v>
      </c>
      <c r="AW8">
        <f t="shared" si="1"/>
        <v>2800</v>
      </c>
    </row>
    <row r="9" spans="1:49" x14ac:dyDescent="0.4">
      <c r="A9" s="1" t="s">
        <v>96</v>
      </c>
      <c r="B9" s="4" t="s">
        <v>65</v>
      </c>
      <c r="C9" s="4">
        <v>451972</v>
      </c>
      <c r="D9" s="5"/>
      <c r="E9" s="4" t="s">
        <v>26</v>
      </c>
      <c r="F9" s="4" t="s">
        <v>53</v>
      </c>
      <c r="G9" s="4" t="s">
        <v>41</v>
      </c>
      <c r="H9" s="6" t="s">
        <v>8</v>
      </c>
      <c r="I9" s="6" t="s">
        <v>55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4</v>
      </c>
      <c r="AC9" s="7">
        <v>3600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8">
        <v>3600</v>
      </c>
      <c r="AV9" s="12">
        <f t="shared" si="0"/>
        <v>3600</v>
      </c>
      <c r="AW9">
        <f t="shared" si="1"/>
        <v>2520</v>
      </c>
    </row>
    <row r="10" spans="1:49" ht="19.2" x14ac:dyDescent="0.4">
      <c r="A10" s="1" t="s">
        <v>96</v>
      </c>
      <c r="B10" s="4" t="s">
        <v>54</v>
      </c>
      <c r="C10" s="4">
        <v>453445</v>
      </c>
      <c r="D10" s="5"/>
      <c r="E10" s="4" t="s">
        <v>26</v>
      </c>
      <c r="F10" s="4" t="s">
        <v>53</v>
      </c>
      <c r="G10" s="4" t="s">
        <v>41</v>
      </c>
      <c r="H10" s="6" t="s">
        <v>9</v>
      </c>
      <c r="I10" s="6" t="s">
        <v>55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2</v>
      </c>
      <c r="AC10" s="7">
        <v>1800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2</v>
      </c>
      <c r="AP10" s="7">
        <v>1800</v>
      </c>
      <c r="AQ10" s="6">
        <v>0</v>
      </c>
      <c r="AR10" s="6">
        <v>0</v>
      </c>
      <c r="AS10" s="6">
        <v>0</v>
      </c>
      <c r="AT10" s="6">
        <v>0</v>
      </c>
      <c r="AU10" s="8">
        <v>3600</v>
      </c>
      <c r="AV10" s="12">
        <f t="shared" si="0"/>
        <v>3600</v>
      </c>
      <c r="AW10">
        <f t="shared" si="1"/>
        <v>2520</v>
      </c>
    </row>
    <row r="11" spans="1:49" ht="19.2" x14ac:dyDescent="0.4">
      <c r="A11" s="1" t="s">
        <v>96</v>
      </c>
      <c r="B11" s="4" t="s">
        <v>56</v>
      </c>
      <c r="C11" s="4">
        <v>395231</v>
      </c>
      <c r="D11" s="5"/>
      <c r="E11" s="4" t="s">
        <v>26</v>
      </c>
      <c r="F11" s="4" t="s">
        <v>28</v>
      </c>
      <c r="G11" s="4" t="s">
        <v>124</v>
      </c>
      <c r="H11" s="6" t="s">
        <v>29</v>
      </c>
      <c r="I11" s="6" t="s">
        <v>30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1</v>
      </c>
      <c r="AF11" s="7">
        <v>3500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8">
        <v>3500</v>
      </c>
      <c r="AV11" s="12">
        <f t="shared" si="0"/>
        <v>3500</v>
      </c>
      <c r="AW11">
        <f t="shared" si="1"/>
        <v>2450</v>
      </c>
    </row>
    <row r="12" spans="1:49" ht="19.2" x14ac:dyDescent="0.4">
      <c r="A12" s="1" t="s">
        <v>96</v>
      </c>
      <c r="B12" s="4" t="s">
        <v>57</v>
      </c>
      <c r="C12" s="4">
        <v>414543</v>
      </c>
      <c r="D12" s="5"/>
      <c r="E12" s="4" t="s">
        <v>26</v>
      </c>
      <c r="F12" s="4" t="s">
        <v>58</v>
      </c>
      <c r="G12" s="4" t="s">
        <v>124</v>
      </c>
      <c r="H12" s="6" t="s">
        <v>29</v>
      </c>
      <c r="I12" s="6" t="s">
        <v>59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1</v>
      </c>
      <c r="AF12" s="7">
        <v>3400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8">
        <v>3400</v>
      </c>
      <c r="AV12" s="12">
        <f t="shared" si="0"/>
        <v>3400</v>
      </c>
      <c r="AW12">
        <f t="shared" si="1"/>
        <v>2380</v>
      </c>
    </row>
    <row r="13" spans="1:49" ht="19.2" x14ac:dyDescent="0.4">
      <c r="A13" s="1" t="s">
        <v>96</v>
      </c>
      <c r="B13" s="4" t="s">
        <v>69</v>
      </c>
      <c r="C13" s="4">
        <v>361632</v>
      </c>
      <c r="D13" s="5"/>
      <c r="E13" s="4" t="s">
        <v>26</v>
      </c>
      <c r="F13" s="4" t="s">
        <v>70</v>
      </c>
      <c r="G13" s="4" t="s">
        <v>124</v>
      </c>
      <c r="H13" s="6" t="s">
        <v>29</v>
      </c>
      <c r="I13" s="6" t="s">
        <v>71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1</v>
      </c>
      <c r="AF13" s="7">
        <v>3200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8">
        <v>3200</v>
      </c>
      <c r="AV13" s="12">
        <f t="shared" si="0"/>
        <v>3200</v>
      </c>
      <c r="AW13">
        <f t="shared" si="1"/>
        <v>2240</v>
      </c>
    </row>
    <row r="14" spans="1:49" ht="19.2" x14ac:dyDescent="0.4">
      <c r="A14" s="1" t="s">
        <v>96</v>
      </c>
      <c r="B14" s="4" t="s">
        <v>31</v>
      </c>
      <c r="C14" s="4">
        <v>387161</v>
      </c>
      <c r="D14" s="5"/>
      <c r="E14" s="4" t="s">
        <v>26</v>
      </c>
      <c r="F14" s="4" t="s">
        <v>32</v>
      </c>
      <c r="G14" s="4" t="s">
        <v>124</v>
      </c>
      <c r="H14" s="6" t="s">
        <v>29</v>
      </c>
      <c r="I14" s="6" t="s">
        <v>33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1</v>
      </c>
      <c r="AF14" s="7">
        <v>3200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8">
        <v>3200</v>
      </c>
      <c r="AV14" s="12">
        <f t="shared" si="0"/>
        <v>3200</v>
      </c>
      <c r="AW14">
        <f t="shared" si="1"/>
        <v>2240</v>
      </c>
    </row>
    <row r="15" spans="1:49" ht="19.2" x14ac:dyDescent="0.4">
      <c r="A15" s="1" t="s">
        <v>96</v>
      </c>
      <c r="B15" s="4" t="s">
        <v>90</v>
      </c>
      <c r="C15" s="4">
        <v>316013</v>
      </c>
      <c r="D15" s="5"/>
      <c r="E15" s="4" t="s">
        <v>26</v>
      </c>
      <c r="F15" s="4" t="s">
        <v>91</v>
      </c>
      <c r="G15" s="4" t="s">
        <v>124</v>
      </c>
      <c r="H15" s="6" t="s">
        <v>29</v>
      </c>
      <c r="I15" s="6" t="s">
        <v>92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1</v>
      </c>
      <c r="AF15" s="7">
        <v>3200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8">
        <v>3200</v>
      </c>
      <c r="AV15" s="12">
        <f t="shared" si="0"/>
        <v>3200</v>
      </c>
      <c r="AW15">
        <f t="shared" si="1"/>
        <v>2240</v>
      </c>
    </row>
    <row r="16" spans="1:49" ht="19.2" x14ac:dyDescent="0.4">
      <c r="A16" s="1" t="s">
        <v>96</v>
      </c>
      <c r="B16" s="4" t="s">
        <v>93</v>
      </c>
      <c r="C16" s="4">
        <v>456187</v>
      </c>
      <c r="D16" s="5"/>
      <c r="E16" s="4" t="s">
        <v>26</v>
      </c>
      <c r="F16" s="4" t="s">
        <v>58</v>
      </c>
      <c r="G16" s="4" t="s">
        <v>124</v>
      </c>
      <c r="H16" s="6" t="s">
        <v>9</v>
      </c>
      <c r="I16" s="6" t="s">
        <v>94</v>
      </c>
      <c r="J16" s="6">
        <v>2</v>
      </c>
      <c r="K16" s="6">
        <v>0</v>
      </c>
      <c r="L16" s="6">
        <v>200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17</v>
      </c>
      <c r="AF16" s="7">
        <v>1700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8">
        <v>1900</v>
      </c>
      <c r="AV16" s="12">
        <f t="shared" si="0"/>
        <v>1900</v>
      </c>
      <c r="AW16">
        <f t="shared" si="1"/>
        <v>1330</v>
      </c>
    </row>
    <row r="17" spans="1:49" ht="19.2" x14ac:dyDescent="0.4">
      <c r="A17" s="1" t="s">
        <v>96</v>
      </c>
      <c r="B17" s="4" t="s">
        <v>46</v>
      </c>
      <c r="C17" s="4">
        <v>445576</v>
      </c>
      <c r="D17" s="5"/>
      <c r="E17" s="4" t="s">
        <v>26</v>
      </c>
      <c r="F17" s="4" t="s">
        <v>53</v>
      </c>
      <c r="G17" s="4" t="s">
        <v>41</v>
      </c>
      <c r="H17" s="6" t="s">
        <v>8</v>
      </c>
      <c r="I17" s="6" t="s">
        <v>47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1</v>
      </c>
      <c r="AC17" s="6">
        <v>900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9">
        <v>900</v>
      </c>
      <c r="AV17" s="12">
        <f t="shared" si="0"/>
        <v>900</v>
      </c>
      <c r="AW17">
        <f t="shared" si="1"/>
        <v>630</v>
      </c>
    </row>
    <row r="18" spans="1:49" ht="19.2" x14ac:dyDescent="0.4">
      <c r="A18" s="1" t="s">
        <v>96</v>
      </c>
      <c r="B18" s="4" t="s">
        <v>66</v>
      </c>
      <c r="C18" s="4">
        <v>453397</v>
      </c>
      <c r="D18" s="5"/>
      <c r="E18" s="4" t="s">
        <v>26</v>
      </c>
      <c r="F18" s="4" t="s">
        <v>53</v>
      </c>
      <c r="G18" s="4" t="s">
        <v>41</v>
      </c>
      <c r="H18" s="6" t="s">
        <v>9</v>
      </c>
      <c r="I18" s="6" t="s">
        <v>55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4</v>
      </c>
      <c r="AF18" s="6">
        <v>200</v>
      </c>
      <c r="AG18" s="6">
        <v>200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9">
        <v>400</v>
      </c>
      <c r="AV18" s="12">
        <f t="shared" si="0"/>
        <v>400</v>
      </c>
      <c r="AW18">
        <f t="shared" si="1"/>
        <v>280</v>
      </c>
    </row>
    <row r="19" spans="1:49" ht="19.2" x14ac:dyDescent="0.4">
      <c r="A19" s="1" t="s">
        <v>96</v>
      </c>
      <c r="B19" s="4" t="s">
        <v>48</v>
      </c>
      <c r="C19" s="4">
        <v>448030</v>
      </c>
      <c r="D19" s="5"/>
      <c r="E19" s="4" t="s">
        <v>26</v>
      </c>
      <c r="F19" s="4" t="s">
        <v>38</v>
      </c>
      <c r="G19" s="4" t="s">
        <v>124</v>
      </c>
      <c r="H19" s="6" t="s">
        <v>9</v>
      </c>
      <c r="I19" s="6" t="s">
        <v>49</v>
      </c>
      <c r="J19" s="6">
        <v>0</v>
      </c>
      <c r="K19" s="6">
        <v>59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1</v>
      </c>
      <c r="AF19" s="6">
        <v>0</v>
      </c>
      <c r="AG19" s="6">
        <v>100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9">
        <v>100</v>
      </c>
      <c r="AV19" s="12">
        <f t="shared" si="0"/>
        <v>100</v>
      </c>
      <c r="AW19">
        <f t="shared" si="1"/>
        <v>70</v>
      </c>
    </row>
    <row r="20" spans="1:49" x14ac:dyDescent="0.4">
      <c r="A20" s="1" t="s">
        <v>96</v>
      </c>
      <c r="B20" s="4" t="s">
        <v>39</v>
      </c>
      <c r="C20" s="4">
        <v>367415</v>
      </c>
      <c r="D20" s="5"/>
      <c r="E20" s="4" t="s">
        <v>26</v>
      </c>
      <c r="F20" s="4" t="s">
        <v>35</v>
      </c>
      <c r="G20" s="4" t="s">
        <v>41</v>
      </c>
      <c r="H20" s="6" t="s">
        <v>8</v>
      </c>
      <c r="I20" s="6" t="s">
        <v>40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1</v>
      </c>
      <c r="AF20" s="6">
        <v>100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100</v>
      </c>
      <c r="AV20" s="12">
        <f t="shared" si="0"/>
        <v>100</v>
      </c>
      <c r="AW20">
        <f t="shared" si="1"/>
        <v>70</v>
      </c>
    </row>
    <row r="21" spans="1:49" x14ac:dyDescent="0.4">
      <c r="A21" s="1" t="s">
        <v>96</v>
      </c>
      <c r="B21" s="4" t="s">
        <v>95</v>
      </c>
      <c r="C21" s="4">
        <v>455896</v>
      </c>
      <c r="D21" s="5"/>
      <c r="E21" s="4" t="s">
        <v>26</v>
      </c>
      <c r="F21" s="4" t="s">
        <v>53</v>
      </c>
      <c r="G21" s="4" t="s">
        <v>41</v>
      </c>
      <c r="H21" s="6" t="s">
        <v>8</v>
      </c>
      <c r="I21" s="6" t="s">
        <v>89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1</v>
      </c>
      <c r="AF21" s="6">
        <v>100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100</v>
      </c>
      <c r="AV21" s="12">
        <f t="shared" si="0"/>
        <v>100</v>
      </c>
      <c r="AW21">
        <f t="shared" si="1"/>
        <v>70</v>
      </c>
    </row>
    <row r="22" spans="1:49" x14ac:dyDescent="0.4">
      <c r="A22" s="1" t="s">
        <v>96</v>
      </c>
      <c r="B22" s="4" t="s">
        <v>42</v>
      </c>
      <c r="C22" s="4">
        <v>440710</v>
      </c>
      <c r="D22" s="5"/>
      <c r="E22" s="4" t="s">
        <v>26</v>
      </c>
      <c r="F22" s="4" t="s">
        <v>43</v>
      </c>
      <c r="G22" s="4" t="s">
        <v>125</v>
      </c>
      <c r="H22" s="6" t="s">
        <v>8</v>
      </c>
      <c r="I22" s="6" t="s">
        <v>68</v>
      </c>
      <c r="J22" s="6">
        <v>0</v>
      </c>
      <c r="K22" s="6">
        <v>56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9">
        <v>0</v>
      </c>
      <c r="AV22" s="12">
        <f t="shared" si="0"/>
        <v>0</v>
      </c>
      <c r="AW22">
        <f t="shared" si="1"/>
        <v>0</v>
      </c>
    </row>
    <row r="23" spans="1:49" ht="19.2" x14ac:dyDescent="0.4">
      <c r="A23" s="1" t="s">
        <v>103</v>
      </c>
      <c r="B23" s="4" t="s">
        <v>93</v>
      </c>
      <c r="C23" s="4">
        <v>456187</v>
      </c>
      <c r="D23" s="5"/>
      <c r="E23" s="4" t="s">
        <v>26</v>
      </c>
      <c r="F23" s="4" t="s">
        <v>58</v>
      </c>
      <c r="G23" s="4" t="s">
        <v>124</v>
      </c>
      <c r="H23" s="6" t="s">
        <v>9</v>
      </c>
      <c r="I23" s="6" t="s">
        <v>94</v>
      </c>
      <c r="J23" s="6">
        <v>2</v>
      </c>
      <c r="K23" s="6">
        <v>0</v>
      </c>
      <c r="L23" s="6">
        <v>200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437</v>
      </c>
      <c r="AF23" s="7">
        <v>41000</v>
      </c>
      <c r="AG23" s="7">
        <v>2700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40</v>
      </c>
      <c r="AS23" s="7">
        <v>4000</v>
      </c>
      <c r="AT23" s="6">
        <v>0</v>
      </c>
      <c r="AU23" s="8">
        <v>47900</v>
      </c>
      <c r="AV23" s="12">
        <f t="shared" si="0"/>
        <v>47900</v>
      </c>
      <c r="AW23">
        <f t="shared" si="1"/>
        <v>33530</v>
      </c>
    </row>
    <row r="24" spans="1:49" ht="19.2" x14ac:dyDescent="0.4">
      <c r="A24" s="1" t="s">
        <v>103</v>
      </c>
      <c r="B24" s="4" t="s">
        <v>54</v>
      </c>
      <c r="C24" s="4">
        <v>453445</v>
      </c>
      <c r="D24" s="5"/>
      <c r="E24" s="4" t="s">
        <v>26</v>
      </c>
      <c r="F24" s="4" t="s">
        <v>53</v>
      </c>
      <c r="G24" s="4" t="s">
        <v>41</v>
      </c>
      <c r="H24" s="6" t="s">
        <v>9</v>
      </c>
      <c r="I24" s="6" t="s">
        <v>55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18</v>
      </c>
      <c r="AC24" s="7">
        <v>16200</v>
      </c>
      <c r="AD24" s="6">
        <v>0</v>
      </c>
      <c r="AE24" s="6">
        <v>5</v>
      </c>
      <c r="AF24" s="7">
        <v>10000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8</v>
      </c>
      <c r="AP24" s="7">
        <v>7200</v>
      </c>
      <c r="AQ24" s="6">
        <v>0</v>
      </c>
      <c r="AR24" s="6">
        <v>0</v>
      </c>
      <c r="AS24" s="6">
        <v>0</v>
      </c>
      <c r="AT24" s="6">
        <v>0</v>
      </c>
      <c r="AU24" s="8">
        <v>33400</v>
      </c>
      <c r="AV24" s="12">
        <f t="shared" si="0"/>
        <v>33400</v>
      </c>
      <c r="AW24">
        <f t="shared" si="1"/>
        <v>23380</v>
      </c>
    </row>
    <row r="25" spans="1:49" x14ac:dyDescent="0.4">
      <c r="A25" s="1" t="s">
        <v>103</v>
      </c>
      <c r="B25" s="4" t="s">
        <v>95</v>
      </c>
      <c r="C25" s="4">
        <v>455896</v>
      </c>
      <c r="D25" s="5"/>
      <c r="E25" s="4" t="s">
        <v>26</v>
      </c>
      <c r="F25" s="4" t="s">
        <v>53</v>
      </c>
      <c r="G25" s="4" t="s">
        <v>41</v>
      </c>
      <c r="H25" s="6" t="s">
        <v>8</v>
      </c>
      <c r="I25" s="6" t="s">
        <v>89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201</v>
      </c>
      <c r="AF25" s="7">
        <v>20100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88</v>
      </c>
      <c r="AS25" s="7">
        <v>8800</v>
      </c>
      <c r="AT25" s="6">
        <v>0</v>
      </c>
      <c r="AU25" s="8">
        <v>28900</v>
      </c>
      <c r="AV25" s="12">
        <f t="shared" si="0"/>
        <v>28900</v>
      </c>
      <c r="AW25">
        <f t="shared" si="1"/>
        <v>20230</v>
      </c>
    </row>
    <row r="26" spans="1:49" x14ac:dyDescent="0.4">
      <c r="A26" s="1" t="s">
        <v>103</v>
      </c>
      <c r="B26" s="4" t="s">
        <v>65</v>
      </c>
      <c r="C26" s="4">
        <v>451972</v>
      </c>
      <c r="D26" s="5"/>
      <c r="E26" s="4" t="s">
        <v>26</v>
      </c>
      <c r="F26" s="4" t="s">
        <v>53</v>
      </c>
      <c r="G26" s="4" t="s">
        <v>41</v>
      </c>
      <c r="H26" s="6" t="s">
        <v>8</v>
      </c>
      <c r="I26" s="6" t="s">
        <v>55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19</v>
      </c>
      <c r="AC26" s="7">
        <v>17100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8">
        <v>17100</v>
      </c>
      <c r="AV26" s="12">
        <f t="shared" si="0"/>
        <v>17100</v>
      </c>
      <c r="AW26">
        <f t="shared" si="1"/>
        <v>11970</v>
      </c>
    </row>
    <row r="27" spans="1:49" x14ac:dyDescent="0.4">
      <c r="A27" s="1" t="s">
        <v>103</v>
      </c>
      <c r="B27" s="4" t="s">
        <v>88</v>
      </c>
      <c r="C27" s="4">
        <v>455900</v>
      </c>
      <c r="D27" s="5"/>
      <c r="E27" s="4" t="s">
        <v>26</v>
      </c>
      <c r="F27" s="4" t="s">
        <v>53</v>
      </c>
      <c r="G27" s="4" t="s">
        <v>41</v>
      </c>
      <c r="H27" s="6" t="s">
        <v>8</v>
      </c>
      <c r="I27" s="6" t="s">
        <v>89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5</v>
      </c>
      <c r="AC27" s="7">
        <v>3700</v>
      </c>
      <c r="AD27" s="6">
        <v>0</v>
      </c>
      <c r="AE27" s="6">
        <v>5</v>
      </c>
      <c r="AF27" s="7">
        <v>9100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1</v>
      </c>
      <c r="AP27" s="6">
        <v>800</v>
      </c>
      <c r="AQ27" s="6">
        <v>0</v>
      </c>
      <c r="AR27" s="6">
        <v>2</v>
      </c>
      <c r="AS27" s="7">
        <v>2000</v>
      </c>
      <c r="AT27" s="6">
        <v>900</v>
      </c>
      <c r="AU27" s="8">
        <v>16500</v>
      </c>
      <c r="AV27" s="12">
        <f t="shared" si="0"/>
        <v>16500</v>
      </c>
      <c r="AW27">
        <f t="shared" si="1"/>
        <v>11550</v>
      </c>
    </row>
    <row r="28" spans="1:49" ht="19.2" x14ac:dyDescent="0.4">
      <c r="A28" s="1" t="s">
        <v>103</v>
      </c>
      <c r="B28" s="4" t="s">
        <v>66</v>
      </c>
      <c r="C28" s="4">
        <v>453397</v>
      </c>
      <c r="D28" s="5"/>
      <c r="E28" s="4" t="s">
        <v>26</v>
      </c>
      <c r="F28" s="4" t="s">
        <v>53</v>
      </c>
      <c r="G28" s="4" t="s">
        <v>41</v>
      </c>
      <c r="H28" s="6" t="s">
        <v>9</v>
      </c>
      <c r="I28" s="6" t="s">
        <v>55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103</v>
      </c>
      <c r="AF28" s="7">
        <v>8400</v>
      </c>
      <c r="AG28" s="7">
        <v>1900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8">
        <v>10300</v>
      </c>
      <c r="AV28" s="12">
        <f t="shared" si="0"/>
        <v>10300</v>
      </c>
      <c r="AW28">
        <f t="shared" si="1"/>
        <v>7209.9999999999991</v>
      </c>
    </row>
    <row r="29" spans="1:49" x14ac:dyDescent="0.4">
      <c r="A29" s="1" t="s">
        <v>103</v>
      </c>
      <c r="B29" s="4" t="s">
        <v>42</v>
      </c>
      <c r="C29" s="4">
        <v>440710</v>
      </c>
      <c r="D29" s="5"/>
      <c r="E29" s="4" t="s">
        <v>26</v>
      </c>
      <c r="F29" s="4" t="s">
        <v>43</v>
      </c>
      <c r="G29" s="4" t="s">
        <v>125</v>
      </c>
      <c r="H29" s="6" t="s">
        <v>8</v>
      </c>
      <c r="I29" s="6" t="s">
        <v>68</v>
      </c>
      <c r="J29" s="6">
        <v>0</v>
      </c>
      <c r="K29" s="6">
        <v>4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19</v>
      </c>
      <c r="AF29" s="7">
        <v>1600</v>
      </c>
      <c r="AG29" s="6">
        <v>300</v>
      </c>
      <c r="AH29" s="6">
        <v>0</v>
      </c>
      <c r="AI29" s="6">
        <v>0</v>
      </c>
      <c r="AJ29" s="6">
        <v>0</v>
      </c>
      <c r="AK29" s="6">
        <v>52</v>
      </c>
      <c r="AL29" s="7">
        <v>4080</v>
      </c>
      <c r="AM29" s="7">
        <v>1800</v>
      </c>
      <c r="AN29" s="14">
        <v>1224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8">
        <v>7780</v>
      </c>
      <c r="AV29" s="12">
        <f t="shared" si="0"/>
        <v>6556</v>
      </c>
      <c r="AW29">
        <f t="shared" si="1"/>
        <v>4589.2</v>
      </c>
    </row>
    <row r="30" spans="1:49" x14ac:dyDescent="0.4">
      <c r="A30" s="1" t="s">
        <v>103</v>
      </c>
      <c r="B30" s="4" t="s">
        <v>63</v>
      </c>
      <c r="C30" s="4">
        <v>454228</v>
      </c>
      <c r="D30" s="5"/>
      <c r="E30" s="4" t="s">
        <v>26</v>
      </c>
      <c r="F30" s="4" t="s">
        <v>53</v>
      </c>
      <c r="G30" s="4" t="s">
        <v>41</v>
      </c>
      <c r="H30" s="6" t="s">
        <v>8</v>
      </c>
      <c r="I30" s="6" t="s">
        <v>64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7</v>
      </c>
      <c r="AC30" s="7">
        <v>6300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8">
        <v>6300</v>
      </c>
      <c r="AV30" s="12">
        <f t="shared" si="0"/>
        <v>6300</v>
      </c>
      <c r="AW30">
        <f t="shared" si="1"/>
        <v>4410</v>
      </c>
    </row>
    <row r="31" spans="1:49" x14ac:dyDescent="0.4">
      <c r="A31" s="1" t="s">
        <v>103</v>
      </c>
      <c r="B31" s="4" t="s">
        <v>97</v>
      </c>
      <c r="C31" s="4">
        <v>408836</v>
      </c>
      <c r="D31" s="5"/>
      <c r="E31" s="4" t="s">
        <v>26</v>
      </c>
      <c r="F31" s="4" t="s">
        <v>27</v>
      </c>
      <c r="G31" s="4" t="s">
        <v>41</v>
      </c>
      <c r="H31" s="6" t="s">
        <v>8</v>
      </c>
      <c r="I31" s="6" t="s">
        <v>98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7</v>
      </c>
      <c r="AC31" s="7">
        <v>4900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8">
        <v>4900</v>
      </c>
      <c r="AV31" s="12">
        <f t="shared" si="0"/>
        <v>4900</v>
      </c>
      <c r="AW31">
        <f t="shared" si="1"/>
        <v>3430</v>
      </c>
    </row>
    <row r="32" spans="1:49" x14ac:dyDescent="0.4">
      <c r="A32" s="1" t="s">
        <v>103</v>
      </c>
      <c r="B32" s="4" t="s">
        <v>39</v>
      </c>
      <c r="C32" s="4">
        <v>367415</v>
      </c>
      <c r="D32" s="5"/>
      <c r="E32" s="4" t="s">
        <v>26</v>
      </c>
      <c r="F32" s="4" t="s">
        <v>35</v>
      </c>
      <c r="G32" s="4" t="s">
        <v>41</v>
      </c>
      <c r="H32" s="6" t="s">
        <v>8</v>
      </c>
      <c r="I32" s="6" t="s">
        <v>40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43</v>
      </c>
      <c r="AF32" s="7">
        <v>3500</v>
      </c>
      <c r="AG32" s="6">
        <v>800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8">
        <v>4300</v>
      </c>
      <c r="AV32" s="12">
        <f t="shared" si="0"/>
        <v>4300</v>
      </c>
      <c r="AW32">
        <f t="shared" si="1"/>
        <v>3010</v>
      </c>
    </row>
    <row r="33" spans="1:49" x14ac:dyDescent="0.4">
      <c r="A33" s="1" t="s">
        <v>103</v>
      </c>
      <c r="B33" s="4" t="s">
        <v>50</v>
      </c>
      <c r="C33" s="4">
        <v>382098</v>
      </c>
      <c r="D33" s="5"/>
      <c r="E33" s="4" t="s">
        <v>26</v>
      </c>
      <c r="F33" s="4" t="s">
        <v>53</v>
      </c>
      <c r="G33" s="4" t="s">
        <v>41</v>
      </c>
      <c r="H33" s="6" t="s">
        <v>8</v>
      </c>
      <c r="I33" s="6" t="s">
        <v>51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4</v>
      </c>
      <c r="AC33" s="7">
        <v>3600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8">
        <v>3600</v>
      </c>
      <c r="AV33" s="12">
        <f t="shared" si="0"/>
        <v>3600</v>
      </c>
      <c r="AW33">
        <f t="shared" si="1"/>
        <v>2520</v>
      </c>
    </row>
    <row r="34" spans="1:49" x14ac:dyDescent="0.4">
      <c r="A34" s="1" t="s">
        <v>103</v>
      </c>
      <c r="B34" s="4" t="s">
        <v>37</v>
      </c>
      <c r="C34" s="4">
        <v>380954</v>
      </c>
      <c r="D34" s="5"/>
      <c r="E34" s="4" t="s">
        <v>26</v>
      </c>
      <c r="F34" s="4" t="s">
        <v>35</v>
      </c>
      <c r="G34" s="4" t="s">
        <v>41</v>
      </c>
      <c r="H34" s="6" t="s">
        <v>8</v>
      </c>
      <c r="I34" s="6" t="s">
        <v>36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3</v>
      </c>
      <c r="AC34" s="7">
        <v>2700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8">
        <v>2700</v>
      </c>
      <c r="AV34" s="12">
        <f t="shared" si="0"/>
        <v>2700</v>
      </c>
      <c r="AW34">
        <f t="shared" si="1"/>
        <v>1889.9999999999998</v>
      </c>
    </row>
    <row r="35" spans="1:49" ht="19.2" x14ac:dyDescent="0.4">
      <c r="A35" s="1" t="s">
        <v>103</v>
      </c>
      <c r="B35" s="4" t="s">
        <v>99</v>
      </c>
      <c r="C35" s="4">
        <v>443543</v>
      </c>
      <c r="D35" s="5"/>
      <c r="E35" s="4" t="s">
        <v>26</v>
      </c>
      <c r="F35" s="4" t="s">
        <v>91</v>
      </c>
      <c r="G35" s="4" t="s">
        <v>124</v>
      </c>
      <c r="H35" s="6" t="s">
        <v>9</v>
      </c>
      <c r="I35" s="6" t="s">
        <v>100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18</v>
      </c>
      <c r="AF35" s="7">
        <v>1800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8">
        <v>1800</v>
      </c>
      <c r="AV35" s="12">
        <f t="shared" si="0"/>
        <v>1800</v>
      </c>
      <c r="AW35">
        <f t="shared" si="1"/>
        <v>1260</v>
      </c>
    </row>
    <row r="36" spans="1:49" x14ac:dyDescent="0.4">
      <c r="A36" s="1" t="s">
        <v>103</v>
      </c>
      <c r="B36" s="4" t="s">
        <v>44</v>
      </c>
      <c r="C36" s="4">
        <v>361185</v>
      </c>
      <c r="D36" s="5"/>
      <c r="E36" s="4" t="s">
        <v>26</v>
      </c>
      <c r="F36" s="4" t="s">
        <v>27</v>
      </c>
      <c r="G36" s="4" t="s">
        <v>41</v>
      </c>
      <c r="H36" s="6" t="s">
        <v>8</v>
      </c>
      <c r="I36" s="6" t="s">
        <v>45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10</v>
      </c>
      <c r="T36" s="6">
        <v>1</v>
      </c>
      <c r="U36" s="6">
        <v>0</v>
      </c>
      <c r="V36" s="7">
        <v>1000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8">
        <v>1000</v>
      </c>
      <c r="AV36" s="12">
        <f t="shared" si="0"/>
        <v>1000</v>
      </c>
      <c r="AW36">
        <f t="shared" si="1"/>
        <v>700</v>
      </c>
    </row>
    <row r="37" spans="1:49" ht="19.2" x14ac:dyDescent="0.4">
      <c r="A37" s="1" t="s">
        <v>103</v>
      </c>
      <c r="B37" s="4" t="s">
        <v>46</v>
      </c>
      <c r="C37" s="4">
        <v>445576</v>
      </c>
      <c r="D37" s="5"/>
      <c r="E37" s="4" t="s">
        <v>26</v>
      </c>
      <c r="F37" s="4" t="s">
        <v>53</v>
      </c>
      <c r="G37" s="4" t="s">
        <v>41</v>
      </c>
      <c r="H37" s="6" t="s">
        <v>8</v>
      </c>
      <c r="I37" s="6" t="s">
        <v>47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1</v>
      </c>
      <c r="AC37" s="6">
        <v>900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9">
        <v>900</v>
      </c>
      <c r="AV37" s="12">
        <f t="shared" si="0"/>
        <v>900</v>
      </c>
      <c r="AW37">
        <f t="shared" si="1"/>
        <v>630</v>
      </c>
    </row>
    <row r="38" spans="1:49" x14ac:dyDescent="0.4">
      <c r="A38" s="1" t="s">
        <v>103</v>
      </c>
      <c r="B38" s="4" t="s">
        <v>67</v>
      </c>
      <c r="C38" s="4">
        <v>451947</v>
      </c>
      <c r="D38" s="5"/>
      <c r="E38" s="4" t="s">
        <v>26</v>
      </c>
      <c r="F38" s="4" t="s">
        <v>53</v>
      </c>
      <c r="G38" s="4" t="s">
        <v>41</v>
      </c>
      <c r="H38" s="6" t="s">
        <v>8</v>
      </c>
      <c r="I38" s="6" t="s">
        <v>55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8</v>
      </c>
      <c r="AF38" s="6">
        <v>800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9">
        <v>800</v>
      </c>
      <c r="AV38" s="12">
        <f t="shared" si="0"/>
        <v>800</v>
      </c>
      <c r="AW38">
        <f t="shared" si="1"/>
        <v>560</v>
      </c>
    </row>
    <row r="39" spans="1:49" ht="19.2" x14ac:dyDescent="0.4">
      <c r="A39" s="1" t="s">
        <v>103</v>
      </c>
      <c r="B39" s="4" t="s">
        <v>101</v>
      </c>
      <c r="C39" s="4">
        <v>395341</v>
      </c>
      <c r="D39" s="5"/>
      <c r="E39" s="4" t="s">
        <v>26</v>
      </c>
      <c r="F39" s="4" t="s">
        <v>28</v>
      </c>
      <c r="G39" s="4" t="s">
        <v>124</v>
      </c>
      <c r="H39" s="6" t="s">
        <v>9</v>
      </c>
      <c r="I39" s="6" t="s">
        <v>102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4</v>
      </c>
      <c r="AF39" s="6">
        <v>400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9">
        <v>400</v>
      </c>
      <c r="AV39" s="12">
        <f t="shared" si="0"/>
        <v>400</v>
      </c>
      <c r="AW39">
        <f t="shared" si="1"/>
        <v>280</v>
      </c>
    </row>
    <row r="40" spans="1:49" ht="19.2" x14ac:dyDescent="0.4">
      <c r="A40" s="1" t="s">
        <v>103</v>
      </c>
      <c r="B40" s="4" t="s">
        <v>48</v>
      </c>
      <c r="C40" s="4">
        <v>448030</v>
      </c>
      <c r="D40" s="5"/>
      <c r="E40" s="4" t="s">
        <v>26</v>
      </c>
      <c r="F40" s="4" t="s">
        <v>38</v>
      </c>
      <c r="G40" s="4" t="s">
        <v>124</v>
      </c>
      <c r="H40" s="6" t="s">
        <v>9</v>
      </c>
      <c r="I40" s="6" t="s">
        <v>49</v>
      </c>
      <c r="J40" s="6">
        <v>0</v>
      </c>
      <c r="K40" s="6">
        <v>18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1</v>
      </c>
      <c r="AF40" s="6">
        <v>0</v>
      </c>
      <c r="AG40" s="6">
        <v>100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9">
        <v>100</v>
      </c>
      <c r="AV40" s="12">
        <f t="shared" si="0"/>
        <v>100</v>
      </c>
      <c r="AW40">
        <f t="shared" si="1"/>
        <v>70</v>
      </c>
    </row>
    <row r="41" spans="1:49" ht="19.2" x14ac:dyDescent="0.4">
      <c r="A41" s="1" t="s">
        <v>122</v>
      </c>
      <c r="B41" s="4" t="s">
        <v>73</v>
      </c>
      <c r="C41" s="4">
        <v>457533</v>
      </c>
      <c r="D41" s="5"/>
      <c r="E41" s="4" t="s">
        <v>26</v>
      </c>
      <c r="F41" s="4" t="s">
        <v>74</v>
      </c>
      <c r="G41" s="4" t="s">
        <v>123</v>
      </c>
      <c r="H41" s="6" t="s">
        <v>29</v>
      </c>
      <c r="I41" s="6" t="s">
        <v>75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98</v>
      </c>
      <c r="AF41" s="7">
        <v>213600</v>
      </c>
      <c r="AG41" s="7">
        <v>26100</v>
      </c>
      <c r="AH41" s="6">
        <v>0</v>
      </c>
      <c r="AI41" s="6">
        <v>0</v>
      </c>
      <c r="AJ41" s="6">
        <v>0</v>
      </c>
      <c r="AK41" s="6">
        <v>7</v>
      </c>
      <c r="AL41" s="7">
        <v>3000</v>
      </c>
      <c r="AM41" s="7">
        <v>3400</v>
      </c>
      <c r="AN41" s="6">
        <v>900</v>
      </c>
      <c r="AO41" s="6">
        <v>0</v>
      </c>
      <c r="AP41" s="6">
        <v>0</v>
      </c>
      <c r="AQ41" s="6">
        <v>0</v>
      </c>
      <c r="AR41" s="6">
        <v>7</v>
      </c>
      <c r="AS41" s="7">
        <v>16900</v>
      </c>
      <c r="AT41" s="6">
        <v>0</v>
      </c>
      <c r="AU41" s="8">
        <v>263000</v>
      </c>
      <c r="AV41" s="12">
        <f t="shared" si="0"/>
        <v>262100</v>
      </c>
      <c r="AW41">
        <f t="shared" si="1"/>
        <v>183470</v>
      </c>
    </row>
    <row r="42" spans="1:49" ht="19.2" x14ac:dyDescent="0.4">
      <c r="A42" s="1" t="s">
        <v>122</v>
      </c>
      <c r="B42" s="4" t="s">
        <v>76</v>
      </c>
      <c r="C42" s="4">
        <v>457534</v>
      </c>
      <c r="D42" s="5"/>
      <c r="E42" s="4" t="s">
        <v>26</v>
      </c>
      <c r="F42" s="4" t="s">
        <v>77</v>
      </c>
      <c r="G42" s="4" t="s">
        <v>123</v>
      </c>
      <c r="H42" s="6" t="s">
        <v>29</v>
      </c>
      <c r="I42" s="6" t="s">
        <v>78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30</v>
      </c>
      <c r="AF42" s="7">
        <v>56100</v>
      </c>
      <c r="AG42" s="7">
        <v>2500</v>
      </c>
      <c r="AH42" s="6">
        <v>0</v>
      </c>
      <c r="AI42" s="6">
        <v>0</v>
      </c>
      <c r="AJ42" s="6">
        <v>0</v>
      </c>
      <c r="AK42" s="6">
        <v>2</v>
      </c>
      <c r="AL42" s="6">
        <v>0</v>
      </c>
      <c r="AM42" s="7">
        <v>3400</v>
      </c>
      <c r="AN42" s="6">
        <v>0</v>
      </c>
      <c r="AO42" s="6">
        <v>0</v>
      </c>
      <c r="AP42" s="6">
        <v>0</v>
      </c>
      <c r="AQ42" s="6">
        <v>0</v>
      </c>
      <c r="AR42" s="6">
        <v>2</v>
      </c>
      <c r="AS42" s="7">
        <v>4000</v>
      </c>
      <c r="AT42" s="6">
        <v>0</v>
      </c>
      <c r="AU42" s="8">
        <v>66000</v>
      </c>
      <c r="AV42" s="12">
        <f t="shared" si="0"/>
        <v>66000</v>
      </c>
      <c r="AW42">
        <f t="shared" si="1"/>
        <v>46200</v>
      </c>
    </row>
    <row r="43" spans="1:49" ht="19.2" x14ac:dyDescent="0.4">
      <c r="A43" s="1" t="s">
        <v>122</v>
      </c>
      <c r="B43" s="4" t="s">
        <v>79</v>
      </c>
      <c r="C43" s="4">
        <v>457239</v>
      </c>
      <c r="D43" s="5"/>
      <c r="E43" s="4" t="s">
        <v>26</v>
      </c>
      <c r="F43" s="4" t="s">
        <v>80</v>
      </c>
      <c r="G43" s="4" t="s">
        <v>123</v>
      </c>
      <c r="H43" s="6" t="s">
        <v>29</v>
      </c>
      <c r="I43" s="6" t="s">
        <v>81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22</v>
      </c>
      <c r="AF43" s="7">
        <v>38100</v>
      </c>
      <c r="AG43" s="7">
        <v>2300</v>
      </c>
      <c r="AH43" s="6">
        <v>0</v>
      </c>
      <c r="AI43" s="6">
        <v>0</v>
      </c>
      <c r="AJ43" s="6">
        <v>0</v>
      </c>
      <c r="AK43" s="6">
        <v>3</v>
      </c>
      <c r="AL43" s="7">
        <v>4320</v>
      </c>
      <c r="AM43" s="6">
        <v>0</v>
      </c>
      <c r="AN43" s="14">
        <v>1296</v>
      </c>
      <c r="AO43" s="6">
        <v>0</v>
      </c>
      <c r="AP43" s="6">
        <v>0</v>
      </c>
      <c r="AQ43" s="6">
        <v>0</v>
      </c>
      <c r="AR43" s="6">
        <v>1</v>
      </c>
      <c r="AS43" s="7">
        <v>2000</v>
      </c>
      <c r="AT43" s="6">
        <v>0</v>
      </c>
      <c r="AU43" s="8">
        <v>46720</v>
      </c>
      <c r="AV43" s="12">
        <f t="shared" si="0"/>
        <v>45424</v>
      </c>
      <c r="AW43">
        <f t="shared" si="1"/>
        <v>31796.799999999999</v>
      </c>
    </row>
    <row r="44" spans="1:49" ht="19.2" x14ac:dyDescent="0.4">
      <c r="A44" s="1" t="s">
        <v>122</v>
      </c>
      <c r="B44" s="4" t="s">
        <v>82</v>
      </c>
      <c r="C44" s="4">
        <v>457673</v>
      </c>
      <c r="D44" s="5"/>
      <c r="E44" s="4" t="s">
        <v>26</v>
      </c>
      <c r="F44" s="4" t="s">
        <v>83</v>
      </c>
      <c r="G44" s="4" t="s">
        <v>123</v>
      </c>
      <c r="H44" s="6" t="s">
        <v>29</v>
      </c>
      <c r="I44" s="6" t="s">
        <v>84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14</v>
      </c>
      <c r="AF44" s="7">
        <v>26000</v>
      </c>
      <c r="AG44" s="7">
        <v>2000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2</v>
      </c>
      <c r="AS44" s="7">
        <v>4000</v>
      </c>
      <c r="AT44" s="6">
        <v>0</v>
      </c>
      <c r="AU44" s="8">
        <v>32000</v>
      </c>
      <c r="AV44" s="12">
        <f t="shared" si="0"/>
        <v>32000</v>
      </c>
      <c r="AW44">
        <f t="shared" si="1"/>
        <v>22400</v>
      </c>
    </row>
    <row r="45" spans="1:49" ht="19.2" x14ac:dyDescent="0.4">
      <c r="A45" s="1" t="s">
        <v>122</v>
      </c>
      <c r="B45" s="4" t="s">
        <v>31</v>
      </c>
      <c r="C45" s="4">
        <v>387161</v>
      </c>
      <c r="D45" s="5"/>
      <c r="E45" s="4" t="s">
        <v>26</v>
      </c>
      <c r="F45" s="4" t="s">
        <v>32</v>
      </c>
      <c r="G45" s="4" t="s">
        <v>124</v>
      </c>
      <c r="H45" s="6" t="s">
        <v>29</v>
      </c>
      <c r="I45" s="6" t="s">
        <v>33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4</v>
      </c>
      <c r="AF45" s="7">
        <v>12800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1</v>
      </c>
      <c r="AS45" s="7">
        <v>3200</v>
      </c>
      <c r="AT45" s="6">
        <v>0</v>
      </c>
      <c r="AU45" s="8">
        <v>16000</v>
      </c>
      <c r="AV45" s="12">
        <f t="shared" si="0"/>
        <v>16000</v>
      </c>
      <c r="AW45">
        <f t="shared" si="1"/>
        <v>11200</v>
      </c>
    </row>
    <row r="46" spans="1:49" ht="19.2" x14ac:dyDescent="0.4">
      <c r="A46" s="1" t="s">
        <v>122</v>
      </c>
      <c r="B46" s="4" t="s">
        <v>85</v>
      </c>
      <c r="C46" s="4">
        <v>457068</v>
      </c>
      <c r="D46" s="5"/>
      <c r="E46" s="4" t="s">
        <v>26</v>
      </c>
      <c r="F46" s="4" t="s">
        <v>86</v>
      </c>
      <c r="G46" s="4" t="s">
        <v>123</v>
      </c>
      <c r="H46" s="6" t="s">
        <v>29</v>
      </c>
      <c r="I46" s="6" t="s">
        <v>87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4</v>
      </c>
      <c r="AF46" s="7">
        <v>8000</v>
      </c>
      <c r="AG46" s="7">
        <v>2000</v>
      </c>
      <c r="AH46" s="6">
        <v>0</v>
      </c>
      <c r="AI46" s="6">
        <v>0</v>
      </c>
      <c r="AJ46" s="6">
        <v>0</v>
      </c>
      <c r="AK46" s="6">
        <v>1</v>
      </c>
      <c r="AL46" s="7">
        <v>3000</v>
      </c>
      <c r="AM46" s="6">
        <v>0</v>
      </c>
      <c r="AN46" s="6">
        <v>900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8">
        <v>13000</v>
      </c>
      <c r="AV46" s="12">
        <f t="shared" si="0"/>
        <v>12100</v>
      </c>
      <c r="AW46">
        <f t="shared" si="1"/>
        <v>8470</v>
      </c>
    </row>
    <row r="47" spans="1:49" ht="19.2" x14ac:dyDescent="0.4">
      <c r="A47" s="1" t="s">
        <v>122</v>
      </c>
      <c r="B47" s="4" t="s">
        <v>104</v>
      </c>
      <c r="C47" s="4">
        <v>371107</v>
      </c>
      <c r="D47" s="5"/>
      <c r="E47" s="4" t="s">
        <v>26</v>
      </c>
      <c r="F47" s="4" t="s">
        <v>91</v>
      </c>
      <c r="G47" s="4" t="s">
        <v>124</v>
      </c>
      <c r="H47" s="6" t="s">
        <v>29</v>
      </c>
      <c r="I47" s="6" t="s">
        <v>105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3</v>
      </c>
      <c r="AF47" s="6">
        <v>0</v>
      </c>
      <c r="AG47" s="7">
        <v>9000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8">
        <v>9000</v>
      </c>
      <c r="AV47" s="12">
        <f t="shared" ref="AV47:AV60" si="2">AU47-AN47</f>
        <v>9000</v>
      </c>
      <c r="AW47">
        <f t="shared" ref="AW47:AW60" si="3">AV47*70%</f>
        <v>6300</v>
      </c>
    </row>
    <row r="48" spans="1:49" ht="19.2" x14ac:dyDescent="0.4">
      <c r="A48" s="1" t="s">
        <v>122</v>
      </c>
      <c r="B48" s="4" t="s">
        <v>57</v>
      </c>
      <c r="C48" s="4">
        <v>414543</v>
      </c>
      <c r="D48" s="5"/>
      <c r="E48" s="4" t="s">
        <v>26</v>
      </c>
      <c r="F48" s="4" t="s">
        <v>58</v>
      </c>
      <c r="G48" s="4" t="s">
        <v>124</v>
      </c>
      <c r="H48" s="6" t="s">
        <v>29</v>
      </c>
      <c r="I48" s="6" t="s">
        <v>59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7">
        <v>3400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1</v>
      </c>
      <c r="AS48" s="7">
        <v>3400</v>
      </c>
      <c r="AT48" s="6">
        <v>0</v>
      </c>
      <c r="AU48" s="8">
        <v>6800</v>
      </c>
      <c r="AV48" s="12">
        <f t="shared" si="2"/>
        <v>6800</v>
      </c>
      <c r="AW48">
        <f t="shared" si="3"/>
        <v>4760</v>
      </c>
    </row>
    <row r="49" spans="1:49" ht="19.2" x14ac:dyDescent="0.4">
      <c r="A49" s="1" t="s">
        <v>122</v>
      </c>
      <c r="B49" s="4" t="s">
        <v>106</v>
      </c>
      <c r="C49" s="4">
        <v>423507</v>
      </c>
      <c r="D49" s="5"/>
      <c r="E49" s="4" t="s">
        <v>26</v>
      </c>
      <c r="F49" s="4" t="s">
        <v>107</v>
      </c>
      <c r="G49" s="4" t="s">
        <v>124</v>
      </c>
      <c r="H49" s="6" t="s">
        <v>29</v>
      </c>
      <c r="I49" s="6" t="s">
        <v>108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1</v>
      </c>
      <c r="AF49" s="7">
        <v>3200</v>
      </c>
      <c r="AG49" s="6">
        <v>0</v>
      </c>
      <c r="AH49" s="6">
        <v>0</v>
      </c>
      <c r="AI49" s="6">
        <v>0</v>
      </c>
      <c r="AJ49" s="6">
        <v>0</v>
      </c>
      <c r="AK49" s="6">
        <v>1</v>
      </c>
      <c r="AL49" s="6">
        <v>0</v>
      </c>
      <c r="AM49" s="7">
        <v>1500</v>
      </c>
      <c r="AN49" s="6">
        <v>0</v>
      </c>
      <c r="AO49" s="6">
        <v>0</v>
      </c>
      <c r="AP49" s="6">
        <v>0</v>
      </c>
      <c r="AQ49" s="6">
        <v>0</v>
      </c>
      <c r="AR49" s="6">
        <v>1</v>
      </c>
      <c r="AS49" s="7">
        <v>1700</v>
      </c>
      <c r="AT49" s="6">
        <v>0</v>
      </c>
      <c r="AU49" s="8">
        <v>6400</v>
      </c>
      <c r="AV49" s="12">
        <f t="shared" si="2"/>
        <v>6400</v>
      </c>
      <c r="AW49">
        <f t="shared" si="3"/>
        <v>4480</v>
      </c>
    </row>
    <row r="50" spans="1:49" ht="19.2" x14ac:dyDescent="0.4">
      <c r="A50" s="1" t="s">
        <v>122</v>
      </c>
      <c r="B50" s="4" t="s">
        <v>56</v>
      </c>
      <c r="C50" s="4">
        <v>395231</v>
      </c>
      <c r="D50" s="5"/>
      <c r="E50" s="4" t="s">
        <v>26</v>
      </c>
      <c r="F50" s="4" t="s">
        <v>28</v>
      </c>
      <c r="G50" s="4" t="s">
        <v>124</v>
      </c>
      <c r="H50" s="6" t="s">
        <v>29</v>
      </c>
      <c r="I50" s="6" t="s">
        <v>30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1</v>
      </c>
      <c r="AL50" s="7">
        <v>4305</v>
      </c>
      <c r="AM50" s="6">
        <v>0</v>
      </c>
      <c r="AN50" s="14">
        <v>1291.5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8">
        <v>4305</v>
      </c>
      <c r="AV50" s="12">
        <f t="shared" si="2"/>
        <v>3013.5</v>
      </c>
      <c r="AW50">
        <f t="shared" si="3"/>
        <v>2109.4499999999998</v>
      </c>
    </row>
    <row r="51" spans="1:49" ht="19.2" x14ac:dyDescent="0.4">
      <c r="A51" s="1" t="s">
        <v>122</v>
      </c>
      <c r="B51" s="4" t="s">
        <v>109</v>
      </c>
      <c r="C51" s="4">
        <v>442669</v>
      </c>
      <c r="D51" s="5"/>
      <c r="E51" s="4" t="s">
        <v>26</v>
      </c>
      <c r="F51" s="4" t="s">
        <v>110</v>
      </c>
      <c r="G51" s="4" t="s">
        <v>124</v>
      </c>
      <c r="H51" s="6" t="s">
        <v>29</v>
      </c>
      <c r="I51" s="6" t="s">
        <v>111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1</v>
      </c>
      <c r="AF51" s="7">
        <v>3500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8">
        <v>3500</v>
      </c>
      <c r="AV51" s="12">
        <f t="shared" si="2"/>
        <v>3500</v>
      </c>
      <c r="AW51">
        <f t="shared" si="3"/>
        <v>2450</v>
      </c>
    </row>
    <row r="52" spans="1:49" ht="19.2" x14ac:dyDescent="0.4">
      <c r="A52" s="1" t="s">
        <v>122</v>
      </c>
      <c r="B52" s="4" t="s">
        <v>60</v>
      </c>
      <c r="C52" s="4">
        <v>430861</v>
      </c>
      <c r="D52" s="5"/>
      <c r="E52" s="4" t="s">
        <v>26</v>
      </c>
      <c r="F52" s="4" t="s">
        <v>61</v>
      </c>
      <c r="G52" s="4" t="s">
        <v>124</v>
      </c>
      <c r="H52" s="6" t="s">
        <v>29</v>
      </c>
      <c r="I52" s="6" t="s">
        <v>62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1</v>
      </c>
      <c r="AF52" s="7">
        <v>3400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8">
        <v>3400</v>
      </c>
      <c r="AV52" s="12">
        <f t="shared" si="2"/>
        <v>3400</v>
      </c>
      <c r="AW52">
        <f t="shared" si="3"/>
        <v>2380</v>
      </c>
    </row>
    <row r="53" spans="1:49" ht="19.2" x14ac:dyDescent="0.4">
      <c r="A53" s="1" t="s">
        <v>122</v>
      </c>
      <c r="B53" s="4" t="s">
        <v>112</v>
      </c>
      <c r="C53" s="4">
        <v>442668</v>
      </c>
      <c r="D53" s="5"/>
      <c r="E53" s="4" t="s">
        <v>26</v>
      </c>
      <c r="F53" s="4" t="s">
        <v>113</v>
      </c>
      <c r="G53" s="4" t="s">
        <v>124</v>
      </c>
      <c r="H53" s="6" t="s">
        <v>29</v>
      </c>
      <c r="I53" s="6" t="s">
        <v>111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1</v>
      </c>
      <c r="AS53" s="7">
        <v>3400</v>
      </c>
      <c r="AT53" s="6">
        <v>0</v>
      </c>
      <c r="AU53" s="8">
        <v>3400</v>
      </c>
      <c r="AV53" s="12">
        <f t="shared" si="2"/>
        <v>3400</v>
      </c>
      <c r="AW53">
        <f t="shared" si="3"/>
        <v>2380</v>
      </c>
    </row>
    <row r="54" spans="1:49" ht="19.2" x14ac:dyDescent="0.4">
      <c r="A54" s="1" t="s">
        <v>122</v>
      </c>
      <c r="B54" s="4" t="s">
        <v>114</v>
      </c>
      <c r="C54" s="4">
        <v>396964</v>
      </c>
      <c r="D54" s="5"/>
      <c r="E54" s="4" t="s">
        <v>26</v>
      </c>
      <c r="F54" s="4" t="s">
        <v>91</v>
      </c>
      <c r="G54" s="4" t="s">
        <v>124</v>
      </c>
      <c r="H54" s="6" t="s">
        <v>29</v>
      </c>
      <c r="I54" s="6" t="s">
        <v>115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1</v>
      </c>
      <c r="AF54" s="7">
        <v>3200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8">
        <v>3200</v>
      </c>
      <c r="AV54" s="12">
        <f t="shared" si="2"/>
        <v>3200</v>
      </c>
      <c r="AW54">
        <f t="shared" si="3"/>
        <v>2240</v>
      </c>
    </row>
    <row r="55" spans="1:49" ht="19.2" x14ac:dyDescent="0.4">
      <c r="A55" s="1" t="s">
        <v>122</v>
      </c>
      <c r="B55" s="4" t="s">
        <v>116</v>
      </c>
      <c r="C55" s="4">
        <v>430442</v>
      </c>
      <c r="D55" s="5"/>
      <c r="E55" s="4" t="s">
        <v>26</v>
      </c>
      <c r="F55" s="4" t="s">
        <v>107</v>
      </c>
      <c r="G55" s="4" t="s">
        <v>124</v>
      </c>
      <c r="H55" s="6" t="s">
        <v>29</v>
      </c>
      <c r="I55" s="6" t="s">
        <v>117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1</v>
      </c>
      <c r="AF55" s="7">
        <v>2800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8">
        <v>2800</v>
      </c>
      <c r="AV55" s="12">
        <f t="shared" si="2"/>
        <v>2800</v>
      </c>
      <c r="AW55">
        <f t="shared" si="3"/>
        <v>1959.9999999999998</v>
      </c>
    </row>
    <row r="56" spans="1:49" ht="19.2" x14ac:dyDescent="0.4">
      <c r="A56" s="1" t="s">
        <v>122</v>
      </c>
      <c r="B56" s="4" t="s">
        <v>93</v>
      </c>
      <c r="C56" s="4">
        <v>456187</v>
      </c>
      <c r="D56" s="5"/>
      <c r="E56" s="4" t="s">
        <v>26</v>
      </c>
      <c r="F56" s="4" t="s">
        <v>58</v>
      </c>
      <c r="G56" s="4" t="s">
        <v>124</v>
      </c>
      <c r="H56" s="6" t="s">
        <v>9</v>
      </c>
      <c r="I56" s="6" t="s">
        <v>94</v>
      </c>
      <c r="J56" s="6">
        <v>12</v>
      </c>
      <c r="K56" s="6">
        <v>0</v>
      </c>
      <c r="L56" s="7">
        <v>1200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1</v>
      </c>
      <c r="AF56" s="6">
        <v>100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8">
        <v>1300</v>
      </c>
      <c r="AV56" s="12">
        <f t="shared" si="2"/>
        <v>1300</v>
      </c>
      <c r="AW56">
        <f t="shared" si="3"/>
        <v>909.99999999999989</v>
      </c>
    </row>
    <row r="57" spans="1:49" ht="19.2" x14ac:dyDescent="0.4">
      <c r="A57" s="1" t="s">
        <v>122</v>
      </c>
      <c r="B57" s="4" t="s">
        <v>118</v>
      </c>
      <c r="C57" s="4">
        <v>423519</v>
      </c>
      <c r="D57" s="5"/>
      <c r="E57" s="4" t="s">
        <v>26</v>
      </c>
      <c r="F57" s="4" t="s">
        <v>107</v>
      </c>
      <c r="G57" s="4" t="s">
        <v>124</v>
      </c>
      <c r="H57" s="6" t="s">
        <v>29</v>
      </c>
      <c r="I57" s="6" t="s">
        <v>108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1</v>
      </c>
      <c r="AF57" s="6">
        <v>600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1</v>
      </c>
      <c r="AS57" s="6">
        <v>600</v>
      </c>
      <c r="AT57" s="6">
        <v>0</v>
      </c>
      <c r="AU57" s="8">
        <v>1200</v>
      </c>
      <c r="AV57" s="12">
        <f t="shared" si="2"/>
        <v>1200</v>
      </c>
      <c r="AW57">
        <f t="shared" si="3"/>
        <v>840</v>
      </c>
    </row>
    <row r="58" spans="1:49" ht="19.2" x14ac:dyDescent="0.4">
      <c r="A58" s="1" t="s">
        <v>122</v>
      </c>
      <c r="B58" s="4" t="s">
        <v>72</v>
      </c>
      <c r="C58" s="4">
        <v>442665</v>
      </c>
      <c r="D58" s="5"/>
      <c r="E58" s="4" t="s">
        <v>26</v>
      </c>
      <c r="F58" s="4" t="s">
        <v>61</v>
      </c>
      <c r="G58" s="4" t="s">
        <v>124</v>
      </c>
      <c r="H58" s="6" t="s">
        <v>29</v>
      </c>
      <c r="I58" s="6" t="s">
        <v>52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1</v>
      </c>
      <c r="AF58" s="6">
        <v>800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9">
        <v>800</v>
      </c>
      <c r="AV58" s="12">
        <f t="shared" si="2"/>
        <v>800</v>
      </c>
      <c r="AW58">
        <f t="shared" si="3"/>
        <v>560</v>
      </c>
    </row>
    <row r="59" spans="1:49" ht="19.2" x14ac:dyDescent="0.4">
      <c r="A59" s="1" t="s">
        <v>122</v>
      </c>
      <c r="B59" s="4" t="s">
        <v>34</v>
      </c>
      <c r="C59" s="4">
        <v>395237</v>
      </c>
      <c r="D59" s="5"/>
      <c r="E59" s="4" t="s">
        <v>26</v>
      </c>
      <c r="F59" s="4" t="s">
        <v>28</v>
      </c>
      <c r="G59" s="4" t="s">
        <v>124</v>
      </c>
      <c r="H59" s="6" t="s">
        <v>29</v>
      </c>
      <c r="I59" s="6" t="s">
        <v>30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1</v>
      </c>
      <c r="AF59" s="6">
        <v>200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9">
        <v>200</v>
      </c>
      <c r="AV59" s="12">
        <f t="shared" si="2"/>
        <v>200</v>
      </c>
      <c r="AW59">
        <f t="shared" si="3"/>
        <v>140</v>
      </c>
    </row>
    <row r="60" spans="1:49" x14ac:dyDescent="0.4">
      <c r="A60" s="1" t="s">
        <v>122</v>
      </c>
      <c r="B60" s="4" t="s">
        <v>119</v>
      </c>
      <c r="C60" s="4">
        <v>457676</v>
      </c>
      <c r="D60" s="5"/>
      <c r="E60" s="4" t="s">
        <v>26</v>
      </c>
      <c r="F60" s="4" t="s">
        <v>120</v>
      </c>
      <c r="G60" s="4" t="s">
        <v>123</v>
      </c>
      <c r="H60" s="6" t="s">
        <v>8</v>
      </c>
      <c r="I60" s="6" t="s">
        <v>121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9">
        <v>0</v>
      </c>
      <c r="AV60" s="12">
        <f t="shared" si="2"/>
        <v>0</v>
      </c>
      <c r="AW60">
        <f t="shared" si="3"/>
        <v>0</v>
      </c>
    </row>
    <row r="61" spans="1:49" x14ac:dyDescent="0.4">
      <c r="AU61" s="13"/>
      <c r="AW61" s="15">
        <f>SUM(AW2:AW60)</f>
        <v>573085.44999999995</v>
      </c>
    </row>
    <row r="62" spans="1:49" x14ac:dyDescent="0.4">
      <c r="AU62" s="13"/>
    </row>
  </sheetData>
  <autoFilter ref="A1:AX61"/>
  <phoneticPr fontId="20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13"/>
  <sheetViews>
    <sheetView topLeftCell="P1" workbookViewId="0">
      <selection activeCell="P2" sqref="A2:XFD12"/>
    </sheetView>
  </sheetViews>
  <sheetFormatPr defaultRowHeight="17.399999999999999" x14ac:dyDescent="0.4"/>
  <cols>
    <col min="1" max="1" width="12.796875" bestFit="1" customWidth="1"/>
    <col min="2" max="2" width="9.2968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7.19921875" bestFit="1" customWidth="1"/>
    <col min="7" max="7" width="7.59765625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7.3984375" bestFit="1" customWidth="1"/>
    <col min="48" max="48" width="10.8984375" bestFit="1" customWidth="1"/>
    <col min="49" max="49" width="9.1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19.2" x14ac:dyDescent="0.4">
      <c r="A2" s="1" t="s">
        <v>96</v>
      </c>
      <c r="B2" s="4" t="s">
        <v>73</v>
      </c>
      <c r="C2" s="4">
        <v>457533</v>
      </c>
      <c r="D2" s="5"/>
      <c r="E2" s="4" t="s">
        <v>26</v>
      </c>
      <c r="F2" s="4" t="s">
        <v>74</v>
      </c>
      <c r="G2" s="4" t="s">
        <v>123</v>
      </c>
      <c r="H2" s="6" t="s">
        <v>29</v>
      </c>
      <c r="I2" s="6" t="s">
        <v>75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17</v>
      </c>
      <c r="AF2" s="7">
        <v>32400</v>
      </c>
      <c r="AG2" s="7">
        <v>7800</v>
      </c>
      <c r="AH2" s="6">
        <v>0</v>
      </c>
      <c r="AI2" s="6">
        <v>0</v>
      </c>
      <c r="AJ2" s="6">
        <v>0</v>
      </c>
      <c r="AK2" s="6">
        <v>1</v>
      </c>
      <c r="AL2" s="6">
        <v>0</v>
      </c>
      <c r="AM2" s="7">
        <v>2500</v>
      </c>
      <c r="AN2" s="6">
        <v>0</v>
      </c>
      <c r="AO2" s="6">
        <v>0</v>
      </c>
      <c r="AP2" s="6">
        <v>0</v>
      </c>
      <c r="AQ2" s="6">
        <v>0</v>
      </c>
      <c r="AR2" s="6">
        <v>4</v>
      </c>
      <c r="AS2" s="7">
        <v>9800</v>
      </c>
      <c r="AT2" s="6">
        <v>0</v>
      </c>
      <c r="AU2" s="8">
        <v>52500</v>
      </c>
      <c r="AV2" s="12">
        <v>52500</v>
      </c>
      <c r="AW2">
        <v>36750</v>
      </c>
    </row>
    <row r="3" spans="1:49" ht="19.2" x14ac:dyDescent="0.4">
      <c r="A3" s="1" t="s">
        <v>96</v>
      </c>
      <c r="B3" s="4" t="s">
        <v>76</v>
      </c>
      <c r="C3" s="4">
        <v>457534</v>
      </c>
      <c r="D3" s="5"/>
      <c r="E3" s="4" t="s">
        <v>26</v>
      </c>
      <c r="F3" s="4" t="s">
        <v>77</v>
      </c>
      <c r="G3" s="4" t="s">
        <v>123</v>
      </c>
      <c r="H3" s="6" t="s">
        <v>29</v>
      </c>
      <c r="I3" s="6" t="s">
        <v>78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17</v>
      </c>
      <c r="AF3" s="7">
        <v>32000</v>
      </c>
      <c r="AG3" s="6">
        <v>300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2</v>
      </c>
      <c r="AS3" s="7">
        <v>1700</v>
      </c>
      <c r="AT3" s="7">
        <v>2000</v>
      </c>
      <c r="AU3" s="8">
        <v>36000</v>
      </c>
      <c r="AV3" s="12">
        <v>36000</v>
      </c>
      <c r="AW3">
        <v>25200</v>
      </c>
    </row>
    <row r="4" spans="1:49" ht="19.2" x14ac:dyDescent="0.4">
      <c r="A4" s="1" t="s">
        <v>96</v>
      </c>
      <c r="B4" s="4" t="s">
        <v>79</v>
      </c>
      <c r="C4" s="4">
        <v>457239</v>
      </c>
      <c r="D4" s="5"/>
      <c r="E4" s="4" t="s">
        <v>26</v>
      </c>
      <c r="F4" s="4" t="s">
        <v>80</v>
      </c>
      <c r="G4" s="4" t="s">
        <v>123</v>
      </c>
      <c r="H4" s="6" t="s">
        <v>29</v>
      </c>
      <c r="I4" s="6" t="s">
        <v>81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4</v>
      </c>
      <c r="AF4" s="7">
        <v>8000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1</v>
      </c>
      <c r="AS4" s="7">
        <v>2000</v>
      </c>
      <c r="AT4" s="6">
        <v>0</v>
      </c>
      <c r="AU4" s="8">
        <v>10000</v>
      </c>
      <c r="AV4" s="12">
        <v>10000</v>
      </c>
      <c r="AW4">
        <v>7000</v>
      </c>
    </row>
    <row r="5" spans="1:49" ht="19.2" x14ac:dyDescent="0.4">
      <c r="A5" s="1" t="s">
        <v>96</v>
      </c>
      <c r="B5" s="4" t="s">
        <v>82</v>
      </c>
      <c r="C5" s="4">
        <v>457673</v>
      </c>
      <c r="D5" s="5"/>
      <c r="E5" s="4" t="s">
        <v>26</v>
      </c>
      <c r="F5" s="4" t="s">
        <v>83</v>
      </c>
      <c r="G5" s="4" t="s">
        <v>123</v>
      </c>
      <c r="H5" s="6" t="s">
        <v>29</v>
      </c>
      <c r="I5" s="6" t="s">
        <v>84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4</v>
      </c>
      <c r="AF5" s="7">
        <v>7800</v>
      </c>
      <c r="AG5" s="6">
        <v>200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1</v>
      </c>
      <c r="AS5" s="7">
        <v>2000</v>
      </c>
      <c r="AT5" s="6">
        <v>0</v>
      </c>
      <c r="AU5" s="8">
        <v>10000</v>
      </c>
      <c r="AV5" s="12">
        <v>10000</v>
      </c>
      <c r="AW5">
        <v>7000</v>
      </c>
    </row>
    <row r="6" spans="1:49" ht="19.2" x14ac:dyDescent="0.4">
      <c r="A6" s="1" t="s">
        <v>96</v>
      </c>
      <c r="B6" s="4" t="s">
        <v>85</v>
      </c>
      <c r="C6" s="4">
        <v>457068</v>
      </c>
      <c r="D6" s="5"/>
      <c r="E6" s="4" t="s">
        <v>26</v>
      </c>
      <c r="F6" s="4" t="s">
        <v>86</v>
      </c>
      <c r="G6" s="4" t="s">
        <v>123</v>
      </c>
      <c r="H6" s="6" t="s">
        <v>29</v>
      </c>
      <c r="I6" s="6" t="s">
        <v>87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3</v>
      </c>
      <c r="AF6" s="7">
        <v>7500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8">
        <v>7500</v>
      </c>
      <c r="AV6" s="12">
        <v>7500</v>
      </c>
      <c r="AW6">
        <v>5250</v>
      </c>
    </row>
    <row r="7" spans="1:49" ht="19.2" x14ac:dyDescent="0.4">
      <c r="A7" s="1" t="s">
        <v>122</v>
      </c>
      <c r="B7" s="4" t="s">
        <v>73</v>
      </c>
      <c r="C7" s="4">
        <v>457533</v>
      </c>
      <c r="D7" s="5"/>
      <c r="E7" s="4" t="s">
        <v>26</v>
      </c>
      <c r="F7" s="4" t="s">
        <v>74</v>
      </c>
      <c r="G7" s="4" t="s">
        <v>123</v>
      </c>
      <c r="H7" s="6" t="s">
        <v>29</v>
      </c>
      <c r="I7" s="6" t="s">
        <v>75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98</v>
      </c>
      <c r="AF7" s="7">
        <v>213600</v>
      </c>
      <c r="AG7" s="7">
        <v>26100</v>
      </c>
      <c r="AH7" s="6">
        <v>0</v>
      </c>
      <c r="AI7" s="6">
        <v>0</v>
      </c>
      <c r="AJ7" s="6">
        <v>0</v>
      </c>
      <c r="AK7" s="6">
        <v>7</v>
      </c>
      <c r="AL7" s="7">
        <v>3000</v>
      </c>
      <c r="AM7" s="7">
        <v>3400</v>
      </c>
      <c r="AN7" s="6">
        <v>900</v>
      </c>
      <c r="AO7" s="6">
        <v>0</v>
      </c>
      <c r="AP7" s="6">
        <v>0</v>
      </c>
      <c r="AQ7" s="6">
        <v>0</v>
      </c>
      <c r="AR7" s="6">
        <v>7</v>
      </c>
      <c r="AS7" s="7">
        <v>16900</v>
      </c>
      <c r="AT7" s="6">
        <v>0</v>
      </c>
      <c r="AU7" s="8">
        <v>263000</v>
      </c>
      <c r="AV7" s="12">
        <v>262100</v>
      </c>
      <c r="AW7">
        <v>183470</v>
      </c>
    </row>
    <row r="8" spans="1:49" ht="19.2" x14ac:dyDescent="0.4">
      <c r="A8" s="1" t="s">
        <v>122</v>
      </c>
      <c r="B8" s="4" t="s">
        <v>76</v>
      </c>
      <c r="C8" s="4">
        <v>457534</v>
      </c>
      <c r="D8" s="5"/>
      <c r="E8" s="4" t="s">
        <v>26</v>
      </c>
      <c r="F8" s="4" t="s">
        <v>77</v>
      </c>
      <c r="G8" s="4" t="s">
        <v>123</v>
      </c>
      <c r="H8" s="6" t="s">
        <v>29</v>
      </c>
      <c r="I8" s="6" t="s">
        <v>78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30</v>
      </c>
      <c r="AF8" s="7">
        <v>56100</v>
      </c>
      <c r="AG8" s="7">
        <v>2500</v>
      </c>
      <c r="AH8" s="6">
        <v>0</v>
      </c>
      <c r="AI8" s="6">
        <v>0</v>
      </c>
      <c r="AJ8" s="6">
        <v>0</v>
      </c>
      <c r="AK8" s="6">
        <v>2</v>
      </c>
      <c r="AL8" s="6">
        <v>0</v>
      </c>
      <c r="AM8" s="7">
        <v>3400</v>
      </c>
      <c r="AN8" s="6">
        <v>0</v>
      </c>
      <c r="AO8" s="6">
        <v>0</v>
      </c>
      <c r="AP8" s="6">
        <v>0</v>
      </c>
      <c r="AQ8" s="6">
        <v>0</v>
      </c>
      <c r="AR8" s="6">
        <v>2</v>
      </c>
      <c r="AS8" s="7">
        <v>4000</v>
      </c>
      <c r="AT8" s="6">
        <v>0</v>
      </c>
      <c r="AU8" s="8">
        <v>66000</v>
      </c>
      <c r="AV8" s="12">
        <v>66000</v>
      </c>
      <c r="AW8">
        <v>46200</v>
      </c>
    </row>
    <row r="9" spans="1:49" ht="19.2" x14ac:dyDescent="0.4">
      <c r="A9" s="1" t="s">
        <v>122</v>
      </c>
      <c r="B9" s="4" t="s">
        <v>79</v>
      </c>
      <c r="C9" s="4">
        <v>457239</v>
      </c>
      <c r="D9" s="5"/>
      <c r="E9" s="4" t="s">
        <v>26</v>
      </c>
      <c r="F9" s="4" t="s">
        <v>80</v>
      </c>
      <c r="G9" s="4" t="s">
        <v>123</v>
      </c>
      <c r="H9" s="6" t="s">
        <v>29</v>
      </c>
      <c r="I9" s="6" t="s">
        <v>81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22</v>
      </c>
      <c r="AF9" s="7">
        <v>38100</v>
      </c>
      <c r="AG9" s="7">
        <v>2300</v>
      </c>
      <c r="AH9" s="6">
        <v>0</v>
      </c>
      <c r="AI9" s="6">
        <v>0</v>
      </c>
      <c r="AJ9" s="6">
        <v>0</v>
      </c>
      <c r="AK9" s="6">
        <v>3</v>
      </c>
      <c r="AL9" s="7">
        <v>4320</v>
      </c>
      <c r="AM9" s="6">
        <v>0</v>
      </c>
      <c r="AN9" s="14">
        <v>1296</v>
      </c>
      <c r="AO9" s="6">
        <v>0</v>
      </c>
      <c r="AP9" s="6">
        <v>0</v>
      </c>
      <c r="AQ9" s="6">
        <v>0</v>
      </c>
      <c r="AR9" s="6">
        <v>1</v>
      </c>
      <c r="AS9" s="7">
        <v>2000</v>
      </c>
      <c r="AT9" s="6">
        <v>0</v>
      </c>
      <c r="AU9" s="8">
        <v>46720</v>
      </c>
      <c r="AV9" s="12">
        <v>45424</v>
      </c>
      <c r="AW9">
        <v>31796.799999999999</v>
      </c>
    </row>
    <row r="10" spans="1:49" ht="19.2" x14ac:dyDescent="0.4">
      <c r="A10" s="1" t="s">
        <v>122</v>
      </c>
      <c r="B10" s="4" t="s">
        <v>82</v>
      </c>
      <c r="C10" s="4">
        <v>457673</v>
      </c>
      <c r="D10" s="5"/>
      <c r="E10" s="4" t="s">
        <v>26</v>
      </c>
      <c r="F10" s="4" t="s">
        <v>83</v>
      </c>
      <c r="G10" s="4" t="s">
        <v>123</v>
      </c>
      <c r="H10" s="6" t="s">
        <v>29</v>
      </c>
      <c r="I10" s="6" t="s">
        <v>84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14</v>
      </c>
      <c r="AF10" s="7">
        <v>26000</v>
      </c>
      <c r="AG10" s="7">
        <v>2000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2</v>
      </c>
      <c r="AS10" s="7">
        <v>4000</v>
      </c>
      <c r="AT10" s="6">
        <v>0</v>
      </c>
      <c r="AU10" s="8">
        <v>32000</v>
      </c>
      <c r="AV10" s="12">
        <v>32000</v>
      </c>
      <c r="AW10">
        <v>22400</v>
      </c>
    </row>
    <row r="11" spans="1:49" ht="19.2" x14ac:dyDescent="0.4">
      <c r="A11" s="1" t="s">
        <v>122</v>
      </c>
      <c r="B11" s="4" t="s">
        <v>85</v>
      </c>
      <c r="C11" s="4">
        <v>457068</v>
      </c>
      <c r="D11" s="5"/>
      <c r="E11" s="4" t="s">
        <v>26</v>
      </c>
      <c r="F11" s="4" t="s">
        <v>86</v>
      </c>
      <c r="G11" s="4" t="s">
        <v>123</v>
      </c>
      <c r="H11" s="6" t="s">
        <v>29</v>
      </c>
      <c r="I11" s="6" t="s">
        <v>87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4</v>
      </c>
      <c r="AF11" s="7">
        <v>8000</v>
      </c>
      <c r="AG11" s="7">
        <v>2000</v>
      </c>
      <c r="AH11" s="6">
        <v>0</v>
      </c>
      <c r="AI11" s="6">
        <v>0</v>
      </c>
      <c r="AJ11" s="6">
        <v>0</v>
      </c>
      <c r="AK11" s="6">
        <v>1</v>
      </c>
      <c r="AL11" s="7">
        <v>3000</v>
      </c>
      <c r="AM11" s="6">
        <v>0</v>
      </c>
      <c r="AN11" s="6">
        <v>900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8">
        <v>13000</v>
      </c>
      <c r="AV11" s="12">
        <v>12100</v>
      </c>
      <c r="AW11">
        <v>8470</v>
      </c>
    </row>
    <row r="12" spans="1:49" x14ac:dyDescent="0.4">
      <c r="A12" s="1" t="s">
        <v>122</v>
      </c>
      <c r="B12" s="4" t="s">
        <v>119</v>
      </c>
      <c r="C12" s="4">
        <v>457676</v>
      </c>
      <c r="D12" s="5"/>
      <c r="E12" s="4" t="s">
        <v>26</v>
      </c>
      <c r="F12" s="4" t="s">
        <v>120</v>
      </c>
      <c r="G12" s="4" t="s">
        <v>123</v>
      </c>
      <c r="H12" s="6" t="s">
        <v>8</v>
      </c>
      <c r="I12" s="6" t="s">
        <v>121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9">
        <v>0</v>
      </c>
      <c r="AV12" s="12">
        <v>0</v>
      </c>
      <c r="AW12">
        <v>0</v>
      </c>
    </row>
    <row r="13" spans="1:49" x14ac:dyDescent="0.4">
      <c r="AW13" s="16">
        <f>SUM(AW2:AW12)</f>
        <v>373536.8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23"/>
  <sheetViews>
    <sheetView topLeftCell="P10" workbookViewId="0">
      <selection activeCell="P2" sqref="A2:XFD22"/>
    </sheetView>
  </sheetViews>
  <sheetFormatPr defaultRowHeight="17.399999999999999" x14ac:dyDescent="0.4"/>
  <cols>
    <col min="1" max="1" width="11.39843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6.7968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28" width="3.59765625" bestFit="1" customWidth="1"/>
    <col min="29" max="29" width="5" bestFit="1" customWidth="1"/>
    <col min="30" max="31" width="3.59765625" bestFit="1" customWidth="1"/>
    <col min="32" max="32" width="5" bestFit="1" customWidth="1"/>
    <col min="33" max="34" width="3.59765625" bestFit="1" customWidth="1"/>
    <col min="35" max="35" width="5" bestFit="1" customWidth="1"/>
    <col min="36" max="37" width="3.59765625" bestFit="1" customWidth="1"/>
    <col min="38" max="38" width="5" bestFit="1" customWidth="1"/>
    <col min="39" max="39" width="3.59765625" bestFit="1" customWidth="1"/>
    <col min="40" max="40" width="7.8984375" bestFit="1" customWidth="1"/>
    <col min="41" max="41" width="3.59765625" bestFit="1" customWidth="1"/>
    <col min="42" max="42" width="5" bestFit="1" customWidth="1"/>
    <col min="43" max="44" width="3.59765625" bestFit="1" customWidth="1"/>
    <col min="45" max="45" width="5" bestFit="1" customWidth="1"/>
    <col min="46" max="46" width="3.59765625" bestFit="1" customWidth="1"/>
    <col min="47" max="47" width="6.69921875" bestFit="1" customWidth="1"/>
    <col min="48" max="48" width="9.796875" bestFit="1" customWidth="1"/>
    <col min="49" max="49" width="9.199218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x14ac:dyDescent="0.4">
      <c r="A2" s="1" t="s">
        <v>96</v>
      </c>
      <c r="B2" s="4" t="s">
        <v>63</v>
      </c>
      <c r="C2" s="4">
        <v>454228</v>
      </c>
      <c r="D2" s="5"/>
      <c r="E2" s="4" t="s">
        <v>26</v>
      </c>
      <c r="F2" s="4" t="s">
        <v>53</v>
      </c>
      <c r="G2" s="4" t="s">
        <v>41</v>
      </c>
      <c r="H2" s="6" t="s">
        <v>8</v>
      </c>
      <c r="I2" s="6" t="s">
        <v>64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5</v>
      </c>
      <c r="AC2" s="7">
        <v>4500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1</v>
      </c>
      <c r="AP2" s="6">
        <v>900</v>
      </c>
      <c r="AQ2" s="6">
        <v>0</v>
      </c>
      <c r="AR2" s="6">
        <v>0</v>
      </c>
      <c r="AS2" s="6">
        <v>0</v>
      </c>
      <c r="AT2" s="6">
        <v>0</v>
      </c>
      <c r="AU2" s="8">
        <v>5400</v>
      </c>
      <c r="AV2" s="12">
        <v>5400</v>
      </c>
      <c r="AW2">
        <v>3779.9999999999995</v>
      </c>
    </row>
    <row r="3" spans="1:49" x14ac:dyDescent="0.4">
      <c r="A3" s="1" t="s">
        <v>96</v>
      </c>
      <c r="B3" s="4" t="s">
        <v>88</v>
      </c>
      <c r="C3" s="4">
        <v>455900</v>
      </c>
      <c r="D3" s="5"/>
      <c r="E3" s="4" t="s">
        <v>26</v>
      </c>
      <c r="F3" s="4" t="s">
        <v>53</v>
      </c>
      <c r="G3" s="4" t="s">
        <v>41</v>
      </c>
      <c r="H3" s="6" t="s">
        <v>8</v>
      </c>
      <c r="I3" s="6" t="s">
        <v>89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1</v>
      </c>
      <c r="AF3" s="6">
        <v>700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2</v>
      </c>
      <c r="AS3" s="7">
        <v>3300</v>
      </c>
      <c r="AT3" s="6">
        <v>0</v>
      </c>
      <c r="AU3" s="8">
        <v>4000</v>
      </c>
      <c r="AV3" s="12">
        <v>4000</v>
      </c>
      <c r="AW3">
        <v>2800</v>
      </c>
    </row>
    <row r="4" spans="1:49" x14ac:dyDescent="0.4">
      <c r="A4" s="1" t="s">
        <v>96</v>
      </c>
      <c r="B4" s="4" t="s">
        <v>65</v>
      </c>
      <c r="C4" s="4">
        <v>451972</v>
      </c>
      <c r="D4" s="5"/>
      <c r="E4" s="4" t="s">
        <v>26</v>
      </c>
      <c r="F4" s="4" t="s">
        <v>53</v>
      </c>
      <c r="G4" s="4" t="s">
        <v>41</v>
      </c>
      <c r="H4" s="6" t="s">
        <v>8</v>
      </c>
      <c r="I4" s="6" t="s">
        <v>55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4</v>
      </c>
      <c r="AC4" s="7">
        <v>3600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8">
        <v>3600</v>
      </c>
      <c r="AV4" s="12">
        <v>3600</v>
      </c>
      <c r="AW4">
        <v>2520</v>
      </c>
    </row>
    <row r="5" spans="1:49" ht="19.2" x14ac:dyDescent="0.4">
      <c r="A5" s="1" t="s">
        <v>96</v>
      </c>
      <c r="B5" s="4" t="s">
        <v>54</v>
      </c>
      <c r="C5" s="4">
        <v>453445</v>
      </c>
      <c r="D5" s="5"/>
      <c r="E5" s="4" t="s">
        <v>26</v>
      </c>
      <c r="F5" s="4" t="s">
        <v>53</v>
      </c>
      <c r="G5" s="4" t="s">
        <v>41</v>
      </c>
      <c r="H5" s="6" t="s">
        <v>9</v>
      </c>
      <c r="I5" s="6" t="s">
        <v>55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2</v>
      </c>
      <c r="AC5" s="7">
        <v>1800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2</v>
      </c>
      <c r="AP5" s="7">
        <v>1800</v>
      </c>
      <c r="AQ5" s="6">
        <v>0</v>
      </c>
      <c r="AR5" s="6">
        <v>0</v>
      </c>
      <c r="AS5" s="6">
        <v>0</v>
      </c>
      <c r="AT5" s="6">
        <v>0</v>
      </c>
      <c r="AU5" s="8">
        <v>3600</v>
      </c>
      <c r="AV5" s="12">
        <v>3600</v>
      </c>
      <c r="AW5">
        <v>2520</v>
      </c>
    </row>
    <row r="6" spans="1:49" ht="19.2" x14ac:dyDescent="0.4">
      <c r="A6" s="1" t="s">
        <v>96</v>
      </c>
      <c r="B6" s="4" t="s">
        <v>46</v>
      </c>
      <c r="C6" s="4">
        <v>445576</v>
      </c>
      <c r="D6" s="5"/>
      <c r="E6" s="4" t="s">
        <v>26</v>
      </c>
      <c r="F6" s="4" t="s">
        <v>53</v>
      </c>
      <c r="G6" s="4" t="s">
        <v>41</v>
      </c>
      <c r="H6" s="6" t="s">
        <v>8</v>
      </c>
      <c r="I6" s="6" t="s">
        <v>47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1</v>
      </c>
      <c r="AC6" s="6">
        <v>900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9">
        <v>900</v>
      </c>
      <c r="AV6" s="12">
        <v>900</v>
      </c>
      <c r="AW6">
        <v>630</v>
      </c>
    </row>
    <row r="7" spans="1:49" ht="19.2" x14ac:dyDescent="0.4">
      <c r="A7" s="1" t="s">
        <v>96</v>
      </c>
      <c r="B7" s="4" t="s">
        <v>66</v>
      </c>
      <c r="C7" s="4">
        <v>453397</v>
      </c>
      <c r="D7" s="5"/>
      <c r="E7" s="4" t="s">
        <v>26</v>
      </c>
      <c r="F7" s="4" t="s">
        <v>53</v>
      </c>
      <c r="G7" s="4" t="s">
        <v>41</v>
      </c>
      <c r="H7" s="6" t="s">
        <v>9</v>
      </c>
      <c r="I7" s="6" t="s">
        <v>55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4</v>
      </c>
      <c r="AF7" s="6">
        <v>200</v>
      </c>
      <c r="AG7" s="6">
        <v>200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9">
        <v>400</v>
      </c>
      <c r="AV7" s="12">
        <v>400</v>
      </c>
      <c r="AW7">
        <v>280</v>
      </c>
    </row>
    <row r="8" spans="1:49" x14ac:dyDescent="0.4">
      <c r="A8" s="1" t="s">
        <v>96</v>
      </c>
      <c r="B8" s="4" t="s">
        <v>39</v>
      </c>
      <c r="C8" s="4">
        <v>367415</v>
      </c>
      <c r="D8" s="5"/>
      <c r="E8" s="4" t="s">
        <v>26</v>
      </c>
      <c r="F8" s="4" t="s">
        <v>35</v>
      </c>
      <c r="G8" s="4" t="s">
        <v>41</v>
      </c>
      <c r="H8" s="6" t="s">
        <v>8</v>
      </c>
      <c r="I8" s="6" t="s">
        <v>40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6">
        <v>100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9">
        <v>100</v>
      </c>
      <c r="AV8" s="12">
        <v>100</v>
      </c>
      <c r="AW8">
        <v>70</v>
      </c>
    </row>
    <row r="9" spans="1:49" x14ac:dyDescent="0.4">
      <c r="A9" s="1" t="s">
        <v>96</v>
      </c>
      <c r="B9" s="4" t="s">
        <v>95</v>
      </c>
      <c r="C9" s="4">
        <v>455896</v>
      </c>
      <c r="D9" s="5"/>
      <c r="E9" s="4" t="s">
        <v>26</v>
      </c>
      <c r="F9" s="4" t="s">
        <v>53</v>
      </c>
      <c r="G9" s="4" t="s">
        <v>41</v>
      </c>
      <c r="H9" s="6" t="s">
        <v>8</v>
      </c>
      <c r="I9" s="6" t="s">
        <v>89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1</v>
      </c>
      <c r="AF9" s="6">
        <v>100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9">
        <v>100</v>
      </c>
      <c r="AV9" s="12">
        <v>100</v>
      </c>
      <c r="AW9">
        <v>70</v>
      </c>
    </row>
    <row r="10" spans="1:49" ht="19.2" x14ac:dyDescent="0.4">
      <c r="A10" s="1" t="s">
        <v>103</v>
      </c>
      <c r="B10" s="4" t="s">
        <v>54</v>
      </c>
      <c r="C10" s="4">
        <v>453445</v>
      </c>
      <c r="D10" s="5"/>
      <c r="E10" s="4" t="s">
        <v>26</v>
      </c>
      <c r="F10" s="4" t="s">
        <v>53</v>
      </c>
      <c r="G10" s="4" t="s">
        <v>41</v>
      </c>
      <c r="H10" s="6" t="s">
        <v>9</v>
      </c>
      <c r="I10" s="6" t="s">
        <v>55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18</v>
      </c>
      <c r="AC10" s="7">
        <v>16200</v>
      </c>
      <c r="AD10" s="6">
        <v>0</v>
      </c>
      <c r="AE10" s="6">
        <v>5</v>
      </c>
      <c r="AF10" s="7">
        <v>10000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8</v>
      </c>
      <c r="AP10" s="7">
        <v>7200</v>
      </c>
      <c r="AQ10" s="6">
        <v>0</v>
      </c>
      <c r="AR10" s="6">
        <v>0</v>
      </c>
      <c r="AS10" s="6">
        <v>0</v>
      </c>
      <c r="AT10" s="6">
        <v>0</v>
      </c>
      <c r="AU10" s="8">
        <v>33400</v>
      </c>
      <c r="AV10" s="12">
        <v>33400</v>
      </c>
      <c r="AW10">
        <v>23380</v>
      </c>
    </row>
    <row r="11" spans="1:49" x14ac:dyDescent="0.4">
      <c r="A11" s="1" t="s">
        <v>103</v>
      </c>
      <c r="B11" s="4" t="s">
        <v>95</v>
      </c>
      <c r="C11" s="4">
        <v>455896</v>
      </c>
      <c r="D11" s="5"/>
      <c r="E11" s="4" t="s">
        <v>26</v>
      </c>
      <c r="F11" s="4" t="s">
        <v>53</v>
      </c>
      <c r="G11" s="4" t="s">
        <v>41</v>
      </c>
      <c r="H11" s="6" t="s">
        <v>8</v>
      </c>
      <c r="I11" s="6" t="s">
        <v>89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201</v>
      </c>
      <c r="AF11" s="7">
        <v>20100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88</v>
      </c>
      <c r="AS11" s="7">
        <v>8800</v>
      </c>
      <c r="AT11" s="6">
        <v>0</v>
      </c>
      <c r="AU11" s="8">
        <v>28900</v>
      </c>
      <c r="AV11" s="12">
        <v>28900</v>
      </c>
      <c r="AW11">
        <v>20230</v>
      </c>
    </row>
    <row r="12" spans="1:49" x14ac:dyDescent="0.4">
      <c r="A12" s="1" t="s">
        <v>103</v>
      </c>
      <c r="B12" s="4" t="s">
        <v>65</v>
      </c>
      <c r="C12" s="4">
        <v>451972</v>
      </c>
      <c r="D12" s="5"/>
      <c r="E12" s="4" t="s">
        <v>26</v>
      </c>
      <c r="F12" s="4" t="s">
        <v>53</v>
      </c>
      <c r="G12" s="4" t="s">
        <v>41</v>
      </c>
      <c r="H12" s="6" t="s">
        <v>8</v>
      </c>
      <c r="I12" s="6" t="s">
        <v>55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19</v>
      </c>
      <c r="AC12" s="7">
        <v>17100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8">
        <v>17100</v>
      </c>
      <c r="AV12" s="12">
        <v>17100</v>
      </c>
      <c r="AW12">
        <v>11970</v>
      </c>
    </row>
    <row r="13" spans="1:49" x14ac:dyDescent="0.4">
      <c r="A13" s="1" t="s">
        <v>103</v>
      </c>
      <c r="B13" s="4" t="s">
        <v>88</v>
      </c>
      <c r="C13" s="4">
        <v>455900</v>
      </c>
      <c r="D13" s="5"/>
      <c r="E13" s="4" t="s">
        <v>26</v>
      </c>
      <c r="F13" s="4" t="s">
        <v>53</v>
      </c>
      <c r="G13" s="4" t="s">
        <v>41</v>
      </c>
      <c r="H13" s="6" t="s">
        <v>8</v>
      </c>
      <c r="I13" s="6" t="s">
        <v>89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5</v>
      </c>
      <c r="AC13" s="7">
        <v>3700</v>
      </c>
      <c r="AD13" s="6">
        <v>0</v>
      </c>
      <c r="AE13" s="6">
        <v>5</v>
      </c>
      <c r="AF13" s="7">
        <v>9100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1</v>
      </c>
      <c r="AP13" s="6">
        <v>800</v>
      </c>
      <c r="AQ13" s="6">
        <v>0</v>
      </c>
      <c r="AR13" s="6">
        <v>2</v>
      </c>
      <c r="AS13" s="7">
        <v>2000</v>
      </c>
      <c r="AT13" s="6">
        <v>900</v>
      </c>
      <c r="AU13" s="8">
        <v>16500</v>
      </c>
      <c r="AV13" s="12">
        <v>16500</v>
      </c>
      <c r="AW13">
        <v>11550</v>
      </c>
    </row>
    <row r="14" spans="1:49" ht="19.2" x14ac:dyDescent="0.4">
      <c r="A14" s="1" t="s">
        <v>103</v>
      </c>
      <c r="B14" s="4" t="s">
        <v>66</v>
      </c>
      <c r="C14" s="4">
        <v>453397</v>
      </c>
      <c r="D14" s="5"/>
      <c r="E14" s="4" t="s">
        <v>26</v>
      </c>
      <c r="F14" s="4" t="s">
        <v>53</v>
      </c>
      <c r="G14" s="4" t="s">
        <v>41</v>
      </c>
      <c r="H14" s="6" t="s">
        <v>9</v>
      </c>
      <c r="I14" s="6" t="s">
        <v>55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103</v>
      </c>
      <c r="AF14" s="7">
        <v>8400</v>
      </c>
      <c r="AG14" s="7">
        <v>1900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8">
        <v>10300</v>
      </c>
      <c r="AV14" s="12">
        <v>10300</v>
      </c>
      <c r="AW14">
        <v>7209.9999999999991</v>
      </c>
    </row>
    <row r="15" spans="1:49" x14ac:dyDescent="0.4">
      <c r="A15" s="1" t="s">
        <v>103</v>
      </c>
      <c r="B15" s="4" t="s">
        <v>63</v>
      </c>
      <c r="C15" s="4">
        <v>454228</v>
      </c>
      <c r="D15" s="5"/>
      <c r="E15" s="4" t="s">
        <v>26</v>
      </c>
      <c r="F15" s="4" t="s">
        <v>53</v>
      </c>
      <c r="G15" s="4" t="s">
        <v>41</v>
      </c>
      <c r="H15" s="6" t="s">
        <v>8</v>
      </c>
      <c r="I15" s="6" t="s">
        <v>64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7</v>
      </c>
      <c r="AC15" s="7">
        <v>6300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8">
        <v>6300</v>
      </c>
      <c r="AV15" s="12">
        <v>6300</v>
      </c>
      <c r="AW15">
        <v>4410</v>
      </c>
    </row>
    <row r="16" spans="1:49" x14ac:dyDescent="0.4">
      <c r="A16" s="1" t="s">
        <v>103</v>
      </c>
      <c r="B16" s="4" t="s">
        <v>97</v>
      </c>
      <c r="C16" s="4">
        <v>408836</v>
      </c>
      <c r="D16" s="5"/>
      <c r="E16" s="4" t="s">
        <v>26</v>
      </c>
      <c r="F16" s="4" t="s">
        <v>27</v>
      </c>
      <c r="G16" s="4" t="s">
        <v>41</v>
      </c>
      <c r="H16" s="6" t="s">
        <v>8</v>
      </c>
      <c r="I16" s="6" t="s">
        <v>98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7</v>
      </c>
      <c r="AC16" s="7">
        <v>4900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8">
        <v>4900</v>
      </c>
      <c r="AV16" s="12">
        <v>4900</v>
      </c>
      <c r="AW16">
        <v>3430</v>
      </c>
    </row>
    <row r="17" spans="1:49" x14ac:dyDescent="0.4">
      <c r="A17" s="1" t="s">
        <v>103</v>
      </c>
      <c r="B17" s="4" t="s">
        <v>39</v>
      </c>
      <c r="C17" s="4">
        <v>367415</v>
      </c>
      <c r="D17" s="5"/>
      <c r="E17" s="4" t="s">
        <v>26</v>
      </c>
      <c r="F17" s="4" t="s">
        <v>35</v>
      </c>
      <c r="G17" s="4" t="s">
        <v>41</v>
      </c>
      <c r="H17" s="6" t="s">
        <v>8</v>
      </c>
      <c r="I17" s="6" t="s">
        <v>40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43</v>
      </c>
      <c r="AF17" s="7">
        <v>3500</v>
      </c>
      <c r="AG17" s="6">
        <v>800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8">
        <v>4300</v>
      </c>
      <c r="AV17" s="12">
        <v>4300</v>
      </c>
      <c r="AW17">
        <v>3010</v>
      </c>
    </row>
    <row r="18" spans="1:49" x14ac:dyDescent="0.4">
      <c r="A18" s="1" t="s">
        <v>103</v>
      </c>
      <c r="B18" s="4" t="s">
        <v>50</v>
      </c>
      <c r="C18" s="4">
        <v>382098</v>
      </c>
      <c r="D18" s="5"/>
      <c r="E18" s="4" t="s">
        <v>26</v>
      </c>
      <c r="F18" s="4" t="s">
        <v>53</v>
      </c>
      <c r="G18" s="4" t="s">
        <v>41</v>
      </c>
      <c r="H18" s="6" t="s">
        <v>8</v>
      </c>
      <c r="I18" s="6" t="s">
        <v>51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4</v>
      </c>
      <c r="AC18" s="7">
        <v>3600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8">
        <v>3600</v>
      </c>
      <c r="AV18" s="12">
        <v>3600</v>
      </c>
      <c r="AW18">
        <v>2520</v>
      </c>
    </row>
    <row r="19" spans="1:49" x14ac:dyDescent="0.4">
      <c r="A19" s="1" t="s">
        <v>103</v>
      </c>
      <c r="B19" s="4" t="s">
        <v>37</v>
      </c>
      <c r="C19" s="4">
        <v>380954</v>
      </c>
      <c r="D19" s="5"/>
      <c r="E19" s="4" t="s">
        <v>26</v>
      </c>
      <c r="F19" s="4" t="s">
        <v>35</v>
      </c>
      <c r="G19" s="4" t="s">
        <v>41</v>
      </c>
      <c r="H19" s="6" t="s">
        <v>8</v>
      </c>
      <c r="I19" s="6" t="s">
        <v>36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3</v>
      </c>
      <c r="AC19" s="7">
        <v>2700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8">
        <v>2700</v>
      </c>
      <c r="AV19" s="12">
        <v>2700</v>
      </c>
      <c r="AW19">
        <v>1889.9999999999998</v>
      </c>
    </row>
    <row r="20" spans="1:49" x14ac:dyDescent="0.4">
      <c r="A20" s="1" t="s">
        <v>103</v>
      </c>
      <c r="B20" s="4" t="s">
        <v>44</v>
      </c>
      <c r="C20" s="4">
        <v>361185</v>
      </c>
      <c r="D20" s="5"/>
      <c r="E20" s="4" t="s">
        <v>26</v>
      </c>
      <c r="F20" s="4" t="s">
        <v>27</v>
      </c>
      <c r="G20" s="4" t="s">
        <v>41</v>
      </c>
      <c r="H20" s="6" t="s">
        <v>8</v>
      </c>
      <c r="I20" s="6" t="s">
        <v>45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10</v>
      </c>
      <c r="T20" s="6">
        <v>1</v>
      </c>
      <c r="U20" s="6">
        <v>0</v>
      </c>
      <c r="V20" s="7">
        <v>1000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8">
        <v>1000</v>
      </c>
      <c r="AV20" s="12">
        <v>1000</v>
      </c>
      <c r="AW20">
        <v>700</v>
      </c>
    </row>
    <row r="21" spans="1:49" ht="19.2" x14ac:dyDescent="0.4">
      <c r="A21" s="1" t="s">
        <v>103</v>
      </c>
      <c r="B21" s="4" t="s">
        <v>46</v>
      </c>
      <c r="C21" s="4">
        <v>445576</v>
      </c>
      <c r="D21" s="5"/>
      <c r="E21" s="4" t="s">
        <v>26</v>
      </c>
      <c r="F21" s="4" t="s">
        <v>53</v>
      </c>
      <c r="G21" s="4" t="s">
        <v>41</v>
      </c>
      <c r="H21" s="6" t="s">
        <v>8</v>
      </c>
      <c r="I21" s="6" t="s">
        <v>47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1</v>
      </c>
      <c r="AC21" s="6">
        <v>900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9">
        <v>900</v>
      </c>
      <c r="AV21" s="12">
        <v>900</v>
      </c>
      <c r="AW21">
        <v>630</v>
      </c>
    </row>
    <row r="22" spans="1:49" x14ac:dyDescent="0.4">
      <c r="A22" s="1" t="s">
        <v>103</v>
      </c>
      <c r="B22" s="4" t="s">
        <v>67</v>
      </c>
      <c r="C22" s="4">
        <v>451947</v>
      </c>
      <c r="D22" s="5"/>
      <c r="E22" s="4" t="s">
        <v>26</v>
      </c>
      <c r="F22" s="4" t="s">
        <v>53</v>
      </c>
      <c r="G22" s="4" t="s">
        <v>41</v>
      </c>
      <c r="H22" s="6" t="s">
        <v>8</v>
      </c>
      <c r="I22" s="6" t="s">
        <v>55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8</v>
      </c>
      <c r="AF22" s="6">
        <v>800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9">
        <v>800</v>
      </c>
      <c r="AV22" s="12">
        <v>800</v>
      </c>
      <c r="AW22">
        <v>560</v>
      </c>
    </row>
    <row r="23" spans="1:49" x14ac:dyDescent="0.4">
      <c r="AW23" s="16">
        <f>SUM(AW2:AW22)</f>
        <v>104160</v>
      </c>
    </row>
  </sheetData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27"/>
  <sheetViews>
    <sheetView topLeftCell="O13" workbookViewId="0">
      <selection activeCell="O2" sqref="A2:XFD26"/>
    </sheetView>
  </sheetViews>
  <sheetFormatPr defaultRowHeight="17.399999999999999" x14ac:dyDescent="0.4"/>
  <cols>
    <col min="1" max="1" width="12.796875" bestFit="1" customWidth="1"/>
    <col min="2" max="2" width="9.296875" bestFit="1" customWidth="1"/>
    <col min="3" max="3" width="6.5" bestFit="1" customWidth="1"/>
    <col min="4" max="4" width="7.19921875" bestFit="1" customWidth="1"/>
    <col min="5" max="6" width="8.3984375" bestFit="1" customWidth="1"/>
    <col min="7" max="7" width="6" bestFit="1" customWidth="1"/>
    <col min="8" max="8" width="8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.69921875" bestFit="1" customWidth="1"/>
    <col min="48" max="48" width="9.796875" bestFit="1" customWidth="1"/>
    <col min="49" max="49" width="8.39843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ht="19.2" x14ac:dyDescent="0.4">
      <c r="A2" s="1" t="s">
        <v>96</v>
      </c>
      <c r="B2" s="4" t="s">
        <v>56</v>
      </c>
      <c r="C2" s="4">
        <v>395231</v>
      </c>
      <c r="D2" s="5"/>
      <c r="E2" s="4" t="s">
        <v>26</v>
      </c>
      <c r="F2" s="4" t="s">
        <v>28</v>
      </c>
      <c r="G2" s="4" t="s">
        <v>124</v>
      </c>
      <c r="H2" s="6" t="s">
        <v>29</v>
      </c>
      <c r="I2" s="6" t="s">
        <v>30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1</v>
      </c>
      <c r="AF2" s="7">
        <v>3500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8">
        <v>3500</v>
      </c>
      <c r="AV2" s="12">
        <v>3500</v>
      </c>
      <c r="AW2">
        <v>2450</v>
      </c>
    </row>
    <row r="3" spans="1:49" ht="19.2" x14ac:dyDescent="0.4">
      <c r="A3" s="1" t="s">
        <v>96</v>
      </c>
      <c r="B3" s="4" t="s">
        <v>57</v>
      </c>
      <c r="C3" s="4">
        <v>414543</v>
      </c>
      <c r="D3" s="5"/>
      <c r="E3" s="4" t="s">
        <v>26</v>
      </c>
      <c r="F3" s="4" t="s">
        <v>58</v>
      </c>
      <c r="G3" s="4" t="s">
        <v>124</v>
      </c>
      <c r="H3" s="6" t="s">
        <v>29</v>
      </c>
      <c r="I3" s="6" t="s">
        <v>59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1</v>
      </c>
      <c r="AF3" s="7">
        <v>3400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8">
        <v>3400</v>
      </c>
      <c r="AV3" s="12">
        <v>3400</v>
      </c>
      <c r="AW3">
        <v>2380</v>
      </c>
    </row>
    <row r="4" spans="1:49" ht="19.2" x14ac:dyDescent="0.4">
      <c r="A4" s="1" t="s">
        <v>96</v>
      </c>
      <c r="B4" s="4" t="s">
        <v>69</v>
      </c>
      <c r="C4" s="4">
        <v>361632</v>
      </c>
      <c r="D4" s="5"/>
      <c r="E4" s="4" t="s">
        <v>26</v>
      </c>
      <c r="F4" s="4" t="s">
        <v>70</v>
      </c>
      <c r="G4" s="4" t="s">
        <v>124</v>
      </c>
      <c r="H4" s="6" t="s">
        <v>29</v>
      </c>
      <c r="I4" s="6" t="s">
        <v>71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1</v>
      </c>
      <c r="AF4" s="7">
        <v>3200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8">
        <v>3200</v>
      </c>
      <c r="AV4" s="12">
        <v>3200</v>
      </c>
      <c r="AW4">
        <v>2240</v>
      </c>
    </row>
    <row r="5" spans="1:49" ht="19.2" x14ac:dyDescent="0.4">
      <c r="A5" s="1" t="s">
        <v>96</v>
      </c>
      <c r="B5" s="4" t="s">
        <v>31</v>
      </c>
      <c r="C5" s="4">
        <v>387161</v>
      </c>
      <c r="D5" s="5"/>
      <c r="E5" s="4" t="s">
        <v>26</v>
      </c>
      <c r="F5" s="4" t="s">
        <v>32</v>
      </c>
      <c r="G5" s="4" t="s">
        <v>124</v>
      </c>
      <c r="H5" s="6" t="s">
        <v>29</v>
      </c>
      <c r="I5" s="6" t="s">
        <v>33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1</v>
      </c>
      <c r="AF5" s="7">
        <v>3200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8">
        <v>3200</v>
      </c>
      <c r="AV5" s="12">
        <v>3200</v>
      </c>
      <c r="AW5">
        <v>2240</v>
      </c>
    </row>
    <row r="6" spans="1:49" ht="19.2" x14ac:dyDescent="0.4">
      <c r="A6" s="1" t="s">
        <v>96</v>
      </c>
      <c r="B6" s="4" t="s">
        <v>90</v>
      </c>
      <c r="C6" s="4">
        <v>316013</v>
      </c>
      <c r="D6" s="5"/>
      <c r="E6" s="4" t="s">
        <v>26</v>
      </c>
      <c r="F6" s="4" t="s">
        <v>91</v>
      </c>
      <c r="G6" s="4" t="s">
        <v>124</v>
      </c>
      <c r="H6" s="6" t="s">
        <v>29</v>
      </c>
      <c r="I6" s="6" t="s">
        <v>92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7">
        <v>3200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8">
        <v>3200</v>
      </c>
      <c r="AV6" s="12">
        <v>3200</v>
      </c>
      <c r="AW6">
        <v>2240</v>
      </c>
    </row>
    <row r="7" spans="1:49" ht="19.2" x14ac:dyDescent="0.4">
      <c r="A7" s="1" t="s">
        <v>96</v>
      </c>
      <c r="B7" s="4" t="s">
        <v>93</v>
      </c>
      <c r="C7" s="4">
        <v>456187</v>
      </c>
      <c r="D7" s="5"/>
      <c r="E7" s="4" t="s">
        <v>26</v>
      </c>
      <c r="F7" s="4" t="s">
        <v>58</v>
      </c>
      <c r="G7" s="4" t="s">
        <v>124</v>
      </c>
      <c r="H7" s="6" t="s">
        <v>9</v>
      </c>
      <c r="I7" s="6" t="s">
        <v>94</v>
      </c>
      <c r="J7" s="6">
        <v>2</v>
      </c>
      <c r="K7" s="6">
        <v>0</v>
      </c>
      <c r="L7" s="6">
        <v>200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17</v>
      </c>
      <c r="AF7" s="7">
        <v>1700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8">
        <v>1900</v>
      </c>
      <c r="AV7" s="12">
        <v>1900</v>
      </c>
      <c r="AW7">
        <v>1330</v>
      </c>
    </row>
    <row r="8" spans="1:49" ht="19.2" x14ac:dyDescent="0.4">
      <c r="A8" s="1" t="s">
        <v>96</v>
      </c>
      <c r="B8" s="4" t="s">
        <v>48</v>
      </c>
      <c r="C8" s="4">
        <v>448030</v>
      </c>
      <c r="D8" s="5"/>
      <c r="E8" s="4" t="s">
        <v>26</v>
      </c>
      <c r="F8" s="4" t="s">
        <v>38</v>
      </c>
      <c r="G8" s="4" t="s">
        <v>124</v>
      </c>
      <c r="H8" s="6" t="s">
        <v>9</v>
      </c>
      <c r="I8" s="6" t="s">
        <v>49</v>
      </c>
      <c r="J8" s="6">
        <v>0</v>
      </c>
      <c r="K8" s="6">
        <v>59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1</v>
      </c>
      <c r="AF8" s="6">
        <v>0</v>
      </c>
      <c r="AG8" s="6">
        <v>100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9">
        <v>100</v>
      </c>
      <c r="AV8" s="12">
        <v>100</v>
      </c>
      <c r="AW8">
        <v>70</v>
      </c>
    </row>
    <row r="9" spans="1:49" ht="19.2" x14ac:dyDescent="0.4">
      <c r="A9" s="1" t="s">
        <v>103</v>
      </c>
      <c r="B9" s="4" t="s">
        <v>93</v>
      </c>
      <c r="C9" s="4">
        <v>456187</v>
      </c>
      <c r="D9" s="5"/>
      <c r="E9" s="4" t="s">
        <v>26</v>
      </c>
      <c r="F9" s="4" t="s">
        <v>58</v>
      </c>
      <c r="G9" s="4" t="s">
        <v>124</v>
      </c>
      <c r="H9" s="6" t="s">
        <v>9</v>
      </c>
      <c r="I9" s="6" t="s">
        <v>94</v>
      </c>
      <c r="J9" s="6">
        <v>2</v>
      </c>
      <c r="K9" s="6">
        <v>0</v>
      </c>
      <c r="L9" s="6">
        <v>200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437</v>
      </c>
      <c r="AF9" s="7">
        <v>41000</v>
      </c>
      <c r="AG9" s="7">
        <v>2700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40</v>
      </c>
      <c r="AS9" s="7">
        <v>4000</v>
      </c>
      <c r="AT9" s="6">
        <v>0</v>
      </c>
      <c r="AU9" s="8">
        <v>47900</v>
      </c>
      <c r="AV9" s="12">
        <v>47900</v>
      </c>
      <c r="AW9">
        <v>33530</v>
      </c>
    </row>
    <row r="10" spans="1:49" ht="19.2" x14ac:dyDescent="0.4">
      <c r="A10" s="1" t="s">
        <v>103</v>
      </c>
      <c r="B10" s="4" t="s">
        <v>99</v>
      </c>
      <c r="C10" s="4">
        <v>443543</v>
      </c>
      <c r="D10" s="5"/>
      <c r="E10" s="4" t="s">
        <v>26</v>
      </c>
      <c r="F10" s="4" t="s">
        <v>91</v>
      </c>
      <c r="G10" s="4" t="s">
        <v>124</v>
      </c>
      <c r="H10" s="6" t="s">
        <v>9</v>
      </c>
      <c r="I10" s="6" t="s">
        <v>100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18</v>
      </c>
      <c r="AF10" s="7">
        <v>1800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8">
        <v>1800</v>
      </c>
      <c r="AV10" s="12">
        <v>1800</v>
      </c>
      <c r="AW10">
        <v>1260</v>
      </c>
    </row>
    <row r="11" spans="1:49" ht="19.2" x14ac:dyDescent="0.4">
      <c r="A11" s="1" t="s">
        <v>103</v>
      </c>
      <c r="B11" s="4" t="s">
        <v>101</v>
      </c>
      <c r="C11" s="4">
        <v>395341</v>
      </c>
      <c r="D11" s="5"/>
      <c r="E11" s="4" t="s">
        <v>26</v>
      </c>
      <c r="F11" s="4" t="s">
        <v>28</v>
      </c>
      <c r="G11" s="4" t="s">
        <v>124</v>
      </c>
      <c r="H11" s="6" t="s">
        <v>9</v>
      </c>
      <c r="I11" s="6" t="s">
        <v>102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4</v>
      </c>
      <c r="AF11" s="6">
        <v>400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9">
        <v>400</v>
      </c>
      <c r="AV11" s="12">
        <v>400</v>
      </c>
      <c r="AW11">
        <v>280</v>
      </c>
    </row>
    <row r="12" spans="1:49" ht="19.2" x14ac:dyDescent="0.4">
      <c r="A12" s="1" t="s">
        <v>103</v>
      </c>
      <c r="B12" s="4" t="s">
        <v>48</v>
      </c>
      <c r="C12" s="4">
        <v>448030</v>
      </c>
      <c r="D12" s="5"/>
      <c r="E12" s="4" t="s">
        <v>26</v>
      </c>
      <c r="F12" s="4" t="s">
        <v>38</v>
      </c>
      <c r="G12" s="4" t="s">
        <v>124</v>
      </c>
      <c r="H12" s="6" t="s">
        <v>9</v>
      </c>
      <c r="I12" s="6" t="s">
        <v>49</v>
      </c>
      <c r="J12" s="6">
        <v>0</v>
      </c>
      <c r="K12" s="6">
        <v>18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1</v>
      </c>
      <c r="AF12" s="6">
        <v>0</v>
      </c>
      <c r="AG12" s="6">
        <v>100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9">
        <v>100</v>
      </c>
      <c r="AV12" s="12">
        <v>100</v>
      </c>
      <c r="AW12">
        <v>70</v>
      </c>
    </row>
    <row r="13" spans="1:49" ht="19.2" x14ac:dyDescent="0.4">
      <c r="A13" s="1" t="s">
        <v>122</v>
      </c>
      <c r="B13" s="4" t="s">
        <v>31</v>
      </c>
      <c r="C13" s="4">
        <v>387161</v>
      </c>
      <c r="D13" s="5"/>
      <c r="E13" s="4" t="s">
        <v>26</v>
      </c>
      <c r="F13" s="4" t="s">
        <v>32</v>
      </c>
      <c r="G13" s="4" t="s">
        <v>124</v>
      </c>
      <c r="H13" s="6" t="s">
        <v>29</v>
      </c>
      <c r="I13" s="6" t="s">
        <v>33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4</v>
      </c>
      <c r="AF13" s="7">
        <v>12800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1</v>
      </c>
      <c r="AS13" s="7">
        <v>3200</v>
      </c>
      <c r="AT13" s="6">
        <v>0</v>
      </c>
      <c r="AU13" s="8">
        <v>16000</v>
      </c>
      <c r="AV13" s="12">
        <v>16000</v>
      </c>
      <c r="AW13">
        <v>11200</v>
      </c>
    </row>
    <row r="14" spans="1:49" ht="19.2" x14ac:dyDescent="0.4">
      <c r="A14" s="1" t="s">
        <v>122</v>
      </c>
      <c r="B14" s="4" t="s">
        <v>104</v>
      </c>
      <c r="C14" s="4">
        <v>371107</v>
      </c>
      <c r="D14" s="5"/>
      <c r="E14" s="4" t="s">
        <v>26</v>
      </c>
      <c r="F14" s="4" t="s">
        <v>91</v>
      </c>
      <c r="G14" s="4" t="s">
        <v>124</v>
      </c>
      <c r="H14" s="6" t="s">
        <v>29</v>
      </c>
      <c r="I14" s="6" t="s">
        <v>105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3</v>
      </c>
      <c r="AF14" s="6">
        <v>0</v>
      </c>
      <c r="AG14" s="7">
        <v>9000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8">
        <v>9000</v>
      </c>
      <c r="AV14" s="12">
        <v>9000</v>
      </c>
      <c r="AW14">
        <v>6300</v>
      </c>
    </row>
    <row r="15" spans="1:49" ht="19.2" x14ac:dyDescent="0.4">
      <c r="A15" s="1" t="s">
        <v>122</v>
      </c>
      <c r="B15" s="4" t="s">
        <v>57</v>
      </c>
      <c r="C15" s="4">
        <v>414543</v>
      </c>
      <c r="D15" s="5"/>
      <c r="E15" s="4" t="s">
        <v>26</v>
      </c>
      <c r="F15" s="4" t="s">
        <v>58</v>
      </c>
      <c r="G15" s="4" t="s">
        <v>124</v>
      </c>
      <c r="H15" s="6" t="s">
        <v>29</v>
      </c>
      <c r="I15" s="6" t="s">
        <v>59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1</v>
      </c>
      <c r="AF15" s="7">
        <v>3400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1</v>
      </c>
      <c r="AS15" s="7">
        <v>3400</v>
      </c>
      <c r="AT15" s="6">
        <v>0</v>
      </c>
      <c r="AU15" s="8">
        <v>6800</v>
      </c>
      <c r="AV15" s="12">
        <v>6800</v>
      </c>
      <c r="AW15">
        <v>4760</v>
      </c>
    </row>
    <row r="16" spans="1:49" ht="19.2" x14ac:dyDescent="0.4">
      <c r="A16" s="1" t="s">
        <v>122</v>
      </c>
      <c r="B16" s="4" t="s">
        <v>106</v>
      </c>
      <c r="C16" s="4">
        <v>423507</v>
      </c>
      <c r="D16" s="5"/>
      <c r="E16" s="4" t="s">
        <v>26</v>
      </c>
      <c r="F16" s="4" t="s">
        <v>107</v>
      </c>
      <c r="G16" s="4" t="s">
        <v>124</v>
      </c>
      <c r="H16" s="6" t="s">
        <v>29</v>
      </c>
      <c r="I16" s="6" t="s">
        <v>108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</v>
      </c>
      <c r="AF16" s="7">
        <v>3200</v>
      </c>
      <c r="AG16" s="6">
        <v>0</v>
      </c>
      <c r="AH16" s="6">
        <v>0</v>
      </c>
      <c r="AI16" s="6">
        <v>0</v>
      </c>
      <c r="AJ16" s="6">
        <v>0</v>
      </c>
      <c r="AK16" s="6">
        <v>1</v>
      </c>
      <c r="AL16" s="6">
        <v>0</v>
      </c>
      <c r="AM16" s="7">
        <v>1500</v>
      </c>
      <c r="AN16" s="6">
        <v>0</v>
      </c>
      <c r="AO16" s="6">
        <v>0</v>
      </c>
      <c r="AP16" s="6">
        <v>0</v>
      </c>
      <c r="AQ16" s="6">
        <v>0</v>
      </c>
      <c r="AR16" s="6">
        <v>1</v>
      </c>
      <c r="AS16" s="7">
        <v>1700</v>
      </c>
      <c r="AT16" s="6">
        <v>0</v>
      </c>
      <c r="AU16" s="8">
        <v>6400</v>
      </c>
      <c r="AV16" s="12">
        <v>6400</v>
      </c>
      <c r="AW16">
        <v>4480</v>
      </c>
    </row>
    <row r="17" spans="1:49" ht="19.2" x14ac:dyDescent="0.4">
      <c r="A17" s="1" t="s">
        <v>122</v>
      </c>
      <c r="B17" s="4" t="s">
        <v>56</v>
      </c>
      <c r="C17" s="4">
        <v>395231</v>
      </c>
      <c r="D17" s="5"/>
      <c r="E17" s="4" t="s">
        <v>26</v>
      </c>
      <c r="F17" s="4" t="s">
        <v>28</v>
      </c>
      <c r="G17" s="4" t="s">
        <v>124</v>
      </c>
      <c r="H17" s="6" t="s">
        <v>29</v>
      </c>
      <c r="I17" s="6" t="s">
        <v>30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1</v>
      </c>
      <c r="AL17" s="7">
        <v>4305</v>
      </c>
      <c r="AM17" s="6">
        <v>0</v>
      </c>
      <c r="AN17" s="14">
        <v>1291.5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8">
        <v>4305</v>
      </c>
      <c r="AV17" s="12">
        <v>3013.5</v>
      </c>
      <c r="AW17">
        <v>2109.4499999999998</v>
      </c>
    </row>
    <row r="18" spans="1:49" ht="19.2" x14ac:dyDescent="0.4">
      <c r="A18" s="1" t="s">
        <v>122</v>
      </c>
      <c r="B18" s="4" t="s">
        <v>109</v>
      </c>
      <c r="C18" s="4">
        <v>442669</v>
      </c>
      <c r="D18" s="5"/>
      <c r="E18" s="4" t="s">
        <v>26</v>
      </c>
      <c r="F18" s="4" t="s">
        <v>110</v>
      </c>
      <c r="G18" s="4" t="s">
        <v>124</v>
      </c>
      <c r="H18" s="6" t="s">
        <v>29</v>
      </c>
      <c r="I18" s="6" t="s">
        <v>111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1</v>
      </c>
      <c r="AF18" s="7">
        <v>3500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8">
        <v>3500</v>
      </c>
      <c r="AV18" s="12">
        <v>3500</v>
      </c>
      <c r="AW18">
        <v>2450</v>
      </c>
    </row>
    <row r="19" spans="1:49" ht="19.2" x14ac:dyDescent="0.4">
      <c r="A19" s="1" t="s">
        <v>122</v>
      </c>
      <c r="B19" s="4" t="s">
        <v>60</v>
      </c>
      <c r="C19" s="4">
        <v>430861</v>
      </c>
      <c r="D19" s="5"/>
      <c r="E19" s="4" t="s">
        <v>26</v>
      </c>
      <c r="F19" s="4" t="s">
        <v>61</v>
      </c>
      <c r="G19" s="4" t="s">
        <v>124</v>
      </c>
      <c r="H19" s="6" t="s">
        <v>29</v>
      </c>
      <c r="I19" s="6" t="s">
        <v>62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1</v>
      </c>
      <c r="AF19" s="7">
        <v>3400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8">
        <v>3400</v>
      </c>
      <c r="AV19" s="12">
        <v>3400</v>
      </c>
      <c r="AW19">
        <v>2380</v>
      </c>
    </row>
    <row r="20" spans="1:49" ht="19.2" x14ac:dyDescent="0.4">
      <c r="A20" s="1" t="s">
        <v>122</v>
      </c>
      <c r="B20" s="4" t="s">
        <v>112</v>
      </c>
      <c r="C20" s="4">
        <v>442668</v>
      </c>
      <c r="D20" s="5"/>
      <c r="E20" s="4" t="s">
        <v>26</v>
      </c>
      <c r="F20" s="4" t="s">
        <v>113</v>
      </c>
      <c r="G20" s="4" t="s">
        <v>124</v>
      </c>
      <c r="H20" s="6" t="s">
        <v>29</v>
      </c>
      <c r="I20" s="6" t="s">
        <v>111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1</v>
      </c>
      <c r="AS20" s="7">
        <v>3400</v>
      </c>
      <c r="AT20" s="6">
        <v>0</v>
      </c>
      <c r="AU20" s="8">
        <v>3400</v>
      </c>
      <c r="AV20" s="12">
        <v>3400</v>
      </c>
      <c r="AW20">
        <v>2380</v>
      </c>
    </row>
    <row r="21" spans="1:49" ht="19.2" x14ac:dyDescent="0.4">
      <c r="A21" s="1" t="s">
        <v>122</v>
      </c>
      <c r="B21" s="4" t="s">
        <v>114</v>
      </c>
      <c r="C21" s="4">
        <v>396964</v>
      </c>
      <c r="D21" s="5"/>
      <c r="E21" s="4" t="s">
        <v>26</v>
      </c>
      <c r="F21" s="4" t="s">
        <v>91</v>
      </c>
      <c r="G21" s="4" t="s">
        <v>124</v>
      </c>
      <c r="H21" s="6" t="s">
        <v>29</v>
      </c>
      <c r="I21" s="6" t="s">
        <v>115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1</v>
      </c>
      <c r="AF21" s="7">
        <v>3200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8">
        <v>3200</v>
      </c>
      <c r="AV21" s="12">
        <v>3200</v>
      </c>
      <c r="AW21">
        <v>2240</v>
      </c>
    </row>
    <row r="22" spans="1:49" ht="19.2" x14ac:dyDescent="0.4">
      <c r="A22" s="1" t="s">
        <v>122</v>
      </c>
      <c r="B22" s="4" t="s">
        <v>116</v>
      </c>
      <c r="C22" s="4">
        <v>430442</v>
      </c>
      <c r="D22" s="5"/>
      <c r="E22" s="4" t="s">
        <v>26</v>
      </c>
      <c r="F22" s="4" t="s">
        <v>107</v>
      </c>
      <c r="G22" s="4" t="s">
        <v>124</v>
      </c>
      <c r="H22" s="6" t="s">
        <v>29</v>
      </c>
      <c r="I22" s="6" t="s">
        <v>117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1</v>
      </c>
      <c r="AF22" s="7">
        <v>2800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8">
        <v>2800</v>
      </c>
      <c r="AV22" s="12">
        <v>2800</v>
      </c>
      <c r="AW22">
        <v>1959.9999999999998</v>
      </c>
    </row>
    <row r="23" spans="1:49" ht="19.2" x14ac:dyDescent="0.4">
      <c r="A23" s="1" t="s">
        <v>122</v>
      </c>
      <c r="B23" s="4" t="s">
        <v>93</v>
      </c>
      <c r="C23" s="4">
        <v>456187</v>
      </c>
      <c r="D23" s="5"/>
      <c r="E23" s="4" t="s">
        <v>26</v>
      </c>
      <c r="F23" s="4" t="s">
        <v>58</v>
      </c>
      <c r="G23" s="4" t="s">
        <v>124</v>
      </c>
      <c r="H23" s="6" t="s">
        <v>9</v>
      </c>
      <c r="I23" s="6" t="s">
        <v>94</v>
      </c>
      <c r="J23" s="6">
        <v>12</v>
      </c>
      <c r="K23" s="6">
        <v>0</v>
      </c>
      <c r="L23" s="7">
        <v>1200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6">
        <v>100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8">
        <v>1300</v>
      </c>
      <c r="AV23" s="12">
        <v>1300</v>
      </c>
      <c r="AW23">
        <v>909.99999999999989</v>
      </c>
    </row>
    <row r="24" spans="1:49" ht="19.2" x14ac:dyDescent="0.4">
      <c r="A24" s="1" t="s">
        <v>122</v>
      </c>
      <c r="B24" s="4" t="s">
        <v>118</v>
      </c>
      <c r="C24" s="4">
        <v>423519</v>
      </c>
      <c r="D24" s="5"/>
      <c r="E24" s="4" t="s">
        <v>26</v>
      </c>
      <c r="F24" s="4" t="s">
        <v>107</v>
      </c>
      <c r="G24" s="4" t="s">
        <v>124</v>
      </c>
      <c r="H24" s="6" t="s">
        <v>29</v>
      </c>
      <c r="I24" s="6" t="s">
        <v>108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1</v>
      </c>
      <c r="AF24" s="6">
        <v>600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1</v>
      </c>
      <c r="AS24" s="6">
        <v>600</v>
      </c>
      <c r="AT24" s="6">
        <v>0</v>
      </c>
      <c r="AU24" s="8">
        <v>1200</v>
      </c>
      <c r="AV24" s="12">
        <v>1200</v>
      </c>
      <c r="AW24">
        <v>840</v>
      </c>
    </row>
    <row r="25" spans="1:49" ht="19.2" x14ac:dyDescent="0.4">
      <c r="A25" s="1" t="s">
        <v>122</v>
      </c>
      <c r="B25" s="4" t="s">
        <v>72</v>
      </c>
      <c r="C25" s="4">
        <v>442665</v>
      </c>
      <c r="D25" s="5"/>
      <c r="E25" s="4" t="s">
        <v>26</v>
      </c>
      <c r="F25" s="4" t="s">
        <v>61</v>
      </c>
      <c r="G25" s="4" t="s">
        <v>124</v>
      </c>
      <c r="H25" s="6" t="s">
        <v>29</v>
      </c>
      <c r="I25" s="6" t="s">
        <v>52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1</v>
      </c>
      <c r="AF25" s="6">
        <v>800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9">
        <v>800</v>
      </c>
      <c r="AV25" s="12">
        <v>800</v>
      </c>
      <c r="AW25">
        <v>560</v>
      </c>
    </row>
    <row r="26" spans="1:49" ht="19.2" x14ac:dyDescent="0.4">
      <c r="A26" s="1" t="s">
        <v>122</v>
      </c>
      <c r="B26" s="4" t="s">
        <v>34</v>
      </c>
      <c r="C26" s="4">
        <v>395237</v>
      </c>
      <c r="D26" s="5"/>
      <c r="E26" s="4" t="s">
        <v>26</v>
      </c>
      <c r="F26" s="4" t="s">
        <v>28</v>
      </c>
      <c r="G26" s="4" t="s">
        <v>124</v>
      </c>
      <c r="H26" s="6" t="s">
        <v>29</v>
      </c>
      <c r="I26" s="6" t="s">
        <v>30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</v>
      </c>
      <c r="AF26" s="6">
        <v>200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9">
        <v>200</v>
      </c>
      <c r="AV26" s="12">
        <v>200</v>
      </c>
      <c r="AW26">
        <v>140</v>
      </c>
    </row>
    <row r="27" spans="1:49" x14ac:dyDescent="0.4">
      <c r="AW27" s="17">
        <f>SUM(AW2:AW26)</f>
        <v>90799.45</v>
      </c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4"/>
  <sheetViews>
    <sheetView topLeftCell="O1" workbookViewId="0">
      <selection activeCell="Y9" sqref="Y9"/>
    </sheetView>
  </sheetViews>
  <sheetFormatPr defaultRowHeight="17.399999999999999" x14ac:dyDescent="0.4"/>
  <cols>
    <col min="1" max="1" width="11.3984375" bestFit="1" customWidth="1"/>
    <col min="3" max="3" width="6.5" bestFit="1" customWidth="1"/>
    <col min="4" max="4" width="7.19921875" bestFit="1" customWidth="1"/>
    <col min="5" max="5" width="8.3984375" bestFit="1" customWidth="1"/>
    <col min="6" max="6" width="4.796875" bestFit="1" customWidth="1"/>
    <col min="7" max="7" width="8.3984375" bestFit="1" customWidth="1"/>
    <col min="8" max="8" width="7.19921875" bestFit="1" customWidth="1"/>
    <col min="9" max="9" width="7.3984375" bestFit="1" customWidth="1"/>
    <col min="10" max="10" width="3.59765625" bestFit="1" customWidth="1"/>
    <col min="11" max="11" width="4.796875" bestFit="1" customWidth="1"/>
    <col min="12" max="12" width="7.19921875" bestFit="1" customWidth="1"/>
    <col min="13" max="14" width="6" bestFit="1" customWidth="1"/>
    <col min="15" max="16" width="6.296875" bestFit="1" customWidth="1"/>
    <col min="17" max="18" width="8.3984375" bestFit="1" customWidth="1"/>
    <col min="19" max="19" width="3.59765625" bestFit="1" customWidth="1"/>
    <col min="20" max="20" width="4.796875" bestFit="1" customWidth="1"/>
    <col min="21" max="21" width="7.19921875" bestFit="1" customWidth="1"/>
    <col min="22" max="23" width="6" bestFit="1" customWidth="1"/>
    <col min="24" max="25" width="6.296875" bestFit="1" customWidth="1"/>
    <col min="26" max="27" width="8.3984375" bestFit="1" customWidth="1"/>
    <col min="28" max="39" width="3.59765625" bestFit="1" customWidth="1"/>
    <col min="40" max="40" width="7.8984375" bestFit="1" customWidth="1"/>
    <col min="41" max="46" width="3.59765625" bestFit="1" customWidth="1"/>
    <col min="47" max="47" width="6" bestFit="1" customWidth="1"/>
    <col min="49" max="49" width="7.3984375" bestFit="1" customWidth="1"/>
  </cols>
  <sheetData>
    <row r="1" spans="1:49" ht="19.2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15</v>
      </c>
      <c r="X1" s="10" t="s">
        <v>16</v>
      </c>
      <c r="Y1" s="10" t="s">
        <v>17</v>
      </c>
      <c r="Z1" s="10" t="s">
        <v>18</v>
      </c>
      <c r="AA1" s="10" t="s">
        <v>19</v>
      </c>
      <c r="AB1" s="10" t="s">
        <v>11</v>
      </c>
      <c r="AC1" s="10" t="s">
        <v>20</v>
      </c>
      <c r="AD1" s="10" t="s">
        <v>21</v>
      </c>
      <c r="AE1" s="10" t="s">
        <v>11</v>
      </c>
      <c r="AF1" s="10" t="s">
        <v>20</v>
      </c>
      <c r="AG1" s="10" t="s">
        <v>21</v>
      </c>
      <c r="AH1" s="10" t="s">
        <v>11</v>
      </c>
      <c r="AI1" s="10" t="s">
        <v>20</v>
      </c>
      <c r="AJ1" s="10" t="s">
        <v>21</v>
      </c>
      <c r="AK1" s="10" t="s">
        <v>11</v>
      </c>
      <c r="AL1" s="10" t="s">
        <v>20</v>
      </c>
      <c r="AM1" s="10" t="s">
        <v>21</v>
      </c>
      <c r="AN1" s="11" t="s">
        <v>22</v>
      </c>
      <c r="AO1" s="10" t="s">
        <v>11</v>
      </c>
      <c r="AP1" s="10" t="s">
        <v>20</v>
      </c>
      <c r="AQ1" s="10" t="s">
        <v>21</v>
      </c>
      <c r="AR1" s="10" t="s">
        <v>11</v>
      </c>
      <c r="AS1" s="10" t="s">
        <v>20</v>
      </c>
      <c r="AT1" s="10" t="s">
        <v>21</v>
      </c>
      <c r="AU1" s="11" t="s">
        <v>23</v>
      </c>
      <c r="AV1" s="10" t="s">
        <v>24</v>
      </c>
      <c r="AW1" s="11" t="s">
        <v>25</v>
      </c>
    </row>
    <row r="2" spans="1:49" x14ac:dyDescent="0.4">
      <c r="A2" s="1" t="s">
        <v>96</v>
      </c>
      <c r="B2" s="4" t="s">
        <v>42</v>
      </c>
      <c r="C2" s="4">
        <v>440710</v>
      </c>
      <c r="D2" s="5"/>
      <c r="E2" s="4" t="s">
        <v>26</v>
      </c>
      <c r="F2" s="4" t="s">
        <v>43</v>
      </c>
      <c r="G2" s="4" t="s">
        <v>125</v>
      </c>
      <c r="H2" s="6" t="s">
        <v>8</v>
      </c>
      <c r="I2" s="6" t="s">
        <v>68</v>
      </c>
      <c r="J2" s="6">
        <v>0</v>
      </c>
      <c r="K2" s="6">
        <v>56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9">
        <v>0</v>
      </c>
      <c r="AV2" s="12">
        <v>0</v>
      </c>
      <c r="AW2" s="17">
        <v>0</v>
      </c>
    </row>
    <row r="3" spans="1:49" x14ac:dyDescent="0.4">
      <c r="A3" s="1" t="s">
        <v>103</v>
      </c>
      <c r="B3" s="4" t="s">
        <v>42</v>
      </c>
      <c r="C3" s="4">
        <v>440710</v>
      </c>
      <c r="D3" s="5"/>
      <c r="E3" s="4" t="s">
        <v>26</v>
      </c>
      <c r="F3" s="4" t="s">
        <v>43</v>
      </c>
      <c r="G3" s="4" t="s">
        <v>125</v>
      </c>
      <c r="H3" s="6" t="s">
        <v>8</v>
      </c>
      <c r="I3" s="6" t="s">
        <v>68</v>
      </c>
      <c r="J3" s="6">
        <v>0</v>
      </c>
      <c r="K3" s="6">
        <v>4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19</v>
      </c>
      <c r="AF3" s="7">
        <v>1600</v>
      </c>
      <c r="AG3" s="6">
        <v>300</v>
      </c>
      <c r="AH3" s="6">
        <v>0</v>
      </c>
      <c r="AI3" s="6">
        <v>0</v>
      </c>
      <c r="AJ3" s="6">
        <v>0</v>
      </c>
      <c r="AK3" s="6">
        <v>52</v>
      </c>
      <c r="AL3" s="7">
        <v>4080</v>
      </c>
      <c r="AM3" s="7">
        <v>1800</v>
      </c>
      <c r="AN3" s="14">
        <v>1224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8">
        <v>7780</v>
      </c>
      <c r="AV3" s="12">
        <v>6556</v>
      </c>
      <c r="AW3" s="17">
        <v>4589.2</v>
      </c>
    </row>
    <row r="4" spans="1:49" x14ac:dyDescent="0.4">
      <c r="AW4" s="16">
        <f>SUM(AW2:AW3)</f>
        <v>4589.2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 (1)</vt:lpstr>
      <vt:lpstr>밀리의 서재</vt:lpstr>
      <vt:lpstr>에필로그</vt:lpstr>
      <vt:lpstr>더컴퍼니</vt:lpstr>
      <vt:lpstr>아크스튜디오</vt:lpstr>
      <vt:lpstr>더컴퍼니!Extract</vt:lpstr>
      <vt:lpstr>'밀리의 서재'!Extract</vt:lpstr>
      <vt:lpstr>아크스튜디오!Extract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2022-02-07T06:04:40Z</dcterms:modified>
</cp:coreProperties>
</file>