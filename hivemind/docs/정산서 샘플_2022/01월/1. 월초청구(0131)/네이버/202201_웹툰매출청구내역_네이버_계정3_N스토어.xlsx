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네이버\"/>
    </mc:Choice>
  </mc:AlternateContent>
  <bookViews>
    <workbookView xWindow="0" yWindow="0" windowWidth="23040" windowHeight="8952" tabRatio="763"/>
  </bookViews>
  <sheets>
    <sheet name="합계 (1)" sheetId="64" r:id="rId1"/>
  </sheets>
  <definedNames>
    <definedName name="_xlnm._FilterDatabase" localSheetId="0" hidden="1">'합계 (1)'!$A$1:$AW$18</definedName>
    <definedName name="_xlnm.Extract" localSheetId="0">'합계 (1)'!#REF!</definedName>
  </definedNames>
  <calcPr calcId="152511"/>
</workbook>
</file>

<file path=xl/calcChain.xml><?xml version="1.0" encoding="utf-8"?>
<calcChain xmlns="http://schemas.openxmlformats.org/spreadsheetml/2006/main">
  <c r="AU23" i="64" l="1"/>
  <c r="AW23" i="64"/>
  <c r="AV17" i="64"/>
  <c r="AW17" i="64" s="1"/>
  <c r="AV18" i="64"/>
  <c r="AW18" i="64" s="1"/>
  <c r="AV19" i="64"/>
  <c r="AW19" i="64"/>
  <c r="AV20" i="64"/>
  <c r="AW20" i="64" s="1"/>
  <c r="AV21" i="64"/>
  <c r="AW21" i="64" s="1"/>
  <c r="AV22" i="64"/>
  <c r="AW22" i="64" s="1"/>
  <c r="AV2" i="64" l="1"/>
  <c r="AW2" i="64" s="1"/>
  <c r="AV3" i="64"/>
  <c r="AW3" i="64" s="1"/>
  <c r="AV4" i="64"/>
  <c r="AW4" i="64" s="1"/>
  <c r="AV5" i="64"/>
  <c r="AW5" i="64" s="1"/>
  <c r="AV6" i="64"/>
  <c r="AW6" i="64" s="1"/>
  <c r="AV7" i="64"/>
  <c r="AW7" i="64" s="1"/>
  <c r="AV8" i="64"/>
  <c r="AW8" i="64" s="1"/>
  <c r="AV9" i="64"/>
  <c r="AW9" i="64" s="1"/>
  <c r="AV10" i="64"/>
  <c r="AW10" i="64" s="1"/>
  <c r="AV11" i="64"/>
  <c r="AW11" i="64" s="1"/>
  <c r="AV12" i="64"/>
  <c r="AW12" i="64" s="1"/>
  <c r="AV13" i="64"/>
  <c r="AW13" i="64" s="1"/>
  <c r="AV14" i="64"/>
  <c r="AW14" i="64" s="1"/>
  <c r="AV15" i="64"/>
  <c r="AW15" i="64" s="1"/>
  <c r="AV16" i="64"/>
  <c r="AW16" i="64" s="1"/>
</calcChain>
</file>

<file path=xl/sharedStrings.xml><?xml version="1.0" encoding="utf-8"?>
<sst xmlns="http://schemas.openxmlformats.org/spreadsheetml/2006/main" count="196" uniqueCount="57">
  <si>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</si>
  <si>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</si>
  <si>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</si>
  <si>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</si>
  <si>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</si>
  <si>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</si>
  <si>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</si>
  <si>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</si>
  <si>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</si>
  <si>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스토리위즈_만화</t>
  </si>
  <si>
    <t>스토리위즈</t>
  </si>
  <si>
    <t>2020.07.13</t>
  </si>
  <si>
    <t>백스테이지 키스신</t>
  </si>
  <si>
    <t>수정과</t>
  </si>
  <si>
    <t>2019.12.07</t>
  </si>
  <si>
    <t>너랑 나랑 하면[BL]</t>
  </si>
  <si>
    <t>15세 이상 이용가능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</si>
  <si>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</si>
  <si>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</si>
  <si>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</si>
  <si>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</si>
  <si>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</si>
  <si>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</si>
  <si>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</si>
  <si>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</si>
  <si>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</si>
  <si>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</si>
  <si>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</si>
  <si>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</si>
  <si>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</si>
  <si>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구분</t>
    <phoneticPr fontId="20" type="noConversion"/>
  </si>
  <si>
    <t>순매출(합계-수수료)</t>
    <phoneticPr fontId="20" type="noConversion"/>
  </si>
  <si>
    <t>sw 매출</t>
    <phoneticPr fontId="20" type="noConversion"/>
  </si>
  <si>
    <t>Ice×FANFAN COMIC</t>
  </si>
  <si>
    <t>건일</t>
  </si>
  <si>
    <t>폭군의 눈물</t>
  </si>
  <si>
    <t>별빛 아래 우리</t>
  </si>
  <si>
    <t>마스코마스코 [독점]</t>
  </si>
  <si>
    <t>남정훈</t>
  </si>
  <si>
    <t>2021.10.25</t>
  </si>
  <si>
    <t>NISANSUI/ZIQUAN</t>
  </si>
  <si>
    <t>2022.02.02</t>
  </si>
  <si>
    <t>2022.02.03</t>
  </si>
  <si>
    <t>공주전쟁</t>
  </si>
  <si>
    <t>Luojie</t>
  </si>
  <si>
    <t>2022.01.28</t>
  </si>
  <si>
    <t>내 남편의 스토커</t>
  </si>
  <si>
    <t>혜원</t>
  </si>
  <si>
    <t>이세계 소환은 두 번째라구요</t>
  </si>
  <si>
    <t>Arashiyama</t>
  </si>
  <si>
    <t>2021.07.23</t>
  </si>
  <si>
    <t>N스토어(PC)</t>
    <phoneticPr fontId="20" type="noConversion"/>
  </si>
  <si>
    <t>PC뷰어(PC)</t>
    <phoneticPr fontId="20" type="noConversion"/>
  </si>
  <si>
    <t>계약연애, 오늘부터 1일</t>
  </si>
  <si>
    <t>원기공장</t>
  </si>
  <si>
    <t>2019.03.11</t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</si>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</sst>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22" fillId="33" borderId="0" xfId="0" applyFont="1" applyFill="1" applyBorder="1" applyAlignment="1">
      <alignment vertical="center" wrapText="1"/>
    </xf>
    <xf numFmtId="0" fontId="23" fillId="0" borderId="0" xfId="0" applyFont="1">
      <alignment vertical="center"/>
    </xf>
    <xf numFmtId="0" fontId="23" fillId="0" borderId="0" xfId="0" applyFont="1" applyBorder="1">
      <alignment vertical="center"/>
    </xf>
    <xf numFmtId="41" fontId="19" fillId="34" borderId="0" xfId="1" applyFont="1" applyFill="1" applyBorder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176" fontId="24" fillId="0" borderId="0" xfId="0" applyNumberFormat="1" applyFont="1">
      <alignment vertical="center"/>
    </xf>
    <xf numFmtId="0" fontId="24" fillId="0" borderId="0" xfId="0" applyFont="1">
      <alignment vertical="center"/>
    </xf>
    <xf numFmtId="4" fontId="18" fillId="0" borderId="0" xfId="0" applyNumberFormat="1" applyFont="1" applyBorder="1">
      <alignment vertical="center"/>
    </xf>
    <xf numFmtId="41" fontId="18" fillId="0" borderId="0" xfId="1" applyFont="1" applyBorder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23"/>
  <sheetViews>
    <sheetView tabSelected="1" topLeftCell="N7" zoomScale="75" zoomScaleNormal="75" workbookViewId="0">
      <selection activeCell="AI29" sqref="AI29"/>
    </sheetView>
  </sheetViews>
  <sheetFormatPr defaultColWidth="8.69921875" defaultRowHeight="10.8" x14ac:dyDescent="0.4"/>
  <cols>
    <col min="1" max="1" width="8.69921875" style="14"/>
    <col min="2" max="2" width="9.3984375" style="4" customWidth="1"/>
    <col min="3" max="3" width="20" style="3" bestFit="1" customWidth="1"/>
    <col min="4" max="5" width="6.5" style="3" customWidth="1"/>
    <col min="6" max="6" width="7.19921875" style="3" customWidth="1"/>
    <col min="7" max="7" width="10" style="3" customWidth="1"/>
    <col min="8" max="8" width="12.796875" style="3" customWidth="1"/>
    <col min="9" max="9" width="10" style="3" bestFit="1" customWidth="1"/>
    <col min="10" max="10" width="13.59765625" style="3" customWidth="1"/>
    <col min="11" max="11" width="7.3984375" style="3" customWidth="1"/>
    <col min="12" max="12" width="4.296875" style="3" customWidth="1"/>
    <col min="13" max="13" width="4.796875" style="3" customWidth="1"/>
    <col min="14" max="14" width="7.19921875" style="3" customWidth="1"/>
    <col min="15" max="15" width="6.69921875" style="3" customWidth="1"/>
    <col min="16" max="16" width="6" style="3" customWidth="1"/>
    <col min="17" max="18" width="6.296875" style="3" customWidth="1"/>
    <col min="19" max="19" width="5" style="3" customWidth="1"/>
    <col min="20" max="20" width="4.796875" style="3" customWidth="1"/>
    <col min="21" max="21" width="7.19921875" style="3" customWidth="1"/>
    <col min="22" max="22" width="6.69921875" style="3" customWidth="1"/>
    <col min="23" max="23" width="6" style="3" customWidth="1"/>
    <col min="24" max="25" width="6.296875" style="3" customWidth="1"/>
    <col min="26" max="26" width="3.59765625" style="3" customWidth="1"/>
    <col min="27" max="27" width="5" style="3" customWidth="1"/>
    <col min="28" max="29" width="3.59765625" style="3" customWidth="1"/>
    <col min="30" max="30" width="5" style="3" customWidth="1"/>
    <col min="31" max="31" width="4.296875" style="3" customWidth="1"/>
    <col min="32" max="37" width="3.59765625" style="3" customWidth="1"/>
    <col min="38" max="38" width="7.8984375" style="3" customWidth="1"/>
    <col min="39" max="39" width="8.09765625" style="3" customWidth="1"/>
    <col min="40" max="40" width="8.5" style="3" customWidth="1"/>
    <col min="41" max="41" width="12.69921875" style="3" customWidth="1"/>
    <col min="42" max="47" width="8.69921875" style="3"/>
    <col min="48" max="48" width="9.09765625" style="3" bestFit="1" customWidth="1"/>
    <col min="49" max="49" width="8.796875" style="3" bestFit="1" customWidth="1"/>
    <col min="50" max="16384" width="8.69921875" style="3"/>
  </cols>
  <sheetData>
    <row r="1" spans="1:49" customFormat="1" ht="38.4" x14ac:dyDescent="0.4">
      <c r="A1" s="12" t="s">
        <v>30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17</v>
      </c>
      <c r="AC1" s="11" t="s">
        <v>26</v>
      </c>
      <c r="AD1" s="11" t="s">
        <v>27</v>
      </c>
      <c r="AE1" s="11" t="s">
        <v>17</v>
      </c>
      <c r="AF1" s="11" t="s">
        <v>26</v>
      </c>
      <c r="AG1" s="11" t="s">
        <v>27</v>
      </c>
      <c r="AH1" s="11" t="s">
        <v>17</v>
      </c>
      <c r="AI1" s="11" t="s">
        <v>26</v>
      </c>
      <c r="AJ1" s="11" t="s">
        <v>27</v>
      </c>
      <c r="AK1" s="11" t="s">
        <v>17</v>
      </c>
      <c r="AL1" s="11" t="s">
        <v>26</v>
      </c>
      <c r="AM1" s="11" t="s">
        <v>27</v>
      </c>
      <c r="AN1" s="15" t="s">
        <v>28</v>
      </c>
      <c r="AO1" s="11" t="s">
        <v>17</v>
      </c>
      <c r="AP1" s="11" t="s">
        <v>26</v>
      </c>
      <c r="AQ1" s="11" t="s">
        <v>27</v>
      </c>
      <c r="AR1" s="11" t="s">
        <v>17</v>
      </c>
      <c r="AS1" s="11" t="s">
        <v>26</v>
      </c>
      <c r="AT1" s="11" t="s">
        <v>27</v>
      </c>
      <c r="AU1" s="16" t="s">
        <v>29</v>
      </c>
      <c r="AV1" s="11" t="s">
        <v>31</v>
      </c>
      <c r="AW1" s="11" t="s">
        <v>32</v>
      </c>
    </row>
    <row r="2" spans="1:49" customFormat="1" ht="28.8" x14ac:dyDescent="0.4">
      <c r="A2" s="13" t="s">
        <v>51</v>
      </c>
      <c r="B2" s="5" t="s">
        <v>35</v>
      </c>
      <c r="C2" s="5">
        <v>434897</v>
      </c>
      <c r="D2" s="6"/>
      <c r="E2" s="5" t="s">
        <v>9</v>
      </c>
      <c r="F2" s="5" t="s">
        <v>33</v>
      </c>
      <c r="G2" s="5" t="s">
        <v>10</v>
      </c>
      <c r="H2" s="7" t="s">
        <v>16</v>
      </c>
      <c r="I2" s="7" t="s">
        <v>41</v>
      </c>
      <c r="J2" s="7">
        <v>0</v>
      </c>
      <c r="K2" s="7">
        <v>36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</v>
      </c>
      <c r="AC2" s="7">
        <v>200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7</v>
      </c>
      <c r="AP2" s="9">
        <v>1200</v>
      </c>
      <c r="AQ2" s="7">
        <v>200</v>
      </c>
      <c r="AR2" s="7">
        <v>0</v>
      </c>
      <c r="AS2" s="7">
        <v>0</v>
      </c>
      <c r="AT2" s="7">
        <v>0</v>
      </c>
      <c r="AU2" s="10">
        <v>1600</v>
      </c>
      <c r="AV2" s="17">
        <f>AU2-AN2</f>
        <v>1600</v>
      </c>
      <c r="AW2" s="18">
        <f>AV2*70%</f>
        <v>1120</v>
      </c>
    </row>
    <row r="3" spans="1:49" customFormat="1" ht="19.2" x14ac:dyDescent="0.4">
      <c r="A3" s="13" t="s">
        <v>51</v>
      </c>
      <c r="B3" s="5" t="s">
        <v>36</v>
      </c>
      <c r="C3" s="5">
        <v>435954</v>
      </c>
      <c r="D3" s="6"/>
      <c r="E3" s="5" t="s">
        <v>9</v>
      </c>
      <c r="F3" s="5" t="s">
        <v>34</v>
      </c>
      <c r="G3" s="5" t="s">
        <v>10</v>
      </c>
      <c r="H3" s="7" t="s">
        <v>8</v>
      </c>
      <c r="I3" s="7" t="s">
        <v>42</v>
      </c>
      <c r="J3" s="7">
        <v>0</v>
      </c>
      <c r="K3" s="7">
        <v>52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2</v>
      </c>
      <c r="AC3" s="7">
        <v>400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1</v>
      </c>
      <c r="AP3" s="7">
        <v>200</v>
      </c>
      <c r="AQ3" s="7">
        <v>0</v>
      </c>
      <c r="AR3" s="7">
        <v>0</v>
      </c>
      <c r="AS3" s="7">
        <v>0</v>
      </c>
      <c r="AT3" s="7">
        <v>0</v>
      </c>
      <c r="AU3" s="8">
        <v>600</v>
      </c>
      <c r="AV3" s="17">
        <f t="shared" ref="AV3:AV16" si="0">AU3-AN3</f>
        <v>600</v>
      </c>
      <c r="AW3" s="18">
        <f t="shared" ref="AW3:AW16" si="1">AV3*70%</f>
        <v>420</v>
      </c>
    </row>
    <row r="4" spans="1:49" customFormat="1" ht="19.2" x14ac:dyDescent="0.4">
      <c r="A4" s="13" t="s">
        <v>51</v>
      </c>
      <c r="B4" s="5" t="s">
        <v>37</v>
      </c>
      <c r="C4" s="5">
        <v>448747</v>
      </c>
      <c r="D4" s="6"/>
      <c r="E4" s="5" t="s">
        <v>9</v>
      </c>
      <c r="F4" s="5" t="s">
        <v>38</v>
      </c>
      <c r="G4" s="5" t="s">
        <v>10</v>
      </c>
      <c r="H4" s="7" t="s">
        <v>8</v>
      </c>
      <c r="I4" s="7" t="s">
        <v>39</v>
      </c>
      <c r="J4" s="7">
        <v>0</v>
      </c>
      <c r="K4" s="7">
        <v>171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</v>
      </c>
      <c r="AC4" s="7">
        <v>200</v>
      </c>
      <c r="AD4" s="7">
        <v>0</v>
      </c>
      <c r="AE4" s="7">
        <v>1</v>
      </c>
      <c r="AF4" s="7">
        <v>400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8">
        <v>600</v>
      </c>
      <c r="AV4" s="17">
        <f t="shared" si="0"/>
        <v>600</v>
      </c>
      <c r="AW4" s="18">
        <f t="shared" si="1"/>
        <v>420</v>
      </c>
    </row>
    <row r="5" spans="1:49" customFormat="1" ht="19.2" x14ac:dyDescent="0.4">
      <c r="A5" s="13" t="s">
        <v>51</v>
      </c>
      <c r="B5" s="5" t="s">
        <v>43</v>
      </c>
      <c r="C5" s="5">
        <v>423525</v>
      </c>
      <c r="D5" s="6"/>
      <c r="E5" s="5" t="s">
        <v>9</v>
      </c>
      <c r="F5" s="5" t="s">
        <v>44</v>
      </c>
      <c r="G5" s="5" t="s">
        <v>10</v>
      </c>
      <c r="H5" s="7" t="s">
        <v>8</v>
      </c>
      <c r="I5" s="7" t="s">
        <v>45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2</v>
      </c>
      <c r="AC5" s="7">
        <v>400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8">
        <v>400</v>
      </c>
      <c r="AV5" s="17">
        <f t="shared" si="0"/>
        <v>400</v>
      </c>
      <c r="AW5" s="18">
        <f t="shared" si="1"/>
        <v>280</v>
      </c>
    </row>
    <row r="6" spans="1:49" customFormat="1" ht="19.2" x14ac:dyDescent="0.4">
      <c r="A6" s="13" t="s">
        <v>51</v>
      </c>
      <c r="B6" s="5" t="s">
        <v>46</v>
      </c>
      <c r="C6" s="5">
        <v>403837</v>
      </c>
      <c r="D6" s="6"/>
      <c r="E6" s="5" t="s">
        <v>9</v>
      </c>
      <c r="F6" s="5" t="s">
        <v>47</v>
      </c>
      <c r="G6" s="5" t="s">
        <v>10</v>
      </c>
      <c r="H6" s="7" t="s">
        <v>8</v>
      </c>
      <c r="I6" s="7" t="s">
        <v>11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</v>
      </c>
      <c r="AC6" s="7">
        <v>200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8">
        <v>200</v>
      </c>
      <c r="AV6" s="17">
        <f t="shared" si="0"/>
        <v>200</v>
      </c>
      <c r="AW6" s="18">
        <f t="shared" si="1"/>
        <v>140</v>
      </c>
    </row>
    <row r="7" spans="1:49" customFormat="1" ht="19.2" x14ac:dyDescent="0.4">
      <c r="A7" s="13" t="s">
        <v>51</v>
      </c>
      <c r="B7" s="5" t="s">
        <v>12</v>
      </c>
      <c r="C7" s="5">
        <v>383201</v>
      </c>
      <c r="D7" s="6"/>
      <c r="E7" s="5" t="s">
        <v>9</v>
      </c>
      <c r="F7" s="5" t="s">
        <v>13</v>
      </c>
      <c r="G7" s="5" t="s">
        <v>10</v>
      </c>
      <c r="H7" s="7" t="s">
        <v>8</v>
      </c>
      <c r="I7" s="7" t="s">
        <v>14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1</v>
      </c>
      <c r="AP7" s="7">
        <v>200</v>
      </c>
      <c r="AQ7" s="7">
        <v>0</v>
      </c>
      <c r="AR7" s="7">
        <v>0</v>
      </c>
      <c r="AS7" s="7">
        <v>0</v>
      </c>
      <c r="AT7" s="7">
        <v>0</v>
      </c>
      <c r="AU7" s="8">
        <v>200</v>
      </c>
      <c r="AV7" s="17">
        <f t="shared" si="0"/>
        <v>200</v>
      </c>
      <c r="AW7" s="18">
        <f t="shared" si="1"/>
        <v>140</v>
      </c>
    </row>
    <row r="8" spans="1:49" customFormat="1" ht="19.2" x14ac:dyDescent="0.4">
      <c r="A8" s="13" t="s">
        <v>51</v>
      </c>
      <c r="B8" s="5" t="s">
        <v>48</v>
      </c>
      <c r="C8" s="5">
        <v>419155</v>
      </c>
      <c r="D8" s="6"/>
      <c r="E8" s="5" t="s">
        <v>9</v>
      </c>
      <c r="F8" s="5" t="s">
        <v>49</v>
      </c>
      <c r="G8" s="5" t="s">
        <v>10</v>
      </c>
      <c r="H8" s="7" t="s">
        <v>8</v>
      </c>
      <c r="I8" s="7" t="s">
        <v>50</v>
      </c>
      <c r="J8" s="7">
        <v>0</v>
      </c>
      <c r="K8" s="7">
        <v>7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8">
        <v>0</v>
      </c>
      <c r="AV8" s="17">
        <f t="shared" si="0"/>
        <v>0</v>
      </c>
      <c r="AW8" s="18">
        <f t="shared" si="1"/>
        <v>0</v>
      </c>
    </row>
    <row r="9" spans="1:49" ht="19.2" x14ac:dyDescent="0.4">
      <c r="A9" s="13" t="s">
        <v>51</v>
      </c>
      <c r="B9" s="5" t="s">
        <v>15</v>
      </c>
      <c r="C9" s="5">
        <v>412451</v>
      </c>
      <c r="D9" s="6"/>
      <c r="E9" s="5" t="s">
        <v>9</v>
      </c>
      <c r="F9" s="5" t="s">
        <v>40</v>
      </c>
      <c r="G9" s="5" t="s">
        <v>10</v>
      </c>
      <c r="H9" s="7" t="s">
        <v>16</v>
      </c>
      <c r="I9" s="7" t="s">
        <v>41</v>
      </c>
      <c r="J9" s="7">
        <v>0</v>
      </c>
      <c r="K9" s="7">
        <v>3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8">
        <v>0</v>
      </c>
      <c r="AV9" s="17">
        <f t="shared" si="0"/>
        <v>0</v>
      </c>
      <c r="AW9" s="18">
        <f t="shared" si="1"/>
        <v>0</v>
      </c>
    </row>
    <row r="10" spans="1:49" ht="19.2" x14ac:dyDescent="0.4">
      <c r="A10" s="13" t="s">
        <v>52</v>
      </c>
      <c r="B10" s="5" t="s">
        <v>36</v>
      </c>
      <c r="C10" s="5">
        <v>435954</v>
      </c>
      <c r="D10" s="6"/>
      <c r="E10" s="5" t="s">
        <v>9</v>
      </c>
      <c r="F10" s="5" t="s">
        <v>34</v>
      </c>
      <c r="G10" s="5" t="s">
        <v>10</v>
      </c>
      <c r="H10" s="7" t="s">
        <v>8</v>
      </c>
      <c r="I10" s="7" t="s">
        <v>42</v>
      </c>
      <c r="J10" s="7">
        <v>0</v>
      </c>
      <c r="K10" s="7">
        <v>11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58</v>
      </c>
      <c r="AC10" s="9">
        <v>11600</v>
      </c>
      <c r="AD10" s="7">
        <v>0</v>
      </c>
      <c r="AE10" s="7">
        <v>1</v>
      </c>
      <c r="AF10" s="7">
        <v>400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10">
        <v>12000</v>
      </c>
      <c r="AV10" s="17">
        <f t="shared" si="0"/>
        <v>12000</v>
      </c>
      <c r="AW10" s="18">
        <f t="shared" si="1"/>
        <v>8400</v>
      </c>
    </row>
    <row r="11" spans="1:49" ht="28.8" x14ac:dyDescent="0.4">
      <c r="A11" s="13" t="s">
        <v>52</v>
      </c>
      <c r="B11" s="5" t="s">
        <v>35</v>
      </c>
      <c r="C11" s="5">
        <v>434897</v>
      </c>
      <c r="D11" s="6"/>
      <c r="E11" s="5" t="s">
        <v>9</v>
      </c>
      <c r="F11" s="5" t="s">
        <v>33</v>
      </c>
      <c r="G11" s="5" t="s">
        <v>10</v>
      </c>
      <c r="H11" s="7" t="s">
        <v>16</v>
      </c>
      <c r="I11" s="7" t="s">
        <v>41</v>
      </c>
      <c r="J11" s="7">
        <v>0</v>
      </c>
      <c r="K11" s="7">
        <v>15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5</v>
      </c>
      <c r="AC11" s="9">
        <v>1000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24</v>
      </c>
      <c r="AP11" s="9">
        <v>4600</v>
      </c>
      <c r="AQ11" s="7">
        <v>200</v>
      </c>
      <c r="AR11" s="7">
        <v>0</v>
      </c>
      <c r="AS11" s="7">
        <v>0</v>
      </c>
      <c r="AT11" s="7">
        <v>0</v>
      </c>
      <c r="AU11" s="10">
        <v>5800</v>
      </c>
      <c r="AV11" s="17">
        <f t="shared" si="0"/>
        <v>5800</v>
      </c>
      <c r="AW11" s="18">
        <f t="shared" si="1"/>
        <v>4059.9999999999995</v>
      </c>
    </row>
    <row r="12" spans="1:49" ht="19.2" x14ac:dyDescent="0.4">
      <c r="A12" s="13" t="s">
        <v>52</v>
      </c>
      <c r="B12" s="5" t="s">
        <v>43</v>
      </c>
      <c r="C12" s="5">
        <v>423525</v>
      </c>
      <c r="D12" s="6"/>
      <c r="E12" s="5" t="s">
        <v>9</v>
      </c>
      <c r="F12" s="5" t="s">
        <v>44</v>
      </c>
      <c r="G12" s="5" t="s">
        <v>10</v>
      </c>
      <c r="H12" s="7" t="s">
        <v>8</v>
      </c>
      <c r="I12" s="7" t="s">
        <v>45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25</v>
      </c>
      <c r="AC12" s="9">
        <v>5000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10">
        <v>5000</v>
      </c>
      <c r="AV12" s="17">
        <f t="shared" si="0"/>
        <v>5000</v>
      </c>
      <c r="AW12" s="18">
        <f t="shared" si="1"/>
        <v>3500</v>
      </c>
    </row>
    <row r="13" spans="1:49" ht="19.2" x14ac:dyDescent="0.4">
      <c r="A13" s="13" t="s">
        <v>52</v>
      </c>
      <c r="B13" s="5" t="s">
        <v>37</v>
      </c>
      <c r="C13" s="5">
        <v>448747</v>
      </c>
      <c r="D13" s="6"/>
      <c r="E13" s="5" t="s">
        <v>9</v>
      </c>
      <c r="F13" s="5" t="s">
        <v>38</v>
      </c>
      <c r="G13" s="5" t="s">
        <v>10</v>
      </c>
      <c r="H13" s="7" t="s">
        <v>8</v>
      </c>
      <c r="I13" s="7" t="s">
        <v>39</v>
      </c>
      <c r="J13" s="7">
        <v>0</v>
      </c>
      <c r="K13" s="7">
        <v>8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21</v>
      </c>
      <c r="AC13" s="9">
        <v>4000</v>
      </c>
      <c r="AD13" s="7">
        <v>200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10">
        <v>4200</v>
      </c>
      <c r="AV13" s="17">
        <f t="shared" si="0"/>
        <v>4200</v>
      </c>
      <c r="AW13" s="18">
        <f t="shared" si="1"/>
        <v>2940</v>
      </c>
    </row>
    <row r="14" spans="1:49" ht="19.2" x14ac:dyDescent="0.4">
      <c r="A14" s="13" t="s">
        <v>52</v>
      </c>
      <c r="B14" s="5" t="s">
        <v>46</v>
      </c>
      <c r="C14" s="5">
        <v>403837</v>
      </c>
      <c r="D14" s="6"/>
      <c r="E14" s="5" t="s">
        <v>9</v>
      </c>
      <c r="F14" s="5" t="s">
        <v>47</v>
      </c>
      <c r="G14" s="5" t="s">
        <v>10</v>
      </c>
      <c r="H14" s="7" t="s">
        <v>8</v>
      </c>
      <c r="I14" s="7" t="s">
        <v>11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13</v>
      </c>
      <c r="AC14" s="9">
        <v>2600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10">
        <v>2600</v>
      </c>
      <c r="AV14" s="17">
        <f t="shared" si="0"/>
        <v>2600</v>
      </c>
      <c r="AW14" s="18">
        <f t="shared" si="1"/>
        <v>1819.9999999999998</v>
      </c>
    </row>
    <row r="15" spans="1:49" ht="19.2" x14ac:dyDescent="0.4">
      <c r="A15" s="13" t="s">
        <v>52</v>
      </c>
      <c r="B15" s="5" t="s">
        <v>12</v>
      </c>
      <c r="C15" s="5">
        <v>383201</v>
      </c>
      <c r="D15" s="6"/>
      <c r="E15" s="5" t="s">
        <v>9</v>
      </c>
      <c r="F15" s="5" t="s">
        <v>13</v>
      </c>
      <c r="G15" s="5" t="s">
        <v>10</v>
      </c>
      <c r="H15" s="7" t="s">
        <v>8</v>
      </c>
      <c r="I15" s="7" t="s">
        <v>14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8</v>
      </c>
      <c r="AP15" s="9">
        <v>1400</v>
      </c>
      <c r="AQ15" s="7">
        <v>200</v>
      </c>
      <c r="AR15" s="7">
        <v>0</v>
      </c>
      <c r="AS15" s="7">
        <v>0</v>
      </c>
      <c r="AT15" s="7">
        <v>0</v>
      </c>
      <c r="AU15" s="10">
        <v>1600</v>
      </c>
      <c r="AV15" s="17">
        <f t="shared" si="0"/>
        <v>1600</v>
      </c>
      <c r="AW15" s="18">
        <f t="shared" si="1"/>
        <v>1120</v>
      </c>
    </row>
    <row r="16" spans="1:49" ht="19.2" x14ac:dyDescent="0.4">
      <c r="A16" s="13" t="s">
        <v>52</v>
      </c>
      <c r="B16" s="5" t="s">
        <v>48</v>
      </c>
      <c r="C16" s="5">
        <v>419155</v>
      </c>
      <c r="D16" s="6"/>
      <c r="E16" s="5" t="s">
        <v>9</v>
      </c>
      <c r="F16" s="5" t="s">
        <v>49</v>
      </c>
      <c r="G16" s="5" t="s">
        <v>10</v>
      </c>
      <c r="H16" s="7" t="s">
        <v>8</v>
      </c>
      <c r="I16" s="7" t="s">
        <v>50</v>
      </c>
      <c r="J16" s="7">
        <v>0</v>
      </c>
      <c r="K16" s="7">
        <v>10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8">
        <v>0</v>
      </c>
      <c r="AV16" s="17">
        <f t="shared" si="0"/>
        <v>0</v>
      </c>
      <c r="AW16" s="18">
        <f t="shared" si="1"/>
        <v>0</v>
      </c>
    </row>
    <row r="17" spans="1:49" ht="19.2" x14ac:dyDescent="0.4">
      <c r="A17" s="13" t="s">
        <v>52</v>
      </c>
      <c r="B17" s="5" t="s">
        <v>15</v>
      </c>
      <c r="C17" s="5">
        <v>412451</v>
      </c>
      <c r="D17" s="6"/>
      <c r="E17" s="5" t="s">
        <v>9</v>
      </c>
      <c r="F17" s="5" t="s">
        <v>40</v>
      </c>
      <c r="G17" s="5" t="s">
        <v>10</v>
      </c>
      <c r="H17" s="7" t="s">
        <v>16</v>
      </c>
      <c r="I17" s="7" t="s">
        <v>41</v>
      </c>
      <c r="J17" s="7">
        <v>0</v>
      </c>
      <c r="K17" s="7">
        <v>2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8">
        <v>0</v>
      </c>
      <c r="AV17" s="17">
        <f t="shared" ref="AV17:AV22" si="2">AU17-AN17</f>
        <v>0</v>
      </c>
      <c r="AW17" s="18">
        <f t="shared" ref="AW17:AW22" si="3">AV17*70%</f>
        <v>0</v>
      </c>
    </row>
    <row r="18" spans="1:49" ht="28.8" x14ac:dyDescent="0.4">
      <c r="A18" s="14" t="s">
        <v>56</v>
      </c>
      <c r="B18" s="5" t="s">
        <v>35</v>
      </c>
      <c r="C18" s="5">
        <v>434897</v>
      </c>
      <c r="D18" s="6"/>
      <c r="E18" s="5" t="s">
        <v>9</v>
      </c>
      <c r="F18" s="5" t="s">
        <v>33</v>
      </c>
      <c r="G18" s="5" t="s">
        <v>10</v>
      </c>
      <c r="H18" s="7" t="s">
        <v>16</v>
      </c>
      <c r="I18" s="7" t="s">
        <v>41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4</v>
      </c>
      <c r="AC18" s="7">
        <v>800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1</v>
      </c>
      <c r="AP18" s="7">
        <v>200</v>
      </c>
      <c r="AQ18" s="7">
        <v>0</v>
      </c>
      <c r="AR18" s="7">
        <v>0</v>
      </c>
      <c r="AS18" s="7">
        <v>0</v>
      </c>
      <c r="AT18" s="7">
        <v>0</v>
      </c>
      <c r="AU18" s="10">
        <v>1000</v>
      </c>
      <c r="AV18" s="17">
        <f t="shared" si="2"/>
        <v>1000</v>
      </c>
      <c r="AW18" s="18">
        <f t="shared" si="3"/>
        <v>700</v>
      </c>
    </row>
    <row r="19" spans="1:49" ht="19.2" x14ac:dyDescent="0.4">
      <c r="A19" s="14" t="s">
        <v>56</v>
      </c>
      <c r="B19" s="5" t="s">
        <v>36</v>
      </c>
      <c r="C19" s="5">
        <v>435954</v>
      </c>
      <c r="D19" s="6"/>
      <c r="E19" s="5" t="s">
        <v>9</v>
      </c>
      <c r="F19" s="5" t="s">
        <v>34</v>
      </c>
      <c r="G19" s="5" t="s">
        <v>10</v>
      </c>
      <c r="H19" s="7" t="s">
        <v>8</v>
      </c>
      <c r="I19" s="7" t="s">
        <v>42</v>
      </c>
      <c r="J19" s="7">
        <v>0</v>
      </c>
      <c r="K19" s="7">
        <v>6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2</v>
      </c>
      <c r="AC19" s="7">
        <v>400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8">
        <v>400</v>
      </c>
      <c r="AV19" s="17">
        <f t="shared" si="2"/>
        <v>400</v>
      </c>
      <c r="AW19" s="18">
        <f t="shared" si="3"/>
        <v>280</v>
      </c>
    </row>
    <row r="20" spans="1:49" ht="19.2" x14ac:dyDescent="0.4">
      <c r="A20" s="14" t="s">
        <v>56</v>
      </c>
      <c r="B20" s="5" t="s">
        <v>43</v>
      </c>
      <c r="C20" s="5">
        <v>423525</v>
      </c>
      <c r="D20" s="6"/>
      <c r="E20" s="5" t="s">
        <v>9</v>
      </c>
      <c r="F20" s="5" t="s">
        <v>44</v>
      </c>
      <c r="G20" s="5" t="s">
        <v>10</v>
      </c>
      <c r="H20" s="7" t="s">
        <v>8</v>
      </c>
      <c r="I20" s="7" t="s">
        <v>45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>
        <v>0</v>
      </c>
      <c r="AD20" s="7">
        <v>200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8">
        <v>200</v>
      </c>
      <c r="AV20" s="17">
        <f t="shared" si="2"/>
        <v>200</v>
      </c>
      <c r="AW20" s="18">
        <f t="shared" si="3"/>
        <v>140</v>
      </c>
    </row>
    <row r="21" spans="1:49" ht="19.2" x14ac:dyDescent="0.4">
      <c r="A21" s="14" t="s">
        <v>56</v>
      </c>
      <c r="B21" s="5" t="s">
        <v>15</v>
      </c>
      <c r="C21" s="5">
        <v>412451</v>
      </c>
      <c r="D21" s="6"/>
      <c r="E21" s="5" t="s">
        <v>9</v>
      </c>
      <c r="F21" s="5" t="s">
        <v>40</v>
      </c>
      <c r="G21" s="5" t="s">
        <v>10</v>
      </c>
      <c r="H21" s="7" t="s">
        <v>16</v>
      </c>
      <c r="I21" s="7" t="s">
        <v>41</v>
      </c>
      <c r="J21" s="7">
        <v>0</v>
      </c>
      <c r="K21" s="7">
        <v>6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</v>
      </c>
      <c r="AC21" s="7">
        <v>200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8">
        <v>200</v>
      </c>
      <c r="AV21" s="17">
        <f t="shared" si="2"/>
        <v>200</v>
      </c>
      <c r="AW21" s="18">
        <f t="shared" si="3"/>
        <v>140</v>
      </c>
    </row>
    <row r="22" spans="1:49" ht="19.2" x14ac:dyDescent="0.4">
      <c r="A22" s="14" t="s">
        <v>56</v>
      </c>
      <c r="B22" s="5" t="s">
        <v>53</v>
      </c>
      <c r="C22" s="5">
        <v>351846</v>
      </c>
      <c r="D22" s="6"/>
      <c r="E22" s="5" t="s">
        <v>9</v>
      </c>
      <c r="F22" s="5" t="s">
        <v>54</v>
      </c>
      <c r="G22" s="5" t="s">
        <v>10</v>
      </c>
      <c r="H22" s="7" t="s">
        <v>8</v>
      </c>
      <c r="I22" s="7" t="s">
        <v>55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1</v>
      </c>
      <c r="AC22" s="7">
        <v>0</v>
      </c>
      <c r="AD22" s="7">
        <v>100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8">
        <v>100</v>
      </c>
      <c r="AV22" s="17">
        <f t="shared" si="2"/>
        <v>100</v>
      </c>
      <c r="AW22" s="18">
        <f t="shared" si="3"/>
        <v>70</v>
      </c>
    </row>
    <row r="23" spans="1:49" x14ac:dyDescent="0.4">
      <c r="AU23" s="19">
        <f>SUM(AU2:AU22)</f>
        <v>36700</v>
      </c>
      <c r="AW23" s="20">
        <f>SUM(AW2:AW22)</f>
        <v>25690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2022-02-03T01:03:54Z</dcterms:modified>
</cp:coreProperties>
</file>