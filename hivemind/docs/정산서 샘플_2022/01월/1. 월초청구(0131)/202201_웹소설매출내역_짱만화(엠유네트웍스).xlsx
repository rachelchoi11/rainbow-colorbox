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activeTab="2"/>
  </bookViews>
  <sheets>
    <sheet name="정산서" sheetId="3" r:id="rId1"/>
    <sheet name="소설(12)" sheetId="4" r:id="rId2"/>
    <sheet name="더컴퍼니" sheetId="5" r:id="rId3"/>
  </sheets>
  <externalReferences>
    <externalReference r:id="rId4"/>
  </externalReferences>
  <definedNames>
    <definedName name="_xlnm._FilterDatabase" localSheetId="2" hidden="1">더컴퍼니!$A$1:$W$1</definedName>
    <definedName name="_xlnm._FilterDatabase" localSheetId="1" hidden="1">'소설(12)'!$A$1:$W$1</definedName>
  </definedNames>
  <calcPr calcId="152511"/>
</workbook>
</file>

<file path=xl/calcChain.xml><?xml version="1.0" encoding="utf-8"?>
<calcChain xmlns="http://schemas.openxmlformats.org/spreadsheetml/2006/main">
  <c r="I4" i="5" l="1"/>
  <c r="I3" i="5"/>
  <c r="I2" i="5"/>
  <c r="I5" i="5" s="1"/>
  <c r="I3" i="4" l="1"/>
  <c r="I4" i="4"/>
  <c r="I2" i="4"/>
  <c r="F7" i="3"/>
  <c r="G7" i="3" s="1"/>
  <c r="G8" i="3" s="1"/>
  <c r="F13" i="3" s="1"/>
  <c r="G13" i="3" s="1"/>
  <c r="F8" i="3" l="1"/>
  <c r="I5" i="4"/>
</calcChain>
</file>

<file path=xl/sharedStrings.xml><?xml version="1.0" encoding="utf-8"?>
<sst xmlns="http://schemas.openxmlformats.org/spreadsheetml/2006/main" count="61" uniqueCount="36">
  <si>
    <t>타이틀</t>
  </si>
  <si>
    <t>이용건수</t>
    <phoneticPr fontId="2" type="noConversion"/>
  </si>
  <si>
    <t>정산금</t>
    <phoneticPr fontId="2" type="noConversion"/>
  </si>
  <si>
    <t>작가</t>
    <phoneticPr fontId="2" type="noConversion"/>
  </si>
  <si>
    <t>이용금액</t>
    <phoneticPr fontId="2" type="noConversion"/>
  </si>
  <si>
    <t>이용건수</t>
    <phoneticPr fontId="2" type="noConversion"/>
  </si>
  <si>
    <t>총 이용금액</t>
    <phoneticPr fontId="2" type="noConversion"/>
  </si>
  <si>
    <t>출판사</t>
    <phoneticPr fontId="2" type="noConversion"/>
  </si>
  <si>
    <t>엠유네트웍스 만화 정산내역서</t>
    <phoneticPr fontId="2" type="noConversion"/>
  </si>
  <si>
    <t>1. 정산내역서</t>
    <phoneticPr fontId="2" type="noConversion"/>
  </si>
  <si>
    <t>서비스시기</t>
    <phoneticPr fontId="2" type="noConversion"/>
  </si>
  <si>
    <t>구분</t>
    <phoneticPr fontId="2" type="noConversion"/>
  </si>
  <si>
    <t>서비스</t>
    <phoneticPr fontId="2" type="noConversion"/>
  </si>
  <si>
    <t>정산요율</t>
    <phoneticPr fontId="2" type="noConversion"/>
  </si>
  <si>
    <t>CP매출액</t>
    <phoneticPr fontId="2" type="noConversion"/>
  </si>
  <si>
    <t>CP정산금액</t>
    <phoneticPr fontId="2" type="noConversion"/>
  </si>
  <si>
    <t>2021년 12월</t>
  </si>
  <si>
    <t>스토리위즈</t>
    <phoneticPr fontId="2" type="noConversion"/>
  </si>
  <si>
    <t>소설</t>
    <phoneticPr fontId="2" type="noConversion"/>
  </si>
  <si>
    <t>TOTAL</t>
    <phoneticPr fontId="2" type="noConversion"/>
  </si>
  <si>
    <t>2. 세금계산서 발행내역</t>
    <phoneticPr fontId="2" type="noConversion"/>
  </si>
  <si>
    <t>월</t>
    <phoneticPr fontId="2" type="noConversion"/>
  </si>
  <si>
    <t>품목</t>
    <phoneticPr fontId="2" type="noConversion"/>
  </si>
  <si>
    <t>공급가액</t>
    <phoneticPr fontId="2" type="noConversion"/>
  </si>
  <si>
    <t>합계금액</t>
    <phoneticPr fontId="2" type="noConversion"/>
  </si>
  <si>
    <t>2022년 01월</t>
    <phoneticPr fontId="2" type="noConversion"/>
  </si>
  <si>
    <t>컨텐츠 제공료(12월분)</t>
  </si>
  <si>
    <t>썸 타임</t>
  </si>
  <si>
    <t>지니</t>
  </si>
  <si>
    <t>(BL) 네가 날 싫어하는 이유</t>
  </si>
  <si>
    <t>마리봄</t>
  </si>
  <si>
    <t>(BL) 더티독-외전</t>
  </si>
  <si>
    <t>용가리맛쿠키</t>
  </si>
  <si>
    <t>소설</t>
    <phoneticPr fontId="2" type="noConversion"/>
  </si>
  <si>
    <t>더컴퍼니</t>
    <phoneticPr fontId="2" type="noConversion"/>
  </si>
  <si>
    <t>더컴퍼니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</si>
</sst>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_);[Red]\(#,##0\)"/>
  </numFmts>
  <fonts count="2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sz val="11"/>
      <name val="나눔고딕"/>
      <family val="3"/>
      <charset val="129"/>
    </font>
    <font>
      <b/>
      <sz val="20"/>
      <name val="나눔고딕"/>
      <family val="3"/>
      <charset val="129"/>
    </font>
    <font>
      <b/>
      <sz val="12"/>
      <name val="나눔고딕"/>
      <family val="3"/>
      <charset val="129"/>
    </font>
    <font>
      <sz val="10"/>
      <name val="나눔고딕"/>
      <family val="3"/>
      <charset val="129"/>
    </font>
    <font>
      <sz val="9"/>
      <color indexed="9"/>
      <name val="나눔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0" borderId="0" applyFont="0"/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3" borderId="3" applyNumberFormat="0" applyAlignment="0" applyProtection="0">
      <alignment vertical="center"/>
    </xf>
    <xf numFmtId="0" fontId="17" fillId="0" borderId="0"/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3" fillId="0" borderId="0" xfId="45" applyFont="1">
      <alignment vertical="center"/>
    </xf>
    <xf numFmtId="0" fontId="4" fillId="0" borderId="0" xfId="45" applyFont="1">
      <alignment vertical="center"/>
    </xf>
    <xf numFmtId="0" fontId="6" fillId="0" borderId="0" xfId="45" applyFont="1">
      <alignment vertical="center"/>
    </xf>
    <xf numFmtId="0" fontId="7" fillId="25" borderId="10" xfId="45" applyFont="1" applyFill="1" applyBorder="1" applyAlignment="1">
      <alignment horizontal="center" vertical="center"/>
    </xf>
    <xf numFmtId="9" fontId="7" fillId="0" borderId="10" xfId="45" applyNumberFormat="1" applyFont="1" applyBorder="1" applyAlignment="1">
      <alignment horizontal="center" vertical="center"/>
    </xf>
    <xf numFmtId="176" fontId="7" fillId="0" borderId="10" xfId="45" applyNumberFormat="1" applyFont="1" applyBorder="1" applyAlignment="1">
      <alignment horizontal="right" vertical="center"/>
    </xf>
    <xf numFmtId="177" fontId="8" fillId="26" borderId="10" xfId="0" applyNumberFormat="1" applyFont="1" applyFill="1" applyBorder="1" applyAlignment="1">
      <alignment horizontal="center" vertical="center"/>
    </xf>
    <xf numFmtId="17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176" fontId="7" fillId="0" borderId="10" xfId="45" applyNumberFormat="1" applyFont="1" applyBorder="1" applyAlignment="1">
      <alignment vertical="center"/>
    </xf>
    <xf numFmtId="177" fontId="8" fillId="26" borderId="18" xfId="0" applyNumberFormat="1" applyFont="1" applyFill="1" applyBorder="1" applyAlignment="1">
      <alignment horizontal="center" vertical="center"/>
    </xf>
    <xf numFmtId="0" fontId="8" fillId="26" borderId="18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0" borderId="10" xfId="45" applyFont="1" applyBorder="1" applyAlignment="1">
      <alignment horizontal="center" vertical="center"/>
    </xf>
    <xf numFmtId="0" fontId="7" fillId="27" borderId="10" xfId="45" applyFont="1" applyFill="1" applyBorder="1" applyAlignment="1">
      <alignment horizontal="center" vertical="center"/>
    </xf>
    <xf numFmtId="0" fontId="7" fillId="24" borderId="10" xfId="45" applyFont="1" applyFill="1" applyBorder="1" applyAlignment="1">
      <alignment horizontal="center" vertical="center"/>
    </xf>
    <xf numFmtId="0" fontId="3" fillId="28" borderId="10" xfId="0" applyFont="1" applyFill="1" applyBorder="1" applyAlignment="1">
      <alignment vertical="center"/>
    </xf>
    <xf numFmtId="0" fontId="3" fillId="28" borderId="10" xfId="0" applyFont="1" applyFill="1" applyBorder="1" applyAlignment="1">
      <alignment horizontal="center" vertical="center"/>
    </xf>
    <xf numFmtId="177" fontId="3" fillId="28" borderId="10" xfId="0" applyNumberFormat="1" applyFont="1" applyFill="1" applyBorder="1" applyAlignment="1">
      <alignment horizontal="right" vertical="center"/>
    </xf>
    <xf numFmtId="177" fontId="3" fillId="0" borderId="10" xfId="0" applyNumberFormat="1" applyFont="1" applyBorder="1" applyAlignment="1">
      <alignment vertical="center"/>
    </xf>
    <xf numFmtId="0" fontId="7" fillId="0" borderId="10" xfId="45" applyFont="1" applyBorder="1" applyAlignment="1">
      <alignment horizontal="center" vertical="center"/>
    </xf>
    <xf numFmtId="0" fontId="7" fillId="27" borderId="10" xfId="45" applyFont="1" applyFill="1" applyBorder="1" applyAlignment="1">
      <alignment horizontal="center" vertical="center"/>
    </xf>
    <xf numFmtId="0" fontId="5" fillId="0" borderId="11" xfId="45" applyFont="1" applyBorder="1" applyAlignment="1">
      <alignment horizontal="center" vertical="center"/>
    </xf>
    <xf numFmtId="0" fontId="5" fillId="0" borderId="12" xfId="45" applyFont="1" applyBorder="1" applyAlignment="1">
      <alignment horizontal="center" vertical="center"/>
    </xf>
    <xf numFmtId="0" fontId="5" fillId="0" borderId="13" xfId="45" applyFont="1" applyBorder="1" applyAlignment="1">
      <alignment horizontal="center" vertical="center"/>
    </xf>
    <xf numFmtId="0" fontId="5" fillId="0" borderId="14" xfId="45" applyFont="1" applyBorder="1" applyAlignment="1">
      <alignment horizontal="center" vertical="center"/>
    </xf>
    <xf numFmtId="0" fontId="7" fillId="24" borderId="10" xfId="45" applyFont="1" applyFill="1" applyBorder="1" applyAlignment="1">
      <alignment horizontal="center" vertical="center"/>
    </xf>
    <xf numFmtId="0" fontId="7" fillId="0" borderId="15" xfId="45" applyFont="1" applyBorder="1" applyAlignment="1">
      <alignment horizontal="center" vertical="center"/>
    </xf>
    <xf numFmtId="0" fontId="7" fillId="0" borderId="16" xfId="45" applyFont="1" applyBorder="1" applyAlignment="1">
      <alignment horizontal="center" vertical="center"/>
    </xf>
    <xf numFmtId="0" fontId="7" fillId="0" borderId="17" xfId="45" applyFont="1" applyBorder="1" applyAlignment="1">
      <alignment horizontal="center" vertical="center"/>
    </xf>
  </cellXfs>
  <cellStyles count="46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Default" xfId="19"/>
    <cellStyle name="강조색1" xfId="20" builtinId="29" customBuiltin="1"/>
    <cellStyle name="강조색2" xfId="21" builtinId="33" customBuiltin="1"/>
    <cellStyle name="강조색3" xfId="22" builtinId="37" customBuiltin="1"/>
    <cellStyle name="강조색4" xfId="23" builtinId="41" customBuiltin="1"/>
    <cellStyle name="강조색5" xfId="24" builtinId="45" customBuiltin="1"/>
    <cellStyle name="강조색6" xfId="25" builtinId="49" customBuiltin="1"/>
    <cellStyle name="경고문" xfId="26" builtinId="11" customBuiltin="1"/>
    <cellStyle name="계산" xfId="27" builtinId="22" customBuiltin="1"/>
    <cellStyle name="나쁨" xfId="28" builtinId="27" customBuiltin="1"/>
    <cellStyle name="메모" xfId="29" builtinId="10" customBuiltin="1"/>
    <cellStyle name="보통" xfId="30" builtinId="28" customBuiltin="1"/>
    <cellStyle name="설명 텍스트" xfId="31" builtinId="53" customBuiltin="1"/>
    <cellStyle name="셀 확인" xfId="32" builtinId="23" customBuiltin="1"/>
    <cellStyle name="스타일 1" xfId="33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표준" xfId="0" builtinId="0"/>
    <cellStyle name="표준 2" xfId="44"/>
    <cellStyle name="표준_9월_기세정보통신" xfId="4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hui/Downloads/&#50656;&#50976;&#45348;&#53944;&#50893;&#49828;_&#49828;&#53664;&#47532;&#50948;&#51592;_202112%20&#51221;&#49328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서"/>
      <sheetName val="소설"/>
    </sheetNames>
    <sheetDataSet>
      <sheetData sheetId="0"/>
      <sheetData sheetId="1">
        <row r="6">
          <cell r="H6">
            <v>6800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zoomScaleNormal="100" workbookViewId="0">
      <selection activeCell="G7" sqref="G7"/>
    </sheetView>
  </sheetViews>
  <sheetFormatPr defaultColWidth="8.8984375" defaultRowHeight="22.5" customHeight="1" x14ac:dyDescent="0.25"/>
  <cols>
    <col min="1" max="1" width="11.09765625" style="1" customWidth="1"/>
    <col min="2" max="4" width="9.19921875" style="1" customWidth="1"/>
    <col min="5" max="7" width="12.19921875" style="1" customWidth="1"/>
    <col min="8" max="8" width="12.796875" style="2" customWidth="1"/>
    <col min="9" max="16384" width="8.8984375" style="2"/>
  </cols>
  <sheetData>
    <row r="1" spans="1:7" ht="22.5" customHeight="1" thickBot="1" x14ac:dyDescent="0.3"/>
    <row r="2" spans="1:7" ht="37.5" customHeight="1" thickBot="1" x14ac:dyDescent="0.3">
      <c r="A2" s="25" t="s">
        <v>8</v>
      </c>
      <c r="B2" s="26"/>
      <c r="C2" s="27"/>
      <c r="D2" s="27"/>
      <c r="E2" s="27"/>
      <c r="F2" s="27"/>
      <c r="G2" s="28"/>
    </row>
    <row r="4" spans="1:7" s="1" customFormat="1" ht="22.5" customHeight="1" x14ac:dyDescent="0.25">
      <c r="A4" s="3" t="s">
        <v>9</v>
      </c>
      <c r="B4" s="3"/>
    </row>
    <row r="6" spans="1:7" ht="22.5" customHeight="1" x14ac:dyDescent="0.25">
      <c r="A6" s="18" t="s">
        <v>10</v>
      </c>
      <c r="B6" s="18" t="s">
        <v>11</v>
      </c>
      <c r="C6" s="29" t="s">
        <v>12</v>
      </c>
      <c r="D6" s="29"/>
      <c r="E6" s="18" t="s">
        <v>13</v>
      </c>
      <c r="F6" s="4" t="s">
        <v>14</v>
      </c>
      <c r="G6" s="4" t="s">
        <v>15</v>
      </c>
    </row>
    <row r="7" spans="1:7" ht="22.5" customHeight="1" x14ac:dyDescent="0.25">
      <c r="A7" s="16" t="s">
        <v>16</v>
      </c>
      <c r="B7" s="16" t="s">
        <v>17</v>
      </c>
      <c r="C7" s="23" t="s">
        <v>18</v>
      </c>
      <c r="D7" s="23"/>
      <c r="E7" s="5">
        <v>0.7</v>
      </c>
      <c r="F7" s="6">
        <f>[1]소설!H6</f>
        <v>6800</v>
      </c>
      <c r="G7" s="6">
        <f>F7*E7</f>
        <v>4760</v>
      </c>
    </row>
    <row r="8" spans="1:7" ht="22.5" customHeight="1" x14ac:dyDescent="0.25">
      <c r="A8" s="30" t="s">
        <v>19</v>
      </c>
      <c r="B8" s="31"/>
      <c r="C8" s="31"/>
      <c r="D8" s="31"/>
      <c r="E8" s="32"/>
      <c r="F8" s="6">
        <f>SUM(F7)</f>
        <v>6800</v>
      </c>
      <c r="G8" s="6">
        <f>SUM(G7)</f>
        <v>4760</v>
      </c>
    </row>
    <row r="10" spans="1:7" ht="22.5" customHeight="1" x14ac:dyDescent="0.25">
      <c r="A10" s="3" t="s">
        <v>20</v>
      </c>
    </row>
    <row r="12" spans="1:7" ht="22.5" customHeight="1" x14ac:dyDescent="0.25">
      <c r="A12" s="24" t="s">
        <v>21</v>
      </c>
      <c r="B12" s="24"/>
      <c r="C12" s="24" t="s">
        <v>22</v>
      </c>
      <c r="D12" s="24"/>
      <c r="E12" s="24"/>
      <c r="F12" s="17" t="s">
        <v>23</v>
      </c>
      <c r="G12" s="17" t="s">
        <v>24</v>
      </c>
    </row>
    <row r="13" spans="1:7" ht="22.5" customHeight="1" x14ac:dyDescent="0.25">
      <c r="A13" s="23" t="s">
        <v>25</v>
      </c>
      <c r="B13" s="23"/>
      <c r="C13" s="23" t="s">
        <v>26</v>
      </c>
      <c r="D13" s="23"/>
      <c r="E13" s="23"/>
      <c r="F13" s="12">
        <f>G8</f>
        <v>4760</v>
      </c>
      <c r="G13" s="12">
        <f>F13</f>
        <v>4760</v>
      </c>
    </row>
  </sheetData>
  <mergeCells count="8">
    <mergeCell ref="A13:B13"/>
    <mergeCell ref="A12:B12"/>
    <mergeCell ref="C13:E13"/>
    <mergeCell ref="C12:E12"/>
    <mergeCell ref="A2:G2"/>
    <mergeCell ref="C6:D6"/>
    <mergeCell ref="A8:E8"/>
    <mergeCell ref="C7:D7"/>
  </mergeCells>
  <phoneticPr fontId="2" type="noConversion"/>
  <pageMargins left="0.91" right="0.27" top="1" bottom="0.72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workbookViewId="0">
      <pane ySplit="1" topLeftCell="A2" activePane="bottomLeft" state="frozen"/>
      <selection activeCell="A2" sqref="A2:XFD17"/>
      <selection pane="bottomLeft" activeCell="C5" sqref="C5"/>
    </sheetView>
  </sheetViews>
  <sheetFormatPr defaultColWidth="8.8984375" defaultRowHeight="13.5" customHeight="1" x14ac:dyDescent="0.25"/>
  <cols>
    <col min="1" max="1" width="16.59765625" style="9" customWidth="1"/>
    <col min="2" max="2" width="14" style="9" customWidth="1"/>
    <col min="3" max="3" width="12.8984375" style="11" customWidth="1"/>
    <col min="4" max="8" width="10" style="8" customWidth="1"/>
    <col min="9" max="9" width="8.8984375" style="9"/>
    <col min="10" max="23" width="8.8984375" style="10"/>
    <col min="24" max="16384" width="8.8984375" style="9"/>
  </cols>
  <sheetData>
    <row r="1" spans="1:23" s="11" customFormat="1" ht="13.5" customHeight="1" x14ac:dyDescent="0.25">
      <c r="A1" s="14" t="s">
        <v>0</v>
      </c>
      <c r="B1" s="14" t="s">
        <v>3</v>
      </c>
      <c r="C1" s="14" t="s">
        <v>7</v>
      </c>
      <c r="D1" s="7" t="s">
        <v>1</v>
      </c>
      <c r="E1" s="7" t="s">
        <v>4</v>
      </c>
      <c r="F1" s="7" t="s">
        <v>5</v>
      </c>
      <c r="G1" s="7" t="s">
        <v>4</v>
      </c>
      <c r="H1" s="13" t="s">
        <v>6</v>
      </c>
      <c r="I1" s="13" t="s">
        <v>2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s="2" customFormat="1" ht="13.8" x14ac:dyDescent="0.25">
      <c r="A2" s="19" t="s">
        <v>27</v>
      </c>
      <c r="B2" s="19" t="s">
        <v>28</v>
      </c>
      <c r="C2" s="19" t="s">
        <v>34</v>
      </c>
      <c r="D2" s="20" t="s">
        <v>33</v>
      </c>
      <c r="E2" s="21">
        <v>1</v>
      </c>
      <c r="F2" s="22">
        <v>3400</v>
      </c>
      <c r="G2" s="21">
        <v>0</v>
      </c>
      <c r="H2" s="22">
        <v>3400</v>
      </c>
      <c r="I2" s="22">
        <f>H2*70%</f>
        <v>2380</v>
      </c>
    </row>
    <row r="3" spans="1:23" s="2" customFormat="1" ht="13.8" x14ac:dyDescent="0.25">
      <c r="A3" s="19" t="s">
        <v>29</v>
      </c>
      <c r="B3" s="19" t="s">
        <v>30</v>
      </c>
      <c r="C3" s="19" t="s">
        <v>35</v>
      </c>
      <c r="D3" s="20" t="s">
        <v>33</v>
      </c>
      <c r="E3" s="21">
        <v>1</v>
      </c>
      <c r="F3" s="22">
        <v>3200</v>
      </c>
      <c r="G3" s="21">
        <v>0</v>
      </c>
      <c r="H3" s="22">
        <v>3200</v>
      </c>
      <c r="I3" s="22">
        <f t="shared" ref="I3:I4" si="0">H3*70%</f>
        <v>2240</v>
      </c>
    </row>
    <row r="4" spans="1:23" s="2" customFormat="1" ht="13.8" x14ac:dyDescent="0.25">
      <c r="A4" s="19" t="s">
        <v>31</v>
      </c>
      <c r="B4" s="19" t="s">
        <v>32</v>
      </c>
      <c r="C4" s="19" t="s">
        <v>34</v>
      </c>
      <c r="D4" s="20" t="s">
        <v>33</v>
      </c>
      <c r="E4" s="21">
        <v>1</v>
      </c>
      <c r="F4" s="22">
        <v>200</v>
      </c>
      <c r="G4" s="21">
        <v>0</v>
      </c>
      <c r="H4" s="22">
        <v>200</v>
      </c>
      <c r="I4" s="22">
        <f t="shared" si="0"/>
        <v>140</v>
      </c>
    </row>
    <row r="5" spans="1:23" ht="13.5" customHeight="1" x14ac:dyDescent="0.25">
      <c r="I5" s="8">
        <f>SUM(I2:I4)</f>
        <v>4760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abSelected="1" workbookViewId="0">
      <pane ySplit="1" topLeftCell="A2" activePane="bottomLeft" state="frozen"/>
      <selection activeCell="A2" sqref="A2:XFD17"/>
      <selection pane="bottomLeft" activeCell="E28" sqref="E28"/>
    </sheetView>
  </sheetViews>
  <sheetFormatPr defaultColWidth="8.8984375" defaultRowHeight="13.5" customHeight="1" x14ac:dyDescent="0.25"/>
  <cols>
    <col min="1" max="1" width="16.59765625" style="9" customWidth="1"/>
    <col min="2" max="2" width="14" style="9" customWidth="1"/>
    <col min="3" max="3" width="12.8984375" style="11" customWidth="1"/>
    <col min="4" max="8" width="10" style="8" customWidth="1"/>
    <col min="9" max="9" width="8.8984375" style="9"/>
    <col min="10" max="23" width="8.8984375" style="10"/>
    <col min="24" max="16384" width="8.8984375" style="9"/>
  </cols>
  <sheetData>
    <row r="1" spans="1:23" s="11" customFormat="1" ht="13.5" customHeight="1" x14ac:dyDescent="0.25">
      <c r="A1" s="14" t="s">
        <v>0</v>
      </c>
      <c r="B1" s="14" t="s">
        <v>3</v>
      </c>
      <c r="C1" s="14" t="s">
        <v>7</v>
      </c>
      <c r="D1" s="7" t="s">
        <v>1</v>
      </c>
      <c r="E1" s="7" t="s">
        <v>4</v>
      </c>
      <c r="F1" s="7" t="s">
        <v>5</v>
      </c>
      <c r="G1" s="7" t="s">
        <v>4</v>
      </c>
      <c r="H1" s="13" t="s">
        <v>6</v>
      </c>
      <c r="I1" s="13" t="s">
        <v>2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s="2" customFormat="1" ht="13.8" x14ac:dyDescent="0.25">
      <c r="A2" s="19" t="s">
        <v>27</v>
      </c>
      <c r="B2" s="19" t="s">
        <v>28</v>
      </c>
      <c r="C2" s="19" t="s">
        <v>34</v>
      </c>
      <c r="D2" s="20" t="s">
        <v>33</v>
      </c>
      <c r="E2" s="21">
        <v>1</v>
      </c>
      <c r="F2" s="22">
        <v>3400</v>
      </c>
      <c r="G2" s="21">
        <v>0</v>
      </c>
      <c r="H2" s="22">
        <v>3400</v>
      </c>
      <c r="I2" s="22">
        <f>H2*70%</f>
        <v>2380</v>
      </c>
    </row>
    <row r="3" spans="1:23" s="2" customFormat="1" ht="13.8" x14ac:dyDescent="0.25">
      <c r="A3" s="19" t="s">
        <v>29</v>
      </c>
      <c r="B3" s="19" t="s">
        <v>30</v>
      </c>
      <c r="C3" s="19" t="s">
        <v>35</v>
      </c>
      <c r="D3" s="20" t="s">
        <v>33</v>
      </c>
      <c r="E3" s="21">
        <v>1</v>
      </c>
      <c r="F3" s="22">
        <v>3200</v>
      </c>
      <c r="G3" s="21">
        <v>0</v>
      </c>
      <c r="H3" s="22">
        <v>3200</v>
      </c>
      <c r="I3" s="22">
        <f t="shared" ref="I3:I4" si="0">H3*70%</f>
        <v>2240</v>
      </c>
    </row>
    <row r="4" spans="1:23" s="2" customFormat="1" ht="13.8" x14ac:dyDescent="0.25">
      <c r="A4" s="19" t="s">
        <v>31</v>
      </c>
      <c r="B4" s="19" t="s">
        <v>32</v>
      </c>
      <c r="C4" s="19" t="s">
        <v>34</v>
      </c>
      <c r="D4" s="20" t="s">
        <v>33</v>
      </c>
      <c r="E4" s="21">
        <v>1</v>
      </c>
      <c r="F4" s="22">
        <v>200</v>
      </c>
      <c r="G4" s="21">
        <v>0</v>
      </c>
      <c r="H4" s="22">
        <v>200</v>
      </c>
      <c r="I4" s="22">
        <f t="shared" si="0"/>
        <v>140</v>
      </c>
    </row>
    <row r="5" spans="1:23" ht="13.5" customHeight="1" x14ac:dyDescent="0.25">
      <c r="I5" s="8">
        <f>SUM(I2:I4)</f>
        <v>4760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정산서</vt:lpstr>
      <vt:lpstr>소설(12)</vt:lpstr>
      <vt:lpstr>더컴퍼니</vt:lpstr>
    </vt:vector>
  </TitlesOfParts>
  <Company>(주)엠피언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jihui</cp:lastModifiedBy>
  <cp:lastPrinted>2012-09-24T00:55:57Z</cp:lastPrinted>
  <dcterms:created xsi:type="dcterms:W3CDTF">2005-08-07T04:24:10Z</dcterms:created>
  <dcterms:modified xsi:type="dcterms:W3CDTF">2022-02-07T06:12:52Z</dcterms:modified>
</cp:coreProperties>
</file>