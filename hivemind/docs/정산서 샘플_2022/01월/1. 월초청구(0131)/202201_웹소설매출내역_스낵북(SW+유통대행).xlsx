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"/>
    </mc:Choice>
  </mc:AlternateContent>
  <bookViews>
    <workbookView xWindow="0" yWindow="0" windowWidth="25200" windowHeight="12684" tabRatio="900"/>
  </bookViews>
  <sheets>
    <sheet name="합계(1)" sheetId="39" r:id="rId1"/>
    <sheet name="무장" sheetId="40" r:id="rId2"/>
    <sheet name="담화공" sheetId="41" r:id="rId3"/>
    <sheet name="모험왕선우" sheetId="43" r:id="rId4"/>
    <sheet name="에필로그" sheetId="42" r:id="rId5"/>
  </sheets>
  <definedNames>
    <definedName name="_xlnm._FilterDatabase" localSheetId="0" hidden="1">'합계(1)'!$A$1:$G$14</definedName>
    <definedName name="_xlnm.Extract" localSheetId="2">담화공!$A$1:$G$1</definedName>
    <definedName name="_xlnm.Extract" localSheetId="3">모험왕선우!$A$1:$G$1</definedName>
    <definedName name="_xlnm.Extract" localSheetId="1">무장!$A$1:$G$1</definedName>
    <definedName name="_xlnm.Extract" localSheetId="4">에필로그!$A$1:$G$1</definedName>
    <definedName name="_xlnm.Extract" localSheetId="0">'합계(1)'!#REF!</definedName>
  </definedNames>
  <calcPr calcId="152511"/>
</workbook>
</file>

<file path=xl/calcChain.xml><?xml version="1.0" encoding="utf-8"?>
<calcChain xmlns="http://schemas.openxmlformats.org/spreadsheetml/2006/main">
  <c r="F4" i="41" l="1"/>
  <c r="F6" i="40"/>
  <c r="F7" i="42"/>
  <c r="F14" i="39" l="1"/>
</calcChain>
</file>

<file path=xl/sharedStrings.xml><?xml version="1.0" encoding="utf-8"?>
<sst xmlns="http://schemas.openxmlformats.org/spreadsheetml/2006/main" count="78" uniqueCount="21">
  <si>
    <t>작품ID</t>
  </si>
  <si>
    <t>작품명</t>
  </si>
  <si>
    <t>필자명</t>
  </si>
  <si>
    <t>정산비율</t>
  </si>
  <si>
    <t>판매(원)</t>
  </si>
  <si>
    <t>정산(원)</t>
  </si>
  <si>
    <t>디버프 마스터</t>
  </si>
  <si>
    <t>티끌 모아 대박</t>
  </si>
  <si>
    <t>유성하소월</t>
  </si>
  <si>
    <t>강산(江山)</t>
  </si>
  <si>
    <t>법보다 주먹</t>
  </si>
  <si>
    <t>전설이 돼라</t>
  </si>
  <si>
    <t>강호유정</t>
  </si>
  <si>
    <t>모험왕선우</t>
  </si>
  <si>
    <t>진짜 사나이</t>
  </si>
  <si>
    <t>무장</t>
  </si>
  <si>
    <t>갓 오브 블랙필드</t>
  </si>
  <si>
    <t>그라운드의 지배자</t>
  </si>
  <si>
    <t>신인류 좀비의 아포칼립스</t>
  </si>
  <si>
    <t>담화공</t>
    <phoneticPr fontId="18" type="noConversion"/>
  </si>
  <si>
    <t>강산(江山)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</si>
</sst>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9" fillId="0" borderId="0">
      <alignment vertical="center"/>
    </xf>
  </cellStyleXfs>
  <cellXfs count="5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19" fillId="0" borderId="0" xfId="44">
      <alignment vertical="center"/>
    </xf>
    <xf numFmtId="41" fontId="0" fillId="33" borderId="0" xfId="1" applyFont="1" applyFill="1">
      <alignment vertical="center"/>
    </xf>
  </cellXfs>
  <cellStyles count="45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쉼표 [0] 2" xfId="43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_합계(1)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4"/>
  <sheetViews>
    <sheetView tabSelected="1" workbookViewId="0">
      <selection activeCell="C20" sqref="C20"/>
    </sheetView>
  </sheetViews>
  <sheetFormatPr defaultRowHeight="17.399999999999999"/>
  <cols>
    <col min="2" max="2" width="26.296875" bestFit="1" customWidth="1"/>
    <col min="3" max="3" width="14.3984375" bestFit="1" customWidth="1"/>
    <col min="4" max="4" width="14.3984375" customWidth="1"/>
    <col min="6" max="6" width="9.19921875" bestFit="1" customWidth="1"/>
  </cols>
  <sheetData>
    <row r="1" spans="1:7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7">
      <c r="A2" s="3">
        <v>14799</v>
      </c>
      <c r="B2" s="3" t="s">
        <v>16</v>
      </c>
      <c r="C2" s="3" t="s">
        <v>15</v>
      </c>
      <c r="D2" s="3">
        <v>70</v>
      </c>
      <c r="E2" s="3">
        <v>74690</v>
      </c>
      <c r="F2" s="3">
        <v>52283</v>
      </c>
      <c r="G2" s="3"/>
    </row>
    <row r="3" spans="1:7">
      <c r="A3" s="3">
        <v>14802</v>
      </c>
      <c r="B3" s="3" t="s">
        <v>12</v>
      </c>
      <c r="C3" s="3" t="s">
        <v>15</v>
      </c>
      <c r="D3" s="3">
        <v>70</v>
      </c>
      <c r="E3" s="3">
        <v>1260</v>
      </c>
      <c r="F3" s="3">
        <v>882</v>
      </c>
      <c r="G3" s="3"/>
    </row>
    <row r="4" spans="1:7">
      <c r="A4" s="3">
        <v>14800</v>
      </c>
      <c r="B4" s="3" t="s">
        <v>17</v>
      </c>
      <c r="C4" s="3" t="s">
        <v>15</v>
      </c>
      <c r="D4" s="3">
        <v>70</v>
      </c>
      <c r="E4" s="3">
        <v>630</v>
      </c>
      <c r="F4" s="3">
        <v>441</v>
      </c>
      <c r="G4" s="3"/>
    </row>
    <row r="5" spans="1:7">
      <c r="A5" s="3">
        <v>14739</v>
      </c>
      <c r="B5" s="3" t="s">
        <v>6</v>
      </c>
      <c r="C5" s="3" t="s">
        <v>19</v>
      </c>
      <c r="D5" s="3">
        <v>70</v>
      </c>
      <c r="E5" s="3">
        <v>759900</v>
      </c>
      <c r="F5" s="3">
        <v>531930</v>
      </c>
      <c r="G5" s="3"/>
    </row>
    <row r="6" spans="1:7">
      <c r="A6" s="3">
        <v>14739</v>
      </c>
      <c r="B6" s="3" t="s">
        <v>6</v>
      </c>
      <c r="C6" s="3" t="s">
        <v>19</v>
      </c>
      <c r="D6" s="3">
        <v>70</v>
      </c>
      <c r="E6" s="3">
        <v>53000</v>
      </c>
      <c r="F6" s="3">
        <v>37100</v>
      </c>
      <c r="G6" s="3"/>
    </row>
    <row r="7" spans="1:7">
      <c r="A7" s="3">
        <v>14804</v>
      </c>
      <c r="B7" s="3" t="s">
        <v>10</v>
      </c>
      <c r="C7" s="3" t="s">
        <v>20</v>
      </c>
      <c r="D7" s="3">
        <v>70</v>
      </c>
      <c r="E7" s="3">
        <v>810</v>
      </c>
      <c r="F7" s="3">
        <v>567</v>
      </c>
      <c r="G7" s="3"/>
    </row>
    <row r="8" spans="1:7">
      <c r="A8" s="3">
        <v>14803</v>
      </c>
      <c r="B8" s="3" t="s">
        <v>18</v>
      </c>
      <c r="C8" s="3" t="s">
        <v>13</v>
      </c>
      <c r="D8" s="3">
        <v>70</v>
      </c>
      <c r="E8" s="3">
        <v>540</v>
      </c>
      <c r="F8" s="3">
        <v>378</v>
      </c>
      <c r="G8" s="3"/>
    </row>
    <row r="9" spans="1:7">
      <c r="A9" s="3">
        <v>14801</v>
      </c>
      <c r="B9" s="3" t="s">
        <v>8</v>
      </c>
      <c r="C9" s="3" t="s">
        <v>15</v>
      </c>
      <c r="D9" s="3">
        <v>70</v>
      </c>
      <c r="E9" s="3">
        <v>720</v>
      </c>
      <c r="F9" s="3">
        <v>504</v>
      </c>
      <c r="G9" s="3"/>
    </row>
    <row r="10" spans="1:7">
      <c r="A10" s="3">
        <v>14806</v>
      </c>
      <c r="B10" s="3" t="s">
        <v>11</v>
      </c>
      <c r="C10" s="3" t="s">
        <v>9</v>
      </c>
      <c r="D10" s="3">
        <v>70</v>
      </c>
      <c r="E10" s="3">
        <v>810</v>
      </c>
      <c r="F10" s="3">
        <v>567</v>
      </c>
      <c r="G10" s="3"/>
    </row>
    <row r="11" spans="1:7">
      <c r="A11" s="3">
        <v>14805</v>
      </c>
      <c r="B11" s="3" t="s">
        <v>14</v>
      </c>
      <c r="C11" s="3" t="s">
        <v>9</v>
      </c>
      <c r="D11" s="3">
        <v>70</v>
      </c>
      <c r="E11" s="3">
        <v>17370</v>
      </c>
      <c r="F11" s="3">
        <v>12159</v>
      </c>
      <c r="G11" s="3"/>
    </row>
    <row r="12" spans="1:7">
      <c r="A12" s="3">
        <v>14805</v>
      </c>
      <c r="B12" s="3" t="s">
        <v>14</v>
      </c>
      <c r="C12" s="3" t="s">
        <v>9</v>
      </c>
      <c r="D12" s="3">
        <v>70</v>
      </c>
      <c r="E12" s="3">
        <v>13500</v>
      </c>
      <c r="F12" s="3">
        <v>9450</v>
      </c>
      <c r="G12" s="3"/>
    </row>
    <row r="13" spans="1:7">
      <c r="A13" s="3">
        <v>14807</v>
      </c>
      <c r="B13" s="3" t="s">
        <v>7</v>
      </c>
      <c r="C13" s="3" t="s">
        <v>9</v>
      </c>
      <c r="D13" s="3">
        <v>70</v>
      </c>
      <c r="E13" s="3">
        <v>3870</v>
      </c>
      <c r="F13" s="3">
        <v>2709</v>
      </c>
      <c r="G13" s="3"/>
    </row>
    <row r="14" spans="1:7">
      <c r="F14" s="4">
        <f>SUM(F2:F13)</f>
        <v>648970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6"/>
  <sheetViews>
    <sheetView workbookViewId="0">
      <selection activeCell="F6" sqref="F6"/>
    </sheetView>
  </sheetViews>
  <sheetFormatPr defaultRowHeight="17.399999999999999"/>
  <cols>
    <col min="1" max="1" width="6.796875" bestFit="1" customWidth="1"/>
    <col min="2" max="2" width="17" bestFit="1" customWidth="1"/>
    <col min="3" max="3" width="6.796875" bestFit="1" customWidth="1"/>
    <col min="4" max="4" width="8.59765625" bestFit="1" customWidth="1"/>
    <col min="5" max="6" width="7.796875" bestFit="1" customWidth="1"/>
  </cols>
  <sheetData>
    <row r="1" spans="1:6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>
      <c r="A2" s="3">
        <v>14799</v>
      </c>
      <c r="B2" s="3" t="s">
        <v>16</v>
      </c>
      <c r="C2" s="3" t="s">
        <v>15</v>
      </c>
      <c r="D2" s="3">
        <v>70</v>
      </c>
      <c r="E2" s="3">
        <v>74690</v>
      </c>
      <c r="F2" s="3">
        <v>52283</v>
      </c>
    </row>
    <row r="3" spans="1:6">
      <c r="A3" s="3">
        <v>14802</v>
      </c>
      <c r="B3" s="3" t="s">
        <v>12</v>
      </c>
      <c r="C3" s="3" t="s">
        <v>15</v>
      </c>
      <c r="D3" s="3">
        <v>70</v>
      </c>
      <c r="E3" s="3">
        <v>1260</v>
      </c>
      <c r="F3" s="3">
        <v>882</v>
      </c>
    </row>
    <row r="4" spans="1:6">
      <c r="A4" s="3">
        <v>14800</v>
      </c>
      <c r="B4" s="3" t="s">
        <v>17</v>
      </c>
      <c r="C4" s="3" t="s">
        <v>15</v>
      </c>
      <c r="D4" s="3">
        <v>70</v>
      </c>
      <c r="E4" s="3">
        <v>630</v>
      </c>
      <c r="F4" s="3">
        <v>441</v>
      </c>
    </row>
    <row r="5" spans="1:6">
      <c r="A5" s="3">
        <v>14801</v>
      </c>
      <c r="B5" s="3" t="s">
        <v>8</v>
      </c>
      <c r="C5" s="3" t="s">
        <v>15</v>
      </c>
      <c r="D5" s="3">
        <v>70</v>
      </c>
      <c r="E5" s="3">
        <v>720</v>
      </c>
      <c r="F5" s="3">
        <v>504</v>
      </c>
    </row>
    <row r="6" spans="1:6">
      <c r="F6" s="1">
        <f>SUM(F2:F5)</f>
        <v>54110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4"/>
  <sheetViews>
    <sheetView workbookViewId="0">
      <selection activeCell="F4" sqref="F4"/>
    </sheetView>
  </sheetViews>
  <sheetFormatPr defaultRowHeight="17.399999999999999"/>
  <cols>
    <col min="1" max="1" width="6.796875" bestFit="1" customWidth="1"/>
    <col min="2" max="2" width="13" bestFit="1" customWidth="1"/>
    <col min="3" max="3" width="6.796875" bestFit="1" customWidth="1"/>
    <col min="4" max="4" width="8.59765625" bestFit="1" customWidth="1"/>
    <col min="5" max="6" width="7.796875" bestFit="1" customWidth="1"/>
  </cols>
  <sheetData>
    <row r="1" spans="1:6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>
      <c r="A2" s="3">
        <v>14739</v>
      </c>
      <c r="B2" s="3" t="s">
        <v>6</v>
      </c>
      <c r="C2" s="3" t="s">
        <v>19</v>
      </c>
      <c r="D2" s="3">
        <v>70</v>
      </c>
      <c r="E2" s="3">
        <v>759900</v>
      </c>
      <c r="F2" s="3">
        <v>531930</v>
      </c>
    </row>
    <row r="3" spans="1:6">
      <c r="A3" s="3">
        <v>14739</v>
      </c>
      <c r="B3" s="3" t="s">
        <v>6</v>
      </c>
      <c r="C3" s="3" t="s">
        <v>19</v>
      </c>
      <c r="D3" s="3">
        <v>70</v>
      </c>
      <c r="E3" s="3">
        <v>53000</v>
      </c>
      <c r="F3" s="3">
        <v>37100</v>
      </c>
    </row>
    <row r="4" spans="1:6">
      <c r="F4" s="1">
        <f>SUM(F2:F3)</f>
        <v>569030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2"/>
  <sheetViews>
    <sheetView workbookViewId="0"/>
  </sheetViews>
  <sheetFormatPr defaultRowHeight="17.399999999999999"/>
  <cols>
    <col min="1" max="1" width="6.796875" bestFit="1" customWidth="1"/>
    <col min="2" max="2" width="23.5" bestFit="1" customWidth="1"/>
    <col min="3" max="3" width="10.3984375" bestFit="1" customWidth="1"/>
    <col min="4" max="4" width="8.59765625" bestFit="1" customWidth="1"/>
    <col min="5" max="6" width="7.796875" bestFit="1" customWidth="1"/>
  </cols>
  <sheetData>
    <row r="1" spans="1:6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>
      <c r="A2" s="3">
        <v>14803</v>
      </c>
      <c r="B2" s="3" t="s">
        <v>18</v>
      </c>
      <c r="C2" s="3" t="s">
        <v>13</v>
      </c>
      <c r="D2" s="3">
        <v>70</v>
      </c>
      <c r="E2" s="3">
        <v>540</v>
      </c>
      <c r="F2" s="3">
        <v>378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7"/>
  <sheetViews>
    <sheetView workbookViewId="0">
      <selection activeCell="F7" sqref="F7"/>
    </sheetView>
  </sheetViews>
  <sheetFormatPr defaultRowHeight="17.399999999999999"/>
  <cols>
    <col min="1" max="1" width="6.796875" bestFit="1" customWidth="1"/>
    <col min="2" max="2" width="13.69921875" bestFit="1" customWidth="1"/>
    <col min="3" max="3" width="9.59765625" bestFit="1" customWidth="1"/>
    <col min="4" max="4" width="8.59765625" bestFit="1" customWidth="1"/>
    <col min="5" max="6" width="7.796875" bestFit="1" customWidth="1"/>
  </cols>
  <sheetData>
    <row r="1" spans="1:6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>
      <c r="A2" s="3">
        <v>14804</v>
      </c>
      <c r="B2" s="3" t="s">
        <v>10</v>
      </c>
      <c r="C2" s="3" t="s">
        <v>20</v>
      </c>
      <c r="D2" s="3">
        <v>70</v>
      </c>
      <c r="E2" s="3">
        <v>810</v>
      </c>
      <c r="F2" s="3">
        <v>567</v>
      </c>
    </row>
    <row r="3" spans="1:6">
      <c r="A3" s="3">
        <v>14806</v>
      </c>
      <c r="B3" s="3" t="s">
        <v>11</v>
      </c>
      <c r="C3" s="3" t="s">
        <v>9</v>
      </c>
      <c r="D3" s="3">
        <v>70</v>
      </c>
      <c r="E3" s="3">
        <v>810</v>
      </c>
      <c r="F3" s="3">
        <v>567</v>
      </c>
    </row>
    <row r="4" spans="1:6">
      <c r="A4" s="3">
        <v>14805</v>
      </c>
      <c r="B4" s="3" t="s">
        <v>14</v>
      </c>
      <c r="C4" s="3" t="s">
        <v>9</v>
      </c>
      <c r="D4" s="3">
        <v>70</v>
      </c>
      <c r="E4" s="3">
        <v>17370</v>
      </c>
      <c r="F4" s="3">
        <v>12159</v>
      </c>
    </row>
    <row r="5" spans="1:6">
      <c r="A5" s="3">
        <v>14805</v>
      </c>
      <c r="B5" s="3" t="s">
        <v>14</v>
      </c>
      <c r="C5" s="3" t="s">
        <v>9</v>
      </c>
      <c r="D5" s="3">
        <v>70</v>
      </c>
      <c r="E5" s="3">
        <v>13500</v>
      </c>
      <c r="F5" s="3">
        <v>9450</v>
      </c>
    </row>
    <row r="6" spans="1:6">
      <c r="A6" s="3">
        <v>14807</v>
      </c>
      <c r="B6" s="3" t="s">
        <v>7</v>
      </c>
      <c r="C6" s="3" t="s">
        <v>9</v>
      </c>
      <c r="D6" s="3">
        <v>70</v>
      </c>
      <c r="E6" s="3">
        <v>3870</v>
      </c>
      <c r="F6" s="3">
        <v>2709</v>
      </c>
    </row>
    <row r="7" spans="1:6">
      <c r="F7" s="1">
        <f>SUM(F2:F6)</f>
        <v>25452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4</vt:i4>
      </vt:variant>
    </vt:vector>
  </HeadingPairs>
  <TitlesOfParts>
    <vt:vector size="9" baseType="lpstr">
      <vt:lpstr>합계(1)</vt:lpstr>
      <vt:lpstr>무장</vt:lpstr>
      <vt:lpstr>담화공</vt:lpstr>
      <vt:lpstr>모험왕선우</vt:lpstr>
      <vt:lpstr>에필로그</vt:lpstr>
      <vt:lpstr>담화공!Extract</vt:lpstr>
      <vt:lpstr>모험왕선우!Extract</vt:lpstr>
      <vt:lpstr>무장!Extract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jihui</cp:lastModifiedBy>
  <dcterms:created xsi:type="dcterms:W3CDTF">2020-10-06T07:43:35Z</dcterms:created>
  <dcterms:modified xsi:type="dcterms:W3CDTF">2022-02-07T06:20:05Z</dcterms:modified>
</cp:coreProperties>
</file>