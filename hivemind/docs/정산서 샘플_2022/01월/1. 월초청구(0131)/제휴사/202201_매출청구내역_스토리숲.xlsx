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스토리숲 이정남\Desktop\"/>
    </mc:Choice>
  </mc:AlternateContent>
  <xr:revisionPtr revIDLastSave="0" documentId="13_ncr:1_{4B50B076-825E-4C67-84F9-D42C4112FE68}" xr6:coauthVersionLast="47" xr6:coauthVersionMax="47" xr10:uidLastSave="{00000000-0000-0000-0000-000000000000}"/>
  <bookViews>
    <workbookView xWindow="-120" yWindow="-120" windowWidth="29040" windowHeight="15840" tabRatio="861" firstSheet="1" activeTab="1" xr2:uid="{00000000-000D-0000-FFFF-FFFF00000000}"/>
  </bookViews>
  <sheets>
    <sheet name="전체리스트" sheetId="71" state="hidden" r:id="rId1"/>
    <sheet name="합계" sheetId="35" r:id="rId2"/>
    <sheet name="카카오페이지" sheetId="97" r:id="rId3"/>
    <sheet name="카카오타파스" sheetId="124" r:id="rId4"/>
    <sheet name="네이버웹툰" sheetId="95" r:id="rId5"/>
    <sheet name="콰이칸_중국" sheetId="96" r:id="rId6"/>
    <sheet name="kt_alpha" sheetId="74" r:id="rId7"/>
    <sheet name="레진코믹스" sheetId="75" r:id="rId8"/>
    <sheet name="북큐브" sheetId="76" r:id="rId9"/>
    <sheet name="탑툰" sheetId="77" r:id="rId10"/>
    <sheet name="봄툰" sheetId="78" r:id="rId11"/>
    <sheet name="애니툰" sheetId="81" r:id="rId12"/>
    <sheet name="코미코_한국" sheetId="82" r:id="rId13"/>
    <sheet name="포켓코믹스" sheetId="114" r:id="rId14"/>
    <sheet name="리디북스" sheetId="84" r:id="rId15"/>
    <sheet name="조아라" sheetId="85" r:id="rId16"/>
    <sheet name="위코믹스_태국" sheetId="87" r:id="rId17"/>
    <sheet name="태피툰_영어" sheetId="88" r:id="rId18"/>
    <sheet name="델리툰" sheetId="89" r:id="rId19"/>
    <sheet name="픽코마_일본" sheetId="90" r:id="rId20"/>
    <sheet name="픽코마_동영상" sheetId="112" r:id="rId21"/>
    <sheet name="네오바자르_인도네시아" sheetId="91" r:id="rId22"/>
    <sheet name="코미코_태국" sheetId="92" r:id="rId23"/>
    <sheet name="코미코_일본_대만" sheetId="93" r:id="rId24"/>
    <sheet name="미스터블루" sheetId="94" r:id="rId25"/>
    <sheet name="원스토어" sheetId="108" r:id="rId26"/>
    <sheet name="피너툰" sheetId="106" r:id="rId27"/>
    <sheet name="투믹스" sheetId="107" r:id="rId28"/>
    <sheet name="빌리빌리" sheetId="109" r:id="rId29"/>
    <sheet name="INKR" sheetId="110" r:id="rId30"/>
    <sheet name="타파스" sheetId="117" r:id="rId31"/>
    <sheet name="코믹툰" sheetId="111" r:id="rId32"/>
    <sheet name="코핀코믹스" sheetId="113" r:id="rId33"/>
    <sheet name="예스24" sheetId="83" r:id="rId34"/>
    <sheet name="핑거스토리_큐툰" sheetId="115" r:id="rId35"/>
    <sheet name="핑거스토리_무툰" sheetId="116" r:id="rId36"/>
    <sheet name="북팔" sheetId="118" r:id="rId37"/>
    <sheet name="엠유네트웍스" sheetId="119" r:id="rId38"/>
    <sheet name="엠피언" sheetId="121" r:id="rId39"/>
    <sheet name="망가툰" sheetId="122" r:id="rId40"/>
    <sheet name="웹코믹스" sheetId="123" r:id="rId41"/>
    <sheet name="교보문고" sheetId="125" r:id="rId42"/>
    <sheet name="톡소다" sheetId="126" r:id="rId43"/>
    <sheet name="process" sheetId="66" r:id="rId44"/>
  </sheets>
  <definedNames>
    <definedName name="_xlnm._FilterDatabase" localSheetId="0" hidden="1">전체리스트!$A$1:$G$1</definedName>
    <definedName name="raw_a">전체리스트!$A$2:$F$2571</definedName>
    <definedName name="raw_d">전체리스트!$C$2:$F$2571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0" i="35" l="1"/>
  <c r="L49" i="35"/>
  <c r="H10" i="109"/>
  <c r="E731" i="71" l="1"/>
  <c r="E748" i="71" l="1"/>
  <c r="E747" i="71"/>
  <c r="G15" i="76" l="1"/>
  <c r="E15" i="76"/>
  <c r="F15" i="76" s="1"/>
  <c r="C15" i="76"/>
  <c r="H15" i="76" l="1"/>
  <c r="I15" i="76" s="1"/>
  <c r="G32" i="84" l="1"/>
  <c r="E32" i="84"/>
  <c r="C32" i="84"/>
  <c r="G31" i="84"/>
  <c r="E31" i="84"/>
  <c r="C31" i="84"/>
  <c r="G30" i="84"/>
  <c r="E30" i="84"/>
  <c r="C30" i="84"/>
  <c r="G29" i="84"/>
  <c r="H29" i="84" s="1"/>
  <c r="I29" i="84" s="1"/>
  <c r="E29" i="84"/>
  <c r="C29" i="84"/>
  <c r="G28" i="84"/>
  <c r="E28" i="84"/>
  <c r="C28" i="84"/>
  <c r="G27" i="84"/>
  <c r="H27" i="84" s="1"/>
  <c r="I27" i="84" s="1"/>
  <c r="E27" i="84"/>
  <c r="C27" i="84"/>
  <c r="F30" i="84" l="1"/>
  <c r="F27" i="84"/>
  <c r="F32" i="84"/>
  <c r="F29" i="84"/>
  <c r="F31" i="84"/>
  <c r="H31" i="84"/>
  <c r="I31" i="84" s="1"/>
  <c r="F28" i="84"/>
  <c r="H28" i="84"/>
  <c r="I28" i="84" s="1"/>
  <c r="H30" i="84"/>
  <c r="I30" i="84" s="1"/>
  <c r="H32" i="84"/>
  <c r="I32" i="84" s="1"/>
  <c r="J9" i="126" l="1"/>
  <c r="F9" i="126"/>
  <c r="G8" i="126"/>
  <c r="E8" i="126"/>
  <c r="C8" i="126"/>
  <c r="G7" i="126"/>
  <c r="H7" i="126" s="1"/>
  <c r="E7" i="126"/>
  <c r="C7" i="126"/>
  <c r="G6" i="126"/>
  <c r="E6" i="126"/>
  <c r="C6" i="126"/>
  <c r="B46" i="35"/>
  <c r="E9" i="126" l="1"/>
  <c r="H6" i="126"/>
  <c r="I7" i="126"/>
  <c r="H8" i="126"/>
  <c r="I8" i="126" s="1"/>
  <c r="G9" i="126"/>
  <c r="H9" i="126" l="1"/>
  <c r="I6" i="126"/>
  <c r="I9" i="126" s="1"/>
  <c r="J9" i="125" l="1"/>
  <c r="F9" i="125"/>
  <c r="G8" i="125"/>
  <c r="H8" i="125" s="1"/>
  <c r="E8" i="125"/>
  <c r="C8" i="125"/>
  <c r="G7" i="125"/>
  <c r="E7" i="125"/>
  <c r="C7" i="125"/>
  <c r="G6" i="125"/>
  <c r="H6" i="125" s="1"/>
  <c r="E6" i="125"/>
  <c r="C6" i="125"/>
  <c r="E46" i="35"/>
  <c r="B45" i="35"/>
  <c r="E9" i="125" l="1"/>
  <c r="I6" i="125"/>
  <c r="I8" i="125"/>
  <c r="G9" i="125"/>
  <c r="H7" i="125"/>
  <c r="G33" i="115"/>
  <c r="E33" i="115"/>
  <c r="C33" i="115"/>
  <c r="G25" i="115"/>
  <c r="E25" i="115"/>
  <c r="C25" i="115"/>
  <c r="G24" i="115"/>
  <c r="E24" i="115"/>
  <c r="C24" i="115"/>
  <c r="G23" i="115"/>
  <c r="E23" i="115"/>
  <c r="C23" i="115"/>
  <c r="G22" i="115"/>
  <c r="E22" i="115"/>
  <c r="C22" i="115"/>
  <c r="F46" i="35"/>
  <c r="D46" i="35"/>
  <c r="E45" i="35"/>
  <c r="H9" i="125" l="1"/>
  <c r="I7" i="125"/>
  <c r="I9" i="125" s="1"/>
  <c r="F33" i="115"/>
  <c r="F22" i="115"/>
  <c r="F23" i="115"/>
  <c r="F25" i="115"/>
  <c r="H24" i="115"/>
  <c r="I24" i="115" s="1"/>
  <c r="H33" i="115"/>
  <c r="I33" i="115" s="1"/>
  <c r="F24" i="115"/>
  <c r="H22" i="115"/>
  <c r="I22" i="115" s="1"/>
  <c r="H23" i="115"/>
  <c r="I23" i="115" s="1"/>
  <c r="H25" i="115"/>
  <c r="I25" i="115" s="1"/>
  <c r="G22" i="116"/>
  <c r="E22" i="116"/>
  <c r="C22" i="116"/>
  <c r="G21" i="116"/>
  <c r="H21" i="116" s="1"/>
  <c r="E21" i="116"/>
  <c r="C21" i="116"/>
  <c r="G20" i="116"/>
  <c r="E20" i="116"/>
  <c r="C20" i="116"/>
  <c r="G19" i="116"/>
  <c r="E19" i="116"/>
  <c r="C19" i="116"/>
  <c r="G18" i="116"/>
  <c r="H18" i="116" s="1"/>
  <c r="I18" i="116" s="1"/>
  <c r="E18" i="116"/>
  <c r="C18" i="116"/>
  <c r="G17" i="116"/>
  <c r="E17" i="116"/>
  <c r="C17" i="116"/>
  <c r="G16" i="116"/>
  <c r="H16" i="116" s="1"/>
  <c r="I16" i="116" s="1"/>
  <c r="E16" i="116"/>
  <c r="C16" i="116"/>
  <c r="G15" i="116"/>
  <c r="E15" i="116"/>
  <c r="C15" i="116"/>
  <c r="H46" i="35"/>
  <c r="G46" i="35"/>
  <c r="F22" i="116" l="1"/>
  <c r="F21" i="116"/>
  <c r="F15" i="116"/>
  <c r="F19" i="116"/>
  <c r="F20" i="116"/>
  <c r="F18" i="116"/>
  <c r="I21" i="116"/>
  <c r="F16" i="116"/>
  <c r="F17" i="116"/>
  <c r="H19" i="116"/>
  <c r="I19" i="116" s="1"/>
  <c r="H15" i="116"/>
  <c r="I15" i="116" s="1"/>
  <c r="H17" i="116"/>
  <c r="I17" i="116" s="1"/>
  <c r="H20" i="116"/>
  <c r="I20" i="116" s="1"/>
  <c r="H22" i="116"/>
  <c r="I22" i="116" s="1"/>
  <c r="G28" i="97" l="1"/>
  <c r="E28" i="97"/>
  <c r="C28" i="97"/>
  <c r="G27" i="97"/>
  <c r="H27" i="97" s="1"/>
  <c r="E27" i="97"/>
  <c r="C27" i="97"/>
  <c r="G26" i="97"/>
  <c r="H26" i="97" s="1"/>
  <c r="I26" i="97" s="1"/>
  <c r="E26" i="97"/>
  <c r="C26" i="97"/>
  <c r="G25" i="97"/>
  <c r="E25" i="97"/>
  <c r="C25" i="97"/>
  <c r="G24" i="97"/>
  <c r="H24" i="97" s="1"/>
  <c r="I24" i="97" s="1"/>
  <c r="E24" i="97"/>
  <c r="C24" i="97"/>
  <c r="G23" i="97"/>
  <c r="E23" i="97"/>
  <c r="C23" i="97"/>
  <c r="G22" i="97"/>
  <c r="H22" i="97" s="1"/>
  <c r="I22" i="97" s="1"/>
  <c r="E22" i="97"/>
  <c r="C22" i="97"/>
  <c r="F22" i="97" l="1"/>
  <c r="F23" i="97"/>
  <c r="F27" i="97"/>
  <c r="F28" i="97"/>
  <c r="F26" i="97"/>
  <c r="F25" i="97"/>
  <c r="I27" i="97"/>
  <c r="F24" i="97"/>
  <c r="H23" i="97"/>
  <c r="I23" i="97" s="1"/>
  <c r="H25" i="97"/>
  <c r="I25" i="97" s="1"/>
  <c r="H28" i="97"/>
  <c r="I28" i="97" s="1"/>
  <c r="G19" i="83" l="1"/>
  <c r="E19" i="83"/>
  <c r="C19" i="83"/>
  <c r="G18" i="83"/>
  <c r="E18" i="83"/>
  <c r="C18" i="83"/>
  <c r="G17" i="83"/>
  <c r="H17" i="83" s="1"/>
  <c r="I17" i="83" s="1"/>
  <c r="E17" i="83"/>
  <c r="C17" i="83"/>
  <c r="G16" i="83"/>
  <c r="H16" i="83" s="1"/>
  <c r="E16" i="83"/>
  <c r="C16" i="83"/>
  <c r="G15" i="83"/>
  <c r="H15" i="83" s="1"/>
  <c r="I15" i="83" s="1"/>
  <c r="E15" i="83"/>
  <c r="C15" i="83"/>
  <c r="F15" i="83" l="1"/>
  <c r="F19" i="83"/>
  <c r="F17" i="83"/>
  <c r="F18" i="83"/>
  <c r="F16" i="83"/>
  <c r="H18" i="83"/>
  <c r="I18" i="83" s="1"/>
  <c r="I16" i="83"/>
  <c r="H19" i="83"/>
  <c r="I19" i="83" s="1"/>
  <c r="G35" i="95"/>
  <c r="E35" i="95"/>
  <c r="C35" i="95"/>
  <c r="G34" i="95"/>
  <c r="H34" i="95" s="1"/>
  <c r="E34" i="95"/>
  <c r="C34" i="95"/>
  <c r="G33" i="95"/>
  <c r="E33" i="95"/>
  <c r="C33" i="95"/>
  <c r="G32" i="95"/>
  <c r="E32" i="95"/>
  <c r="C32" i="95"/>
  <c r="G31" i="95"/>
  <c r="H31" i="95" s="1"/>
  <c r="I31" i="95" s="1"/>
  <c r="E31" i="95"/>
  <c r="C31" i="95"/>
  <c r="G30" i="95"/>
  <c r="E30" i="95"/>
  <c r="C30" i="95"/>
  <c r="F35" i="95" l="1"/>
  <c r="F30" i="95"/>
  <c r="F34" i="95"/>
  <c r="F33" i="95"/>
  <c r="F32" i="95"/>
  <c r="I34" i="95"/>
  <c r="F31" i="95"/>
  <c r="H32" i="95"/>
  <c r="I32" i="95" s="1"/>
  <c r="H30" i="95"/>
  <c r="I30" i="95" s="1"/>
  <c r="H33" i="95"/>
  <c r="I33" i="95" s="1"/>
  <c r="H35" i="95"/>
  <c r="I35" i="95" s="1"/>
  <c r="G29" i="94" l="1"/>
  <c r="E29" i="94"/>
  <c r="C29" i="94"/>
  <c r="G28" i="94"/>
  <c r="H28" i="94" s="1"/>
  <c r="E28" i="94"/>
  <c r="C28" i="94"/>
  <c r="G27" i="94"/>
  <c r="E27" i="94"/>
  <c r="C27" i="94"/>
  <c r="G26" i="94"/>
  <c r="E26" i="94"/>
  <c r="C26" i="94"/>
  <c r="G25" i="94"/>
  <c r="H25" i="94" s="1"/>
  <c r="I25" i="94" s="1"/>
  <c r="E25" i="94"/>
  <c r="C25" i="94"/>
  <c r="G24" i="94"/>
  <c r="E24" i="94"/>
  <c r="C24" i="94"/>
  <c r="G23" i="94"/>
  <c r="H23" i="94" s="1"/>
  <c r="I23" i="94" s="1"/>
  <c r="E23" i="94"/>
  <c r="C23" i="94"/>
  <c r="G22" i="94"/>
  <c r="E22" i="94"/>
  <c r="C22" i="94"/>
  <c r="G21" i="94"/>
  <c r="E21" i="94"/>
  <c r="C21" i="94"/>
  <c r="F23" i="94" l="1"/>
  <c r="F26" i="94"/>
  <c r="F25" i="94"/>
  <c r="F24" i="94"/>
  <c r="F28" i="94"/>
  <c r="F29" i="94"/>
  <c r="F27" i="94"/>
  <c r="F22" i="94"/>
  <c r="I28" i="94"/>
  <c r="H22" i="94"/>
  <c r="I22" i="94" s="1"/>
  <c r="H24" i="94"/>
  <c r="I24" i="94" s="1"/>
  <c r="H26" i="94"/>
  <c r="I26" i="94" s="1"/>
  <c r="F21" i="94"/>
  <c r="H21" i="94"/>
  <c r="I21" i="94" s="1"/>
  <c r="H27" i="94"/>
  <c r="I27" i="94" s="1"/>
  <c r="H29" i="94"/>
  <c r="I29" i="94" s="1"/>
  <c r="G24" i="82" l="1"/>
  <c r="E24" i="82"/>
  <c r="C24" i="82"/>
  <c r="G23" i="82"/>
  <c r="E23" i="82"/>
  <c r="C23" i="82"/>
  <c r="G22" i="82"/>
  <c r="H22" i="82" s="1"/>
  <c r="I22" i="82" s="1"/>
  <c r="E22" i="82"/>
  <c r="C22" i="82"/>
  <c r="G21" i="82"/>
  <c r="E21" i="82"/>
  <c r="C21" i="82"/>
  <c r="F24" i="82" l="1"/>
  <c r="F21" i="82"/>
  <c r="F22" i="82"/>
  <c r="F23" i="82"/>
  <c r="H21" i="82"/>
  <c r="I21" i="82" s="1"/>
  <c r="H23" i="82"/>
  <c r="I23" i="82" s="1"/>
  <c r="H24" i="82"/>
  <c r="I24" i="82" s="1"/>
  <c r="G18" i="118" l="1"/>
  <c r="E18" i="118"/>
  <c r="C18" i="118"/>
  <c r="G17" i="118"/>
  <c r="E17" i="118"/>
  <c r="C17" i="118"/>
  <c r="G16" i="118"/>
  <c r="H16" i="118" s="1"/>
  <c r="I16" i="118" s="1"/>
  <c r="E16" i="118"/>
  <c r="C16" i="118"/>
  <c r="G15" i="118"/>
  <c r="E15" i="118"/>
  <c r="C15" i="118"/>
  <c r="F16" i="118" l="1"/>
  <c r="F18" i="118"/>
  <c r="F15" i="118"/>
  <c r="F17" i="118"/>
  <c r="H15" i="118"/>
  <c r="I15" i="118" s="1"/>
  <c r="H17" i="118"/>
  <c r="I17" i="118" s="1"/>
  <c r="H18" i="118"/>
  <c r="I18" i="118" s="1"/>
  <c r="G20" i="111" l="1"/>
  <c r="E20" i="111"/>
  <c r="C20" i="111"/>
  <c r="G19" i="111"/>
  <c r="E19" i="111"/>
  <c r="C19" i="111"/>
  <c r="G18" i="111"/>
  <c r="H18" i="111" s="1"/>
  <c r="I18" i="111" s="1"/>
  <c r="E18" i="111"/>
  <c r="C18" i="111"/>
  <c r="G17" i="111"/>
  <c r="E17" i="111"/>
  <c r="C17" i="111"/>
  <c r="F18" i="111" l="1"/>
  <c r="F20" i="111"/>
  <c r="F17" i="111"/>
  <c r="F19" i="111"/>
  <c r="H17" i="111"/>
  <c r="I17" i="111" s="1"/>
  <c r="H19" i="111"/>
  <c r="I19" i="111" s="1"/>
  <c r="H20" i="111"/>
  <c r="I20" i="111" s="1"/>
  <c r="G17" i="113" l="1"/>
  <c r="E17" i="113"/>
  <c r="C17" i="113"/>
  <c r="G16" i="113"/>
  <c r="H16" i="113" s="1"/>
  <c r="E16" i="113"/>
  <c r="C16" i="113"/>
  <c r="G15" i="113"/>
  <c r="E15" i="113"/>
  <c r="C15" i="113"/>
  <c r="F17" i="113" l="1"/>
  <c r="F16" i="113"/>
  <c r="F15" i="113"/>
  <c r="I16" i="113"/>
  <c r="H15" i="113"/>
  <c r="I15" i="113" s="1"/>
  <c r="H17" i="113"/>
  <c r="I17" i="113" s="1"/>
  <c r="J12" i="114" l="1"/>
  <c r="G10" i="114"/>
  <c r="E10" i="114"/>
  <c r="C10" i="114"/>
  <c r="G9" i="114"/>
  <c r="E9" i="114"/>
  <c r="C9" i="114"/>
  <c r="G8" i="114"/>
  <c r="E8" i="114"/>
  <c r="C8" i="114"/>
  <c r="G7" i="114"/>
  <c r="E7" i="114"/>
  <c r="C7" i="114"/>
  <c r="G6" i="114"/>
  <c r="E6" i="114"/>
  <c r="C6" i="114"/>
  <c r="F10" i="114" l="1"/>
  <c r="F8" i="114"/>
  <c r="F7" i="114"/>
  <c r="H9" i="114"/>
  <c r="I9" i="114" s="1"/>
  <c r="H7" i="114"/>
  <c r="I7" i="114" s="1"/>
  <c r="F9" i="114"/>
  <c r="H6" i="114"/>
  <c r="H8" i="114"/>
  <c r="I8" i="114" s="1"/>
  <c r="H10" i="114"/>
  <c r="I10" i="114" s="1"/>
  <c r="F6" i="114"/>
  <c r="I6" i="114" l="1"/>
  <c r="E725" i="71"/>
  <c r="E726" i="71"/>
  <c r="E727" i="71"/>
  <c r="E728" i="71"/>
  <c r="E729" i="71"/>
  <c r="E730" i="71"/>
  <c r="J8" i="124" l="1"/>
  <c r="G7" i="124"/>
  <c r="H7" i="124" s="1"/>
  <c r="I7" i="124" s="1"/>
  <c r="E7" i="124"/>
  <c r="C7" i="124"/>
  <c r="G6" i="124"/>
  <c r="E6" i="124"/>
  <c r="C6" i="124"/>
  <c r="B47" i="35"/>
  <c r="B8" i="35"/>
  <c r="F7" i="124" l="1"/>
  <c r="E8" i="124"/>
  <c r="H6" i="124"/>
  <c r="G8" i="124"/>
  <c r="F6" i="124"/>
  <c r="E47" i="35"/>
  <c r="F8" i="35"/>
  <c r="D8" i="35"/>
  <c r="F8" i="124" l="1"/>
  <c r="H8" i="124"/>
  <c r="I6" i="124"/>
  <c r="I8" i="124" s="1"/>
  <c r="E8" i="35"/>
  <c r="H8" i="35"/>
  <c r="G8" i="35"/>
  <c r="G51" i="95" l="1"/>
  <c r="H51" i="95" s="1"/>
  <c r="E51" i="95"/>
  <c r="C51" i="95"/>
  <c r="F51" i="95" l="1"/>
  <c r="I51" i="95"/>
  <c r="G43" i="78" l="1"/>
  <c r="E43" i="78"/>
  <c r="C43" i="78"/>
  <c r="F10" i="123"/>
  <c r="J10" i="123"/>
  <c r="E751" i="71"/>
  <c r="G6" i="123" s="1"/>
  <c r="E7" i="123"/>
  <c r="C7" i="123"/>
  <c r="E6" i="123"/>
  <c r="C6" i="123"/>
  <c r="E9" i="123"/>
  <c r="C9" i="123"/>
  <c r="E8" i="123"/>
  <c r="C8" i="123"/>
  <c r="E752" i="71"/>
  <c r="G7" i="123" s="1"/>
  <c r="E753" i="71"/>
  <c r="G8" i="123" s="1"/>
  <c r="H8" i="123" s="1"/>
  <c r="E754" i="71"/>
  <c r="G9" i="123" s="1"/>
  <c r="B44" i="35"/>
  <c r="F43" i="78" l="1"/>
  <c r="H43" i="78"/>
  <c r="I43" i="78" s="1"/>
  <c r="E10" i="123"/>
  <c r="G10" i="123"/>
  <c r="H6" i="123"/>
  <c r="H7" i="123"/>
  <c r="I7" i="123" s="1"/>
  <c r="I8" i="123"/>
  <c r="H9" i="123"/>
  <c r="I9" i="123" s="1"/>
  <c r="D45" i="35"/>
  <c r="F47" i="35"/>
  <c r="D47" i="35"/>
  <c r="F45" i="35"/>
  <c r="H10" i="123" l="1"/>
  <c r="I6" i="123"/>
  <c r="I10" i="123" s="1"/>
  <c r="G6" i="122"/>
  <c r="H6" i="122" s="1"/>
  <c r="J8" i="122"/>
  <c r="G7" i="122"/>
  <c r="E7" i="122"/>
  <c r="C7" i="122"/>
  <c r="E6" i="122"/>
  <c r="C6" i="122"/>
  <c r="G34" i="84"/>
  <c r="E34" i="84"/>
  <c r="C34" i="84"/>
  <c r="G33" i="84"/>
  <c r="E33" i="84"/>
  <c r="C33" i="84"/>
  <c r="G26" i="84"/>
  <c r="E26" i="84"/>
  <c r="C26" i="84"/>
  <c r="G25" i="84"/>
  <c r="E25" i="84"/>
  <c r="C25" i="84"/>
  <c r="G24" i="84"/>
  <c r="H24" i="84" s="1"/>
  <c r="I24" i="84" s="1"/>
  <c r="E24" i="84"/>
  <c r="C24" i="84"/>
  <c r="G47" i="35"/>
  <c r="H45" i="35"/>
  <c r="B43" i="35"/>
  <c r="G45" i="35"/>
  <c r="H47" i="35"/>
  <c r="E8" i="122" l="1"/>
  <c r="I6" i="122"/>
  <c r="G8" i="122"/>
  <c r="H7" i="122"/>
  <c r="F26" i="84"/>
  <c r="F24" i="84"/>
  <c r="F34" i="84"/>
  <c r="F25" i="84"/>
  <c r="F33" i="84"/>
  <c r="H25" i="84"/>
  <c r="I25" i="84" s="1"/>
  <c r="H33" i="84"/>
  <c r="I33" i="84" s="1"/>
  <c r="H26" i="84"/>
  <c r="I26" i="84" s="1"/>
  <c r="H34" i="84"/>
  <c r="I34" i="84" s="1"/>
  <c r="F44" i="35"/>
  <c r="D44" i="35"/>
  <c r="H8" i="122" l="1"/>
  <c r="I7" i="122"/>
  <c r="I8" i="122" s="1"/>
  <c r="F8" i="122"/>
  <c r="G12" i="119"/>
  <c r="E12" i="119"/>
  <c r="C12" i="119"/>
  <c r="E44" i="35"/>
  <c r="H44" i="35"/>
  <c r="G44" i="35"/>
  <c r="F12" i="119" l="1"/>
  <c r="H12" i="119"/>
  <c r="I12" i="119" s="1"/>
  <c r="G9" i="121" l="1"/>
  <c r="E9" i="121"/>
  <c r="C9" i="121"/>
  <c r="G8" i="121"/>
  <c r="H8" i="121" s="1"/>
  <c r="I8" i="121" s="1"/>
  <c r="E8" i="121"/>
  <c r="C8" i="121"/>
  <c r="G7" i="121"/>
  <c r="E7" i="121"/>
  <c r="C7" i="121"/>
  <c r="F9" i="121" l="1"/>
  <c r="F8" i="121"/>
  <c r="F7" i="121"/>
  <c r="H7" i="121"/>
  <c r="I7" i="121" s="1"/>
  <c r="H9" i="121"/>
  <c r="I9" i="121" s="1"/>
  <c r="E10" i="96"/>
  <c r="C10" i="96"/>
  <c r="E9" i="96"/>
  <c r="C9" i="96"/>
  <c r="E690" i="71"/>
  <c r="E691" i="71"/>
  <c r="E692" i="71"/>
  <c r="G9" i="96" s="1"/>
  <c r="E693" i="71"/>
  <c r="G10" i="96" s="1"/>
  <c r="E694" i="71"/>
  <c r="E689" i="71"/>
  <c r="H9" i="96" l="1"/>
  <c r="I9" i="96" s="1"/>
  <c r="H10" i="96"/>
  <c r="I10" i="96" s="1"/>
  <c r="G20" i="89" l="1"/>
  <c r="E20" i="89"/>
  <c r="C20" i="89"/>
  <c r="G19" i="89"/>
  <c r="H19" i="89" s="1"/>
  <c r="E19" i="89"/>
  <c r="C19" i="89"/>
  <c r="G18" i="89"/>
  <c r="H18" i="89" s="1"/>
  <c r="I18" i="89" s="1"/>
  <c r="E18" i="89"/>
  <c r="C18" i="89"/>
  <c r="G17" i="89"/>
  <c r="H17" i="89" s="1"/>
  <c r="E17" i="89"/>
  <c r="C17" i="89"/>
  <c r="F18" i="89" l="1"/>
  <c r="F17" i="89"/>
  <c r="F20" i="89"/>
  <c r="F19" i="89"/>
  <c r="I17" i="89"/>
  <c r="I19" i="89"/>
  <c r="H20" i="89"/>
  <c r="I20" i="89" s="1"/>
  <c r="G31" i="81" l="1"/>
  <c r="E31" i="81"/>
  <c r="C31" i="81"/>
  <c r="G30" i="81"/>
  <c r="H30" i="81" s="1"/>
  <c r="E30" i="81"/>
  <c r="C30" i="81"/>
  <c r="G29" i="81"/>
  <c r="E29" i="81"/>
  <c r="C29" i="81"/>
  <c r="G28" i="81"/>
  <c r="H28" i="81" s="1"/>
  <c r="E28" i="81"/>
  <c r="C28" i="81"/>
  <c r="G27" i="81"/>
  <c r="E27" i="81"/>
  <c r="C27" i="81"/>
  <c r="G26" i="81"/>
  <c r="E26" i="81"/>
  <c r="C26" i="81"/>
  <c r="F30" i="81" l="1"/>
  <c r="F31" i="81"/>
  <c r="F28" i="81"/>
  <c r="F29" i="81"/>
  <c r="F27" i="81"/>
  <c r="I28" i="81"/>
  <c r="I30" i="81"/>
  <c r="F26" i="81"/>
  <c r="H26" i="81"/>
  <c r="I26" i="81" s="1"/>
  <c r="H27" i="81"/>
  <c r="I27" i="81" s="1"/>
  <c r="H29" i="81"/>
  <c r="I29" i="81" s="1"/>
  <c r="H31" i="81"/>
  <c r="I31" i="81" s="1"/>
  <c r="G26" i="108" l="1"/>
  <c r="E26" i="108"/>
  <c r="C26" i="108"/>
  <c r="G23" i="108"/>
  <c r="E23" i="108"/>
  <c r="C23" i="108"/>
  <c r="G22" i="108"/>
  <c r="H22" i="108" s="1"/>
  <c r="E22" i="108"/>
  <c r="C22" i="108"/>
  <c r="G25" i="108"/>
  <c r="E25" i="108"/>
  <c r="C25" i="108"/>
  <c r="G24" i="108"/>
  <c r="H24" i="108" s="1"/>
  <c r="E24" i="108"/>
  <c r="C24" i="108"/>
  <c r="G21" i="108"/>
  <c r="E21" i="108"/>
  <c r="C21" i="108"/>
  <c r="G20" i="108"/>
  <c r="E20" i="108"/>
  <c r="C20" i="108"/>
  <c r="G19" i="108"/>
  <c r="H19" i="108" s="1"/>
  <c r="I19" i="108" s="1"/>
  <c r="E19" i="108"/>
  <c r="C19" i="108"/>
  <c r="G54" i="95"/>
  <c r="E54" i="95"/>
  <c r="C54" i="95"/>
  <c r="F21" i="108" l="1"/>
  <c r="F23" i="108"/>
  <c r="F24" i="108"/>
  <c r="F26" i="108"/>
  <c r="F25" i="108"/>
  <c r="I22" i="108"/>
  <c r="H26" i="108"/>
  <c r="I26" i="108" s="1"/>
  <c r="F22" i="108"/>
  <c r="F19" i="108"/>
  <c r="F20" i="108"/>
  <c r="I24" i="108"/>
  <c r="H23" i="108"/>
  <c r="I23" i="108" s="1"/>
  <c r="H20" i="108"/>
  <c r="I20" i="108" s="1"/>
  <c r="H21" i="108"/>
  <c r="I21" i="108" s="1"/>
  <c r="H25" i="108"/>
  <c r="I25" i="108" s="1"/>
  <c r="F54" i="95"/>
  <c r="H54" i="95"/>
  <c r="I54" i="95" s="1"/>
  <c r="E721" i="71" l="1"/>
  <c r="E722" i="71"/>
  <c r="E720" i="71"/>
  <c r="E709" i="71" l="1"/>
  <c r="E710" i="71"/>
  <c r="E711" i="71"/>
  <c r="E712" i="71"/>
  <c r="E713" i="71"/>
  <c r="E714" i="71"/>
  <c r="E715" i="71"/>
  <c r="E716" i="71"/>
  <c r="E708" i="71"/>
  <c r="E744" i="71" l="1"/>
  <c r="E745" i="71"/>
  <c r="E743" i="71"/>
  <c r="G27" i="106"/>
  <c r="E27" i="106"/>
  <c r="C27" i="106"/>
  <c r="G26" i="106"/>
  <c r="E26" i="106"/>
  <c r="C26" i="106"/>
  <c r="G25" i="106"/>
  <c r="E25" i="106"/>
  <c r="C25" i="106"/>
  <c r="F27" i="106" l="1"/>
  <c r="F25" i="106"/>
  <c r="F26" i="106"/>
  <c r="H26" i="106"/>
  <c r="I26" i="106" s="1"/>
  <c r="H25" i="106"/>
  <c r="I25" i="106" s="1"/>
  <c r="H27" i="106"/>
  <c r="I27" i="106" s="1"/>
  <c r="G30" i="78" l="1"/>
  <c r="E30" i="78"/>
  <c r="C30" i="78"/>
  <c r="G29" i="78"/>
  <c r="E29" i="78"/>
  <c r="C29" i="78"/>
  <c r="G28" i="78"/>
  <c r="H28" i="78" s="1"/>
  <c r="I28" i="78" s="1"/>
  <c r="E28" i="78"/>
  <c r="C28" i="78"/>
  <c r="G27" i="78"/>
  <c r="E27" i="78"/>
  <c r="C27" i="78"/>
  <c r="F28" i="78" l="1"/>
  <c r="F30" i="78"/>
  <c r="F27" i="78"/>
  <c r="F29" i="78"/>
  <c r="H27" i="78"/>
  <c r="I27" i="78" s="1"/>
  <c r="H29" i="78"/>
  <c r="I29" i="78" s="1"/>
  <c r="H30" i="78"/>
  <c r="I30" i="78" s="1"/>
  <c r="G28" i="82"/>
  <c r="H28" i="82" s="1"/>
  <c r="E28" i="82"/>
  <c r="C28" i="82"/>
  <c r="G27" i="82"/>
  <c r="H27" i="82" s="1"/>
  <c r="E27" i="82"/>
  <c r="C27" i="82"/>
  <c r="G26" i="82"/>
  <c r="H26" i="82" s="1"/>
  <c r="E26" i="82"/>
  <c r="C26" i="82"/>
  <c r="G25" i="82"/>
  <c r="H25" i="82" s="1"/>
  <c r="E25" i="82"/>
  <c r="C25" i="82"/>
  <c r="G20" i="82"/>
  <c r="E20" i="82"/>
  <c r="C20" i="82"/>
  <c r="G19" i="82"/>
  <c r="H19" i="82" s="1"/>
  <c r="E19" i="82"/>
  <c r="C19" i="82"/>
  <c r="G18" i="82"/>
  <c r="H18" i="82" s="1"/>
  <c r="E18" i="82"/>
  <c r="C18" i="82"/>
  <c r="G17" i="82"/>
  <c r="H17" i="82" s="1"/>
  <c r="E17" i="82"/>
  <c r="C17" i="82"/>
  <c r="H20" i="82" l="1"/>
  <c r="I20" i="82" s="1"/>
  <c r="F19" i="82"/>
  <c r="F17" i="82"/>
  <c r="F20" i="82"/>
  <c r="F27" i="82"/>
  <c r="F28" i="82"/>
  <c r="F25" i="82"/>
  <c r="F26" i="82"/>
  <c r="I19" i="82"/>
  <c r="I25" i="82"/>
  <c r="I27" i="82"/>
  <c r="I17" i="82"/>
  <c r="I18" i="82"/>
  <c r="I26" i="82"/>
  <c r="I28" i="82"/>
  <c r="F18" i="82"/>
  <c r="G26" i="75" l="1"/>
  <c r="H26" i="75" s="1"/>
  <c r="E26" i="75"/>
  <c r="C26" i="75"/>
  <c r="G25" i="75"/>
  <c r="H25" i="75" s="1"/>
  <c r="E25" i="75"/>
  <c r="C25" i="75"/>
  <c r="G24" i="75"/>
  <c r="H24" i="75" s="1"/>
  <c r="E24" i="75"/>
  <c r="C24" i="75"/>
  <c r="G23" i="75"/>
  <c r="H23" i="75" s="1"/>
  <c r="E23" i="75"/>
  <c r="C23" i="75"/>
  <c r="G22" i="75"/>
  <c r="E22" i="75"/>
  <c r="C22" i="75"/>
  <c r="G21" i="75"/>
  <c r="H21" i="75" s="1"/>
  <c r="E21" i="75"/>
  <c r="C21" i="75"/>
  <c r="G20" i="75"/>
  <c r="E20" i="75"/>
  <c r="C20" i="75"/>
  <c r="G19" i="75"/>
  <c r="H19" i="75" s="1"/>
  <c r="E19" i="75"/>
  <c r="C19" i="75"/>
  <c r="H20" i="75" l="1"/>
  <c r="I20" i="75" s="1"/>
  <c r="H22" i="75"/>
  <c r="I22" i="75" s="1"/>
  <c r="F25" i="75"/>
  <c r="F23" i="75"/>
  <c r="F26" i="75"/>
  <c r="F22" i="75"/>
  <c r="F19" i="75"/>
  <c r="F20" i="75"/>
  <c r="F24" i="75"/>
  <c r="I25" i="75"/>
  <c r="F21" i="75"/>
  <c r="I23" i="75"/>
  <c r="I19" i="75"/>
  <c r="I21" i="75"/>
  <c r="I24" i="75"/>
  <c r="I26" i="75"/>
  <c r="G27" i="115" l="1"/>
  <c r="H27" i="115" s="1"/>
  <c r="E27" i="115"/>
  <c r="C27" i="115"/>
  <c r="G26" i="115"/>
  <c r="H26" i="115" s="1"/>
  <c r="E26" i="115"/>
  <c r="C26" i="115"/>
  <c r="G21" i="115"/>
  <c r="H21" i="115" s="1"/>
  <c r="E21" i="115"/>
  <c r="C21" i="115"/>
  <c r="G20" i="115"/>
  <c r="H20" i="115" s="1"/>
  <c r="E20" i="115"/>
  <c r="C20" i="115"/>
  <c r="G19" i="115"/>
  <c r="E19" i="115"/>
  <c r="C19" i="115"/>
  <c r="G18" i="115"/>
  <c r="H18" i="115" s="1"/>
  <c r="E18" i="115"/>
  <c r="C18" i="115"/>
  <c r="H19" i="115" l="1"/>
  <c r="I19" i="115" s="1"/>
  <c r="F26" i="115"/>
  <c r="F27" i="115"/>
  <c r="F18" i="115"/>
  <c r="F21" i="115"/>
  <c r="F20" i="115"/>
  <c r="I26" i="115"/>
  <c r="F19" i="115"/>
  <c r="I20" i="115"/>
  <c r="I18" i="115"/>
  <c r="I21" i="115"/>
  <c r="I27" i="115"/>
  <c r="G11" i="76" l="1"/>
  <c r="H11" i="76" s="1"/>
  <c r="E11" i="76"/>
  <c r="C11" i="76"/>
  <c r="G10" i="76"/>
  <c r="H10" i="76" s="1"/>
  <c r="E10" i="76"/>
  <c r="C10" i="76"/>
  <c r="G9" i="76"/>
  <c r="E9" i="76"/>
  <c r="C9" i="76"/>
  <c r="G8" i="76"/>
  <c r="H8" i="76" s="1"/>
  <c r="E8" i="76"/>
  <c r="C8" i="76"/>
  <c r="G7" i="76"/>
  <c r="E7" i="76"/>
  <c r="C7" i="76"/>
  <c r="H9" i="76" l="1"/>
  <c r="I9" i="76" s="1"/>
  <c r="H7" i="76"/>
  <c r="I7" i="76" s="1"/>
  <c r="F11" i="76"/>
  <c r="F7" i="76"/>
  <c r="F10" i="76"/>
  <c r="F9" i="76"/>
  <c r="I10" i="76"/>
  <c r="F8" i="76"/>
  <c r="I8" i="76"/>
  <c r="I11" i="76"/>
  <c r="G38" i="97" l="1"/>
  <c r="H38" i="97" s="1"/>
  <c r="E38" i="97"/>
  <c r="C38" i="97"/>
  <c r="G37" i="97"/>
  <c r="H37" i="97" s="1"/>
  <c r="E37" i="97"/>
  <c r="C37" i="97"/>
  <c r="G36" i="97"/>
  <c r="E36" i="97"/>
  <c r="C36" i="97"/>
  <c r="G35" i="97"/>
  <c r="H35" i="97" s="1"/>
  <c r="E35" i="97"/>
  <c r="C35" i="97"/>
  <c r="G34" i="97"/>
  <c r="E34" i="97"/>
  <c r="C34" i="97"/>
  <c r="G33" i="97"/>
  <c r="H33" i="97" s="1"/>
  <c r="E33" i="97"/>
  <c r="C33" i="97"/>
  <c r="G32" i="97"/>
  <c r="E32" i="97"/>
  <c r="C32" i="97"/>
  <c r="H32" i="97" l="1"/>
  <c r="I32" i="97" s="1"/>
  <c r="H36" i="97"/>
  <c r="I36" i="97" s="1"/>
  <c r="H34" i="97"/>
  <c r="I34" i="97" s="1"/>
  <c r="F38" i="97"/>
  <c r="F33" i="97"/>
  <c r="F37" i="97"/>
  <c r="F32" i="97"/>
  <c r="F36" i="97"/>
  <c r="F35" i="97"/>
  <c r="I37" i="97"/>
  <c r="F34" i="97"/>
  <c r="I33" i="97"/>
  <c r="I35" i="97"/>
  <c r="I38" i="97"/>
  <c r="G23" i="118" l="1"/>
  <c r="H23" i="118" s="1"/>
  <c r="E23" i="118"/>
  <c r="C23" i="118"/>
  <c r="G22" i="118"/>
  <c r="E22" i="118"/>
  <c r="C22" i="118"/>
  <c r="G21" i="118"/>
  <c r="H21" i="118" s="1"/>
  <c r="E21" i="118"/>
  <c r="C21" i="118"/>
  <c r="H22" i="118" l="1"/>
  <c r="I22" i="118" s="1"/>
  <c r="F21" i="118"/>
  <c r="F23" i="118"/>
  <c r="F22" i="118"/>
  <c r="I23" i="118"/>
  <c r="I21" i="118"/>
  <c r="G37" i="95" l="1"/>
  <c r="H37" i="95" s="1"/>
  <c r="E37" i="95"/>
  <c r="C37" i="95"/>
  <c r="G36" i="95"/>
  <c r="H36" i="95" s="1"/>
  <c r="E36" i="95"/>
  <c r="C36" i="95"/>
  <c r="G29" i="95"/>
  <c r="H29" i="95" s="1"/>
  <c r="E29" i="95"/>
  <c r="C29" i="95"/>
  <c r="G28" i="95"/>
  <c r="H28" i="95" s="1"/>
  <c r="E28" i="95"/>
  <c r="C28" i="95"/>
  <c r="G27" i="95"/>
  <c r="E27" i="95"/>
  <c r="C27" i="95"/>
  <c r="G26" i="95"/>
  <c r="H26" i="95" s="1"/>
  <c r="E26" i="95"/>
  <c r="C26" i="95"/>
  <c r="G25" i="95"/>
  <c r="E25" i="95"/>
  <c r="C25" i="95"/>
  <c r="G24" i="95"/>
  <c r="H24" i="95" s="1"/>
  <c r="E24" i="95"/>
  <c r="C24" i="95"/>
  <c r="H25" i="95" l="1"/>
  <c r="I25" i="95" s="1"/>
  <c r="H27" i="95"/>
  <c r="I27" i="95" s="1"/>
  <c r="F37" i="95"/>
  <c r="F24" i="95"/>
  <c r="F26" i="95"/>
  <c r="F36" i="95"/>
  <c r="F28" i="95"/>
  <c r="F29" i="95"/>
  <c r="F25" i="95"/>
  <c r="F27" i="95"/>
  <c r="I28" i="95"/>
  <c r="I36" i="95"/>
  <c r="I24" i="95"/>
  <c r="I26" i="95"/>
  <c r="I29" i="95"/>
  <c r="I37" i="95"/>
  <c r="G38" i="94" l="1"/>
  <c r="H38" i="94" s="1"/>
  <c r="E38" i="94"/>
  <c r="C38" i="94"/>
  <c r="G37" i="94"/>
  <c r="H37" i="94" s="1"/>
  <c r="E37" i="94"/>
  <c r="C37" i="94"/>
  <c r="G36" i="94"/>
  <c r="H36" i="94" s="1"/>
  <c r="E36" i="94"/>
  <c r="C36" i="94"/>
  <c r="G35" i="94"/>
  <c r="H35" i="94" s="1"/>
  <c r="E35" i="94"/>
  <c r="C35" i="94"/>
  <c r="G34" i="94"/>
  <c r="E34" i="94"/>
  <c r="C34" i="94"/>
  <c r="H34" i="94" l="1"/>
  <c r="I34" i="94" s="1"/>
  <c r="F34" i="94"/>
  <c r="F38" i="94"/>
  <c r="F37" i="94"/>
  <c r="I37" i="94"/>
  <c r="F35" i="94"/>
  <c r="I35" i="94"/>
  <c r="F36" i="94"/>
  <c r="I36" i="94"/>
  <c r="I38" i="94"/>
  <c r="G18" i="85" l="1"/>
  <c r="H18" i="85" s="1"/>
  <c r="E18" i="85"/>
  <c r="C18" i="85"/>
  <c r="G17" i="85"/>
  <c r="H17" i="85" s="1"/>
  <c r="E17" i="85"/>
  <c r="C17" i="85"/>
  <c r="G16" i="85"/>
  <c r="H16" i="85" s="1"/>
  <c r="E16" i="85"/>
  <c r="C16" i="85"/>
  <c r="G15" i="85"/>
  <c r="H15" i="85" s="1"/>
  <c r="E15" i="85"/>
  <c r="C15" i="85"/>
  <c r="G14" i="85"/>
  <c r="E14" i="85"/>
  <c r="C14" i="85"/>
  <c r="G13" i="85"/>
  <c r="H13" i="85" s="1"/>
  <c r="E13" i="85"/>
  <c r="C13" i="85"/>
  <c r="H14" i="85" l="1"/>
  <c r="I14" i="85" s="1"/>
  <c r="F18" i="85"/>
  <c r="F13" i="85"/>
  <c r="F17" i="85"/>
  <c r="F16" i="85"/>
  <c r="F15" i="85"/>
  <c r="I17" i="85"/>
  <c r="F14" i="85"/>
  <c r="I13" i="85"/>
  <c r="I15" i="85"/>
  <c r="I16" i="85"/>
  <c r="I18" i="85"/>
  <c r="E12" i="110" l="1"/>
  <c r="C12" i="110"/>
  <c r="E11" i="110"/>
  <c r="C11" i="110"/>
  <c r="E10" i="110"/>
  <c r="C10" i="110"/>
  <c r="G10" i="110"/>
  <c r="H10" i="110" s="1"/>
  <c r="G11" i="110"/>
  <c r="H11" i="110" s="1"/>
  <c r="G12" i="110"/>
  <c r="H12" i="110" s="1"/>
  <c r="I10" i="110" l="1"/>
  <c r="I11" i="110"/>
  <c r="I12" i="110"/>
  <c r="G11" i="74" l="1"/>
  <c r="H11" i="74" s="1"/>
  <c r="E11" i="74"/>
  <c r="C11" i="74"/>
  <c r="G23" i="111"/>
  <c r="H23" i="111" s="1"/>
  <c r="E23" i="111"/>
  <c r="C23" i="111"/>
  <c r="G22" i="111"/>
  <c r="H22" i="111" s="1"/>
  <c r="E22" i="111"/>
  <c r="C22" i="111"/>
  <c r="F11" i="74" l="1"/>
  <c r="I11" i="74"/>
  <c r="F23" i="111"/>
  <c r="F22" i="111"/>
  <c r="I22" i="111"/>
  <c r="I23" i="111"/>
  <c r="E6" i="121" l="1"/>
  <c r="J14" i="121"/>
  <c r="G13" i="121"/>
  <c r="H13" i="121" s="1"/>
  <c r="E13" i="121"/>
  <c r="C13" i="121"/>
  <c r="G12" i="121"/>
  <c r="H12" i="121" s="1"/>
  <c r="E12" i="121"/>
  <c r="C12" i="121"/>
  <c r="G11" i="121"/>
  <c r="H11" i="121" s="1"/>
  <c r="E11" i="121"/>
  <c r="C11" i="121"/>
  <c r="G10" i="121"/>
  <c r="E10" i="121"/>
  <c r="C10" i="121"/>
  <c r="G6" i="121"/>
  <c r="H6" i="121" s="1"/>
  <c r="C6" i="121"/>
  <c r="E6" i="88"/>
  <c r="J14" i="119"/>
  <c r="G8" i="119"/>
  <c r="H8" i="119" s="1"/>
  <c r="E8" i="119"/>
  <c r="C8" i="119"/>
  <c r="G7" i="119"/>
  <c r="H7" i="119" s="1"/>
  <c r="E7" i="119"/>
  <c r="C7" i="119"/>
  <c r="G6" i="119"/>
  <c r="E6" i="119"/>
  <c r="C6" i="119"/>
  <c r="G10" i="119"/>
  <c r="H10" i="119" s="1"/>
  <c r="E10" i="119"/>
  <c r="C10" i="119"/>
  <c r="G9" i="119"/>
  <c r="H9" i="119" s="1"/>
  <c r="E9" i="119"/>
  <c r="C9" i="119"/>
  <c r="G50" i="95"/>
  <c r="H50" i="95" s="1"/>
  <c r="E50" i="95"/>
  <c r="C50" i="95"/>
  <c r="G49" i="95"/>
  <c r="H49" i="95" s="1"/>
  <c r="E49" i="95"/>
  <c r="C49" i="95"/>
  <c r="B25" i="35"/>
  <c r="B16" i="35"/>
  <c r="B29" i="35"/>
  <c r="B30" i="35"/>
  <c r="B23" i="35"/>
  <c r="B17" i="35"/>
  <c r="B21" i="35"/>
  <c r="B27" i="35"/>
  <c r="B41" i="35"/>
  <c r="B28" i="35"/>
  <c r="B42" i="35"/>
  <c r="B40" i="35"/>
  <c r="B35" i="35"/>
  <c r="B18" i="35"/>
  <c r="B31" i="35"/>
  <c r="B19" i="35"/>
  <c r="B20" i="35"/>
  <c r="B26" i="35"/>
  <c r="B32" i="35"/>
  <c r="B33" i="35"/>
  <c r="B24" i="35"/>
  <c r="B37" i="35"/>
  <c r="B36" i="35"/>
  <c r="B34" i="35"/>
  <c r="B39" i="35"/>
  <c r="B22" i="35"/>
  <c r="B38" i="35"/>
  <c r="H6" i="119" l="1"/>
  <c r="I6" i="119" s="1"/>
  <c r="H10" i="121"/>
  <c r="I10" i="121" s="1"/>
  <c r="F10" i="121"/>
  <c r="F12" i="121"/>
  <c r="F13" i="121"/>
  <c r="E14" i="121"/>
  <c r="F11" i="121"/>
  <c r="I12" i="121"/>
  <c r="I11" i="121"/>
  <c r="I13" i="121"/>
  <c r="G14" i="121"/>
  <c r="F6" i="121"/>
  <c r="F6" i="119"/>
  <c r="F7" i="119"/>
  <c r="F8" i="119"/>
  <c r="F9" i="119"/>
  <c r="F10" i="119"/>
  <c r="I7" i="119"/>
  <c r="I8" i="119"/>
  <c r="I9" i="119"/>
  <c r="I10" i="119"/>
  <c r="F50" i="95"/>
  <c r="F49" i="95"/>
  <c r="I49" i="95"/>
  <c r="I50" i="95"/>
  <c r="E35" i="35"/>
  <c r="F43" i="35"/>
  <c r="E27" i="35"/>
  <c r="E28" i="35"/>
  <c r="D43" i="35"/>
  <c r="E21" i="35"/>
  <c r="E33" i="35"/>
  <c r="F14" i="121" l="1"/>
  <c r="H14" i="121"/>
  <c r="I6" i="121"/>
  <c r="I14" i="121" s="1"/>
  <c r="G39" i="81"/>
  <c r="H39" i="81" s="1"/>
  <c r="E39" i="81"/>
  <c r="C39" i="81"/>
  <c r="G38" i="81"/>
  <c r="H38" i="81" s="1"/>
  <c r="E38" i="81"/>
  <c r="C38" i="81"/>
  <c r="G37" i="81"/>
  <c r="E37" i="81"/>
  <c r="C37" i="81"/>
  <c r="G36" i="81"/>
  <c r="H36" i="81" s="1"/>
  <c r="E36" i="81"/>
  <c r="C36" i="81"/>
  <c r="G35" i="81"/>
  <c r="E35" i="81"/>
  <c r="C35" i="81"/>
  <c r="G43" i="35"/>
  <c r="H43" i="35"/>
  <c r="E43" i="35"/>
  <c r="H35" i="81" l="1"/>
  <c r="I35" i="81" s="1"/>
  <c r="H37" i="81"/>
  <c r="I37" i="81" s="1"/>
  <c r="F35" i="81"/>
  <c r="F39" i="81"/>
  <c r="F36" i="81"/>
  <c r="F38" i="81"/>
  <c r="F37" i="81"/>
  <c r="I36" i="81"/>
  <c r="I38" i="81"/>
  <c r="I39" i="81"/>
  <c r="G29" i="108" l="1"/>
  <c r="H29" i="108" s="1"/>
  <c r="E29" i="108"/>
  <c r="C29" i="108"/>
  <c r="G28" i="108"/>
  <c r="H28" i="108" s="1"/>
  <c r="E28" i="108"/>
  <c r="C28" i="108"/>
  <c r="F29" i="108" l="1"/>
  <c r="F28" i="108"/>
  <c r="I28" i="108"/>
  <c r="I29" i="108"/>
  <c r="G6" i="93" l="1"/>
  <c r="H6" i="93" s="1"/>
  <c r="G24" i="106" l="1"/>
  <c r="H24" i="106" s="1"/>
  <c r="E24" i="106"/>
  <c r="C24" i="106"/>
  <c r="G23" i="106"/>
  <c r="H23" i="106" s="1"/>
  <c r="E23" i="106"/>
  <c r="C23" i="106"/>
  <c r="G22" i="106"/>
  <c r="H22" i="106" s="1"/>
  <c r="E22" i="106"/>
  <c r="C22" i="106"/>
  <c r="G21" i="106"/>
  <c r="H21" i="106" s="1"/>
  <c r="E21" i="106"/>
  <c r="C21" i="106"/>
  <c r="F24" i="106" l="1"/>
  <c r="F22" i="106"/>
  <c r="F21" i="106"/>
  <c r="F23" i="106"/>
  <c r="I21" i="106"/>
  <c r="I23" i="106"/>
  <c r="I22" i="106"/>
  <c r="I24" i="106"/>
  <c r="G30" i="107" l="1"/>
  <c r="H30" i="107" s="1"/>
  <c r="E30" i="107"/>
  <c r="C30" i="107"/>
  <c r="G29" i="107"/>
  <c r="H29" i="107" s="1"/>
  <c r="E29" i="107"/>
  <c r="C29" i="107"/>
  <c r="G28" i="107"/>
  <c r="H28" i="107" s="1"/>
  <c r="E28" i="107"/>
  <c r="C28" i="107"/>
  <c r="G27" i="107"/>
  <c r="H27" i="107" s="1"/>
  <c r="E27" i="107"/>
  <c r="C27" i="107"/>
  <c r="G26" i="107"/>
  <c r="H26" i="107" s="1"/>
  <c r="E26" i="107"/>
  <c r="C26" i="107"/>
  <c r="F26" i="107" l="1"/>
  <c r="F30" i="107"/>
  <c r="F28" i="107"/>
  <c r="F29" i="107"/>
  <c r="F27" i="107"/>
  <c r="I29" i="107"/>
  <c r="I27" i="107"/>
  <c r="I26" i="107"/>
  <c r="I28" i="107"/>
  <c r="I30" i="107"/>
  <c r="G37" i="78" l="1"/>
  <c r="H37" i="78" s="1"/>
  <c r="E37" i="78"/>
  <c r="C37" i="78"/>
  <c r="G36" i="78"/>
  <c r="H36" i="78" s="1"/>
  <c r="E36" i="78"/>
  <c r="C36" i="78"/>
  <c r="G35" i="78"/>
  <c r="H35" i="78" s="1"/>
  <c r="E35" i="78"/>
  <c r="C35" i="78"/>
  <c r="G34" i="78"/>
  <c r="H34" i="78" s="1"/>
  <c r="E34" i="78"/>
  <c r="C34" i="78"/>
  <c r="G33" i="78"/>
  <c r="E33" i="78"/>
  <c r="C33" i="78"/>
  <c r="G32" i="78"/>
  <c r="H32" i="78" s="1"/>
  <c r="E32" i="78"/>
  <c r="C32" i="78"/>
  <c r="H33" i="78" l="1"/>
  <c r="I33" i="78" s="1"/>
  <c r="F36" i="78"/>
  <c r="F32" i="78"/>
  <c r="F37" i="78"/>
  <c r="F35" i="78"/>
  <c r="F34" i="78"/>
  <c r="I36" i="78"/>
  <c r="F33" i="78"/>
  <c r="I32" i="78"/>
  <c r="I34" i="78"/>
  <c r="I35" i="78"/>
  <c r="I37" i="78"/>
  <c r="C6" i="87" l="1"/>
  <c r="G21" i="84" l="1"/>
  <c r="H21" i="84" s="1"/>
  <c r="E21" i="84"/>
  <c r="C21" i="84"/>
  <c r="G20" i="84"/>
  <c r="H20" i="84" s="1"/>
  <c r="E20" i="84"/>
  <c r="C20" i="84"/>
  <c r="G19" i="84"/>
  <c r="E19" i="84"/>
  <c r="C19" i="84"/>
  <c r="G18" i="84"/>
  <c r="H18" i="84" s="1"/>
  <c r="E18" i="84"/>
  <c r="C18" i="84"/>
  <c r="G17" i="84"/>
  <c r="E17" i="84"/>
  <c r="C17" i="84"/>
  <c r="G24" i="107"/>
  <c r="H24" i="107" s="1"/>
  <c r="E24" i="107"/>
  <c r="C24" i="107"/>
  <c r="G23" i="107"/>
  <c r="H23" i="107" s="1"/>
  <c r="E23" i="107"/>
  <c r="C23" i="107"/>
  <c r="G22" i="107"/>
  <c r="H22" i="107" s="1"/>
  <c r="E22" i="107"/>
  <c r="C22" i="107"/>
  <c r="G21" i="107"/>
  <c r="H21" i="107" s="1"/>
  <c r="E21" i="107"/>
  <c r="C21" i="107"/>
  <c r="G20" i="107"/>
  <c r="H20" i="107" s="1"/>
  <c r="E20" i="107"/>
  <c r="C20" i="107"/>
  <c r="G32" i="107"/>
  <c r="H32" i="107" s="1"/>
  <c r="E32" i="107"/>
  <c r="C32" i="107"/>
  <c r="G31" i="107"/>
  <c r="H31" i="107" s="1"/>
  <c r="E31" i="107"/>
  <c r="C31" i="107"/>
  <c r="G25" i="107"/>
  <c r="H25" i="107" s="1"/>
  <c r="E25" i="107"/>
  <c r="C25" i="107"/>
  <c r="G19" i="107"/>
  <c r="H19" i="107" s="1"/>
  <c r="E19" i="107"/>
  <c r="C19" i="107"/>
  <c r="G18" i="107"/>
  <c r="E18" i="107"/>
  <c r="C18" i="107"/>
  <c r="G17" i="107"/>
  <c r="H17" i="107" s="1"/>
  <c r="E17" i="107"/>
  <c r="C17" i="107"/>
  <c r="G16" i="107"/>
  <c r="E16" i="107"/>
  <c r="C16" i="107"/>
  <c r="H18" i="107" l="1"/>
  <c r="I18" i="107" s="1"/>
  <c r="H19" i="84"/>
  <c r="I19" i="84" s="1"/>
  <c r="H16" i="107"/>
  <c r="I16" i="107" s="1"/>
  <c r="H17" i="84"/>
  <c r="I17" i="84" s="1"/>
  <c r="F21" i="84"/>
  <c r="F20" i="84"/>
  <c r="F17" i="84"/>
  <c r="F19" i="84"/>
  <c r="F18" i="84"/>
  <c r="I20" i="84"/>
  <c r="I18" i="84"/>
  <c r="I21" i="84"/>
  <c r="F31" i="107"/>
  <c r="F23" i="107"/>
  <c r="F24" i="107"/>
  <c r="F21" i="107"/>
  <c r="F22" i="107"/>
  <c r="F19" i="107"/>
  <c r="F20" i="107"/>
  <c r="I21" i="107"/>
  <c r="I23" i="107"/>
  <c r="F16" i="107"/>
  <c r="F25" i="107"/>
  <c r="I20" i="107"/>
  <c r="I22" i="107"/>
  <c r="I24" i="107"/>
  <c r="F18" i="107"/>
  <c r="F32" i="107"/>
  <c r="I31" i="107"/>
  <c r="F17" i="107"/>
  <c r="I19" i="107"/>
  <c r="I17" i="107"/>
  <c r="I25" i="107"/>
  <c r="I32" i="107"/>
  <c r="J31" i="106" l="1"/>
  <c r="G32" i="75" l="1"/>
  <c r="H32" i="75" s="1"/>
  <c r="E32" i="75"/>
  <c r="C32" i="75"/>
  <c r="G31" i="75"/>
  <c r="E31" i="75"/>
  <c r="C31" i="75"/>
  <c r="G30" i="75"/>
  <c r="H30" i="75" s="1"/>
  <c r="E30" i="75"/>
  <c r="C30" i="75"/>
  <c r="G29" i="75"/>
  <c r="E29" i="75"/>
  <c r="C29" i="75"/>
  <c r="G28" i="75"/>
  <c r="H28" i="75" s="1"/>
  <c r="E28" i="75"/>
  <c r="C28" i="75"/>
  <c r="H31" i="75" l="1"/>
  <c r="I31" i="75" s="1"/>
  <c r="H29" i="75"/>
  <c r="I29" i="75" s="1"/>
  <c r="F28" i="75"/>
  <c r="F32" i="75"/>
  <c r="F31" i="75"/>
  <c r="F30" i="75"/>
  <c r="I32" i="75"/>
  <c r="F29" i="75"/>
  <c r="I28" i="75"/>
  <c r="I30" i="75"/>
  <c r="G27" i="116"/>
  <c r="H27" i="116" s="1"/>
  <c r="E27" i="116"/>
  <c r="C27" i="116"/>
  <c r="G23" i="116"/>
  <c r="H23" i="116" s="1"/>
  <c r="E23" i="116"/>
  <c r="C23" i="116"/>
  <c r="G14" i="116"/>
  <c r="H14" i="116" s="1"/>
  <c r="E14" i="116"/>
  <c r="C14" i="116"/>
  <c r="G13" i="116"/>
  <c r="E13" i="116"/>
  <c r="C13" i="116"/>
  <c r="H13" i="116" l="1"/>
  <c r="I13" i="116" s="1"/>
  <c r="F27" i="116"/>
  <c r="F14" i="116"/>
  <c r="F13" i="116"/>
  <c r="I27" i="116"/>
  <c r="I14" i="116"/>
  <c r="F23" i="116"/>
  <c r="I23" i="116"/>
  <c r="G35" i="82" l="1"/>
  <c r="H35" i="82" s="1"/>
  <c r="E35" i="82"/>
  <c r="C35" i="82"/>
  <c r="G40" i="97"/>
  <c r="H40" i="97" s="1"/>
  <c r="E40" i="97"/>
  <c r="C40" i="97"/>
  <c r="F35" i="82" l="1"/>
  <c r="I35" i="82"/>
  <c r="F40" i="97"/>
  <c r="I40" i="97"/>
  <c r="G33" i="82" l="1"/>
  <c r="H33" i="82" s="1"/>
  <c r="E33" i="82"/>
  <c r="C33" i="82"/>
  <c r="G32" i="82"/>
  <c r="H32" i="82" s="1"/>
  <c r="E32" i="82"/>
  <c r="C32" i="82"/>
  <c r="G31" i="82"/>
  <c r="E31" i="82"/>
  <c r="C31" i="82"/>
  <c r="G30" i="82"/>
  <c r="H30" i="82" s="1"/>
  <c r="E30" i="82"/>
  <c r="C30" i="82"/>
  <c r="G29" i="82"/>
  <c r="E29" i="82"/>
  <c r="C29" i="82"/>
  <c r="G16" i="82"/>
  <c r="H16" i="82" s="1"/>
  <c r="E16" i="82"/>
  <c r="C16" i="82"/>
  <c r="H31" i="82" l="1"/>
  <c r="I31" i="82" s="1"/>
  <c r="H29" i="82"/>
  <c r="I29" i="82" s="1"/>
  <c r="F30" i="82"/>
  <c r="F29" i="82"/>
  <c r="F33" i="82"/>
  <c r="F16" i="82"/>
  <c r="F32" i="82"/>
  <c r="F31" i="82"/>
  <c r="I16" i="82"/>
  <c r="I30" i="82"/>
  <c r="I32" i="82"/>
  <c r="I33" i="82"/>
  <c r="G19" i="85" l="1"/>
  <c r="H19" i="85" s="1"/>
  <c r="E19" i="85"/>
  <c r="C19" i="85"/>
  <c r="G12" i="85"/>
  <c r="H12" i="85" s="1"/>
  <c r="E12" i="85"/>
  <c r="C12" i="85"/>
  <c r="G11" i="85"/>
  <c r="H11" i="85" s="1"/>
  <c r="E11" i="85"/>
  <c r="C11" i="85"/>
  <c r="G10" i="85"/>
  <c r="H10" i="85" s="1"/>
  <c r="E10" i="85"/>
  <c r="C10" i="85"/>
  <c r="G9" i="85"/>
  <c r="H9" i="85" s="1"/>
  <c r="E9" i="85"/>
  <c r="C9" i="85"/>
  <c r="F11" i="85" l="1"/>
  <c r="F9" i="85"/>
  <c r="F19" i="85"/>
  <c r="F12" i="85"/>
  <c r="F10" i="85"/>
  <c r="I12" i="85"/>
  <c r="I10" i="85"/>
  <c r="I9" i="85"/>
  <c r="I11" i="85"/>
  <c r="I19" i="85"/>
  <c r="G10" i="77"/>
  <c r="H10" i="77" s="1"/>
  <c r="E10" i="77"/>
  <c r="C10" i="77"/>
  <c r="G9" i="77"/>
  <c r="H9" i="77" s="1"/>
  <c r="E9" i="77"/>
  <c r="C9" i="77"/>
  <c r="G8" i="77"/>
  <c r="H8" i="77" s="1"/>
  <c r="E8" i="77"/>
  <c r="C8" i="77"/>
  <c r="F10" i="77" l="1"/>
  <c r="F9" i="77"/>
  <c r="F8" i="77"/>
  <c r="I9" i="77"/>
  <c r="I8" i="77"/>
  <c r="I10" i="77"/>
  <c r="G21" i="89" l="1"/>
  <c r="H21" i="89" s="1"/>
  <c r="E21" i="89"/>
  <c r="C21" i="89"/>
  <c r="F21" i="89" l="1"/>
  <c r="I21" i="89"/>
  <c r="G34" i="81" l="1"/>
  <c r="H34" i="81" s="1"/>
  <c r="E34" i="81"/>
  <c r="C34" i="81"/>
  <c r="G33" i="81"/>
  <c r="H33" i="81" s="1"/>
  <c r="E33" i="81"/>
  <c r="C33" i="81"/>
  <c r="G32" i="81"/>
  <c r="E32" i="81"/>
  <c r="C32" i="81"/>
  <c r="G25" i="81"/>
  <c r="H25" i="81" s="1"/>
  <c r="E25" i="81"/>
  <c r="C25" i="81"/>
  <c r="G24" i="81"/>
  <c r="H24" i="81" s="1"/>
  <c r="E24" i="81"/>
  <c r="C24" i="81"/>
  <c r="G23" i="81"/>
  <c r="H23" i="81" s="1"/>
  <c r="E23" i="81"/>
  <c r="C23" i="81"/>
  <c r="H32" i="81" l="1"/>
  <c r="I32" i="81" s="1"/>
  <c r="F24" i="81"/>
  <c r="F34" i="81"/>
  <c r="F23" i="81"/>
  <c r="F33" i="81"/>
  <c r="F32" i="81"/>
  <c r="I33" i="81"/>
  <c r="F25" i="81"/>
  <c r="I23" i="81"/>
  <c r="I25" i="81"/>
  <c r="I24" i="81"/>
  <c r="I34" i="81"/>
  <c r="F9" i="93" l="1"/>
  <c r="G29" i="106" l="1"/>
  <c r="H29" i="106" s="1"/>
  <c r="E29" i="106"/>
  <c r="C29" i="106"/>
  <c r="G28" i="106"/>
  <c r="H28" i="106" s="1"/>
  <c r="E28" i="106"/>
  <c r="C28" i="106"/>
  <c r="G20" i="106"/>
  <c r="H20" i="106" s="1"/>
  <c r="E20" i="106"/>
  <c r="C20" i="106"/>
  <c r="G19" i="106"/>
  <c r="H19" i="106" s="1"/>
  <c r="E19" i="106"/>
  <c r="C19" i="106"/>
  <c r="I20" i="106" l="1"/>
  <c r="F29" i="106"/>
  <c r="F19" i="106"/>
  <c r="F28" i="106"/>
  <c r="F20" i="106"/>
  <c r="I28" i="106"/>
  <c r="I19" i="106"/>
  <c r="I29" i="106"/>
  <c r="G19" i="88" l="1"/>
  <c r="H19" i="88" s="1"/>
  <c r="E19" i="88"/>
  <c r="C19" i="88"/>
  <c r="G18" i="88"/>
  <c r="H18" i="88" s="1"/>
  <c r="E18" i="88"/>
  <c r="C18" i="88"/>
  <c r="G17" i="88"/>
  <c r="E17" i="88"/>
  <c r="C17" i="88"/>
  <c r="G16" i="88"/>
  <c r="H16" i="88" s="1"/>
  <c r="E16" i="88"/>
  <c r="C16" i="88"/>
  <c r="H17" i="88" l="1"/>
  <c r="I17" i="88" s="1"/>
  <c r="F16" i="88"/>
  <c r="F18" i="88"/>
  <c r="F19" i="88"/>
  <c r="F17" i="88"/>
  <c r="I18" i="88"/>
  <c r="I16" i="88"/>
  <c r="I19" i="88"/>
  <c r="G31" i="78"/>
  <c r="H31" i="78" s="1"/>
  <c r="E31" i="78"/>
  <c r="C31" i="78"/>
  <c r="G26" i="78"/>
  <c r="H26" i="78" s="1"/>
  <c r="E26" i="78"/>
  <c r="C26" i="78"/>
  <c r="G25" i="78"/>
  <c r="H25" i="78" s="1"/>
  <c r="E25" i="78"/>
  <c r="C25" i="78"/>
  <c r="G24" i="78"/>
  <c r="H24" i="78" s="1"/>
  <c r="E24" i="78"/>
  <c r="C24" i="78"/>
  <c r="G23" i="78"/>
  <c r="H23" i="78" s="1"/>
  <c r="E23" i="78"/>
  <c r="C23" i="78"/>
  <c r="G22" i="78"/>
  <c r="H22" i="78" s="1"/>
  <c r="E22" i="78"/>
  <c r="C22" i="78"/>
  <c r="G21" i="78"/>
  <c r="H21" i="78" s="1"/>
  <c r="E21" i="78"/>
  <c r="C21" i="78"/>
  <c r="G20" i="78"/>
  <c r="H20" i="78" s="1"/>
  <c r="E20" i="78"/>
  <c r="C20" i="78"/>
  <c r="G19" i="78"/>
  <c r="H19" i="78" s="1"/>
  <c r="E19" i="78"/>
  <c r="C19" i="78"/>
  <c r="F22" i="78" l="1"/>
  <c r="F31" i="78"/>
  <c r="F26" i="78"/>
  <c r="F19" i="78"/>
  <c r="F23" i="78"/>
  <c r="F20" i="78"/>
  <c r="F24" i="78"/>
  <c r="F25" i="78"/>
  <c r="I20" i="78"/>
  <c r="I22" i="78"/>
  <c r="I24" i="78"/>
  <c r="I26" i="78"/>
  <c r="I19" i="78"/>
  <c r="I21" i="78"/>
  <c r="I23" i="78"/>
  <c r="I25" i="78"/>
  <c r="I31" i="78"/>
  <c r="F21" i="78"/>
  <c r="G42" i="84" l="1"/>
  <c r="H42" i="84" s="1"/>
  <c r="E42" i="84"/>
  <c r="C42" i="84"/>
  <c r="G41" i="84"/>
  <c r="H41" i="84" s="1"/>
  <c r="E41" i="84"/>
  <c r="C41" i="84"/>
  <c r="G40" i="84"/>
  <c r="H40" i="84" s="1"/>
  <c r="E40" i="84"/>
  <c r="C40" i="84"/>
  <c r="G39" i="84"/>
  <c r="H39" i="84" s="1"/>
  <c r="E39" i="84"/>
  <c r="C39" i="84"/>
  <c r="G38" i="84"/>
  <c r="H38" i="84" s="1"/>
  <c r="E38" i="84"/>
  <c r="C38" i="84"/>
  <c r="F42" i="84" l="1"/>
  <c r="F41" i="84"/>
  <c r="F39" i="84"/>
  <c r="F38" i="84"/>
  <c r="F40" i="84"/>
  <c r="I39" i="84"/>
  <c r="I41" i="84"/>
  <c r="I38" i="84"/>
  <c r="I40" i="84"/>
  <c r="I42" i="84"/>
  <c r="J24" i="118" l="1"/>
  <c r="J29" i="116"/>
  <c r="J35" i="115"/>
  <c r="J23" i="83"/>
  <c r="J21" i="113"/>
  <c r="J24" i="111"/>
  <c r="F9" i="117"/>
  <c r="J9" i="117"/>
  <c r="F15" i="110"/>
  <c r="J15" i="110"/>
  <c r="F13" i="109"/>
  <c r="J13" i="109"/>
  <c r="J39" i="107"/>
  <c r="J33" i="108"/>
  <c r="J42" i="94"/>
  <c r="F15" i="92"/>
  <c r="J15" i="92"/>
  <c r="J9" i="91"/>
  <c r="J15" i="112"/>
  <c r="J19" i="90"/>
  <c r="J23" i="89"/>
  <c r="J22" i="88"/>
  <c r="F15" i="87"/>
  <c r="J15" i="87"/>
  <c r="J43" i="84"/>
  <c r="J22" i="85"/>
  <c r="J36" i="82"/>
  <c r="J42" i="81"/>
  <c r="J45" i="78"/>
  <c r="J13" i="77"/>
  <c r="J17" i="76"/>
  <c r="J33" i="75"/>
  <c r="J12" i="74"/>
  <c r="F12" i="96"/>
  <c r="J12" i="96"/>
  <c r="J55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38" i="95"/>
  <c r="C39" i="95"/>
  <c r="C40" i="95"/>
  <c r="C41" i="95"/>
  <c r="C42" i="95"/>
  <c r="C43" i="95"/>
  <c r="C44" i="95"/>
  <c r="C45" i="95"/>
  <c r="C46" i="95"/>
  <c r="C47" i="95"/>
  <c r="C48" i="95"/>
  <c r="C52" i="95"/>
  <c r="C6" i="95"/>
  <c r="J43" i="97"/>
  <c r="E34" i="35"/>
  <c r="G27" i="75" l="1"/>
  <c r="E27" i="75"/>
  <c r="C27" i="75"/>
  <c r="H27" i="75" l="1"/>
  <c r="I27" i="75" s="1"/>
  <c r="F27" i="75"/>
  <c r="G30" i="115" l="1"/>
  <c r="H30" i="115" s="1"/>
  <c r="E30" i="115"/>
  <c r="C30" i="115"/>
  <c r="G29" i="115"/>
  <c r="H29" i="115" s="1"/>
  <c r="E29" i="115"/>
  <c r="C29" i="115"/>
  <c r="G28" i="115"/>
  <c r="H28" i="115" s="1"/>
  <c r="E28" i="115"/>
  <c r="C28" i="115"/>
  <c r="G17" i="115"/>
  <c r="H17" i="115" s="1"/>
  <c r="E17" i="115"/>
  <c r="C17" i="115"/>
  <c r="G16" i="115"/>
  <c r="E16" i="115"/>
  <c r="C16" i="115"/>
  <c r="C7" i="115"/>
  <c r="C8" i="115"/>
  <c r="C9" i="115"/>
  <c r="C10" i="115"/>
  <c r="C11" i="115"/>
  <c r="C12" i="115"/>
  <c r="C13" i="115"/>
  <c r="C14" i="115"/>
  <c r="C15" i="115"/>
  <c r="C31" i="115"/>
  <c r="C32" i="115"/>
  <c r="C34" i="115"/>
  <c r="C6" i="115"/>
  <c r="H16" i="115" l="1"/>
  <c r="I16" i="115" s="1"/>
  <c r="F30" i="115"/>
  <c r="F28" i="115"/>
  <c r="F17" i="115"/>
  <c r="F29" i="115"/>
  <c r="F16" i="115"/>
  <c r="I29" i="115"/>
  <c r="I17" i="115"/>
  <c r="I28" i="115"/>
  <c r="I30" i="115"/>
  <c r="G28" i="116"/>
  <c r="H28" i="116" s="1"/>
  <c r="E28" i="116"/>
  <c r="C28" i="116"/>
  <c r="G26" i="116"/>
  <c r="H26" i="116" s="1"/>
  <c r="E26" i="116"/>
  <c r="C26" i="116"/>
  <c r="G25" i="116"/>
  <c r="H25" i="116" s="1"/>
  <c r="E25" i="116"/>
  <c r="C25" i="116"/>
  <c r="F28" i="116" l="1"/>
  <c r="F25" i="116"/>
  <c r="F26" i="116"/>
  <c r="I25" i="116"/>
  <c r="I26" i="116"/>
  <c r="I28" i="116"/>
  <c r="G16" i="76" l="1"/>
  <c r="H16" i="76" s="1"/>
  <c r="E16" i="76"/>
  <c r="C16" i="76"/>
  <c r="G14" i="76"/>
  <c r="H14" i="76" s="1"/>
  <c r="E14" i="76"/>
  <c r="C14" i="76"/>
  <c r="G13" i="76"/>
  <c r="H13" i="76" s="1"/>
  <c r="E13" i="76"/>
  <c r="C13" i="76"/>
  <c r="G12" i="76"/>
  <c r="H12" i="76" s="1"/>
  <c r="E12" i="76"/>
  <c r="C12" i="76"/>
  <c r="G31" i="97"/>
  <c r="H31" i="97" s="1"/>
  <c r="E31" i="97"/>
  <c r="C31" i="97"/>
  <c r="G30" i="97"/>
  <c r="H30" i="97" s="1"/>
  <c r="E30" i="97"/>
  <c r="C30" i="97"/>
  <c r="G29" i="97"/>
  <c r="E29" i="97"/>
  <c r="C29" i="97"/>
  <c r="G21" i="97"/>
  <c r="H21" i="97" s="1"/>
  <c r="E21" i="97"/>
  <c r="C21" i="97"/>
  <c r="G20" i="97"/>
  <c r="E20" i="97"/>
  <c r="C20" i="97"/>
  <c r="G19" i="97"/>
  <c r="H19" i="97" s="1"/>
  <c r="E19" i="97"/>
  <c r="C19" i="97"/>
  <c r="G18" i="97"/>
  <c r="E18" i="97"/>
  <c r="C18" i="97"/>
  <c r="C7" i="97"/>
  <c r="C8" i="97"/>
  <c r="C9" i="97"/>
  <c r="C10" i="97"/>
  <c r="C11" i="97"/>
  <c r="C12" i="97"/>
  <c r="C13" i="97"/>
  <c r="C14" i="97"/>
  <c r="C15" i="97"/>
  <c r="C16" i="97"/>
  <c r="C17" i="97"/>
  <c r="C39" i="97"/>
  <c r="C41" i="97"/>
  <c r="C42" i="97"/>
  <c r="C6" i="97"/>
  <c r="C6" i="76"/>
  <c r="H18" i="97" l="1"/>
  <c r="I18" i="97" s="1"/>
  <c r="H29" i="97"/>
  <c r="I29" i="97" s="1"/>
  <c r="H20" i="97"/>
  <c r="I20" i="97" s="1"/>
  <c r="F13" i="76"/>
  <c r="F16" i="76"/>
  <c r="F14" i="76"/>
  <c r="F29" i="97"/>
  <c r="F12" i="76"/>
  <c r="I14" i="76"/>
  <c r="I12" i="76"/>
  <c r="I13" i="76"/>
  <c r="I16" i="76"/>
  <c r="F31" i="97"/>
  <c r="F18" i="97"/>
  <c r="F19" i="97"/>
  <c r="F30" i="97"/>
  <c r="F21" i="97"/>
  <c r="I30" i="97"/>
  <c r="F20" i="97"/>
  <c r="I19" i="97"/>
  <c r="I21" i="97"/>
  <c r="I31" i="97"/>
  <c r="G33" i="94" l="1"/>
  <c r="H33" i="94" s="1"/>
  <c r="E33" i="94"/>
  <c r="C33" i="94"/>
  <c r="G32" i="94"/>
  <c r="H32" i="94" s="1"/>
  <c r="E32" i="94"/>
  <c r="C32" i="94"/>
  <c r="G31" i="94"/>
  <c r="E31" i="94"/>
  <c r="C31" i="94"/>
  <c r="G30" i="94"/>
  <c r="H30" i="94" s="1"/>
  <c r="E30" i="94"/>
  <c r="C30" i="94"/>
  <c r="G20" i="94"/>
  <c r="E20" i="94"/>
  <c r="C20" i="94"/>
  <c r="G19" i="94"/>
  <c r="H19" i="94" s="1"/>
  <c r="E19" i="94"/>
  <c r="C19" i="94"/>
  <c r="G18" i="94"/>
  <c r="E18" i="94"/>
  <c r="C18" i="94"/>
  <c r="H18" i="94" l="1"/>
  <c r="I18" i="94" s="1"/>
  <c r="H31" i="94"/>
  <c r="I31" i="94" s="1"/>
  <c r="H20" i="94"/>
  <c r="I20" i="94" s="1"/>
  <c r="F33" i="94"/>
  <c r="F20" i="94"/>
  <c r="F19" i="94"/>
  <c r="F32" i="94"/>
  <c r="F31" i="94"/>
  <c r="F18" i="94"/>
  <c r="I32" i="94"/>
  <c r="F30" i="94"/>
  <c r="I19" i="94"/>
  <c r="I30" i="94"/>
  <c r="I33" i="94"/>
  <c r="G44" i="95" l="1"/>
  <c r="H44" i="95" s="1"/>
  <c r="E44" i="95"/>
  <c r="G43" i="95"/>
  <c r="H43" i="95" s="1"/>
  <c r="E43" i="95"/>
  <c r="G42" i="95"/>
  <c r="H42" i="95" s="1"/>
  <c r="E42" i="95"/>
  <c r="G41" i="95"/>
  <c r="H41" i="95" s="1"/>
  <c r="E41" i="95"/>
  <c r="G40" i="95"/>
  <c r="H40" i="95" s="1"/>
  <c r="E40" i="95"/>
  <c r="G39" i="95"/>
  <c r="H39" i="95" s="1"/>
  <c r="E39" i="95"/>
  <c r="F41" i="95" l="1"/>
  <c r="F44" i="95"/>
  <c r="F39" i="95"/>
  <c r="F43" i="95"/>
  <c r="F40" i="95"/>
  <c r="F42" i="95"/>
  <c r="I41" i="95"/>
  <c r="I42" i="95"/>
  <c r="I43" i="95"/>
  <c r="I39" i="95"/>
  <c r="I40" i="95"/>
  <c r="I44" i="95"/>
  <c r="G22" i="83" l="1"/>
  <c r="H22" i="83" s="1"/>
  <c r="E22" i="83"/>
  <c r="C22" i="83"/>
  <c r="G21" i="83"/>
  <c r="H21" i="83" s="1"/>
  <c r="E21" i="83"/>
  <c r="C21" i="83"/>
  <c r="G20" i="83"/>
  <c r="H20" i="83" s="1"/>
  <c r="E20" i="83"/>
  <c r="C20" i="83"/>
  <c r="G14" i="83"/>
  <c r="H14" i="83" s="1"/>
  <c r="E14" i="83"/>
  <c r="C14" i="83"/>
  <c r="G13" i="83"/>
  <c r="E13" i="83"/>
  <c r="C13" i="83"/>
  <c r="G12" i="83"/>
  <c r="H12" i="83" s="1"/>
  <c r="E12" i="83"/>
  <c r="C12" i="83"/>
  <c r="H13" i="83" l="1"/>
  <c r="I13" i="83" s="1"/>
  <c r="F22" i="83"/>
  <c r="F14" i="83"/>
  <c r="F13" i="83"/>
  <c r="F12" i="83"/>
  <c r="F21" i="83"/>
  <c r="F20" i="83"/>
  <c r="I21" i="83"/>
  <c r="I12" i="83"/>
  <c r="I14" i="83"/>
  <c r="I20" i="83"/>
  <c r="I22" i="83"/>
  <c r="G19" i="113" l="1"/>
  <c r="H19" i="113" s="1"/>
  <c r="E19" i="113"/>
  <c r="C19" i="113"/>
  <c r="G18" i="113"/>
  <c r="H18" i="113" s="1"/>
  <c r="E18" i="113"/>
  <c r="C18" i="113"/>
  <c r="F19" i="113" l="1"/>
  <c r="F18" i="113"/>
  <c r="I18" i="113"/>
  <c r="I19" i="113"/>
  <c r="C7" i="111" l="1"/>
  <c r="C8" i="111"/>
  <c r="C9" i="111"/>
  <c r="C10" i="111"/>
  <c r="C11" i="111"/>
  <c r="C12" i="111"/>
  <c r="C13" i="111"/>
  <c r="C14" i="111"/>
  <c r="C15" i="111"/>
  <c r="C16" i="111"/>
  <c r="C21" i="111"/>
  <c r="C6" i="111"/>
  <c r="C6" i="117"/>
  <c r="G17" i="108" l="1"/>
  <c r="H17" i="108" s="1"/>
  <c r="E17" i="108"/>
  <c r="C17" i="108"/>
  <c r="G16" i="108"/>
  <c r="H16" i="108" s="1"/>
  <c r="E16" i="108"/>
  <c r="C16" i="108"/>
  <c r="G15" i="108"/>
  <c r="E15" i="108"/>
  <c r="C15" i="108"/>
  <c r="G14" i="108"/>
  <c r="H14" i="108" s="1"/>
  <c r="E14" i="108"/>
  <c r="C14" i="108"/>
  <c r="G13" i="108"/>
  <c r="E13" i="108"/>
  <c r="C13" i="108"/>
  <c r="G12" i="108"/>
  <c r="H12" i="108" s="1"/>
  <c r="E12" i="108"/>
  <c r="C12" i="108"/>
  <c r="H15" i="108" l="1"/>
  <c r="I15" i="108" s="1"/>
  <c r="H13" i="108"/>
  <c r="I13" i="108" s="1"/>
  <c r="F17" i="108"/>
  <c r="F15" i="108"/>
  <c r="F12" i="108"/>
  <c r="F14" i="108"/>
  <c r="F13" i="108"/>
  <c r="F16" i="108"/>
  <c r="I12" i="108"/>
  <c r="I14" i="108"/>
  <c r="I16" i="108"/>
  <c r="I17" i="108"/>
  <c r="C6" i="96" l="1"/>
  <c r="E6" i="96"/>
  <c r="E11" i="109" l="1"/>
  <c r="C11" i="109"/>
  <c r="G11" i="109"/>
  <c r="H11" i="109" s="1"/>
  <c r="I11" i="109" l="1"/>
  <c r="C13" i="119" l="1"/>
  <c r="C11" i="119"/>
  <c r="C7" i="118"/>
  <c r="C8" i="118"/>
  <c r="C9" i="118"/>
  <c r="C10" i="118"/>
  <c r="C11" i="118"/>
  <c r="C12" i="118"/>
  <c r="C13" i="118"/>
  <c r="C14" i="118"/>
  <c r="C19" i="118"/>
  <c r="C20" i="118"/>
  <c r="C6" i="118"/>
  <c r="G11" i="119"/>
  <c r="H11" i="119" s="1"/>
  <c r="E11" i="119"/>
  <c r="F11" i="119" l="1"/>
  <c r="I11" i="119" l="1"/>
  <c r="G41" i="81" l="1"/>
  <c r="H41" i="81" s="1"/>
  <c r="E41" i="81"/>
  <c r="C41" i="81"/>
  <c r="G40" i="81"/>
  <c r="E40" i="81"/>
  <c r="C40" i="81"/>
  <c r="G22" i="81"/>
  <c r="H22" i="81" s="1"/>
  <c r="E22" i="81"/>
  <c r="C22" i="81"/>
  <c r="H40" i="81" l="1"/>
  <c r="I40" i="81" s="1"/>
  <c r="F22" i="81"/>
  <c r="F41" i="81"/>
  <c r="F40" i="81"/>
  <c r="I22" i="81"/>
  <c r="I41" i="81"/>
  <c r="E13" i="92" l="1"/>
  <c r="C13" i="92"/>
  <c r="G6" i="96" l="1"/>
  <c r="H6" i="96" s="1"/>
  <c r="G13" i="92"/>
  <c r="C7" i="107"/>
  <c r="C8" i="107"/>
  <c r="C9" i="107"/>
  <c r="C10" i="107"/>
  <c r="C11" i="107"/>
  <c r="C12" i="107"/>
  <c r="C13" i="107"/>
  <c r="C14" i="107"/>
  <c r="C15" i="107"/>
  <c r="C33" i="107"/>
  <c r="C34" i="107"/>
  <c r="C35" i="107"/>
  <c r="C36" i="107"/>
  <c r="C37" i="107"/>
  <c r="C38" i="107"/>
  <c r="C6" i="107"/>
  <c r="G42" i="97"/>
  <c r="H42" i="97" s="1"/>
  <c r="E42" i="97"/>
  <c r="G41" i="97"/>
  <c r="H41" i="97" s="1"/>
  <c r="E41" i="97"/>
  <c r="H13" i="92" l="1"/>
  <c r="I13" i="92" s="1"/>
  <c r="F41" i="97"/>
  <c r="F42" i="97"/>
  <c r="I41" i="97"/>
  <c r="I42" i="97"/>
  <c r="I6" i="96" l="1"/>
  <c r="G34" i="82" l="1"/>
  <c r="H34" i="82" s="1"/>
  <c r="E34" i="82"/>
  <c r="C34" i="82"/>
  <c r="G15" i="82"/>
  <c r="H15" i="82" s="1"/>
  <c r="E15" i="82"/>
  <c r="C15" i="82"/>
  <c r="G14" i="82"/>
  <c r="H14" i="82" s="1"/>
  <c r="E14" i="82"/>
  <c r="C14" i="82"/>
  <c r="G13" i="82"/>
  <c r="E13" i="82"/>
  <c r="C13" i="82"/>
  <c r="G12" i="82"/>
  <c r="H12" i="82" s="1"/>
  <c r="E12" i="82"/>
  <c r="C12" i="82"/>
  <c r="G11" i="82"/>
  <c r="E11" i="82"/>
  <c r="C11" i="82"/>
  <c r="G10" i="82"/>
  <c r="H10" i="82" s="1"/>
  <c r="E10" i="82"/>
  <c r="C10" i="82"/>
  <c r="G9" i="82"/>
  <c r="E9" i="82"/>
  <c r="C9" i="82"/>
  <c r="G8" i="82"/>
  <c r="H8" i="82" s="1"/>
  <c r="E8" i="82"/>
  <c r="C8" i="82"/>
  <c r="G7" i="82"/>
  <c r="E7" i="82"/>
  <c r="C7" i="82"/>
  <c r="H7" i="82" l="1"/>
  <c r="I7" i="82" s="1"/>
  <c r="H11" i="82"/>
  <c r="I11" i="82" s="1"/>
  <c r="H9" i="82"/>
  <c r="I9" i="82" s="1"/>
  <c r="H13" i="82"/>
  <c r="I13" i="82" s="1"/>
  <c r="F7" i="82"/>
  <c r="F11" i="82"/>
  <c r="F15" i="82"/>
  <c r="F12" i="82"/>
  <c r="F34" i="82"/>
  <c r="F9" i="82"/>
  <c r="F10" i="82"/>
  <c r="F13" i="82"/>
  <c r="I15" i="82"/>
  <c r="F8" i="82"/>
  <c r="F14" i="82"/>
  <c r="I8" i="82"/>
  <c r="I10" i="82"/>
  <c r="I12" i="82"/>
  <c r="I14" i="82"/>
  <c r="I34" i="82"/>
  <c r="E6" i="118" l="1"/>
  <c r="G13" i="119"/>
  <c r="E13" i="119"/>
  <c r="E14" i="119" s="1"/>
  <c r="D42" i="35"/>
  <c r="G14" i="119" l="1"/>
  <c r="H13" i="119"/>
  <c r="H14" i="119" s="1"/>
  <c r="F13" i="119"/>
  <c r="F14" i="119" s="1"/>
  <c r="E42" i="35"/>
  <c r="F42" i="35"/>
  <c r="G42" i="35"/>
  <c r="I13" i="119" l="1"/>
  <c r="I14" i="119" s="1"/>
  <c r="G14" i="113"/>
  <c r="H14" i="113" s="1"/>
  <c r="E14" i="113"/>
  <c r="C14" i="113"/>
  <c r="H42" i="35"/>
  <c r="F14" i="113" l="1"/>
  <c r="I14" i="113"/>
  <c r="G16" i="90" l="1"/>
  <c r="H16" i="90" s="1"/>
  <c r="E16" i="90"/>
  <c r="C16" i="90"/>
  <c r="F16" i="90" l="1"/>
  <c r="I16" i="90"/>
  <c r="G15" i="88" l="1"/>
  <c r="H15" i="88" s="1"/>
  <c r="E15" i="88"/>
  <c r="C15" i="88"/>
  <c r="G14" i="88"/>
  <c r="H14" i="88" s="1"/>
  <c r="E14" i="88"/>
  <c r="C14" i="88"/>
  <c r="C20" i="88"/>
  <c r="E20" i="88"/>
  <c r="G20" i="88"/>
  <c r="H20" i="88" s="1"/>
  <c r="C21" i="88"/>
  <c r="E21" i="88"/>
  <c r="G21" i="88"/>
  <c r="H21" i="88" s="1"/>
  <c r="F14" i="88" l="1"/>
  <c r="F15" i="88"/>
  <c r="I14" i="88"/>
  <c r="I21" i="88"/>
  <c r="F21" i="88"/>
  <c r="F20" i="88"/>
  <c r="I20" i="88"/>
  <c r="I15" i="88"/>
  <c r="C12" i="106" l="1"/>
  <c r="E12" i="106"/>
  <c r="G12" i="106"/>
  <c r="H12" i="106" s="1"/>
  <c r="C13" i="106"/>
  <c r="E13" i="106"/>
  <c r="G13" i="106"/>
  <c r="H13" i="106" s="1"/>
  <c r="C14" i="106"/>
  <c r="E14" i="106"/>
  <c r="G14" i="106"/>
  <c r="H14" i="106" s="1"/>
  <c r="C15" i="106"/>
  <c r="E15" i="106"/>
  <c r="G15" i="106"/>
  <c r="H15" i="106" s="1"/>
  <c r="C16" i="106"/>
  <c r="E16" i="106"/>
  <c r="G16" i="106"/>
  <c r="H16" i="106" s="1"/>
  <c r="C17" i="106"/>
  <c r="E17" i="106"/>
  <c r="G17" i="106"/>
  <c r="H17" i="106" s="1"/>
  <c r="C18" i="106"/>
  <c r="E18" i="106"/>
  <c r="G18" i="106"/>
  <c r="H18" i="106" s="1"/>
  <c r="C30" i="106"/>
  <c r="E30" i="106"/>
  <c r="G30" i="106"/>
  <c r="H30" i="106" s="1"/>
  <c r="C6" i="106"/>
  <c r="C7" i="106"/>
  <c r="C8" i="106"/>
  <c r="C9" i="106"/>
  <c r="C10" i="106"/>
  <c r="C11" i="106"/>
  <c r="G38" i="107"/>
  <c r="H38" i="107" s="1"/>
  <c r="E38" i="107"/>
  <c r="G37" i="107"/>
  <c r="H37" i="107" s="1"/>
  <c r="E37" i="107"/>
  <c r="G36" i="107"/>
  <c r="E36" i="107"/>
  <c r="G35" i="107"/>
  <c r="H35" i="107" s="1"/>
  <c r="E35" i="107"/>
  <c r="G34" i="107"/>
  <c r="H34" i="107" s="1"/>
  <c r="E34" i="107"/>
  <c r="G33" i="107"/>
  <c r="H33" i="107" s="1"/>
  <c r="E33" i="107"/>
  <c r="G15" i="107"/>
  <c r="E15" i="107"/>
  <c r="G14" i="107"/>
  <c r="H14" i="107" s="1"/>
  <c r="E14" i="107"/>
  <c r="G13" i="107"/>
  <c r="H13" i="107" s="1"/>
  <c r="E13" i="107"/>
  <c r="H36" i="107" l="1"/>
  <c r="I36" i="107" s="1"/>
  <c r="H15" i="107"/>
  <c r="I15" i="107" s="1"/>
  <c r="I12" i="106"/>
  <c r="I14" i="106"/>
  <c r="F15" i="106"/>
  <c r="I18" i="106"/>
  <c r="I16" i="106"/>
  <c r="F12" i="106"/>
  <c r="F13" i="106"/>
  <c r="F18" i="106"/>
  <c r="F16" i="106"/>
  <c r="F14" i="106"/>
  <c r="F17" i="106"/>
  <c r="I15" i="106"/>
  <c r="I13" i="106"/>
  <c r="F30" i="106"/>
  <c r="I30" i="106"/>
  <c r="I17" i="106"/>
  <c r="F37" i="107"/>
  <c r="F35" i="107"/>
  <c r="F38" i="107"/>
  <c r="F13" i="107"/>
  <c r="F34" i="107"/>
  <c r="F15" i="107"/>
  <c r="F14" i="107"/>
  <c r="F33" i="107"/>
  <c r="F36" i="107"/>
  <c r="I37" i="107"/>
  <c r="I33" i="107"/>
  <c r="I34" i="107"/>
  <c r="I38" i="107"/>
  <c r="I13" i="107"/>
  <c r="I14" i="107"/>
  <c r="I35" i="107"/>
  <c r="G20" i="118" l="1"/>
  <c r="H20" i="118" s="1"/>
  <c r="E20" i="118"/>
  <c r="F20" i="118" l="1"/>
  <c r="I20" i="118"/>
  <c r="G19" i="118"/>
  <c r="H19" i="118" s="1"/>
  <c r="E19" i="118"/>
  <c r="G14" i="118"/>
  <c r="H14" i="118" s="1"/>
  <c r="E14" i="118"/>
  <c r="G13" i="118"/>
  <c r="H13" i="118" s="1"/>
  <c r="E13" i="118"/>
  <c r="G12" i="118"/>
  <c r="E12" i="118"/>
  <c r="G11" i="118"/>
  <c r="H11" i="118" s="1"/>
  <c r="E11" i="118"/>
  <c r="G10" i="118"/>
  <c r="E10" i="118"/>
  <c r="G9" i="118"/>
  <c r="H9" i="118" s="1"/>
  <c r="E9" i="118"/>
  <c r="G8" i="118"/>
  <c r="E8" i="118"/>
  <c r="G7" i="118"/>
  <c r="H7" i="118" s="1"/>
  <c r="E7" i="118"/>
  <c r="G6" i="118"/>
  <c r="H6" i="118" s="1"/>
  <c r="H8" i="118" l="1"/>
  <c r="I8" i="118" s="1"/>
  <c r="H10" i="118"/>
  <c r="I10" i="118" s="1"/>
  <c r="H12" i="118"/>
  <c r="I12" i="118" s="1"/>
  <c r="G24" i="118"/>
  <c r="F8" i="118"/>
  <c r="F10" i="118"/>
  <c r="F7" i="118"/>
  <c r="F9" i="118"/>
  <c r="F11" i="118"/>
  <c r="F13" i="118"/>
  <c r="F19" i="118"/>
  <c r="E24" i="118"/>
  <c r="F12" i="118"/>
  <c r="F14" i="118"/>
  <c r="I7" i="118"/>
  <c r="I9" i="118"/>
  <c r="I11" i="118"/>
  <c r="I13" i="118"/>
  <c r="I19" i="118"/>
  <c r="I14" i="118"/>
  <c r="F6" i="118"/>
  <c r="F41" i="35"/>
  <c r="D41" i="35"/>
  <c r="F24" i="118" l="1"/>
  <c r="H24" i="118"/>
  <c r="I6" i="118"/>
  <c r="I24" i="118" s="1"/>
  <c r="H41" i="35"/>
  <c r="E41" i="35"/>
  <c r="G41" i="35"/>
  <c r="G38" i="95" l="1"/>
  <c r="H38" i="95" s="1"/>
  <c r="E38" i="95"/>
  <c r="G23" i="95"/>
  <c r="H23" i="95" s="1"/>
  <c r="E23" i="95"/>
  <c r="G22" i="95"/>
  <c r="H22" i="95" s="1"/>
  <c r="E22" i="95"/>
  <c r="G21" i="95"/>
  <c r="E21" i="95"/>
  <c r="H21" i="95" l="1"/>
  <c r="I21" i="95" s="1"/>
  <c r="F21" i="95"/>
  <c r="F38" i="95"/>
  <c r="F23" i="95"/>
  <c r="I38" i="95"/>
  <c r="F22" i="95"/>
  <c r="I22" i="95"/>
  <c r="I23" i="95"/>
  <c r="E7" i="96" l="1"/>
  <c r="G32" i="108"/>
  <c r="H32" i="108" s="1"/>
  <c r="E32" i="108"/>
  <c r="C32" i="108"/>
  <c r="G4" i="92"/>
  <c r="F32" i="108" l="1"/>
  <c r="I32" i="108"/>
  <c r="G31" i="115" l="1"/>
  <c r="H31" i="115" s="1"/>
  <c r="E31" i="115"/>
  <c r="G15" i="115"/>
  <c r="H15" i="115" s="1"/>
  <c r="E15" i="115"/>
  <c r="G14" i="115"/>
  <c r="H14" i="115" s="1"/>
  <c r="E14" i="115"/>
  <c r="G24" i="116"/>
  <c r="H24" i="116" s="1"/>
  <c r="E24" i="116"/>
  <c r="C24" i="116"/>
  <c r="G12" i="116"/>
  <c r="H12" i="116" s="1"/>
  <c r="E12" i="116"/>
  <c r="C12" i="116"/>
  <c r="F15" i="115" l="1"/>
  <c r="F31" i="115"/>
  <c r="F14" i="115"/>
  <c r="I15" i="115"/>
  <c r="I31" i="115"/>
  <c r="I14" i="115"/>
  <c r="F24" i="116"/>
  <c r="F12" i="116"/>
  <c r="I12" i="116"/>
  <c r="I24" i="116"/>
  <c r="G39" i="97"/>
  <c r="H39" i="97" s="1"/>
  <c r="E39" i="97"/>
  <c r="F39" i="97" l="1"/>
  <c r="I39" i="97"/>
  <c r="E22" i="89" l="1"/>
  <c r="G22" i="89"/>
  <c r="H22" i="89" s="1"/>
  <c r="C22" i="89"/>
  <c r="C16" i="81"/>
  <c r="E16" i="81"/>
  <c r="G16" i="81"/>
  <c r="H16" i="81" s="1"/>
  <c r="C17" i="81"/>
  <c r="E17" i="81"/>
  <c r="G17" i="81"/>
  <c r="H17" i="81" s="1"/>
  <c r="C18" i="81"/>
  <c r="E18" i="81"/>
  <c r="G18" i="81"/>
  <c r="H18" i="81" s="1"/>
  <c r="C19" i="81"/>
  <c r="E19" i="81"/>
  <c r="G19" i="81"/>
  <c r="H19" i="81" s="1"/>
  <c r="C20" i="81"/>
  <c r="E20" i="81"/>
  <c r="G20" i="81"/>
  <c r="H20" i="81" s="1"/>
  <c r="C21" i="81"/>
  <c r="E21" i="81"/>
  <c r="G21" i="81"/>
  <c r="H21" i="81" s="1"/>
  <c r="F22" i="89" l="1"/>
  <c r="I22" i="89"/>
  <c r="F16" i="81"/>
  <c r="F19" i="81"/>
  <c r="F17" i="81"/>
  <c r="F18" i="81"/>
  <c r="I19" i="81"/>
  <c r="I18" i="81"/>
  <c r="I17" i="81"/>
  <c r="I16" i="81"/>
  <c r="F20" i="81"/>
  <c r="F21" i="81"/>
  <c r="I21" i="81"/>
  <c r="I20" i="81"/>
  <c r="E8" i="117" l="1"/>
  <c r="C8" i="117"/>
  <c r="E7" i="117"/>
  <c r="C7" i="117"/>
  <c r="E6" i="117"/>
  <c r="G4" i="117"/>
  <c r="G8" i="117"/>
  <c r="G7" i="117"/>
  <c r="H7" i="117" s="1"/>
  <c r="G6" i="117"/>
  <c r="H6" i="117" s="1"/>
  <c r="C38" i="78"/>
  <c r="E38" i="78"/>
  <c r="G38" i="78"/>
  <c r="H38" i="78" s="1"/>
  <c r="C39" i="78"/>
  <c r="E39" i="78"/>
  <c r="G39" i="78"/>
  <c r="H39" i="78" s="1"/>
  <c r="C40" i="78"/>
  <c r="E40" i="78"/>
  <c r="G40" i="78"/>
  <c r="H40" i="78" s="1"/>
  <c r="C41" i="78"/>
  <c r="E41" i="78"/>
  <c r="G41" i="78"/>
  <c r="H41" i="78" s="1"/>
  <c r="C42" i="78"/>
  <c r="E42" i="78"/>
  <c r="G42" i="78"/>
  <c r="H42" i="78" s="1"/>
  <c r="C44" i="78"/>
  <c r="E44" i="78"/>
  <c r="G44" i="78"/>
  <c r="H44" i="78" s="1"/>
  <c r="C13" i="84"/>
  <c r="E13" i="84"/>
  <c r="G13" i="84"/>
  <c r="H13" i="84" s="1"/>
  <c r="C14" i="84"/>
  <c r="E14" i="84"/>
  <c r="G14" i="84"/>
  <c r="H14" i="84" s="1"/>
  <c r="C15" i="84"/>
  <c r="E15" i="84"/>
  <c r="G15" i="84"/>
  <c r="H15" i="84" s="1"/>
  <c r="C16" i="84"/>
  <c r="E16" i="84"/>
  <c r="G16" i="84"/>
  <c r="H16" i="84" s="1"/>
  <c r="C22" i="84"/>
  <c r="E22" i="84"/>
  <c r="G22" i="84"/>
  <c r="H22" i="84" s="1"/>
  <c r="C23" i="84"/>
  <c r="E23" i="84"/>
  <c r="G23" i="84"/>
  <c r="H23" i="84" s="1"/>
  <c r="C35" i="84"/>
  <c r="E35" i="84"/>
  <c r="G35" i="84"/>
  <c r="H35" i="84" s="1"/>
  <c r="C12" i="75"/>
  <c r="E12" i="75"/>
  <c r="G12" i="75"/>
  <c r="H12" i="75" s="1"/>
  <c r="C13" i="75"/>
  <c r="E13" i="75"/>
  <c r="G13" i="75"/>
  <c r="H13" i="75" s="1"/>
  <c r="C14" i="75"/>
  <c r="E14" i="75"/>
  <c r="G14" i="75"/>
  <c r="H14" i="75" s="1"/>
  <c r="C15" i="75"/>
  <c r="E15" i="75"/>
  <c r="G15" i="75"/>
  <c r="H15" i="75" s="1"/>
  <c r="C16" i="75"/>
  <c r="E16" i="75"/>
  <c r="G16" i="75"/>
  <c r="H16" i="75" s="1"/>
  <c r="C17" i="75"/>
  <c r="E17" i="75"/>
  <c r="G17" i="75"/>
  <c r="H17" i="75" s="1"/>
  <c r="C18" i="75"/>
  <c r="E18" i="75"/>
  <c r="G18" i="75"/>
  <c r="H18" i="75" s="1"/>
  <c r="G10" i="74"/>
  <c r="H10" i="74" s="1"/>
  <c r="E10" i="74"/>
  <c r="C10" i="74"/>
  <c r="C11" i="113"/>
  <c r="C12" i="113"/>
  <c r="E11" i="113"/>
  <c r="G11" i="113"/>
  <c r="H11" i="113" s="1"/>
  <c r="E12" i="113"/>
  <c r="G12" i="113"/>
  <c r="H12" i="113" s="1"/>
  <c r="C6" i="74"/>
  <c r="C7" i="74"/>
  <c r="C8" i="74"/>
  <c r="C9" i="74"/>
  <c r="E6" i="76"/>
  <c r="E8" i="116"/>
  <c r="G8" i="116"/>
  <c r="H8" i="116" s="1"/>
  <c r="E9" i="116"/>
  <c r="G9" i="116"/>
  <c r="H9" i="116" s="1"/>
  <c r="E10" i="116"/>
  <c r="G10" i="116"/>
  <c r="H10" i="116" s="1"/>
  <c r="E11" i="116"/>
  <c r="G11" i="116"/>
  <c r="H11" i="116" s="1"/>
  <c r="C8" i="116"/>
  <c r="C9" i="116"/>
  <c r="C10" i="116"/>
  <c r="C11" i="116"/>
  <c r="H8" i="117" l="1"/>
  <c r="I8" i="117" s="1"/>
  <c r="E9" i="117"/>
  <c r="G9" i="117"/>
  <c r="I7" i="117"/>
  <c r="F42" i="78"/>
  <c r="I40" i="78"/>
  <c r="F40" i="78"/>
  <c r="F41" i="78"/>
  <c r="I38" i="78"/>
  <c r="I42" i="78"/>
  <c r="I44" i="78"/>
  <c r="I39" i="78"/>
  <c r="F38" i="78"/>
  <c r="F44" i="78"/>
  <c r="F39" i="78"/>
  <c r="I41" i="78"/>
  <c r="F15" i="84"/>
  <c r="F35" i="84"/>
  <c r="F23" i="84"/>
  <c r="F22" i="84"/>
  <c r="F16" i="84"/>
  <c r="F13" i="84"/>
  <c r="I35" i="84"/>
  <c r="I23" i="84"/>
  <c r="I22" i="84"/>
  <c r="I16" i="84"/>
  <c r="I14" i="84"/>
  <c r="I13" i="84"/>
  <c r="F14" i="84"/>
  <c r="I15" i="84"/>
  <c r="F12" i="75"/>
  <c r="F17" i="75"/>
  <c r="F15" i="75"/>
  <c r="F13" i="75"/>
  <c r="F18" i="75"/>
  <c r="F16" i="75"/>
  <c r="F14" i="75"/>
  <c r="I18" i="75"/>
  <c r="I17" i="75"/>
  <c r="I16" i="75"/>
  <c r="I15" i="75"/>
  <c r="I14" i="75"/>
  <c r="I13" i="75"/>
  <c r="I12" i="75"/>
  <c r="F10" i="74"/>
  <c r="I10" i="74"/>
  <c r="F12" i="113"/>
  <c r="F11" i="113"/>
  <c r="I12" i="113"/>
  <c r="I11" i="113"/>
  <c r="F10" i="116"/>
  <c r="I9" i="116"/>
  <c r="F9" i="116"/>
  <c r="F8" i="116"/>
  <c r="F11" i="116"/>
  <c r="I8" i="116"/>
  <c r="I10" i="116"/>
  <c r="I11" i="116"/>
  <c r="E34" i="115"/>
  <c r="G34" i="115"/>
  <c r="H34" i="115" s="1"/>
  <c r="F35" i="35"/>
  <c r="D35" i="35" l="1"/>
  <c r="I6" i="117"/>
  <c r="I9" i="117" s="1"/>
  <c r="H9" i="117"/>
  <c r="F34" i="115"/>
  <c r="I34" i="115"/>
  <c r="N7" i="35"/>
  <c r="H35" i="35"/>
  <c r="G35" i="35"/>
  <c r="G12" i="77" l="1"/>
  <c r="H12" i="77" s="1"/>
  <c r="E12" i="77"/>
  <c r="C12" i="77"/>
  <c r="G11" i="77"/>
  <c r="H11" i="77" s="1"/>
  <c r="E11" i="77"/>
  <c r="C11" i="77"/>
  <c r="E14" i="87"/>
  <c r="C14" i="87"/>
  <c r="E13" i="87"/>
  <c r="C13" i="87"/>
  <c r="E12" i="87"/>
  <c r="C12" i="87"/>
  <c r="E11" i="87"/>
  <c r="C11" i="87"/>
  <c r="E10" i="87"/>
  <c r="C10" i="87"/>
  <c r="E9" i="87"/>
  <c r="C9" i="87"/>
  <c r="G13" i="87"/>
  <c r="H13" i="87" s="1"/>
  <c r="G14" i="87"/>
  <c r="G6" i="87"/>
  <c r="H6" i="87" s="1"/>
  <c r="G12" i="115"/>
  <c r="G4" i="109"/>
  <c r="G4" i="110"/>
  <c r="G4" i="93"/>
  <c r="G4" i="87"/>
  <c r="I48" i="35"/>
  <c r="G7" i="116"/>
  <c r="E7" i="116"/>
  <c r="C7" i="116"/>
  <c r="G6" i="116"/>
  <c r="H6" i="116" s="1"/>
  <c r="E6" i="116"/>
  <c r="C6" i="116"/>
  <c r="G32" i="115"/>
  <c r="H32" i="115" s="1"/>
  <c r="E32" i="115"/>
  <c r="G13" i="115"/>
  <c r="H13" i="115" s="1"/>
  <c r="E13" i="115"/>
  <c r="E12" i="115"/>
  <c r="G11" i="115"/>
  <c r="H11" i="115" s="1"/>
  <c r="E11" i="115"/>
  <c r="G10" i="115"/>
  <c r="E10" i="115"/>
  <c r="G9" i="115"/>
  <c r="E9" i="115"/>
  <c r="G8" i="115"/>
  <c r="H8" i="115" s="1"/>
  <c r="E8" i="115"/>
  <c r="G7" i="115"/>
  <c r="H7" i="115" s="1"/>
  <c r="E7" i="115"/>
  <c r="G6" i="115"/>
  <c r="H6" i="115" s="1"/>
  <c r="E6" i="115"/>
  <c r="L19" i="35"/>
  <c r="G46" i="95"/>
  <c r="H46" i="95" s="1"/>
  <c r="E46" i="95"/>
  <c r="G47" i="95"/>
  <c r="E47" i="95"/>
  <c r="G48" i="95"/>
  <c r="E48" i="95"/>
  <c r="G39" i="94"/>
  <c r="E39" i="94"/>
  <c r="C39" i="94"/>
  <c r="G17" i="94"/>
  <c r="H17" i="94" s="1"/>
  <c r="E17" i="94"/>
  <c r="C17" i="94"/>
  <c r="G16" i="94"/>
  <c r="E16" i="94"/>
  <c r="C16" i="94"/>
  <c r="G15" i="94"/>
  <c r="H15" i="94" s="1"/>
  <c r="E15" i="94"/>
  <c r="C15" i="94"/>
  <c r="G14" i="94"/>
  <c r="H14" i="94" s="1"/>
  <c r="E14" i="94"/>
  <c r="C14" i="94"/>
  <c r="G13" i="94"/>
  <c r="H13" i="94" s="1"/>
  <c r="E13" i="94"/>
  <c r="C13" i="94"/>
  <c r="G12" i="94"/>
  <c r="H12" i="94" s="1"/>
  <c r="E12" i="94"/>
  <c r="C12" i="94"/>
  <c r="G11" i="94"/>
  <c r="H11" i="94" s="1"/>
  <c r="E11" i="94"/>
  <c r="C11" i="94"/>
  <c r="G11" i="114"/>
  <c r="E11" i="114"/>
  <c r="E12" i="114" s="1"/>
  <c r="C11" i="114"/>
  <c r="G11" i="83"/>
  <c r="H11" i="83" s="1"/>
  <c r="E11" i="83"/>
  <c r="C11" i="83"/>
  <c r="G10" i="83"/>
  <c r="H10" i="83" s="1"/>
  <c r="E10" i="83"/>
  <c r="C10" i="83"/>
  <c r="G9" i="83"/>
  <c r="H9" i="83" s="1"/>
  <c r="E9" i="83"/>
  <c r="C9" i="83"/>
  <c r="G8" i="83"/>
  <c r="H8" i="83" s="1"/>
  <c r="E8" i="83"/>
  <c r="C8" i="83"/>
  <c r="G53" i="95"/>
  <c r="H53" i="95" s="1"/>
  <c r="E53" i="95"/>
  <c r="C53" i="95"/>
  <c r="G20" i="113"/>
  <c r="E20" i="113"/>
  <c r="C20" i="113"/>
  <c r="G13" i="113"/>
  <c r="H13" i="113" s="1"/>
  <c r="E13" i="113"/>
  <c r="C13" i="113"/>
  <c r="G10" i="113"/>
  <c r="H10" i="113" s="1"/>
  <c r="E10" i="113"/>
  <c r="C10" i="113"/>
  <c r="G9" i="113"/>
  <c r="E9" i="113"/>
  <c r="C9" i="113"/>
  <c r="G8" i="113"/>
  <c r="H8" i="113" s="1"/>
  <c r="E8" i="113"/>
  <c r="C8" i="113"/>
  <c r="G7" i="113"/>
  <c r="H7" i="113" s="1"/>
  <c r="E7" i="113"/>
  <c r="C7" i="113"/>
  <c r="G6" i="113"/>
  <c r="H6" i="113" s="1"/>
  <c r="E6" i="113"/>
  <c r="C6" i="113"/>
  <c r="G14" i="112"/>
  <c r="H14" i="112" s="1"/>
  <c r="E14" i="112"/>
  <c r="C14" i="112"/>
  <c r="G13" i="112"/>
  <c r="H13" i="112" s="1"/>
  <c r="E13" i="112"/>
  <c r="C13" i="112"/>
  <c r="G12" i="112"/>
  <c r="H12" i="112" s="1"/>
  <c r="E12" i="112"/>
  <c r="C12" i="112"/>
  <c r="G11" i="112"/>
  <c r="H11" i="112" s="1"/>
  <c r="E11" i="112"/>
  <c r="C11" i="112"/>
  <c r="G10" i="112"/>
  <c r="H10" i="112" s="1"/>
  <c r="E10" i="112"/>
  <c r="C10" i="112"/>
  <c r="G9" i="112"/>
  <c r="H9" i="112" s="1"/>
  <c r="E9" i="112"/>
  <c r="C9" i="112"/>
  <c r="G8" i="112"/>
  <c r="H8" i="112" s="1"/>
  <c r="E8" i="112"/>
  <c r="C8" i="112"/>
  <c r="G7" i="112"/>
  <c r="H7" i="112" s="1"/>
  <c r="E7" i="112"/>
  <c r="C7" i="112"/>
  <c r="G6" i="112"/>
  <c r="H6" i="112" s="1"/>
  <c r="E6" i="112"/>
  <c r="C6" i="112"/>
  <c r="G7" i="96"/>
  <c r="H7" i="96" s="1"/>
  <c r="G8" i="96"/>
  <c r="H8" i="96" s="1"/>
  <c r="G11" i="96"/>
  <c r="G10" i="87"/>
  <c r="H10" i="87" s="1"/>
  <c r="G11" i="87"/>
  <c r="H11" i="87" s="1"/>
  <c r="G12" i="87"/>
  <c r="H12" i="87" s="1"/>
  <c r="G13" i="111"/>
  <c r="G12" i="111"/>
  <c r="G11" i="111"/>
  <c r="G8" i="111"/>
  <c r="G15" i="111"/>
  <c r="E15" i="111"/>
  <c r="G14" i="111"/>
  <c r="H14" i="111" s="1"/>
  <c r="E14" i="111"/>
  <c r="E13" i="111"/>
  <c r="E12" i="111"/>
  <c r="E11" i="111"/>
  <c r="G10" i="111"/>
  <c r="E10" i="111"/>
  <c r="G9" i="111"/>
  <c r="H9" i="111" s="1"/>
  <c r="E9" i="111"/>
  <c r="E8" i="111"/>
  <c r="G21" i="111"/>
  <c r="E21" i="111"/>
  <c r="G16" i="111"/>
  <c r="E16" i="111"/>
  <c r="G7" i="111"/>
  <c r="E7" i="111"/>
  <c r="G6" i="111"/>
  <c r="H6" i="111" s="1"/>
  <c r="E6" i="111"/>
  <c r="G14" i="110"/>
  <c r="H14" i="110" s="1"/>
  <c r="G13" i="110"/>
  <c r="G9" i="110"/>
  <c r="G7" i="110"/>
  <c r="G6" i="110"/>
  <c r="H6" i="110" s="1"/>
  <c r="E14" i="110"/>
  <c r="C14" i="110"/>
  <c r="E13" i="110"/>
  <c r="C13" i="110"/>
  <c r="E9" i="110"/>
  <c r="C9" i="110"/>
  <c r="E8" i="110"/>
  <c r="C8" i="110"/>
  <c r="E7" i="110"/>
  <c r="C7" i="110"/>
  <c r="E6" i="110"/>
  <c r="C6" i="110"/>
  <c r="C7" i="109"/>
  <c r="C8" i="109"/>
  <c r="C9" i="109"/>
  <c r="C10" i="109"/>
  <c r="C12" i="109"/>
  <c r="C6" i="109"/>
  <c r="G6" i="109"/>
  <c r="H6" i="109" s="1"/>
  <c r="E6" i="109"/>
  <c r="E7" i="109"/>
  <c r="E8" i="109"/>
  <c r="E9" i="109"/>
  <c r="E10" i="109"/>
  <c r="E12" i="109"/>
  <c r="G6" i="92"/>
  <c r="H6" i="92" s="1"/>
  <c r="G12" i="109"/>
  <c r="H12" i="109" s="1"/>
  <c r="G10" i="109"/>
  <c r="G9" i="109"/>
  <c r="H9" i="109" s="1"/>
  <c r="G8" i="109"/>
  <c r="H8" i="109" s="1"/>
  <c r="G7" i="109"/>
  <c r="G7" i="93"/>
  <c r="G8" i="93"/>
  <c r="G7" i="92"/>
  <c r="G8" i="92"/>
  <c r="H8" i="92" s="1"/>
  <c r="G9" i="92"/>
  <c r="G10" i="92"/>
  <c r="H10" i="92" s="1"/>
  <c r="G11" i="92"/>
  <c r="G12" i="92"/>
  <c r="H12" i="92" s="1"/>
  <c r="E45" i="95"/>
  <c r="G45" i="95"/>
  <c r="E52" i="95"/>
  <c r="G52" i="95"/>
  <c r="E16" i="89"/>
  <c r="G16" i="89"/>
  <c r="E6" i="89"/>
  <c r="E7" i="89"/>
  <c r="E8" i="89"/>
  <c r="E9" i="89"/>
  <c r="E10" i="89"/>
  <c r="E11" i="89"/>
  <c r="E12" i="89"/>
  <c r="E13" i="89"/>
  <c r="E14" i="89"/>
  <c r="E15" i="89"/>
  <c r="G6" i="89"/>
  <c r="H6" i="89" s="1"/>
  <c r="G7" i="89"/>
  <c r="H7" i="89" s="1"/>
  <c r="G8" i="89"/>
  <c r="G9" i="89"/>
  <c r="H9" i="89" s="1"/>
  <c r="G10" i="89"/>
  <c r="G11" i="89"/>
  <c r="G12" i="89"/>
  <c r="G13" i="89"/>
  <c r="H13" i="89" s="1"/>
  <c r="G14" i="89"/>
  <c r="G15" i="89"/>
  <c r="H15" i="89" s="1"/>
  <c r="C16" i="89"/>
  <c r="G31" i="108"/>
  <c r="E31" i="108"/>
  <c r="C31" i="108"/>
  <c r="G30" i="108"/>
  <c r="H30" i="108" s="1"/>
  <c r="E30" i="108"/>
  <c r="C30" i="108"/>
  <c r="G27" i="108"/>
  <c r="H27" i="108" s="1"/>
  <c r="E27" i="108"/>
  <c r="C27" i="108"/>
  <c r="G18" i="108"/>
  <c r="H18" i="108" s="1"/>
  <c r="E18" i="108"/>
  <c r="C18" i="108"/>
  <c r="G11" i="108"/>
  <c r="E11" i="108"/>
  <c r="C11" i="108"/>
  <c r="G10" i="108"/>
  <c r="E10" i="108"/>
  <c r="C10" i="108"/>
  <c r="G9" i="108"/>
  <c r="E9" i="108"/>
  <c r="C9" i="108"/>
  <c r="G8" i="108"/>
  <c r="H8" i="108" s="1"/>
  <c r="E8" i="108"/>
  <c r="C8" i="108"/>
  <c r="G7" i="108"/>
  <c r="H7" i="108" s="1"/>
  <c r="E7" i="108"/>
  <c r="C7" i="108"/>
  <c r="G6" i="108"/>
  <c r="H6" i="108" s="1"/>
  <c r="E6" i="108"/>
  <c r="C6" i="108"/>
  <c r="C10" i="88"/>
  <c r="E10" i="88"/>
  <c r="G10" i="88"/>
  <c r="H10" i="88" s="1"/>
  <c r="C11" i="88"/>
  <c r="E11" i="88"/>
  <c r="G11" i="88"/>
  <c r="H11" i="88" s="1"/>
  <c r="C12" i="88"/>
  <c r="E12" i="88"/>
  <c r="G12" i="88"/>
  <c r="H12" i="88" s="1"/>
  <c r="C13" i="88"/>
  <c r="E13" i="88"/>
  <c r="G13" i="88"/>
  <c r="C36" i="84"/>
  <c r="E36" i="84"/>
  <c r="G36" i="84"/>
  <c r="C37" i="84"/>
  <c r="E37" i="84"/>
  <c r="G37" i="84"/>
  <c r="C9" i="78"/>
  <c r="E9" i="78"/>
  <c r="G9" i="78"/>
  <c r="E8" i="74"/>
  <c r="G8" i="74"/>
  <c r="H8" i="74" s="1"/>
  <c r="E9" i="74"/>
  <c r="G9" i="74"/>
  <c r="G4" i="96"/>
  <c r="E13" i="97"/>
  <c r="G13" i="97"/>
  <c r="H13" i="97" s="1"/>
  <c r="E14" i="97"/>
  <c r="G14" i="97"/>
  <c r="C6" i="83"/>
  <c r="E7" i="83"/>
  <c r="G7" i="83"/>
  <c r="C7" i="83"/>
  <c r="C18" i="90"/>
  <c r="E18" i="90"/>
  <c r="G18" i="90"/>
  <c r="H18" i="90" s="1"/>
  <c r="E10" i="92"/>
  <c r="E11" i="92"/>
  <c r="E12" i="92"/>
  <c r="E14" i="92"/>
  <c r="C10" i="92"/>
  <c r="C11" i="92"/>
  <c r="C12" i="92"/>
  <c r="C14" i="92"/>
  <c r="E7" i="106"/>
  <c r="E8" i="106"/>
  <c r="E9" i="106"/>
  <c r="E10" i="106"/>
  <c r="E11" i="106"/>
  <c r="G6" i="106"/>
  <c r="H6" i="106" s="1"/>
  <c r="E6" i="106"/>
  <c r="C6" i="82"/>
  <c r="E8" i="93"/>
  <c r="C8" i="93"/>
  <c r="G12" i="107"/>
  <c r="E12" i="107"/>
  <c r="G11" i="107"/>
  <c r="E11" i="107"/>
  <c r="G10" i="107"/>
  <c r="E10" i="107"/>
  <c r="G9" i="107"/>
  <c r="H9" i="107" s="1"/>
  <c r="E9" i="107"/>
  <c r="G8" i="107"/>
  <c r="E8" i="107"/>
  <c r="G7" i="107"/>
  <c r="H7" i="107" s="1"/>
  <c r="E7" i="107"/>
  <c r="G6" i="107"/>
  <c r="H6" i="107" s="1"/>
  <c r="E6" i="107"/>
  <c r="G7" i="106"/>
  <c r="H7" i="106" s="1"/>
  <c r="G8" i="106"/>
  <c r="H8" i="106" s="1"/>
  <c r="G9" i="106"/>
  <c r="H9" i="106" s="1"/>
  <c r="G10" i="106"/>
  <c r="H10" i="106" s="1"/>
  <c r="G11" i="106"/>
  <c r="H11" i="106" s="1"/>
  <c r="C10" i="78"/>
  <c r="C17" i="78"/>
  <c r="E17" i="78"/>
  <c r="G17" i="78"/>
  <c r="H17" i="78" s="1"/>
  <c r="C18" i="78"/>
  <c r="E18" i="78"/>
  <c r="G18" i="78"/>
  <c r="E11" i="84"/>
  <c r="G11" i="84"/>
  <c r="H11" i="84" s="1"/>
  <c r="E12" i="84"/>
  <c r="G12" i="84"/>
  <c r="C11" i="84"/>
  <c r="C12" i="84"/>
  <c r="E12" i="95"/>
  <c r="G12" i="95"/>
  <c r="H12" i="95" s="1"/>
  <c r="E13" i="95"/>
  <c r="G13" i="95"/>
  <c r="E14" i="95"/>
  <c r="G14" i="95"/>
  <c r="E15" i="95"/>
  <c r="G15" i="95"/>
  <c r="H15" i="95" s="1"/>
  <c r="E16" i="95"/>
  <c r="G16" i="95"/>
  <c r="H16" i="95" s="1"/>
  <c r="E17" i="95"/>
  <c r="G17" i="95"/>
  <c r="H17" i="95" s="1"/>
  <c r="E18" i="95"/>
  <c r="G18" i="95"/>
  <c r="E19" i="95"/>
  <c r="G19" i="95"/>
  <c r="E20" i="95"/>
  <c r="G20" i="95"/>
  <c r="E7" i="81"/>
  <c r="G7" i="81"/>
  <c r="E8" i="81"/>
  <c r="G8" i="81"/>
  <c r="H8" i="81" s="1"/>
  <c r="E9" i="81"/>
  <c r="G9" i="81"/>
  <c r="E10" i="81"/>
  <c r="G10" i="81"/>
  <c r="E11" i="81"/>
  <c r="G11" i="81"/>
  <c r="H11" i="81" s="1"/>
  <c r="E12" i="81"/>
  <c r="G12" i="81"/>
  <c r="H12" i="81" s="1"/>
  <c r="E13" i="81"/>
  <c r="G13" i="81"/>
  <c r="E14" i="81"/>
  <c r="G14" i="81"/>
  <c r="H14" i="81" s="1"/>
  <c r="E15" i="81"/>
  <c r="G15" i="81"/>
  <c r="H15" i="81" s="1"/>
  <c r="C13" i="81"/>
  <c r="C14" i="81"/>
  <c r="C15" i="81"/>
  <c r="C6" i="81"/>
  <c r="E6" i="93"/>
  <c r="E7" i="93"/>
  <c r="C6" i="93"/>
  <c r="C6" i="88"/>
  <c r="C6" i="84"/>
  <c r="G6" i="74"/>
  <c r="H6" i="74" s="1"/>
  <c r="G7" i="74"/>
  <c r="H7" i="74" s="1"/>
  <c r="G7" i="75"/>
  <c r="H7" i="75" s="1"/>
  <c r="G8" i="75"/>
  <c r="H8" i="75" s="1"/>
  <c r="G9" i="75"/>
  <c r="H9" i="75" s="1"/>
  <c r="G10" i="75"/>
  <c r="H10" i="75" s="1"/>
  <c r="G11" i="75"/>
  <c r="H11" i="75" s="1"/>
  <c r="G7" i="77"/>
  <c r="H7" i="77" s="1"/>
  <c r="G7" i="78"/>
  <c r="H7" i="78" s="1"/>
  <c r="G8" i="78"/>
  <c r="H8" i="78" s="1"/>
  <c r="G10" i="78"/>
  <c r="G11" i="78"/>
  <c r="H11" i="78" s="1"/>
  <c r="G12" i="78"/>
  <c r="H12" i="78" s="1"/>
  <c r="G13" i="78"/>
  <c r="H13" i="78" s="1"/>
  <c r="G14" i="78"/>
  <c r="H14" i="78" s="1"/>
  <c r="G15" i="78"/>
  <c r="H15" i="78" s="1"/>
  <c r="G16" i="78"/>
  <c r="H16" i="78" s="1"/>
  <c r="G7" i="85"/>
  <c r="H7" i="85" s="1"/>
  <c r="G8" i="85"/>
  <c r="G20" i="85"/>
  <c r="H20" i="85" s="1"/>
  <c r="G21" i="85"/>
  <c r="G7" i="84"/>
  <c r="H7" i="84" s="1"/>
  <c r="G8" i="84"/>
  <c r="G9" i="84"/>
  <c r="H9" i="84" s="1"/>
  <c r="G10" i="84"/>
  <c r="H10" i="84" s="1"/>
  <c r="G7" i="88"/>
  <c r="H7" i="88" s="1"/>
  <c r="G8" i="88"/>
  <c r="H8" i="88" s="1"/>
  <c r="G9" i="88"/>
  <c r="H9" i="88" s="1"/>
  <c r="G7" i="90"/>
  <c r="H7" i="90" s="1"/>
  <c r="G8" i="90"/>
  <c r="G9" i="90"/>
  <c r="H9" i="90" s="1"/>
  <c r="G10" i="90"/>
  <c r="G11" i="90"/>
  <c r="H11" i="90" s="1"/>
  <c r="G12" i="90"/>
  <c r="G13" i="90"/>
  <c r="H13" i="90" s="1"/>
  <c r="G14" i="90"/>
  <c r="G15" i="90"/>
  <c r="G17" i="90"/>
  <c r="H17" i="90" s="1"/>
  <c r="G7" i="91"/>
  <c r="H7" i="91" s="1"/>
  <c r="G8" i="91"/>
  <c r="G7" i="94"/>
  <c r="G8" i="94"/>
  <c r="H8" i="94" s="1"/>
  <c r="G9" i="94"/>
  <c r="H9" i="94" s="1"/>
  <c r="G10" i="94"/>
  <c r="H10" i="94" s="1"/>
  <c r="G40" i="94"/>
  <c r="H40" i="94" s="1"/>
  <c r="G41" i="94"/>
  <c r="G7" i="95"/>
  <c r="G8" i="95"/>
  <c r="H8" i="95" s="1"/>
  <c r="G9" i="95"/>
  <c r="H9" i="95" s="1"/>
  <c r="G10" i="95"/>
  <c r="G11" i="95"/>
  <c r="G7" i="97"/>
  <c r="G8" i="97"/>
  <c r="G9" i="97"/>
  <c r="H9" i="97" s="1"/>
  <c r="G10" i="97"/>
  <c r="G11" i="97"/>
  <c r="H11" i="97" s="1"/>
  <c r="G12" i="97"/>
  <c r="G15" i="97"/>
  <c r="G16" i="97"/>
  <c r="H16" i="97" s="1"/>
  <c r="G17" i="97"/>
  <c r="H17" i="97" s="1"/>
  <c r="G6" i="75"/>
  <c r="H6" i="75" s="1"/>
  <c r="G6" i="76"/>
  <c r="H6" i="76" s="1"/>
  <c r="G6" i="77"/>
  <c r="H6" i="77" s="1"/>
  <c r="G6" i="78"/>
  <c r="H6" i="78" s="1"/>
  <c r="G6" i="81"/>
  <c r="H6" i="81" s="1"/>
  <c r="G6" i="82"/>
  <c r="G6" i="83"/>
  <c r="H6" i="83" s="1"/>
  <c r="G6" i="85"/>
  <c r="H6" i="85" s="1"/>
  <c r="G6" i="84"/>
  <c r="H6" i="84" s="1"/>
  <c r="G6" i="88"/>
  <c r="H6" i="88" s="1"/>
  <c r="G6" i="90"/>
  <c r="H6" i="90" s="1"/>
  <c r="G6" i="91"/>
  <c r="H6" i="91" s="1"/>
  <c r="G6" i="94"/>
  <c r="H6" i="94" s="1"/>
  <c r="G6" i="95"/>
  <c r="H6" i="95" s="1"/>
  <c r="G6" i="97"/>
  <c r="H6" i="97" s="1"/>
  <c r="E8" i="96"/>
  <c r="E11" i="96"/>
  <c r="E6" i="74"/>
  <c r="E7" i="74"/>
  <c r="E7" i="75"/>
  <c r="E8" i="75"/>
  <c r="E9" i="75"/>
  <c r="E10" i="75"/>
  <c r="E11" i="75"/>
  <c r="E7" i="77"/>
  <c r="E7" i="78"/>
  <c r="E8" i="78"/>
  <c r="E10" i="78"/>
  <c r="E11" i="78"/>
  <c r="E12" i="78"/>
  <c r="E13" i="78"/>
  <c r="E14" i="78"/>
  <c r="E15" i="78"/>
  <c r="E16" i="78"/>
  <c r="E7" i="85"/>
  <c r="E8" i="85"/>
  <c r="E20" i="85"/>
  <c r="E21" i="85"/>
  <c r="E7" i="84"/>
  <c r="E8" i="84"/>
  <c r="E9" i="84"/>
  <c r="E10" i="84"/>
  <c r="E7" i="87"/>
  <c r="E8" i="87"/>
  <c r="E7" i="88"/>
  <c r="E8" i="88"/>
  <c r="E9" i="88"/>
  <c r="E7" i="90"/>
  <c r="E8" i="90"/>
  <c r="E9" i="90"/>
  <c r="E10" i="90"/>
  <c r="E11" i="90"/>
  <c r="E12" i="90"/>
  <c r="E13" i="90"/>
  <c r="E14" i="90"/>
  <c r="E15" i="90"/>
  <c r="E17" i="90"/>
  <c r="E7" i="91"/>
  <c r="E8" i="91"/>
  <c r="E7" i="92"/>
  <c r="E8" i="92"/>
  <c r="E9" i="92"/>
  <c r="E7" i="94"/>
  <c r="E8" i="94"/>
  <c r="E9" i="94"/>
  <c r="E10" i="94"/>
  <c r="E40" i="94"/>
  <c r="E41" i="94"/>
  <c r="E7" i="95"/>
  <c r="E8" i="95"/>
  <c r="E9" i="95"/>
  <c r="E10" i="95"/>
  <c r="E11" i="95"/>
  <c r="E7" i="97"/>
  <c r="E8" i="97"/>
  <c r="E9" i="97"/>
  <c r="E10" i="97"/>
  <c r="E11" i="97"/>
  <c r="E12" i="97"/>
  <c r="E15" i="97"/>
  <c r="E16" i="97"/>
  <c r="E17" i="97"/>
  <c r="E6" i="75"/>
  <c r="E6" i="77"/>
  <c r="E6" i="78"/>
  <c r="E6" i="81"/>
  <c r="E6" i="82"/>
  <c r="E36" i="82" s="1"/>
  <c r="E6" i="83"/>
  <c r="E6" i="85"/>
  <c r="E6" i="84"/>
  <c r="E6" i="87"/>
  <c r="E6" i="90"/>
  <c r="E6" i="91"/>
  <c r="E6" i="92"/>
  <c r="E6" i="94"/>
  <c r="E6" i="95"/>
  <c r="E6" i="97"/>
  <c r="C7" i="96"/>
  <c r="C8" i="96"/>
  <c r="C11" i="96"/>
  <c r="C7" i="75"/>
  <c r="C8" i="75"/>
  <c r="C9" i="75"/>
  <c r="C10" i="75"/>
  <c r="C11" i="75"/>
  <c r="C7" i="77"/>
  <c r="C7" i="78"/>
  <c r="C8" i="78"/>
  <c r="C11" i="78"/>
  <c r="C12" i="78"/>
  <c r="C13" i="78"/>
  <c r="C14" i="78"/>
  <c r="C15" i="78"/>
  <c r="C16" i="78"/>
  <c r="C7" i="81"/>
  <c r="C8" i="81"/>
  <c r="C9" i="81"/>
  <c r="C10" i="81"/>
  <c r="C11" i="81"/>
  <c r="C12" i="81"/>
  <c r="C7" i="85"/>
  <c r="C8" i="85"/>
  <c r="C20" i="85"/>
  <c r="C21" i="85"/>
  <c r="C7" i="84"/>
  <c r="C8" i="84"/>
  <c r="C9" i="84"/>
  <c r="C10" i="84"/>
  <c r="C7" i="87"/>
  <c r="C8" i="87"/>
  <c r="C7" i="88"/>
  <c r="C8" i="88"/>
  <c r="C9" i="88"/>
  <c r="C7" i="89"/>
  <c r="C8" i="89"/>
  <c r="C9" i="89"/>
  <c r="C10" i="89"/>
  <c r="C11" i="89"/>
  <c r="C12" i="89"/>
  <c r="C13" i="89"/>
  <c r="C14" i="89"/>
  <c r="C15" i="89"/>
  <c r="C7" i="90"/>
  <c r="C8" i="90"/>
  <c r="C9" i="90"/>
  <c r="C10" i="90"/>
  <c r="C11" i="90"/>
  <c r="C12" i="90"/>
  <c r="C13" i="90"/>
  <c r="C14" i="90"/>
  <c r="C15" i="90"/>
  <c r="C17" i="90"/>
  <c r="C7" i="91"/>
  <c r="C8" i="91"/>
  <c r="C7" i="92"/>
  <c r="C8" i="92"/>
  <c r="C9" i="92"/>
  <c r="C7" i="93"/>
  <c r="C7" i="94"/>
  <c r="C8" i="94"/>
  <c r="C9" i="94"/>
  <c r="C10" i="94"/>
  <c r="C40" i="94"/>
  <c r="C41" i="94"/>
  <c r="C6" i="75"/>
  <c r="C6" i="77"/>
  <c r="C6" i="78"/>
  <c r="C6" i="85"/>
  <c r="C6" i="89"/>
  <c r="C6" i="90"/>
  <c r="C6" i="91"/>
  <c r="C6" i="92"/>
  <c r="C6" i="94"/>
  <c r="G8" i="87"/>
  <c r="G7" i="87"/>
  <c r="G9" i="87"/>
  <c r="H9" i="87" s="1"/>
  <c r="G8" i="110"/>
  <c r="H8" i="110" s="1"/>
  <c r="B12" i="35"/>
  <c r="B9" i="35"/>
  <c r="B10" i="35"/>
  <c r="B48" i="35"/>
  <c r="B14" i="35"/>
  <c r="B13" i="35"/>
  <c r="B15" i="35"/>
  <c r="B11" i="35"/>
  <c r="D17" i="35"/>
  <c r="B7" i="35"/>
  <c r="H11" i="114" l="1"/>
  <c r="H12" i="114" s="1"/>
  <c r="G12" i="114"/>
  <c r="H21" i="85"/>
  <c r="I21" i="85" s="1"/>
  <c r="H10" i="81"/>
  <c r="I10" i="81" s="1"/>
  <c r="H8" i="87"/>
  <c r="I8" i="87" s="1"/>
  <c r="G36" i="82"/>
  <c r="H6" i="82"/>
  <c r="H15" i="97"/>
  <c r="I15" i="97" s="1"/>
  <c r="H10" i="95"/>
  <c r="I10" i="95" s="1"/>
  <c r="H8" i="84"/>
  <c r="I8" i="84" s="1"/>
  <c r="H8" i="85"/>
  <c r="I8" i="85" s="1"/>
  <c r="H10" i="78"/>
  <c r="I10" i="78" s="1"/>
  <c r="H13" i="81"/>
  <c r="I13" i="81" s="1"/>
  <c r="H9" i="81"/>
  <c r="I9" i="81" s="1"/>
  <c r="H7" i="81"/>
  <c r="I7" i="81" s="1"/>
  <c r="H19" i="95"/>
  <c r="I19" i="95" s="1"/>
  <c r="H13" i="95"/>
  <c r="I13" i="95" s="1"/>
  <c r="H37" i="84"/>
  <c r="I37" i="84" s="1"/>
  <c r="H10" i="108"/>
  <c r="I10" i="108" s="1"/>
  <c r="H11" i="89"/>
  <c r="I11" i="89" s="1"/>
  <c r="H52" i="95"/>
  <c r="I52" i="95" s="1"/>
  <c r="H7" i="109"/>
  <c r="I7" i="109" s="1"/>
  <c r="H7" i="110"/>
  <c r="I7" i="110" s="1"/>
  <c r="H15" i="111"/>
  <c r="I15" i="111" s="1"/>
  <c r="H13" i="111"/>
  <c r="I13" i="111" s="1"/>
  <c r="H20" i="113"/>
  <c r="I20" i="113" s="1"/>
  <c r="H39" i="94"/>
  <c r="I39" i="94" s="1"/>
  <c r="H47" i="95"/>
  <c r="I47" i="95" s="1"/>
  <c r="H12" i="115"/>
  <c r="I12" i="115" s="1"/>
  <c r="H12" i="97"/>
  <c r="I12" i="97" s="1"/>
  <c r="H8" i="97"/>
  <c r="I8" i="97" s="1"/>
  <c r="H41" i="94"/>
  <c r="I41" i="94" s="1"/>
  <c r="H12" i="90"/>
  <c r="I12" i="90" s="1"/>
  <c r="H8" i="90"/>
  <c r="I8" i="90" s="1"/>
  <c r="H11" i="107"/>
  <c r="I11" i="107" s="1"/>
  <c r="H14" i="97"/>
  <c r="I14" i="97" s="1"/>
  <c r="H9" i="108"/>
  <c r="I9" i="108" s="1"/>
  <c r="H14" i="89"/>
  <c r="I14" i="89" s="1"/>
  <c r="H10" i="89"/>
  <c r="I10" i="89" s="1"/>
  <c r="H11" i="92"/>
  <c r="I11" i="92" s="1"/>
  <c r="H7" i="92"/>
  <c r="I7" i="92" s="1"/>
  <c r="H9" i="110"/>
  <c r="I9" i="110" s="1"/>
  <c r="H16" i="111"/>
  <c r="I16" i="111" s="1"/>
  <c r="H21" i="111"/>
  <c r="I21" i="111" s="1"/>
  <c r="H10" i="111"/>
  <c r="I10" i="111" s="1"/>
  <c r="H8" i="111"/>
  <c r="I8" i="111" s="1"/>
  <c r="H10" i="115"/>
  <c r="I10" i="115" s="1"/>
  <c r="H15" i="90"/>
  <c r="I15" i="90" s="1"/>
  <c r="H20" i="95"/>
  <c r="I20" i="95" s="1"/>
  <c r="H18" i="78"/>
  <c r="I18" i="78" s="1"/>
  <c r="H7" i="83"/>
  <c r="I7" i="83" s="1"/>
  <c r="H9" i="74"/>
  <c r="I9" i="74" s="1"/>
  <c r="H13" i="88"/>
  <c r="I13" i="88" s="1"/>
  <c r="H16" i="89"/>
  <c r="I16" i="89" s="1"/>
  <c r="H45" i="95"/>
  <c r="I45" i="95" s="1"/>
  <c r="H8" i="93"/>
  <c r="I8" i="93" s="1"/>
  <c r="H13" i="110"/>
  <c r="I13" i="110" s="1"/>
  <c r="H11" i="111"/>
  <c r="I11" i="111" s="1"/>
  <c r="H11" i="96"/>
  <c r="I11" i="96" s="1"/>
  <c r="H16" i="94"/>
  <c r="I16" i="94" s="1"/>
  <c r="H48" i="95"/>
  <c r="I48" i="95" s="1"/>
  <c r="H7" i="116"/>
  <c r="I7" i="116" s="1"/>
  <c r="H14" i="87"/>
  <c r="I14" i="87" s="1"/>
  <c r="H7" i="97"/>
  <c r="I7" i="97" s="1"/>
  <c r="H7" i="94"/>
  <c r="I7" i="94" s="1"/>
  <c r="H18" i="95"/>
  <c r="I18" i="95" s="1"/>
  <c r="H14" i="95"/>
  <c r="I14" i="95" s="1"/>
  <c r="H12" i="84"/>
  <c r="I12" i="84" s="1"/>
  <c r="H7" i="87"/>
  <c r="I7" i="87" s="1"/>
  <c r="H10" i="97"/>
  <c r="I10" i="97" s="1"/>
  <c r="H11" i="95"/>
  <c r="I11" i="95" s="1"/>
  <c r="H7" i="95"/>
  <c r="I7" i="95" s="1"/>
  <c r="H8" i="91"/>
  <c r="I8" i="91" s="1"/>
  <c r="H14" i="90"/>
  <c r="I14" i="90" s="1"/>
  <c r="H10" i="90"/>
  <c r="I10" i="90" s="1"/>
  <c r="H8" i="107"/>
  <c r="I8" i="107" s="1"/>
  <c r="H10" i="107"/>
  <c r="I10" i="107" s="1"/>
  <c r="H12" i="107"/>
  <c r="I12" i="107" s="1"/>
  <c r="H9" i="78"/>
  <c r="I9" i="78" s="1"/>
  <c r="H36" i="84"/>
  <c r="I36" i="84" s="1"/>
  <c r="H11" i="108"/>
  <c r="I11" i="108" s="1"/>
  <c r="H31" i="108"/>
  <c r="I31" i="108" s="1"/>
  <c r="H12" i="89"/>
  <c r="I12" i="89" s="1"/>
  <c r="H8" i="89"/>
  <c r="I8" i="89" s="1"/>
  <c r="H9" i="92"/>
  <c r="I9" i="92" s="1"/>
  <c r="H7" i="93"/>
  <c r="I7" i="93" s="1"/>
  <c r="I10" i="109"/>
  <c r="H7" i="111"/>
  <c r="I7" i="111" s="1"/>
  <c r="H12" i="111"/>
  <c r="I12" i="111" s="1"/>
  <c r="H9" i="113"/>
  <c r="I9" i="113" s="1"/>
  <c r="H9" i="115"/>
  <c r="I9" i="115" s="1"/>
  <c r="G42" i="94"/>
  <c r="G9" i="91"/>
  <c r="G31" i="106"/>
  <c r="E23" i="89"/>
  <c r="G23" i="89"/>
  <c r="I7" i="106"/>
  <c r="I10" i="106"/>
  <c r="G23" i="83"/>
  <c r="G13" i="77"/>
  <c r="E23" i="83"/>
  <c r="G22" i="88"/>
  <c r="G12" i="74"/>
  <c r="E9" i="91"/>
  <c r="E42" i="81"/>
  <c r="E22" i="88"/>
  <c r="E15" i="87"/>
  <c r="E13" i="77"/>
  <c r="E15" i="92"/>
  <c r="G43" i="84"/>
  <c r="G17" i="76"/>
  <c r="G22" i="85"/>
  <c r="G45" i="78"/>
  <c r="G33" i="108"/>
  <c r="E17" i="76"/>
  <c r="G15" i="112"/>
  <c r="E39" i="107"/>
  <c r="E24" i="111"/>
  <c r="E42" i="94"/>
  <c r="E45" i="78"/>
  <c r="G55" i="95"/>
  <c r="E31" i="106"/>
  <c r="E33" i="108"/>
  <c r="I6" i="115"/>
  <c r="G35" i="115"/>
  <c r="G15" i="87"/>
  <c r="I6" i="81"/>
  <c r="G42" i="81"/>
  <c r="E13" i="109"/>
  <c r="G12" i="96"/>
  <c r="E29" i="116"/>
  <c r="E43" i="97"/>
  <c r="E43" i="84"/>
  <c r="E33" i="75"/>
  <c r="E12" i="96"/>
  <c r="I6" i="75"/>
  <c r="G33" i="75"/>
  <c r="G39" i="107"/>
  <c r="G13" i="109"/>
  <c r="E15" i="110"/>
  <c r="G24" i="111"/>
  <c r="E21" i="113"/>
  <c r="G29" i="116"/>
  <c r="E55" i="95"/>
  <c r="E19" i="90"/>
  <c r="E22" i="85"/>
  <c r="E12" i="74"/>
  <c r="I6" i="97"/>
  <c r="G43" i="97"/>
  <c r="G19" i="90"/>
  <c r="G15" i="110"/>
  <c r="E15" i="112"/>
  <c r="I6" i="113"/>
  <c r="G21" i="113"/>
  <c r="E35" i="115"/>
  <c r="G14" i="92"/>
  <c r="I11" i="112"/>
  <c r="I8" i="74"/>
  <c r="I9" i="112"/>
  <c r="I7" i="113"/>
  <c r="I7" i="112"/>
  <c r="F9" i="112"/>
  <c r="I13" i="112"/>
  <c r="I9" i="109"/>
  <c r="F31" i="108"/>
  <c r="I12" i="109"/>
  <c r="I12" i="112"/>
  <c r="F11" i="111"/>
  <c r="I17" i="95"/>
  <c r="I11" i="106"/>
  <c r="F13" i="111"/>
  <c r="F13" i="89"/>
  <c r="I16" i="95"/>
  <c r="I9" i="106"/>
  <c r="I11" i="88"/>
  <c r="I8" i="109"/>
  <c r="F45" i="95"/>
  <c r="F6" i="95"/>
  <c r="I7" i="74"/>
  <c r="F11" i="106"/>
  <c r="F6" i="94"/>
  <c r="F14" i="111"/>
  <c r="F10" i="94"/>
  <c r="F7" i="111"/>
  <c r="F21" i="111"/>
  <c r="F9" i="111"/>
  <c r="F20" i="113"/>
  <c r="F20" i="85"/>
  <c r="F10" i="81"/>
  <c r="F7" i="81"/>
  <c r="F19" i="95"/>
  <c r="F16" i="95"/>
  <c r="F13" i="95"/>
  <c r="F12" i="84"/>
  <c r="F37" i="84"/>
  <c r="F13" i="88"/>
  <c r="F11" i="88"/>
  <c r="F16" i="89"/>
  <c r="F12" i="111"/>
  <c r="F7" i="95"/>
  <c r="F7" i="94"/>
  <c r="F9" i="106"/>
  <c r="F6" i="111"/>
  <c r="F10" i="111"/>
  <c r="F15" i="111"/>
  <c r="F13" i="113"/>
  <c r="F14" i="112"/>
  <c r="F8" i="113"/>
  <c r="F9" i="84"/>
  <c r="F7" i="85"/>
  <c r="F7" i="77"/>
  <c r="I15" i="95"/>
  <c r="F11" i="75"/>
  <c r="F7" i="74"/>
  <c r="I14" i="112"/>
  <c r="I8" i="112"/>
  <c r="F6" i="112"/>
  <c r="H15" i="112"/>
  <c r="F10" i="113"/>
  <c r="F9" i="81"/>
  <c r="F18" i="95"/>
  <c r="F12" i="95"/>
  <c r="F11" i="84"/>
  <c r="F8" i="107"/>
  <c r="F10" i="107"/>
  <c r="F12" i="107"/>
  <c r="F14" i="97"/>
  <c r="F16" i="111"/>
  <c r="F7" i="106"/>
  <c r="F10" i="112"/>
  <c r="F12" i="112"/>
  <c r="I11" i="84"/>
  <c r="F12" i="81"/>
  <c r="F11" i="89"/>
  <c r="I10" i="112"/>
  <c r="I12" i="81"/>
  <c r="F8" i="112"/>
  <c r="I10" i="113"/>
  <c r="F18" i="78"/>
  <c r="F6" i="89"/>
  <c r="F10" i="75"/>
  <c r="F7" i="107"/>
  <c r="I8" i="106"/>
  <c r="F7" i="91"/>
  <c r="F12" i="89"/>
  <c r="F6" i="81"/>
  <c r="F12" i="77"/>
  <c r="F8" i="106"/>
  <c r="I9" i="107"/>
  <c r="I7" i="107"/>
  <c r="F8" i="74"/>
  <c r="F12" i="78"/>
  <c r="E9" i="93"/>
  <c r="F12" i="88"/>
  <c r="F21" i="85"/>
  <c r="F10" i="78"/>
  <c r="F16" i="78"/>
  <c r="F7" i="83"/>
  <c r="F13" i="97"/>
  <c r="F12" i="115"/>
  <c r="F10" i="88"/>
  <c r="F7" i="116"/>
  <c r="F8" i="88"/>
  <c r="F7" i="75"/>
  <c r="F14" i="81"/>
  <c r="F10" i="89"/>
  <c r="F9" i="90"/>
  <c r="I14" i="81"/>
  <c r="F6" i="107"/>
  <c r="F17" i="78"/>
  <c r="F9" i="89"/>
  <c r="F52" i="95"/>
  <c r="F7" i="112"/>
  <c r="F11" i="112"/>
  <c r="F13" i="112"/>
  <c r="F6" i="113"/>
  <c r="F7" i="113"/>
  <c r="F9" i="113"/>
  <c r="I8" i="83"/>
  <c r="F8" i="75"/>
  <c r="F8" i="81"/>
  <c r="F36" i="84"/>
  <c r="I10" i="92"/>
  <c r="F9" i="78"/>
  <c r="F11" i="77"/>
  <c r="I12" i="77"/>
  <c r="I11" i="77"/>
  <c r="F6" i="106"/>
  <c r="F14" i="78"/>
  <c r="I7" i="78"/>
  <c r="F15" i="89"/>
  <c r="F12" i="97"/>
  <c r="F11" i="95"/>
  <c r="F15" i="90"/>
  <c r="F6" i="97"/>
  <c r="F9" i="95"/>
  <c r="F9" i="94"/>
  <c r="F13" i="90"/>
  <c r="F7" i="90"/>
  <c r="F9" i="74"/>
  <c r="F8" i="95"/>
  <c r="F8" i="111"/>
  <c r="F8" i="94"/>
  <c r="I7" i="84"/>
  <c r="F13" i="81"/>
  <c r="F10" i="106"/>
  <c r="F9" i="115"/>
  <c r="F11" i="115"/>
  <c r="F7" i="78"/>
  <c r="F10" i="97"/>
  <c r="F10" i="84"/>
  <c r="I10" i="84"/>
  <c r="F6" i="116"/>
  <c r="F7" i="89"/>
  <c r="F32" i="115"/>
  <c r="G9" i="93"/>
  <c r="I6" i="93"/>
  <c r="I12" i="87"/>
  <c r="F6" i="90"/>
  <c r="F11" i="97"/>
  <c r="F10" i="95"/>
  <c r="F14" i="90"/>
  <c r="F7" i="84"/>
  <c r="F11" i="78"/>
  <c r="I9" i="95"/>
  <c r="I7" i="88"/>
  <c r="F8" i="84"/>
  <c r="F20" i="95"/>
  <c r="F17" i="95"/>
  <c r="F14" i="95"/>
  <c r="F47" i="95"/>
  <c r="F14" i="89"/>
  <c r="F8" i="89"/>
  <c r="F18" i="90"/>
  <c r="I7" i="91"/>
  <c r="F12" i="90"/>
  <c r="I18" i="90"/>
  <c r="I12" i="78"/>
  <c r="F16" i="97"/>
  <c r="F8" i="97"/>
  <c r="F11" i="90"/>
  <c r="F9" i="88"/>
  <c r="I9" i="88"/>
  <c r="F9" i="107"/>
  <c r="F11" i="107"/>
  <c r="I15" i="81"/>
  <c r="I9" i="89"/>
  <c r="F17" i="97"/>
  <c r="F15" i="78"/>
  <c r="F8" i="78"/>
  <c r="I11" i="78"/>
  <c r="I13" i="89"/>
  <c r="F8" i="85"/>
  <c r="F6" i="76"/>
  <c r="I10" i="87"/>
  <c r="F6" i="88"/>
  <c r="F6" i="84"/>
  <c r="F8" i="91"/>
  <c r="I11" i="81"/>
  <c r="F11" i="81"/>
  <c r="I12" i="88"/>
  <c r="I10" i="94"/>
  <c r="F6" i="78"/>
  <c r="I20" i="85"/>
  <c r="F9" i="75"/>
  <c r="I53" i="95"/>
  <c r="I11" i="115"/>
  <c r="F15" i="97"/>
  <c r="F41" i="94"/>
  <c r="F17" i="90"/>
  <c r="F10" i="90"/>
  <c r="F6" i="82"/>
  <c r="F36" i="82" s="1"/>
  <c r="I9" i="90"/>
  <c r="F15" i="81"/>
  <c r="I15" i="89"/>
  <c r="I7" i="89"/>
  <c r="I13" i="115"/>
  <c r="F7" i="88"/>
  <c r="I8" i="88"/>
  <c r="I9" i="84"/>
  <c r="I8" i="113"/>
  <c r="F12" i="94"/>
  <c r="F14" i="94"/>
  <c r="F13" i="115"/>
  <c r="F8" i="115"/>
  <c r="F9" i="83"/>
  <c r="F7" i="97"/>
  <c r="I11" i="90"/>
  <c r="I8" i="81"/>
  <c r="I11" i="87"/>
  <c r="I8" i="94"/>
  <c r="I8" i="78"/>
  <c r="F6" i="77"/>
  <c r="I13" i="90"/>
  <c r="I7" i="85"/>
  <c r="F8" i="90"/>
  <c r="I40" i="94"/>
  <c r="F40" i="94"/>
  <c r="I11" i="97"/>
  <c r="F11" i="94"/>
  <c r="F48" i="95"/>
  <c r="F46" i="95"/>
  <c r="I9" i="94"/>
  <c r="I7" i="90"/>
  <c r="F39" i="94"/>
  <c r="F6" i="115"/>
  <c r="I12" i="95"/>
  <c r="F15" i="95"/>
  <c r="F6" i="74"/>
  <c r="F6" i="85"/>
  <c r="I16" i="97"/>
  <c r="F11" i="114"/>
  <c r="F12" i="114" s="1"/>
  <c r="I8" i="115"/>
  <c r="F10" i="115"/>
  <c r="I32" i="115"/>
  <c r="I9" i="97"/>
  <c r="F6" i="75"/>
  <c r="F9" i="97"/>
  <c r="I17" i="90"/>
  <c r="F11" i="83"/>
  <c r="F7" i="115"/>
  <c r="I8" i="95"/>
  <c r="I9" i="75"/>
  <c r="I9" i="111"/>
  <c r="I8" i="110"/>
  <c r="I9" i="87"/>
  <c r="I14" i="78"/>
  <c r="F53" i="95"/>
  <c r="F8" i="83"/>
  <c r="I12" i="94"/>
  <c r="I13" i="87"/>
  <c r="I10" i="88"/>
  <c r="F6" i="91"/>
  <c r="F13" i="78"/>
  <c r="I13" i="78"/>
  <c r="I8" i="75"/>
  <c r="F10" i="83"/>
  <c r="I11" i="75"/>
  <c r="I17" i="78"/>
  <c r="F6" i="83"/>
  <c r="I17" i="97"/>
  <c r="I16" i="78"/>
  <c r="I11" i="94"/>
  <c r="F13" i="94"/>
  <c r="I13" i="94"/>
  <c r="I15" i="94"/>
  <c r="F15" i="94"/>
  <c r="F17" i="94"/>
  <c r="I17" i="94"/>
  <c r="I15" i="78"/>
  <c r="I7" i="77"/>
  <c r="I10" i="75"/>
  <c r="I46" i="95"/>
  <c r="I8" i="92"/>
  <c r="I14" i="110"/>
  <c r="I14" i="111"/>
  <c r="I11" i="83"/>
  <c r="F16" i="94"/>
  <c r="I7" i="115"/>
  <c r="F30" i="108"/>
  <c r="I14" i="94"/>
  <c r="I13" i="97"/>
  <c r="I18" i="108"/>
  <c r="F7" i="108"/>
  <c r="I9" i="83"/>
  <c r="F8" i="108"/>
  <c r="F18" i="108"/>
  <c r="F9" i="108"/>
  <c r="I30" i="108"/>
  <c r="F27" i="108"/>
  <c r="F11" i="108"/>
  <c r="I8" i="108"/>
  <c r="F10" i="108"/>
  <c r="I7" i="108"/>
  <c r="F6" i="108"/>
  <c r="I27" i="108"/>
  <c r="D11" i="35"/>
  <c r="D30" i="35"/>
  <c r="D20" i="35"/>
  <c r="F23" i="35"/>
  <c r="F26" i="35"/>
  <c r="F22" i="35"/>
  <c r="F24" i="35"/>
  <c r="F32" i="35"/>
  <c r="F9" i="35"/>
  <c r="D39" i="35"/>
  <c r="D38" i="35"/>
  <c r="F31" i="35"/>
  <c r="E10" i="35"/>
  <c r="D37" i="35"/>
  <c r="F20" i="35"/>
  <c r="F11" i="35"/>
  <c r="F12" i="35"/>
  <c r="F13" i="35"/>
  <c r="D36" i="35"/>
  <c r="D18" i="35"/>
  <c r="F7" i="35"/>
  <c r="F38" i="35"/>
  <c r="F37" i="35"/>
  <c r="D26" i="35"/>
  <c r="D40" i="35"/>
  <c r="F39" i="35"/>
  <c r="F40" i="35"/>
  <c r="F30" i="35"/>
  <c r="D15" i="35"/>
  <c r="F25" i="35"/>
  <c r="F14" i="35"/>
  <c r="D22" i="35"/>
  <c r="F16" i="35"/>
  <c r="F10" i="35"/>
  <c r="F28" i="35"/>
  <c r="F33" i="35"/>
  <c r="F21" i="35"/>
  <c r="D19" i="35"/>
  <c r="F17" i="35"/>
  <c r="F15" i="35"/>
  <c r="F36" i="35"/>
  <c r="D23" i="35"/>
  <c r="D24" i="35"/>
  <c r="D32" i="35"/>
  <c r="F19" i="35"/>
  <c r="D12" i="35"/>
  <c r="D29" i="35"/>
  <c r="D13" i="35"/>
  <c r="F29" i="35"/>
  <c r="D7" i="35"/>
  <c r="G25" i="35"/>
  <c r="F18" i="35"/>
  <c r="D16" i="35"/>
  <c r="D25" i="35"/>
  <c r="E17" i="35"/>
  <c r="D14" i="35"/>
  <c r="D31" i="35"/>
  <c r="F34" i="35"/>
  <c r="D9" i="35"/>
  <c r="H29" i="116" l="1"/>
  <c r="H9" i="93"/>
  <c r="I9" i="93"/>
  <c r="H14" i="92"/>
  <c r="I14" i="92" s="1"/>
  <c r="D28" i="35"/>
  <c r="D34" i="35"/>
  <c r="D21" i="35"/>
  <c r="D33" i="35"/>
  <c r="D10" i="35"/>
  <c r="H31" i="106"/>
  <c r="H13" i="109"/>
  <c r="H17" i="76"/>
  <c r="I42" i="81"/>
  <c r="F33" i="108"/>
  <c r="H33" i="108"/>
  <c r="F33" i="75"/>
  <c r="F22" i="88"/>
  <c r="F23" i="89"/>
  <c r="I43" i="97"/>
  <c r="I35" i="115"/>
  <c r="F22" i="85"/>
  <c r="F35" i="115"/>
  <c r="F29" i="116"/>
  <c r="F55" i="95"/>
  <c r="I6" i="87"/>
  <c r="I15" i="87" s="1"/>
  <c r="H15" i="87"/>
  <c r="I6" i="82"/>
  <c r="I36" i="82" s="1"/>
  <c r="H36" i="82"/>
  <c r="I6" i="74"/>
  <c r="I12" i="74" s="1"/>
  <c r="H12" i="74"/>
  <c r="I6" i="91"/>
  <c r="I9" i="91" s="1"/>
  <c r="H9" i="91"/>
  <c r="H43" i="97"/>
  <c r="I6" i="110"/>
  <c r="I15" i="110" s="1"/>
  <c r="H15" i="110"/>
  <c r="F23" i="83"/>
  <c r="F9" i="91"/>
  <c r="F12" i="74"/>
  <c r="F13" i="77"/>
  <c r="F45" i="78"/>
  <c r="F43" i="84"/>
  <c r="F17" i="76"/>
  <c r="F43" i="97"/>
  <c r="F31" i="106"/>
  <c r="F39" i="107"/>
  <c r="F42" i="81"/>
  <c r="F15" i="112"/>
  <c r="F42" i="94"/>
  <c r="I6" i="78"/>
  <c r="I45" i="78" s="1"/>
  <c r="H45" i="78"/>
  <c r="H23" i="89"/>
  <c r="I6" i="77"/>
  <c r="I13" i="77" s="1"/>
  <c r="H13" i="77"/>
  <c r="G15" i="92"/>
  <c r="H35" i="115"/>
  <c r="I6" i="84"/>
  <c r="I43" i="84" s="1"/>
  <c r="H43" i="84"/>
  <c r="F19" i="90"/>
  <c r="F21" i="113"/>
  <c r="F24" i="111"/>
  <c r="H42" i="94"/>
  <c r="H23" i="83"/>
  <c r="H24" i="111"/>
  <c r="I6" i="107"/>
  <c r="I39" i="107" s="1"/>
  <c r="H39" i="107"/>
  <c r="I6" i="88"/>
  <c r="I22" i="88" s="1"/>
  <c r="H22" i="88"/>
  <c r="I6" i="90"/>
  <c r="I19" i="90" s="1"/>
  <c r="H19" i="90"/>
  <c r="H21" i="113"/>
  <c r="I7" i="96"/>
  <c r="H12" i="96"/>
  <c r="H42" i="81"/>
  <c r="I6" i="85"/>
  <c r="I22" i="85" s="1"/>
  <c r="H22" i="85"/>
  <c r="I6" i="116"/>
  <c r="I29" i="116" s="1"/>
  <c r="I6" i="95"/>
  <c r="I55" i="95" s="1"/>
  <c r="H55" i="95"/>
  <c r="H33" i="75"/>
  <c r="I6" i="106"/>
  <c r="I31" i="106" s="1"/>
  <c r="I6" i="92"/>
  <c r="I6" i="83"/>
  <c r="I6" i="111"/>
  <c r="I24" i="111" s="1"/>
  <c r="I6" i="89"/>
  <c r="I23" i="89" s="1"/>
  <c r="I6" i="109"/>
  <c r="I13" i="109" s="1"/>
  <c r="I6" i="108"/>
  <c r="I33" i="108" s="1"/>
  <c r="I6" i="76"/>
  <c r="I6" i="94"/>
  <c r="I42" i="94" s="1"/>
  <c r="I6" i="112"/>
  <c r="I15" i="112" s="1"/>
  <c r="I7" i="75"/>
  <c r="I33" i="75" s="1"/>
  <c r="I12" i="92"/>
  <c r="I8" i="96"/>
  <c r="I10" i="83"/>
  <c r="I11" i="114"/>
  <c r="I12" i="114" s="1"/>
  <c r="I13" i="113"/>
  <c r="I21" i="113" s="1"/>
  <c r="G21" i="35"/>
  <c r="G14" i="35"/>
  <c r="G30" i="35"/>
  <c r="H19" i="35"/>
  <c r="G15" i="35"/>
  <c r="H25" i="35"/>
  <c r="H7" i="35"/>
  <c r="G7" i="35"/>
  <c r="E12" i="35"/>
  <c r="H34" i="35"/>
  <c r="H20" i="35"/>
  <c r="G36" i="35"/>
  <c r="H15" i="35"/>
  <c r="H26" i="35"/>
  <c r="H31" i="35"/>
  <c r="G31" i="35"/>
  <c r="H14" i="35"/>
  <c r="H21" i="35"/>
  <c r="H18" i="35"/>
  <c r="G12" i="35"/>
  <c r="G40" i="35"/>
  <c r="G17" i="35"/>
  <c r="H24" i="35"/>
  <c r="E26" i="35"/>
  <c r="E11" i="35"/>
  <c r="E15" i="35"/>
  <c r="E20" i="35"/>
  <c r="E9" i="35"/>
  <c r="E40" i="35"/>
  <c r="E13" i="35"/>
  <c r="G20" i="35"/>
  <c r="G22" i="35"/>
  <c r="G26" i="35"/>
  <c r="E25" i="35"/>
  <c r="H40" i="35"/>
  <c r="H33" i="35"/>
  <c r="E22" i="35"/>
  <c r="E39" i="35"/>
  <c r="H12" i="35"/>
  <c r="G16" i="35"/>
  <c r="G10" i="35"/>
  <c r="E16" i="35"/>
  <c r="G39" i="35"/>
  <c r="G37" i="35"/>
  <c r="G32" i="35"/>
  <c r="G11" i="35"/>
  <c r="G33" i="35"/>
  <c r="H23" i="35"/>
  <c r="H29" i="35"/>
  <c r="H16" i="35"/>
  <c r="G13" i="35"/>
  <c r="H28" i="35"/>
  <c r="H36" i="35"/>
  <c r="G9" i="35"/>
  <c r="H32" i="35"/>
  <c r="H37" i="35"/>
  <c r="H17" i="35"/>
  <c r="G28" i="35"/>
  <c r="E36" i="35"/>
  <c r="E29" i="35"/>
  <c r="G23" i="35"/>
  <c r="E24" i="35"/>
  <c r="H9" i="35"/>
  <c r="G19" i="35"/>
  <c r="E32" i="35"/>
  <c r="G34" i="35"/>
  <c r="E31" i="35"/>
  <c r="H30" i="35"/>
  <c r="E18" i="35"/>
  <c r="H11" i="35"/>
  <c r="G18" i="35"/>
  <c r="G38" i="35"/>
  <c r="E14" i="35"/>
  <c r="E37" i="35"/>
  <c r="H22" i="35"/>
  <c r="E19" i="35"/>
  <c r="G24" i="35"/>
  <c r="E7" i="35"/>
  <c r="H39" i="35"/>
  <c r="E23" i="35"/>
  <c r="E30" i="35"/>
  <c r="F27" i="35"/>
  <c r="G29" i="35"/>
  <c r="E38" i="35"/>
  <c r="H15" i="92" l="1"/>
  <c r="F48" i="35"/>
  <c r="D27" i="35"/>
  <c r="D48" i="35" s="1"/>
  <c r="E48" i="35"/>
  <c r="I17" i="76"/>
  <c r="I12" i="96"/>
  <c r="I15" i="92"/>
  <c r="I23" i="83"/>
  <c r="H13" i="35"/>
  <c r="G27" i="35"/>
  <c r="H38" i="35"/>
  <c r="H10" i="35"/>
  <c r="H27" i="35"/>
  <c r="G48" i="35" l="1"/>
  <c r="H48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장지애(웹소설사업팀)</author>
  </authors>
  <commentList>
    <comment ref="I6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작성요령
</t>
        </r>
        <r>
          <rPr>
            <sz val="9"/>
            <color indexed="81"/>
            <rFont val="Tahoma"/>
            <family val="2"/>
          </rPr>
          <t xml:space="preserve">1) </t>
        </r>
        <r>
          <rPr>
            <sz val="9"/>
            <color indexed="81"/>
            <rFont val="돋움"/>
            <family val="3"/>
            <charset val="129"/>
          </rPr>
          <t>특정플랫폼</t>
        </r>
        <r>
          <rPr>
            <sz val="9"/>
            <color indexed="81"/>
            <rFont val="Tahoma"/>
            <family val="2"/>
          </rPr>
          <t xml:space="preserve"> (ex.</t>
        </r>
        <r>
          <rPr>
            <sz val="9"/>
            <color indexed="81"/>
            <rFont val="돋움"/>
            <family val="3"/>
            <charset val="129"/>
          </rPr>
          <t>봄툰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
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연재고료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표기
</t>
        </r>
        <r>
          <rPr>
            <sz val="9"/>
            <color indexed="81"/>
            <rFont val="Tahoma"/>
            <family val="2"/>
          </rPr>
          <t xml:space="preserve">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기입
</t>
        </r>
        <r>
          <rPr>
            <sz val="9"/>
            <color indexed="81"/>
            <rFont val="Tahoma"/>
            <family val="2"/>
          </rPr>
          <t xml:space="preserve">2) </t>
        </r>
        <r>
          <rPr>
            <sz val="9"/>
            <color indexed="81"/>
            <rFont val="돋움"/>
            <family val="3"/>
            <charset val="129"/>
          </rPr>
          <t>특정플랫폼에서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
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유료판매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표기
</t>
        </r>
        <r>
          <rPr>
            <sz val="9"/>
            <color indexed="81"/>
            <rFont val="Tahoma"/>
            <family val="2"/>
          </rPr>
          <t xml:space="preserve">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.
3) </t>
        </r>
        <r>
          <rPr>
            <sz val="9"/>
            <color indexed="81"/>
            <rFont val="돋움"/>
            <family val="3"/>
            <charset val="129"/>
          </rPr>
          <t>특정플랫폼</t>
        </r>
        <r>
          <rPr>
            <sz val="9"/>
            <color indexed="81"/>
            <rFont val="Tahoma"/>
            <family val="2"/>
          </rPr>
          <t>(ex.</t>
        </r>
        <r>
          <rPr>
            <sz val="9"/>
            <color indexed="81"/>
            <rFont val="돋움"/>
            <family val="3"/>
            <charset val="129"/>
          </rPr>
          <t>카카오페이지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   -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플랫폼에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=&gt; 
       </t>
        </r>
        <r>
          <rPr>
            <sz val="9"/>
            <color indexed="81"/>
            <rFont val="돋움"/>
            <family val="3"/>
            <charset val="129"/>
          </rPr>
          <t>사이트명을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카카오페이지</t>
        </r>
        <r>
          <rPr>
            <sz val="9"/>
            <color indexed="81"/>
            <rFont val="Tahoma"/>
            <family val="2"/>
          </rPr>
          <t>1'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연재고료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 xml:space="preserve">표기
</t>
        </r>
        <r>
          <rPr>
            <sz val="9"/>
            <color indexed="81"/>
            <rFont val="Tahoma"/>
            <family val="2"/>
          </rPr>
          <t xml:space="preserve">       '</t>
        </r>
        <r>
          <rPr>
            <sz val="9"/>
            <color indexed="81"/>
            <rFont val="돋움"/>
            <family val="3"/>
            <charset val="129"/>
          </rPr>
          <t>카카오페이지</t>
        </r>
        <r>
          <rPr>
            <sz val="9"/>
            <color indexed="81"/>
            <rFont val="Tahoma"/>
            <family val="2"/>
          </rPr>
          <t>2'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유료매출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표기해서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구분작성하면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<sst xmlns="http://schemas.openxmlformats.org/spreadsheetml/2006/main" count="3957" uniqueCount="446">
  <si>
    <t>합계</t>
  </si>
  <si>
    <t>사이트명</t>
    <phoneticPr fontId="19" type="noConversion"/>
  </si>
  <si>
    <t xml:space="preserve">소비자매출액 </t>
    <phoneticPr fontId="19" type="noConversion"/>
  </si>
  <si>
    <t>유통사수수료</t>
    <phoneticPr fontId="19" type="noConversion"/>
  </si>
  <si>
    <t>비고</t>
    <phoneticPr fontId="19" type="noConversion"/>
  </si>
  <si>
    <t>선지급금</t>
    <phoneticPr fontId="19" type="noConversion"/>
  </si>
  <si>
    <t>KT프로젝트수익</t>
    <phoneticPr fontId="19" type="noConversion"/>
  </si>
  <si>
    <t>월별 회수금 (케이티 수익)</t>
    <phoneticPr fontId="19" type="noConversion"/>
  </si>
  <si>
    <t>잔여 선지급금</t>
    <phoneticPr fontId="19" type="noConversion"/>
  </si>
  <si>
    <t>스토리숲 수익</t>
    <phoneticPr fontId="11" type="noConversion"/>
  </si>
  <si>
    <t>2021년 합계</t>
    <phoneticPr fontId="19" type="noConversion"/>
  </si>
  <si>
    <t>카카오페이지</t>
    <phoneticPr fontId="19" type="noConversion"/>
  </si>
  <si>
    <t>사이트명</t>
  </si>
  <si>
    <t>작품명</t>
  </si>
  <si>
    <t xml:space="preserve">소비자매출액 </t>
  </si>
  <si>
    <t>유통사수수료</t>
  </si>
  <si>
    <t>매출월</t>
    <phoneticPr fontId="11" type="noConversion"/>
  </si>
  <si>
    <t>옆집 최애</t>
  </si>
  <si>
    <t>옆집 최애(개정판)</t>
  </si>
  <si>
    <t>한집 두 살림</t>
  </si>
  <si>
    <t>사랑과 우정 사이에서</t>
  </si>
  <si>
    <t>슬기로운 생활</t>
  </si>
  <si>
    <t>어디에서든 널 원해</t>
  </si>
  <si>
    <t>어디에서든 널 원해(개정판)</t>
  </si>
  <si>
    <t>비고</t>
    <phoneticPr fontId="11" type="noConversion"/>
  </si>
  <si>
    <t>카카오페이지</t>
    <phoneticPr fontId="11" type="noConversion"/>
  </si>
  <si>
    <t>레진코믹스</t>
    <phoneticPr fontId="11" type="noConversion"/>
  </si>
  <si>
    <t>쌀툰</t>
  </si>
  <si>
    <t>탑툰</t>
    <phoneticPr fontId="11" type="noConversion"/>
  </si>
  <si>
    <t>수렁</t>
  </si>
  <si>
    <t>아랫집 웬수</t>
  </si>
  <si>
    <t>페티쉬 BL 단편선</t>
  </si>
  <si>
    <t>슬기로운 생활(완결)</t>
  </si>
  <si>
    <t>봄툰</t>
    <phoneticPr fontId="11" type="noConversion"/>
  </si>
  <si>
    <t>아랫집웬수</t>
  </si>
  <si>
    <t>애니툰</t>
    <phoneticPr fontId="11" type="noConversion"/>
  </si>
  <si>
    <t>음란한 여교수 채희</t>
  </si>
  <si>
    <t>츤데레 흥신소</t>
  </si>
  <si>
    <t>원고를 주세요</t>
  </si>
  <si>
    <t>내자기님이 로그인하셨습니다</t>
  </si>
  <si>
    <t>사랑과 우정사이에서</t>
  </si>
  <si>
    <t>황비님? 황비님!</t>
  </si>
  <si>
    <t>[RS 정산 기준]</t>
    <phoneticPr fontId="11" type="noConversion"/>
  </si>
  <si>
    <t>콰이칸_중국</t>
    <phoneticPr fontId="19" type="noConversion"/>
  </si>
  <si>
    <t>RS 정산 기준, MG 미포함</t>
    <phoneticPr fontId="11" type="noConversion"/>
  </si>
  <si>
    <t>인유어드림</t>
  </si>
  <si>
    <t>옆집최애</t>
  </si>
  <si>
    <t>주체</t>
  </si>
  <si>
    <t>업무</t>
  </si>
  <si>
    <t>일정</t>
  </si>
  <si>
    <t>비고</t>
  </si>
  <si>
    <t>매월 7일까지</t>
  </si>
  <si>
    <t>매월 10일까지</t>
  </si>
  <si>
    <t>황비님!? 황비님!</t>
  </si>
  <si>
    <t>극한공녀</t>
  </si>
  <si>
    <t>거짓말, 뱀파이어가 어디 있어? [BL]</t>
  </si>
  <si>
    <t>명판관 장평</t>
  </si>
  <si>
    <t>주작의 귀환</t>
  </si>
  <si>
    <t>파쿠리인 내가 어시를?! [BL]</t>
  </si>
  <si>
    <t>프렌시아의 꽃</t>
  </si>
  <si>
    <t>봄툰</t>
  </si>
  <si>
    <t>호랑이 장가드는 날</t>
  </si>
  <si>
    <t>황비님 황비님</t>
  </si>
  <si>
    <t>거짓말 뱀파이어가 어디있어</t>
  </si>
  <si>
    <t>내 자기님이 로그인 하셨습니다.</t>
  </si>
  <si>
    <t>파쿠리인 내가 어시를</t>
  </si>
  <si>
    <t>거짓말, 뱀파이어가 어디 있어?</t>
  </si>
  <si>
    <t>극한 공녀</t>
  </si>
  <si>
    <t>어이상실의 시대</t>
  </si>
  <si>
    <t>사랑과우정사이에서</t>
  </si>
  <si>
    <t>황비님황비님</t>
  </si>
  <si>
    <t>말도 안되는 관계</t>
  </si>
  <si>
    <t>탑배우의 이중생활</t>
  </si>
  <si>
    <t>옆집 최애 [개정판]</t>
  </si>
  <si>
    <t>사랑과 우정 사이에서 [개정판]</t>
  </si>
  <si>
    <t>사랑과 우정 사이에서 (개정판) [BL]</t>
  </si>
  <si>
    <t>사랑할 수 없는 그녀</t>
  </si>
  <si>
    <t>속도위반 대표님과 계약 아내</t>
  </si>
  <si>
    <t>옆집 최애 (개정판) [BL]</t>
  </si>
  <si>
    <t>한집 두 살림 (개정판) [GL]</t>
  </si>
  <si>
    <t>옆집 최애 (완전판)</t>
  </si>
  <si>
    <t>탑 배우의 이중생활</t>
  </si>
  <si>
    <t>말도 안되는 관계(개정판)</t>
  </si>
  <si>
    <t>리디북스</t>
  </si>
  <si>
    <t>한집 두 살림 [개정판][GL]</t>
  </si>
  <si>
    <t>한집 두 살림 [GL]</t>
  </si>
  <si>
    <t>악마와 나 사이에는</t>
  </si>
  <si>
    <t>수컷하우스 맨심</t>
  </si>
  <si>
    <t>(개정판) 사랑과 우정 사이에서</t>
  </si>
  <si>
    <t>(개정판) 옆집 최애</t>
  </si>
  <si>
    <t>사랑과 우정 사이에서 [일반판]</t>
  </si>
  <si>
    <t>옆집 최애 [성인판]</t>
  </si>
  <si>
    <t>북큐브</t>
    <phoneticPr fontId="11" type="noConversion"/>
  </si>
  <si>
    <t>코미코_한국</t>
  </si>
  <si>
    <t>조아라</t>
  </si>
  <si>
    <t>위코믹스_태국</t>
  </si>
  <si>
    <t>델리툰_프랑스</t>
  </si>
  <si>
    <t>네오바자르_인도네시아</t>
  </si>
  <si>
    <t>코미코_태국</t>
  </si>
  <si>
    <t>미스터블루</t>
  </si>
  <si>
    <t>픽코마_일본</t>
    <phoneticPr fontId="11" type="noConversion"/>
  </si>
  <si>
    <t>코미코_일본_대만</t>
    <phoneticPr fontId="11" type="noConversion"/>
  </si>
  <si>
    <t>네이버웹툰</t>
    <phoneticPr fontId="11" type="noConversion"/>
  </si>
  <si>
    <t>카카오페이지</t>
    <phoneticPr fontId="11" type="noConversion"/>
  </si>
  <si>
    <t>콰이칸</t>
    <phoneticPr fontId="11" type="noConversion"/>
  </si>
  <si>
    <t>카카오페이지</t>
    <phoneticPr fontId="11" type="noConversion"/>
  </si>
  <si>
    <t>레진코믹스</t>
    <phoneticPr fontId="11" type="noConversion"/>
  </si>
  <si>
    <t>북큐브</t>
    <phoneticPr fontId="11" type="noConversion"/>
  </si>
  <si>
    <t>탑툰</t>
    <phoneticPr fontId="11" type="noConversion"/>
  </si>
  <si>
    <t>C&amp;C_콰이칸</t>
    <phoneticPr fontId="11" type="noConversion"/>
  </si>
  <si>
    <t>애니툰</t>
    <phoneticPr fontId="11" type="noConversion"/>
  </si>
  <si>
    <t>코미코_NHN</t>
    <phoneticPr fontId="11" type="noConversion"/>
  </si>
  <si>
    <t>조아라</t>
    <phoneticPr fontId="11" type="noConversion"/>
  </si>
  <si>
    <t>위코믹스</t>
    <phoneticPr fontId="11" type="noConversion"/>
  </si>
  <si>
    <t>태피툰</t>
    <phoneticPr fontId="11" type="noConversion"/>
  </si>
  <si>
    <t>네오바자르</t>
    <phoneticPr fontId="11" type="noConversion"/>
  </si>
  <si>
    <t>코미코_태국</t>
    <phoneticPr fontId="11" type="noConversion"/>
  </si>
  <si>
    <t>코미코_일본</t>
    <phoneticPr fontId="11" type="noConversion"/>
  </si>
  <si>
    <t>네이버웹툰</t>
    <phoneticPr fontId="11" type="noConversion"/>
  </si>
  <si>
    <t>콰이칸</t>
  </si>
  <si>
    <t>탑툰</t>
    <phoneticPr fontId="11" type="noConversion"/>
  </si>
  <si>
    <t>애니툰</t>
    <phoneticPr fontId="11" type="noConversion"/>
  </si>
  <si>
    <t>조아라</t>
    <phoneticPr fontId="11" type="noConversion"/>
  </si>
  <si>
    <t>위코믹스</t>
    <phoneticPr fontId="11" type="noConversion"/>
  </si>
  <si>
    <t>태피툰</t>
    <phoneticPr fontId="11" type="noConversion"/>
  </si>
  <si>
    <t>네오바자르</t>
    <phoneticPr fontId="11" type="noConversion"/>
  </si>
  <si>
    <t>황비님 황비님</t>
    <phoneticPr fontId="11" type="noConversion"/>
  </si>
  <si>
    <t>극한공녀</t>
    <phoneticPr fontId="11" type="noConversion"/>
  </si>
  <si>
    <t>코미코_태국</t>
    <phoneticPr fontId="11" type="noConversion"/>
  </si>
  <si>
    <t>코미코_일본</t>
    <phoneticPr fontId="11" type="noConversion"/>
  </si>
  <si>
    <t>네이버웹툰</t>
    <phoneticPr fontId="11" type="noConversion"/>
  </si>
  <si>
    <t>총매출</t>
    <phoneticPr fontId="11" type="noConversion"/>
  </si>
  <si>
    <t>순매출</t>
    <phoneticPr fontId="11" type="noConversion"/>
  </si>
  <si>
    <t>작품명</t>
    <phoneticPr fontId="11" type="noConversion"/>
  </si>
  <si>
    <t>월별</t>
    <phoneticPr fontId="11" type="noConversion"/>
  </si>
  <si>
    <t>환율</t>
    <phoneticPr fontId="11" type="noConversion"/>
  </si>
  <si>
    <t>환율(CNY)</t>
    <phoneticPr fontId="11" type="noConversion"/>
  </si>
  <si>
    <t>환율(THB)</t>
    <phoneticPr fontId="11" type="noConversion"/>
  </si>
  <si>
    <t>3개월 평균</t>
    <phoneticPr fontId="11" type="noConversion"/>
  </si>
  <si>
    <t>환율(JPY)</t>
    <phoneticPr fontId="11" type="noConversion"/>
  </si>
  <si>
    <t>3개월 평균</t>
    <phoneticPr fontId="11" type="noConversion"/>
  </si>
  <si>
    <t>V</t>
    <phoneticPr fontId="11" type="noConversion"/>
  </si>
  <si>
    <t>봄툰_유통1</t>
    <phoneticPr fontId="11" type="noConversion"/>
  </si>
  <si>
    <t>봄툰_유통2</t>
    <phoneticPr fontId="11" type="noConversion"/>
  </si>
  <si>
    <t>봄툰_유통3</t>
    <phoneticPr fontId="11" type="noConversion"/>
  </si>
  <si>
    <t xml:space="preserve"> * 같은이름 같은 유통사 주의</t>
    <phoneticPr fontId="11" type="noConversion"/>
  </si>
  <si>
    <t xml:space="preserve"> - 유통사 이름 변경 (예. 봄툰_유통1.2.3)</t>
    <phoneticPr fontId="11" type="noConversion"/>
  </si>
  <si>
    <t>피너툰</t>
    <phoneticPr fontId="11" type="noConversion"/>
  </si>
  <si>
    <t>피너툰</t>
    <phoneticPr fontId="11" type="noConversion"/>
  </si>
  <si>
    <t>레진코믹스</t>
  </si>
  <si>
    <t>파쿠리인 내가 어시를?!</t>
  </si>
  <si>
    <t>피너툰</t>
    <phoneticPr fontId="11" type="noConversion"/>
  </si>
  <si>
    <t>내 자기님이 로그인하셨습니다.</t>
  </si>
  <si>
    <t>사랑과 우정사이</t>
  </si>
  <si>
    <t>연애포차</t>
  </si>
  <si>
    <t>호랑이 장가 드는 날</t>
  </si>
  <si>
    <t>호랑이 장가드는 날 [개정판]</t>
  </si>
  <si>
    <t>호랑이 장가드는 날(개정판)</t>
  </si>
  <si>
    <t>투믹스</t>
    <phoneticPr fontId="11" type="noConversion"/>
  </si>
  <si>
    <t>호랑이 장가 드는 날 (개정판)</t>
  </si>
  <si>
    <t>내 자기님이 로그인 하셨습니다</t>
  </si>
  <si>
    <t>한번만 부탁해</t>
  </si>
  <si>
    <t>옆집최애</t>
    <phoneticPr fontId="11" type="noConversion"/>
  </si>
  <si>
    <t>코미코_위즈덤</t>
    <phoneticPr fontId="11" type="noConversion"/>
  </si>
  <si>
    <t>호랑이 장가드는 날[BL]</t>
  </si>
  <si>
    <t>옆집 최애 개정판</t>
  </si>
  <si>
    <t>사랑과 우정 사이에서 개정판</t>
  </si>
  <si>
    <t>거짓말, 뱀파이어가 어디있어?</t>
  </si>
  <si>
    <t>극한공녀 </t>
  </si>
  <si>
    <t>프렌시아의 꽃!</t>
  </si>
  <si>
    <t>호랑이 장가 드는 날(개정판)</t>
  </si>
  <si>
    <t>내 자기님이 로그인 하셨습니다</t>
  </si>
  <si>
    <t>In Your Dream</t>
  </si>
  <si>
    <t>한 번만 부탁해! [BL]</t>
  </si>
  <si>
    <t>마녀와 용의 신혼일기[독점]</t>
  </si>
  <si>
    <t>미스터블루</t>
    <phoneticPr fontId="11" type="noConversion"/>
  </si>
  <si>
    <t>미스터블루</t>
    <phoneticPr fontId="11" type="noConversion"/>
  </si>
  <si>
    <t>한 집 두 살림</t>
  </si>
  <si>
    <t>옆집 최애+아랫집 웬수</t>
  </si>
  <si>
    <t>대표님의 삐뚤어진 사랑</t>
  </si>
  <si>
    <t>대표님, 사모님이 도망가요</t>
  </si>
  <si>
    <t>봄툰_유통4</t>
  </si>
  <si>
    <t>원스토어</t>
    <phoneticPr fontId="11" type="noConversion"/>
  </si>
  <si>
    <t>한집 두 살림 (GL)</t>
  </si>
  <si>
    <t>스토리위즈수익</t>
  </si>
  <si>
    <t>스토리위즈수익</t>
    <phoneticPr fontId="19" type="noConversion"/>
  </si>
  <si>
    <t>스토리위즈매출액</t>
    <phoneticPr fontId="19" type="noConversion"/>
  </si>
  <si>
    <t>스토리위즈수익</t>
    <phoneticPr fontId="11" type="noConversion"/>
  </si>
  <si>
    <t>스토리위즈매출액</t>
    <phoneticPr fontId="11" type="noConversion"/>
  </si>
  <si>
    <t>네이버웹툰-글로벌</t>
  </si>
  <si>
    <t>네이버웹툰-글로벌</t>
    <phoneticPr fontId="11" type="noConversion"/>
  </si>
  <si>
    <t>마녀와 용의 신혼일기</t>
  </si>
  <si>
    <t>마녀와 용의 신혼일기</t>
    <phoneticPr fontId="11" type="noConversion"/>
  </si>
  <si>
    <t>빌리빌리</t>
    <phoneticPr fontId="11" type="noConversion"/>
  </si>
  <si>
    <t>和她们同居了（一家两个人）한집 두 살림</t>
  </si>
  <si>
    <t>我与恶魔之间（恶魔和我之间）악마와 나 사이에는</t>
  </si>
  <si>
    <t>模仿者的我竟成为了作家助理 파쿠리인 내가 어시를?!</t>
  </si>
  <si>
    <t>求你让我做个人吧（和我做一次有那么难吗？）한번만 부탁해!</t>
  </si>
  <si>
    <t>我加热了魔王的冷血（普伦西娅之花）프렌시아의 꽃</t>
  </si>
  <si>
    <t>老虎出嫁的那一天 호랑이 장가드는 날</t>
  </si>
  <si>
    <r>
      <t>和</t>
    </r>
    <r>
      <rPr>
        <sz val="10"/>
        <color rgb="FF000000"/>
        <rFont val="새굴림"/>
        <family val="1"/>
        <charset val="129"/>
      </rPr>
      <t>她们</t>
    </r>
    <r>
      <rPr>
        <sz val="10"/>
        <color rgb="FF000000"/>
        <rFont val="맑은 고딕"/>
        <family val="3"/>
        <charset val="129"/>
      </rPr>
      <t>同居了（一家</t>
    </r>
    <r>
      <rPr>
        <sz val="10"/>
        <color rgb="FF000000"/>
        <rFont val="새굴림"/>
        <family val="1"/>
        <charset val="129"/>
      </rPr>
      <t>两个</t>
    </r>
    <r>
      <rPr>
        <sz val="10"/>
        <color rgb="FF000000"/>
        <rFont val="맑은 고딕"/>
        <family val="3"/>
        <charset val="129"/>
      </rPr>
      <t>人）한집 두 살림</t>
    </r>
    <phoneticPr fontId="11" type="noConversion"/>
  </si>
  <si>
    <t>INKR</t>
    <phoneticPr fontId="11" type="noConversion"/>
  </si>
  <si>
    <t>인 유어드림</t>
  </si>
  <si>
    <t>BL 패티쉬 단편선</t>
  </si>
  <si>
    <t>코믹툰</t>
    <phoneticPr fontId="11" type="noConversion"/>
  </si>
  <si>
    <t>거짓말! 뱀파이어가 어디있어</t>
  </si>
  <si>
    <t>픽코마_동영상</t>
    <phoneticPr fontId="11" type="noConversion"/>
  </si>
  <si>
    <t>파쿠리인 내가 어시를?</t>
  </si>
  <si>
    <t>거짓말 뱀파이어가 어디있어?</t>
  </si>
  <si>
    <t>코핀코믹스</t>
    <phoneticPr fontId="11" type="noConversion"/>
  </si>
  <si>
    <t>어디에서든 널 원해!</t>
  </si>
  <si>
    <t>코핀코믹스</t>
    <phoneticPr fontId="11" type="noConversion"/>
  </si>
  <si>
    <t>■ 프로세스</t>
    <phoneticPr fontId="11" type="noConversion"/>
  </si>
  <si>
    <t>스토리숲</t>
    <phoneticPr fontId="11" type="noConversion"/>
  </si>
  <si>
    <t>전월 발생 매출에 대한 정산서 작성 후 스토리위즈에 제공</t>
    <phoneticPr fontId="11" type="noConversion"/>
  </si>
  <si>
    <t>스토리위즈</t>
    <phoneticPr fontId="11" type="noConversion"/>
  </si>
  <si>
    <t>스토리숲에서 제공한 정산서 토대로 스토리위즈 매출에 대해 계산서 발행</t>
    <phoneticPr fontId="11" type="noConversion"/>
  </si>
  <si>
    <t>합계 시트 내 E열 [합계]</t>
    <phoneticPr fontId="11" type="noConversion"/>
  </si>
  <si>
    <t>스토리위즈 수익 및 제휴사 수익에 대한 계산서 발행</t>
    <phoneticPr fontId="11" type="noConversion"/>
  </si>
  <si>
    <t>합계 시트 내 F열, G열 [합계]</t>
    <phoneticPr fontId="11" type="noConversion"/>
  </si>
  <si>
    <t>스토리위즈 수익분만큼 스토리위즈 계좌에 입금</t>
    <phoneticPr fontId="11" type="noConversion"/>
  </si>
  <si>
    <t>계산서 수령 후 30일 이내</t>
    <phoneticPr fontId="11" type="noConversion"/>
  </si>
  <si>
    <t>합계 시트 내 F열 [합계]</t>
    <phoneticPr fontId="11" type="noConversion"/>
  </si>
  <si>
    <t>네이버웹툰_창작지원금</t>
  </si>
  <si>
    <t>네이버웹툰_창작지원금</t>
    <phoneticPr fontId="11" type="noConversion"/>
  </si>
  <si>
    <t>네이버웹툰-창작지원금</t>
  </si>
  <si>
    <t>네이버웹툰-창작지원금</t>
    <phoneticPr fontId="11" type="noConversion"/>
  </si>
  <si>
    <t>아찔한 전남편</t>
  </si>
  <si>
    <t>아찔한 전남편</t>
    <phoneticPr fontId="11" type="noConversion"/>
  </si>
  <si>
    <t>용의주도 대표님의 연애 게임</t>
  </si>
  <si>
    <t>예스24</t>
    <phoneticPr fontId="11" type="noConversion"/>
  </si>
  <si>
    <t>사랑의 형태 : 마음이 향하는 곳</t>
  </si>
  <si>
    <t>코미코_NHN</t>
  </si>
  <si>
    <t>사랑과 우정 사이에서 (개정판)</t>
  </si>
  <si>
    <t>포켓코믹스</t>
    <phoneticPr fontId="11" type="noConversion"/>
  </si>
  <si>
    <t>호랑이 장가드는 날 [BL, 개정판]</t>
  </si>
  <si>
    <t>사랑의 형태: 마음이 향하는 곳</t>
  </si>
  <si>
    <t>네이버웹툰-마용신</t>
  </si>
  <si>
    <t>네이버웹툰-마용신</t>
    <phoneticPr fontId="11" type="noConversion"/>
  </si>
  <si>
    <t>네이버웹툰-속도위반</t>
    <phoneticPr fontId="11" type="noConversion"/>
  </si>
  <si>
    <t>속도위반 대표님과 계약 아내</t>
    <phoneticPr fontId="11" type="noConversion"/>
  </si>
  <si>
    <t>네이버웹툰-아찔남</t>
    <phoneticPr fontId="11" type="noConversion"/>
  </si>
  <si>
    <t>네이버웹툰-오늘도 월월</t>
    <phoneticPr fontId="11" type="noConversion"/>
  </si>
  <si>
    <t>오늘도 월월</t>
    <phoneticPr fontId="11" type="noConversion"/>
  </si>
  <si>
    <t>옆집 최애 [일반판]</t>
  </si>
  <si>
    <t>사랑과 우정 사이에서 [성인판]</t>
  </si>
  <si>
    <t>호랑이 장가드는 날 [일반판]</t>
  </si>
  <si>
    <t>합계</t>
    <phoneticPr fontId="11" type="noConversion"/>
  </si>
  <si>
    <t>핑거스토리_큐툰</t>
    <phoneticPr fontId="11" type="noConversion"/>
  </si>
  <si>
    <t>핑거스토리_무툰</t>
    <phoneticPr fontId="11" type="noConversion"/>
  </si>
  <si>
    <t>속도위반 대표님과 계약 아내 [연재]</t>
  </si>
  <si>
    <t>대표님의 삐뚤어진 사랑 [연재]</t>
  </si>
  <si>
    <t>평균환율 (신한) 전신환 팔때</t>
    <phoneticPr fontId="11" type="noConversion"/>
  </si>
  <si>
    <t>환율(USD)</t>
    <phoneticPr fontId="11" type="noConversion"/>
  </si>
  <si>
    <t>용의주도 대표님의 연애게임</t>
  </si>
  <si>
    <t>슬기로운 생활</t>
  </si>
  <si>
    <t>원고를 주세요!</t>
  </si>
  <si>
    <t>아랫집 웬수</t>
  </si>
  <si>
    <t>말도 안되는 관계</t>
  </si>
  <si>
    <t>BL 패티쉬 단편선 모음</t>
  </si>
  <si>
    <t>파쿠리인 내가 어시를!</t>
  </si>
  <si>
    <t>츤데레 흥신소</t>
  </si>
  <si>
    <t>탑배우의 이중생활 </t>
  </si>
  <si>
    <t>한 집 두 살림</t>
  </si>
  <si>
    <t>츤데레 흥신소 -WEB한정버전-</t>
  </si>
  <si>
    <t>kt_alpha</t>
    <phoneticPr fontId="11" type="noConversion"/>
  </si>
  <si>
    <t>kt_alpha</t>
    <phoneticPr fontId="19" type="noConversion"/>
  </si>
  <si>
    <t>인 유어 드림 (In Your Dream)</t>
  </si>
  <si>
    <t>원고를 주세요!</t>
  </si>
  <si>
    <t>사랑의 형태 : 마음이 향하는 곳 [연재]</t>
  </si>
  <si>
    <t>타파스</t>
    <phoneticPr fontId="11" type="noConversion"/>
  </si>
  <si>
    <t>Tied Up in Twins(사랑과 우정사이에서)</t>
  </si>
  <si>
    <t>The Voice Next Door(옆집최애)</t>
  </si>
  <si>
    <t>In Your Dream(인유어 드림)</t>
  </si>
  <si>
    <t>7월분</t>
    <phoneticPr fontId="11" type="noConversion"/>
  </si>
  <si>
    <t>델리툰_프랑스</t>
    <phoneticPr fontId="11" type="noConversion"/>
  </si>
  <si>
    <t>태피툰_영어</t>
    <phoneticPr fontId="11" type="noConversion"/>
  </si>
  <si>
    <t>델리툰_독일</t>
    <phoneticPr fontId="11" type="noConversion"/>
  </si>
  <si>
    <t>델리툰</t>
    <phoneticPr fontId="11" type="noConversion"/>
  </si>
  <si>
    <t>사랑의 형태 : 마음이 향하는 곳 [스크롤]</t>
  </si>
  <si>
    <t>용의주도 대표님의 연애 게임 [스크롤]</t>
  </si>
  <si>
    <t>사랑과 우정 사이에서[성인]</t>
  </si>
  <si>
    <t>거짓말 뱀파이어가 어디 있어</t>
  </si>
  <si>
    <t>월 판권제휴 매출 정산</t>
    <phoneticPr fontId="11" type="noConversion"/>
  </si>
  <si>
    <t>월 선 MG상환</t>
    <phoneticPr fontId="11" type="noConversion"/>
  </si>
  <si>
    <t>봄툰_유통5</t>
  </si>
  <si>
    <t>봄툰_유통5</t>
    <phoneticPr fontId="11" type="noConversion"/>
  </si>
  <si>
    <t>8/10송금</t>
    <phoneticPr fontId="11" type="noConversion"/>
  </si>
  <si>
    <t xml:space="preserve"> </t>
    <phoneticPr fontId="11" type="noConversion"/>
  </si>
  <si>
    <t>인 유어 드림</t>
  </si>
  <si>
    <t>호랑이 장가드는 날[개정판]</t>
  </si>
  <si>
    <t>북팔</t>
    <phoneticPr fontId="11" type="noConversion"/>
  </si>
  <si>
    <t>옆집 최애 (개정판)</t>
  </si>
  <si>
    <t>북팔</t>
    <phoneticPr fontId="11" type="noConversion"/>
  </si>
  <si>
    <t>귀신 보는 공작부인</t>
  </si>
  <si>
    <t>분기정산</t>
    <phoneticPr fontId="11" type="noConversion"/>
  </si>
  <si>
    <t>9/10송금</t>
    <phoneticPr fontId="11" type="noConversion"/>
  </si>
  <si>
    <t>사랑과 우정 사이에서(개정판)</t>
  </si>
  <si>
    <t>귀신보는 공작부인 MG</t>
  </si>
  <si>
    <t>극한공녀 [라라툰]</t>
  </si>
  <si>
    <t>어이상실의 시대 [라라툰]</t>
  </si>
  <si>
    <t>거짓말! 뱀파이어가 어디있어 [라라툰]</t>
  </si>
  <si>
    <t>황비님? 황비님! [라라툰]</t>
  </si>
  <si>
    <t>한번만 부탁해 [라라툰]</t>
  </si>
  <si>
    <t>내 자기님 로그인하셨다 2</t>
  </si>
  <si>
    <t>엠유네트웍스</t>
    <phoneticPr fontId="11" type="noConversion"/>
  </si>
  <si>
    <t>엠유네트웍스</t>
    <phoneticPr fontId="11" type="noConversion"/>
  </si>
  <si>
    <t>거짓말, 뱀파이어가 어디 있어? [완]</t>
  </si>
  <si>
    <t>만지고 싶어!</t>
  </si>
  <si>
    <t>옆집 최애 (개정판) [완]</t>
  </si>
  <si>
    <t>한집 두 살림 [완]</t>
  </si>
  <si>
    <t>스토리위즈매출액</t>
  </si>
  <si>
    <t>너에게만 음성인식</t>
  </si>
  <si>
    <t>10/8송금</t>
    <phoneticPr fontId="11" type="noConversion"/>
  </si>
  <si>
    <t>신들의 연애사정</t>
  </si>
  <si>
    <t>내자기님이로그인하셨습니다</t>
  </si>
  <si>
    <t>프렌시아의꽃</t>
  </si>
  <si>
    <t>내자기님이로그인하셨습니다[독일] MG</t>
  </si>
  <si>
    <t>황비님황비님[독일] MG</t>
  </si>
  <si>
    <t>프렌시아의꽃[독일] MG</t>
  </si>
  <si>
    <t>극한공녀[독일] MG</t>
  </si>
  <si>
    <t>꿰인 사이</t>
  </si>
  <si>
    <t>10월분</t>
    <phoneticPr fontId="11" type="noConversion"/>
  </si>
  <si>
    <t>거짓말! 뱀파이어가 어디 있어!</t>
  </si>
  <si>
    <t>看见鬼怪的公爵夫人
귀신 보는 공작부인</t>
  </si>
  <si>
    <t>꿰인 사이 [BL]</t>
  </si>
  <si>
    <t>너에게만 음성인식 [스크롤]</t>
  </si>
  <si>
    <t>심장을 녹여줘</t>
  </si>
  <si>
    <t>키스했으니 책임져</t>
  </si>
  <si>
    <t>v 분기정산</t>
    <phoneticPr fontId="11" type="noConversion"/>
  </si>
  <si>
    <t>만지고 싶어! [연재]</t>
  </si>
  <si>
    <t>너에게만 음성인식 [연재]</t>
  </si>
  <si>
    <t>꿰인 사이 [연재]</t>
  </si>
  <si>
    <t>만지고 싶어</t>
  </si>
  <si>
    <t>[e북]사랑과 우정 사이에서</t>
  </si>
  <si>
    <t xml:space="preserve"> </t>
    <phoneticPr fontId="11" type="noConversion"/>
  </si>
  <si>
    <t>귀신보는 공작부인[프랑스] MG</t>
  </si>
  <si>
    <t>귀신보는 공작부인[독일] MG</t>
  </si>
  <si>
    <t>11/10송금</t>
    <phoneticPr fontId="11" type="noConversion"/>
  </si>
  <si>
    <t xml:space="preserve">v </t>
    <phoneticPr fontId="11" type="noConversion"/>
  </si>
  <si>
    <t>멍멍이와 주인님</t>
  </si>
  <si>
    <t>11월분</t>
    <phoneticPr fontId="11" type="noConversion"/>
  </si>
  <si>
    <t>콰이칸 이관</t>
    <phoneticPr fontId="11" type="noConversion"/>
  </si>
  <si>
    <t>수렁.</t>
  </si>
  <si>
    <t>슬기로운 생활 [완]</t>
  </si>
  <si>
    <t>옆집 최애 [완]</t>
  </si>
  <si>
    <t>마녀 따위 안 할래요</t>
  </si>
  <si>
    <t>한번 해볼래?</t>
  </si>
  <si>
    <t>한번 해볼래</t>
  </si>
  <si>
    <t>옆집 최애[성인]</t>
  </si>
  <si>
    <t>호랑이 장가 드는 날 [개정판]</t>
  </si>
  <si>
    <t>키스했으니 책임져 [연재]</t>
  </si>
  <si>
    <t>벌레누나</t>
  </si>
  <si>
    <t>귀신보는 공작부인</t>
  </si>
  <si>
    <t>귀신보는 공작부인</t>
    <phoneticPr fontId="11" type="noConversion"/>
  </si>
  <si>
    <t>신들의 연애사정</t>
    <phoneticPr fontId="11" type="noConversion"/>
  </si>
  <si>
    <t>카카오웹툰</t>
    <phoneticPr fontId="11" type="noConversion"/>
  </si>
  <si>
    <t>카카오웹툰</t>
    <phoneticPr fontId="11" type="noConversion"/>
  </si>
  <si>
    <t>아랫집 웬수 (개정판) [라라툰]</t>
  </si>
  <si>
    <t>내 자기님이 로그인 하였습니다 [라라툰]</t>
  </si>
  <si>
    <t>어디에서든 널 원해! [라라툰]</t>
  </si>
  <si>
    <t>12/10송금</t>
    <phoneticPr fontId="11" type="noConversion"/>
  </si>
  <si>
    <t>황비님?황비님! MG</t>
  </si>
  <si>
    <t>사랑과 우정 사이에는
爱情与友谊之间</t>
  </si>
  <si>
    <t>거짓말! 뱀페이어가 어디있어?</t>
  </si>
  <si>
    <t>마녀 따위 안할래요</t>
  </si>
  <si>
    <t>와리가리 고고</t>
  </si>
  <si>
    <t>12월분</t>
    <phoneticPr fontId="11" type="noConversion"/>
  </si>
  <si>
    <t>마녀와 용의 신혼일기</t>
    <phoneticPr fontId="11" type="noConversion"/>
  </si>
  <si>
    <t>황비님?황비님!</t>
  </si>
  <si>
    <t>황비님?황비님!</t>
    <phoneticPr fontId="11" type="noConversion"/>
  </si>
  <si>
    <t>아찔한 전남편</t>
    <phoneticPr fontId="11" type="noConversion"/>
  </si>
  <si>
    <t>호랑이 장가 드는 날</t>
    <phoneticPr fontId="11" type="noConversion"/>
  </si>
  <si>
    <t>아랫집 웬수</t>
    <phoneticPr fontId="11" type="noConversion"/>
  </si>
  <si>
    <t>엠피언</t>
    <phoneticPr fontId="11" type="noConversion"/>
  </si>
  <si>
    <t>엠피언</t>
    <phoneticPr fontId="11" type="noConversion"/>
  </si>
  <si>
    <t>V</t>
    <phoneticPr fontId="11" type="noConversion"/>
  </si>
  <si>
    <t>한번만 해주는게 그렇게 어려워? (한 번만 부탁해!)</t>
  </si>
  <si>
    <t>어디에서든 널 원해_해외</t>
  </si>
  <si>
    <t>내 자기님이 로그인하셨습니다</t>
  </si>
  <si>
    <t>한 번만 부탁해!</t>
  </si>
  <si>
    <t>마녀 따위 안 할래요 [스크롤]</t>
  </si>
  <si>
    <t>한번 해볼래? [스크롤]</t>
  </si>
  <si>
    <t>한번 해볼래? [BL]</t>
  </si>
  <si>
    <t>꿈꾸는 먹잇감 [BL]</t>
  </si>
  <si>
    <t>어이상실의 시대 [선연재]</t>
  </si>
  <si>
    <t>꿈꾸는 먹잇감</t>
  </si>
  <si>
    <t>레벨업에 미친 의사</t>
  </si>
  <si>
    <t>호랑이 장가드는 날 [성인판]</t>
  </si>
  <si>
    <t>한번 해볼래? [연재]</t>
  </si>
  <si>
    <t>마녀 따위 안 할래요 [연재]</t>
  </si>
  <si>
    <t>어이 상실의 시대</t>
  </si>
  <si>
    <t>300미만 V</t>
    <phoneticPr fontId="11" type="noConversion"/>
  </si>
  <si>
    <t>■ 스토리숲 22년 1월 (주)스토리위즈 정산서</t>
    <phoneticPr fontId="19" type="noConversion"/>
  </si>
  <si>
    <t xml:space="preserve">  **판매월 1월1일~1월31일 기준</t>
    <phoneticPr fontId="19" type="noConversion"/>
  </si>
  <si>
    <t>한집 두 살림(개정판)</t>
  </si>
  <si>
    <t>10~12월분</t>
    <phoneticPr fontId="11" type="noConversion"/>
  </si>
  <si>
    <t>1월분</t>
    <phoneticPr fontId="11" type="noConversion"/>
  </si>
  <si>
    <t>말도 안되는 관계 [성인판]</t>
  </si>
  <si>
    <t>말도 안되는 관계 [일반판]</t>
  </si>
  <si>
    <t>미니멈</t>
  </si>
  <si>
    <t>[e북]탑 배우의 이중생활</t>
  </si>
  <si>
    <t>츤데레 흥신소(개정판)</t>
  </si>
  <si>
    <t>망가툰</t>
    <phoneticPr fontId="11" type="noConversion"/>
  </si>
  <si>
    <t>8~12월분</t>
    <phoneticPr fontId="11" type="noConversion"/>
  </si>
  <si>
    <t>슬기로운 생활</t>
    <phoneticPr fontId="11" type="noConversion"/>
  </si>
  <si>
    <t>수컷하우스 맨심</t>
    <phoneticPr fontId="11" type="noConversion"/>
  </si>
  <si>
    <t>9월분</t>
    <phoneticPr fontId="11" type="noConversion"/>
  </si>
  <si>
    <t>웹코믹스</t>
    <phoneticPr fontId="11" type="noConversion"/>
  </si>
  <si>
    <t>11~12월분</t>
    <phoneticPr fontId="11" type="noConversion"/>
  </si>
  <si>
    <t>말도 안 되는 관계</t>
  </si>
  <si>
    <t>수컷 하우스 맨심</t>
  </si>
  <si>
    <t>어이상실의 시대</t>
    <phoneticPr fontId="11" type="noConversion"/>
  </si>
  <si>
    <t>어이상실의 시대</t>
    <phoneticPr fontId="11" type="noConversion"/>
  </si>
  <si>
    <t>어디에서든 널 원해</t>
    <phoneticPr fontId="11" type="noConversion"/>
  </si>
  <si>
    <t>어디에서든 널 원해</t>
    <phoneticPr fontId="11" type="noConversion"/>
  </si>
  <si>
    <t>카카오 타파스</t>
    <phoneticPr fontId="11" type="noConversion"/>
  </si>
  <si>
    <t>10-12월분</t>
    <phoneticPr fontId="11" type="noConversion"/>
  </si>
  <si>
    <t>내 자기님이 로그인하셨습니다</t>
    <phoneticPr fontId="11" type="noConversion"/>
  </si>
  <si>
    <t>카카오타파스</t>
    <phoneticPr fontId="11" type="noConversion"/>
  </si>
  <si>
    <t>1/10송금</t>
    <phoneticPr fontId="11" type="noConversion"/>
  </si>
  <si>
    <t>포켓코믹스</t>
    <phoneticPr fontId="11" type="noConversion"/>
  </si>
  <si>
    <t>와리가리 고고 시즌1</t>
  </si>
  <si>
    <t>두근두근 호기심 컴퍼니</t>
  </si>
  <si>
    <t>한집 두 살림 (개정판)</t>
  </si>
  <si>
    <t>멍멍이와 주인님 [완]</t>
  </si>
  <si>
    <t>인 유어 드림 (In Your Dream) [완]</t>
  </si>
  <si>
    <t>꿈꾸는 먹잇감 [스크롤]</t>
  </si>
  <si>
    <t>레벨업에 미친 의사 [스크롤]</t>
  </si>
  <si>
    <t>이혼신청 [BL]</t>
  </si>
  <si>
    <t>말도 안되는 관계 [선연재]</t>
  </si>
  <si>
    <t>말도 안되는 관계 [개정판][선연재]</t>
  </si>
  <si>
    <t>말도 안되는 관계 (개정판) [BL]</t>
  </si>
  <si>
    <t>이혼신청</t>
  </si>
  <si>
    <t>한집 두 살림 [일반판]</t>
  </si>
  <si>
    <t>한집 두 살림 [성인판]</t>
  </si>
  <si>
    <t>2/10송금</t>
    <phoneticPr fontId="11" type="noConversion"/>
  </si>
  <si>
    <t>월분</t>
    <phoneticPr fontId="11" type="noConversion"/>
  </si>
  <si>
    <t>교보문고</t>
    <phoneticPr fontId="11" type="noConversion"/>
  </si>
  <si>
    <t>교보문고</t>
    <phoneticPr fontId="11" type="noConversion"/>
  </si>
  <si>
    <t>톡소다</t>
    <phoneticPr fontId="11" type="noConversion"/>
  </si>
  <si>
    <t>톡소다</t>
    <phoneticPr fontId="11" type="noConversion"/>
  </si>
  <si>
    <t>100미만X V</t>
    <phoneticPr fontId="11" type="noConversion"/>
  </si>
  <si>
    <t>[e북]옆집 최애</t>
  </si>
  <si>
    <t>2022년 합계</t>
    <phoneticPr fontId="11" type="noConversion"/>
  </si>
  <si>
    <t>스토리위즈 계산서 발행금액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</si>
</sst>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_(&quot;$&quot;* #,##0_);_(&quot;$&quot;* \(#,##0\);_(&quot;$&quot;* &quot;-&quot;_);_(@_)"/>
    <numFmt numFmtId="177" formatCode="_(* #,##0_);_(* \(#,##0\);_(* &quot;-&quot;_);_(@_)"/>
    <numFmt numFmtId="178" formatCode="#,##0_ ;[Red]\-#,##0\ "/>
    <numFmt numFmtId="179" formatCode="&quot; &quot;* #,##0&quot; &quot;;&quot;-&quot;* #,##0&quot; &quot;;&quot; &quot;* &quot;- &quot;"/>
    <numFmt numFmtId="180" formatCode="&quot; &quot;* #,##0.00&quot; &quot;;&quot;-&quot;* #,##0.00&quot; &quot;;&quot; &quot;* &quot;- &quot;"/>
    <numFmt numFmtId="181" formatCode="mm&quot;월&quot;\ dd&quot;일&quot;"/>
    <numFmt numFmtId="182" formatCode="_-* #,##0_-;\-* #,##0_-;_-* &quot;-&quot;??_-;_-@_-"/>
    <numFmt numFmtId="183" formatCode="yyyy/mm/dd\ &quot;기준&quot;"/>
    <numFmt numFmtId="184" formatCode="#,##0_);[Red]\(#,##0\)"/>
    <numFmt numFmtId="185" formatCode="0.0%"/>
    <numFmt numFmtId="186" formatCode="_-* #,##0.00_-;\-* #,##0.00_-;_-* &quot;-&quot;_-;_-@_-"/>
    <numFmt numFmtId="187" formatCode="m&quot;/&quot;d;@"/>
    <numFmt numFmtId="188" formatCode="0_ ;[Red]\-0\ "/>
    <numFmt numFmtId="189" formatCode="&quot; &quot;* #,##0.0&quot; &quot;;&quot;-&quot;* #,##0.0&quot; &quot;;&quot; &quot;* &quot;- &quot;"/>
  </numFmts>
  <fonts count="48">
    <font>
      <sz val="11"/>
      <color rgb="FF000000"/>
      <name val="맑은 고딕"/>
    </font>
    <font>
      <sz val="8"/>
      <color theme="1"/>
      <name val="나눔고딕"/>
      <family val="2"/>
      <charset val="129"/>
    </font>
    <font>
      <sz val="8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u/>
      <sz val="11"/>
      <color rgb="FF0563C1"/>
      <name val="맑은 고딕"/>
      <family val="3"/>
      <charset val="129"/>
    </font>
    <font>
      <sz val="10"/>
      <color rgb="FF000000"/>
      <name val="Arial"/>
      <family val="2"/>
    </font>
    <font>
      <sz val="12"/>
      <color rgb="FF000000"/>
      <name val="맑은 고딕"/>
      <family val="3"/>
      <charset val="129"/>
    </font>
    <font>
      <u/>
      <sz val="11"/>
      <color rgb="FF954F72"/>
      <name val="맑은 고딕"/>
      <family val="3"/>
      <charset val="129"/>
    </font>
    <font>
      <sz val="11"/>
      <color rgb="FF000000"/>
      <name val="Calibri"/>
      <family val="2"/>
    </font>
    <font>
      <sz val="9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 val="singleAccounting"/>
      <sz val="9"/>
      <color rgb="FFFF000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다키 L"/>
      <family val="3"/>
      <charset val="129"/>
    </font>
    <font>
      <b/>
      <i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000000"/>
      <name val="새굴림"/>
      <family val="1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b/>
      <sz val="11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auto="1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4" fillId="0" borderId="0">
      <alignment vertical="center"/>
    </xf>
    <xf numFmtId="41" fontId="10" fillId="0" borderId="0">
      <alignment vertical="center"/>
    </xf>
    <xf numFmtId="0" fontId="5" fillId="0" borderId="0"/>
    <xf numFmtId="0" fontId="10" fillId="0" borderId="0">
      <alignment vertical="center"/>
    </xf>
    <xf numFmtId="41" fontId="10" fillId="0" borderId="0">
      <alignment vertical="center"/>
    </xf>
    <xf numFmtId="0" fontId="10" fillId="0" borderId="0">
      <alignment vertical="center"/>
    </xf>
    <xf numFmtId="0" fontId="6" fillId="0" borderId="0"/>
    <xf numFmtId="0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177" fontId="10" fillId="0" borderId="0"/>
    <xf numFmtId="0" fontId="7" fillId="0" borderId="0">
      <alignment vertical="center"/>
    </xf>
    <xf numFmtId="0" fontId="6" fillId="0" borderId="0"/>
    <xf numFmtId="177" fontId="6" fillId="0" borderId="0"/>
    <xf numFmtId="0" fontId="10" fillId="0" borderId="0"/>
    <xf numFmtId="0" fontId="8" fillId="0" borderId="0"/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2" fillId="0" borderId="0"/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>
      <alignment vertical="center"/>
    </xf>
    <xf numFmtId="41" fontId="10" fillId="0" borderId="0"/>
    <xf numFmtId="41" fontId="6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/>
    <xf numFmtId="0" fontId="14" fillId="0" borderId="0"/>
    <xf numFmtId="0" fontId="12" fillId="0" borderId="0"/>
    <xf numFmtId="176" fontId="12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13" fillId="0" borderId="0"/>
  </cellStyleXfs>
  <cellXfs count="1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17" fillId="0" borderId="0" xfId="44">
      <alignment vertical="center"/>
    </xf>
    <xf numFmtId="41" fontId="18" fillId="0" borderId="0" xfId="44" applyFont="1">
      <alignment vertical="center"/>
    </xf>
    <xf numFmtId="41" fontId="23" fillId="0" borderId="0" xfId="44" applyFont="1">
      <alignment vertical="center"/>
    </xf>
    <xf numFmtId="41" fontId="24" fillId="0" borderId="0" xfId="44" applyFont="1">
      <alignment vertical="center"/>
    </xf>
    <xf numFmtId="41" fontId="21" fillId="0" borderId="0" xfId="44" applyFont="1">
      <alignment vertical="center"/>
    </xf>
    <xf numFmtId="41" fontId="20" fillId="2" borderId="7" xfId="44" applyFont="1" applyFill="1" applyBorder="1" applyAlignment="1">
      <alignment horizontal="center" vertical="center"/>
    </xf>
    <xf numFmtId="41" fontId="20" fillId="2" borderId="8" xfId="44" applyFont="1" applyFill="1" applyBorder="1" applyAlignment="1">
      <alignment horizontal="center" vertical="center"/>
    </xf>
    <xf numFmtId="41" fontId="20" fillId="2" borderId="9" xfId="44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41" fontId="26" fillId="3" borderId="9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41" fontId="26" fillId="3" borderId="2" xfId="0" applyNumberFormat="1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41" fontId="21" fillId="4" borderId="5" xfId="44" applyFont="1" applyFill="1" applyBorder="1" applyAlignment="1">
      <alignment horizontal="right" vertical="center"/>
    </xf>
    <xf numFmtId="0" fontId="30" fillId="4" borderId="0" xfId="0" applyFont="1" applyFill="1" applyAlignment="1">
      <alignment horizontal="center" vertical="center"/>
    </xf>
    <xf numFmtId="41" fontId="31" fillId="3" borderId="9" xfId="0" applyNumberFormat="1" applyFont="1" applyFill="1" applyBorder="1" applyAlignment="1">
      <alignment horizontal="center" vertical="center"/>
    </xf>
    <xf numFmtId="41" fontId="20" fillId="2" borderId="8" xfId="44" applyFont="1" applyFill="1" applyBorder="1">
      <alignment vertical="center"/>
    </xf>
    <xf numFmtId="0" fontId="21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3" fontId="32" fillId="0" borderId="0" xfId="0" applyNumberFormat="1" applyFont="1">
      <alignment vertical="center"/>
    </xf>
    <xf numFmtId="9" fontId="15" fillId="0" borderId="0" xfId="43" applyAlignment="1">
      <alignment horizontal="center" vertical="center"/>
    </xf>
    <xf numFmtId="0" fontId="29" fillId="4" borderId="3" xfId="0" quotePrefix="1" applyFont="1" applyFill="1" applyBorder="1" applyAlignment="1">
      <alignment horizontal="center" vertical="center"/>
    </xf>
    <xf numFmtId="49" fontId="35" fillId="5" borderId="4" xfId="0" applyNumberFormat="1" applyFont="1" applyFill="1" applyBorder="1" applyAlignment="1">
      <alignment horizontal="center" vertical="center"/>
    </xf>
    <xf numFmtId="49" fontId="36" fillId="6" borderId="4" xfId="0" applyNumberFormat="1" applyFont="1" applyFill="1" applyBorder="1" applyAlignment="1">
      <alignment horizontal="center" vertical="center"/>
    </xf>
    <xf numFmtId="179" fontId="36" fillId="6" borderId="4" xfId="0" applyNumberFormat="1" applyFont="1" applyFill="1" applyBorder="1" applyAlignment="1">
      <alignment horizontal="center" vertical="center"/>
    </xf>
    <xf numFmtId="179" fontId="36" fillId="7" borderId="4" xfId="0" applyNumberFormat="1" applyFont="1" applyFill="1" applyBorder="1" applyAlignment="1">
      <alignment horizontal="center" vertical="center"/>
    </xf>
    <xf numFmtId="179" fontId="36" fillId="8" borderId="4" xfId="0" applyNumberFormat="1" applyFont="1" applyFill="1" applyBorder="1" applyAlignment="1">
      <alignment horizontal="center" vertical="center"/>
    </xf>
    <xf numFmtId="179" fontId="36" fillId="6" borderId="4" xfId="0" applyNumberFormat="1" applyFont="1" applyFill="1" applyBorder="1" applyAlignment="1">
      <alignment horizontal="center" vertical="center" wrapText="1"/>
    </xf>
    <xf numFmtId="49" fontId="35" fillId="9" borderId="4" xfId="0" applyNumberFormat="1" applyFont="1" applyFill="1" applyBorder="1" applyAlignment="1">
      <alignment horizontal="center" vertical="center"/>
    </xf>
    <xf numFmtId="0" fontId="35" fillId="9" borderId="4" xfId="0" applyFont="1" applyFill="1" applyBorder="1" applyAlignment="1">
      <alignment horizontal="center" vertical="center"/>
    </xf>
    <xf numFmtId="179" fontId="35" fillId="9" borderId="4" xfId="0" applyNumberFormat="1" applyFont="1" applyFill="1" applyBorder="1" applyAlignment="1">
      <alignment vertical="center"/>
    </xf>
    <xf numFmtId="0" fontId="10" fillId="0" borderId="0" xfId="0" applyFont="1">
      <alignment vertical="center"/>
    </xf>
    <xf numFmtId="180" fontId="36" fillId="6" borderId="4" xfId="0" applyNumberFormat="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41" fontId="22" fillId="0" borderId="0" xfId="44" applyFont="1" applyAlignment="1">
      <alignment horizontal="center" vertical="center"/>
    </xf>
    <xf numFmtId="41" fontId="25" fillId="0" borderId="0" xfId="0" applyNumberFormat="1" applyFont="1" applyAlignment="1">
      <alignment horizontal="center" vertical="center"/>
    </xf>
    <xf numFmtId="181" fontId="0" fillId="0" borderId="0" xfId="0" applyNumberFormat="1">
      <alignment vertical="center"/>
    </xf>
    <xf numFmtId="0" fontId="32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11" borderId="0" xfId="0" applyFont="1" applyFill="1">
      <alignment vertical="center"/>
    </xf>
    <xf numFmtId="41" fontId="36" fillId="6" borderId="4" xfId="46" applyFont="1" applyFill="1" applyBorder="1" applyAlignment="1">
      <alignment horizontal="center" vertical="center"/>
    </xf>
    <xf numFmtId="49" fontId="36" fillId="4" borderId="4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178" fontId="28" fillId="0" borderId="4" xfId="45" applyNumberFormat="1" applyFont="1" applyFill="1" applyBorder="1">
      <alignment vertical="center"/>
    </xf>
    <xf numFmtId="0" fontId="16" fillId="0" borderId="5" xfId="0" applyFont="1" applyFill="1" applyBorder="1" applyAlignment="1">
      <alignment horizontal="center" vertical="center"/>
    </xf>
    <xf numFmtId="41" fontId="21" fillId="2" borderId="5" xfId="44" applyFont="1" applyFill="1" applyBorder="1" applyAlignment="1">
      <alignment horizontal="right" vertical="center"/>
    </xf>
    <xf numFmtId="49" fontId="36" fillId="2" borderId="4" xfId="0" applyNumberFormat="1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178" fontId="28" fillId="4" borderId="4" xfId="45" applyNumberFormat="1" applyFont="1" applyFill="1" applyBorder="1">
      <alignment vertical="center"/>
    </xf>
    <xf numFmtId="41" fontId="21" fillId="4" borderId="6" xfId="44" applyFont="1" applyFill="1" applyBorder="1">
      <alignment vertical="center"/>
    </xf>
    <xf numFmtId="0" fontId="16" fillId="4" borderId="5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49" fontId="35" fillId="12" borderId="10" xfId="0" applyNumberFormat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182" fontId="21" fillId="4" borderId="6" xfId="44" applyNumberFormat="1" applyFont="1" applyFill="1" applyBorder="1">
      <alignment vertical="center"/>
    </xf>
    <xf numFmtId="0" fontId="40" fillId="0" borderId="4" xfId="0" applyFont="1" applyBorder="1" applyAlignment="1">
      <alignment horizontal="center" wrapText="1"/>
    </xf>
    <xf numFmtId="0" fontId="36" fillId="6" borderId="4" xfId="0" applyNumberFormat="1" applyFont="1" applyFill="1" applyBorder="1" applyAlignment="1">
      <alignment horizontal="center" vertical="center"/>
    </xf>
    <xf numFmtId="0" fontId="36" fillId="2" borderId="4" xfId="0" applyNumberFormat="1" applyFont="1" applyFill="1" applyBorder="1" applyAlignment="1">
      <alignment horizontal="center" vertical="center"/>
    </xf>
    <xf numFmtId="49" fontId="35" fillId="5" borderId="10" xfId="0" applyNumberFormat="1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183" fontId="10" fillId="11" borderId="0" xfId="0" applyNumberFormat="1" applyFont="1" applyFill="1" applyAlignment="1">
      <alignment horizontal="center" vertical="center"/>
    </xf>
    <xf numFmtId="49" fontId="36" fillId="0" borderId="0" xfId="0" applyNumberFormat="1" applyFont="1" applyFill="1" applyBorder="1" applyAlignment="1">
      <alignment vertical="center"/>
    </xf>
    <xf numFmtId="49" fontId="36" fillId="0" borderId="0" xfId="0" quotePrefix="1" applyNumberFormat="1" applyFont="1" applyFill="1" applyBorder="1" applyAlignment="1">
      <alignment vertical="center"/>
    </xf>
    <xf numFmtId="180" fontId="36" fillId="8" borderId="4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 wrapText="1"/>
    </xf>
    <xf numFmtId="3" fontId="21" fillId="0" borderId="0" xfId="0" applyNumberFormat="1" applyFont="1" applyBorder="1" applyAlignment="1">
      <alignment horizontal="right" wrapText="1"/>
    </xf>
    <xf numFmtId="3" fontId="21" fillId="2" borderId="0" xfId="0" applyNumberFormat="1" applyFont="1" applyFill="1" applyBorder="1" applyAlignment="1">
      <alignment horizontal="right" wrapText="1"/>
    </xf>
    <xf numFmtId="2" fontId="38" fillId="11" borderId="0" xfId="0" applyNumberFormat="1" applyFont="1" applyFill="1">
      <alignment vertical="center"/>
    </xf>
    <xf numFmtId="41" fontId="0" fillId="0" borderId="0" xfId="46" applyFont="1">
      <alignment vertical="center"/>
    </xf>
    <xf numFmtId="41" fontId="21" fillId="0" borderId="0" xfId="46" applyFont="1">
      <alignment vertical="center"/>
    </xf>
    <xf numFmtId="41" fontId="21" fillId="0" borderId="0" xfId="0" applyNumberFormat="1" applyFont="1">
      <alignment vertical="center"/>
    </xf>
    <xf numFmtId="182" fontId="21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44" fillId="0" borderId="0" xfId="0" applyFont="1" applyAlignment="1">
      <alignment vertical="center" wrapText="1"/>
    </xf>
    <xf numFmtId="0" fontId="44" fillId="10" borderId="4" xfId="0" applyFont="1" applyFill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 wrapText="1"/>
    </xf>
    <xf numFmtId="49" fontId="36" fillId="6" borderId="0" xfId="0" applyNumberFormat="1" applyFont="1" applyFill="1" applyBorder="1" applyAlignment="1">
      <alignment horizontal="center" vertical="center"/>
    </xf>
    <xf numFmtId="49" fontId="47" fillId="5" borderId="4" xfId="0" applyNumberFormat="1" applyFont="1" applyFill="1" applyBorder="1" applyAlignment="1">
      <alignment horizontal="center" vertical="center"/>
    </xf>
    <xf numFmtId="49" fontId="10" fillId="6" borderId="4" xfId="0" applyNumberFormat="1" applyFont="1" applyFill="1" applyBorder="1" applyAlignment="1">
      <alignment horizontal="center" vertical="center"/>
    </xf>
    <xf numFmtId="0" fontId="10" fillId="6" borderId="4" xfId="0" applyNumberFormat="1" applyFont="1" applyFill="1" applyBorder="1" applyAlignment="1">
      <alignment horizontal="center" vertical="center"/>
    </xf>
    <xf numFmtId="179" fontId="10" fillId="6" borderId="4" xfId="0" applyNumberFormat="1" applyFont="1" applyFill="1" applyBorder="1" applyAlignment="1">
      <alignment horizontal="center" vertical="center"/>
    </xf>
    <xf numFmtId="179" fontId="10" fillId="7" borderId="4" xfId="0" applyNumberFormat="1" applyFont="1" applyFill="1" applyBorder="1" applyAlignment="1">
      <alignment horizontal="center" vertical="center"/>
    </xf>
    <xf numFmtId="179" fontId="10" fillId="8" borderId="4" xfId="0" applyNumberFormat="1" applyFont="1" applyFill="1" applyBorder="1" applyAlignment="1">
      <alignment horizontal="center" vertical="center"/>
    </xf>
    <xf numFmtId="179" fontId="10" fillId="6" borderId="4" xfId="0" applyNumberFormat="1" applyFont="1" applyFill="1" applyBorder="1" applyAlignment="1">
      <alignment horizontal="center" vertical="center" wrapText="1"/>
    </xf>
    <xf numFmtId="49" fontId="47" fillId="9" borderId="4" xfId="0" applyNumberFormat="1" applyFont="1" applyFill="1" applyBorder="1" applyAlignment="1">
      <alignment horizontal="center" vertical="center"/>
    </xf>
    <xf numFmtId="0" fontId="47" fillId="9" borderId="4" xfId="0" applyFont="1" applyFill="1" applyBorder="1" applyAlignment="1">
      <alignment horizontal="center" vertical="center"/>
    </xf>
    <xf numFmtId="179" fontId="47" fillId="9" borderId="4" xfId="0" applyNumberFormat="1" applyFont="1" applyFill="1" applyBorder="1" applyAlignment="1">
      <alignment vertical="center"/>
    </xf>
    <xf numFmtId="185" fontId="0" fillId="0" borderId="0" xfId="43" applyNumberFormat="1" applyFont="1">
      <alignment vertical="center"/>
    </xf>
    <xf numFmtId="41" fontId="40" fillId="0" borderId="4" xfId="46" applyFont="1" applyBorder="1" applyAlignment="1">
      <alignment horizontal="center" wrapText="1"/>
    </xf>
    <xf numFmtId="41" fontId="36" fillId="7" borderId="4" xfId="46" applyFont="1" applyFill="1" applyBorder="1" applyAlignment="1">
      <alignment horizontal="center" vertical="center"/>
    </xf>
    <xf numFmtId="41" fontId="36" fillId="8" borderId="4" xfId="46" applyFont="1" applyFill="1" applyBorder="1" applyAlignment="1">
      <alignment horizontal="center" vertical="center"/>
    </xf>
    <xf numFmtId="41" fontId="36" fillId="6" borderId="4" xfId="46" applyFont="1" applyFill="1" applyBorder="1" applyAlignment="1">
      <alignment horizontal="center" vertical="center" wrapText="1"/>
    </xf>
    <xf numFmtId="184" fontId="21" fillId="0" borderId="4" xfId="0" applyNumberFormat="1" applyFont="1" applyBorder="1" applyAlignment="1">
      <alignment horizontal="center" vertical="center"/>
    </xf>
    <xf numFmtId="41" fontId="21" fillId="13" borderId="5" xfId="44" applyFont="1" applyFill="1" applyBorder="1" applyAlignment="1">
      <alignment horizontal="right" vertical="center"/>
    </xf>
    <xf numFmtId="0" fontId="21" fillId="0" borderId="4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41" fontId="21" fillId="0" borderId="4" xfId="46" applyFont="1" applyBorder="1" applyAlignment="1">
      <alignment horizontal="center" vertical="center"/>
    </xf>
    <xf numFmtId="3" fontId="21" fillId="0" borderId="6" xfId="0" applyNumberFormat="1" applyFont="1" applyBorder="1" applyAlignment="1">
      <alignment vertical="center" wrapText="1"/>
    </xf>
    <xf numFmtId="41" fontId="21" fillId="0" borderId="6" xfId="46" applyFont="1" applyBorder="1" applyAlignment="1">
      <alignment horizontal="right" wrapText="1"/>
    </xf>
    <xf numFmtId="41" fontId="21" fillId="2" borderId="6" xfId="46" applyFont="1" applyFill="1" applyBorder="1" applyAlignment="1">
      <alignment horizontal="right" wrapText="1"/>
    </xf>
    <xf numFmtId="180" fontId="36" fillId="6" borderId="4" xfId="0" quotePrefix="1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49" fontId="36" fillId="6" borderId="10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1" fontId="35" fillId="9" borderId="4" xfId="46" applyFont="1" applyFill="1" applyBorder="1" applyAlignment="1">
      <alignment vertical="center"/>
    </xf>
    <xf numFmtId="186" fontId="35" fillId="9" borderId="4" xfId="46" applyNumberFormat="1" applyFont="1" applyFill="1" applyBorder="1" applyAlignment="1">
      <alignment vertical="center"/>
    </xf>
    <xf numFmtId="187" fontId="0" fillId="0" borderId="0" xfId="0" applyNumberFormat="1">
      <alignment vertical="center"/>
    </xf>
    <xf numFmtId="49" fontId="36" fillId="4" borderId="10" xfId="0" applyNumberFormat="1" applyFont="1" applyFill="1" applyBorder="1" applyAlignment="1">
      <alignment horizontal="center" vertical="center"/>
    </xf>
    <xf numFmtId="188" fontId="17" fillId="0" borderId="12" xfId="0" applyNumberFormat="1" applyFont="1" applyBorder="1" applyAlignment="1">
      <alignment horizontal="center" vertical="center"/>
    </xf>
    <xf numFmtId="2" fontId="29" fillId="4" borderId="3" xfId="0" applyNumberFormat="1" applyFont="1" applyFill="1" applyBorder="1" applyAlignment="1">
      <alignment horizontal="center" vertical="center"/>
    </xf>
    <xf numFmtId="49" fontId="36" fillId="13" borderId="4" xfId="0" applyNumberFormat="1" applyFont="1" applyFill="1" applyBorder="1" applyAlignment="1">
      <alignment horizontal="center" vertical="center"/>
    </xf>
    <xf numFmtId="189" fontId="36" fillId="8" borderId="4" xfId="0" applyNumberFormat="1" applyFont="1" applyFill="1" applyBorder="1" applyAlignment="1">
      <alignment horizontal="center" vertical="center"/>
    </xf>
    <xf numFmtId="0" fontId="27" fillId="0" borderId="13" xfId="0" applyFont="1" applyFill="1" applyBorder="1" applyAlignment="1">
      <alignment horizontal="center" vertical="center"/>
    </xf>
    <xf numFmtId="41" fontId="20" fillId="2" borderId="15" xfId="44" applyFont="1" applyFill="1" applyBorder="1">
      <alignment vertical="center"/>
    </xf>
    <xf numFmtId="0" fontId="20" fillId="2" borderId="14" xfId="0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/>
    </xf>
    <xf numFmtId="41" fontId="35" fillId="5" borderId="4" xfId="46" applyFont="1" applyFill="1" applyBorder="1" applyAlignment="1">
      <alignment horizontal="center" vertical="center"/>
    </xf>
    <xf numFmtId="49" fontId="36" fillId="0" borderId="4" xfId="0" applyNumberFormat="1" applyFont="1" applyFill="1" applyBorder="1" applyAlignment="1">
      <alignment horizontal="center" vertical="center"/>
    </xf>
    <xf numFmtId="186" fontId="36" fillId="8" borderId="4" xfId="46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48">
    <cellStyle name="Normal 2" xfId="47" xr:uid="{00000000-0005-0000-0000-000000000000}"/>
    <cellStyle name="기본 2" xfId="13" xr:uid="{00000000-0005-0000-0000-000001000000}"/>
    <cellStyle name="기본 3" xfId="17" xr:uid="{00000000-0005-0000-0000-000002000000}"/>
    <cellStyle name="백분율" xfId="43" builtinId="5"/>
    <cellStyle name="쉼표 [0]" xfId="46" builtinId="6"/>
    <cellStyle name="쉼표 [0] 10 3" xfId="2" xr:uid="{00000000-0005-0000-0000-000005000000}"/>
    <cellStyle name="쉼표 [0] 10 3 2" xfId="26" xr:uid="{00000000-0005-0000-0000-000006000000}"/>
    <cellStyle name="쉼표 [0] 18 2 2 2" xfId="10" xr:uid="{00000000-0005-0000-0000-000007000000}"/>
    <cellStyle name="쉼표 [0] 18 2 2 2 2" xfId="29" xr:uid="{00000000-0005-0000-0000-000008000000}"/>
    <cellStyle name="쉼표 [0] 18 2 3" xfId="9" xr:uid="{00000000-0005-0000-0000-000009000000}"/>
    <cellStyle name="쉼표 [0] 18 2 3 2" xfId="28" xr:uid="{00000000-0005-0000-0000-00000A000000}"/>
    <cellStyle name="쉼표 [0] 18 4" xfId="5" xr:uid="{00000000-0005-0000-0000-00000B000000}"/>
    <cellStyle name="쉼표 [0] 18 4 2" xfId="27" xr:uid="{00000000-0005-0000-0000-00000C000000}"/>
    <cellStyle name="쉼표 [0] 18 5" xfId="11" xr:uid="{00000000-0005-0000-0000-00000D000000}"/>
    <cellStyle name="쉼표 [0] 18 5 2" xfId="30" xr:uid="{00000000-0005-0000-0000-00000E000000}"/>
    <cellStyle name="쉼표 [0] 2" xfId="25" xr:uid="{00000000-0005-0000-0000-00000F000000}"/>
    <cellStyle name="쉼표 [0] 2 10" xfId="45" xr:uid="{00000000-0005-0000-0000-000010000000}"/>
    <cellStyle name="쉼표 [0] 3" xfId="34" xr:uid="{00000000-0005-0000-0000-000011000000}"/>
    <cellStyle name="쉼표 [0] 34" xfId="42" xr:uid="{00000000-0005-0000-0000-000012000000}"/>
    <cellStyle name="쉼표 [0] 37" xfId="44" xr:uid="{00000000-0005-0000-0000-000013000000}"/>
    <cellStyle name="쉼표 [0] 4" xfId="36" xr:uid="{00000000-0005-0000-0000-000014000000}"/>
    <cellStyle name="쉼표 [0] 5" xfId="37" xr:uid="{00000000-0005-0000-0000-000015000000}"/>
    <cellStyle name="쉼표[0] 2" xfId="15" xr:uid="{00000000-0005-0000-0000-000016000000}"/>
    <cellStyle name="쉼표[0] 2 2" xfId="31" xr:uid="{00000000-0005-0000-0000-000017000000}"/>
    <cellStyle name="쉼표[0] 3" xfId="18" xr:uid="{00000000-0005-0000-0000-000018000000}"/>
    <cellStyle name="쉼표[0] 3 2" xfId="32" xr:uid="{00000000-0005-0000-0000-000019000000}"/>
    <cellStyle name="열어 본 하이퍼링크" xfId="16" xr:uid="{00000000-0005-0000-0000-00001A000000}"/>
    <cellStyle name="표준" xfId="0" builtinId="0"/>
    <cellStyle name="표준 10" xfId="35" xr:uid="{00000000-0005-0000-0000-00001C000000}"/>
    <cellStyle name="표준 10 2" xfId="38" xr:uid="{00000000-0005-0000-0000-00001D000000}"/>
    <cellStyle name="표준 146 3" xfId="12" xr:uid="{00000000-0005-0000-0000-00001E000000}"/>
    <cellStyle name="표준 149 2" xfId="8" xr:uid="{00000000-0005-0000-0000-00001F000000}"/>
    <cellStyle name="표준 151 2" xfId="6" xr:uid="{00000000-0005-0000-0000-000020000000}"/>
    <cellStyle name="표준 157" xfId="4" xr:uid="{00000000-0005-0000-0000-000021000000}"/>
    <cellStyle name="표준 168" xfId="14" xr:uid="{00000000-0005-0000-0000-000022000000}"/>
    <cellStyle name="표준 2" xfId="7" xr:uid="{00000000-0005-0000-0000-000023000000}"/>
    <cellStyle name="표준 2 2" xfId="39" xr:uid="{00000000-0005-0000-0000-000024000000}"/>
    <cellStyle name="표준 2 3" xfId="3" xr:uid="{00000000-0005-0000-0000-000025000000}"/>
    <cellStyle name="표준 3" xfId="19" xr:uid="{00000000-0005-0000-0000-000026000000}"/>
    <cellStyle name="표준 4" xfId="20" xr:uid="{00000000-0005-0000-0000-000027000000}"/>
    <cellStyle name="표준 5" xfId="21" xr:uid="{00000000-0005-0000-0000-000028000000}"/>
    <cellStyle name="표준 6" xfId="22" xr:uid="{00000000-0005-0000-0000-000029000000}"/>
    <cellStyle name="표준 7" xfId="23" xr:uid="{00000000-0005-0000-0000-00002A000000}"/>
    <cellStyle name="표준 8" xfId="24" xr:uid="{00000000-0005-0000-0000-00002B000000}"/>
    <cellStyle name="표준 9" xfId="33" xr:uid="{00000000-0005-0000-0000-00002C000000}"/>
    <cellStyle name="표준 90" xfId="40" xr:uid="{00000000-0005-0000-0000-00002D000000}"/>
    <cellStyle name="표준 97" xfId="41" xr:uid="{00000000-0005-0000-0000-00002E000000}"/>
    <cellStyle name="하이퍼링크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59"/>
  <sheetViews>
    <sheetView zoomScale="90" zoomScaleNormal="90" workbookViewId="0">
      <pane ySplit="1" topLeftCell="A707" activePane="bottomLeft" state="frozen"/>
      <selection pane="bottomLeft" activeCell="H733" sqref="H733"/>
    </sheetView>
  </sheetViews>
  <sheetFormatPr defaultRowHeight="16.5"/>
  <cols>
    <col min="1" max="1" width="23.75" customWidth="1"/>
    <col min="2" max="2" width="14" customWidth="1"/>
    <col min="3" max="3" width="31.875" customWidth="1"/>
    <col min="4" max="4" width="13.375" bestFit="1" customWidth="1"/>
    <col min="5" max="5" width="15.25" bestFit="1" customWidth="1"/>
    <col min="6" max="6" width="8.5" bestFit="1" customWidth="1"/>
    <col min="7" max="7" width="9" customWidth="1"/>
  </cols>
  <sheetData>
    <row r="1" spans="1:6">
      <c r="A1" s="25" t="s">
        <v>12</v>
      </c>
      <c r="B1" s="25" t="s">
        <v>134</v>
      </c>
      <c r="C1" s="25" t="s">
        <v>133</v>
      </c>
      <c r="D1" s="25" t="s">
        <v>131</v>
      </c>
      <c r="E1" s="57" t="s">
        <v>132</v>
      </c>
      <c r="F1" s="63" t="s">
        <v>135</v>
      </c>
    </row>
    <row r="2" spans="1:6">
      <c r="A2" s="26" t="s">
        <v>103</v>
      </c>
      <c r="B2" s="26" t="s">
        <v>397</v>
      </c>
      <c r="C2" s="26" t="s">
        <v>55</v>
      </c>
      <c r="D2" s="27">
        <v>1178900</v>
      </c>
      <c r="E2" s="29">
        <v>810040</v>
      </c>
    </row>
    <row r="3" spans="1:6">
      <c r="A3" s="26" t="s">
        <v>103</v>
      </c>
      <c r="B3" s="26" t="s">
        <v>397</v>
      </c>
      <c r="C3" s="26" t="s">
        <v>386</v>
      </c>
      <c r="D3" s="27">
        <v>2183065</v>
      </c>
      <c r="E3" s="29">
        <v>1516809</v>
      </c>
    </row>
    <row r="4" spans="1:6">
      <c r="A4" s="26" t="s">
        <v>103</v>
      </c>
      <c r="B4" s="26" t="s">
        <v>397</v>
      </c>
      <c r="C4" s="26" t="s">
        <v>321</v>
      </c>
      <c r="D4" s="27">
        <v>498435</v>
      </c>
      <c r="E4" s="29">
        <v>346386</v>
      </c>
    </row>
    <row r="5" spans="1:6">
      <c r="A5" s="26" t="s">
        <v>103</v>
      </c>
      <c r="B5" s="26" t="s">
        <v>397</v>
      </c>
      <c r="C5" s="26" t="s">
        <v>312</v>
      </c>
      <c r="D5" s="27">
        <v>723460</v>
      </c>
      <c r="E5" s="29">
        <v>502846</v>
      </c>
    </row>
    <row r="6" spans="1:6">
      <c r="A6" s="26" t="s">
        <v>105</v>
      </c>
      <c r="B6" s="26" t="s">
        <v>397</v>
      </c>
      <c r="C6" s="26" t="s">
        <v>180</v>
      </c>
      <c r="D6" s="27">
        <v>1503980</v>
      </c>
      <c r="E6" s="29">
        <v>1046968</v>
      </c>
    </row>
    <row r="7" spans="1:6">
      <c r="A7" s="26" t="s">
        <v>105</v>
      </c>
      <c r="B7" s="26" t="s">
        <v>397</v>
      </c>
      <c r="C7" s="26" t="s">
        <v>387</v>
      </c>
      <c r="D7" s="27">
        <v>35898931.294200003</v>
      </c>
      <c r="E7" s="29">
        <v>24832005</v>
      </c>
    </row>
    <row r="8" spans="1:6">
      <c r="A8" s="26" t="s">
        <v>105</v>
      </c>
      <c r="B8" s="26" t="s">
        <v>397</v>
      </c>
      <c r="C8" s="26" t="s">
        <v>346</v>
      </c>
      <c r="D8" s="27">
        <v>771820</v>
      </c>
      <c r="E8" s="29">
        <v>533712</v>
      </c>
    </row>
    <row r="9" spans="1:6">
      <c r="A9" s="26" t="s">
        <v>105</v>
      </c>
      <c r="B9" s="26" t="s">
        <v>397</v>
      </c>
      <c r="C9" s="26" t="s">
        <v>308</v>
      </c>
      <c r="D9" s="27">
        <v>826960</v>
      </c>
      <c r="E9" s="29">
        <v>576256</v>
      </c>
    </row>
    <row r="10" spans="1:6">
      <c r="A10" s="26" t="s">
        <v>25</v>
      </c>
      <c r="B10" s="26" t="s">
        <v>397</v>
      </c>
      <c r="C10" s="26" t="s">
        <v>432</v>
      </c>
      <c r="D10" s="27">
        <v>391890</v>
      </c>
      <c r="E10" s="29">
        <v>270594</v>
      </c>
    </row>
    <row r="11" spans="1:6">
      <c r="A11" s="26" t="s">
        <v>25</v>
      </c>
      <c r="B11" s="26" t="s">
        <v>397</v>
      </c>
      <c r="C11" s="26" t="s">
        <v>56</v>
      </c>
      <c r="D11" s="27">
        <v>11000</v>
      </c>
      <c r="E11" s="29">
        <v>7700</v>
      </c>
    </row>
    <row r="12" spans="1:6">
      <c r="A12" s="26" t="s">
        <v>25</v>
      </c>
      <c r="B12" s="26" t="s">
        <v>397</v>
      </c>
      <c r="C12" s="26" t="s">
        <v>75</v>
      </c>
      <c r="D12" s="27">
        <v>219840</v>
      </c>
      <c r="E12" s="29">
        <v>153294</v>
      </c>
    </row>
    <row r="13" spans="1:6">
      <c r="A13" s="26" t="s">
        <v>105</v>
      </c>
      <c r="B13" s="26" t="s">
        <v>397</v>
      </c>
      <c r="C13" s="26" t="s">
        <v>231</v>
      </c>
      <c r="D13" s="27">
        <v>156100</v>
      </c>
      <c r="E13" s="29">
        <v>107770</v>
      </c>
    </row>
    <row r="14" spans="1:6">
      <c r="A14" s="26" t="s">
        <v>105</v>
      </c>
      <c r="B14" s="26" t="s">
        <v>397</v>
      </c>
      <c r="C14" s="26" t="s">
        <v>76</v>
      </c>
      <c r="D14" s="27">
        <v>1374790</v>
      </c>
      <c r="E14" s="29">
        <v>943374</v>
      </c>
    </row>
    <row r="15" spans="1:6">
      <c r="A15" s="26" t="s">
        <v>105</v>
      </c>
      <c r="B15" s="26" t="s">
        <v>397</v>
      </c>
      <c r="C15" s="26" t="s">
        <v>77</v>
      </c>
      <c r="D15" s="27">
        <v>13596071</v>
      </c>
      <c r="E15" s="29">
        <v>9427573</v>
      </c>
    </row>
    <row r="16" spans="1:6">
      <c r="A16" s="26" t="s">
        <v>25</v>
      </c>
      <c r="B16" s="26" t="s">
        <v>397</v>
      </c>
      <c r="C16" s="26" t="s">
        <v>87</v>
      </c>
      <c r="D16" s="27">
        <v>12000</v>
      </c>
      <c r="E16" s="29">
        <v>8400</v>
      </c>
    </row>
    <row r="17" spans="1:5">
      <c r="A17" s="26" t="s">
        <v>25</v>
      </c>
      <c r="B17" s="26" t="s">
        <v>397</v>
      </c>
      <c r="C17" s="26" t="s">
        <v>21</v>
      </c>
      <c r="D17" s="27">
        <v>12800</v>
      </c>
      <c r="E17" s="29">
        <v>8960</v>
      </c>
    </row>
    <row r="18" spans="1:5">
      <c r="A18" s="26" t="s">
        <v>25</v>
      </c>
      <c r="B18" s="26" t="s">
        <v>397</v>
      </c>
      <c r="C18" s="26" t="s">
        <v>327</v>
      </c>
      <c r="D18" s="27">
        <v>20200</v>
      </c>
      <c r="E18" s="29">
        <v>14140</v>
      </c>
    </row>
    <row r="19" spans="1:5">
      <c r="A19" s="26" t="s">
        <v>25</v>
      </c>
      <c r="B19" s="26" t="s">
        <v>397</v>
      </c>
      <c r="C19" s="26" t="s">
        <v>86</v>
      </c>
      <c r="D19" s="27">
        <v>12400</v>
      </c>
      <c r="E19" s="29">
        <v>8680</v>
      </c>
    </row>
    <row r="20" spans="1:5">
      <c r="A20" s="26" t="s">
        <v>25</v>
      </c>
      <c r="B20" s="26" t="s">
        <v>397</v>
      </c>
      <c r="C20" s="26" t="s">
        <v>68</v>
      </c>
      <c r="D20" s="27">
        <v>2864781</v>
      </c>
      <c r="E20" s="29">
        <v>1995438</v>
      </c>
    </row>
    <row r="21" spans="1:5">
      <c r="A21" s="26" t="s">
        <v>25</v>
      </c>
      <c r="B21" s="26" t="s">
        <v>397</v>
      </c>
      <c r="C21" s="26" t="s">
        <v>78</v>
      </c>
      <c r="D21" s="27">
        <v>66600</v>
      </c>
      <c r="E21" s="29">
        <v>46290</v>
      </c>
    </row>
    <row r="22" spans="1:5">
      <c r="A22" s="26" t="s">
        <v>25</v>
      </c>
      <c r="B22" s="26" t="s">
        <v>397</v>
      </c>
      <c r="C22" s="26" t="s">
        <v>229</v>
      </c>
      <c r="D22" s="27">
        <v>1030725</v>
      </c>
      <c r="E22" s="29">
        <v>711470</v>
      </c>
    </row>
    <row r="23" spans="1:5">
      <c r="A23" s="26" t="s">
        <v>25</v>
      </c>
      <c r="B23" s="26" t="s">
        <v>397</v>
      </c>
      <c r="C23" s="26" t="s">
        <v>433</v>
      </c>
      <c r="D23" s="27">
        <v>829760</v>
      </c>
      <c r="E23" s="29">
        <v>570171</v>
      </c>
    </row>
    <row r="24" spans="1:5">
      <c r="A24" s="26" t="s">
        <v>25</v>
      </c>
      <c r="B24" s="26" t="s">
        <v>397</v>
      </c>
      <c r="C24" s="26" t="s">
        <v>267</v>
      </c>
      <c r="D24" s="27">
        <v>139250</v>
      </c>
      <c r="E24" s="29">
        <v>97420</v>
      </c>
    </row>
    <row r="25" spans="1:5">
      <c r="A25" s="26" t="s">
        <v>25</v>
      </c>
      <c r="B25" s="26" t="s">
        <v>397</v>
      </c>
      <c r="C25" s="26" t="s">
        <v>57</v>
      </c>
      <c r="D25" s="27">
        <v>700</v>
      </c>
      <c r="E25" s="29">
        <v>490</v>
      </c>
    </row>
    <row r="26" spans="1:5">
      <c r="A26" s="26" t="s">
        <v>25</v>
      </c>
      <c r="B26" s="26" t="s">
        <v>397</v>
      </c>
      <c r="C26" s="26" t="s">
        <v>328</v>
      </c>
      <c r="D26" s="27">
        <v>42300</v>
      </c>
      <c r="E26" s="29">
        <v>29610</v>
      </c>
    </row>
    <row r="27" spans="1:5">
      <c r="A27" s="26" t="s">
        <v>25</v>
      </c>
      <c r="B27" s="26" t="s">
        <v>397</v>
      </c>
      <c r="C27" s="26" t="s">
        <v>58</v>
      </c>
      <c r="D27" s="27">
        <v>73800</v>
      </c>
      <c r="E27" s="29">
        <v>51660</v>
      </c>
    </row>
    <row r="28" spans="1:5">
      <c r="A28" s="26" t="s">
        <v>25</v>
      </c>
      <c r="B28" s="26" t="s">
        <v>397</v>
      </c>
      <c r="C28" s="26" t="s">
        <v>59</v>
      </c>
      <c r="D28" s="27">
        <v>1198349</v>
      </c>
      <c r="E28" s="29">
        <v>833040</v>
      </c>
    </row>
    <row r="29" spans="1:5">
      <c r="A29" s="26" t="s">
        <v>25</v>
      </c>
      <c r="B29" s="26" t="s">
        <v>397</v>
      </c>
      <c r="C29" s="26" t="s">
        <v>173</v>
      </c>
      <c r="D29" s="27">
        <v>340020</v>
      </c>
      <c r="E29" s="29">
        <v>235962</v>
      </c>
    </row>
    <row r="30" spans="1:5">
      <c r="A30" s="26" t="s">
        <v>25</v>
      </c>
      <c r="B30" s="26" t="s">
        <v>397</v>
      </c>
      <c r="C30" s="26" t="s">
        <v>347</v>
      </c>
      <c r="D30" s="27">
        <v>725670</v>
      </c>
      <c r="E30" s="29">
        <v>503252</v>
      </c>
    </row>
    <row r="31" spans="1:5">
      <c r="A31" s="26" t="s">
        <v>25</v>
      </c>
      <c r="B31" s="26" t="s">
        <v>397</v>
      </c>
      <c r="C31" s="26" t="s">
        <v>79</v>
      </c>
      <c r="D31" s="27">
        <v>62940</v>
      </c>
      <c r="E31" s="29">
        <v>43464</v>
      </c>
    </row>
    <row r="32" spans="1:5">
      <c r="A32" s="26" t="s">
        <v>25</v>
      </c>
      <c r="B32" s="26" t="s">
        <v>397</v>
      </c>
      <c r="C32" s="26" t="s">
        <v>235</v>
      </c>
      <c r="D32" s="27">
        <v>3168290</v>
      </c>
      <c r="E32" s="29">
        <v>2205394</v>
      </c>
    </row>
    <row r="33" spans="1:5">
      <c r="A33" s="26" t="s">
        <v>25</v>
      </c>
      <c r="B33" s="26" t="s">
        <v>397</v>
      </c>
      <c r="C33" s="26" t="s">
        <v>294</v>
      </c>
      <c r="D33" s="27">
        <v>2529935</v>
      </c>
      <c r="E33" s="29">
        <v>1517961</v>
      </c>
    </row>
    <row r="34" spans="1:5">
      <c r="A34" s="26" t="s">
        <v>25</v>
      </c>
      <c r="B34" s="26" t="s">
        <v>397</v>
      </c>
      <c r="C34" s="26" t="s">
        <v>67</v>
      </c>
      <c r="D34" s="27">
        <v>4434807</v>
      </c>
      <c r="E34" s="29">
        <v>2439145</v>
      </c>
    </row>
    <row r="35" spans="1:5">
      <c r="A35" s="26" t="s">
        <v>105</v>
      </c>
      <c r="B35" s="26" t="s">
        <v>397</v>
      </c>
      <c r="C35" s="26" t="s">
        <v>314</v>
      </c>
      <c r="D35" s="27">
        <v>1289367</v>
      </c>
      <c r="E35" s="29">
        <v>773620</v>
      </c>
    </row>
    <row r="36" spans="1:5">
      <c r="A36" s="26" t="s">
        <v>25</v>
      </c>
      <c r="B36" s="26" t="s">
        <v>397</v>
      </c>
      <c r="C36" s="26" t="s">
        <v>41</v>
      </c>
      <c r="D36" s="27">
        <v>4075110</v>
      </c>
      <c r="E36" s="29">
        <v>2241313</v>
      </c>
    </row>
    <row r="37" spans="1:5">
      <c r="A37" s="26" t="s">
        <v>356</v>
      </c>
      <c r="B37" s="26" t="s">
        <v>367</v>
      </c>
      <c r="C37" s="26" t="s">
        <v>354</v>
      </c>
      <c r="D37" s="27">
        <v>1413834</v>
      </c>
      <c r="E37" s="29">
        <v>1073145</v>
      </c>
    </row>
    <row r="38" spans="1:5">
      <c r="A38" s="26" t="s">
        <v>356</v>
      </c>
      <c r="B38" s="26" t="s">
        <v>367</v>
      </c>
      <c r="C38" s="26" t="s">
        <v>355</v>
      </c>
      <c r="D38" s="27">
        <v>3037066</v>
      </c>
      <c r="E38" s="29">
        <v>2450108</v>
      </c>
    </row>
    <row r="39" spans="1:5">
      <c r="A39" s="26"/>
      <c r="B39" s="26"/>
      <c r="C39" s="26"/>
      <c r="D39" s="27"/>
      <c r="E39" s="29"/>
    </row>
    <row r="40" spans="1:5">
      <c r="A40" s="26" t="s">
        <v>416</v>
      </c>
      <c r="B40" s="26" t="s">
        <v>417</v>
      </c>
      <c r="C40" s="26" t="s">
        <v>373</v>
      </c>
      <c r="D40" s="27">
        <v>3927560</v>
      </c>
      <c r="E40" s="29">
        <v>3927560</v>
      </c>
    </row>
    <row r="41" spans="1:5">
      <c r="A41" s="26" t="s">
        <v>416</v>
      </c>
      <c r="B41" s="26" t="s">
        <v>417</v>
      </c>
      <c r="C41" s="26" t="s">
        <v>418</v>
      </c>
      <c r="D41" s="27">
        <v>5173654</v>
      </c>
      <c r="E41" s="29">
        <v>5173654</v>
      </c>
    </row>
    <row r="42" spans="1:5">
      <c r="A42" s="26"/>
      <c r="B42" s="26"/>
      <c r="C42" s="26"/>
      <c r="D42" s="27"/>
      <c r="E42" s="29"/>
    </row>
    <row r="43" spans="1:5">
      <c r="A43" s="26"/>
      <c r="B43" s="26"/>
      <c r="C43" s="26"/>
      <c r="D43" s="27"/>
      <c r="E43" s="29"/>
    </row>
    <row r="44" spans="1:5">
      <c r="A44" s="26" t="s">
        <v>265</v>
      </c>
      <c r="B44" s="26" t="s">
        <v>397</v>
      </c>
      <c r="C44" s="26" t="s">
        <v>268</v>
      </c>
      <c r="D44" s="27">
        <v>596.4</v>
      </c>
      <c r="E44" s="29">
        <v>328.02</v>
      </c>
    </row>
    <row r="45" spans="1:5">
      <c r="A45" s="26" t="s">
        <v>265</v>
      </c>
      <c r="B45" s="26" t="s">
        <v>397</v>
      </c>
      <c r="C45" s="26" t="s">
        <v>22</v>
      </c>
      <c r="D45" s="27">
        <v>138199.25</v>
      </c>
      <c r="E45" s="29">
        <v>76009.587499999994</v>
      </c>
    </row>
    <row r="46" spans="1:5">
      <c r="A46" s="26" t="s">
        <v>265</v>
      </c>
      <c r="B46" s="26" t="s">
        <v>397</v>
      </c>
      <c r="C46" s="26" t="s">
        <v>23</v>
      </c>
      <c r="D46" s="27">
        <v>93243.25</v>
      </c>
      <c r="E46" s="29">
        <v>51283.787499999999</v>
      </c>
    </row>
    <row r="47" spans="1:5">
      <c r="A47" s="26" t="s">
        <v>265</v>
      </c>
      <c r="B47" s="26" t="s">
        <v>397</v>
      </c>
      <c r="C47" s="26" t="s">
        <v>71</v>
      </c>
      <c r="D47" s="27">
        <v>189304.4</v>
      </c>
      <c r="E47" s="29">
        <v>113582.64</v>
      </c>
    </row>
    <row r="48" spans="1:5">
      <c r="A48" s="26" t="s">
        <v>265</v>
      </c>
      <c r="B48" s="26" t="s">
        <v>397</v>
      </c>
      <c r="C48" s="26" t="s">
        <v>82</v>
      </c>
      <c r="D48" s="27">
        <v>223032</v>
      </c>
      <c r="E48" s="29">
        <v>133819.20000000001</v>
      </c>
    </row>
    <row r="49" spans="1:5">
      <c r="A49" s="26" t="s">
        <v>265</v>
      </c>
      <c r="B49" s="26" t="s">
        <v>397</v>
      </c>
      <c r="C49" s="26" t="s">
        <v>378</v>
      </c>
      <c r="D49" s="27">
        <v>22992</v>
      </c>
      <c r="E49" s="29">
        <v>9196.7999999999993</v>
      </c>
    </row>
    <row r="50" spans="1:5">
      <c r="A50" s="26"/>
      <c r="B50" s="26"/>
      <c r="C50" s="26"/>
      <c r="D50" s="27"/>
      <c r="E50" s="29"/>
    </row>
    <row r="51" spans="1:5">
      <c r="A51" s="26" t="s">
        <v>149</v>
      </c>
      <c r="B51" s="26" t="s">
        <v>397</v>
      </c>
      <c r="C51" s="26" t="s">
        <v>21</v>
      </c>
      <c r="D51" s="27">
        <v>8190</v>
      </c>
      <c r="E51" s="29">
        <v>8190</v>
      </c>
    </row>
    <row r="52" spans="1:5">
      <c r="A52" s="26" t="s">
        <v>149</v>
      </c>
      <c r="B52" s="26" t="s">
        <v>397</v>
      </c>
      <c r="C52" s="26" t="s">
        <v>27</v>
      </c>
      <c r="D52" s="27">
        <v>21000</v>
      </c>
      <c r="E52" s="29">
        <v>21000</v>
      </c>
    </row>
    <row r="53" spans="1:5">
      <c r="A53" s="26" t="s">
        <v>149</v>
      </c>
      <c r="B53" s="26" t="s">
        <v>397</v>
      </c>
      <c r="C53" s="26" t="s">
        <v>17</v>
      </c>
      <c r="D53" s="27">
        <v>62720</v>
      </c>
      <c r="E53" s="29">
        <v>62720</v>
      </c>
    </row>
    <row r="54" spans="1:5">
      <c r="A54" s="26" t="s">
        <v>149</v>
      </c>
      <c r="B54" s="26" t="s">
        <v>397</v>
      </c>
      <c r="C54" s="26" t="s">
        <v>19</v>
      </c>
      <c r="D54" s="27">
        <v>45080</v>
      </c>
      <c r="E54" s="29">
        <v>45080</v>
      </c>
    </row>
    <row r="55" spans="1:5">
      <c r="A55" s="26" t="s">
        <v>149</v>
      </c>
      <c r="B55" s="26" t="s">
        <v>397</v>
      </c>
      <c r="C55" s="26" t="s">
        <v>72</v>
      </c>
      <c r="D55" s="27">
        <v>280</v>
      </c>
      <c r="E55" s="29">
        <v>280</v>
      </c>
    </row>
    <row r="56" spans="1:5">
      <c r="A56" s="26" t="s">
        <v>149</v>
      </c>
      <c r="B56" s="26" t="s">
        <v>397</v>
      </c>
      <c r="C56" s="26" t="s">
        <v>20</v>
      </c>
      <c r="D56" s="27">
        <v>46200</v>
      </c>
      <c r="E56" s="29">
        <v>46200</v>
      </c>
    </row>
    <row r="57" spans="1:5">
      <c r="A57" s="26" t="s">
        <v>149</v>
      </c>
      <c r="B57" s="26" t="s">
        <v>397</v>
      </c>
      <c r="C57" s="26" t="s">
        <v>155</v>
      </c>
      <c r="D57" s="27">
        <v>48000</v>
      </c>
      <c r="E57" s="29">
        <v>48000</v>
      </c>
    </row>
    <row r="58" spans="1:5">
      <c r="A58" s="26" t="s">
        <v>149</v>
      </c>
      <c r="B58" s="26" t="s">
        <v>397</v>
      </c>
      <c r="C58" s="26" t="s">
        <v>350</v>
      </c>
      <c r="D58" s="27">
        <v>14800</v>
      </c>
      <c r="E58" s="29">
        <v>14800</v>
      </c>
    </row>
    <row r="59" spans="1:5">
      <c r="A59" s="26" t="s">
        <v>149</v>
      </c>
      <c r="B59" s="26" t="s">
        <v>397</v>
      </c>
      <c r="C59" s="26" t="s">
        <v>37</v>
      </c>
      <c r="D59" s="27">
        <v>600</v>
      </c>
      <c r="E59" s="29">
        <v>600</v>
      </c>
    </row>
    <row r="60" spans="1:5">
      <c r="A60" s="26" t="s">
        <v>149</v>
      </c>
      <c r="B60" s="26" t="s">
        <v>397</v>
      </c>
      <c r="C60" s="26" t="s">
        <v>76</v>
      </c>
      <c r="D60" s="27">
        <v>717444</v>
      </c>
      <c r="E60" s="29">
        <v>717444</v>
      </c>
    </row>
    <row r="61" spans="1:5">
      <c r="A61" s="26" t="s">
        <v>149</v>
      </c>
      <c r="B61" s="26" t="s">
        <v>397</v>
      </c>
      <c r="C61" s="26" t="s">
        <v>250</v>
      </c>
      <c r="D61" s="27">
        <v>1202544</v>
      </c>
      <c r="E61" s="29">
        <v>1202544</v>
      </c>
    </row>
    <row r="62" spans="1:5">
      <c r="A62" s="26" t="s">
        <v>149</v>
      </c>
      <c r="B62" s="26" t="s">
        <v>397</v>
      </c>
      <c r="C62" s="26" t="s">
        <v>154</v>
      </c>
      <c r="D62" s="27">
        <v>1350</v>
      </c>
      <c r="E62" s="29">
        <v>1350</v>
      </c>
    </row>
    <row r="63" spans="1:5">
      <c r="A63" s="26" t="s">
        <v>149</v>
      </c>
      <c r="B63" s="26" t="s">
        <v>397</v>
      </c>
      <c r="C63" s="26" t="s">
        <v>57</v>
      </c>
      <c r="D63" s="27">
        <v>9240</v>
      </c>
      <c r="E63" s="29">
        <v>9240</v>
      </c>
    </row>
    <row r="64" spans="1:5">
      <c r="A64" s="26" t="s">
        <v>149</v>
      </c>
      <c r="B64" s="26" t="s">
        <v>397</v>
      </c>
      <c r="C64" s="26" t="s">
        <v>251</v>
      </c>
      <c r="D64" s="27">
        <v>3881808</v>
      </c>
      <c r="E64" s="29">
        <v>3881808</v>
      </c>
    </row>
    <row r="65" spans="1:5">
      <c r="A65" s="26" t="s">
        <v>149</v>
      </c>
      <c r="B65" s="26" t="s">
        <v>397</v>
      </c>
      <c r="C65" s="26" t="s">
        <v>180</v>
      </c>
      <c r="D65" s="27">
        <v>1628424</v>
      </c>
      <c r="E65" s="29">
        <v>1628424</v>
      </c>
    </row>
    <row r="66" spans="1:5">
      <c r="A66" s="26" t="s">
        <v>149</v>
      </c>
      <c r="B66" s="26" t="s">
        <v>397</v>
      </c>
      <c r="C66" s="26" t="s">
        <v>229</v>
      </c>
      <c r="D66" s="27">
        <v>14868</v>
      </c>
      <c r="E66" s="29">
        <v>14868</v>
      </c>
    </row>
    <row r="67" spans="1:5">
      <c r="A67" s="26" t="s">
        <v>149</v>
      </c>
      <c r="B67" s="26" t="s">
        <v>397</v>
      </c>
      <c r="C67" s="26" t="s">
        <v>269</v>
      </c>
      <c r="D67" s="27">
        <v>13356</v>
      </c>
      <c r="E67" s="29">
        <v>13356</v>
      </c>
    </row>
    <row r="68" spans="1:5">
      <c r="A68" s="26" t="s">
        <v>149</v>
      </c>
      <c r="B68" s="26" t="s">
        <v>397</v>
      </c>
      <c r="C68" s="26" t="s">
        <v>66</v>
      </c>
      <c r="D68" s="27">
        <v>53700</v>
      </c>
      <c r="E68" s="29">
        <v>53700</v>
      </c>
    </row>
    <row r="69" spans="1:5">
      <c r="A69" s="26" t="s">
        <v>149</v>
      </c>
      <c r="B69" s="26" t="s">
        <v>397</v>
      </c>
      <c r="C69" s="26" t="s">
        <v>330</v>
      </c>
      <c r="D69" s="27">
        <v>24948</v>
      </c>
      <c r="E69" s="29">
        <v>24948</v>
      </c>
    </row>
    <row r="70" spans="1:5">
      <c r="A70" s="26" t="s">
        <v>149</v>
      </c>
      <c r="B70" s="26" t="s">
        <v>397</v>
      </c>
      <c r="C70" s="26" t="s">
        <v>331</v>
      </c>
      <c r="D70" s="27">
        <v>30744</v>
      </c>
      <c r="E70" s="29">
        <v>30744</v>
      </c>
    </row>
    <row r="71" spans="1:5">
      <c r="A71" s="26" t="s">
        <v>149</v>
      </c>
      <c r="B71" s="26" t="s">
        <v>397</v>
      </c>
      <c r="C71" s="26" t="s">
        <v>332</v>
      </c>
      <c r="D71" s="27">
        <v>244608</v>
      </c>
      <c r="E71" s="29">
        <v>244608</v>
      </c>
    </row>
    <row r="72" spans="1:5">
      <c r="A72" s="26" t="s">
        <v>149</v>
      </c>
      <c r="B72" s="26" t="s">
        <v>397</v>
      </c>
      <c r="C72" s="26" t="s">
        <v>351</v>
      </c>
      <c r="D72" s="27">
        <v>13440</v>
      </c>
      <c r="E72" s="29">
        <v>13440</v>
      </c>
    </row>
    <row r="73" spans="1:5">
      <c r="A73" s="26" t="s">
        <v>149</v>
      </c>
      <c r="B73" s="26" t="s">
        <v>397</v>
      </c>
      <c r="C73" s="26" t="s">
        <v>389</v>
      </c>
      <c r="D73" s="27">
        <v>113400</v>
      </c>
      <c r="E73" s="29">
        <v>113400</v>
      </c>
    </row>
    <row r="74" spans="1:5">
      <c r="A74" s="26" t="s">
        <v>149</v>
      </c>
      <c r="B74" s="26" t="s">
        <v>397</v>
      </c>
      <c r="C74" s="26" t="s">
        <v>390</v>
      </c>
      <c r="D74" s="27">
        <v>29568</v>
      </c>
      <c r="E74" s="29">
        <v>29568</v>
      </c>
    </row>
    <row r="75" spans="1:5">
      <c r="A75" s="26" t="s">
        <v>149</v>
      </c>
      <c r="B75" s="26" t="s">
        <v>397</v>
      </c>
      <c r="C75" s="26" t="s">
        <v>391</v>
      </c>
      <c r="D75" s="27">
        <v>45600</v>
      </c>
      <c r="E75" s="29">
        <v>45600</v>
      </c>
    </row>
    <row r="76" spans="1:5">
      <c r="A76" s="26" t="s">
        <v>149</v>
      </c>
      <c r="B76" s="26" t="s">
        <v>397</v>
      </c>
      <c r="C76" s="26" t="s">
        <v>59</v>
      </c>
      <c r="D76" s="27">
        <v>5400</v>
      </c>
      <c r="E76" s="29">
        <v>5400</v>
      </c>
    </row>
    <row r="77" spans="1:5">
      <c r="A77" s="26" t="s">
        <v>149</v>
      </c>
      <c r="B77" s="26" t="s">
        <v>397</v>
      </c>
      <c r="C77" s="26" t="s">
        <v>380</v>
      </c>
      <c r="D77" s="27">
        <v>249000</v>
      </c>
      <c r="E77" s="29">
        <v>249000</v>
      </c>
    </row>
    <row r="78" spans="1:5">
      <c r="A78" s="26"/>
      <c r="B78" s="26"/>
      <c r="C78" s="26"/>
      <c r="D78" s="27"/>
      <c r="E78" s="29"/>
    </row>
    <row r="79" spans="1:5">
      <c r="A79" s="26"/>
      <c r="B79" s="26"/>
      <c r="C79" s="26"/>
      <c r="D79" s="27"/>
      <c r="E79" s="29"/>
    </row>
    <row r="80" spans="1:5">
      <c r="A80" s="26" t="s">
        <v>107</v>
      </c>
      <c r="B80" s="26" t="s">
        <v>397</v>
      </c>
      <c r="C80" s="26" t="s">
        <v>66</v>
      </c>
      <c r="D80" s="27">
        <v>34400</v>
      </c>
      <c r="E80" s="29">
        <v>24080</v>
      </c>
    </row>
    <row r="81" spans="1:7">
      <c r="A81" s="26" t="s">
        <v>107</v>
      </c>
      <c r="B81" s="26" t="s">
        <v>397</v>
      </c>
      <c r="C81" s="26" t="s">
        <v>386</v>
      </c>
      <c r="D81" s="27">
        <v>460000</v>
      </c>
      <c r="E81" s="29">
        <v>322000</v>
      </c>
    </row>
    <row r="82" spans="1:7">
      <c r="A82" s="26" t="s">
        <v>92</v>
      </c>
      <c r="B82" s="26" t="s">
        <v>397</v>
      </c>
      <c r="C82" s="26" t="s">
        <v>321</v>
      </c>
      <c r="D82" s="27">
        <v>108500</v>
      </c>
      <c r="E82" s="29">
        <v>75950</v>
      </c>
    </row>
    <row r="83" spans="1:7">
      <c r="A83" s="26" t="s">
        <v>92</v>
      </c>
      <c r="B83" s="26" t="s">
        <v>397</v>
      </c>
      <c r="C83" s="26" t="s">
        <v>281</v>
      </c>
      <c r="D83" s="27">
        <v>10500</v>
      </c>
      <c r="E83" s="29">
        <v>7350</v>
      </c>
    </row>
    <row r="84" spans="1:7">
      <c r="A84" s="26" t="s">
        <v>92</v>
      </c>
      <c r="B84" s="26" t="s">
        <v>397</v>
      </c>
      <c r="C84" s="26" t="s">
        <v>27</v>
      </c>
      <c r="D84" s="27">
        <v>400</v>
      </c>
      <c r="E84" s="29">
        <v>280</v>
      </c>
    </row>
    <row r="85" spans="1:7">
      <c r="A85" s="26" t="s">
        <v>92</v>
      </c>
      <c r="B85" s="26" t="s">
        <v>397</v>
      </c>
      <c r="C85" s="26" t="s">
        <v>349</v>
      </c>
      <c r="D85" s="27">
        <v>13500</v>
      </c>
      <c r="E85" s="29">
        <v>9450</v>
      </c>
    </row>
    <row r="86" spans="1:7">
      <c r="A86" s="26" t="s">
        <v>92</v>
      </c>
      <c r="B86" s="26" t="s">
        <v>397</v>
      </c>
      <c r="C86" s="26" t="s">
        <v>433</v>
      </c>
      <c r="D86" s="27">
        <v>33600</v>
      </c>
      <c r="E86" s="29">
        <v>23520</v>
      </c>
    </row>
    <row r="87" spans="1:7">
      <c r="A87" s="26" t="s">
        <v>92</v>
      </c>
      <c r="B87" s="26" t="s">
        <v>397</v>
      </c>
      <c r="C87" s="26" t="s">
        <v>72</v>
      </c>
      <c r="D87" s="27">
        <v>300</v>
      </c>
      <c r="E87" s="29">
        <v>210</v>
      </c>
    </row>
    <row r="88" spans="1:7">
      <c r="A88" s="26" t="s">
        <v>92</v>
      </c>
      <c r="B88" s="26" t="s">
        <v>397</v>
      </c>
      <c r="C88" s="26" t="s">
        <v>380</v>
      </c>
      <c r="D88" s="27">
        <v>10000</v>
      </c>
      <c r="E88" s="29">
        <v>7000</v>
      </c>
    </row>
    <row r="89" spans="1:7">
      <c r="A89" s="26" t="s">
        <v>107</v>
      </c>
      <c r="B89" s="26" t="s">
        <v>397</v>
      </c>
      <c r="C89" s="26" t="s">
        <v>347</v>
      </c>
      <c r="D89" s="27">
        <v>19000</v>
      </c>
      <c r="E89" s="29">
        <v>13300</v>
      </c>
    </row>
    <row r="90" spans="1:7">
      <c r="A90" s="26" t="s">
        <v>107</v>
      </c>
      <c r="B90" s="26" t="s">
        <v>397</v>
      </c>
      <c r="C90" s="26" t="s">
        <v>61</v>
      </c>
      <c r="D90" s="27">
        <v>209700</v>
      </c>
      <c r="E90" s="29">
        <v>146790</v>
      </c>
    </row>
    <row r="91" spans="1:7">
      <c r="A91" s="26"/>
      <c r="B91" s="26"/>
      <c r="C91" s="26"/>
      <c r="D91" s="27"/>
      <c r="E91" s="29"/>
    </row>
    <row r="92" spans="1:7">
      <c r="A92" s="26"/>
      <c r="B92" s="26"/>
      <c r="C92" s="26"/>
      <c r="D92" s="27"/>
      <c r="E92" s="29"/>
    </row>
    <row r="93" spans="1:7">
      <c r="A93" s="26" t="s">
        <v>142</v>
      </c>
      <c r="B93" s="26" t="s">
        <v>341</v>
      </c>
      <c r="C93" s="26" t="s">
        <v>30</v>
      </c>
      <c r="D93" s="27">
        <v>625100</v>
      </c>
      <c r="E93" s="29">
        <v>312550</v>
      </c>
      <c r="G93" s="66" t="s">
        <v>145</v>
      </c>
    </row>
    <row r="94" spans="1:7">
      <c r="A94" s="26" t="s">
        <v>143</v>
      </c>
      <c r="B94" s="26" t="s">
        <v>341</v>
      </c>
      <c r="C94" s="26" t="s">
        <v>30</v>
      </c>
      <c r="D94" s="27">
        <v>3150</v>
      </c>
      <c r="E94" s="29">
        <v>1575</v>
      </c>
      <c r="G94" s="67" t="s">
        <v>146</v>
      </c>
    </row>
    <row r="95" spans="1:7">
      <c r="A95" s="26" t="s">
        <v>144</v>
      </c>
      <c r="B95" s="26" t="s">
        <v>341</v>
      </c>
      <c r="C95" s="26" t="s">
        <v>30</v>
      </c>
      <c r="D95" s="27">
        <v>8400</v>
      </c>
      <c r="E95" s="29">
        <v>4200</v>
      </c>
    </row>
    <row r="96" spans="1:7">
      <c r="A96" s="26" t="s">
        <v>181</v>
      </c>
      <c r="B96" s="26" t="s">
        <v>341</v>
      </c>
      <c r="C96" s="26" t="s">
        <v>30</v>
      </c>
      <c r="D96" s="27">
        <v>2940</v>
      </c>
      <c r="E96" s="29">
        <v>1470</v>
      </c>
    </row>
    <row r="97" spans="1:5">
      <c r="A97" s="26" t="s">
        <v>286</v>
      </c>
      <c r="B97" s="26" t="s">
        <v>341</v>
      </c>
      <c r="C97" s="26" t="s">
        <v>31</v>
      </c>
      <c r="D97" s="27">
        <v>11760</v>
      </c>
      <c r="E97" s="29">
        <v>5880</v>
      </c>
    </row>
    <row r="98" spans="1:5">
      <c r="A98" s="26" t="s">
        <v>60</v>
      </c>
      <c r="B98" s="26" t="s">
        <v>367</v>
      </c>
      <c r="C98" s="26" t="s">
        <v>56</v>
      </c>
      <c r="D98" s="27">
        <v>900</v>
      </c>
      <c r="E98" s="29">
        <v>486</v>
      </c>
    </row>
    <row r="99" spans="1:5">
      <c r="A99" s="26" t="s">
        <v>60</v>
      </c>
      <c r="B99" s="26" t="s">
        <v>367</v>
      </c>
      <c r="C99" s="26" t="s">
        <v>76</v>
      </c>
      <c r="D99" s="27">
        <v>61020</v>
      </c>
      <c r="E99" s="29">
        <v>30510</v>
      </c>
    </row>
    <row r="100" spans="1:5">
      <c r="A100" s="26" t="s">
        <v>60</v>
      </c>
      <c r="B100" s="26" t="s">
        <v>367</v>
      </c>
      <c r="C100" s="26" t="s">
        <v>32</v>
      </c>
      <c r="D100" s="27">
        <v>7560</v>
      </c>
      <c r="E100" s="29">
        <v>3384</v>
      </c>
    </row>
    <row r="101" spans="1:5">
      <c r="A101" s="26" t="s">
        <v>60</v>
      </c>
      <c r="B101" s="26" t="s">
        <v>367</v>
      </c>
      <c r="C101" s="26" t="s">
        <v>30</v>
      </c>
      <c r="D101" s="27">
        <v>458460</v>
      </c>
      <c r="E101" s="29">
        <v>175203</v>
      </c>
    </row>
    <row r="102" spans="1:5">
      <c r="A102" s="26" t="s">
        <v>60</v>
      </c>
      <c r="B102" s="26" t="s">
        <v>367</v>
      </c>
      <c r="C102" s="26" t="s">
        <v>86</v>
      </c>
      <c r="D102" s="27">
        <v>25200</v>
      </c>
      <c r="E102" s="29">
        <v>11664</v>
      </c>
    </row>
    <row r="103" spans="1:5">
      <c r="A103" s="26" t="s">
        <v>60</v>
      </c>
      <c r="B103" s="26" t="s">
        <v>367</v>
      </c>
      <c r="C103" s="26" t="s">
        <v>17</v>
      </c>
      <c r="D103" s="27">
        <v>262440</v>
      </c>
      <c r="E103" s="29">
        <v>124870</v>
      </c>
    </row>
    <row r="104" spans="1:5">
      <c r="A104" s="26" t="s">
        <v>60</v>
      </c>
      <c r="B104" s="26" t="s">
        <v>367</v>
      </c>
      <c r="C104" s="26" t="s">
        <v>57</v>
      </c>
      <c r="D104" s="27">
        <v>2880</v>
      </c>
      <c r="E104" s="29">
        <v>1555</v>
      </c>
    </row>
    <row r="105" spans="1:5">
      <c r="A105" s="26" t="s">
        <v>60</v>
      </c>
      <c r="B105" s="26" t="s">
        <v>367</v>
      </c>
      <c r="C105" s="26" t="s">
        <v>72</v>
      </c>
      <c r="D105" s="27">
        <v>83160</v>
      </c>
      <c r="E105" s="29">
        <v>41472</v>
      </c>
    </row>
    <row r="106" spans="1:5">
      <c r="A106" s="26" t="s">
        <v>60</v>
      </c>
      <c r="B106" s="26" t="s">
        <v>367</v>
      </c>
      <c r="C106" s="26" t="s">
        <v>150</v>
      </c>
      <c r="D106" s="27">
        <v>59220</v>
      </c>
      <c r="E106" s="29">
        <v>29128</v>
      </c>
    </row>
    <row r="107" spans="1:5">
      <c r="A107" s="26" t="s">
        <v>60</v>
      </c>
      <c r="B107" s="26" t="s">
        <v>367</v>
      </c>
      <c r="C107" s="26" t="s">
        <v>31</v>
      </c>
      <c r="D107" s="27">
        <v>212220</v>
      </c>
      <c r="E107" s="29">
        <v>84861</v>
      </c>
    </row>
    <row r="108" spans="1:5">
      <c r="A108" s="26" t="s">
        <v>60</v>
      </c>
      <c r="B108" s="26" t="s">
        <v>367</v>
      </c>
      <c r="C108" s="26" t="s">
        <v>19</v>
      </c>
      <c r="D108" s="27">
        <v>45000</v>
      </c>
      <c r="E108" s="29">
        <v>21665</v>
      </c>
    </row>
    <row r="109" spans="1:5">
      <c r="A109" s="26" t="s">
        <v>60</v>
      </c>
      <c r="B109" s="26" t="s">
        <v>367</v>
      </c>
      <c r="C109" s="26" t="s">
        <v>61</v>
      </c>
      <c r="D109" s="27">
        <v>1351080</v>
      </c>
      <c r="E109" s="29">
        <v>630050</v>
      </c>
    </row>
    <row r="110" spans="1:5">
      <c r="A110" s="26" t="s">
        <v>60</v>
      </c>
      <c r="B110" s="26" t="s">
        <v>367</v>
      </c>
      <c r="C110" s="26" t="s">
        <v>386</v>
      </c>
      <c r="D110" s="27">
        <v>693180</v>
      </c>
      <c r="E110" s="29">
        <v>448128</v>
      </c>
    </row>
    <row r="111" spans="1:5">
      <c r="A111" s="26" t="s">
        <v>60</v>
      </c>
      <c r="B111" s="26" t="s">
        <v>367</v>
      </c>
      <c r="C111" s="26" t="s">
        <v>77</v>
      </c>
      <c r="D111" s="27">
        <v>545940</v>
      </c>
      <c r="E111" s="29">
        <v>354060</v>
      </c>
    </row>
    <row r="112" spans="1:5">
      <c r="A112" s="26" t="s">
        <v>60</v>
      </c>
      <c r="B112" s="26" t="s">
        <v>367</v>
      </c>
      <c r="C112" s="26" t="s">
        <v>321</v>
      </c>
      <c r="D112" s="27">
        <v>442260</v>
      </c>
      <c r="E112" s="29">
        <v>276570</v>
      </c>
    </row>
    <row r="113" spans="1:5">
      <c r="A113" s="26" t="s">
        <v>60</v>
      </c>
      <c r="B113" s="26" t="s">
        <v>367</v>
      </c>
      <c r="C113" s="26" t="s">
        <v>180</v>
      </c>
      <c r="D113" s="27">
        <v>349740</v>
      </c>
      <c r="E113" s="29">
        <v>234594</v>
      </c>
    </row>
    <row r="114" spans="1:5">
      <c r="A114" s="26" t="s">
        <v>60</v>
      </c>
      <c r="B114" s="26" t="s">
        <v>367</v>
      </c>
      <c r="C114" s="26" t="s">
        <v>66</v>
      </c>
      <c r="D114" s="27">
        <v>362340</v>
      </c>
      <c r="E114" s="29">
        <v>230562</v>
      </c>
    </row>
    <row r="115" spans="1:5">
      <c r="A115" s="26" t="s">
        <v>60</v>
      </c>
      <c r="B115" s="26" t="s">
        <v>367</v>
      </c>
      <c r="C115" s="26" t="s">
        <v>347</v>
      </c>
      <c r="D115" s="27">
        <v>345420</v>
      </c>
      <c r="E115" s="29">
        <v>223074</v>
      </c>
    </row>
    <row r="116" spans="1:5">
      <c r="A116" s="26" t="s">
        <v>60</v>
      </c>
      <c r="B116" s="26" t="s">
        <v>367</v>
      </c>
      <c r="C116" s="26" t="s">
        <v>179</v>
      </c>
      <c r="D116" s="27">
        <v>275040</v>
      </c>
      <c r="E116" s="29">
        <v>174276</v>
      </c>
    </row>
    <row r="117" spans="1:5">
      <c r="A117" s="26" t="s">
        <v>60</v>
      </c>
      <c r="B117" s="26" t="s">
        <v>367</v>
      </c>
      <c r="C117" s="26" t="s">
        <v>20</v>
      </c>
      <c r="D117" s="27">
        <v>207000</v>
      </c>
      <c r="E117" s="29">
        <v>135486</v>
      </c>
    </row>
    <row r="118" spans="1:5">
      <c r="A118" s="26" t="s">
        <v>60</v>
      </c>
      <c r="B118" s="26" t="s">
        <v>367</v>
      </c>
      <c r="C118" s="26" t="s">
        <v>380</v>
      </c>
      <c r="D118" s="27">
        <v>199260</v>
      </c>
      <c r="E118" s="29">
        <v>130752</v>
      </c>
    </row>
    <row r="119" spans="1:5">
      <c r="A119" s="26" t="s">
        <v>60</v>
      </c>
      <c r="B119" s="26" t="s">
        <v>367</v>
      </c>
      <c r="C119" s="26" t="s">
        <v>346</v>
      </c>
      <c r="D119" s="27">
        <v>145440</v>
      </c>
      <c r="E119" s="29">
        <v>96804</v>
      </c>
    </row>
    <row r="120" spans="1:5">
      <c r="A120" s="26" t="s">
        <v>60</v>
      </c>
      <c r="B120" s="26" t="s">
        <v>367</v>
      </c>
      <c r="C120" s="26" t="s">
        <v>308</v>
      </c>
      <c r="D120" s="27">
        <v>108900</v>
      </c>
      <c r="E120" s="29">
        <v>68058</v>
      </c>
    </row>
    <row r="121" spans="1:5">
      <c r="A121" s="26" t="s">
        <v>60</v>
      </c>
      <c r="B121" s="26" t="s">
        <v>367</v>
      </c>
      <c r="C121" s="26" t="s">
        <v>312</v>
      </c>
      <c r="D121" s="27">
        <v>76140</v>
      </c>
      <c r="E121" s="29">
        <v>48708</v>
      </c>
    </row>
    <row r="122" spans="1:5">
      <c r="A122" s="26" t="s">
        <v>60</v>
      </c>
      <c r="B122" s="26" t="s">
        <v>367</v>
      </c>
      <c r="C122" s="26" t="s">
        <v>254</v>
      </c>
      <c r="D122" s="27">
        <v>53280</v>
      </c>
      <c r="E122" s="29">
        <v>35334</v>
      </c>
    </row>
    <row r="123" spans="1:5">
      <c r="A123" s="26" t="s">
        <v>60</v>
      </c>
      <c r="B123" s="26" t="s">
        <v>367</v>
      </c>
      <c r="C123" s="26" t="s">
        <v>87</v>
      </c>
      <c r="D123" s="27">
        <v>34740</v>
      </c>
      <c r="E123" s="29">
        <v>22860</v>
      </c>
    </row>
    <row r="124" spans="1:5">
      <c r="A124" s="26" t="s">
        <v>60</v>
      </c>
      <c r="B124" s="26" t="s">
        <v>367</v>
      </c>
      <c r="C124" s="26" t="s">
        <v>231</v>
      </c>
      <c r="D124" s="27">
        <v>29520</v>
      </c>
      <c r="E124" s="29">
        <v>20088</v>
      </c>
    </row>
    <row r="125" spans="1:5">
      <c r="A125" s="26" t="s">
        <v>60</v>
      </c>
      <c r="B125" s="26" t="s">
        <v>367</v>
      </c>
      <c r="C125" s="26" t="s">
        <v>59</v>
      </c>
      <c r="D125" s="27">
        <v>18360</v>
      </c>
      <c r="E125" s="29">
        <v>11016</v>
      </c>
    </row>
    <row r="126" spans="1:5">
      <c r="A126" s="26" t="s">
        <v>60</v>
      </c>
      <c r="B126" s="26" t="s">
        <v>367</v>
      </c>
      <c r="C126" s="26" t="s">
        <v>88</v>
      </c>
      <c r="D126" s="27">
        <v>21780</v>
      </c>
      <c r="E126" s="29">
        <v>13824</v>
      </c>
    </row>
    <row r="127" spans="1:5">
      <c r="A127" s="26" t="s">
        <v>60</v>
      </c>
      <c r="B127" s="26" t="s">
        <v>367</v>
      </c>
      <c r="C127" s="26" t="s">
        <v>328</v>
      </c>
      <c r="D127" s="27">
        <v>9720</v>
      </c>
      <c r="E127" s="29">
        <v>6354</v>
      </c>
    </row>
    <row r="128" spans="1:5">
      <c r="A128" s="26" t="s">
        <v>60</v>
      </c>
      <c r="B128" s="26" t="s">
        <v>367</v>
      </c>
      <c r="C128" s="26" t="s">
        <v>89</v>
      </c>
      <c r="D128" s="27">
        <v>2700</v>
      </c>
      <c r="E128" s="29">
        <v>1620</v>
      </c>
    </row>
    <row r="129" spans="1:6">
      <c r="A129" s="26" t="s">
        <v>60</v>
      </c>
      <c r="B129" s="26" t="s">
        <v>367</v>
      </c>
      <c r="C129" s="26" t="s">
        <v>154</v>
      </c>
      <c r="D129" s="27">
        <v>720</v>
      </c>
      <c r="E129" s="29">
        <v>504</v>
      </c>
    </row>
    <row r="130" spans="1:6">
      <c r="A130" s="26" t="s">
        <v>60</v>
      </c>
      <c r="B130" s="26" t="s">
        <v>367</v>
      </c>
      <c r="C130" s="26" t="s">
        <v>327</v>
      </c>
      <c r="D130" s="27">
        <v>360</v>
      </c>
      <c r="E130" s="29">
        <v>252</v>
      </c>
    </row>
    <row r="131" spans="1:6">
      <c r="A131" s="26" t="s">
        <v>60</v>
      </c>
      <c r="B131" s="26" t="s">
        <v>367</v>
      </c>
      <c r="C131" s="26" t="s">
        <v>412</v>
      </c>
      <c r="D131" s="27">
        <v>7200</v>
      </c>
      <c r="E131" s="29">
        <v>4680</v>
      </c>
    </row>
    <row r="132" spans="1:6">
      <c r="A132" s="26"/>
      <c r="B132" s="26"/>
      <c r="C132" s="26"/>
      <c r="D132" s="27"/>
      <c r="E132" s="29"/>
    </row>
    <row r="133" spans="1:6">
      <c r="A133" s="26"/>
      <c r="B133" s="26"/>
      <c r="C133" s="26"/>
      <c r="D133" s="27"/>
      <c r="E133" s="29"/>
    </row>
    <row r="134" spans="1:6">
      <c r="A134" s="26"/>
      <c r="B134" s="26"/>
      <c r="C134" s="26"/>
      <c r="D134" s="27"/>
      <c r="E134" s="29"/>
    </row>
    <row r="135" spans="1:6">
      <c r="A135" s="45" t="s">
        <v>109</v>
      </c>
      <c r="B135" s="45" t="s">
        <v>274</v>
      </c>
      <c r="C135" s="45" t="s">
        <v>178</v>
      </c>
      <c r="D135" s="99"/>
      <c r="E135" s="29"/>
      <c r="F135" s="115" t="s">
        <v>342</v>
      </c>
    </row>
    <row r="136" spans="1:6">
      <c r="A136" s="26"/>
      <c r="B136" s="26"/>
      <c r="C136" s="26"/>
      <c r="D136" s="27"/>
      <c r="E136" s="29"/>
    </row>
    <row r="137" spans="1:6">
      <c r="A137" s="26" t="s">
        <v>110</v>
      </c>
      <c r="B137" s="26" t="s">
        <v>367</v>
      </c>
      <c r="C137" s="26" t="s">
        <v>386</v>
      </c>
      <c r="D137" s="27">
        <v>3510</v>
      </c>
      <c r="E137" s="29">
        <v>2457</v>
      </c>
    </row>
    <row r="138" spans="1:6">
      <c r="A138" s="26" t="s">
        <v>35</v>
      </c>
      <c r="B138" s="26" t="s">
        <v>367</v>
      </c>
      <c r="C138" s="26" t="s">
        <v>321</v>
      </c>
      <c r="D138" s="27">
        <v>35370</v>
      </c>
      <c r="E138" s="29">
        <v>46897</v>
      </c>
    </row>
    <row r="139" spans="1:6">
      <c r="A139" s="26" t="s">
        <v>35</v>
      </c>
      <c r="B139" s="26" t="s">
        <v>367</v>
      </c>
      <c r="C139" s="26" t="s">
        <v>312</v>
      </c>
      <c r="D139" s="27">
        <v>68175</v>
      </c>
      <c r="E139" s="29">
        <v>53455.5</v>
      </c>
    </row>
    <row r="140" spans="1:6">
      <c r="A140" s="26" t="s">
        <v>35</v>
      </c>
      <c r="B140" s="26" t="s">
        <v>367</v>
      </c>
      <c r="C140" s="26" t="s">
        <v>180</v>
      </c>
      <c r="D140" s="27">
        <v>709290</v>
      </c>
      <c r="E140" s="29">
        <v>641327</v>
      </c>
    </row>
    <row r="141" spans="1:6">
      <c r="A141" s="26" t="s">
        <v>35</v>
      </c>
      <c r="B141" s="26" t="s">
        <v>367</v>
      </c>
      <c r="C141" s="26" t="s">
        <v>179</v>
      </c>
      <c r="D141" s="27">
        <v>2176740</v>
      </c>
      <c r="E141" s="29">
        <v>1789994</v>
      </c>
    </row>
    <row r="142" spans="1:6">
      <c r="A142" s="26" t="s">
        <v>35</v>
      </c>
      <c r="B142" s="26" t="s">
        <v>367</v>
      </c>
      <c r="C142" s="26" t="s">
        <v>365</v>
      </c>
      <c r="D142" s="27">
        <v>30780</v>
      </c>
      <c r="E142" s="29">
        <v>21546</v>
      </c>
    </row>
    <row r="143" spans="1:6">
      <c r="A143" s="26" t="s">
        <v>35</v>
      </c>
      <c r="B143" s="26" t="s">
        <v>367</v>
      </c>
      <c r="C143" s="26" t="s">
        <v>308</v>
      </c>
      <c r="D143" s="27">
        <v>113602.5</v>
      </c>
      <c r="E143" s="29">
        <v>91428.75</v>
      </c>
    </row>
    <row r="144" spans="1:6">
      <c r="A144" s="26" t="s">
        <v>35</v>
      </c>
      <c r="B144" s="26" t="s">
        <v>367</v>
      </c>
      <c r="C144" s="26" t="s">
        <v>398</v>
      </c>
      <c r="D144" s="27">
        <v>140400</v>
      </c>
      <c r="E144" s="29">
        <v>98280</v>
      </c>
    </row>
    <row r="145" spans="1:5">
      <c r="A145" s="26" t="s">
        <v>35</v>
      </c>
      <c r="B145" s="26" t="s">
        <v>367</v>
      </c>
      <c r="C145" s="26" t="s">
        <v>399</v>
      </c>
      <c r="D145" s="27">
        <v>3240</v>
      </c>
      <c r="E145" s="29">
        <v>2268</v>
      </c>
    </row>
    <row r="146" spans="1:5">
      <c r="A146" s="26" t="s">
        <v>35</v>
      </c>
      <c r="B146" s="26" t="s">
        <v>367</v>
      </c>
      <c r="C146" s="26" t="s">
        <v>340</v>
      </c>
      <c r="D146" s="27">
        <v>135</v>
      </c>
      <c r="E146" s="29">
        <v>94.5</v>
      </c>
    </row>
    <row r="147" spans="1:5">
      <c r="A147" s="26" t="s">
        <v>35</v>
      </c>
      <c r="B147" s="26" t="s">
        <v>367</v>
      </c>
      <c r="C147" s="26" t="s">
        <v>56</v>
      </c>
      <c r="D147" s="27">
        <v>540</v>
      </c>
      <c r="E147" s="29">
        <v>378</v>
      </c>
    </row>
    <row r="148" spans="1:5">
      <c r="A148" s="26" t="s">
        <v>35</v>
      </c>
      <c r="B148" s="26" t="s">
        <v>367</v>
      </c>
      <c r="C148" s="26" t="s">
        <v>400</v>
      </c>
      <c r="D148" s="27"/>
      <c r="E148" s="29">
        <v>265</v>
      </c>
    </row>
    <row r="149" spans="1:5">
      <c r="A149" s="26" t="s">
        <v>35</v>
      </c>
      <c r="B149" s="26" t="s">
        <v>367</v>
      </c>
      <c r="C149" s="26" t="s">
        <v>352</v>
      </c>
      <c r="D149" s="27"/>
      <c r="E149" s="29">
        <v>56</v>
      </c>
    </row>
    <row r="150" spans="1:5">
      <c r="A150" s="26" t="s">
        <v>35</v>
      </c>
      <c r="B150" s="26" t="s">
        <v>367</v>
      </c>
      <c r="C150" s="26" t="s">
        <v>20</v>
      </c>
      <c r="D150" s="27">
        <v>134190</v>
      </c>
      <c r="E150" s="29">
        <v>93933</v>
      </c>
    </row>
    <row r="151" spans="1:5">
      <c r="A151" s="26" t="s">
        <v>35</v>
      </c>
      <c r="B151" s="26" t="s">
        <v>367</v>
      </c>
      <c r="C151" s="26" t="s">
        <v>90</v>
      </c>
      <c r="D151" s="27">
        <v>810</v>
      </c>
      <c r="E151" s="29">
        <v>567</v>
      </c>
    </row>
    <row r="152" spans="1:5">
      <c r="A152" s="26" t="s">
        <v>35</v>
      </c>
      <c r="B152" s="26" t="s">
        <v>367</v>
      </c>
      <c r="C152" s="26" t="s">
        <v>231</v>
      </c>
      <c r="D152" s="27">
        <v>17280</v>
      </c>
      <c r="E152" s="29">
        <v>12096</v>
      </c>
    </row>
    <row r="153" spans="1:5">
      <c r="A153" s="26" t="s">
        <v>35</v>
      </c>
      <c r="B153" s="26" t="s">
        <v>367</v>
      </c>
      <c r="C153" s="26" t="s">
        <v>76</v>
      </c>
      <c r="D153" s="27">
        <v>94770</v>
      </c>
      <c r="E153" s="29">
        <v>133812</v>
      </c>
    </row>
    <row r="154" spans="1:5">
      <c r="A154" s="26" t="s">
        <v>110</v>
      </c>
      <c r="B154" s="26" t="s">
        <v>367</v>
      </c>
      <c r="C154" s="26" t="s">
        <v>77</v>
      </c>
      <c r="D154" s="27">
        <v>1995030</v>
      </c>
      <c r="E154" s="29">
        <v>1501744</v>
      </c>
    </row>
    <row r="155" spans="1:5">
      <c r="A155" s="26" t="s">
        <v>35</v>
      </c>
      <c r="B155" s="26" t="s">
        <v>367</v>
      </c>
      <c r="C155" s="26" t="s">
        <v>29</v>
      </c>
      <c r="D155" s="27">
        <v>11745</v>
      </c>
      <c r="E155" s="29">
        <v>8221.5</v>
      </c>
    </row>
    <row r="156" spans="1:5">
      <c r="A156" s="26" t="s">
        <v>35</v>
      </c>
      <c r="B156" s="26" t="s">
        <v>367</v>
      </c>
      <c r="C156" s="26" t="s">
        <v>21</v>
      </c>
      <c r="D156" s="27"/>
      <c r="E156" s="29">
        <v>353</v>
      </c>
    </row>
    <row r="157" spans="1:5">
      <c r="A157" s="26" t="s">
        <v>35</v>
      </c>
      <c r="B157" s="26" t="s">
        <v>367</v>
      </c>
      <c r="C157" s="26" t="s">
        <v>327</v>
      </c>
      <c r="D157" s="27">
        <v>13365</v>
      </c>
      <c r="E157" s="29">
        <v>11295.5</v>
      </c>
    </row>
    <row r="158" spans="1:5">
      <c r="A158" s="26" t="s">
        <v>35</v>
      </c>
      <c r="B158" s="26" t="s">
        <v>367</v>
      </c>
      <c r="C158" s="26" t="s">
        <v>27</v>
      </c>
      <c r="D158" s="27"/>
      <c r="E158" s="29">
        <v>560</v>
      </c>
    </row>
    <row r="159" spans="1:5">
      <c r="A159" s="26" t="s">
        <v>35</v>
      </c>
      <c r="B159" s="26" t="s">
        <v>367</v>
      </c>
      <c r="C159" s="26" t="s">
        <v>91</v>
      </c>
      <c r="D159" s="27">
        <v>25785</v>
      </c>
      <c r="E159" s="29">
        <v>18049.5</v>
      </c>
    </row>
    <row r="160" spans="1:5">
      <c r="A160" s="26" t="s">
        <v>35</v>
      </c>
      <c r="B160" s="26" t="s">
        <v>367</v>
      </c>
      <c r="C160" s="26" t="s">
        <v>366</v>
      </c>
      <c r="D160" s="27">
        <v>1755</v>
      </c>
      <c r="E160" s="29">
        <v>1228.5</v>
      </c>
    </row>
    <row r="161" spans="1:5">
      <c r="A161" s="26" t="s">
        <v>35</v>
      </c>
      <c r="B161" s="26" t="s">
        <v>367</v>
      </c>
      <c r="C161" s="26" t="s">
        <v>229</v>
      </c>
      <c r="D161" s="27">
        <v>273375</v>
      </c>
      <c r="E161" s="29">
        <v>313695.5</v>
      </c>
    </row>
    <row r="162" spans="1:5">
      <c r="A162" s="26" t="s">
        <v>35</v>
      </c>
      <c r="B162" s="26" t="s">
        <v>367</v>
      </c>
      <c r="C162" s="26" t="s">
        <v>36</v>
      </c>
      <c r="D162" s="27">
        <v>24165</v>
      </c>
      <c r="E162" s="29">
        <v>37602.5</v>
      </c>
    </row>
    <row r="163" spans="1:5">
      <c r="A163" s="26" t="s">
        <v>35</v>
      </c>
      <c r="B163" s="26" t="s">
        <v>367</v>
      </c>
      <c r="C163" s="26" t="s">
        <v>267</v>
      </c>
      <c r="D163" s="27"/>
      <c r="E163" s="29">
        <v>1588</v>
      </c>
    </row>
    <row r="164" spans="1:5">
      <c r="A164" s="26" t="s">
        <v>35</v>
      </c>
      <c r="B164" s="26" t="s">
        <v>367</v>
      </c>
      <c r="C164" s="26" t="s">
        <v>57</v>
      </c>
      <c r="D164" s="27"/>
      <c r="E164" s="29">
        <v>176</v>
      </c>
    </row>
    <row r="165" spans="1:5">
      <c r="A165" s="26" t="s">
        <v>35</v>
      </c>
      <c r="B165" s="26" t="s">
        <v>367</v>
      </c>
      <c r="C165" s="26" t="s">
        <v>37</v>
      </c>
      <c r="D165" s="27">
        <v>53460</v>
      </c>
      <c r="E165" s="29">
        <v>37422</v>
      </c>
    </row>
    <row r="166" spans="1:5">
      <c r="A166" s="26" t="s">
        <v>35</v>
      </c>
      <c r="B166" s="26" t="s">
        <v>367</v>
      </c>
      <c r="C166" s="26" t="s">
        <v>328</v>
      </c>
      <c r="D166" s="27">
        <v>32940</v>
      </c>
      <c r="E166" s="29">
        <v>30026</v>
      </c>
    </row>
    <row r="167" spans="1:5">
      <c r="A167" s="26" t="s">
        <v>35</v>
      </c>
      <c r="B167" s="26" t="s">
        <v>367</v>
      </c>
      <c r="C167" s="26" t="s">
        <v>72</v>
      </c>
      <c r="D167" s="27">
        <v>6885</v>
      </c>
      <c r="E167" s="29">
        <v>4819.5</v>
      </c>
    </row>
    <row r="168" spans="1:5">
      <c r="A168" s="26" t="s">
        <v>35</v>
      </c>
      <c r="B168" s="26" t="s">
        <v>367</v>
      </c>
      <c r="C168" s="26" t="s">
        <v>59</v>
      </c>
      <c r="D168" s="27">
        <v>100575</v>
      </c>
      <c r="E168" s="29">
        <v>70402.5</v>
      </c>
    </row>
    <row r="169" spans="1:5">
      <c r="A169" s="26" t="s">
        <v>35</v>
      </c>
      <c r="B169" s="26" t="s">
        <v>367</v>
      </c>
      <c r="C169" s="26" t="s">
        <v>380</v>
      </c>
      <c r="D169" s="27">
        <v>25380</v>
      </c>
      <c r="E169" s="29">
        <v>17766</v>
      </c>
    </row>
    <row r="170" spans="1:5">
      <c r="A170" s="26" t="s">
        <v>35</v>
      </c>
      <c r="B170" s="26" t="s">
        <v>367</v>
      </c>
      <c r="C170" s="26" t="s">
        <v>347</v>
      </c>
      <c r="D170" s="27">
        <v>23625</v>
      </c>
      <c r="E170" s="29">
        <v>16537.5</v>
      </c>
    </row>
    <row r="171" spans="1:5">
      <c r="A171" s="26" t="s">
        <v>35</v>
      </c>
      <c r="B171" s="26" t="s">
        <v>367</v>
      </c>
      <c r="C171" s="26" t="s">
        <v>155</v>
      </c>
      <c r="D171" s="27">
        <v>72630</v>
      </c>
      <c r="E171" s="29">
        <v>50841</v>
      </c>
    </row>
    <row r="172" spans="1:5">
      <c r="A172" s="26" t="s">
        <v>35</v>
      </c>
      <c r="B172" s="26" t="s">
        <v>367</v>
      </c>
      <c r="C172" s="26" t="s">
        <v>170</v>
      </c>
      <c r="D172" s="27">
        <v>675</v>
      </c>
      <c r="E172" s="29">
        <v>472.5</v>
      </c>
    </row>
    <row r="173" spans="1:5">
      <c r="A173" s="26"/>
      <c r="B173" s="26"/>
      <c r="C173" s="26"/>
      <c r="D173" s="27"/>
      <c r="E173" s="29"/>
    </row>
    <row r="174" spans="1:5">
      <c r="A174" s="26"/>
      <c r="B174" s="26"/>
      <c r="C174" s="26"/>
      <c r="D174" s="27"/>
      <c r="E174" s="29"/>
    </row>
    <row r="175" spans="1:5">
      <c r="A175" s="26"/>
      <c r="B175" s="26"/>
      <c r="C175" s="26"/>
      <c r="D175" s="27"/>
      <c r="E175" s="29"/>
    </row>
    <row r="176" spans="1:5">
      <c r="A176" s="26" t="s">
        <v>291</v>
      </c>
      <c r="B176" s="26" t="s">
        <v>397</v>
      </c>
      <c r="C176" s="26" t="s">
        <v>77</v>
      </c>
      <c r="D176" s="27">
        <v>309400</v>
      </c>
      <c r="E176" s="29">
        <v>216580</v>
      </c>
    </row>
    <row r="177" spans="1:5">
      <c r="A177" s="26" t="s">
        <v>291</v>
      </c>
      <c r="B177" s="26" t="s">
        <v>397</v>
      </c>
      <c r="C177" s="26" t="s">
        <v>343</v>
      </c>
      <c r="D177" s="27">
        <v>285600</v>
      </c>
      <c r="E177" s="29">
        <v>199920</v>
      </c>
    </row>
    <row r="178" spans="1:5">
      <c r="A178" s="26" t="s">
        <v>291</v>
      </c>
      <c r="B178" s="26" t="s">
        <v>397</v>
      </c>
      <c r="C178" s="26" t="s">
        <v>179</v>
      </c>
      <c r="D178" s="27">
        <v>120000</v>
      </c>
      <c r="E178" s="29">
        <v>84000</v>
      </c>
    </row>
    <row r="179" spans="1:5">
      <c r="A179" s="26" t="s">
        <v>291</v>
      </c>
      <c r="B179" s="26" t="s">
        <v>397</v>
      </c>
      <c r="C179" s="26" t="s">
        <v>155</v>
      </c>
      <c r="D179" s="27">
        <v>66300</v>
      </c>
      <c r="E179" s="29">
        <v>46410</v>
      </c>
    </row>
    <row r="180" spans="1:5">
      <c r="A180" s="26" t="s">
        <v>291</v>
      </c>
      <c r="B180" s="26" t="s">
        <v>397</v>
      </c>
      <c r="C180" s="26" t="s">
        <v>37</v>
      </c>
      <c r="D180" s="27">
        <v>64200</v>
      </c>
      <c r="E180" s="29">
        <v>44940</v>
      </c>
    </row>
    <row r="181" spans="1:5">
      <c r="A181" s="26" t="s">
        <v>291</v>
      </c>
      <c r="B181" s="26" t="s">
        <v>397</v>
      </c>
      <c r="C181" s="26" t="s">
        <v>180</v>
      </c>
      <c r="D181" s="27">
        <v>42600</v>
      </c>
      <c r="E181" s="29">
        <v>29819.999999999996</v>
      </c>
    </row>
    <row r="182" spans="1:5">
      <c r="A182" s="26" t="s">
        <v>291</v>
      </c>
      <c r="B182" s="26" t="s">
        <v>397</v>
      </c>
      <c r="C182" s="26" t="s">
        <v>76</v>
      </c>
      <c r="D182" s="27">
        <v>36200</v>
      </c>
      <c r="E182" s="29">
        <v>25340</v>
      </c>
    </row>
    <row r="183" spans="1:5">
      <c r="A183" s="26" t="s">
        <v>291</v>
      </c>
      <c r="B183" s="26" t="s">
        <v>397</v>
      </c>
      <c r="C183" s="26" t="s">
        <v>66</v>
      </c>
      <c r="D183" s="27">
        <v>20900</v>
      </c>
      <c r="E183" s="29">
        <v>14629.999999999998</v>
      </c>
    </row>
    <row r="184" spans="1:5">
      <c r="A184" s="26" t="s">
        <v>291</v>
      </c>
      <c r="B184" s="26" t="s">
        <v>397</v>
      </c>
      <c r="C184" s="26" t="s">
        <v>17</v>
      </c>
      <c r="D184" s="27">
        <v>20100</v>
      </c>
      <c r="E184" s="29">
        <v>14070</v>
      </c>
    </row>
    <row r="185" spans="1:5">
      <c r="A185" s="26" t="s">
        <v>291</v>
      </c>
      <c r="B185" s="26" t="s">
        <v>397</v>
      </c>
      <c r="C185" s="26" t="s">
        <v>233</v>
      </c>
      <c r="D185" s="27">
        <v>15000</v>
      </c>
      <c r="E185" s="29">
        <v>10500</v>
      </c>
    </row>
    <row r="186" spans="1:5">
      <c r="A186" s="26" t="s">
        <v>291</v>
      </c>
      <c r="B186" s="26" t="s">
        <v>397</v>
      </c>
      <c r="C186" s="26" t="s">
        <v>154</v>
      </c>
      <c r="D186" s="27">
        <v>9800</v>
      </c>
      <c r="E186" s="29">
        <v>6860</v>
      </c>
    </row>
    <row r="187" spans="1:5">
      <c r="A187" s="26" t="s">
        <v>291</v>
      </c>
      <c r="B187" s="26" t="s">
        <v>397</v>
      </c>
      <c r="C187" s="26" t="s">
        <v>229</v>
      </c>
      <c r="D187" s="27">
        <v>9400</v>
      </c>
      <c r="E187" s="29">
        <v>6580</v>
      </c>
    </row>
    <row r="188" spans="1:5">
      <c r="A188" s="26" t="s">
        <v>291</v>
      </c>
      <c r="B188" s="26" t="s">
        <v>397</v>
      </c>
      <c r="C188" s="26" t="s">
        <v>72</v>
      </c>
      <c r="D188" s="27">
        <v>7500</v>
      </c>
      <c r="E188" s="29">
        <v>5250</v>
      </c>
    </row>
    <row r="189" spans="1:5">
      <c r="A189" s="26" t="s">
        <v>291</v>
      </c>
      <c r="B189" s="26" t="s">
        <v>397</v>
      </c>
      <c r="C189" s="26" t="s">
        <v>159</v>
      </c>
      <c r="D189" s="27">
        <v>3900</v>
      </c>
      <c r="E189" s="29">
        <v>2730</v>
      </c>
    </row>
    <row r="190" spans="1:5">
      <c r="A190" s="26" t="s">
        <v>291</v>
      </c>
      <c r="B190" s="26" t="s">
        <v>397</v>
      </c>
      <c r="C190" s="26" t="s">
        <v>19</v>
      </c>
      <c r="D190" s="27">
        <v>3000</v>
      </c>
      <c r="E190" s="29">
        <v>2100</v>
      </c>
    </row>
    <row r="191" spans="1:5">
      <c r="A191" s="26" t="s">
        <v>291</v>
      </c>
      <c r="B191" s="26" t="s">
        <v>397</v>
      </c>
      <c r="C191" s="26" t="s">
        <v>20</v>
      </c>
      <c r="D191" s="27">
        <v>2400</v>
      </c>
      <c r="E191" s="29">
        <v>1680</v>
      </c>
    </row>
    <row r="192" spans="1:5">
      <c r="A192" s="26" t="s">
        <v>291</v>
      </c>
      <c r="B192" s="26" t="s">
        <v>397</v>
      </c>
      <c r="C192" s="26" t="s">
        <v>292</v>
      </c>
      <c r="D192" s="27">
        <v>2400</v>
      </c>
      <c r="E192" s="29">
        <v>1680</v>
      </c>
    </row>
    <row r="193" spans="1:5">
      <c r="A193" s="26" t="s">
        <v>291</v>
      </c>
      <c r="B193" s="26" t="s">
        <v>397</v>
      </c>
      <c r="C193" s="26" t="s">
        <v>424</v>
      </c>
      <c r="D193" s="27">
        <v>900</v>
      </c>
      <c r="E193" s="29">
        <v>630</v>
      </c>
    </row>
    <row r="194" spans="1:5">
      <c r="A194" s="26"/>
      <c r="B194" s="26"/>
      <c r="C194" s="26"/>
      <c r="D194" s="27"/>
      <c r="E194" s="29"/>
    </row>
    <row r="195" spans="1:5">
      <c r="A195" s="26" t="s">
        <v>182</v>
      </c>
      <c r="B195" s="26" t="s">
        <v>367</v>
      </c>
      <c r="C195" s="26" t="s">
        <v>66</v>
      </c>
      <c r="D195" s="27">
        <v>8900</v>
      </c>
      <c r="E195" s="29">
        <v>6230</v>
      </c>
    </row>
    <row r="196" spans="1:5">
      <c r="A196" s="26" t="s">
        <v>182</v>
      </c>
      <c r="B196" s="26" t="s">
        <v>367</v>
      </c>
      <c r="C196" s="26" t="s">
        <v>386</v>
      </c>
      <c r="D196" s="27">
        <v>15540</v>
      </c>
      <c r="E196" s="29">
        <v>10878</v>
      </c>
    </row>
    <row r="197" spans="1:5">
      <c r="A197" s="26" t="s">
        <v>182</v>
      </c>
      <c r="B197" s="26" t="s">
        <v>367</v>
      </c>
      <c r="C197" s="26" t="s">
        <v>321</v>
      </c>
      <c r="D197" s="27">
        <v>82300</v>
      </c>
      <c r="E197" s="29">
        <v>57610</v>
      </c>
    </row>
    <row r="198" spans="1:5">
      <c r="A198" s="26" t="s">
        <v>182</v>
      </c>
      <c r="B198" s="26" t="s">
        <v>367</v>
      </c>
      <c r="C198" s="26" t="s">
        <v>312</v>
      </c>
      <c r="D198" s="27">
        <v>43540</v>
      </c>
      <c r="E198" s="29">
        <v>30478</v>
      </c>
    </row>
    <row r="199" spans="1:5">
      <c r="A199" s="26" t="s">
        <v>182</v>
      </c>
      <c r="B199" s="26" t="s">
        <v>367</v>
      </c>
      <c r="C199" s="26" t="s">
        <v>180</v>
      </c>
      <c r="D199" s="27">
        <v>544270</v>
      </c>
      <c r="E199" s="29">
        <v>380989</v>
      </c>
    </row>
    <row r="200" spans="1:5">
      <c r="A200" s="26" t="s">
        <v>182</v>
      </c>
      <c r="B200" s="26" t="s">
        <v>367</v>
      </c>
      <c r="C200" s="26" t="s">
        <v>179</v>
      </c>
      <c r="D200" s="27">
        <v>918030</v>
      </c>
      <c r="E200" s="29">
        <v>642621</v>
      </c>
    </row>
    <row r="201" spans="1:5">
      <c r="A201" s="26" t="s">
        <v>182</v>
      </c>
      <c r="B201" s="26" t="s">
        <v>367</v>
      </c>
      <c r="C201" s="26" t="s">
        <v>346</v>
      </c>
      <c r="D201" s="27">
        <v>11200</v>
      </c>
      <c r="E201" s="29">
        <v>7840</v>
      </c>
    </row>
    <row r="202" spans="1:5">
      <c r="A202" s="26" t="s">
        <v>182</v>
      </c>
      <c r="B202" s="26" t="s">
        <v>367</v>
      </c>
      <c r="C202" s="26" t="s">
        <v>308</v>
      </c>
      <c r="D202" s="27">
        <v>67900</v>
      </c>
      <c r="E202" s="29">
        <v>47530</v>
      </c>
    </row>
    <row r="203" spans="1:5">
      <c r="A203" s="26" t="s">
        <v>182</v>
      </c>
      <c r="B203" s="26" t="s">
        <v>367</v>
      </c>
      <c r="C203" s="26" t="s">
        <v>20</v>
      </c>
      <c r="D203" s="27">
        <v>70800</v>
      </c>
      <c r="E203" s="29">
        <v>49560</v>
      </c>
    </row>
    <row r="204" spans="1:5">
      <c r="A204" s="26" t="s">
        <v>182</v>
      </c>
      <c r="B204" s="26" t="s">
        <v>367</v>
      </c>
      <c r="C204" s="26" t="s">
        <v>231</v>
      </c>
      <c r="D204" s="27">
        <v>23000</v>
      </c>
      <c r="E204" s="29">
        <v>16100</v>
      </c>
    </row>
    <row r="205" spans="1:5">
      <c r="A205" s="26" t="s">
        <v>182</v>
      </c>
      <c r="B205" s="26" t="s">
        <v>367</v>
      </c>
      <c r="C205" s="26" t="s">
        <v>76</v>
      </c>
      <c r="D205" s="27">
        <v>219740</v>
      </c>
      <c r="E205" s="29">
        <v>153818</v>
      </c>
    </row>
    <row r="206" spans="1:5">
      <c r="A206" s="26" t="s">
        <v>182</v>
      </c>
      <c r="B206" s="26" t="s">
        <v>367</v>
      </c>
      <c r="C206" s="26" t="s">
        <v>77</v>
      </c>
      <c r="D206" s="27">
        <v>1884000</v>
      </c>
      <c r="E206" s="29">
        <v>1318800.0539999963</v>
      </c>
    </row>
    <row r="207" spans="1:5">
      <c r="A207" s="26" t="s">
        <v>182</v>
      </c>
      <c r="B207" s="26" t="s">
        <v>367</v>
      </c>
      <c r="C207" s="26" t="s">
        <v>21</v>
      </c>
      <c r="D207" s="27">
        <v>5840</v>
      </c>
      <c r="E207" s="29">
        <v>4088</v>
      </c>
    </row>
    <row r="208" spans="1:5">
      <c r="A208" s="26" t="s">
        <v>182</v>
      </c>
      <c r="B208" s="26" t="s">
        <v>367</v>
      </c>
      <c r="C208" s="26" t="s">
        <v>327</v>
      </c>
      <c r="D208" s="27">
        <v>2470</v>
      </c>
      <c r="E208" s="29">
        <v>1729</v>
      </c>
    </row>
    <row r="209" spans="1:5">
      <c r="A209" s="26" t="s">
        <v>182</v>
      </c>
      <c r="B209" s="26" t="s">
        <v>367</v>
      </c>
      <c r="C209" s="26" t="s">
        <v>68</v>
      </c>
      <c r="D209" s="27">
        <v>48690</v>
      </c>
      <c r="E209" s="29">
        <v>34083</v>
      </c>
    </row>
    <row r="210" spans="1:5">
      <c r="A210" s="26" t="s">
        <v>182</v>
      </c>
      <c r="B210" s="26" t="s">
        <v>367</v>
      </c>
      <c r="C210" s="26" t="s">
        <v>154</v>
      </c>
      <c r="D210" s="27">
        <v>200</v>
      </c>
      <c r="E210" s="29">
        <v>140</v>
      </c>
    </row>
    <row r="211" spans="1:5">
      <c r="A211" s="26" t="s">
        <v>182</v>
      </c>
      <c r="B211" s="26" t="s">
        <v>367</v>
      </c>
      <c r="C211" s="26" t="s">
        <v>17</v>
      </c>
      <c r="D211" s="27">
        <v>18900</v>
      </c>
      <c r="E211" s="29">
        <v>13230</v>
      </c>
    </row>
    <row r="212" spans="1:5">
      <c r="A212" s="26" t="s">
        <v>182</v>
      </c>
      <c r="B212" s="26" t="s">
        <v>367</v>
      </c>
      <c r="C212" s="26" t="s">
        <v>229</v>
      </c>
      <c r="D212" s="27">
        <v>401640</v>
      </c>
      <c r="E212" s="29">
        <v>281148.07100000005</v>
      </c>
    </row>
    <row r="213" spans="1:5">
      <c r="A213" s="26" t="s">
        <v>182</v>
      </c>
      <c r="B213" s="26" t="s">
        <v>367</v>
      </c>
      <c r="C213" s="26" t="s">
        <v>267</v>
      </c>
      <c r="D213" s="27">
        <v>4500</v>
      </c>
      <c r="E213" s="29">
        <v>3150</v>
      </c>
    </row>
    <row r="214" spans="1:5">
      <c r="A214" s="26" t="s">
        <v>182</v>
      </c>
      <c r="B214" s="26" t="s">
        <v>367</v>
      </c>
      <c r="C214" s="26" t="s">
        <v>57</v>
      </c>
      <c r="D214" s="27">
        <v>500</v>
      </c>
      <c r="E214" s="29">
        <v>350</v>
      </c>
    </row>
    <row r="215" spans="1:5">
      <c r="A215" s="26" t="s">
        <v>182</v>
      </c>
      <c r="B215" s="26" t="s">
        <v>367</v>
      </c>
      <c r="C215" s="26" t="s">
        <v>37</v>
      </c>
      <c r="D215" s="27">
        <v>15000</v>
      </c>
      <c r="E215" s="29">
        <v>10500</v>
      </c>
    </row>
    <row r="216" spans="1:5">
      <c r="A216" s="26" t="s">
        <v>182</v>
      </c>
      <c r="B216" s="26" t="s">
        <v>367</v>
      </c>
      <c r="C216" s="26" t="s">
        <v>328</v>
      </c>
      <c r="D216" s="27">
        <v>11940</v>
      </c>
      <c r="E216" s="29">
        <v>8358</v>
      </c>
    </row>
    <row r="217" spans="1:5">
      <c r="A217" s="26" t="s">
        <v>182</v>
      </c>
      <c r="B217" s="26" t="s">
        <v>367</v>
      </c>
      <c r="C217" s="26" t="s">
        <v>59</v>
      </c>
      <c r="D217" s="27">
        <v>68080</v>
      </c>
      <c r="E217" s="29">
        <v>47656.016999999993</v>
      </c>
    </row>
    <row r="218" spans="1:5">
      <c r="A218" s="26" t="s">
        <v>182</v>
      </c>
      <c r="B218" s="26" t="s">
        <v>367</v>
      </c>
      <c r="C218" s="26" t="s">
        <v>380</v>
      </c>
      <c r="D218" s="27">
        <v>50240</v>
      </c>
      <c r="E218" s="29">
        <v>35168</v>
      </c>
    </row>
    <row r="219" spans="1:5">
      <c r="A219" s="26" t="s">
        <v>182</v>
      </c>
      <c r="B219" s="26" t="s">
        <v>367</v>
      </c>
      <c r="C219" s="26" t="s">
        <v>347</v>
      </c>
      <c r="D219" s="27">
        <v>68120</v>
      </c>
      <c r="E219" s="29">
        <v>47684</v>
      </c>
    </row>
    <row r="220" spans="1:5">
      <c r="A220" s="26" t="s">
        <v>182</v>
      </c>
      <c r="B220" s="26" t="s">
        <v>367</v>
      </c>
      <c r="C220" s="26" t="s">
        <v>183</v>
      </c>
      <c r="D220" s="27">
        <v>9600</v>
      </c>
      <c r="E220" s="29">
        <v>6720</v>
      </c>
    </row>
    <row r="221" spans="1:5">
      <c r="A221" s="26" t="s">
        <v>182</v>
      </c>
      <c r="B221" s="26" t="s">
        <v>367</v>
      </c>
      <c r="C221" s="26" t="s">
        <v>61</v>
      </c>
      <c r="D221" s="27">
        <v>25620</v>
      </c>
      <c r="E221" s="29">
        <v>17934</v>
      </c>
    </row>
    <row r="222" spans="1:5">
      <c r="A222" s="26"/>
      <c r="B222" s="26"/>
      <c r="C222" s="26"/>
      <c r="D222" s="27"/>
      <c r="E222" s="29"/>
    </row>
    <row r="223" spans="1:5">
      <c r="A223" s="26"/>
      <c r="B223" s="26"/>
      <c r="C223" s="26"/>
      <c r="D223" s="27"/>
      <c r="E223" s="29"/>
    </row>
    <row r="224" spans="1:5">
      <c r="A224" s="26" t="s">
        <v>163</v>
      </c>
      <c r="B224" s="51" t="s">
        <v>367</v>
      </c>
      <c r="C224" s="45" t="s">
        <v>171</v>
      </c>
      <c r="D224" s="27">
        <v>916470</v>
      </c>
      <c r="E224" s="29">
        <v>916470</v>
      </c>
    </row>
    <row r="225" spans="1:5">
      <c r="A225" s="26" t="s">
        <v>111</v>
      </c>
      <c r="B225" s="51" t="s">
        <v>397</v>
      </c>
      <c r="C225" s="110" t="s">
        <v>307</v>
      </c>
      <c r="D225" s="27">
        <v>57700</v>
      </c>
      <c r="E225" s="29">
        <v>27726</v>
      </c>
    </row>
    <row r="226" spans="1:5">
      <c r="A226" s="26" t="s">
        <v>111</v>
      </c>
      <c r="B226" s="51" t="s">
        <v>397</v>
      </c>
      <c r="C226" s="110" t="s">
        <v>386</v>
      </c>
      <c r="D226" s="27">
        <v>107800</v>
      </c>
      <c r="E226" s="29">
        <v>68194</v>
      </c>
    </row>
    <row r="227" spans="1:5">
      <c r="A227" s="26" t="s">
        <v>111</v>
      </c>
      <c r="B227" s="51" t="s">
        <v>397</v>
      </c>
      <c r="C227" s="111" t="s">
        <v>321</v>
      </c>
      <c r="D227" s="27">
        <v>181100</v>
      </c>
      <c r="E227" s="29">
        <v>89220</v>
      </c>
    </row>
    <row r="228" spans="1:5">
      <c r="A228" s="26" t="s">
        <v>111</v>
      </c>
      <c r="B228" s="51" t="s">
        <v>397</v>
      </c>
      <c r="C228" s="110" t="s">
        <v>312</v>
      </c>
      <c r="D228" s="27">
        <v>110800</v>
      </c>
      <c r="E228" s="29">
        <v>56703</v>
      </c>
    </row>
    <row r="229" spans="1:5">
      <c r="A229" s="26" t="s">
        <v>111</v>
      </c>
      <c r="B229" s="51" t="s">
        <v>397</v>
      </c>
      <c r="C229" s="45" t="s">
        <v>180</v>
      </c>
      <c r="D229" s="27">
        <v>1622700</v>
      </c>
      <c r="E229" s="29">
        <v>848259</v>
      </c>
    </row>
    <row r="230" spans="1:5">
      <c r="A230" s="26" t="s">
        <v>111</v>
      </c>
      <c r="B230" s="51" t="s">
        <v>397</v>
      </c>
      <c r="C230" s="45" t="s">
        <v>179</v>
      </c>
      <c r="D230" s="27">
        <v>2207500</v>
      </c>
      <c r="E230" s="29">
        <v>1109019</v>
      </c>
    </row>
    <row r="231" spans="1:5">
      <c r="A231" s="26" t="s">
        <v>111</v>
      </c>
      <c r="B231" s="51" t="s">
        <v>397</v>
      </c>
      <c r="C231" s="1" t="s">
        <v>387</v>
      </c>
      <c r="D231" s="27">
        <v>76000</v>
      </c>
      <c r="E231" s="29">
        <v>43456</v>
      </c>
    </row>
    <row r="232" spans="1:5">
      <c r="A232" s="26" t="s">
        <v>111</v>
      </c>
      <c r="B232" s="51" t="s">
        <v>397</v>
      </c>
      <c r="C232" s="110" t="s">
        <v>346</v>
      </c>
      <c r="D232" s="27">
        <v>338400</v>
      </c>
      <c r="E232" s="29">
        <v>214851</v>
      </c>
    </row>
    <row r="233" spans="1:5">
      <c r="A233" s="26" t="s">
        <v>111</v>
      </c>
      <c r="B233" s="51" t="s">
        <v>397</v>
      </c>
      <c r="C233" s="45" t="s">
        <v>308</v>
      </c>
      <c r="D233" s="27">
        <v>685000</v>
      </c>
      <c r="E233" s="29">
        <v>364137</v>
      </c>
    </row>
    <row r="234" spans="1:5">
      <c r="A234" s="26" t="s">
        <v>111</v>
      </c>
      <c r="B234" s="51" t="s">
        <v>397</v>
      </c>
      <c r="C234" s="45" t="s">
        <v>425</v>
      </c>
      <c r="D234" s="27">
        <v>300</v>
      </c>
      <c r="E234" s="29">
        <v>210</v>
      </c>
    </row>
    <row r="235" spans="1:5">
      <c r="A235" s="26" t="s">
        <v>111</v>
      </c>
      <c r="B235" s="51" t="s">
        <v>397</v>
      </c>
      <c r="C235" s="1" t="s">
        <v>233</v>
      </c>
      <c r="D235" s="27">
        <v>92700</v>
      </c>
      <c r="E235" s="29">
        <v>45414</v>
      </c>
    </row>
    <row r="236" spans="1:5">
      <c r="A236" s="26" t="s">
        <v>111</v>
      </c>
      <c r="B236" s="51" t="s">
        <v>397</v>
      </c>
      <c r="C236" s="110" t="s">
        <v>231</v>
      </c>
      <c r="D236" s="27">
        <v>19100</v>
      </c>
      <c r="E236" s="29">
        <v>10344</v>
      </c>
    </row>
    <row r="237" spans="1:5">
      <c r="A237" s="26" t="s">
        <v>111</v>
      </c>
      <c r="B237" s="51" t="s">
        <v>397</v>
      </c>
      <c r="C237" s="45" t="s">
        <v>76</v>
      </c>
      <c r="D237" s="27">
        <v>1930800</v>
      </c>
      <c r="E237" s="29">
        <v>1033764</v>
      </c>
    </row>
    <row r="238" spans="1:5">
      <c r="A238" s="26" t="s">
        <v>111</v>
      </c>
      <c r="B238" s="51" t="s">
        <v>397</v>
      </c>
      <c r="C238" s="45" t="s">
        <v>77</v>
      </c>
      <c r="D238" s="27">
        <v>7278200</v>
      </c>
      <c r="E238" s="29">
        <v>3813996</v>
      </c>
    </row>
    <row r="239" spans="1:5">
      <c r="A239" s="26" t="s">
        <v>111</v>
      </c>
      <c r="B239" s="51" t="s">
        <v>397</v>
      </c>
      <c r="C239" s="110" t="s">
        <v>344</v>
      </c>
      <c r="D239" s="27">
        <v>200</v>
      </c>
      <c r="E239" s="29">
        <v>98</v>
      </c>
    </row>
    <row r="240" spans="1:5">
      <c r="A240" s="26" t="s">
        <v>111</v>
      </c>
      <c r="B240" s="51" t="s">
        <v>397</v>
      </c>
      <c r="C240" s="45" t="s">
        <v>327</v>
      </c>
      <c r="D240" s="27">
        <v>700</v>
      </c>
      <c r="E240" s="29">
        <v>343</v>
      </c>
    </row>
    <row r="241" spans="1:5">
      <c r="A241" s="26" t="s">
        <v>111</v>
      </c>
      <c r="B241" s="51" t="s">
        <v>397</v>
      </c>
      <c r="C241" s="110" t="s">
        <v>68</v>
      </c>
      <c r="D241" s="27">
        <v>600</v>
      </c>
      <c r="E241" s="29">
        <v>420</v>
      </c>
    </row>
    <row r="242" spans="1:5">
      <c r="A242" s="26" t="s">
        <v>111</v>
      </c>
      <c r="B242" s="51" t="s">
        <v>397</v>
      </c>
      <c r="C242" s="45" t="s">
        <v>309</v>
      </c>
      <c r="D242" s="27">
        <v>50700</v>
      </c>
      <c r="E242" s="29">
        <v>26649</v>
      </c>
    </row>
    <row r="243" spans="1:5">
      <c r="A243" s="26" t="s">
        <v>111</v>
      </c>
      <c r="B243" s="51" t="s">
        <v>397</v>
      </c>
      <c r="C243" s="45" t="s">
        <v>345</v>
      </c>
      <c r="D243" s="27">
        <v>900</v>
      </c>
      <c r="E243" s="29">
        <v>513</v>
      </c>
    </row>
    <row r="244" spans="1:5">
      <c r="A244" s="26" t="s">
        <v>111</v>
      </c>
      <c r="B244" s="51" t="s">
        <v>397</v>
      </c>
      <c r="C244" s="110" t="s">
        <v>229</v>
      </c>
      <c r="D244" s="27">
        <v>1224000</v>
      </c>
      <c r="E244" s="29">
        <v>607380</v>
      </c>
    </row>
    <row r="245" spans="1:5">
      <c r="A245" s="26" t="s">
        <v>111</v>
      </c>
      <c r="B245" s="51" t="s">
        <v>397</v>
      </c>
      <c r="C245" s="45" t="s">
        <v>426</v>
      </c>
      <c r="D245" s="27">
        <v>4200</v>
      </c>
      <c r="E245" s="29">
        <v>2877</v>
      </c>
    </row>
    <row r="246" spans="1:5">
      <c r="A246" s="26" t="s">
        <v>111</v>
      </c>
      <c r="B246" s="51" t="s">
        <v>397</v>
      </c>
      <c r="C246" s="110" t="s">
        <v>57</v>
      </c>
      <c r="D246" s="27">
        <v>2400</v>
      </c>
      <c r="E246" s="29">
        <v>1263</v>
      </c>
    </row>
    <row r="247" spans="1:5">
      <c r="A247" s="26" t="s">
        <v>111</v>
      </c>
      <c r="B247" s="51" t="s">
        <v>397</v>
      </c>
      <c r="C247" s="45" t="s">
        <v>328</v>
      </c>
      <c r="D247" s="27">
        <v>19900</v>
      </c>
      <c r="E247" s="29">
        <v>10549</v>
      </c>
    </row>
    <row r="248" spans="1:5">
      <c r="A248" s="26" t="s">
        <v>111</v>
      </c>
      <c r="B248" s="51" t="s">
        <v>397</v>
      </c>
      <c r="C248" s="45" t="s">
        <v>59</v>
      </c>
      <c r="D248" s="27">
        <v>1634400</v>
      </c>
      <c r="E248" s="29">
        <v>1039647</v>
      </c>
    </row>
    <row r="249" spans="1:5">
      <c r="A249" s="26" t="s">
        <v>111</v>
      </c>
      <c r="B249" s="51" t="s">
        <v>397</v>
      </c>
      <c r="C249" s="110" t="s">
        <v>380</v>
      </c>
      <c r="D249" s="27">
        <v>36500</v>
      </c>
      <c r="E249" s="29">
        <v>22673</v>
      </c>
    </row>
    <row r="250" spans="1:5">
      <c r="A250" s="26" t="s">
        <v>111</v>
      </c>
      <c r="B250" s="51" t="s">
        <v>397</v>
      </c>
      <c r="C250" s="45" t="s">
        <v>347</v>
      </c>
      <c r="D250" s="27">
        <v>42200</v>
      </c>
      <c r="E250" s="29">
        <v>26915</v>
      </c>
    </row>
    <row r="251" spans="1:5">
      <c r="A251" s="26" t="s">
        <v>111</v>
      </c>
      <c r="B251" s="51" t="s">
        <v>397</v>
      </c>
      <c r="C251" s="110" t="s">
        <v>310</v>
      </c>
      <c r="D251" s="27">
        <v>15900</v>
      </c>
      <c r="E251" s="29">
        <v>8292</v>
      </c>
    </row>
    <row r="252" spans="1:5">
      <c r="A252" s="26" t="s">
        <v>111</v>
      </c>
      <c r="B252" s="51" t="s">
        <v>397</v>
      </c>
      <c r="C252" s="45" t="s">
        <v>61</v>
      </c>
      <c r="D252" s="27">
        <v>7200</v>
      </c>
      <c r="E252" s="29">
        <v>3996</v>
      </c>
    </row>
    <row r="253" spans="1:5">
      <c r="A253" s="26" t="s">
        <v>111</v>
      </c>
      <c r="B253" s="51" t="s">
        <v>397</v>
      </c>
      <c r="C253" s="110" t="s">
        <v>156</v>
      </c>
      <c r="D253" s="27">
        <v>156600</v>
      </c>
      <c r="E253" s="29">
        <v>83520</v>
      </c>
    </row>
    <row r="254" spans="1:5">
      <c r="A254" s="26"/>
      <c r="B254" s="51"/>
      <c r="C254" s="110"/>
      <c r="D254" s="27"/>
      <c r="E254" s="29"/>
    </row>
    <row r="255" spans="1:5">
      <c r="A255" s="26"/>
      <c r="B255" s="51"/>
      <c r="D255" s="27"/>
      <c r="E255" s="29"/>
    </row>
    <row r="256" spans="1:5">
      <c r="A256" s="26" t="s">
        <v>234</v>
      </c>
      <c r="B256" s="51" t="s">
        <v>367</v>
      </c>
      <c r="C256" s="116" t="s">
        <v>160</v>
      </c>
      <c r="D256" s="27">
        <v>1934436</v>
      </c>
      <c r="E256" s="29">
        <v>1934436</v>
      </c>
    </row>
    <row r="257" spans="1:5">
      <c r="A257" s="26" t="s">
        <v>234</v>
      </c>
      <c r="B257" s="51" t="s">
        <v>367</v>
      </c>
      <c r="C257" s="116" t="s">
        <v>40</v>
      </c>
      <c r="D257" s="27">
        <v>241642</v>
      </c>
      <c r="E257" s="29">
        <v>241642</v>
      </c>
    </row>
    <row r="258" spans="1:5">
      <c r="A258" s="26" t="s">
        <v>234</v>
      </c>
      <c r="B258" s="51" t="s">
        <v>367</v>
      </c>
      <c r="C258" s="116" t="s">
        <v>17</v>
      </c>
      <c r="D258" s="27">
        <v>93340</v>
      </c>
      <c r="E258" s="29">
        <v>93340</v>
      </c>
    </row>
    <row r="259" spans="1:5">
      <c r="A259" s="26" t="s">
        <v>234</v>
      </c>
      <c r="B259" s="51" t="s">
        <v>367</v>
      </c>
      <c r="C259" s="116" t="s">
        <v>161</v>
      </c>
      <c r="D259" s="27">
        <v>972534</v>
      </c>
      <c r="E259" s="29">
        <v>972534</v>
      </c>
    </row>
    <row r="260" spans="1:5">
      <c r="A260" s="26" t="s">
        <v>234</v>
      </c>
      <c r="B260" s="51" t="s">
        <v>367</v>
      </c>
      <c r="C260" s="116" t="s">
        <v>30</v>
      </c>
      <c r="D260" s="27">
        <v>151738</v>
      </c>
      <c r="E260" s="29">
        <v>151738</v>
      </c>
    </row>
    <row r="261" spans="1:5">
      <c r="A261" s="26" t="s">
        <v>234</v>
      </c>
      <c r="B261" s="51" t="s">
        <v>367</v>
      </c>
      <c r="C261" s="116" t="s">
        <v>202</v>
      </c>
      <c r="D261" s="27">
        <v>1686</v>
      </c>
      <c r="E261" s="29">
        <v>1686</v>
      </c>
    </row>
    <row r="262" spans="1:5">
      <c r="A262" s="26"/>
      <c r="B262" s="51"/>
      <c r="C262" s="45"/>
      <c r="D262" s="27"/>
      <c r="E262" s="29"/>
    </row>
    <row r="263" spans="1:5">
      <c r="A263" s="26"/>
      <c r="B263" s="51"/>
      <c r="C263" s="45"/>
      <c r="D263" s="27"/>
      <c r="E263" s="29"/>
    </row>
    <row r="264" spans="1:5">
      <c r="A264" s="26" t="s">
        <v>230</v>
      </c>
      <c r="B264" s="51" t="s">
        <v>397</v>
      </c>
      <c r="C264" s="45" t="s">
        <v>77</v>
      </c>
      <c r="D264" s="27">
        <v>114200</v>
      </c>
      <c r="E264" s="29">
        <v>79940</v>
      </c>
    </row>
    <row r="265" spans="1:5">
      <c r="A265" s="26" t="s">
        <v>230</v>
      </c>
      <c r="B265" s="51" t="s">
        <v>397</v>
      </c>
      <c r="C265" s="45" t="s">
        <v>76</v>
      </c>
      <c r="D265" s="27">
        <v>4000</v>
      </c>
      <c r="E265" s="29">
        <v>2800</v>
      </c>
    </row>
    <row r="266" spans="1:5">
      <c r="A266" s="26" t="s">
        <v>230</v>
      </c>
      <c r="B266" s="51" t="s">
        <v>397</v>
      </c>
      <c r="C266" s="45" t="s">
        <v>61</v>
      </c>
      <c r="D266" s="27">
        <v>5700</v>
      </c>
      <c r="E266" s="29">
        <v>3990</v>
      </c>
    </row>
    <row r="267" spans="1:5">
      <c r="A267" s="26" t="s">
        <v>230</v>
      </c>
      <c r="B267" s="51" t="s">
        <v>397</v>
      </c>
      <c r="C267" s="45" t="s">
        <v>156</v>
      </c>
      <c r="D267" s="27">
        <v>900</v>
      </c>
      <c r="E267" s="29">
        <v>630</v>
      </c>
    </row>
    <row r="268" spans="1:5">
      <c r="A268" s="26" t="s">
        <v>230</v>
      </c>
      <c r="B268" s="51" t="s">
        <v>397</v>
      </c>
      <c r="C268" s="45" t="s">
        <v>74</v>
      </c>
      <c r="D268" s="27">
        <v>900</v>
      </c>
      <c r="E268" s="29">
        <v>630</v>
      </c>
    </row>
    <row r="269" spans="1:5">
      <c r="A269" s="26" t="s">
        <v>230</v>
      </c>
      <c r="B269" s="51" t="s">
        <v>397</v>
      </c>
      <c r="C269" s="45" t="s">
        <v>180</v>
      </c>
      <c r="D269" s="27">
        <v>17700</v>
      </c>
      <c r="E269" s="29">
        <v>12390</v>
      </c>
    </row>
    <row r="270" spans="1:5">
      <c r="A270" s="26" t="s">
        <v>230</v>
      </c>
      <c r="B270" s="51" t="s">
        <v>397</v>
      </c>
      <c r="C270" s="45" t="s">
        <v>179</v>
      </c>
      <c r="D270" s="27">
        <v>66900</v>
      </c>
      <c r="E270" s="29">
        <v>46830</v>
      </c>
    </row>
    <row r="271" spans="1:5">
      <c r="A271" s="26" t="s">
        <v>230</v>
      </c>
      <c r="B271" s="51" t="s">
        <v>397</v>
      </c>
      <c r="C271" s="45" t="s">
        <v>229</v>
      </c>
      <c r="D271" s="27">
        <v>31000</v>
      </c>
      <c r="E271" s="29">
        <v>21700</v>
      </c>
    </row>
    <row r="272" spans="1:5">
      <c r="A272" s="26" t="s">
        <v>230</v>
      </c>
      <c r="B272" s="51" t="s">
        <v>397</v>
      </c>
      <c r="C272" s="45" t="s">
        <v>66</v>
      </c>
      <c r="D272" s="27">
        <v>2000</v>
      </c>
      <c r="E272" s="29">
        <v>1400</v>
      </c>
    </row>
    <row r="273" spans="1:5">
      <c r="A273" s="26" t="s">
        <v>230</v>
      </c>
      <c r="B273" s="51" t="s">
        <v>397</v>
      </c>
      <c r="C273" s="45" t="s">
        <v>321</v>
      </c>
      <c r="D273" s="27">
        <v>19400</v>
      </c>
      <c r="E273" s="29">
        <v>13580</v>
      </c>
    </row>
    <row r="274" spans="1:5">
      <c r="A274" s="26" t="s">
        <v>230</v>
      </c>
      <c r="B274" s="51" t="s">
        <v>397</v>
      </c>
      <c r="C274" s="45" t="s">
        <v>328</v>
      </c>
      <c r="D274" s="27">
        <v>4300</v>
      </c>
      <c r="E274" s="29">
        <v>3010</v>
      </c>
    </row>
    <row r="275" spans="1:5">
      <c r="A275" s="26" t="s">
        <v>230</v>
      </c>
      <c r="B275" s="51" t="s">
        <v>397</v>
      </c>
      <c r="C275" s="45" t="s">
        <v>346</v>
      </c>
      <c r="D275" s="27">
        <v>1500</v>
      </c>
      <c r="E275" s="29">
        <v>1050</v>
      </c>
    </row>
    <row r="276" spans="1:5">
      <c r="A276" s="26" t="s">
        <v>230</v>
      </c>
      <c r="B276" s="51" t="s">
        <v>397</v>
      </c>
      <c r="C276" s="45" t="s">
        <v>386</v>
      </c>
      <c r="D276" s="27">
        <v>2000</v>
      </c>
      <c r="E276" s="29">
        <v>1400</v>
      </c>
    </row>
    <row r="277" spans="1:5">
      <c r="A277" s="26" t="s">
        <v>230</v>
      </c>
      <c r="B277" s="51" t="s">
        <v>397</v>
      </c>
      <c r="C277" s="45" t="s">
        <v>387</v>
      </c>
      <c r="D277" s="27">
        <v>1000</v>
      </c>
      <c r="E277" s="29">
        <v>700</v>
      </c>
    </row>
    <row r="278" spans="1:5">
      <c r="A278" s="26" t="s">
        <v>230</v>
      </c>
      <c r="B278" s="51" t="s">
        <v>397</v>
      </c>
      <c r="C278" s="45" t="s">
        <v>380</v>
      </c>
      <c r="D278" s="27">
        <v>4000</v>
      </c>
      <c r="E278" s="29">
        <v>2800</v>
      </c>
    </row>
    <row r="279" spans="1:5">
      <c r="A279" s="26" t="s">
        <v>230</v>
      </c>
      <c r="B279" s="51" t="s">
        <v>397</v>
      </c>
      <c r="C279" s="45" t="s">
        <v>59</v>
      </c>
      <c r="D279" s="27">
        <v>2600</v>
      </c>
      <c r="E279" s="29">
        <v>1820</v>
      </c>
    </row>
    <row r="280" spans="1:5">
      <c r="A280" s="26" t="s">
        <v>230</v>
      </c>
      <c r="B280" s="51" t="s">
        <v>397</v>
      </c>
      <c r="C280" s="45" t="s">
        <v>68</v>
      </c>
      <c r="D280" s="27">
        <v>12300</v>
      </c>
      <c r="E280" s="29">
        <v>8610</v>
      </c>
    </row>
    <row r="281" spans="1:5">
      <c r="A281" s="26"/>
      <c r="B281" s="51"/>
      <c r="C281" s="45"/>
      <c r="D281" s="27"/>
      <c r="E281" s="29"/>
    </row>
    <row r="282" spans="1:5">
      <c r="A282" s="26"/>
      <c r="B282" s="26"/>
      <c r="C282" s="26"/>
      <c r="D282" s="27"/>
      <c r="E282" s="29"/>
    </row>
    <row r="283" spans="1:5">
      <c r="A283" s="26" t="s">
        <v>112</v>
      </c>
      <c r="B283" s="26" t="s">
        <v>397</v>
      </c>
      <c r="C283" s="26" t="s">
        <v>77</v>
      </c>
      <c r="D283" s="27">
        <v>120800</v>
      </c>
      <c r="E283" s="29">
        <v>79728</v>
      </c>
    </row>
    <row r="284" spans="1:5">
      <c r="A284" s="26" t="s">
        <v>112</v>
      </c>
      <c r="B284" s="26" t="s">
        <v>397</v>
      </c>
      <c r="C284" s="26" t="s">
        <v>321</v>
      </c>
      <c r="D284" s="27">
        <v>118500</v>
      </c>
      <c r="E284" s="29">
        <v>78210</v>
      </c>
    </row>
    <row r="285" spans="1:5">
      <c r="A285" s="26" t="s">
        <v>112</v>
      </c>
      <c r="B285" s="26" t="s">
        <v>397</v>
      </c>
      <c r="C285" s="60" t="s">
        <v>346</v>
      </c>
      <c r="D285" s="27">
        <v>109800</v>
      </c>
      <c r="E285" s="29">
        <v>72468</v>
      </c>
    </row>
    <row r="286" spans="1:5">
      <c r="A286" s="26" t="s">
        <v>112</v>
      </c>
      <c r="B286" s="26" t="s">
        <v>397</v>
      </c>
      <c r="C286" s="60" t="s">
        <v>179</v>
      </c>
      <c r="D286" s="27">
        <v>95400</v>
      </c>
      <c r="E286" s="29">
        <v>62964</v>
      </c>
    </row>
    <row r="287" spans="1:5">
      <c r="A287" s="26" t="s">
        <v>112</v>
      </c>
      <c r="B287" s="26" t="s">
        <v>397</v>
      </c>
      <c r="C287" s="60" t="s">
        <v>29</v>
      </c>
      <c r="D287" s="27">
        <v>86300</v>
      </c>
      <c r="E287" s="29">
        <v>56958</v>
      </c>
    </row>
    <row r="288" spans="1:5">
      <c r="A288" s="26" t="s">
        <v>112</v>
      </c>
      <c r="B288" s="26" t="s">
        <v>397</v>
      </c>
      <c r="C288" s="60" t="s">
        <v>308</v>
      </c>
      <c r="D288" s="27">
        <v>52000</v>
      </c>
      <c r="E288" s="29">
        <v>34320</v>
      </c>
    </row>
    <row r="289" spans="1:5">
      <c r="A289" s="26" t="s">
        <v>112</v>
      </c>
      <c r="B289" s="26" t="s">
        <v>397</v>
      </c>
      <c r="C289" s="60" t="s">
        <v>347</v>
      </c>
      <c r="D289" s="27">
        <v>24400</v>
      </c>
      <c r="E289" s="29">
        <v>16104</v>
      </c>
    </row>
    <row r="290" spans="1:5">
      <c r="A290" s="26" t="s">
        <v>112</v>
      </c>
      <c r="B290" s="26" t="s">
        <v>397</v>
      </c>
      <c r="C290" s="26" t="s">
        <v>328</v>
      </c>
      <c r="D290" s="27">
        <v>12000</v>
      </c>
      <c r="E290" s="29">
        <v>7920</v>
      </c>
    </row>
    <row r="291" spans="1:5">
      <c r="A291" s="26" t="s">
        <v>112</v>
      </c>
      <c r="B291" s="26" t="s">
        <v>397</v>
      </c>
      <c r="C291" s="26" t="s">
        <v>61</v>
      </c>
      <c r="D291" s="27">
        <v>9000</v>
      </c>
      <c r="E291" s="29">
        <v>5940</v>
      </c>
    </row>
    <row r="292" spans="1:5">
      <c r="A292" s="26" t="s">
        <v>112</v>
      </c>
      <c r="B292" s="26" t="s">
        <v>397</v>
      </c>
      <c r="C292" s="60" t="s">
        <v>66</v>
      </c>
      <c r="D292" s="27">
        <v>7000</v>
      </c>
      <c r="E292" s="29">
        <v>4620</v>
      </c>
    </row>
    <row r="293" spans="1:5">
      <c r="A293" s="26" t="s">
        <v>112</v>
      </c>
      <c r="B293" s="26" t="s">
        <v>397</v>
      </c>
      <c r="C293" s="60" t="s">
        <v>57</v>
      </c>
      <c r="D293" s="27">
        <v>6300</v>
      </c>
      <c r="E293" s="29">
        <v>4158</v>
      </c>
    </row>
    <row r="294" spans="1:5">
      <c r="A294" s="26" t="s">
        <v>112</v>
      </c>
      <c r="B294" s="26" t="s">
        <v>397</v>
      </c>
      <c r="C294" s="60" t="s">
        <v>180</v>
      </c>
      <c r="D294" s="27">
        <v>5100</v>
      </c>
      <c r="E294" s="29">
        <v>3366</v>
      </c>
    </row>
    <row r="295" spans="1:5">
      <c r="A295" s="26" t="s">
        <v>112</v>
      </c>
      <c r="B295" s="26" t="s">
        <v>397</v>
      </c>
      <c r="C295" s="26" t="s">
        <v>290</v>
      </c>
      <c r="D295" s="27">
        <v>1800</v>
      </c>
      <c r="E295" s="29">
        <v>1188</v>
      </c>
    </row>
    <row r="296" spans="1:5">
      <c r="A296" s="26" t="s">
        <v>112</v>
      </c>
      <c r="B296" s="26" t="s">
        <v>397</v>
      </c>
      <c r="C296" s="26" t="s">
        <v>17</v>
      </c>
      <c r="D296" s="27">
        <v>600</v>
      </c>
      <c r="E296" s="29">
        <v>396</v>
      </c>
    </row>
    <row r="297" spans="1:5">
      <c r="A297" s="26" t="s">
        <v>112</v>
      </c>
      <c r="B297" s="26" t="s">
        <v>397</v>
      </c>
      <c r="C297" s="60" t="s">
        <v>422</v>
      </c>
      <c r="D297" s="27">
        <v>400</v>
      </c>
      <c r="E297" s="29">
        <v>264</v>
      </c>
    </row>
    <row r="298" spans="1:5">
      <c r="A298" s="26" t="s">
        <v>112</v>
      </c>
      <c r="B298" s="26" t="s">
        <v>397</v>
      </c>
      <c r="C298" s="60" t="s">
        <v>423</v>
      </c>
      <c r="D298" s="27">
        <v>400</v>
      </c>
      <c r="E298" s="29">
        <v>264</v>
      </c>
    </row>
    <row r="299" spans="1:5">
      <c r="A299" s="26"/>
      <c r="B299" s="26"/>
      <c r="C299" s="26"/>
      <c r="D299" s="27"/>
      <c r="E299" s="29"/>
    </row>
    <row r="300" spans="1:5">
      <c r="A300" s="26"/>
      <c r="B300" s="26"/>
      <c r="C300" s="26"/>
      <c r="D300" s="27"/>
      <c r="E300" s="29"/>
    </row>
    <row r="301" spans="1:5">
      <c r="A301" s="26" t="s">
        <v>83</v>
      </c>
      <c r="B301" s="26" t="s">
        <v>409</v>
      </c>
      <c r="C301" s="26" t="s">
        <v>334</v>
      </c>
      <c r="D301" s="27">
        <v>129000</v>
      </c>
      <c r="E301" s="29">
        <v>90300</v>
      </c>
    </row>
    <row r="302" spans="1:5">
      <c r="A302" s="26" t="s">
        <v>83</v>
      </c>
      <c r="B302" s="26" t="s">
        <v>409</v>
      </c>
      <c r="C302" s="26" t="s">
        <v>443</v>
      </c>
      <c r="D302" s="27">
        <v>58800</v>
      </c>
      <c r="E302" s="29">
        <v>41160</v>
      </c>
    </row>
    <row r="303" spans="1:5">
      <c r="A303" s="26" t="s">
        <v>83</v>
      </c>
      <c r="B303" s="26" t="s">
        <v>409</v>
      </c>
      <c r="C303" s="26" t="s">
        <v>401</v>
      </c>
      <c r="D303" s="27">
        <v>30000</v>
      </c>
      <c r="E303" s="29">
        <v>21000</v>
      </c>
    </row>
    <row r="304" spans="1:5">
      <c r="A304" s="26" t="s">
        <v>83</v>
      </c>
      <c r="B304" s="26" t="s">
        <v>409</v>
      </c>
      <c r="C304" s="26" t="s">
        <v>66</v>
      </c>
      <c r="D304" s="27">
        <v>48000</v>
      </c>
      <c r="E304" s="29">
        <v>33600</v>
      </c>
    </row>
    <row r="305" spans="1:7">
      <c r="A305" s="26" t="s">
        <v>83</v>
      </c>
      <c r="B305" s="26" t="s">
        <v>409</v>
      </c>
      <c r="C305" s="26" t="s">
        <v>321</v>
      </c>
      <c r="D305" s="27">
        <v>837800</v>
      </c>
      <c r="E305" s="29">
        <v>578575.04999999981</v>
      </c>
    </row>
    <row r="306" spans="1:7">
      <c r="A306" s="26" t="s">
        <v>83</v>
      </c>
      <c r="B306" s="26" t="s">
        <v>409</v>
      </c>
      <c r="C306" s="26" t="s">
        <v>312</v>
      </c>
      <c r="D306" s="27">
        <v>84400</v>
      </c>
      <c r="E306" s="29">
        <v>58329.599999999991</v>
      </c>
    </row>
    <row r="307" spans="1:7">
      <c r="A307" s="26" t="s">
        <v>83</v>
      </c>
      <c r="B307" s="26" t="s">
        <v>409</v>
      </c>
      <c r="C307" s="26" t="s">
        <v>180</v>
      </c>
      <c r="D307" s="27">
        <v>1141000</v>
      </c>
      <c r="E307" s="29">
        <v>795674.57999999961</v>
      </c>
    </row>
    <row r="308" spans="1:7">
      <c r="A308" s="26" t="s">
        <v>83</v>
      </c>
      <c r="B308" s="26" t="s">
        <v>409</v>
      </c>
      <c r="C308" s="26" t="s">
        <v>179</v>
      </c>
      <c r="D308" s="27">
        <v>4829400</v>
      </c>
      <c r="E308" s="29">
        <v>3347258.3300000033</v>
      </c>
    </row>
    <row r="309" spans="1:7">
      <c r="A309" s="26" t="s">
        <v>83</v>
      </c>
      <c r="B309" s="26" t="s">
        <v>409</v>
      </c>
      <c r="C309" s="26" t="s">
        <v>346</v>
      </c>
      <c r="D309" s="27">
        <v>28700</v>
      </c>
      <c r="E309" s="29">
        <v>20090</v>
      </c>
    </row>
    <row r="310" spans="1:7">
      <c r="A310" s="26" t="s">
        <v>83</v>
      </c>
      <c r="B310" s="26" t="s">
        <v>409</v>
      </c>
      <c r="C310" s="26" t="s">
        <v>308</v>
      </c>
      <c r="D310" s="27">
        <v>136000</v>
      </c>
      <c r="E310" s="29">
        <v>94572.799999999974</v>
      </c>
    </row>
    <row r="311" spans="1:7">
      <c r="A311" s="26" t="s">
        <v>83</v>
      </c>
      <c r="B311" s="26" t="s">
        <v>409</v>
      </c>
      <c r="C311" s="26" t="s">
        <v>340</v>
      </c>
      <c r="D311" s="27">
        <v>100</v>
      </c>
      <c r="E311" s="29">
        <v>70</v>
      </c>
      <c r="G311" s="34"/>
    </row>
    <row r="312" spans="1:7">
      <c r="A312" s="26" t="s">
        <v>83</v>
      </c>
      <c r="B312" s="26" t="s">
        <v>409</v>
      </c>
      <c r="C312" s="26" t="s">
        <v>56</v>
      </c>
      <c r="D312" s="27">
        <v>18800</v>
      </c>
      <c r="E312" s="29">
        <v>13160</v>
      </c>
    </row>
    <row r="313" spans="1:7">
      <c r="A313" s="26" t="s">
        <v>83</v>
      </c>
      <c r="B313" s="26" t="s">
        <v>409</v>
      </c>
      <c r="C313" s="26" t="s">
        <v>20</v>
      </c>
      <c r="D313" s="27">
        <v>53400</v>
      </c>
      <c r="E313" s="29">
        <v>37380</v>
      </c>
    </row>
    <row r="314" spans="1:7">
      <c r="A314" s="26" t="s">
        <v>83</v>
      </c>
      <c r="B314" s="26" t="s">
        <v>409</v>
      </c>
      <c r="C314" s="26" t="s">
        <v>297</v>
      </c>
      <c r="D314" s="27">
        <v>1800</v>
      </c>
      <c r="E314" s="29">
        <v>1260</v>
      </c>
    </row>
    <row r="315" spans="1:7">
      <c r="A315" s="26" t="s">
        <v>83</v>
      </c>
      <c r="B315" s="26" t="s">
        <v>409</v>
      </c>
      <c r="C315" s="26" t="s">
        <v>231</v>
      </c>
      <c r="D315" s="27">
        <v>8100</v>
      </c>
      <c r="E315" s="29">
        <v>5511.34</v>
      </c>
    </row>
    <row r="316" spans="1:7">
      <c r="A316" s="26" t="s">
        <v>83</v>
      </c>
      <c r="B316" s="26" t="s">
        <v>409</v>
      </c>
      <c r="C316" s="26" t="s">
        <v>76</v>
      </c>
      <c r="D316" s="27">
        <v>849800</v>
      </c>
      <c r="E316" s="29">
        <v>594748.80000000005</v>
      </c>
    </row>
    <row r="317" spans="1:7">
      <c r="A317" s="26" t="s">
        <v>83</v>
      </c>
      <c r="B317" s="26" t="s">
        <v>409</v>
      </c>
      <c r="C317" s="26" t="s">
        <v>77</v>
      </c>
      <c r="D317" s="27">
        <v>2417600</v>
      </c>
      <c r="E317" s="29">
        <v>1681658.0299999937</v>
      </c>
    </row>
    <row r="318" spans="1:7">
      <c r="A318" s="26" t="s">
        <v>83</v>
      </c>
      <c r="B318" s="26" t="s">
        <v>409</v>
      </c>
      <c r="C318" s="26" t="s">
        <v>29</v>
      </c>
      <c r="D318" s="27">
        <v>27200</v>
      </c>
      <c r="E318" s="29">
        <v>19040</v>
      </c>
    </row>
    <row r="319" spans="1:7">
      <c r="A319" s="26" t="s">
        <v>83</v>
      </c>
      <c r="B319" s="26" t="s">
        <v>409</v>
      </c>
      <c r="C319" s="26" t="s">
        <v>21</v>
      </c>
      <c r="D319" s="27">
        <v>1400</v>
      </c>
      <c r="E319" s="29">
        <v>980</v>
      </c>
    </row>
    <row r="320" spans="1:7">
      <c r="A320" s="26" t="s">
        <v>83</v>
      </c>
      <c r="B320" s="26" t="s">
        <v>409</v>
      </c>
      <c r="C320" s="26" t="s">
        <v>327</v>
      </c>
      <c r="D320" s="27">
        <v>6900</v>
      </c>
      <c r="E320" s="29">
        <v>4830</v>
      </c>
    </row>
    <row r="321" spans="1:5">
      <c r="A321" s="26" t="s">
        <v>83</v>
      </c>
      <c r="B321" s="26" t="s">
        <v>409</v>
      </c>
      <c r="C321" s="26" t="s">
        <v>27</v>
      </c>
      <c r="D321" s="27">
        <v>400</v>
      </c>
      <c r="E321" s="29">
        <v>280</v>
      </c>
    </row>
    <row r="322" spans="1:5">
      <c r="A322" s="26" t="s">
        <v>83</v>
      </c>
      <c r="B322" s="26" t="s">
        <v>409</v>
      </c>
      <c r="C322" s="26" t="s">
        <v>154</v>
      </c>
      <c r="D322" s="27">
        <v>3000</v>
      </c>
      <c r="E322" s="29">
        <v>2100</v>
      </c>
    </row>
    <row r="323" spans="1:5">
      <c r="A323" s="26" t="s">
        <v>83</v>
      </c>
      <c r="B323" s="26" t="s">
        <v>409</v>
      </c>
      <c r="C323" s="26" t="s">
        <v>17</v>
      </c>
      <c r="D323" s="27">
        <v>19500</v>
      </c>
      <c r="E323" s="29">
        <v>13650</v>
      </c>
    </row>
    <row r="324" spans="1:5">
      <c r="A324" s="26" t="s">
        <v>83</v>
      </c>
      <c r="B324" s="26" t="s">
        <v>409</v>
      </c>
      <c r="C324" s="26" t="s">
        <v>18</v>
      </c>
      <c r="D324" s="27">
        <v>8700</v>
      </c>
      <c r="E324" s="29">
        <v>6056.4</v>
      </c>
    </row>
    <row r="325" spans="1:5">
      <c r="A325" s="26" t="s">
        <v>83</v>
      </c>
      <c r="B325" s="26" t="s">
        <v>409</v>
      </c>
      <c r="C325" s="26" t="s">
        <v>366</v>
      </c>
      <c r="D325" s="27">
        <v>600</v>
      </c>
      <c r="E325" s="29">
        <v>420</v>
      </c>
    </row>
    <row r="326" spans="1:5">
      <c r="A326" s="26" t="s">
        <v>83</v>
      </c>
      <c r="B326" s="26" t="s">
        <v>409</v>
      </c>
      <c r="C326" s="26" t="s">
        <v>229</v>
      </c>
      <c r="D326" s="27">
        <v>460600</v>
      </c>
      <c r="E326" s="29">
        <v>321972</v>
      </c>
    </row>
    <row r="327" spans="1:5">
      <c r="A327" s="26" t="s">
        <v>83</v>
      </c>
      <c r="B327" s="26" t="s">
        <v>409</v>
      </c>
      <c r="C327" s="26" t="s">
        <v>267</v>
      </c>
      <c r="D327" s="27">
        <v>2100</v>
      </c>
      <c r="E327" s="29">
        <v>1470</v>
      </c>
    </row>
    <row r="328" spans="1:5">
      <c r="A328" s="26" t="s">
        <v>83</v>
      </c>
      <c r="B328" s="26" t="s">
        <v>409</v>
      </c>
      <c r="C328" s="26" t="s">
        <v>37</v>
      </c>
      <c r="D328" s="27">
        <v>15200</v>
      </c>
      <c r="E328" s="29">
        <v>10640</v>
      </c>
    </row>
    <row r="329" spans="1:5">
      <c r="A329" s="26" t="s">
        <v>83</v>
      </c>
      <c r="B329" s="26" t="s">
        <v>409</v>
      </c>
      <c r="C329" s="26" t="s">
        <v>402</v>
      </c>
      <c r="D329" s="27">
        <v>200</v>
      </c>
      <c r="E329" s="29">
        <v>140</v>
      </c>
    </row>
    <row r="330" spans="1:5">
      <c r="A330" s="26" t="s">
        <v>83</v>
      </c>
      <c r="B330" s="26" t="s">
        <v>409</v>
      </c>
      <c r="C330" s="26" t="s">
        <v>328</v>
      </c>
      <c r="D330" s="27">
        <v>24200</v>
      </c>
      <c r="E330" s="29">
        <v>16940</v>
      </c>
    </row>
    <row r="331" spans="1:5">
      <c r="A331" s="26" t="s">
        <v>83</v>
      </c>
      <c r="B331" s="26" t="s">
        <v>409</v>
      </c>
      <c r="C331" s="26" t="s">
        <v>72</v>
      </c>
      <c r="D331" s="27">
        <v>8700</v>
      </c>
      <c r="E331" s="29">
        <v>6090</v>
      </c>
    </row>
    <row r="332" spans="1:5">
      <c r="A332" s="26" t="s">
        <v>83</v>
      </c>
      <c r="B332" s="26" t="s">
        <v>409</v>
      </c>
      <c r="C332" s="26" t="s">
        <v>150</v>
      </c>
      <c r="D332" s="27">
        <v>31300</v>
      </c>
      <c r="E332" s="29">
        <v>21910</v>
      </c>
    </row>
    <row r="333" spans="1:5">
      <c r="A333" s="26" t="s">
        <v>83</v>
      </c>
      <c r="B333" s="26" t="s">
        <v>409</v>
      </c>
      <c r="C333" s="26" t="s">
        <v>347</v>
      </c>
      <c r="D333" s="27">
        <v>109800</v>
      </c>
      <c r="E333" s="29">
        <v>76411.999999999985</v>
      </c>
    </row>
    <row r="334" spans="1:5">
      <c r="A334" s="26" t="s">
        <v>83</v>
      </c>
      <c r="B334" s="26" t="s">
        <v>409</v>
      </c>
      <c r="C334" s="26" t="s">
        <v>19</v>
      </c>
      <c r="D334" s="27">
        <v>50400</v>
      </c>
      <c r="E334" s="29">
        <v>35280</v>
      </c>
    </row>
    <row r="335" spans="1:5">
      <c r="A335" s="26" t="s">
        <v>83</v>
      </c>
      <c r="B335" s="26" t="s">
        <v>409</v>
      </c>
      <c r="C335" s="26" t="s">
        <v>395</v>
      </c>
      <c r="D335" s="27">
        <v>7500</v>
      </c>
      <c r="E335" s="29">
        <v>5250</v>
      </c>
    </row>
    <row r="336" spans="1:5">
      <c r="A336" s="26" t="s">
        <v>83</v>
      </c>
      <c r="B336" s="26" t="s">
        <v>409</v>
      </c>
      <c r="C336" s="26" t="s">
        <v>61</v>
      </c>
      <c r="D336" s="27">
        <v>95700</v>
      </c>
      <c r="E336" s="29">
        <v>66990</v>
      </c>
    </row>
    <row r="337" spans="1:5">
      <c r="A337" s="26" t="s">
        <v>83</v>
      </c>
      <c r="B337" s="26" t="s">
        <v>409</v>
      </c>
      <c r="C337" s="26" t="s">
        <v>156</v>
      </c>
      <c r="D337" s="27">
        <v>85800</v>
      </c>
      <c r="E337" s="29">
        <v>57540.000000000073</v>
      </c>
    </row>
    <row r="338" spans="1:5">
      <c r="A338" s="26"/>
      <c r="B338" s="26"/>
      <c r="C338" s="26"/>
      <c r="D338" s="27"/>
      <c r="E338" s="29"/>
    </row>
    <row r="339" spans="1:5">
      <c r="A339" s="26"/>
      <c r="B339" s="26"/>
      <c r="C339" s="26"/>
      <c r="D339" s="27"/>
      <c r="E339" s="29"/>
    </row>
    <row r="340" spans="1:5">
      <c r="A340" s="26" t="s">
        <v>114</v>
      </c>
      <c r="B340" s="26" t="s">
        <v>341</v>
      </c>
      <c r="C340" s="26" t="s">
        <v>45</v>
      </c>
      <c r="D340" s="44">
        <v>1440</v>
      </c>
      <c r="E340" s="29">
        <v>1440</v>
      </c>
    </row>
    <row r="341" spans="1:5">
      <c r="A341" s="26" t="s">
        <v>114</v>
      </c>
      <c r="B341" s="26" t="s">
        <v>341</v>
      </c>
      <c r="C341" s="26" t="s">
        <v>46</v>
      </c>
      <c r="D341" s="44">
        <v>240780</v>
      </c>
      <c r="E341" s="29">
        <v>240780</v>
      </c>
    </row>
    <row r="342" spans="1:5">
      <c r="A342" s="26" t="s">
        <v>114</v>
      </c>
      <c r="B342" s="26" t="s">
        <v>341</v>
      </c>
      <c r="C342" s="26" t="s">
        <v>69</v>
      </c>
      <c r="D342" s="44">
        <v>171540</v>
      </c>
      <c r="E342" s="29">
        <v>171540</v>
      </c>
    </row>
    <row r="343" spans="1:5">
      <c r="A343" s="26" t="s">
        <v>114</v>
      </c>
      <c r="B343" s="26" t="s">
        <v>341</v>
      </c>
      <c r="C343" s="26" t="s">
        <v>315</v>
      </c>
      <c r="D343" s="44">
        <v>9186300</v>
      </c>
      <c r="E343" s="29">
        <v>9186300</v>
      </c>
    </row>
    <row r="344" spans="1:5">
      <c r="A344" s="26" t="s">
        <v>114</v>
      </c>
      <c r="B344" s="26" t="s">
        <v>341</v>
      </c>
      <c r="C344" s="26" t="s">
        <v>34</v>
      </c>
      <c r="D344" s="44">
        <v>216540</v>
      </c>
      <c r="E344" s="29">
        <v>216540</v>
      </c>
    </row>
    <row r="345" spans="1:5">
      <c r="A345" s="26" t="s">
        <v>114</v>
      </c>
      <c r="B345" s="26" t="s">
        <v>341</v>
      </c>
      <c r="C345" s="26" t="s">
        <v>70</v>
      </c>
      <c r="D345" s="44">
        <v>9411360</v>
      </c>
      <c r="E345" s="29">
        <v>9411360</v>
      </c>
    </row>
    <row r="346" spans="1:5">
      <c r="A346" s="26" t="s">
        <v>114</v>
      </c>
      <c r="B346" s="26" t="s">
        <v>341</v>
      </c>
      <c r="C346" s="26" t="s">
        <v>63</v>
      </c>
      <c r="D346" s="44">
        <v>813420</v>
      </c>
      <c r="E346" s="29">
        <v>813420</v>
      </c>
    </row>
    <row r="347" spans="1:5">
      <c r="A347" s="26" t="s">
        <v>114</v>
      </c>
      <c r="B347" s="26" t="s">
        <v>341</v>
      </c>
      <c r="C347" s="26" t="s">
        <v>54</v>
      </c>
      <c r="D347" s="44">
        <v>1477800</v>
      </c>
      <c r="E347" s="29">
        <v>1477800</v>
      </c>
    </row>
    <row r="348" spans="1:5">
      <c r="A348" s="26" t="s">
        <v>114</v>
      </c>
      <c r="B348" s="26" t="s">
        <v>341</v>
      </c>
      <c r="C348" s="26" t="s">
        <v>316</v>
      </c>
      <c r="D348" s="44">
        <v>1693800</v>
      </c>
      <c r="E348" s="29">
        <v>1693800</v>
      </c>
    </row>
    <row r="349" spans="1:5">
      <c r="A349" s="26" t="s">
        <v>114</v>
      </c>
      <c r="B349" s="26" t="s">
        <v>341</v>
      </c>
      <c r="C349" s="26" t="s">
        <v>317</v>
      </c>
      <c r="D349" s="44">
        <v>1253520</v>
      </c>
      <c r="E349" s="29">
        <v>1253520</v>
      </c>
    </row>
    <row r="350" spans="1:5">
      <c r="A350" s="26" t="s">
        <v>114</v>
      </c>
      <c r="B350" s="26" t="s">
        <v>341</v>
      </c>
      <c r="C350" s="26" t="s">
        <v>318</v>
      </c>
      <c r="D350" s="44">
        <v>754020</v>
      </c>
      <c r="E350" s="29">
        <v>754020</v>
      </c>
    </row>
    <row r="351" spans="1:5">
      <c r="A351" s="26" t="s">
        <v>114</v>
      </c>
      <c r="B351" s="26" t="s">
        <v>341</v>
      </c>
      <c r="C351" s="26" t="s">
        <v>319</v>
      </c>
      <c r="D351" s="44">
        <v>377460</v>
      </c>
      <c r="E351" s="29">
        <v>377460</v>
      </c>
    </row>
    <row r="352" spans="1:5">
      <c r="A352" s="26" t="s">
        <v>114</v>
      </c>
      <c r="B352" s="26" t="s">
        <v>341</v>
      </c>
      <c r="C352" s="26" t="s">
        <v>320</v>
      </c>
      <c r="D352" s="44">
        <v>192960</v>
      </c>
      <c r="E352" s="29">
        <v>192960</v>
      </c>
    </row>
    <row r="353" spans="1:5">
      <c r="A353" s="26" t="s">
        <v>114</v>
      </c>
      <c r="B353" s="26" t="s">
        <v>341</v>
      </c>
      <c r="C353" s="26" t="s">
        <v>298</v>
      </c>
      <c r="D353" s="44">
        <v>1255680</v>
      </c>
      <c r="E353" s="29">
        <v>1255680</v>
      </c>
    </row>
    <row r="354" spans="1:5">
      <c r="A354" s="26" t="s">
        <v>114</v>
      </c>
      <c r="B354" s="26" t="s">
        <v>341</v>
      </c>
      <c r="C354" s="26" t="s">
        <v>336</v>
      </c>
      <c r="D354" s="44">
        <v>263340</v>
      </c>
      <c r="E354" s="29">
        <v>263340</v>
      </c>
    </row>
    <row r="355" spans="1:5">
      <c r="A355" s="26" t="s">
        <v>114</v>
      </c>
      <c r="B355" s="26" t="s">
        <v>341</v>
      </c>
      <c r="C355" s="26" t="s">
        <v>337</v>
      </c>
      <c r="D355" s="44">
        <v>173520</v>
      </c>
      <c r="E355" s="29">
        <v>173520</v>
      </c>
    </row>
    <row r="356" spans="1:5">
      <c r="A356" s="26"/>
      <c r="B356" s="26"/>
      <c r="C356" s="26"/>
      <c r="D356" s="44"/>
      <c r="E356" s="29"/>
    </row>
    <row r="357" spans="1:5">
      <c r="A357" s="26"/>
      <c r="B357" s="26"/>
      <c r="C357" s="26"/>
      <c r="D357" s="44"/>
      <c r="E357" s="29"/>
    </row>
    <row r="358" spans="1:5">
      <c r="A358" s="26"/>
      <c r="B358" s="26"/>
      <c r="C358" s="26"/>
      <c r="D358" s="44"/>
      <c r="E358" s="29"/>
    </row>
    <row r="359" spans="1:5">
      <c r="A359" s="26" t="s">
        <v>275</v>
      </c>
      <c r="B359" s="26" t="s">
        <v>367</v>
      </c>
      <c r="C359" s="26" t="s">
        <v>41</v>
      </c>
      <c r="D359" s="104">
        <v>2257323</v>
      </c>
      <c r="E359" s="29">
        <v>2257323</v>
      </c>
    </row>
    <row r="360" spans="1:5">
      <c r="A360" s="26" t="s">
        <v>275</v>
      </c>
      <c r="B360" s="26" t="s">
        <v>367</v>
      </c>
      <c r="C360" s="26" t="s">
        <v>59</v>
      </c>
      <c r="D360" s="104">
        <v>699701</v>
      </c>
      <c r="E360" s="29">
        <v>699701</v>
      </c>
    </row>
    <row r="361" spans="1:5">
      <c r="A361" s="26" t="s">
        <v>275</v>
      </c>
      <c r="B361" s="26" t="s">
        <v>367</v>
      </c>
      <c r="C361" s="26" t="s">
        <v>155</v>
      </c>
      <c r="D361" s="104">
        <v>407044</v>
      </c>
      <c r="E361" s="29">
        <v>407044</v>
      </c>
    </row>
    <row r="362" spans="1:5">
      <c r="A362" s="26" t="s">
        <v>275</v>
      </c>
      <c r="B362" s="26" t="s">
        <v>367</v>
      </c>
      <c r="C362" s="26" t="s">
        <v>160</v>
      </c>
      <c r="D362" s="104">
        <v>385468</v>
      </c>
      <c r="E362" s="29">
        <v>385468</v>
      </c>
    </row>
    <row r="363" spans="1:5">
      <c r="A363" s="26" t="s">
        <v>275</v>
      </c>
      <c r="B363" s="26" t="s">
        <v>367</v>
      </c>
      <c r="C363" s="26" t="s">
        <v>54</v>
      </c>
      <c r="D363" s="104">
        <v>314805</v>
      </c>
      <c r="E363" s="29">
        <v>314805</v>
      </c>
    </row>
    <row r="364" spans="1:5">
      <c r="A364" s="26" t="s">
        <v>275</v>
      </c>
      <c r="B364" s="26" t="s">
        <v>367</v>
      </c>
      <c r="C364" s="26" t="s">
        <v>20</v>
      </c>
      <c r="D364" s="104">
        <v>172295</v>
      </c>
      <c r="E364" s="29">
        <v>172295</v>
      </c>
    </row>
    <row r="365" spans="1:5">
      <c r="A365" s="26" t="s">
        <v>275</v>
      </c>
      <c r="B365" s="26" t="s">
        <v>367</v>
      </c>
      <c r="C365" s="26" t="s">
        <v>30</v>
      </c>
      <c r="D365" s="104">
        <v>171247</v>
      </c>
      <c r="E365" s="29">
        <v>171247</v>
      </c>
    </row>
    <row r="366" spans="1:5">
      <c r="A366" s="26" t="s">
        <v>275</v>
      </c>
      <c r="B366" s="26" t="s">
        <v>367</v>
      </c>
      <c r="C366" s="26" t="s">
        <v>46</v>
      </c>
      <c r="D366" s="104">
        <v>142524</v>
      </c>
      <c r="E366" s="29">
        <v>142524</v>
      </c>
    </row>
    <row r="367" spans="1:5">
      <c r="A367" s="26" t="s">
        <v>275</v>
      </c>
      <c r="B367" s="26" t="s">
        <v>367</v>
      </c>
      <c r="C367" s="26" t="s">
        <v>65</v>
      </c>
      <c r="D367" s="104">
        <v>129619</v>
      </c>
      <c r="E367" s="29">
        <v>129619</v>
      </c>
    </row>
    <row r="368" spans="1:5">
      <c r="A368" s="26" t="s">
        <v>275</v>
      </c>
      <c r="B368" s="26" t="s">
        <v>367</v>
      </c>
      <c r="C368" s="26" t="s">
        <v>323</v>
      </c>
      <c r="D368" s="104">
        <v>120036</v>
      </c>
      <c r="E368" s="29">
        <v>120036</v>
      </c>
    </row>
    <row r="369" spans="1:5">
      <c r="A369" s="26" t="s">
        <v>275</v>
      </c>
      <c r="B369" s="26" t="s">
        <v>367</v>
      </c>
      <c r="C369" s="26" t="s">
        <v>161</v>
      </c>
      <c r="D369" s="104">
        <v>100897</v>
      </c>
      <c r="E369" s="29">
        <v>100897</v>
      </c>
    </row>
    <row r="370" spans="1:5">
      <c r="A370" s="26" t="s">
        <v>275</v>
      </c>
      <c r="B370" s="26" t="s">
        <v>367</v>
      </c>
      <c r="C370" s="26" t="s">
        <v>68</v>
      </c>
      <c r="D370" s="104">
        <v>74651</v>
      </c>
      <c r="E370" s="29">
        <v>74651</v>
      </c>
    </row>
    <row r="371" spans="1:5">
      <c r="A371" s="26" t="s">
        <v>275</v>
      </c>
      <c r="B371" s="26" t="s">
        <v>367</v>
      </c>
      <c r="C371" s="26" t="s">
        <v>45</v>
      </c>
      <c r="D371" s="104">
        <v>30029</v>
      </c>
      <c r="E371" s="29">
        <v>30029</v>
      </c>
    </row>
    <row r="372" spans="1:5">
      <c r="A372" s="26" t="s">
        <v>275</v>
      </c>
      <c r="B372" s="26" t="s">
        <v>367</v>
      </c>
      <c r="C372" s="26" t="s">
        <v>21</v>
      </c>
      <c r="D372" s="104">
        <v>14647</v>
      </c>
      <c r="E372" s="29">
        <v>14647</v>
      </c>
    </row>
    <row r="373" spans="1:5">
      <c r="A373" s="26" t="s">
        <v>275</v>
      </c>
      <c r="B373" s="26" t="s">
        <v>367</v>
      </c>
      <c r="C373" s="26" t="s">
        <v>38</v>
      </c>
      <c r="D373" s="104">
        <v>8685</v>
      </c>
      <c r="E373" s="29">
        <v>8685</v>
      </c>
    </row>
    <row r="374" spans="1:5">
      <c r="A374" s="118" t="s">
        <v>277</v>
      </c>
      <c r="B374" s="26" t="s">
        <v>367</v>
      </c>
      <c r="C374" s="26" t="s">
        <v>372</v>
      </c>
      <c r="D374" s="44">
        <v>276744</v>
      </c>
      <c r="E374" s="29">
        <v>276744</v>
      </c>
    </row>
    <row r="375" spans="1:5">
      <c r="A375" s="118" t="s">
        <v>277</v>
      </c>
      <c r="B375" s="26" t="s">
        <v>367</v>
      </c>
      <c r="C375" s="26" t="s">
        <v>373</v>
      </c>
      <c r="D375" s="44">
        <v>29253</v>
      </c>
      <c r="E375" s="29">
        <v>29253</v>
      </c>
    </row>
    <row r="376" spans="1:5">
      <c r="A376" s="26"/>
      <c r="B376" s="26"/>
      <c r="C376" s="26"/>
      <c r="D376" s="44"/>
      <c r="E376" s="29"/>
    </row>
    <row r="377" spans="1:5">
      <c r="A377" s="26"/>
      <c r="B377" s="26"/>
      <c r="C377" s="26"/>
      <c r="D377" s="44"/>
      <c r="E377" s="29"/>
    </row>
    <row r="378" spans="1:5">
      <c r="A378" s="26"/>
      <c r="B378" s="26"/>
      <c r="C378" s="26"/>
      <c r="D378" s="44"/>
      <c r="E378" s="29"/>
    </row>
    <row r="379" spans="1:5">
      <c r="A379" s="26"/>
      <c r="B379" s="26"/>
      <c r="C379" s="26"/>
      <c r="D379" s="44"/>
      <c r="E379" s="29"/>
    </row>
    <row r="380" spans="1:5">
      <c r="A380" s="26" t="s">
        <v>100</v>
      </c>
      <c r="B380" s="26" t="s">
        <v>367</v>
      </c>
      <c r="C380" s="26" t="s">
        <v>17</v>
      </c>
      <c r="D380" s="27">
        <v>205450</v>
      </c>
      <c r="E380" s="29">
        <v>205450</v>
      </c>
    </row>
    <row r="381" spans="1:5">
      <c r="A381" s="26" t="s">
        <v>100</v>
      </c>
      <c r="B381" s="26" t="s">
        <v>367</v>
      </c>
      <c r="C381" s="26" t="s">
        <v>39</v>
      </c>
      <c r="D381" s="27">
        <v>1477224</v>
      </c>
      <c r="E381" s="29">
        <v>1477224</v>
      </c>
    </row>
    <row r="382" spans="1:5">
      <c r="A382" s="26" t="s">
        <v>100</v>
      </c>
      <c r="B382" s="26" t="s">
        <v>367</v>
      </c>
      <c r="C382" s="26" t="s">
        <v>37</v>
      </c>
      <c r="D382" s="27">
        <v>18157</v>
      </c>
      <c r="E382" s="29">
        <v>18157</v>
      </c>
    </row>
    <row r="383" spans="1:5">
      <c r="A383" s="26" t="s">
        <v>100</v>
      </c>
      <c r="B383" s="26" t="s">
        <v>367</v>
      </c>
      <c r="C383" s="26" t="s">
        <v>264</v>
      </c>
      <c r="D383" s="27">
        <v>2008</v>
      </c>
      <c r="E383" s="29">
        <v>2008</v>
      </c>
    </row>
    <row r="384" spans="1:5">
      <c r="A384" s="26" t="s">
        <v>100</v>
      </c>
      <c r="B384" s="26" t="s">
        <v>367</v>
      </c>
      <c r="C384" s="26" t="s">
        <v>40</v>
      </c>
      <c r="D384" s="27">
        <v>559847</v>
      </c>
      <c r="E384" s="29">
        <v>559847</v>
      </c>
    </row>
    <row r="385" spans="1:5">
      <c r="A385" s="26" t="s">
        <v>100</v>
      </c>
      <c r="B385" s="26" t="s">
        <v>367</v>
      </c>
      <c r="C385" s="26" t="s">
        <v>71</v>
      </c>
      <c r="D385" s="27">
        <v>214856</v>
      </c>
      <c r="E385" s="29">
        <v>214856</v>
      </c>
    </row>
    <row r="386" spans="1:5">
      <c r="A386" s="26" t="s">
        <v>100</v>
      </c>
      <c r="B386" s="26" t="s">
        <v>367</v>
      </c>
      <c r="C386" s="26" t="s">
        <v>150</v>
      </c>
      <c r="D386" s="27">
        <v>90749</v>
      </c>
      <c r="E386" s="29">
        <v>90749</v>
      </c>
    </row>
    <row r="387" spans="1:5">
      <c r="A387" s="26" t="s">
        <v>100</v>
      </c>
      <c r="B387" s="26" t="s">
        <v>367</v>
      </c>
      <c r="C387" s="26" t="s">
        <v>21</v>
      </c>
      <c r="D387" s="27">
        <v>19613</v>
      </c>
      <c r="E387" s="29">
        <v>19613</v>
      </c>
    </row>
    <row r="388" spans="1:5">
      <c r="A388" s="26" t="s">
        <v>100</v>
      </c>
      <c r="B388" s="26" t="s">
        <v>367</v>
      </c>
      <c r="C388" s="26" t="s">
        <v>66</v>
      </c>
      <c r="D388" s="27">
        <v>275695</v>
      </c>
      <c r="E388" s="29">
        <v>275695</v>
      </c>
    </row>
    <row r="389" spans="1:5">
      <c r="A389" s="26" t="s">
        <v>100</v>
      </c>
      <c r="B389" s="26" t="s">
        <v>367</v>
      </c>
      <c r="C389" s="26" t="s">
        <v>53</v>
      </c>
      <c r="D389" s="27">
        <v>3782483</v>
      </c>
      <c r="E389" s="29">
        <v>3782483</v>
      </c>
    </row>
    <row r="390" spans="1:5">
      <c r="A390" s="26" t="s">
        <v>100</v>
      </c>
      <c r="B390" s="26" t="s">
        <v>367</v>
      </c>
      <c r="C390" s="26" t="s">
        <v>59</v>
      </c>
      <c r="D390" s="27">
        <v>451989</v>
      </c>
      <c r="E390" s="29">
        <v>451989</v>
      </c>
    </row>
    <row r="391" spans="1:5">
      <c r="A391" s="26" t="s">
        <v>100</v>
      </c>
      <c r="B391" s="26" t="s">
        <v>367</v>
      </c>
      <c r="C391" s="26" t="s">
        <v>67</v>
      </c>
      <c r="D391" s="27">
        <v>1243141</v>
      </c>
      <c r="E391" s="29">
        <v>1243141</v>
      </c>
    </row>
    <row r="392" spans="1:5">
      <c r="A392" s="26" t="s">
        <v>100</v>
      </c>
      <c r="B392" s="26" t="s">
        <v>367</v>
      </c>
      <c r="C392" s="26" t="s">
        <v>172</v>
      </c>
      <c r="D392" s="27">
        <v>10591</v>
      </c>
      <c r="E392" s="29">
        <v>10591</v>
      </c>
    </row>
    <row r="393" spans="1:5">
      <c r="A393" s="26"/>
      <c r="B393" s="26"/>
      <c r="C393" s="26"/>
      <c r="D393" s="27"/>
      <c r="E393" s="29"/>
    </row>
    <row r="394" spans="1:5">
      <c r="A394" s="26" t="s">
        <v>206</v>
      </c>
      <c r="B394" s="26" t="s">
        <v>407</v>
      </c>
      <c r="C394" s="26" t="s">
        <v>172</v>
      </c>
      <c r="D394" s="27">
        <v>1531</v>
      </c>
      <c r="E394" s="29">
        <v>1531</v>
      </c>
    </row>
    <row r="395" spans="1:5">
      <c r="A395" s="26" t="s">
        <v>206</v>
      </c>
      <c r="B395" s="26" t="s">
        <v>407</v>
      </c>
      <c r="C395" s="26" t="s">
        <v>71</v>
      </c>
      <c r="D395" s="27">
        <v>25668</v>
      </c>
      <c r="E395" s="29">
        <v>25668</v>
      </c>
    </row>
    <row r="396" spans="1:5">
      <c r="A396" s="26" t="s">
        <v>206</v>
      </c>
      <c r="B396" s="26" t="s">
        <v>407</v>
      </c>
      <c r="C396" s="26" t="s">
        <v>37</v>
      </c>
      <c r="D396" s="27">
        <v>6159</v>
      </c>
      <c r="E396" s="29">
        <v>6159</v>
      </c>
    </row>
    <row r="397" spans="1:5">
      <c r="A397" s="26" t="s">
        <v>206</v>
      </c>
      <c r="B397" s="26" t="s">
        <v>407</v>
      </c>
      <c r="C397" s="26" t="s">
        <v>39</v>
      </c>
      <c r="D397" s="27">
        <v>75796</v>
      </c>
      <c r="E397" s="29">
        <v>75796</v>
      </c>
    </row>
    <row r="398" spans="1:5">
      <c r="A398" s="26" t="s">
        <v>206</v>
      </c>
      <c r="B398" s="26" t="s">
        <v>407</v>
      </c>
      <c r="C398" s="26" t="s">
        <v>207</v>
      </c>
      <c r="D398" s="27">
        <v>26601</v>
      </c>
      <c r="E398" s="29">
        <v>26601</v>
      </c>
    </row>
    <row r="399" spans="1:5">
      <c r="A399" s="26" t="s">
        <v>206</v>
      </c>
      <c r="B399" s="26" t="s">
        <v>407</v>
      </c>
      <c r="C399" s="26" t="s">
        <v>208</v>
      </c>
      <c r="D399" s="27">
        <v>63326</v>
      </c>
      <c r="E399" s="29">
        <v>63326</v>
      </c>
    </row>
    <row r="400" spans="1:5">
      <c r="A400" s="26" t="s">
        <v>206</v>
      </c>
      <c r="B400" s="26" t="s">
        <v>407</v>
      </c>
      <c r="C400" s="26" t="s">
        <v>40</v>
      </c>
      <c r="D400" s="27">
        <v>62868</v>
      </c>
      <c r="E400" s="29">
        <v>62868</v>
      </c>
    </row>
    <row r="401" spans="1:5">
      <c r="A401" s="26" t="s">
        <v>206</v>
      </c>
      <c r="B401" s="26" t="s">
        <v>407</v>
      </c>
      <c r="C401" s="26" t="s">
        <v>21</v>
      </c>
      <c r="D401" s="27">
        <v>5963</v>
      </c>
      <c r="E401" s="29">
        <v>5963</v>
      </c>
    </row>
    <row r="402" spans="1:5">
      <c r="A402" s="26" t="s">
        <v>206</v>
      </c>
      <c r="B402" s="26" t="s">
        <v>407</v>
      </c>
      <c r="C402" s="26" t="s">
        <v>17</v>
      </c>
      <c r="D402" s="27">
        <v>17426</v>
      </c>
      <c r="E402" s="29">
        <v>17426</v>
      </c>
    </row>
    <row r="403" spans="1:5">
      <c r="A403" s="26"/>
      <c r="B403" s="26"/>
      <c r="C403" s="26"/>
      <c r="D403" s="27"/>
      <c r="E403" s="29"/>
    </row>
    <row r="404" spans="1:5">
      <c r="A404" s="26"/>
      <c r="B404" s="26"/>
      <c r="C404" s="26"/>
      <c r="D404" s="27"/>
      <c r="E404" s="29"/>
    </row>
    <row r="405" spans="1:5">
      <c r="A405" s="26" t="s">
        <v>115</v>
      </c>
      <c r="B405" s="26" t="s">
        <v>367</v>
      </c>
      <c r="C405" s="26" t="s">
        <v>62</v>
      </c>
      <c r="D405" s="27">
        <v>64564</v>
      </c>
      <c r="E405" s="29">
        <v>64564</v>
      </c>
    </row>
    <row r="406" spans="1:5">
      <c r="A406" s="26" t="s">
        <v>115</v>
      </c>
      <c r="B406" s="26" t="s">
        <v>367</v>
      </c>
      <c r="C406" s="26" t="s">
        <v>59</v>
      </c>
      <c r="D406" s="27">
        <v>13499.45</v>
      </c>
      <c r="E406" s="29">
        <v>13499.45</v>
      </c>
    </row>
    <row r="407" spans="1:5">
      <c r="A407" s="26" t="s">
        <v>115</v>
      </c>
      <c r="B407" s="26" t="s">
        <v>367</v>
      </c>
      <c r="C407" s="26" t="s">
        <v>54</v>
      </c>
      <c r="D407" s="27">
        <v>27577.45</v>
      </c>
      <c r="E407" s="29">
        <v>27577.45</v>
      </c>
    </row>
    <row r="408" spans="1:5">
      <c r="A408" s="26"/>
      <c r="B408" s="26"/>
      <c r="C408" s="26"/>
      <c r="D408" s="27"/>
      <c r="E408" s="29"/>
    </row>
    <row r="409" spans="1:5">
      <c r="A409" s="26" t="s">
        <v>175</v>
      </c>
      <c r="B409" s="26" t="s">
        <v>397</v>
      </c>
      <c r="C409" s="26" t="s">
        <v>167</v>
      </c>
      <c r="D409" s="27">
        <v>200990</v>
      </c>
      <c r="E409" s="29">
        <v>120594</v>
      </c>
    </row>
    <row r="410" spans="1:5">
      <c r="A410" s="26" t="s">
        <v>175</v>
      </c>
      <c r="B410" s="26" t="s">
        <v>397</v>
      </c>
      <c r="C410" s="26" t="s">
        <v>321</v>
      </c>
      <c r="D410" s="27">
        <v>556690</v>
      </c>
      <c r="E410" s="29">
        <v>334014</v>
      </c>
    </row>
    <row r="411" spans="1:5">
      <c r="A411" s="26" t="s">
        <v>175</v>
      </c>
      <c r="B411" s="26" t="s">
        <v>397</v>
      </c>
      <c r="C411" s="26" t="s">
        <v>180</v>
      </c>
      <c r="D411" s="27">
        <v>1856800</v>
      </c>
      <c r="E411" s="29">
        <v>1114080</v>
      </c>
    </row>
    <row r="412" spans="1:5">
      <c r="A412" s="26" t="s">
        <v>175</v>
      </c>
      <c r="B412" s="26" t="s">
        <v>397</v>
      </c>
      <c r="C412" s="26" t="s">
        <v>179</v>
      </c>
      <c r="D412" s="27">
        <v>6011880</v>
      </c>
      <c r="E412" s="29">
        <v>3607128</v>
      </c>
    </row>
    <row r="413" spans="1:5">
      <c r="A413" s="26" t="s">
        <v>175</v>
      </c>
      <c r="B413" s="26" t="s">
        <v>397</v>
      </c>
      <c r="C413" s="26" t="s">
        <v>308</v>
      </c>
      <c r="D413" s="27">
        <v>378680</v>
      </c>
      <c r="E413" s="29">
        <v>227208</v>
      </c>
    </row>
    <row r="414" spans="1:5">
      <c r="A414" s="26" t="s">
        <v>175</v>
      </c>
      <c r="B414" s="26" t="s">
        <v>397</v>
      </c>
      <c r="C414" s="26" t="s">
        <v>56</v>
      </c>
      <c r="D414" s="27">
        <v>100</v>
      </c>
      <c r="E414" s="29">
        <v>60</v>
      </c>
    </row>
    <row r="415" spans="1:5">
      <c r="A415" s="26" t="s">
        <v>175</v>
      </c>
      <c r="B415" s="26" t="s">
        <v>397</v>
      </c>
      <c r="C415" s="26" t="s">
        <v>20</v>
      </c>
      <c r="D415" s="27">
        <v>31200</v>
      </c>
      <c r="E415" s="29">
        <v>18720</v>
      </c>
    </row>
    <row r="416" spans="1:5">
      <c r="A416" s="26" t="s">
        <v>175</v>
      </c>
      <c r="B416" s="26" t="s">
        <v>397</v>
      </c>
      <c r="C416" s="26" t="s">
        <v>74</v>
      </c>
      <c r="D416" s="27">
        <v>31800</v>
      </c>
      <c r="E416" s="29">
        <v>19080</v>
      </c>
    </row>
    <row r="417" spans="1:5">
      <c r="A417" s="26" t="s">
        <v>175</v>
      </c>
      <c r="B417" s="26" t="s">
        <v>397</v>
      </c>
      <c r="C417" s="26" t="s">
        <v>76</v>
      </c>
      <c r="D417" s="27">
        <v>490208</v>
      </c>
      <c r="E417" s="29">
        <v>294124.79999999999</v>
      </c>
    </row>
    <row r="418" spans="1:5">
      <c r="A418" s="26" t="s">
        <v>175</v>
      </c>
      <c r="B418" s="26" t="s">
        <v>397</v>
      </c>
      <c r="C418" s="26" t="s">
        <v>77</v>
      </c>
      <c r="D418" s="27">
        <v>11964376</v>
      </c>
      <c r="E418" s="29">
        <v>7178625.5999999996</v>
      </c>
    </row>
    <row r="419" spans="1:5">
      <c r="A419" s="26" t="s">
        <v>175</v>
      </c>
      <c r="B419" s="26" t="s">
        <v>397</v>
      </c>
      <c r="C419" s="26" t="s">
        <v>29</v>
      </c>
      <c r="D419" s="27">
        <v>210980</v>
      </c>
      <c r="E419" s="29">
        <v>126588</v>
      </c>
    </row>
    <row r="420" spans="1:5" ht="15.75" customHeight="1">
      <c r="A420" s="26" t="s">
        <v>175</v>
      </c>
      <c r="B420" s="26" t="s">
        <v>397</v>
      </c>
      <c r="C420" s="26" t="s">
        <v>87</v>
      </c>
      <c r="D420" s="27">
        <v>8640</v>
      </c>
      <c r="E420" s="29">
        <v>5184</v>
      </c>
    </row>
    <row r="421" spans="1:5" ht="15.75" customHeight="1">
      <c r="A421" s="26" t="s">
        <v>175</v>
      </c>
      <c r="B421" s="26" t="s">
        <v>397</v>
      </c>
      <c r="C421" s="26" t="s">
        <v>21</v>
      </c>
      <c r="D421" s="27">
        <v>26400</v>
      </c>
      <c r="E421" s="29">
        <v>15840</v>
      </c>
    </row>
    <row r="422" spans="1:5" ht="15.75" customHeight="1">
      <c r="A422" s="26" t="s">
        <v>175</v>
      </c>
      <c r="B422" s="26" t="s">
        <v>397</v>
      </c>
      <c r="C422" s="26" t="s">
        <v>327</v>
      </c>
      <c r="D422" s="27">
        <v>5900</v>
      </c>
      <c r="E422" s="29">
        <v>3540</v>
      </c>
    </row>
    <row r="423" spans="1:5" ht="15.75" customHeight="1">
      <c r="A423" s="26" t="s">
        <v>175</v>
      </c>
      <c r="B423" s="26" t="s">
        <v>397</v>
      </c>
      <c r="C423" s="26" t="s">
        <v>86</v>
      </c>
      <c r="D423" s="27">
        <v>5200</v>
      </c>
      <c r="E423" s="29">
        <v>3120</v>
      </c>
    </row>
    <row r="424" spans="1:5" ht="15.75" customHeight="1">
      <c r="A424" s="26" t="s">
        <v>175</v>
      </c>
      <c r="B424" s="26" t="s">
        <v>397</v>
      </c>
      <c r="C424" s="26" t="s">
        <v>68</v>
      </c>
      <c r="D424" s="27">
        <v>275340</v>
      </c>
      <c r="E424" s="29">
        <v>165204</v>
      </c>
    </row>
    <row r="425" spans="1:5" ht="15.75" customHeight="1">
      <c r="A425" s="26" t="s">
        <v>175</v>
      </c>
      <c r="B425" s="26" t="s">
        <v>397</v>
      </c>
      <c r="C425" s="26" t="s">
        <v>154</v>
      </c>
      <c r="D425" s="27">
        <v>6600</v>
      </c>
      <c r="E425" s="29">
        <v>3960</v>
      </c>
    </row>
    <row r="426" spans="1:5" ht="15.75" customHeight="1">
      <c r="A426" s="26" t="s">
        <v>175</v>
      </c>
      <c r="B426" s="26" t="s">
        <v>397</v>
      </c>
      <c r="C426" s="26" t="s">
        <v>80</v>
      </c>
      <c r="D426" s="27">
        <v>127140</v>
      </c>
      <c r="E426" s="29">
        <v>76284</v>
      </c>
    </row>
    <row r="427" spans="1:5">
      <c r="A427" s="26" t="s">
        <v>175</v>
      </c>
      <c r="B427" s="26" t="s">
        <v>397</v>
      </c>
      <c r="C427" s="26" t="s">
        <v>73</v>
      </c>
      <c r="D427" s="27">
        <v>600</v>
      </c>
      <c r="E427" s="29">
        <v>360</v>
      </c>
    </row>
    <row r="428" spans="1:5" ht="15.75" customHeight="1">
      <c r="A428" s="26" t="s">
        <v>175</v>
      </c>
      <c r="B428" s="26" t="s">
        <v>397</v>
      </c>
      <c r="C428" s="26" t="s">
        <v>57</v>
      </c>
      <c r="D428" s="27">
        <v>12420</v>
      </c>
      <c r="E428" s="29">
        <v>7452</v>
      </c>
    </row>
    <row r="429" spans="1:5" ht="15.75" customHeight="1">
      <c r="A429" s="26" t="s">
        <v>175</v>
      </c>
      <c r="B429" s="26" t="s">
        <v>397</v>
      </c>
      <c r="C429" s="26" t="s">
        <v>37</v>
      </c>
      <c r="D429" s="27">
        <v>52960</v>
      </c>
      <c r="E429" s="29">
        <v>31776</v>
      </c>
    </row>
    <row r="430" spans="1:5" ht="15.75" customHeight="1">
      <c r="A430" s="26" t="s">
        <v>175</v>
      </c>
      <c r="B430" s="26" t="s">
        <v>397</v>
      </c>
      <c r="C430" s="26" t="s">
        <v>328</v>
      </c>
      <c r="D430" s="27">
        <v>65000</v>
      </c>
      <c r="E430" s="29">
        <v>39000</v>
      </c>
    </row>
    <row r="431" spans="1:5" ht="15.75" customHeight="1">
      <c r="A431" s="26" t="s">
        <v>175</v>
      </c>
      <c r="B431" s="26" t="s">
        <v>397</v>
      </c>
      <c r="C431" s="26" t="s">
        <v>81</v>
      </c>
      <c r="D431" s="27">
        <v>3000</v>
      </c>
      <c r="E431" s="29">
        <v>1800</v>
      </c>
    </row>
    <row r="432" spans="1:5" ht="15.75" customHeight="1">
      <c r="A432" s="26" t="s">
        <v>175</v>
      </c>
      <c r="B432" s="26" t="s">
        <v>397</v>
      </c>
      <c r="C432" s="26" t="s">
        <v>150</v>
      </c>
      <c r="D432" s="27">
        <v>184600</v>
      </c>
      <c r="E432" s="29">
        <v>110760</v>
      </c>
    </row>
    <row r="433" spans="1:5">
      <c r="A433" s="26" t="s">
        <v>175</v>
      </c>
      <c r="B433" s="26" t="s">
        <v>397</v>
      </c>
      <c r="C433" s="26" t="s">
        <v>59</v>
      </c>
      <c r="D433" s="27">
        <v>558840</v>
      </c>
      <c r="E433" s="29">
        <v>335304</v>
      </c>
    </row>
    <row r="434" spans="1:5" ht="15.75" customHeight="1">
      <c r="A434" s="26" t="s">
        <v>175</v>
      </c>
      <c r="B434" s="26" t="s">
        <v>397</v>
      </c>
      <c r="C434" s="26" t="s">
        <v>380</v>
      </c>
      <c r="D434" s="27">
        <v>711600</v>
      </c>
      <c r="E434" s="29">
        <v>426960</v>
      </c>
    </row>
    <row r="435" spans="1:5">
      <c r="A435" s="26" t="s">
        <v>175</v>
      </c>
      <c r="B435" s="26" t="s">
        <v>397</v>
      </c>
      <c r="C435" s="26" t="s">
        <v>19</v>
      </c>
      <c r="D435" s="27">
        <v>3300</v>
      </c>
      <c r="E435" s="29">
        <v>1980</v>
      </c>
    </row>
    <row r="436" spans="1:5" ht="15.75" customHeight="1">
      <c r="A436" s="26" t="s">
        <v>175</v>
      </c>
      <c r="B436" s="26" t="s">
        <v>397</v>
      </c>
      <c r="C436" s="26" t="s">
        <v>61</v>
      </c>
      <c r="D436" s="27">
        <v>109620</v>
      </c>
      <c r="E436" s="29">
        <v>65772</v>
      </c>
    </row>
    <row r="437" spans="1:5" ht="15.75" customHeight="1">
      <c r="A437" s="26" t="s">
        <v>175</v>
      </c>
      <c r="B437" s="26" t="s">
        <v>397</v>
      </c>
      <c r="C437" s="26" t="s">
        <v>156</v>
      </c>
      <c r="D437" s="27">
        <v>44940</v>
      </c>
      <c r="E437" s="29">
        <v>26964</v>
      </c>
    </row>
    <row r="438" spans="1:5" ht="15.75" customHeight="1">
      <c r="A438" s="26" t="s">
        <v>175</v>
      </c>
      <c r="B438" s="26" t="s">
        <v>397</v>
      </c>
      <c r="C438" s="26" t="s">
        <v>427</v>
      </c>
      <c r="D438" s="27">
        <v>657544</v>
      </c>
      <c r="E438" s="29">
        <v>394526.4</v>
      </c>
    </row>
    <row r="439" spans="1:5" ht="15.75" customHeight="1">
      <c r="A439" s="26" t="s">
        <v>175</v>
      </c>
      <c r="B439" s="26" t="s">
        <v>397</v>
      </c>
      <c r="C439" s="26" t="s">
        <v>326</v>
      </c>
      <c r="D439" s="27">
        <v>383080</v>
      </c>
      <c r="E439" s="29">
        <v>229848</v>
      </c>
    </row>
    <row r="440" spans="1:5" ht="15.75" customHeight="1">
      <c r="A440" s="26" t="s">
        <v>175</v>
      </c>
      <c r="B440" s="26" t="s">
        <v>397</v>
      </c>
      <c r="C440" s="26" t="s">
        <v>428</v>
      </c>
      <c r="D440" s="27">
        <v>243180</v>
      </c>
      <c r="E440" s="29">
        <v>145908</v>
      </c>
    </row>
    <row r="441" spans="1:5">
      <c r="A441" s="26" t="s">
        <v>175</v>
      </c>
      <c r="B441" s="26" t="s">
        <v>397</v>
      </c>
      <c r="C441" s="26" t="s">
        <v>381</v>
      </c>
      <c r="D441" s="27">
        <v>104970</v>
      </c>
      <c r="E441" s="29">
        <v>62982</v>
      </c>
    </row>
    <row r="442" spans="1:5" ht="15.75" customHeight="1">
      <c r="A442" s="26" t="s">
        <v>175</v>
      </c>
      <c r="B442" s="26" t="s">
        <v>397</v>
      </c>
      <c r="C442" s="26" t="s">
        <v>279</v>
      </c>
      <c r="D442" s="27">
        <v>28600</v>
      </c>
      <c r="E442" s="29">
        <v>17160</v>
      </c>
    </row>
    <row r="443" spans="1:5" ht="15.75" customHeight="1">
      <c r="A443" s="26" t="s">
        <v>175</v>
      </c>
      <c r="B443" s="26" t="s">
        <v>397</v>
      </c>
      <c r="C443" s="26" t="s">
        <v>280</v>
      </c>
      <c r="D443" s="27">
        <v>276880</v>
      </c>
      <c r="E443" s="29">
        <v>166128</v>
      </c>
    </row>
    <row r="444" spans="1:5" ht="15.75" customHeight="1">
      <c r="A444" s="26" t="s">
        <v>175</v>
      </c>
      <c r="B444" s="26" t="s">
        <v>397</v>
      </c>
      <c r="C444" s="26" t="s">
        <v>382</v>
      </c>
      <c r="D444" s="27">
        <v>875080</v>
      </c>
      <c r="E444" s="29">
        <v>525048</v>
      </c>
    </row>
    <row r="445" spans="1:5" ht="15.75" customHeight="1">
      <c r="A445" s="26" t="s">
        <v>175</v>
      </c>
      <c r="B445" s="26" t="s">
        <v>397</v>
      </c>
      <c r="C445" s="26"/>
      <c r="D445" s="27"/>
      <c r="E445" s="29"/>
    </row>
    <row r="446" spans="1:5" ht="15.75" customHeight="1">
      <c r="A446" s="26"/>
      <c r="B446" s="26"/>
      <c r="C446" s="26"/>
      <c r="D446" s="27"/>
      <c r="E446" s="29"/>
    </row>
    <row r="447" spans="1:5" ht="15.75" customHeight="1">
      <c r="A447" s="26"/>
      <c r="B447" s="26"/>
      <c r="C447" s="26"/>
      <c r="D447" s="27"/>
      <c r="E447" s="29"/>
    </row>
    <row r="448" spans="1:5">
      <c r="A448" s="26" t="s">
        <v>118</v>
      </c>
      <c r="B448" s="26" t="s">
        <v>397</v>
      </c>
      <c r="C448" s="26" t="s">
        <v>179</v>
      </c>
      <c r="D448" s="27">
        <v>5285884.3</v>
      </c>
      <c r="E448" s="29">
        <v>3700119.01</v>
      </c>
    </row>
    <row r="449" spans="1:5" ht="15.75" customHeight="1">
      <c r="A449" s="26" t="s">
        <v>102</v>
      </c>
      <c r="B449" s="26" t="s">
        <v>397</v>
      </c>
      <c r="C449" s="26" t="s">
        <v>387</v>
      </c>
      <c r="D449" s="27">
        <v>3034097.4</v>
      </c>
      <c r="E449" s="29">
        <v>2123868.1799999997</v>
      </c>
    </row>
    <row r="450" spans="1:5">
      <c r="A450" s="26" t="s">
        <v>102</v>
      </c>
      <c r="B450" s="26" t="s">
        <v>397</v>
      </c>
      <c r="C450" s="26" t="s">
        <v>59</v>
      </c>
      <c r="D450" s="27">
        <v>2243126.9</v>
      </c>
      <c r="E450" s="29">
        <v>1570188.8299999998</v>
      </c>
    </row>
    <row r="451" spans="1:5">
      <c r="A451" s="26" t="s">
        <v>102</v>
      </c>
      <c r="B451" s="26" t="s">
        <v>397</v>
      </c>
      <c r="C451" s="26" t="s">
        <v>384</v>
      </c>
      <c r="D451" s="27">
        <v>2219680</v>
      </c>
      <c r="E451" s="29">
        <v>1553776</v>
      </c>
    </row>
    <row r="452" spans="1:5">
      <c r="A452" s="26" t="s">
        <v>102</v>
      </c>
      <c r="B452" s="26" t="s">
        <v>397</v>
      </c>
      <c r="C452" s="26" t="s">
        <v>55</v>
      </c>
      <c r="D452" s="27">
        <v>1807989.3</v>
      </c>
      <c r="E452" s="29">
        <v>1265592.51</v>
      </c>
    </row>
    <row r="453" spans="1:5">
      <c r="A453" s="26" t="s">
        <v>102</v>
      </c>
      <c r="B453" s="26" t="s">
        <v>397</v>
      </c>
      <c r="C453" s="26" t="s">
        <v>180</v>
      </c>
      <c r="D453" s="27">
        <v>1776986.2</v>
      </c>
      <c r="E453" s="29">
        <v>1243890.3399999999</v>
      </c>
    </row>
    <row r="454" spans="1:5">
      <c r="A454" s="26" t="s">
        <v>102</v>
      </c>
      <c r="B454" s="26" t="s">
        <v>397</v>
      </c>
      <c r="C454" s="26" t="s">
        <v>76</v>
      </c>
      <c r="D454" s="27">
        <v>1601822.4</v>
      </c>
      <c r="E454" s="29">
        <v>1121275.68</v>
      </c>
    </row>
    <row r="455" spans="1:5">
      <c r="A455" s="26" t="s">
        <v>102</v>
      </c>
      <c r="B455" s="26" t="s">
        <v>397</v>
      </c>
      <c r="C455" s="26" t="s">
        <v>229</v>
      </c>
      <c r="D455" s="27">
        <v>1377208</v>
      </c>
      <c r="E455" s="29">
        <v>964045.6</v>
      </c>
    </row>
    <row r="456" spans="1:5">
      <c r="A456" s="26" t="s">
        <v>102</v>
      </c>
      <c r="B456" s="26" t="s">
        <v>397</v>
      </c>
      <c r="C456" s="26" t="s">
        <v>429</v>
      </c>
      <c r="D456" s="27">
        <v>1212326.6000000001</v>
      </c>
      <c r="E456" s="29">
        <v>848628.62</v>
      </c>
    </row>
    <row r="457" spans="1:5">
      <c r="A457" s="26" t="s">
        <v>102</v>
      </c>
      <c r="B457" s="26" t="s">
        <v>397</v>
      </c>
      <c r="C457" s="26" t="s">
        <v>383</v>
      </c>
      <c r="D457" s="27">
        <v>1104753.2</v>
      </c>
      <c r="E457" s="29">
        <v>773327.23999999987</v>
      </c>
    </row>
    <row r="458" spans="1:5">
      <c r="A458" s="26" t="s">
        <v>102</v>
      </c>
      <c r="B458" s="26" t="s">
        <v>397</v>
      </c>
      <c r="C458" s="26" t="s">
        <v>308</v>
      </c>
      <c r="D458" s="27">
        <v>979223</v>
      </c>
      <c r="E458" s="29">
        <v>685456.1</v>
      </c>
    </row>
    <row r="459" spans="1:5" ht="15.75" customHeight="1">
      <c r="A459" s="26" t="s">
        <v>102</v>
      </c>
      <c r="B459" s="26" t="s">
        <v>397</v>
      </c>
      <c r="C459" s="26" t="s">
        <v>173</v>
      </c>
      <c r="D459" s="27">
        <v>876490.4</v>
      </c>
      <c r="E459" s="29">
        <v>613543.28</v>
      </c>
    </row>
    <row r="460" spans="1:5">
      <c r="A460" s="26" t="s">
        <v>102</v>
      </c>
      <c r="B460" s="26" t="s">
        <v>397</v>
      </c>
      <c r="C460" s="26" t="s">
        <v>312</v>
      </c>
      <c r="D460" s="27">
        <v>817771.8</v>
      </c>
      <c r="E460" s="29">
        <v>572440.26</v>
      </c>
    </row>
    <row r="461" spans="1:5">
      <c r="A461" s="26" t="s">
        <v>102</v>
      </c>
      <c r="B461" s="26" t="s">
        <v>397</v>
      </c>
      <c r="C461" s="26" t="s">
        <v>20</v>
      </c>
      <c r="D461" s="27">
        <v>738160</v>
      </c>
      <c r="E461" s="29">
        <v>516711.99999999994</v>
      </c>
    </row>
    <row r="462" spans="1:5">
      <c r="A462" s="26" t="s">
        <v>102</v>
      </c>
      <c r="B462" s="26" t="s">
        <v>397</v>
      </c>
      <c r="C462" s="26" t="s">
        <v>325</v>
      </c>
      <c r="D462" s="27">
        <v>685595</v>
      </c>
      <c r="E462" s="29">
        <v>479916.49999999994</v>
      </c>
    </row>
    <row r="463" spans="1:5">
      <c r="A463" s="26" t="s">
        <v>102</v>
      </c>
      <c r="B463" s="26" t="s">
        <v>397</v>
      </c>
      <c r="C463" s="26" t="s">
        <v>346</v>
      </c>
      <c r="D463" s="27">
        <v>581887.80000000005</v>
      </c>
      <c r="E463" s="29">
        <v>407321.46</v>
      </c>
    </row>
    <row r="464" spans="1:5">
      <c r="A464" s="26" t="s">
        <v>102</v>
      </c>
      <c r="B464" s="26" t="s">
        <v>397</v>
      </c>
      <c r="C464" s="26" t="s">
        <v>150</v>
      </c>
      <c r="D464" s="27">
        <v>454968.4</v>
      </c>
      <c r="E464" s="29">
        <v>318477.88</v>
      </c>
    </row>
    <row r="465" spans="1:5">
      <c r="A465" s="26" t="s">
        <v>102</v>
      </c>
      <c r="B465" s="26" t="s">
        <v>397</v>
      </c>
      <c r="C465" s="26" t="s">
        <v>231</v>
      </c>
      <c r="D465" s="27">
        <v>428197.4</v>
      </c>
      <c r="E465" s="29">
        <v>299738.18</v>
      </c>
    </row>
    <row r="466" spans="1:5">
      <c r="A466" s="26" t="s">
        <v>102</v>
      </c>
      <c r="B466" s="26" t="s">
        <v>397</v>
      </c>
      <c r="C466" s="26" t="s">
        <v>156</v>
      </c>
      <c r="D466" s="27">
        <v>397008.5</v>
      </c>
      <c r="E466" s="29">
        <v>277905.94999999995</v>
      </c>
    </row>
    <row r="467" spans="1:5">
      <c r="A467" s="26" t="s">
        <v>102</v>
      </c>
      <c r="B467" s="26" t="s">
        <v>397</v>
      </c>
      <c r="C467" s="26" t="s">
        <v>430</v>
      </c>
      <c r="D467" s="27">
        <v>373368</v>
      </c>
      <c r="E467" s="29">
        <v>261357.59999999998</v>
      </c>
    </row>
    <row r="468" spans="1:5">
      <c r="A468" s="26" t="s">
        <v>102</v>
      </c>
      <c r="B468" s="26" t="s">
        <v>397</v>
      </c>
      <c r="C468" s="26" t="s">
        <v>431</v>
      </c>
      <c r="D468" s="27">
        <v>361956</v>
      </c>
      <c r="E468" s="29">
        <v>253369.19999999998</v>
      </c>
    </row>
    <row r="469" spans="1:5">
      <c r="A469" s="26" t="s">
        <v>102</v>
      </c>
      <c r="B469" s="26" t="s">
        <v>397</v>
      </c>
      <c r="C469" s="26" t="s">
        <v>164</v>
      </c>
      <c r="D469" s="27">
        <v>312840</v>
      </c>
      <c r="E469" s="29">
        <v>218988</v>
      </c>
    </row>
    <row r="470" spans="1:5">
      <c r="A470" s="26" t="s">
        <v>102</v>
      </c>
      <c r="B470" s="26" t="s">
        <v>397</v>
      </c>
      <c r="C470" s="26" t="s">
        <v>73</v>
      </c>
      <c r="D470" s="27">
        <v>301808</v>
      </c>
      <c r="E470" s="29">
        <v>211265.59999999998</v>
      </c>
    </row>
    <row r="471" spans="1:5">
      <c r="A471" s="26" t="s">
        <v>102</v>
      </c>
      <c r="B471" s="26" t="s">
        <v>397</v>
      </c>
      <c r="C471" s="26" t="s">
        <v>37</v>
      </c>
      <c r="D471" s="27">
        <v>258144</v>
      </c>
      <c r="E471" s="29">
        <v>180700.79999999999</v>
      </c>
    </row>
    <row r="472" spans="1:5">
      <c r="A472" s="26" t="s">
        <v>102</v>
      </c>
      <c r="B472" s="26" t="s">
        <v>397</v>
      </c>
      <c r="C472" s="26" t="s">
        <v>385</v>
      </c>
      <c r="D472" s="27">
        <v>209712</v>
      </c>
      <c r="E472" s="29">
        <v>146798.39999999999</v>
      </c>
    </row>
    <row r="473" spans="1:5">
      <c r="A473" s="26" t="s">
        <v>102</v>
      </c>
      <c r="B473" s="26" t="s">
        <v>397</v>
      </c>
      <c r="C473" s="26" t="s">
        <v>17</v>
      </c>
      <c r="D473" s="27">
        <v>207900</v>
      </c>
      <c r="E473" s="29">
        <v>145530</v>
      </c>
    </row>
    <row r="474" spans="1:5">
      <c r="A474" s="26" t="s">
        <v>102</v>
      </c>
      <c r="B474" s="26" t="s">
        <v>397</v>
      </c>
      <c r="C474" s="26" t="s">
        <v>328</v>
      </c>
      <c r="D474" s="27">
        <v>107692</v>
      </c>
      <c r="E474" s="29">
        <v>75384.399999999994</v>
      </c>
    </row>
    <row r="475" spans="1:5">
      <c r="A475" s="26" t="s">
        <v>102</v>
      </c>
      <c r="B475" s="26" t="s">
        <v>397</v>
      </c>
      <c r="C475" s="26" t="s">
        <v>72</v>
      </c>
      <c r="D475" s="27">
        <v>78000</v>
      </c>
      <c r="E475" s="29">
        <v>54600</v>
      </c>
    </row>
    <row r="476" spans="1:5">
      <c r="A476" s="26" t="s">
        <v>102</v>
      </c>
      <c r="B476" s="26" t="s">
        <v>397</v>
      </c>
      <c r="C476" s="26" t="s">
        <v>327</v>
      </c>
      <c r="D476" s="27">
        <v>75350.7</v>
      </c>
      <c r="E476" s="29">
        <v>52745.49</v>
      </c>
    </row>
    <row r="477" spans="1:5">
      <c r="A477" s="26" t="s">
        <v>102</v>
      </c>
      <c r="B477" s="26" t="s">
        <v>397</v>
      </c>
      <c r="C477" s="26" t="s">
        <v>84</v>
      </c>
      <c r="D477" s="27">
        <v>43872</v>
      </c>
      <c r="E477" s="29">
        <v>30710.399999999998</v>
      </c>
    </row>
    <row r="478" spans="1:5">
      <c r="A478" s="26" t="s">
        <v>102</v>
      </c>
      <c r="B478" s="26" t="s">
        <v>397</v>
      </c>
      <c r="C478" s="26" t="s">
        <v>85</v>
      </c>
      <c r="D478" s="27">
        <v>22800</v>
      </c>
      <c r="E478" s="29">
        <v>15959.999999999998</v>
      </c>
    </row>
    <row r="479" spans="1:5">
      <c r="A479" s="26" t="s">
        <v>102</v>
      </c>
      <c r="B479" s="26" t="s">
        <v>397</v>
      </c>
      <c r="C479" s="26" t="s">
        <v>29</v>
      </c>
      <c r="D479" s="27">
        <v>20500</v>
      </c>
      <c r="E479" s="29">
        <v>14349.999999999998</v>
      </c>
    </row>
    <row r="480" spans="1:5">
      <c r="A480" s="26" t="s">
        <v>102</v>
      </c>
      <c r="B480" s="26" t="s">
        <v>397</v>
      </c>
      <c r="C480" s="26" t="s">
        <v>21</v>
      </c>
      <c r="D480" s="27">
        <v>12208</v>
      </c>
      <c r="E480" s="29">
        <v>8545.6</v>
      </c>
    </row>
    <row r="481" spans="1:5">
      <c r="A481" s="26" t="s">
        <v>102</v>
      </c>
      <c r="B481" s="26" t="s">
        <v>397</v>
      </c>
      <c r="C481" s="26" t="s">
        <v>74</v>
      </c>
      <c r="D481" s="27">
        <v>9600</v>
      </c>
      <c r="E481" s="29">
        <v>6720</v>
      </c>
    </row>
    <row r="482" spans="1:5">
      <c r="A482" s="26" t="s">
        <v>102</v>
      </c>
      <c r="B482" s="26" t="s">
        <v>397</v>
      </c>
      <c r="C482" s="26" t="s">
        <v>267</v>
      </c>
      <c r="D482" s="27">
        <v>6900</v>
      </c>
      <c r="E482" s="29">
        <v>4830</v>
      </c>
    </row>
    <row r="483" spans="1:5">
      <c r="A483" s="26" t="s">
        <v>102</v>
      </c>
      <c r="B483" s="26" t="s">
        <v>397</v>
      </c>
      <c r="C483" s="26" t="s">
        <v>86</v>
      </c>
      <c r="D483" s="27">
        <v>4400</v>
      </c>
      <c r="E483" s="29">
        <v>3080</v>
      </c>
    </row>
    <row r="484" spans="1:5">
      <c r="A484" s="26" t="s">
        <v>102</v>
      </c>
      <c r="B484" s="26" t="s">
        <v>397</v>
      </c>
      <c r="C484" s="26" t="s">
        <v>57</v>
      </c>
      <c r="D484" s="27">
        <v>3200</v>
      </c>
      <c r="E484" s="29">
        <v>2240</v>
      </c>
    </row>
    <row r="485" spans="1:5">
      <c r="A485" s="26" t="s">
        <v>102</v>
      </c>
      <c r="B485" s="26" t="s">
        <v>397</v>
      </c>
      <c r="C485" s="26" t="s">
        <v>56</v>
      </c>
      <c r="D485" s="27">
        <v>1400</v>
      </c>
      <c r="E485" s="29">
        <v>979.99999999999989</v>
      </c>
    </row>
    <row r="486" spans="1:5">
      <c r="A486" s="26" t="s">
        <v>102</v>
      </c>
      <c r="B486" s="26" t="s">
        <v>397</v>
      </c>
      <c r="C486" s="26" t="s">
        <v>154</v>
      </c>
      <c r="D486" s="27">
        <v>400</v>
      </c>
      <c r="E486" s="29">
        <v>280</v>
      </c>
    </row>
    <row r="487" spans="1:5">
      <c r="A487" s="26" t="s">
        <v>242</v>
      </c>
      <c r="B487" s="26" t="s">
        <v>397</v>
      </c>
      <c r="C487" s="26" t="s">
        <v>243</v>
      </c>
      <c r="D487" s="27">
        <v>378468</v>
      </c>
      <c r="E487" s="29">
        <v>378468</v>
      </c>
    </row>
    <row r="488" spans="1:5">
      <c r="A488" s="26" t="s">
        <v>241</v>
      </c>
      <c r="B488" s="26" t="s">
        <v>397</v>
      </c>
      <c r="C488" s="26" t="s">
        <v>228</v>
      </c>
      <c r="D488" s="27">
        <v>8139344</v>
      </c>
      <c r="E488" s="29">
        <v>8139344</v>
      </c>
    </row>
    <row r="489" spans="1:5">
      <c r="A489" s="26" t="s">
        <v>239</v>
      </c>
      <c r="B489" s="26" t="s">
        <v>397</v>
      </c>
      <c r="C489" s="26" t="s">
        <v>240</v>
      </c>
      <c r="D489" s="27">
        <v>9143673</v>
      </c>
      <c r="E489" s="29">
        <v>9143673</v>
      </c>
    </row>
    <row r="490" spans="1:5">
      <c r="A490" s="26" t="s">
        <v>237</v>
      </c>
      <c r="B490" s="26" t="s">
        <v>397</v>
      </c>
      <c r="C490" s="26" t="s">
        <v>174</v>
      </c>
      <c r="D490" s="27">
        <v>19480019</v>
      </c>
      <c r="E490" s="29">
        <v>19480019</v>
      </c>
    </row>
    <row r="491" spans="1:5">
      <c r="A491" s="26" t="s">
        <v>189</v>
      </c>
      <c r="B491" s="26" t="s">
        <v>397</v>
      </c>
      <c r="C491" s="26" t="s">
        <v>371</v>
      </c>
      <c r="D491" s="27">
        <v>1722867</v>
      </c>
      <c r="E491" s="29">
        <v>1722867</v>
      </c>
    </row>
    <row r="492" spans="1:5">
      <c r="A492" s="26" t="s">
        <v>189</v>
      </c>
      <c r="B492" s="26" t="s">
        <v>397</v>
      </c>
      <c r="C492" s="26" t="s">
        <v>368</v>
      </c>
      <c r="D492" s="27">
        <v>8953204</v>
      </c>
      <c r="E492" s="29">
        <v>8953204</v>
      </c>
    </row>
    <row r="493" spans="1:5">
      <c r="A493" s="26" t="s">
        <v>189</v>
      </c>
      <c r="B493" s="26" t="s">
        <v>397</v>
      </c>
      <c r="C493" s="26" t="s">
        <v>370</v>
      </c>
      <c r="D493" s="27">
        <v>405886</v>
      </c>
      <c r="E493" s="29">
        <v>405886</v>
      </c>
    </row>
    <row r="494" spans="1:5">
      <c r="A494" s="26" t="s">
        <v>189</v>
      </c>
      <c r="B494" s="26" t="s">
        <v>397</v>
      </c>
      <c r="C494" s="26" t="s">
        <v>414</v>
      </c>
      <c r="D494" s="27">
        <v>146923</v>
      </c>
      <c r="E494" s="29">
        <v>146923</v>
      </c>
    </row>
    <row r="495" spans="1:5">
      <c r="A495" s="26" t="s">
        <v>223</v>
      </c>
      <c r="B495" s="26" t="s">
        <v>367</v>
      </c>
      <c r="C495" s="26" t="s">
        <v>191</v>
      </c>
      <c r="D495" s="27">
        <v>87319</v>
      </c>
      <c r="E495" s="29">
        <v>87319</v>
      </c>
    </row>
    <row r="496" spans="1:5">
      <c r="A496" s="26" t="s">
        <v>225</v>
      </c>
      <c r="B496" s="26" t="s">
        <v>367</v>
      </c>
      <c r="C496" s="26" t="s">
        <v>227</v>
      </c>
      <c r="D496" s="27">
        <v>28021</v>
      </c>
      <c r="E496" s="29">
        <v>28021</v>
      </c>
    </row>
    <row r="497" spans="1:5">
      <c r="A497" s="26"/>
      <c r="B497" s="26"/>
      <c r="C497" s="26"/>
      <c r="D497" s="27"/>
      <c r="E497" s="29"/>
    </row>
    <row r="498" spans="1:5">
      <c r="A498" s="26"/>
      <c r="B498" s="26"/>
      <c r="C498" s="26"/>
      <c r="D498" s="27"/>
      <c r="E498" s="29"/>
    </row>
    <row r="499" spans="1:5">
      <c r="A499" s="26" t="s">
        <v>108</v>
      </c>
      <c r="B499" s="26" t="s">
        <v>367</v>
      </c>
      <c r="C499" s="26" t="s">
        <v>77</v>
      </c>
      <c r="D499" s="105">
        <v>669024</v>
      </c>
      <c r="E499" s="106">
        <v>669024</v>
      </c>
    </row>
    <row r="500" spans="1:5">
      <c r="A500" s="26" t="s">
        <v>28</v>
      </c>
      <c r="B500" s="26" t="s">
        <v>367</v>
      </c>
      <c r="C500" s="26" t="s">
        <v>76</v>
      </c>
      <c r="D500" s="105">
        <v>38961</v>
      </c>
      <c r="E500" s="106">
        <v>38961</v>
      </c>
    </row>
    <row r="501" spans="1:5">
      <c r="A501" s="26" t="s">
        <v>28</v>
      </c>
      <c r="B501" s="26" t="s">
        <v>367</v>
      </c>
      <c r="C501" s="26" t="s">
        <v>179</v>
      </c>
      <c r="D501" s="105">
        <v>603891</v>
      </c>
      <c r="E501" s="106">
        <v>603891</v>
      </c>
    </row>
    <row r="502" spans="1:5">
      <c r="A502" s="26" t="s">
        <v>28</v>
      </c>
      <c r="B502" s="26" t="s">
        <v>367</v>
      </c>
      <c r="C502" s="26" t="s">
        <v>180</v>
      </c>
      <c r="D502" s="105">
        <v>332127</v>
      </c>
      <c r="E502" s="106">
        <v>332127</v>
      </c>
    </row>
    <row r="503" spans="1:5">
      <c r="A503" s="26" t="s">
        <v>28</v>
      </c>
      <c r="B503" s="26" t="s">
        <v>367</v>
      </c>
      <c r="C503" s="26" t="s">
        <v>236</v>
      </c>
      <c r="D503" s="105">
        <v>7533</v>
      </c>
      <c r="E503" s="106">
        <v>7533</v>
      </c>
    </row>
    <row r="504" spans="1:5">
      <c r="A504" s="26" t="s">
        <v>28</v>
      </c>
      <c r="B504" s="26" t="s">
        <v>367</v>
      </c>
      <c r="C504" s="26" t="s">
        <v>333</v>
      </c>
      <c r="D504" s="105">
        <v>57312</v>
      </c>
      <c r="E504" s="106">
        <v>57312</v>
      </c>
    </row>
    <row r="505" spans="1:5">
      <c r="A505" s="26" t="s">
        <v>28</v>
      </c>
      <c r="B505" s="26" t="s">
        <v>367</v>
      </c>
      <c r="C505" s="26" t="s">
        <v>312</v>
      </c>
      <c r="D505" s="105">
        <v>25434</v>
      </c>
      <c r="E505" s="106">
        <v>25434</v>
      </c>
    </row>
    <row r="506" spans="1:5">
      <c r="A506" s="26"/>
      <c r="B506" s="26"/>
      <c r="C506" s="69"/>
      <c r="D506" s="70"/>
      <c r="E506" s="71"/>
    </row>
    <row r="507" spans="1:5">
      <c r="A507" s="26" t="s">
        <v>148</v>
      </c>
      <c r="B507" s="26" t="s">
        <v>367</v>
      </c>
      <c r="C507" s="102" t="s">
        <v>77</v>
      </c>
      <c r="D507" s="103">
        <v>5109300</v>
      </c>
      <c r="E507" s="29">
        <v>3065580</v>
      </c>
    </row>
    <row r="508" spans="1:5">
      <c r="A508" s="26" t="s">
        <v>148</v>
      </c>
      <c r="B508" s="26" t="s">
        <v>367</v>
      </c>
      <c r="C508" s="102" t="s">
        <v>321</v>
      </c>
      <c r="D508" s="103">
        <v>4421340</v>
      </c>
      <c r="E508" s="29">
        <v>2652804</v>
      </c>
    </row>
    <row r="509" spans="1:5">
      <c r="A509" s="26" t="s">
        <v>148</v>
      </c>
      <c r="B509" s="26" t="s">
        <v>367</v>
      </c>
      <c r="C509" s="102" t="s">
        <v>179</v>
      </c>
      <c r="D509" s="103">
        <v>2782360</v>
      </c>
      <c r="E509" s="29">
        <v>1669416</v>
      </c>
    </row>
    <row r="510" spans="1:5">
      <c r="A510" s="26" t="s">
        <v>147</v>
      </c>
      <c r="B510" s="26" t="s">
        <v>367</v>
      </c>
      <c r="C510" s="102" t="s">
        <v>76</v>
      </c>
      <c r="D510" s="103">
        <v>1729840</v>
      </c>
      <c r="E510" s="29">
        <v>1037904</v>
      </c>
    </row>
    <row r="511" spans="1:5">
      <c r="A511" s="26" t="s">
        <v>147</v>
      </c>
      <c r="B511" s="26" t="s">
        <v>367</v>
      </c>
      <c r="C511" s="102" t="s">
        <v>66</v>
      </c>
      <c r="D511" s="103">
        <v>1682940</v>
      </c>
      <c r="E511" s="29">
        <v>1009764</v>
      </c>
    </row>
    <row r="512" spans="1:5">
      <c r="A512" s="26" t="s">
        <v>147</v>
      </c>
      <c r="B512" s="26" t="s">
        <v>367</v>
      </c>
      <c r="C512" s="102" t="s">
        <v>180</v>
      </c>
      <c r="D512" s="103">
        <v>636160</v>
      </c>
      <c r="E512" s="29">
        <v>381696</v>
      </c>
    </row>
    <row r="513" spans="1:5">
      <c r="A513" s="26" t="s">
        <v>147</v>
      </c>
      <c r="B513" s="26" t="s">
        <v>367</v>
      </c>
      <c r="C513" s="102" t="s">
        <v>347</v>
      </c>
      <c r="D513" s="103">
        <v>541800</v>
      </c>
      <c r="E513" s="29">
        <v>325080</v>
      </c>
    </row>
    <row r="514" spans="1:5">
      <c r="A514" s="26" t="s">
        <v>147</v>
      </c>
      <c r="B514" s="26" t="s">
        <v>367</v>
      </c>
      <c r="C514" s="102" t="s">
        <v>308</v>
      </c>
      <c r="D514" s="103">
        <v>257040</v>
      </c>
      <c r="E514" s="29">
        <v>154224</v>
      </c>
    </row>
    <row r="515" spans="1:5">
      <c r="A515" s="26" t="s">
        <v>147</v>
      </c>
      <c r="B515" s="26" t="s">
        <v>367</v>
      </c>
      <c r="C515" s="102" t="s">
        <v>312</v>
      </c>
      <c r="D515" s="103">
        <v>180180</v>
      </c>
      <c r="E515" s="29">
        <v>108108</v>
      </c>
    </row>
    <row r="516" spans="1:5">
      <c r="A516" s="26" t="s">
        <v>147</v>
      </c>
      <c r="B516" s="26" t="s">
        <v>367</v>
      </c>
      <c r="C516" s="102" t="s">
        <v>229</v>
      </c>
      <c r="D516" s="103">
        <v>165060</v>
      </c>
      <c r="E516" s="29">
        <v>99036</v>
      </c>
    </row>
    <row r="517" spans="1:5">
      <c r="A517" s="26" t="s">
        <v>147</v>
      </c>
      <c r="B517" s="26" t="s">
        <v>367</v>
      </c>
      <c r="C517" s="102" t="s">
        <v>346</v>
      </c>
      <c r="D517" s="103">
        <v>143920</v>
      </c>
      <c r="E517" s="29">
        <v>86352</v>
      </c>
    </row>
    <row r="518" spans="1:5">
      <c r="A518" s="26" t="s">
        <v>147</v>
      </c>
      <c r="B518" s="26" t="s">
        <v>367</v>
      </c>
      <c r="C518" s="102" t="s">
        <v>157</v>
      </c>
      <c r="D518" s="103">
        <v>142240</v>
      </c>
      <c r="E518" s="29">
        <v>85344</v>
      </c>
    </row>
    <row r="519" spans="1:5">
      <c r="A519" s="26" t="s">
        <v>147</v>
      </c>
      <c r="B519" s="26" t="s">
        <v>367</v>
      </c>
      <c r="C519" s="102" t="s">
        <v>61</v>
      </c>
      <c r="D519" s="103">
        <v>100240</v>
      </c>
      <c r="E519" s="29">
        <v>60144</v>
      </c>
    </row>
    <row r="520" spans="1:5">
      <c r="A520" s="26" t="s">
        <v>147</v>
      </c>
      <c r="B520" s="26" t="s">
        <v>367</v>
      </c>
      <c r="C520" s="102" t="s">
        <v>20</v>
      </c>
      <c r="D520" s="103">
        <v>85680</v>
      </c>
      <c r="E520" s="29">
        <v>51408</v>
      </c>
    </row>
    <row r="521" spans="1:5">
      <c r="A521" s="26" t="s">
        <v>147</v>
      </c>
      <c r="B521" s="26" t="s">
        <v>367</v>
      </c>
      <c r="C521" s="102" t="s">
        <v>18</v>
      </c>
      <c r="D521" s="103">
        <v>77840</v>
      </c>
      <c r="E521" s="29">
        <v>46704</v>
      </c>
    </row>
    <row r="522" spans="1:5">
      <c r="A522" s="26" t="s">
        <v>147</v>
      </c>
      <c r="B522" s="26" t="s">
        <v>367</v>
      </c>
      <c r="C522" s="102" t="s">
        <v>17</v>
      </c>
      <c r="D522" s="103">
        <v>73360</v>
      </c>
      <c r="E522" s="29">
        <v>44016</v>
      </c>
    </row>
    <row r="523" spans="1:5">
      <c r="A523" s="26" t="s">
        <v>147</v>
      </c>
      <c r="B523" s="26" t="s">
        <v>367</v>
      </c>
      <c r="C523" s="102" t="s">
        <v>68</v>
      </c>
      <c r="D523" s="103">
        <v>53760</v>
      </c>
      <c r="E523" s="29">
        <v>32256</v>
      </c>
    </row>
    <row r="524" spans="1:5">
      <c r="A524" s="26" t="s">
        <v>147</v>
      </c>
      <c r="B524" s="26" t="s">
        <v>367</v>
      </c>
      <c r="C524" s="102" t="s">
        <v>72</v>
      </c>
      <c r="D524" s="103">
        <v>35280</v>
      </c>
      <c r="E524" s="29">
        <v>21168</v>
      </c>
    </row>
    <row r="525" spans="1:5">
      <c r="A525" s="26" t="s">
        <v>147</v>
      </c>
      <c r="B525" s="26" t="s">
        <v>367</v>
      </c>
      <c r="C525" s="102" t="s">
        <v>328</v>
      </c>
      <c r="D525" s="103">
        <v>23240</v>
      </c>
      <c r="E525" s="29">
        <v>13944</v>
      </c>
    </row>
    <row r="526" spans="1:5">
      <c r="A526" s="26" t="s">
        <v>147</v>
      </c>
      <c r="B526" s="26" t="s">
        <v>367</v>
      </c>
      <c r="C526" s="102" t="s">
        <v>231</v>
      </c>
      <c r="D526" s="103">
        <v>9240</v>
      </c>
      <c r="E526" s="29">
        <v>5544</v>
      </c>
    </row>
    <row r="527" spans="1:5">
      <c r="A527" s="26" t="s">
        <v>147</v>
      </c>
      <c r="B527" s="26" t="s">
        <v>367</v>
      </c>
      <c r="C527" s="102" t="s">
        <v>327</v>
      </c>
      <c r="D527" s="103">
        <v>4200</v>
      </c>
      <c r="E527" s="29">
        <v>2520</v>
      </c>
    </row>
    <row r="528" spans="1:5">
      <c r="A528" s="26" t="s">
        <v>147</v>
      </c>
      <c r="B528" s="26" t="s">
        <v>367</v>
      </c>
      <c r="C528" s="102" t="s">
        <v>19</v>
      </c>
      <c r="D528" s="103">
        <v>1680</v>
      </c>
      <c r="E528" s="29">
        <v>1008</v>
      </c>
    </row>
    <row r="529" spans="1:7">
      <c r="A529" s="26" t="s">
        <v>147</v>
      </c>
      <c r="B529" s="26" t="s">
        <v>367</v>
      </c>
      <c r="C529" s="102" t="s">
        <v>297</v>
      </c>
      <c r="D529" s="103">
        <v>1120</v>
      </c>
      <c r="E529" s="29">
        <v>672</v>
      </c>
    </row>
    <row r="530" spans="1:7">
      <c r="A530" s="26" t="s">
        <v>147</v>
      </c>
      <c r="B530" s="26" t="s">
        <v>367</v>
      </c>
      <c r="C530" s="102" t="s">
        <v>395</v>
      </c>
      <c r="D530" s="103">
        <v>1120</v>
      </c>
      <c r="E530" s="29">
        <v>672</v>
      </c>
    </row>
    <row r="531" spans="1:7">
      <c r="A531" s="26" t="s">
        <v>147</v>
      </c>
      <c r="B531" s="26" t="s">
        <v>367</v>
      </c>
      <c r="C531" s="102" t="s">
        <v>86</v>
      </c>
      <c r="D531" s="103">
        <v>420</v>
      </c>
      <c r="E531" s="29">
        <v>252</v>
      </c>
    </row>
    <row r="532" spans="1:7">
      <c r="A532" s="26"/>
      <c r="B532" s="26"/>
      <c r="C532" s="102"/>
      <c r="D532" s="103"/>
      <c r="E532" s="29"/>
    </row>
    <row r="533" spans="1:7">
      <c r="A533" s="26"/>
      <c r="B533" s="26"/>
      <c r="C533" s="101"/>
      <c r="D533" s="27"/>
      <c r="E533" s="29"/>
    </row>
    <row r="534" spans="1:7">
      <c r="A534" s="26" t="s">
        <v>158</v>
      </c>
      <c r="B534" s="26" t="s">
        <v>367</v>
      </c>
      <c r="C534" s="26" t="s">
        <v>77</v>
      </c>
      <c r="D534" s="27">
        <v>460404</v>
      </c>
      <c r="E534" s="29">
        <v>460404</v>
      </c>
      <c r="G534" s="34"/>
    </row>
    <row r="535" spans="1:7">
      <c r="A535" s="26" t="s">
        <v>158</v>
      </c>
      <c r="B535" s="26" t="s">
        <v>367</v>
      </c>
      <c r="C535" s="26" t="s">
        <v>76</v>
      </c>
      <c r="D535" s="27">
        <v>61740</v>
      </c>
      <c r="E535" s="29">
        <v>61740</v>
      </c>
    </row>
    <row r="536" spans="1:7">
      <c r="A536" s="26" t="s">
        <v>158</v>
      </c>
      <c r="B536" s="26" t="s">
        <v>367</v>
      </c>
      <c r="C536" s="26" t="s">
        <v>155</v>
      </c>
      <c r="D536" s="27">
        <v>32508</v>
      </c>
      <c r="E536" s="29">
        <v>32508</v>
      </c>
    </row>
    <row r="537" spans="1:7">
      <c r="A537" s="26" t="s">
        <v>158</v>
      </c>
      <c r="B537" s="26" t="s">
        <v>367</v>
      </c>
      <c r="C537" s="26" t="s">
        <v>159</v>
      </c>
      <c r="D537" s="27">
        <v>588</v>
      </c>
      <c r="E537" s="29">
        <v>588</v>
      </c>
    </row>
    <row r="538" spans="1:7">
      <c r="A538" s="26" t="s">
        <v>158</v>
      </c>
      <c r="B538" s="26" t="s">
        <v>367</v>
      </c>
      <c r="C538" s="26" t="s">
        <v>150</v>
      </c>
      <c r="D538" s="27">
        <v>335</v>
      </c>
      <c r="E538" s="29">
        <v>335</v>
      </c>
    </row>
    <row r="539" spans="1:7">
      <c r="A539" s="26" t="s">
        <v>158</v>
      </c>
      <c r="B539" s="26" t="s">
        <v>367</v>
      </c>
      <c r="C539" s="26" t="s">
        <v>37</v>
      </c>
      <c r="D539" s="27">
        <v>10332</v>
      </c>
      <c r="E539" s="29">
        <v>10332</v>
      </c>
    </row>
    <row r="540" spans="1:7">
      <c r="A540" s="26" t="s">
        <v>158</v>
      </c>
      <c r="B540" s="26" t="s">
        <v>367</v>
      </c>
      <c r="C540" s="26" t="s">
        <v>87</v>
      </c>
      <c r="D540" s="27">
        <v>447</v>
      </c>
      <c r="E540" s="29">
        <v>447</v>
      </c>
    </row>
    <row r="541" spans="1:7">
      <c r="A541" s="26" t="s">
        <v>158</v>
      </c>
      <c r="B541" s="26" t="s">
        <v>367</v>
      </c>
      <c r="C541" s="26" t="s">
        <v>17</v>
      </c>
      <c r="D541" s="27">
        <v>30744</v>
      </c>
      <c r="E541" s="29">
        <v>30744</v>
      </c>
    </row>
    <row r="542" spans="1:7">
      <c r="A542" s="26" t="s">
        <v>158</v>
      </c>
      <c r="B542" s="26" t="s">
        <v>367</v>
      </c>
      <c r="C542" s="26" t="s">
        <v>292</v>
      </c>
      <c r="D542" s="27">
        <v>810</v>
      </c>
      <c r="E542" s="29">
        <v>810</v>
      </c>
    </row>
    <row r="543" spans="1:7">
      <c r="A543" s="26" t="s">
        <v>158</v>
      </c>
      <c r="B543" s="26" t="s">
        <v>367</v>
      </c>
      <c r="C543" s="26" t="s">
        <v>20</v>
      </c>
      <c r="D543" s="27">
        <v>83664</v>
      </c>
      <c r="E543" s="29">
        <v>83664</v>
      </c>
    </row>
    <row r="544" spans="1:7">
      <c r="A544" s="26" t="s">
        <v>158</v>
      </c>
      <c r="B544" s="26" t="s">
        <v>367</v>
      </c>
      <c r="C544" s="26" t="s">
        <v>233</v>
      </c>
      <c r="D544" s="27">
        <v>18560</v>
      </c>
      <c r="E544" s="29">
        <v>18560</v>
      </c>
    </row>
    <row r="545" spans="1:5">
      <c r="A545" s="26" t="s">
        <v>158</v>
      </c>
      <c r="B545" s="26" t="s">
        <v>367</v>
      </c>
      <c r="C545" s="26" t="s">
        <v>154</v>
      </c>
      <c r="D545" s="27">
        <v>378</v>
      </c>
      <c r="E545" s="29">
        <v>378</v>
      </c>
    </row>
    <row r="546" spans="1:5">
      <c r="A546" s="26" t="s">
        <v>158</v>
      </c>
      <c r="B546" s="26" t="s">
        <v>367</v>
      </c>
      <c r="C546" s="26" t="s">
        <v>86</v>
      </c>
      <c r="D546" s="27">
        <v>2646</v>
      </c>
      <c r="E546" s="29">
        <v>2646</v>
      </c>
    </row>
    <row r="547" spans="1:5">
      <c r="A547" s="26" t="s">
        <v>158</v>
      </c>
      <c r="B547" s="26" t="s">
        <v>367</v>
      </c>
      <c r="C547" s="26" t="s">
        <v>72</v>
      </c>
      <c r="D547" s="27">
        <v>29736</v>
      </c>
      <c r="E547" s="29">
        <v>29736</v>
      </c>
    </row>
    <row r="548" spans="1:5">
      <c r="A548" s="26" t="s">
        <v>158</v>
      </c>
      <c r="B548" s="26" t="s">
        <v>367</v>
      </c>
      <c r="C548" s="26" t="s">
        <v>29</v>
      </c>
      <c r="D548" s="27">
        <v>26586</v>
      </c>
      <c r="E548" s="29">
        <v>26586</v>
      </c>
    </row>
    <row r="549" spans="1:5">
      <c r="A549" s="26" t="s">
        <v>158</v>
      </c>
      <c r="B549" s="26" t="s">
        <v>367</v>
      </c>
      <c r="C549" s="26" t="s">
        <v>179</v>
      </c>
      <c r="D549" s="27">
        <v>427014</v>
      </c>
      <c r="E549" s="29">
        <v>427014</v>
      </c>
    </row>
    <row r="550" spans="1:5">
      <c r="A550" s="26" t="s">
        <v>158</v>
      </c>
      <c r="B550" s="26" t="s">
        <v>367</v>
      </c>
      <c r="C550" s="26" t="s">
        <v>180</v>
      </c>
      <c r="D550" s="27">
        <v>180306</v>
      </c>
      <c r="E550" s="29">
        <v>180306</v>
      </c>
    </row>
    <row r="551" spans="1:5">
      <c r="A551" s="26" t="s">
        <v>158</v>
      </c>
      <c r="B551" s="26" t="s">
        <v>367</v>
      </c>
      <c r="C551" s="26" t="s">
        <v>57</v>
      </c>
      <c r="D551" s="27">
        <v>504</v>
      </c>
      <c r="E551" s="29">
        <v>504</v>
      </c>
    </row>
    <row r="552" spans="1:5">
      <c r="A552" s="26" t="s">
        <v>158</v>
      </c>
      <c r="B552" s="26" t="s">
        <v>367</v>
      </c>
      <c r="C552" s="26" t="s">
        <v>236</v>
      </c>
      <c r="D552" s="27">
        <v>1260</v>
      </c>
      <c r="E552" s="29">
        <v>1260</v>
      </c>
    </row>
    <row r="553" spans="1:5">
      <c r="A553" s="26" t="s">
        <v>158</v>
      </c>
      <c r="B553" s="26" t="s">
        <v>367</v>
      </c>
      <c r="C553" s="26" t="s">
        <v>229</v>
      </c>
      <c r="D553" s="27">
        <v>133560</v>
      </c>
      <c r="E553" s="29">
        <v>133560</v>
      </c>
    </row>
    <row r="554" spans="1:5">
      <c r="A554" s="26" t="s">
        <v>158</v>
      </c>
      <c r="B554" s="26" t="s">
        <v>367</v>
      </c>
      <c r="C554" s="26" t="s">
        <v>56</v>
      </c>
      <c r="D554" s="27">
        <v>756</v>
      </c>
      <c r="E554" s="29">
        <v>756</v>
      </c>
    </row>
    <row r="555" spans="1:5">
      <c r="A555" s="26" t="s">
        <v>158</v>
      </c>
      <c r="B555" s="26" t="s">
        <v>367</v>
      </c>
      <c r="C555" s="26" t="s">
        <v>66</v>
      </c>
      <c r="D555" s="27">
        <v>5922</v>
      </c>
      <c r="E555" s="29">
        <v>5922</v>
      </c>
    </row>
    <row r="556" spans="1:5">
      <c r="A556" s="26" t="s">
        <v>158</v>
      </c>
      <c r="B556" s="26" t="s">
        <v>367</v>
      </c>
      <c r="C556" s="26" t="s">
        <v>333</v>
      </c>
      <c r="D556" s="27">
        <v>92736</v>
      </c>
      <c r="E556" s="29">
        <v>92736</v>
      </c>
    </row>
    <row r="557" spans="1:5">
      <c r="A557" s="26" t="s">
        <v>158</v>
      </c>
      <c r="B557" s="26" t="s">
        <v>367</v>
      </c>
      <c r="C557" s="26" t="s">
        <v>321</v>
      </c>
      <c r="D557" s="27">
        <v>41076</v>
      </c>
      <c r="E557" s="29">
        <v>41076</v>
      </c>
    </row>
    <row r="558" spans="1:5">
      <c r="A558" s="26" t="s">
        <v>158</v>
      </c>
      <c r="B558" s="26" t="s">
        <v>367</v>
      </c>
      <c r="C558" s="26" t="s">
        <v>21</v>
      </c>
      <c r="D558" s="27">
        <v>504</v>
      </c>
      <c r="E558" s="29">
        <v>504</v>
      </c>
    </row>
    <row r="559" spans="1:5">
      <c r="A559" s="26" t="s">
        <v>158</v>
      </c>
      <c r="B559" s="26" t="s">
        <v>367</v>
      </c>
      <c r="C559" s="26" t="s">
        <v>299</v>
      </c>
      <c r="D559" s="27">
        <v>475</v>
      </c>
      <c r="E559" s="29">
        <v>475</v>
      </c>
    </row>
    <row r="560" spans="1:5">
      <c r="A560" s="26" t="s">
        <v>158</v>
      </c>
      <c r="B560" s="26" t="s">
        <v>367</v>
      </c>
      <c r="C560" s="26" t="s">
        <v>358</v>
      </c>
      <c r="D560" s="27">
        <v>8351</v>
      </c>
      <c r="E560" s="29">
        <v>8351</v>
      </c>
    </row>
    <row r="561" spans="1:5">
      <c r="A561" s="26" t="s">
        <v>158</v>
      </c>
      <c r="B561" s="26" t="s">
        <v>367</v>
      </c>
      <c r="C561" s="26" t="s">
        <v>359</v>
      </c>
      <c r="D561" s="27">
        <v>22596</v>
      </c>
      <c r="E561" s="29">
        <v>22596</v>
      </c>
    </row>
    <row r="562" spans="1:5">
      <c r="A562" s="26" t="s">
        <v>158</v>
      </c>
      <c r="B562" s="26" t="s">
        <v>367</v>
      </c>
      <c r="C562" s="26" t="s">
        <v>300</v>
      </c>
      <c r="D562" s="27">
        <v>168</v>
      </c>
      <c r="E562" s="29">
        <v>168</v>
      </c>
    </row>
    <row r="563" spans="1:5">
      <c r="A563" s="26" t="s">
        <v>158</v>
      </c>
      <c r="B563" s="26" t="s">
        <v>367</v>
      </c>
      <c r="C563" s="26" t="s">
        <v>301</v>
      </c>
      <c r="D563" s="27">
        <v>503</v>
      </c>
      <c r="E563" s="29">
        <v>503</v>
      </c>
    </row>
    <row r="564" spans="1:5">
      <c r="A564" s="26" t="s">
        <v>158</v>
      </c>
      <c r="B564" s="26" t="s">
        <v>367</v>
      </c>
      <c r="C564" s="26" t="s">
        <v>302</v>
      </c>
      <c r="D564" s="27">
        <v>838</v>
      </c>
      <c r="E564" s="29">
        <v>838</v>
      </c>
    </row>
    <row r="565" spans="1:5">
      <c r="A565" s="26" t="s">
        <v>158</v>
      </c>
      <c r="B565" s="26" t="s">
        <v>367</v>
      </c>
      <c r="C565" s="26" t="s">
        <v>303</v>
      </c>
      <c r="D565" s="27">
        <v>1005</v>
      </c>
      <c r="E565" s="29">
        <v>1005</v>
      </c>
    </row>
    <row r="566" spans="1:5">
      <c r="A566" s="26" t="s">
        <v>158</v>
      </c>
      <c r="B566" s="26" t="s">
        <v>367</v>
      </c>
      <c r="C566" s="26" t="s">
        <v>360</v>
      </c>
      <c r="D566" s="27">
        <v>2458</v>
      </c>
      <c r="E566" s="29">
        <v>2458</v>
      </c>
    </row>
    <row r="567" spans="1:5">
      <c r="A567" s="26"/>
      <c r="B567" s="26"/>
      <c r="C567" s="26"/>
      <c r="D567" s="27"/>
      <c r="E567" s="29"/>
    </row>
    <row r="568" spans="1:5">
      <c r="A568" s="26"/>
      <c r="B568" s="26"/>
      <c r="C568" s="26"/>
      <c r="D568" s="27"/>
      <c r="E568" s="29"/>
    </row>
    <row r="569" spans="1:5">
      <c r="A569" s="26"/>
      <c r="B569" s="26"/>
      <c r="C569" s="26"/>
      <c r="D569" s="27"/>
      <c r="E569" s="29"/>
    </row>
    <row r="570" spans="1:5">
      <c r="A570" s="26" t="s">
        <v>248</v>
      </c>
      <c r="B570" s="26" t="s">
        <v>397</v>
      </c>
      <c r="C570" s="26" t="s">
        <v>37</v>
      </c>
      <c r="D570" s="27">
        <v>7560</v>
      </c>
      <c r="E570" s="29">
        <v>4536</v>
      </c>
    </row>
    <row r="571" spans="1:5">
      <c r="A571" s="26" t="s">
        <v>248</v>
      </c>
      <c r="B571" s="26" t="s">
        <v>397</v>
      </c>
      <c r="C571" s="26" t="s">
        <v>435</v>
      </c>
      <c r="D571" s="27">
        <v>540</v>
      </c>
      <c r="E571" s="29">
        <v>324</v>
      </c>
    </row>
    <row r="572" spans="1:5">
      <c r="A572" s="26" t="s">
        <v>248</v>
      </c>
      <c r="B572" s="26" t="s">
        <v>397</v>
      </c>
      <c r="C572" s="26" t="s">
        <v>86</v>
      </c>
      <c r="D572" s="27">
        <v>5220</v>
      </c>
      <c r="E572" s="29">
        <v>3132</v>
      </c>
    </row>
    <row r="573" spans="1:5">
      <c r="A573" s="26" t="s">
        <v>248</v>
      </c>
      <c r="B573" s="26" t="s">
        <v>397</v>
      </c>
      <c r="C573" s="26" t="s">
        <v>244</v>
      </c>
      <c r="D573" s="27">
        <v>540</v>
      </c>
      <c r="E573" s="29">
        <v>324</v>
      </c>
    </row>
    <row r="574" spans="1:5">
      <c r="A574" s="26" t="s">
        <v>248</v>
      </c>
      <c r="B574" s="26" t="s">
        <v>397</v>
      </c>
      <c r="C574" s="26" t="s">
        <v>91</v>
      </c>
      <c r="D574" s="27">
        <v>9450</v>
      </c>
      <c r="E574" s="29">
        <v>5670</v>
      </c>
    </row>
    <row r="575" spans="1:5">
      <c r="A575" s="26" t="s">
        <v>248</v>
      </c>
      <c r="B575" s="26" t="s">
        <v>397</v>
      </c>
      <c r="C575" s="26" t="s">
        <v>90</v>
      </c>
      <c r="D575" s="27">
        <v>11610</v>
      </c>
      <c r="E575" s="29">
        <v>6966</v>
      </c>
    </row>
    <row r="576" spans="1:5">
      <c r="A576" s="26" t="s">
        <v>248</v>
      </c>
      <c r="B576" s="26" t="s">
        <v>397</v>
      </c>
      <c r="C576" s="26" t="s">
        <v>245</v>
      </c>
      <c r="D576" s="27">
        <v>52650</v>
      </c>
      <c r="E576" s="29">
        <v>31590</v>
      </c>
    </row>
    <row r="577" spans="1:5">
      <c r="A577" s="26" t="s">
        <v>248</v>
      </c>
      <c r="B577" s="26" t="s">
        <v>397</v>
      </c>
      <c r="C577" s="26" t="s">
        <v>65</v>
      </c>
      <c r="D577" s="27">
        <v>8460</v>
      </c>
      <c r="E577" s="29">
        <v>5076</v>
      </c>
    </row>
    <row r="578" spans="1:5">
      <c r="A578" s="26" t="s">
        <v>248</v>
      </c>
      <c r="B578" s="26" t="s">
        <v>397</v>
      </c>
      <c r="C578" s="26" t="s">
        <v>246</v>
      </c>
      <c r="D578" s="27">
        <v>1890</v>
      </c>
      <c r="E578" s="29">
        <v>1134</v>
      </c>
    </row>
    <row r="579" spans="1:5">
      <c r="A579" s="26" t="s">
        <v>248</v>
      </c>
      <c r="B579" s="26" t="s">
        <v>397</v>
      </c>
      <c r="C579" s="26" t="s">
        <v>388</v>
      </c>
      <c r="D579" s="27">
        <v>9180</v>
      </c>
      <c r="E579" s="29">
        <v>5508</v>
      </c>
    </row>
    <row r="580" spans="1:5">
      <c r="A580" s="26" t="s">
        <v>248</v>
      </c>
      <c r="B580" s="26" t="s">
        <v>397</v>
      </c>
      <c r="C580" s="26" t="s">
        <v>76</v>
      </c>
      <c r="D580" s="27">
        <v>105120</v>
      </c>
      <c r="E580" s="29">
        <v>63072</v>
      </c>
    </row>
    <row r="581" spans="1:5">
      <c r="A581" s="26" t="s">
        <v>248</v>
      </c>
      <c r="B581" s="26" t="s">
        <v>397</v>
      </c>
      <c r="C581" s="26" t="s">
        <v>77</v>
      </c>
      <c r="D581" s="27">
        <v>585180</v>
      </c>
      <c r="E581" s="29">
        <v>351108</v>
      </c>
    </row>
    <row r="582" spans="1:5">
      <c r="A582" s="26" t="s">
        <v>248</v>
      </c>
      <c r="B582" s="26" t="s">
        <v>397</v>
      </c>
      <c r="C582" s="26" t="s">
        <v>57</v>
      </c>
      <c r="D582" s="27">
        <v>720</v>
      </c>
      <c r="E582" s="29">
        <v>432</v>
      </c>
    </row>
    <row r="583" spans="1:5">
      <c r="A583" s="26" t="s">
        <v>248</v>
      </c>
      <c r="B583" s="26" t="s">
        <v>397</v>
      </c>
      <c r="C583" s="26" t="s">
        <v>180</v>
      </c>
      <c r="D583" s="27">
        <v>57150</v>
      </c>
      <c r="E583" s="29">
        <v>34290</v>
      </c>
    </row>
    <row r="584" spans="1:5">
      <c r="A584" s="26" t="s">
        <v>248</v>
      </c>
      <c r="B584" s="26" t="s">
        <v>397</v>
      </c>
      <c r="C584" s="26" t="s">
        <v>179</v>
      </c>
      <c r="D584" s="27">
        <v>426330</v>
      </c>
      <c r="E584" s="29">
        <v>255798</v>
      </c>
    </row>
    <row r="585" spans="1:5">
      <c r="A585" s="26" t="s">
        <v>248</v>
      </c>
      <c r="B585" s="26" t="s">
        <v>397</v>
      </c>
      <c r="C585" s="26" t="s">
        <v>229</v>
      </c>
      <c r="D585" s="27">
        <v>121500</v>
      </c>
      <c r="E585" s="29">
        <v>72900</v>
      </c>
    </row>
    <row r="586" spans="1:5">
      <c r="A586" s="26" t="s">
        <v>248</v>
      </c>
      <c r="B586" s="26" t="s">
        <v>397</v>
      </c>
      <c r="C586" s="26" t="s">
        <v>282</v>
      </c>
      <c r="D586" s="27">
        <v>86400</v>
      </c>
      <c r="E586" s="29">
        <v>51840</v>
      </c>
    </row>
    <row r="587" spans="1:5">
      <c r="A587" s="26" t="s">
        <v>248</v>
      </c>
      <c r="B587" s="26" t="s">
        <v>397</v>
      </c>
      <c r="C587" s="26" t="s">
        <v>312</v>
      </c>
      <c r="D587" s="27">
        <v>17820</v>
      </c>
      <c r="E587" s="29">
        <v>10692</v>
      </c>
    </row>
    <row r="588" spans="1:5">
      <c r="A588" s="26" t="s">
        <v>248</v>
      </c>
      <c r="B588" s="26" t="s">
        <v>397</v>
      </c>
      <c r="C588" s="26" t="s">
        <v>308</v>
      </c>
      <c r="D588" s="27">
        <v>9180</v>
      </c>
      <c r="E588" s="29">
        <v>5508</v>
      </c>
    </row>
    <row r="589" spans="1:5">
      <c r="A589" s="26" t="s">
        <v>248</v>
      </c>
      <c r="B589" s="26" t="s">
        <v>397</v>
      </c>
      <c r="C589" s="26" t="s">
        <v>321</v>
      </c>
      <c r="D589" s="27">
        <v>53640</v>
      </c>
      <c r="E589" s="29">
        <v>32184</v>
      </c>
    </row>
    <row r="590" spans="1:5">
      <c r="A590" s="26" t="s">
        <v>248</v>
      </c>
      <c r="B590" s="26" t="s">
        <v>397</v>
      </c>
      <c r="C590" s="26" t="s">
        <v>327</v>
      </c>
      <c r="D590" s="27">
        <v>1980</v>
      </c>
      <c r="E590" s="29">
        <v>1188</v>
      </c>
    </row>
    <row r="591" spans="1:5">
      <c r="A591" s="26" t="s">
        <v>248</v>
      </c>
      <c r="B591" s="26" t="s">
        <v>397</v>
      </c>
      <c r="C591" s="26" t="s">
        <v>328</v>
      </c>
      <c r="D591" s="27">
        <v>180</v>
      </c>
      <c r="E591" s="29">
        <v>108</v>
      </c>
    </row>
    <row r="592" spans="1:5">
      <c r="A592" s="26" t="s">
        <v>248</v>
      </c>
      <c r="B592" s="26" t="s">
        <v>397</v>
      </c>
      <c r="C592" s="26" t="s">
        <v>348</v>
      </c>
      <c r="D592" s="27">
        <v>39600</v>
      </c>
      <c r="E592" s="29">
        <v>23760</v>
      </c>
    </row>
    <row r="593" spans="1:5">
      <c r="A593" s="26" t="s">
        <v>248</v>
      </c>
      <c r="B593" s="26" t="s">
        <v>397</v>
      </c>
      <c r="C593" s="26" t="s">
        <v>346</v>
      </c>
      <c r="D593" s="27">
        <v>8640</v>
      </c>
      <c r="E593" s="29">
        <v>5184</v>
      </c>
    </row>
    <row r="594" spans="1:5">
      <c r="A594" s="26" t="s">
        <v>248</v>
      </c>
      <c r="B594" s="26" t="s">
        <v>397</v>
      </c>
      <c r="C594" s="26" t="s">
        <v>68</v>
      </c>
      <c r="D594" s="27">
        <v>38610</v>
      </c>
      <c r="E594" s="29">
        <v>23166</v>
      </c>
    </row>
    <row r="595" spans="1:5">
      <c r="A595" s="26" t="s">
        <v>248</v>
      </c>
      <c r="B595" s="26" t="s">
        <v>397</v>
      </c>
      <c r="C595" s="26" t="s">
        <v>59</v>
      </c>
      <c r="D595" s="27">
        <v>70740</v>
      </c>
      <c r="E595" s="29">
        <v>42444</v>
      </c>
    </row>
    <row r="596" spans="1:5">
      <c r="A596" s="26" t="s">
        <v>248</v>
      </c>
      <c r="B596" s="26" t="s">
        <v>397</v>
      </c>
      <c r="C596" s="26" t="s">
        <v>380</v>
      </c>
      <c r="D596" s="27">
        <v>70020</v>
      </c>
      <c r="E596" s="29">
        <v>42012</v>
      </c>
    </row>
    <row r="597" spans="1:5">
      <c r="A597" s="26" t="s">
        <v>248</v>
      </c>
      <c r="B597" s="26" t="s">
        <v>397</v>
      </c>
      <c r="C597" s="26" t="s">
        <v>386</v>
      </c>
      <c r="D597" s="27">
        <v>64800</v>
      </c>
      <c r="E597" s="29">
        <v>38880</v>
      </c>
    </row>
    <row r="598" spans="1:5">
      <c r="A598" s="26" t="s">
        <v>248</v>
      </c>
      <c r="B598" s="26" t="s">
        <v>397</v>
      </c>
      <c r="C598" s="26" t="s">
        <v>433</v>
      </c>
      <c r="D598" s="27">
        <v>2700</v>
      </c>
      <c r="E598" s="29">
        <v>1620</v>
      </c>
    </row>
    <row r="599" spans="1:5">
      <c r="A599" s="26"/>
      <c r="B599" s="26"/>
      <c r="C599" s="26"/>
      <c r="D599" s="27"/>
      <c r="E599" s="29"/>
    </row>
    <row r="600" spans="1:5">
      <c r="A600" s="26"/>
      <c r="B600" s="26"/>
      <c r="C600" s="26"/>
      <c r="D600" s="27"/>
      <c r="E600" s="29"/>
    </row>
    <row r="601" spans="1:5">
      <c r="A601" s="26" t="s">
        <v>249</v>
      </c>
      <c r="B601" s="26" t="s">
        <v>397</v>
      </c>
      <c r="C601" s="26" t="s">
        <v>77</v>
      </c>
      <c r="D601" s="27">
        <v>169920</v>
      </c>
      <c r="E601" s="29">
        <v>101952</v>
      </c>
    </row>
    <row r="602" spans="1:5">
      <c r="A602" s="26" t="s">
        <v>249</v>
      </c>
      <c r="B602" s="26" t="s">
        <v>397</v>
      </c>
      <c r="C602" s="26" t="s">
        <v>76</v>
      </c>
      <c r="D602" s="27">
        <v>26280</v>
      </c>
      <c r="E602" s="29">
        <v>15768</v>
      </c>
    </row>
    <row r="603" spans="1:5">
      <c r="A603" s="26" t="s">
        <v>249</v>
      </c>
      <c r="B603" s="26" t="s">
        <v>397</v>
      </c>
      <c r="C603" s="26" t="s">
        <v>154</v>
      </c>
      <c r="D603" s="27">
        <v>6660</v>
      </c>
      <c r="E603" s="29">
        <v>3996</v>
      </c>
    </row>
    <row r="604" spans="1:5">
      <c r="A604" s="26" t="s">
        <v>249</v>
      </c>
      <c r="B604" s="26" t="s">
        <v>397</v>
      </c>
      <c r="C604" s="26" t="s">
        <v>388</v>
      </c>
      <c r="D604" s="27">
        <v>5670</v>
      </c>
      <c r="E604" s="29">
        <v>3402</v>
      </c>
    </row>
    <row r="605" spans="1:5">
      <c r="A605" s="26" t="s">
        <v>249</v>
      </c>
      <c r="B605" s="26" t="s">
        <v>397</v>
      </c>
      <c r="C605" s="26" t="s">
        <v>245</v>
      </c>
      <c r="D605" s="27">
        <v>1620</v>
      </c>
      <c r="E605" s="29">
        <v>972</v>
      </c>
    </row>
    <row r="606" spans="1:5">
      <c r="A606" s="26" t="s">
        <v>249</v>
      </c>
      <c r="B606" s="26" t="s">
        <v>397</v>
      </c>
      <c r="C606" s="26" t="s">
        <v>434</v>
      </c>
      <c r="D606" s="27">
        <v>270</v>
      </c>
      <c r="E606" s="29">
        <v>162</v>
      </c>
    </row>
    <row r="607" spans="1:5">
      <c r="A607" s="26" t="s">
        <v>249</v>
      </c>
      <c r="B607" s="26" t="s">
        <v>397</v>
      </c>
      <c r="C607" s="26" t="s">
        <v>37</v>
      </c>
      <c r="D607" s="27">
        <v>8100</v>
      </c>
      <c r="E607" s="29">
        <v>4860</v>
      </c>
    </row>
    <row r="608" spans="1:5">
      <c r="A608" s="26" t="s">
        <v>249</v>
      </c>
      <c r="B608" s="26" t="s">
        <v>397</v>
      </c>
      <c r="C608" s="26" t="s">
        <v>29</v>
      </c>
      <c r="D608" s="27">
        <v>9000</v>
      </c>
      <c r="E608" s="29">
        <v>5400</v>
      </c>
    </row>
    <row r="609" spans="1:5">
      <c r="A609" s="26" t="s">
        <v>249</v>
      </c>
      <c r="B609" s="26" t="s">
        <v>397</v>
      </c>
      <c r="C609" s="26" t="s">
        <v>57</v>
      </c>
      <c r="D609" s="27">
        <v>10530</v>
      </c>
      <c r="E609" s="29">
        <v>6318</v>
      </c>
    </row>
    <row r="610" spans="1:5">
      <c r="A610" s="26" t="s">
        <v>249</v>
      </c>
      <c r="B610" s="26" t="s">
        <v>397</v>
      </c>
      <c r="C610" s="26" t="s">
        <v>179</v>
      </c>
      <c r="D610" s="27">
        <v>71100</v>
      </c>
      <c r="E610" s="29">
        <v>42660</v>
      </c>
    </row>
    <row r="611" spans="1:5">
      <c r="A611" s="26" t="s">
        <v>249</v>
      </c>
      <c r="B611" s="26" t="s">
        <v>397</v>
      </c>
      <c r="C611" s="26" t="s">
        <v>180</v>
      </c>
      <c r="D611" s="27">
        <v>51750</v>
      </c>
      <c r="E611" s="29">
        <v>31050</v>
      </c>
    </row>
    <row r="612" spans="1:5">
      <c r="A612" s="26" t="s">
        <v>249</v>
      </c>
      <c r="B612" s="26" t="s">
        <v>397</v>
      </c>
      <c r="C612" s="26" t="s">
        <v>229</v>
      </c>
      <c r="D612" s="27">
        <v>13320</v>
      </c>
      <c r="E612" s="29">
        <v>7992</v>
      </c>
    </row>
    <row r="613" spans="1:5">
      <c r="A613" s="26" t="s">
        <v>249</v>
      </c>
      <c r="B613" s="26" t="s">
        <v>397</v>
      </c>
      <c r="C613" s="26" t="s">
        <v>282</v>
      </c>
      <c r="D613" s="27">
        <v>8460</v>
      </c>
      <c r="E613" s="29">
        <v>5076</v>
      </c>
    </row>
    <row r="614" spans="1:5">
      <c r="A614" s="26" t="s">
        <v>249</v>
      </c>
      <c r="B614" s="26" t="s">
        <v>397</v>
      </c>
      <c r="C614" s="26" t="s">
        <v>308</v>
      </c>
      <c r="D614" s="27">
        <v>24300</v>
      </c>
      <c r="E614" s="29">
        <v>14580</v>
      </c>
    </row>
    <row r="615" spans="1:5">
      <c r="A615" s="26" t="s">
        <v>249</v>
      </c>
      <c r="B615" s="26" t="s">
        <v>397</v>
      </c>
      <c r="C615" s="26" t="s">
        <v>312</v>
      </c>
      <c r="D615" s="27">
        <v>1260</v>
      </c>
      <c r="E615" s="29">
        <v>756</v>
      </c>
    </row>
    <row r="616" spans="1:5">
      <c r="A616" s="26" t="s">
        <v>249</v>
      </c>
      <c r="B616" s="26" t="s">
        <v>397</v>
      </c>
      <c r="C616" s="26" t="s">
        <v>321</v>
      </c>
      <c r="D616" s="27">
        <v>1620</v>
      </c>
      <c r="E616" s="29">
        <v>972</v>
      </c>
    </row>
    <row r="617" spans="1:5">
      <c r="A617" s="26" t="s">
        <v>249</v>
      </c>
      <c r="B617" s="26" t="s">
        <v>397</v>
      </c>
      <c r="C617" s="26" t="s">
        <v>328</v>
      </c>
      <c r="D617" s="27">
        <v>4590</v>
      </c>
      <c r="E617" s="29">
        <v>2754</v>
      </c>
    </row>
    <row r="618" spans="1:5">
      <c r="A618" s="26" t="s">
        <v>249</v>
      </c>
      <c r="B618" s="26" t="s">
        <v>397</v>
      </c>
      <c r="C618" s="26" t="s">
        <v>348</v>
      </c>
      <c r="D618" s="27">
        <v>3240</v>
      </c>
      <c r="E618" s="29">
        <v>1944</v>
      </c>
    </row>
    <row r="619" spans="1:5">
      <c r="A619" s="26" t="s">
        <v>249</v>
      </c>
      <c r="B619" s="26" t="s">
        <v>397</v>
      </c>
      <c r="C619" s="26" t="s">
        <v>346</v>
      </c>
      <c r="D619" s="27">
        <v>4410</v>
      </c>
      <c r="E619" s="29">
        <v>2646</v>
      </c>
    </row>
    <row r="620" spans="1:5">
      <c r="A620" s="26" t="s">
        <v>249</v>
      </c>
      <c r="B620" s="26" t="s">
        <v>397</v>
      </c>
      <c r="C620" s="26" t="s">
        <v>59</v>
      </c>
      <c r="D620" s="27">
        <v>3060</v>
      </c>
      <c r="E620" s="29">
        <v>1836</v>
      </c>
    </row>
    <row r="621" spans="1:5">
      <c r="A621" s="26" t="s">
        <v>249</v>
      </c>
      <c r="B621" s="26" t="s">
        <v>397</v>
      </c>
      <c r="C621" s="26" t="s">
        <v>380</v>
      </c>
      <c r="D621" s="27">
        <v>9000</v>
      </c>
      <c r="E621" s="29">
        <v>5400</v>
      </c>
    </row>
    <row r="622" spans="1:5">
      <c r="A622" s="26" t="s">
        <v>249</v>
      </c>
      <c r="B622" s="26" t="s">
        <v>397</v>
      </c>
      <c r="C622" s="26" t="s">
        <v>386</v>
      </c>
      <c r="D622" s="27">
        <v>9180</v>
      </c>
      <c r="E622" s="29">
        <v>5508</v>
      </c>
    </row>
    <row r="623" spans="1:5">
      <c r="A623" s="26" t="s">
        <v>249</v>
      </c>
      <c r="B623" s="26" t="s">
        <v>397</v>
      </c>
      <c r="C623" s="26" t="s">
        <v>387</v>
      </c>
      <c r="D623" s="27">
        <v>432720</v>
      </c>
      <c r="E623" s="29">
        <v>259632</v>
      </c>
    </row>
    <row r="624" spans="1:5">
      <c r="A624" s="26"/>
      <c r="B624" s="26"/>
      <c r="C624" s="26"/>
      <c r="D624" s="27"/>
      <c r="E624" s="29"/>
    </row>
    <row r="625" spans="1:5">
      <c r="A625" s="26"/>
      <c r="B625" s="26"/>
      <c r="C625" s="26"/>
      <c r="D625" s="27"/>
      <c r="E625" s="29"/>
    </row>
    <row r="626" spans="1:5">
      <c r="A626" s="26" t="s">
        <v>204</v>
      </c>
      <c r="B626" s="26" t="s">
        <v>367</v>
      </c>
      <c r="C626" s="26" t="s">
        <v>205</v>
      </c>
      <c r="D626" s="27">
        <v>2813332.3287096773</v>
      </c>
      <c r="E626" s="29">
        <v>2813332.3287096773</v>
      </c>
    </row>
    <row r="627" spans="1:5">
      <c r="A627" s="26" t="s">
        <v>204</v>
      </c>
      <c r="B627" s="26" t="s">
        <v>367</v>
      </c>
      <c r="C627" s="26" t="s">
        <v>54</v>
      </c>
      <c r="D627" s="27">
        <v>118075.91645161289</v>
      </c>
      <c r="E627" s="29">
        <v>118075.91645161289</v>
      </c>
    </row>
    <row r="628" spans="1:5">
      <c r="A628" s="26" t="s">
        <v>204</v>
      </c>
      <c r="B628" s="26" t="s">
        <v>367</v>
      </c>
      <c r="C628" s="26" t="s">
        <v>64</v>
      </c>
      <c r="D628" s="27">
        <v>179074.02483870968</v>
      </c>
      <c r="E628" s="29">
        <v>179074.02483870968</v>
      </c>
    </row>
    <row r="629" spans="1:5">
      <c r="A629" s="26" t="s">
        <v>204</v>
      </c>
      <c r="B629" s="26" t="s">
        <v>367</v>
      </c>
      <c r="C629" s="26" t="s">
        <v>71</v>
      </c>
      <c r="D629" s="27">
        <v>74694.066774193547</v>
      </c>
      <c r="E629" s="29">
        <v>74694.066774193547</v>
      </c>
    </row>
    <row r="630" spans="1:5">
      <c r="A630" s="26" t="s">
        <v>204</v>
      </c>
      <c r="B630" s="26" t="s">
        <v>367</v>
      </c>
      <c r="C630" s="26" t="s">
        <v>20</v>
      </c>
      <c r="D630" s="27">
        <v>120038.49290322579</v>
      </c>
      <c r="E630" s="29">
        <v>120038.49290322579</v>
      </c>
    </row>
    <row r="631" spans="1:5">
      <c r="A631" s="26" t="s">
        <v>204</v>
      </c>
      <c r="B631" s="26" t="s">
        <v>367</v>
      </c>
      <c r="C631" s="26" t="s">
        <v>87</v>
      </c>
      <c r="D631" s="27">
        <v>1881.3629032258063</v>
      </c>
      <c r="E631" s="29">
        <v>1881.3629032258063</v>
      </c>
    </row>
    <row r="632" spans="1:5">
      <c r="A632" s="26" t="s">
        <v>204</v>
      </c>
      <c r="B632" s="26" t="s">
        <v>367</v>
      </c>
      <c r="C632" s="26" t="s">
        <v>21</v>
      </c>
      <c r="D632" s="27">
        <v>82220.688064516129</v>
      </c>
      <c r="E632" s="29">
        <v>82220.688064516129</v>
      </c>
    </row>
    <row r="633" spans="1:5">
      <c r="A633" s="26" t="s">
        <v>204</v>
      </c>
      <c r="B633" s="26" t="s">
        <v>367</v>
      </c>
      <c r="C633" s="26" t="s">
        <v>30</v>
      </c>
      <c r="D633" s="27">
        <v>92299.719354838715</v>
      </c>
      <c r="E633" s="29">
        <v>92299.719354838715</v>
      </c>
    </row>
    <row r="634" spans="1:5">
      <c r="A634" s="26" t="s">
        <v>204</v>
      </c>
      <c r="B634" s="26" t="s">
        <v>367</v>
      </c>
      <c r="C634" s="26" t="s">
        <v>86</v>
      </c>
      <c r="D634" s="27">
        <v>61901.130967741934</v>
      </c>
      <c r="E634" s="29">
        <v>61901.130967741934</v>
      </c>
    </row>
    <row r="635" spans="1:5">
      <c r="A635" s="26" t="s">
        <v>204</v>
      </c>
      <c r="B635" s="26" t="s">
        <v>367</v>
      </c>
      <c r="C635" s="26" t="s">
        <v>22</v>
      </c>
      <c r="D635" s="27">
        <v>26037.540967741934</v>
      </c>
      <c r="E635" s="29">
        <v>26037.540967741934</v>
      </c>
    </row>
    <row r="636" spans="1:5">
      <c r="A636" s="26" t="s">
        <v>204</v>
      </c>
      <c r="B636" s="26" t="s">
        <v>367</v>
      </c>
      <c r="C636" s="26" t="s">
        <v>68</v>
      </c>
      <c r="D636" s="27">
        <v>4101.0787096774193</v>
      </c>
      <c r="E636" s="29">
        <v>4101.0787096774193</v>
      </c>
    </row>
    <row r="637" spans="1:5">
      <c r="A637" s="26" t="s">
        <v>204</v>
      </c>
      <c r="B637" s="26" t="s">
        <v>367</v>
      </c>
      <c r="C637" s="26" t="s">
        <v>17</v>
      </c>
      <c r="D637" s="27">
        <v>471880.40064516134</v>
      </c>
      <c r="E637" s="29">
        <v>471880.40064516134</v>
      </c>
    </row>
    <row r="638" spans="1:5">
      <c r="A638" s="26" t="s">
        <v>204</v>
      </c>
      <c r="B638" s="26" t="s">
        <v>367</v>
      </c>
      <c r="C638" s="26" t="s">
        <v>38</v>
      </c>
      <c r="D638" s="27">
        <v>489.1780645161291</v>
      </c>
      <c r="E638" s="29">
        <v>489.1780645161291</v>
      </c>
    </row>
    <row r="639" spans="1:5">
      <c r="A639" s="26" t="s">
        <v>204</v>
      </c>
      <c r="B639" s="26" t="s">
        <v>367</v>
      </c>
      <c r="C639" s="26" t="s">
        <v>289</v>
      </c>
      <c r="D639" s="27">
        <v>3988.2838709677417</v>
      </c>
      <c r="E639" s="29">
        <v>3988.2838709677417</v>
      </c>
    </row>
    <row r="640" spans="1:5">
      <c r="A640" s="26" t="s">
        <v>204</v>
      </c>
      <c r="B640" s="26" t="s">
        <v>367</v>
      </c>
      <c r="C640" s="26" t="s">
        <v>65</v>
      </c>
      <c r="D640" s="27">
        <v>50387.980322580646</v>
      </c>
      <c r="E640" s="29">
        <v>50387.980322580646</v>
      </c>
    </row>
    <row r="641" spans="1:11">
      <c r="A641" s="26" t="s">
        <v>204</v>
      </c>
      <c r="B641" s="26" t="s">
        <v>367</v>
      </c>
      <c r="C641" s="26" t="s">
        <v>59</v>
      </c>
      <c r="D641" s="27">
        <v>50158.897419354835</v>
      </c>
      <c r="E641" s="29">
        <v>50158.897419354835</v>
      </c>
    </row>
    <row r="642" spans="1:11">
      <c r="A642" s="26" t="s">
        <v>204</v>
      </c>
      <c r="B642" s="26" t="s">
        <v>367</v>
      </c>
      <c r="C642" s="26" t="s">
        <v>377</v>
      </c>
      <c r="D642" s="27">
        <v>171130.03419354837</v>
      </c>
      <c r="E642" s="29">
        <v>171130.03419354837</v>
      </c>
    </row>
    <row r="643" spans="1:11">
      <c r="A643" s="26" t="s">
        <v>204</v>
      </c>
      <c r="B643" s="26" t="s">
        <v>367</v>
      </c>
      <c r="C643" s="26" t="s">
        <v>41</v>
      </c>
      <c r="D643" s="27">
        <v>288182.90967741935</v>
      </c>
      <c r="E643" s="29">
        <v>288182.90967741935</v>
      </c>
    </row>
    <row r="644" spans="1:11" ht="17.25" customHeight="1">
      <c r="A644" s="26"/>
      <c r="B644" s="26"/>
      <c r="C644" s="26"/>
      <c r="D644" s="27"/>
      <c r="E644" s="29"/>
    </row>
    <row r="645" spans="1:11">
      <c r="A645" s="26" t="s">
        <v>211</v>
      </c>
      <c r="B645" s="26" t="s">
        <v>367</v>
      </c>
      <c r="C645" s="26" t="s">
        <v>65</v>
      </c>
      <c r="D645" s="27">
        <v>974359</v>
      </c>
      <c r="E645" s="29">
        <v>974359</v>
      </c>
    </row>
    <row r="646" spans="1:11">
      <c r="A646" s="26" t="s">
        <v>211</v>
      </c>
      <c r="B646" s="26" t="s">
        <v>367</v>
      </c>
      <c r="C646" s="26" t="s">
        <v>68</v>
      </c>
      <c r="D646" s="27">
        <v>22956</v>
      </c>
      <c r="E646" s="29">
        <v>22956</v>
      </c>
    </row>
    <row r="647" spans="1:11">
      <c r="A647" s="26" t="s">
        <v>211</v>
      </c>
      <c r="B647" s="26" t="s">
        <v>367</v>
      </c>
      <c r="C647" s="26" t="s">
        <v>210</v>
      </c>
      <c r="D647" s="27">
        <v>50052.5</v>
      </c>
      <c r="E647" s="29">
        <v>50052.5</v>
      </c>
    </row>
    <row r="648" spans="1:11">
      <c r="A648" s="26" t="s">
        <v>211</v>
      </c>
      <c r="B648" s="26" t="s">
        <v>367</v>
      </c>
      <c r="C648" s="26" t="s">
        <v>38</v>
      </c>
      <c r="D648" s="27">
        <v>499</v>
      </c>
      <c r="E648" s="29">
        <v>499</v>
      </c>
    </row>
    <row r="649" spans="1:11">
      <c r="A649" s="26" t="s">
        <v>211</v>
      </c>
      <c r="B649" s="26" t="s">
        <v>367</v>
      </c>
      <c r="C649" s="26" t="s">
        <v>177</v>
      </c>
      <c r="D649" s="27">
        <v>13723.5</v>
      </c>
      <c r="E649" s="29">
        <v>13723.5</v>
      </c>
    </row>
    <row r="650" spans="1:11">
      <c r="A650" s="26" t="s">
        <v>211</v>
      </c>
      <c r="B650" s="26" t="s">
        <v>367</v>
      </c>
      <c r="C650" s="26" t="s">
        <v>21</v>
      </c>
      <c r="D650" s="27">
        <v>1720</v>
      </c>
      <c r="E650" s="29">
        <v>1720</v>
      </c>
    </row>
    <row r="651" spans="1:11">
      <c r="A651" s="26" t="s">
        <v>211</v>
      </c>
      <c r="B651" s="26" t="s">
        <v>367</v>
      </c>
      <c r="C651" s="26" t="s">
        <v>31</v>
      </c>
      <c r="D651" s="27">
        <v>7384.5</v>
      </c>
      <c r="E651" s="29">
        <v>7384.5</v>
      </c>
    </row>
    <row r="652" spans="1:11">
      <c r="A652" s="26" t="s">
        <v>211</v>
      </c>
      <c r="B652" s="26" t="s">
        <v>367</v>
      </c>
      <c r="C652" s="26" t="s">
        <v>61</v>
      </c>
      <c r="D652" s="27">
        <v>385214.5</v>
      </c>
      <c r="E652" s="29">
        <v>385214.5</v>
      </c>
    </row>
    <row r="653" spans="1:11">
      <c r="A653" s="26" t="s">
        <v>211</v>
      </c>
      <c r="B653" s="26" t="s">
        <v>367</v>
      </c>
      <c r="C653" s="26" t="s">
        <v>72</v>
      </c>
      <c r="D653" s="27">
        <v>15369</v>
      </c>
      <c r="E653" s="29">
        <v>15369</v>
      </c>
      <c r="K653" s="34" t="s">
        <v>288</v>
      </c>
    </row>
    <row r="654" spans="1:11">
      <c r="A654" s="26" t="s">
        <v>209</v>
      </c>
      <c r="B654" s="26" t="s">
        <v>367</v>
      </c>
      <c r="C654" s="26" t="s">
        <v>86</v>
      </c>
      <c r="D654" s="27">
        <v>5941</v>
      </c>
      <c r="E654" s="29">
        <v>5941</v>
      </c>
    </row>
    <row r="655" spans="1:11">
      <c r="A655" s="26" t="s">
        <v>209</v>
      </c>
      <c r="B655" s="26" t="s">
        <v>367</v>
      </c>
      <c r="C655" s="26" t="s">
        <v>17</v>
      </c>
      <c r="D655" s="27">
        <v>43958.400000000001</v>
      </c>
      <c r="E655" s="29">
        <v>43958.400000000001</v>
      </c>
    </row>
    <row r="656" spans="1:11">
      <c r="A656" s="26" t="s">
        <v>209</v>
      </c>
      <c r="B656" s="26" t="s">
        <v>367</v>
      </c>
      <c r="C656" s="26" t="s">
        <v>20</v>
      </c>
      <c r="D656" s="27">
        <v>7963.2</v>
      </c>
      <c r="E656" s="29">
        <v>7963.2</v>
      </c>
    </row>
    <row r="657" spans="1:7">
      <c r="A657" s="26" t="s">
        <v>211</v>
      </c>
      <c r="B657" s="26" t="s">
        <v>367</v>
      </c>
      <c r="C657" s="26" t="s">
        <v>71</v>
      </c>
      <c r="D657" s="27">
        <v>5786.5</v>
      </c>
      <c r="E657" s="29">
        <v>5786.5</v>
      </c>
    </row>
    <row r="658" spans="1:7">
      <c r="A658" s="26" t="s">
        <v>209</v>
      </c>
      <c r="B658" s="26" t="s">
        <v>367</v>
      </c>
      <c r="C658" s="26" t="s">
        <v>160</v>
      </c>
      <c r="D658" s="27">
        <v>74856.600000000006</v>
      </c>
      <c r="E658" s="29">
        <v>74856.600000000006</v>
      </c>
    </row>
    <row r="659" spans="1:7">
      <c r="A659" s="26" t="s">
        <v>209</v>
      </c>
      <c r="B659" s="26" t="s">
        <v>367</v>
      </c>
      <c r="C659" s="26" t="s">
        <v>30</v>
      </c>
      <c r="D659" s="27">
        <v>52157.4</v>
      </c>
      <c r="E659" s="29">
        <v>52157.4</v>
      </c>
    </row>
    <row r="660" spans="1:7">
      <c r="A660" s="26"/>
      <c r="B660" s="26"/>
      <c r="C660" s="26"/>
      <c r="D660" s="27"/>
      <c r="E660" s="29"/>
    </row>
    <row r="661" spans="1:7">
      <c r="A661" s="26"/>
      <c r="B661" s="26"/>
      <c r="C661" s="26"/>
      <c r="D661" s="27"/>
      <c r="E661" s="29"/>
    </row>
    <row r="662" spans="1:7">
      <c r="A662" s="26" t="s">
        <v>305</v>
      </c>
      <c r="B662" s="26" t="s">
        <v>367</v>
      </c>
      <c r="C662" s="26" t="s">
        <v>21</v>
      </c>
      <c r="D662" s="27">
        <v>400</v>
      </c>
      <c r="E662" s="29">
        <v>251.99999999999997</v>
      </c>
      <c r="G662" s="34"/>
    </row>
    <row r="663" spans="1:7">
      <c r="A663" s="26" t="s">
        <v>305</v>
      </c>
      <c r="B663" s="26" t="s">
        <v>367</v>
      </c>
      <c r="C663" s="26" t="s">
        <v>77</v>
      </c>
      <c r="D663" s="27">
        <v>1131800</v>
      </c>
      <c r="E663" s="29">
        <v>713034</v>
      </c>
      <c r="G663" s="34"/>
    </row>
    <row r="664" spans="1:7">
      <c r="A664" s="26" t="s">
        <v>305</v>
      </c>
      <c r="B664" s="26" t="s">
        <v>367</v>
      </c>
      <c r="C664" s="26" t="s">
        <v>321</v>
      </c>
      <c r="D664" s="27">
        <v>27000</v>
      </c>
      <c r="E664" s="29">
        <v>17010</v>
      </c>
      <c r="G664" s="34"/>
    </row>
    <row r="665" spans="1:7">
      <c r="A665" s="26" t="s">
        <v>305</v>
      </c>
      <c r="B665" s="26" t="s">
        <v>367</v>
      </c>
      <c r="C665" s="26" t="s">
        <v>179</v>
      </c>
      <c r="D665" s="27">
        <v>982800</v>
      </c>
      <c r="E665" s="29">
        <v>619164</v>
      </c>
      <c r="G665" s="34"/>
    </row>
    <row r="666" spans="1:7">
      <c r="A666" s="26" t="s">
        <v>305</v>
      </c>
      <c r="B666" s="26" t="s">
        <v>367</v>
      </c>
      <c r="C666" s="26" t="s">
        <v>180</v>
      </c>
      <c r="D666" s="27">
        <v>607100</v>
      </c>
      <c r="E666" s="29">
        <v>382473</v>
      </c>
      <c r="G666" s="34"/>
    </row>
    <row r="667" spans="1:7">
      <c r="A667" s="26" t="s">
        <v>305</v>
      </c>
      <c r="B667" s="26" t="s">
        <v>367</v>
      </c>
      <c r="C667" s="26" t="s">
        <v>76</v>
      </c>
      <c r="D667" s="27">
        <v>134800</v>
      </c>
      <c r="E667" s="29">
        <v>84924</v>
      </c>
      <c r="G667" s="34"/>
    </row>
    <row r="668" spans="1:7">
      <c r="A668" s="26" t="s">
        <v>305</v>
      </c>
      <c r="B668" s="26" t="s">
        <v>367</v>
      </c>
      <c r="C668" s="26" t="s">
        <v>66</v>
      </c>
      <c r="D668" s="27">
        <v>99800</v>
      </c>
      <c r="E668" s="29">
        <v>62873.999999999993</v>
      </c>
      <c r="G668" s="34"/>
    </row>
    <row r="669" spans="1:7">
      <c r="A669" s="26" t="s">
        <v>305</v>
      </c>
      <c r="B669" s="26" t="s">
        <v>367</v>
      </c>
      <c r="C669" s="26" t="s">
        <v>20</v>
      </c>
      <c r="D669" s="27">
        <v>36000</v>
      </c>
      <c r="E669" s="29">
        <v>22680</v>
      </c>
      <c r="G669" s="34"/>
    </row>
    <row r="670" spans="1:7">
      <c r="A670" s="26"/>
      <c r="B670" s="26"/>
      <c r="C670" s="26"/>
      <c r="D670" s="27"/>
      <c r="E670" s="29"/>
      <c r="G670" s="34"/>
    </row>
    <row r="671" spans="1:7">
      <c r="A671" s="26"/>
      <c r="B671" s="26"/>
      <c r="C671" s="26"/>
      <c r="D671" s="27"/>
      <c r="E671" s="29"/>
    </row>
    <row r="672" spans="1:7">
      <c r="A672" s="26" t="s">
        <v>375</v>
      </c>
      <c r="B672" s="26" t="s">
        <v>367</v>
      </c>
      <c r="C672" s="26" t="s">
        <v>77</v>
      </c>
      <c r="D672" s="27">
        <v>132800</v>
      </c>
      <c r="E672" s="29">
        <v>83664</v>
      </c>
      <c r="G672" s="34"/>
    </row>
    <row r="673" spans="1:7">
      <c r="A673" s="26" t="s">
        <v>375</v>
      </c>
      <c r="B673" s="26" t="s">
        <v>367</v>
      </c>
      <c r="C673" s="26" t="s">
        <v>321</v>
      </c>
      <c r="D673" s="27">
        <v>21100</v>
      </c>
      <c r="E673" s="29">
        <v>13293</v>
      </c>
      <c r="G673" s="34"/>
    </row>
    <row r="674" spans="1:7">
      <c r="A674" s="26" t="s">
        <v>374</v>
      </c>
      <c r="B674" s="26" t="s">
        <v>367</v>
      </c>
      <c r="C674" s="26" t="s">
        <v>179</v>
      </c>
      <c r="D674" s="27">
        <v>93700</v>
      </c>
      <c r="E674" s="29">
        <v>59030.999999999993</v>
      </c>
      <c r="G674" s="34"/>
    </row>
    <row r="675" spans="1:7">
      <c r="A675" s="26" t="s">
        <v>374</v>
      </c>
      <c r="B675" s="26" t="s">
        <v>367</v>
      </c>
      <c r="C675" s="26" t="s">
        <v>180</v>
      </c>
      <c r="D675" s="27">
        <v>103800</v>
      </c>
      <c r="E675" s="29">
        <v>65393.999999999993</v>
      </c>
      <c r="G675" s="34"/>
    </row>
    <row r="676" spans="1:7">
      <c r="A676" s="26" t="s">
        <v>375</v>
      </c>
      <c r="B676" s="26" t="s">
        <v>367</v>
      </c>
      <c r="C676" s="26" t="s">
        <v>76</v>
      </c>
      <c r="D676" s="27">
        <v>43200</v>
      </c>
      <c r="E676" s="29">
        <v>27216</v>
      </c>
      <c r="G676" s="34"/>
    </row>
    <row r="677" spans="1:7">
      <c r="A677" s="26" t="s">
        <v>375</v>
      </c>
      <c r="B677" s="26" t="s">
        <v>367</v>
      </c>
      <c r="C677" s="26" t="s">
        <v>66</v>
      </c>
      <c r="D677" s="27">
        <v>10000</v>
      </c>
      <c r="E677" s="29">
        <v>6300</v>
      </c>
      <c r="G677" s="34"/>
    </row>
    <row r="678" spans="1:7">
      <c r="A678" s="26" t="s">
        <v>375</v>
      </c>
      <c r="B678" s="26" t="s">
        <v>367</v>
      </c>
      <c r="C678" s="26" t="s">
        <v>20</v>
      </c>
      <c r="D678" s="27">
        <v>38100</v>
      </c>
      <c r="E678" s="29">
        <v>24003</v>
      </c>
      <c r="G678" s="34"/>
    </row>
    <row r="679" spans="1:7">
      <c r="A679" s="26" t="s">
        <v>375</v>
      </c>
      <c r="B679" s="26" t="s">
        <v>367</v>
      </c>
      <c r="C679" s="26" t="s">
        <v>74</v>
      </c>
      <c r="D679" s="27">
        <v>300</v>
      </c>
      <c r="E679" s="29">
        <v>189</v>
      </c>
      <c r="G679" s="34"/>
    </row>
    <row r="680" spans="1:7">
      <c r="A680" s="26"/>
      <c r="B680" s="26"/>
      <c r="C680" s="26"/>
      <c r="D680" s="27"/>
      <c r="E680" s="29"/>
    </row>
    <row r="681" spans="1:7">
      <c r="A681" s="26" t="s">
        <v>439</v>
      </c>
      <c r="B681" s="26" t="s">
        <v>397</v>
      </c>
      <c r="C681" s="26" t="s">
        <v>66</v>
      </c>
      <c r="D681" s="27">
        <v>48400</v>
      </c>
      <c r="E681" s="29">
        <v>33880</v>
      </c>
      <c r="G681" s="34"/>
    </row>
    <row r="682" spans="1:7">
      <c r="A682" s="26" t="s">
        <v>439</v>
      </c>
      <c r="B682" s="26" t="s">
        <v>397</v>
      </c>
      <c r="C682" s="26" t="s">
        <v>76</v>
      </c>
      <c r="D682" s="27">
        <v>40900</v>
      </c>
      <c r="E682" s="29">
        <v>28630</v>
      </c>
      <c r="G682" s="34"/>
    </row>
    <row r="683" spans="1:7">
      <c r="A683" s="26" t="s">
        <v>439</v>
      </c>
      <c r="B683" s="26" t="s">
        <v>397</v>
      </c>
      <c r="C683" s="26" t="s">
        <v>77</v>
      </c>
      <c r="D683" s="27">
        <v>24800</v>
      </c>
      <c r="E683" s="29">
        <v>17360</v>
      </c>
      <c r="G683" s="34"/>
    </row>
    <row r="684" spans="1:7">
      <c r="A684" s="26"/>
      <c r="B684" s="26"/>
      <c r="C684" s="26"/>
      <c r="D684" s="27"/>
      <c r="E684" s="29"/>
      <c r="G684" s="34"/>
    </row>
    <row r="685" spans="1:7">
      <c r="A685" s="26" t="s">
        <v>441</v>
      </c>
      <c r="B685" s="26" t="s">
        <v>397</v>
      </c>
      <c r="C685" s="26" t="s">
        <v>66</v>
      </c>
      <c r="D685" s="27">
        <v>122000</v>
      </c>
      <c r="E685" s="29">
        <v>85400</v>
      </c>
      <c r="G685" s="34"/>
    </row>
    <row r="686" spans="1:7">
      <c r="A686" s="26" t="s">
        <v>441</v>
      </c>
      <c r="B686" s="26" t="s">
        <v>397</v>
      </c>
      <c r="C686" s="26" t="s">
        <v>76</v>
      </c>
      <c r="D686" s="27">
        <v>209900</v>
      </c>
      <c r="E686" s="29">
        <v>146930</v>
      </c>
      <c r="G686" s="34"/>
    </row>
    <row r="687" spans="1:7">
      <c r="A687" s="26" t="s">
        <v>441</v>
      </c>
      <c r="B687" s="26" t="s">
        <v>397</v>
      </c>
      <c r="C687" s="26" t="s">
        <v>77</v>
      </c>
      <c r="D687" s="27">
        <v>251200</v>
      </c>
      <c r="E687" s="29">
        <v>175840</v>
      </c>
      <c r="G687" s="34"/>
    </row>
    <row r="688" spans="1:7">
      <c r="A688" s="26"/>
      <c r="B688" s="26"/>
      <c r="C688" s="26"/>
      <c r="D688" s="27"/>
      <c r="E688" s="29"/>
      <c r="G688" s="34"/>
    </row>
    <row r="689" spans="1:7">
      <c r="A689" s="26" t="s">
        <v>119</v>
      </c>
      <c r="B689" s="26" t="s">
        <v>367</v>
      </c>
      <c r="C689" s="26" t="s">
        <v>362</v>
      </c>
      <c r="D689" s="35">
        <v>10613.21</v>
      </c>
      <c r="E689" s="97">
        <f>D689*F689</f>
        <v>1987748.1008999997</v>
      </c>
      <c r="F689" s="46">
        <v>187.29</v>
      </c>
      <c r="G689" s="64"/>
    </row>
    <row r="690" spans="1:7">
      <c r="A690" s="26" t="s">
        <v>119</v>
      </c>
      <c r="B690" s="26" t="s">
        <v>367</v>
      </c>
      <c r="C690" s="26" t="s">
        <v>46</v>
      </c>
      <c r="D690" s="35">
        <v>276</v>
      </c>
      <c r="E690" s="97">
        <f t="shared" ref="E690:E694" si="0">D690*F690</f>
        <v>51692.04</v>
      </c>
      <c r="F690" s="46">
        <v>187.29</v>
      </c>
      <c r="G690" s="64"/>
    </row>
    <row r="691" spans="1:7">
      <c r="A691" s="26" t="s">
        <v>119</v>
      </c>
      <c r="B691" s="26" t="s">
        <v>367</v>
      </c>
      <c r="C691" s="26" t="s">
        <v>304</v>
      </c>
      <c r="D691" s="35">
        <v>2935.55</v>
      </c>
      <c r="E691" s="97">
        <f t="shared" si="0"/>
        <v>549799.15950000007</v>
      </c>
      <c r="F691" s="46">
        <v>187.29</v>
      </c>
      <c r="G691" s="64"/>
    </row>
    <row r="692" spans="1:7" ht="15.75" customHeight="1">
      <c r="A692" s="26" t="s">
        <v>119</v>
      </c>
      <c r="B692" s="26" t="s">
        <v>367</v>
      </c>
      <c r="C692" s="26" t="s">
        <v>363</v>
      </c>
      <c r="D692" s="35">
        <v>226.89</v>
      </c>
      <c r="E692" s="97">
        <f t="shared" si="0"/>
        <v>42494.228099999993</v>
      </c>
      <c r="F692" s="46">
        <v>187.29</v>
      </c>
      <c r="G692" s="64"/>
    </row>
    <row r="693" spans="1:7">
      <c r="A693" s="26" t="s">
        <v>119</v>
      </c>
      <c r="B693" s="26" t="s">
        <v>367</v>
      </c>
      <c r="C693" s="26" t="s">
        <v>364</v>
      </c>
      <c r="D693" s="35">
        <v>3001.31</v>
      </c>
      <c r="E693" s="97">
        <f t="shared" si="0"/>
        <v>562115.34989999991</v>
      </c>
      <c r="F693" s="46">
        <v>187.29</v>
      </c>
      <c r="G693" s="64"/>
    </row>
    <row r="694" spans="1:7" ht="15.75" customHeight="1">
      <c r="A694" s="26" t="s">
        <v>119</v>
      </c>
      <c r="B694" s="26" t="s">
        <v>367</v>
      </c>
      <c r="C694" s="26" t="s">
        <v>369</v>
      </c>
      <c r="D694" s="35">
        <v>0.09</v>
      </c>
      <c r="E694" s="97">
        <f t="shared" si="0"/>
        <v>16.856099999999998</v>
      </c>
      <c r="F694" s="46">
        <v>187.29</v>
      </c>
      <c r="G694" s="64"/>
    </row>
    <row r="695" spans="1:7" ht="15.75" customHeight="1">
      <c r="A695" s="26"/>
      <c r="B695" s="26"/>
      <c r="C695" s="26"/>
      <c r="D695" s="35"/>
      <c r="E695" s="68"/>
      <c r="F695" s="46"/>
      <c r="G695" s="64"/>
    </row>
    <row r="696" spans="1:7">
      <c r="A696" s="26" t="s">
        <v>113</v>
      </c>
      <c r="B696" s="26" t="s">
        <v>322</v>
      </c>
      <c r="C696" s="26" t="s">
        <v>261</v>
      </c>
      <c r="D696" s="35"/>
      <c r="E696" s="68"/>
      <c r="F696" s="46">
        <v>35.81</v>
      </c>
      <c r="G696" s="114"/>
    </row>
    <row r="697" spans="1:7">
      <c r="A697" s="26" t="s">
        <v>113</v>
      </c>
      <c r="B697" s="26" t="s">
        <v>322</v>
      </c>
      <c r="C697" s="26" t="s">
        <v>262</v>
      </c>
      <c r="D697" s="35"/>
      <c r="E697" s="68"/>
      <c r="F697" s="46">
        <v>35.81</v>
      </c>
      <c r="G697" s="64"/>
    </row>
    <row r="698" spans="1:7">
      <c r="A698" s="26" t="s">
        <v>113</v>
      </c>
      <c r="B698" s="26" t="s">
        <v>322</v>
      </c>
      <c r="C698" s="26" t="s">
        <v>263</v>
      </c>
      <c r="D698" s="35"/>
      <c r="E698" s="68"/>
      <c r="F698" s="46">
        <v>35.81</v>
      </c>
      <c r="G698" s="64"/>
    </row>
    <row r="699" spans="1:7">
      <c r="A699" s="26" t="s">
        <v>113</v>
      </c>
      <c r="B699" s="26" t="s">
        <v>322</v>
      </c>
      <c r="C699" s="26" t="s">
        <v>255</v>
      </c>
      <c r="D699" s="35"/>
      <c r="E699" s="68"/>
      <c r="F699" s="46">
        <v>35.81</v>
      </c>
      <c r="G699" s="64"/>
    </row>
    <row r="700" spans="1:7">
      <c r="A700" s="26" t="s">
        <v>113</v>
      </c>
      <c r="B700" s="26" t="s">
        <v>322</v>
      </c>
      <c r="C700" s="26" t="s">
        <v>256</v>
      </c>
      <c r="D700" s="107"/>
      <c r="E700" s="68"/>
      <c r="F700" s="46">
        <v>35.81</v>
      </c>
      <c r="G700" s="64"/>
    </row>
    <row r="701" spans="1:7">
      <c r="A701" s="26" t="s">
        <v>113</v>
      </c>
      <c r="B701" s="26" t="s">
        <v>322</v>
      </c>
      <c r="C701" s="26" t="s">
        <v>257</v>
      </c>
      <c r="D701" s="35"/>
      <c r="E701" s="68"/>
      <c r="F701" s="46">
        <v>35.81</v>
      </c>
      <c r="G701" s="64"/>
    </row>
    <row r="702" spans="1:7">
      <c r="A702" s="26" t="s">
        <v>113</v>
      </c>
      <c r="B702" s="26" t="s">
        <v>322</v>
      </c>
      <c r="C702" s="26" t="s">
        <v>258</v>
      </c>
      <c r="D702" s="35"/>
      <c r="E702" s="68"/>
      <c r="F702" s="46">
        <v>35.81</v>
      </c>
      <c r="G702" s="64"/>
    </row>
    <row r="703" spans="1:7">
      <c r="A703" s="26" t="s">
        <v>113</v>
      </c>
      <c r="B703" s="26" t="s">
        <v>322</v>
      </c>
      <c r="C703" s="26" t="s">
        <v>259</v>
      </c>
      <c r="D703" s="35"/>
      <c r="E703" s="68"/>
      <c r="F703" s="46">
        <v>35.81</v>
      </c>
      <c r="G703" s="64"/>
    </row>
    <row r="704" spans="1:7">
      <c r="A704" s="26" t="s">
        <v>113</v>
      </c>
      <c r="B704" s="26" t="s">
        <v>322</v>
      </c>
      <c r="C704" s="26" t="s">
        <v>260</v>
      </c>
      <c r="D704" s="35"/>
      <c r="E704" s="68"/>
      <c r="F704" s="46">
        <v>35.81</v>
      </c>
      <c r="G704" s="64"/>
    </row>
    <row r="705" spans="1:7">
      <c r="A705" s="26"/>
      <c r="B705" s="26"/>
      <c r="C705" s="26"/>
      <c r="D705" s="35"/>
      <c r="E705" s="68"/>
      <c r="F705" s="46"/>
      <c r="G705" s="64"/>
    </row>
    <row r="706" spans="1:7">
      <c r="A706" s="26"/>
      <c r="B706" s="26"/>
      <c r="C706" s="26"/>
      <c r="D706" s="35"/>
      <c r="E706" s="68"/>
      <c r="F706" s="72"/>
      <c r="G706" s="64"/>
    </row>
    <row r="707" spans="1:7">
      <c r="A707" s="26"/>
      <c r="B707" s="26"/>
      <c r="C707" s="26"/>
      <c r="D707" s="35"/>
      <c r="E707" s="68"/>
      <c r="F707" s="72"/>
      <c r="G707" s="64"/>
    </row>
    <row r="708" spans="1:7">
      <c r="A708" s="26" t="s">
        <v>116</v>
      </c>
      <c r="B708" s="26" t="s">
        <v>367</v>
      </c>
      <c r="C708" s="26" t="s">
        <v>165</v>
      </c>
      <c r="D708" s="35">
        <v>402.36</v>
      </c>
      <c r="E708" s="97">
        <f>D708*F708</f>
        <v>14388.393599999999</v>
      </c>
      <c r="F708" s="46">
        <v>35.76</v>
      </c>
      <c r="G708" s="64"/>
    </row>
    <row r="709" spans="1:7">
      <c r="A709" s="26" t="s">
        <v>116</v>
      </c>
      <c r="B709" s="26" t="s">
        <v>367</v>
      </c>
      <c r="C709" s="26" t="s">
        <v>160</v>
      </c>
      <c r="D709" s="35">
        <v>6264.56</v>
      </c>
      <c r="E709" s="97">
        <f t="shared" ref="E709:E716" si="1">D709*F709</f>
        <v>224020.66560000001</v>
      </c>
      <c r="F709" s="46">
        <v>35.76</v>
      </c>
      <c r="G709" s="64"/>
    </row>
    <row r="710" spans="1:7">
      <c r="A710" s="26" t="s">
        <v>116</v>
      </c>
      <c r="B710" s="26" t="s">
        <v>367</v>
      </c>
      <c r="C710" s="26" t="s">
        <v>166</v>
      </c>
      <c r="D710" s="35">
        <v>1058.8599999999999</v>
      </c>
      <c r="E710" s="97">
        <f t="shared" si="1"/>
        <v>37864.833599999991</v>
      </c>
      <c r="F710" s="46">
        <v>35.76</v>
      </c>
      <c r="G710" s="64"/>
    </row>
    <row r="711" spans="1:7">
      <c r="A711" s="26" t="s">
        <v>116</v>
      </c>
      <c r="B711" s="26" t="s">
        <v>367</v>
      </c>
      <c r="C711" s="26" t="s">
        <v>167</v>
      </c>
      <c r="D711" s="35">
        <v>6157.15</v>
      </c>
      <c r="E711" s="97">
        <f t="shared" si="1"/>
        <v>220179.68399999998</v>
      </c>
      <c r="F711" s="46">
        <v>35.76</v>
      </c>
      <c r="G711" s="64"/>
    </row>
    <row r="712" spans="1:7">
      <c r="A712" s="26" t="s">
        <v>116</v>
      </c>
      <c r="B712" s="26" t="s">
        <v>367</v>
      </c>
      <c r="C712" s="26" t="s">
        <v>41</v>
      </c>
      <c r="D712" s="35">
        <v>11148.92</v>
      </c>
      <c r="E712" s="97">
        <f t="shared" si="1"/>
        <v>398685.37919999997</v>
      </c>
      <c r="F712" s="46">
        <v>35.76</v>
      </c>
      <c r="G712" s="64"/>
    </row>
    <row r="713" spans="1:7">
      <c r="A713" s="26" t="s">
        <v>116</v>
      </c>
      <c r="B713" s="26" t="s">
        <v>367</v>
      </c>
      <c r="C713" s="26" t="s">
        <v>168</v>
      </c>
      <c r="D713" s="35">
        <v>1783.39</v>
      </c>
      <c r="E713" s="97">
        <f t="shared" si="1"/>
        <v>63774.026400000002</v>
      </c>
      <c r="F713" s="46">
        <v>35.76</v>
      </c>
      <c r="G713" s="64"/>
    </row>
    <row r="714" spans="1:7">
      <c r="A714" s="26" t="s">
        <v>116</v>
      </c>
      <c r="B714" s="26" t="s">
        <v>367</v>
      </c>
      <c r="C714" s="26" t="s">
        <v>169</v>
      </c>
      <c r="D714" s="35">
        <v>1147.1500000000001</v>
      </c>
      <c r="E714" s="97">
        <f t="shared" si="1"/>
        <v>41022.084000000003</v>
      </c>
      <c r="F714" s="46">
        <v>35.76</v>
      </c>
      <c r="G714" s="64"/>
    </row>
    <row r="715" spans="1:7">
      <c r="A715" s="26" t="s">
        <v>116</v>
      </c>
      <c r="B715" s="26" t="s">
        <v>367</v>
      </c>
      <c r="C715" s="26" t="s">
        <v>161</v>
      </c>
      <c r="D715" s="35">
        <v>3230.88</v>
      </c>
      <c r="E715" s="97">
        <f t="shared" si="1"/>
        <v>115536.26879999999</v>
      </c>
      <c r="F715" s="46">
        <v>35.76</v>
      </c>
      <c r="G715" s="64"/>
    </row>
    <row r="716" spans="1:7">
      <c r="A716" s="26" t="s">
        <v>116</v>
      </c>
      <c r="B716" s="26" t="s">
        <v>367</v>
      </c>
      <c r="C716" s="26" t="s">
        <v>155</v>
      </c>
      <c r="D716" s="35">
        <v>7484.82</v>
      </c>
      <c r="E716" s="97">
        <f t="shared" si="1"/>
        <v>267657.16319999995</v>
      </c>
      <c r="F716" s="46">
        <v>35.76</v>
      </c>
      <c r="G716" s="64"/>
    </row>
    <row r="717" spans="1:7">
      <c r="A717" s="26"/>
      <c r="B717" s="26"/>
      <c r="C717" s="26"/>
      <c r="D717" s="35"/>
      <c r="E717" s="68"/>
      <c r="F717" s="46"/>
      <c r="G717" s="64"/>
    </row>
    <row r="718" spans="1:7">
      <c r="A718" s="26"/>
      <c r="B718" s="26"/>
      <c r="C718" s="26"/>
      <c r="D718" s="35"/>
      <c r="E718" s="68"/>
      <c r="F718" s="46"/>
      <c r="G718" s="64"/>
    </row>
    <row r="719" spans="1:7">
      <c r="A719" s="26"/>
      <c r="B719" s="26"/>
      <c r="C719" s="26"/>
      <c r="D719" s="35"/>
      <c r="E719" s="68"/>
      <c r="F719" s="46"/>
      <c r="G719" s="64"/>
    </row>
    <row r="720" spans="1:7">
      <c r="A720" s="26" t="s">
        <v>117</v>
      </c>
      <c r="B720" s="26" t="s">
        <v>367</v>
      </c>
      <c r="C720" s="26" t="s">
        <v>152</v>
      </c>
      <c r="D720" s="44">
        <v>5129.1000000000004</v>
      </c>
      <c r="E720" s="97">
        <f>D720*F720</f>
        <v>53342.640000000007</v>
      </c>
      <c r="F720" s="46">
        <v>10.4</v>
      </c>
      <c r="G720" s="64"/>
    </row>
    <row r="721" spans="1:7" ht="15.75" customHeight="1">
      <c r="A721" s="26" t="s">
        <v>117</v>
      </c>
      <c r="B721" s="26" t="s">
        <v>367</v>
      </c>
      <c r="C721" s="26" t="s">
        <v>153</v>
      </c>
      <c r="D721" s="44">
        <v>963.9</v>
      </c>
      <c r="E721" s="97">
        <f t="shared" ref="E721:E722" si="2">D721*F721</f>
        <v>10024.56</v>
      </c>
      <c r="F721" s="46">
        <v>10.4</v>
      </c>
      <c r="G721" s="64"/>
    </row>
    <row r="722" spans="1:7">
      <c r="A722" s="26" t="s">
        <v>117</v>
      </c>
      <c r="B722" s="26" t="s">
        <v>367</v>
      </c>
      <c r="C722" s="26" t="s">
        <v>46</v>
      </c>
      <c r="D722" s="44">
        <v>924.3</v>
      </c>
      <c r="E722" s="97">
        <f t="shared" si="2"/>
        <v>9612.7199999999993</v>
      </c>
      <c r="F722" s="46">
        <v>10.4</v>
      </c>
      <c r="G722" s="64"/>
    </row>
    <row r="723" spans="1:7">
      <c r="A723" s="26"/>
      <c r="B723" s="26"/>
      <c r="C723" s="26"/>
      <c r="D723" s="44"/>
      <c r="E723" s="97"/>
      <c r="F723" s="46"/>
      <c r="G723" s="64"/>
    </row>
    <row r="724" spans="1:7">
      <c r="A724" s="108"/>
      <c r="B724" s="108"/>
      <c r="C724" s="108"/>
      <c r="D724" s="108"/>
      <c r="E724" s="108"/>
      <c r="F724" s="46"/>
      <c r="G724" s="64"/>
    </row>
    <row r="725" spans="1:7">
      <c r="A725" s="26" t="s">
        <v>193</v>
      </c>
      <c r="B725" s="26" t="s">
        <v>367</v>
      </c>
      <c r="C725" s="26" t="s">
        <v>194</v>
      </c>
      <c r="D725" s="35">
        <v>946.44712499999991</v>
      </c>
      <c r="E725" s="97">
        <f>D725*F725</f>
        <v>178973.15133749999</v>
      </c>
      <c r="F725" s="46">
        <v>189.1</v>
      </c>
      <c r="G725" s="64"/>
    </row>
    <row r="726" spans="1:7">
      <c r="A726" s="26" t="s">
        <v>193</v>
      </c>
      <c r="B726" s="26" t="s">
        <v>367</v>
      </c>
      <c r="C726" s="26" t="s">
        <v>195</v>
      </c>
      <c r="D726" s="35">
        <v>56.980125000000001</v>
      </c>
      <c r="E726" s="97">
        <f t="shared" ref="E726:E730" si="3">D726*F726</f>
        <v>10774.9416375</v>
      </c>
      <c r="F726" s="46">
        <v>189.1</v>
      </c>
      <c r="G726" s="64"/>
    </row>
    <row r="727" spans="1:7">
      <c r="A727" s="26" t="s">
        <v>193</v>
      </c>
      <c r="B727" s="26" t="s">
        <v>367</v>
      </c>
      <c r="C727" s="26" t="s">
        <v>196</v>
      </c>
      <c r="D727" s="35">
        <v>199.68675000000002</v>
      </c>
      <c r="E727" s="97">
        <f t="shared" si="3"/>
        <v>37760.764425000001</v>
      </c>
      <c r="F727" s="46">
        <v>189.1</v>
      </c>
      <c r="G727" s="64"/>
    </row>
    <row r="728" spans="1:7">
      <c r="A728" s="26" t="s">
        <v>193</v>
      </c>
      <c r="B728" s="26" t="s">
        <v>367</v>
      </c>
      <c r="C728" s="26" t="s">
        <v>197</v>
      </c>
      <c r="D728" s="35">
        <v>1390.4190000000001</v>
      </c>
      <c r="E728" s="97">
        <f t="shared" si="3"/>
        <v>262928.2329</v>
      </c>
      <c r="F728" s="46">
        <v>189.1</v>
      </c>
      <c r="G728" s="64"/>
    </row>
    <row r="729" spans="1:7">
      <c r="A729" s="26" t="s">
        <v>193</v>
      </c>
      <c r="B729" s="26" t="s">
        <v>367</v>
      </c>
      <c r="C729" s="26" t="s">
        <v>198</v>
      </c>
      <c r="D729" s="35">
        <v>1883.8334999999997</v>
      </c>
      <c r="E729" s="97">
        <f t="shared" si="3"/>
        <v>356232.91484999994</v>
      </c>
      <c r="F729" s="46">
        <v>189.1</v>
      </c>
      <c r="G729" s="64"/>
    </row>
    <row r="730" spans="1:7">
      <c r="A730" s="26" t="s">
        <v>193</v>
      </c>
      <c r="B730" s="26" t="s">
        <v>367</v>
      </c>
      <c r="C730" s="26" t="s">
        <v>199</v>
      </c>
      <c r="D730" s="35">
        <v>1541.665125</v>
      </c>
      <c r="E730" s="97">
        <f t="shared" si="3"/>
        <v>291528.8751375</v>
      </c>
      <c r="F730" s="46">
        <v>189.1</v>
      </c>
      <c r="G730" s="64"/>
    </row>
    <row r="731" spans="1:7">
      <c r="A731" s="26" t="s">
        <v>193</v>
      </c>
      <c r="B731" s="26" t="s">
        <v>367</v>
      </c>
      <c r="C731" s="26" t="s">
        <v>324</v>
      </c>
      <c r="D731" s="35">
        <v>1149.4402500000001</v>
      </c>
      <c r="E731" s="97">
        <f>D731*F731</f>
        <v>217359.15127500001</v>
      </c>
      <c r="F731" s="46">
        <v>189.1</v>
      </c>
      <c r="G731" s="64"/>
    </row>
    <row r="732" spans="1:7">
      <c r="A732" s="108"/>
      <c r="B732" s="108"/>
      <c r="C732" s="108"/>
      <c r="D732" s="108"/>
      <c r="E732" s="108"/>
      <c r="F732" s="46"/>
    </row>
    <row r="733" spans="1:7">
      <c r="A733" s="26" t="s">
        <v>201</v>
      </c>
      <c r="B733" s="26" t="s">
        <v>437</v>
      </c>
      <c r="C733" s="26" t="s">
        <v>71</v>
      </c>
      <c r="D733" s="35"/>
      <c r="E733" s="119"/>
      <c r="F733" s="46">
        <v>1199.4000000000001</v>
      </c>
      <c r="G733" s="64"/>
    </row>
    <row r="734" spans="1:7">
      <c r="A734" s="26" t="s">
        <v>201</v>
      </c>
      <c r="B734" s="26" t="s">
        <v>437</v>
      </c>
      <c r="C734" s="26" t="s">
        <v>30</v>
      </c>
      <c r="D734" s="35"/>
      <c r="E734" s="119"/>
      <c r="F734" s="46">
        <v>1199.4000000000001</v>
      </c>
      <c r="G734" s="64"/>
    </row>
    <row r="735" spans="1:7">
      <c r="A735" s="26" t="s">
        <v>201</v>
      </c>
      <c r="B735" s="26" t="s">
        <v>437</v>
      </c>
      <c r="C735" s="26" t="s">
        <v>202</v>
      </c>
      <c r="D735" s="35"/>
      <c r="E735" s="119"/>
      <c r="F735" s="46">
        <v>1199.4000000000001</v>
      </c>
      <c r="G735" s="64"/>
    </row>
    <row r="736" spans="1:7">
      <c r="A736" s="26" t="s">
        <v>201</v>
      </c>
      <c r="B736" s="26" t="s">
        <v>437</v>
      </c>
      <c r="C736" s="26" t="s">
        <v>87</v>
      </c>
      <c r="D736" s="35"/>
      <c r="E736" s="119"/>
      <c r="F736" s="46">
        <v>1199.4000000000001</v>
      </c>
      <c r="G736" s="64"/>
    </row>
    <row r="737" spans="1:7">
      <c r="A737" s="26" t="s">
        <v>201</v>
      </c>
      <c r="B737" s="26" t="s">
        <v>437</v>
      </c>
      <c r="C737" s="26" t="s">
        <v>203</v>
      </c>
      <c r="D737" s="35"/>
      <c r="E737" s="119"/>
      <c r="F737" s="46">
        <v>1199.4000000000001</v>
      </c>
      <c r="G737" s="64"/>
    </row>
    <row r="738" spans="1:7">
      <c r="A738" s="26" t="s">
        <v>201</v>
      </c>
      <c r="B738" s="26" t="s">
        <v>437</v>
      </c>
      <c r="C738" s="26" t="s">
        <v>379</v>
      </c>
      <c r="D738" s="35"/>
      <c r="E738" s="119"/>
      <c r="F738" s="46">
        <v>1199.4000000000001</v>
      </c>
      <c r="G738" s="64"/>
    </row>
    <row r="739" spans="1:7">
      <c r="A739" s="26" t="s">
        <v>201</v>
      </c>
      <c r="B739" s="26" t="s">
        <v>437</v>
      </c>
      <c r="C739" s="26" t="s">
        <v>21</v>
      </c>
      <c r="D739" s="35"/>
      <c r="E739" s="119"/>
      <c r="F739" s="46">
        <v>1199.4000000000001</v>
      </c>
      <c r="G739" s="64"/>
    </row>
    <row r="740" spans="1:7">
      <c r="A740" s="26" t="s">
        <v>201</v>
      </c>
      <c r="B740" s="26" t="s">
        <v>437</v>
      </c>
      <c r="C740" s="26" t="s">
        <v>46</v>
      </c>
      <c r="D740" s="35"/>
      <c r="E740" s="119"/>
      <c r="F740" s="46">
        <v>1199.4000000000001</v>
      </c>
      <c r="G740" s="64"/>
    </row>
    <row r="741" spans="1:7">
      <c r="A741" s="26" t="s">
        <v>201</v>
      </c>
      <c r="B741" s="26" t="s">
        <v>437</v>
      </c>
      <c r="C741" s="26" t="s">
        <v>20</v>
      </c>
      <c r="D741" s="35"/>
      <c r="E741" s="119"/>
      <c r="F741" s="46">
        <v>1199.4000000000001</v>
      </c>
      <c r="G741" s="64"/>
    </row>
    <row r="742" spans="1:7">
      <c r="F742" s="46"/>
    </row>
    <row r="743" spans="1:7">
      <c r="A743" s="26" t="s">
        <v>270</v>
      </c>
      <c r="B743" s="26" t="s">
        <v>396</v>
      </c>
      <c r="C743" s="26" t="s">
        <v>271</v>
      </c>
      <c r="D743" s="35">
        <v>417.95</v>
      </c>
      <c r="E743" s="97">
        <f>D743*F743</f>
        <v>496608.19</v>
      </c>
      <c r="F743" s="46">
        <v>1188.2</v>
      </c>
      <c r="G743" s="64"/>
    </row>
    <row r="744" spans="1:7">
      <c r="A744" s="26" t="s">
        <v>270</v>
      </c>
      <c r="B744" s="26" t="s">
        <v>396</v>
      </c>
      <c r="C744" s="26" t="s">
        <v>272</v>
      </c>
      <c r="D744" s="35">
        <v>645</v>
      </c>
      <c r="E744" s="97">
        <f t="shared" ref="E744:E745" si="4">D744*F744</f>
        <v>766389</v>
      </c>
      <c r="F744" s="46">
        <v>1188.2</v>
      </c>
      <c r="G744" s="64"/>
    </row>
    <row r="745" spans="1:7">
      <c r="A745" s="26" t="s">
        <v>270</v>
      </c>
      <c r="B745" s="26" t="s">
        <v>396</v>
      </c>
      <c r="C745" s="26" t="s">
        <v>273</v>
      </c>
      <c r="D745" s="35">
        <v>9.02</v>
      </c>
      <c r="E745" s="97">
        <f t="shared" si="4"/>
        <v>10717.564</v>
      </c>
      <c r="F745" s="46">
        <v>1188.2</v>
      </c>
      <c r="G745" s="64"/>
    </row>
    <row r="746" spans="1:7">
      <c r="A746" s="26"/>
      <c r="B746" s="26"/>
      <c r="C746" s="26"/>
      <c r="D746" s="35"/>
      <c r="E746" s="68"/>
      <c r="F746" s="46"/>
      <c r="G746" s="64"/>
    </row>
    <row r="747" spans="1:7">
      <c r="A747" s="26" t="s">
        <v>403</v>
      </c>
      <c r="B747" s="26" t="s">
        <v>404</v>
      </c>
      <c r="C747" s="26" t="s">
        <v>405</v>
      </c>
      <c r="D747" s="35">
        <v>152.71</v>
      </c>
      <c r="E747" s="97">
        <f>D747*F747</f>
        <v>181358.39600000001</v>
      </c>
      <c r="F747" s="46">
        <v>1187.5999999999999</v>
      </c>
      <c r="G747" s="64"/>
    </row>
    <row r="748" spans="1:7">
      <c r="A748" s="26" t="s">
        <v>403</v>
      </c>
      <c r="B748" s="26" t="s">
        <v>404</v>
      </c>
      <c r="C748" s="26" t="s">
        <v>406</v>
      </c>
      <c r="D748" s="35">
        <v>17.149999999999999</v>
      </c>
      <c r="E748" s="97">
        <f>D748*F748</f>
        <v>20367.339999999997</v>
      </c>
      <c r="F748" s="46">
        <v>1187.5999999999999</v>
      </c>
      <c r="G748" s="64"/>
    </row>
    <row r="749" spans="1:7">
      <c r="A749" s="26"/>
      <c r="B749" s="26"/>
      <c r="C749" s="26"/>
      <c r="D749" s="35"/>
      <c r="E749" s="68"/>
      <c r="F749" s="46"/>
      <c r="G749" s="64"/>
    </row>
    <row r="750" spans="1:7">
      <c r="A750" s="26"/>
      <c r="B750" s="26"/>
      <c r="C750" s="26"/>
      <c r="D750" s="35"/>
      <c r="E750" s="68"/>
      <c r="F750" s="46"/>
      <c r="G750" s="64"/>
    </row>
    <row r="751" spans="1:7">
      <c r="A751" s="26" t="s">
        <v>408</v>
      </c>
      <c r="B751" s="26" t="s">
        <v>409</v>
      </c>
      <c r="C751" s="26" t="s">
        <v>410</v>
      </c>
      <c r="D751" s="35">
        <v>79.993499999999869</v>
      </c>
      <c r="E751" s="97">
        <f>D751*F751</f>
        <v>95336.253299999837</v>
      </c>
      <c r="F751" s="46">
        <v>1191.8</v>
      </c>
      <c r="G751" s="64"/>
    </row>
    <row r="752" spans="1:7">
      <c r="A752" s="26" t="s">
        <v>408</v>
      </c>
      <c r="B752" s="26" t="s">
        <v>409</v>
      </c>
      <c r="C752" s="26" t="s">
        <v>411</v>
      </c>
      <c r="D752" s="35">
        <v>20.093000000000004</v>
      </c>
      <c r="E752" s="97">
        <f t="shared" ref="E752:E754" si="5">D752*F752</f>
        <v>23946.837400000004</v>
      </c>
      <c r="F752" s="46">
        <v>1191.8</v>
      </c>
      <c r="G752" s="64"/>
    </row>
    <row r="753" spans="1:7">
      <c r="A753" s="26" t="s">
        <v>408</v>
      </c>
      <c r="B753" s="26" t="s">
        <v>409</v>
      </c>
      <c r="C753" s="26" t="s">
        <v>21</v>
      </c>
      <c r="D753" s="35">
        <v>49.473000000000013</v>
      </c>
      <c r="E753" s="97">
        <f t="shared" si="5"/>
        <v>58961.921400000014</v>
      </c>
      <c r="F753" s="46">
        <v>1191.8</v>
      </c>
      <c r="G753" s="64"/>
    </row>
    <row r="754" spans="1:7">
      <c r="A754" s="26" t="s">
        <v>408</v>
      </c>
      <c r="B754" s="26" t="s">
        <v>409</v>
      </c>
      <c r="C754" s="26" t="s">
        <v>20</v>
      </c>
      <c r="D754" s="35">
        <v>261.42449999999968</v>
      </c>
      <c r="E754" s="97">
        <f t="shared" si="5"/>
        <v>311565.71909999964</v>
      </c>
      <c r="F754" s="46">
        <v>1191.8</v>
      </c>
      <c r="G754" s="64"/>
    </row>
    <row r="755" spans="1:7">
      <c r="A755" s="26"/>
      <c r="B755" s="26"/>
      <c r="C755" s="26"/>
      <c r="D755" s="35"/>
      <c r="E755" s="68"/>
      <c r="F755" s="46"/>
      <c r="G755" s="64"/>
    </row>
    <row r="756" spans="1:7">
      <c r="F756" s="46"/>
    </row>
    <row r="757" spans="1:7">
      <c r="A757" s="83" t="s">
        <v>252</v>
      </c>
      <c r="F757" s="46"/>
    </row>
    <row r="758" spans="1:7">
      <c r="F758" s="46"/>
    </row>
    <row r="759" spans="1:7">
      <c r="F759" s="46"/>
    </row>
  </sheetData>
  <autoFilter ref="A1:G1" xr:uid="{A1A8EB68-66E8-4E93-AF77-83014EB57ABC}"/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Q56"/>
  <sheetViews>
    <sheetView tabSelected="1" topLeftCell="A18" zoomScale="85" zoomScaleNormal="85" workbookViewId="0">
      <selection activeCell="O48" sqref="O48"/>
    </sheetView>
  </sheetViews>
  <sheetFormatPr defaultColWidth="8.75" defaultRowHeight="16.5"/>
  <cols>
    <col min="1" max="1" width="3.625" style="19" customWidth="1"/>
    <col min="2" max="2" width="4.625" style="19" customWidth="1"/>
    <col min="3" max="3" width="19.5" style="19" customWidth="1"/>
    <col min="4" max="5" width="13.25" style="19" customWidth="1"/>
    <col min="6" max="6" width="16.125" style="19" bestFit="1" customWidth="1"/>
    <col min="7" max="7" width="24.25" style="19" bestFit="1" customWidth="1"/>
    <col min="8" max="8" width="24.25" bestFit="1" customWidth="1"/>
    <col min="9" max="9" width="13.75" style="1" customWidth="1"/>
    <col min="10" max="10" width="7.25" style="1" customWidth="1"/>
    <col min="11" max="11" width="14.625" customWidth="1"/>
    <col min="12" max="12" width="16" customWidth="1"/>
    <col min="13" max="13" width="2.375" customWidth="1"/>
    <col min="14" max="14" width="13.625" bestFit="1" customWidth="1"/>
    <col min="15" max="15" width="14" bestFit="1" customWidth="1"/>
  </cols>
  <sheetData>
    <row r="1" spans="1:15" ht="15.95" customHeight="1">
      <c r="A1" s="2"/>
      <c r="B1" s="2"/>
      <c r="C1" s="2"/>
      <c r="D1" s="2"/>
      <c r="E1" s="2"/>
      <c r="F1" s="2"/>
      <c r="G1" s="2"/>
      <c r="H1" s="2"/>
      <c r="I1" s="37"/>
    </row>
    <row r="2" spans="1:15" ht="20.25">
      <c r="A2" s="2"/>
      <c r="B2" s="2"/>
      <c r="C2" s="3" t="s">
        <v>393</v>
      </c>
      <c r="D2" s="4"/>
      <c r="E2" s="4"/>
      <c r="F2" s="4"/>
      <c r="G2" s="5"/>
      <c r="I2" s="38"/>
    </row>
    <row r="3" spans="1:15">
      <c r="A3" s="2"/>
      <c r="B3" s="2"/>
      <c r="C3" s="6" t="s">
        <v>394</v>
      </c>
      <c r="D3" s="6"/>
      <c r="E3" s="6"/>
      <c r="F3" s="6"/>
      <c r="G3" s="6"/>
      <c r="H3" s="6"/>
    </row>
    <row r="4" spans="1:15">
      <c r="C4" s="21"/>
      <c r="D4" s="22"/>
      <c r="E4" s="23"/>
      <c r="F4"/>
      <c r="G4"/>
    </row>
    <row r="5" spans="1:15" ht="17.25" thickBot="1">
      <c r="C5" s="36" t="s">
        <v>44</v>
      </c>
      <c r="D5" s="6"/>
      <c r="E5" s="6"/>
      <c r="F5" s="6"/>
      <c r="G5" s="6"/>
      <c r="H5" s="6"/>
      <c r="L5" s="64">
        <v>0.12</v>
      </c>
    </row>
    <row r="6" spans="1:15" ht="17.25" thickBot="1">
      <c r="C6" s="7" t="s">
        <v>1</v>
      </c>
      <c r="D6" s="8" t="s">
        <v>2</v>
      </c>
      <c r="E6" s="8" t="s">
        <v>3</v>
      </c>
      <c r="F6" s="8" t="s">
        <v>186</v>
      </c>
      <c r="G6" s="8" t="s">
        <v>185</v>
      </c>
      <c r="H6" s="8" t="s">
        <v>9</v>
      </c>
      <c r="I6" s="9" t="s">
        <v>4</v>
      </c>
      <c r="K6" s="10" t="s">
        <v>5</v>
      </c>
      <c r="L6" s="11">
        <v>500000000</v>
      </c>
    </row>
    <row r="7" spans="1:15" ht="17.25" thickBot="1">
      <c r="B7" s="56">
        <f t="shared" ref="B7:B42" ca="1" si="0">COUNTA(INDIRECT(C7&amp;"!B:B"))</f>
        <v>40</v>
      </c>
      <c r="C7" s="52" t="s">
        <v>11</v>
      </c>
      <c r="D7" s="48">
        <f ca="1">INDIRECT(C7 &amp; "!E" &amp; B7+3)</f>
        <v>86715946.294200003</v>
      </c>
      <c r="E7" s="53">
        <f ca="1">INDIRECT(C7 &amp; "!F" &amp; B7+3)</f>
        <v>27781486.294200003</v>
      </c>
      <c r="F7" s="54">
        <f ca="1">INDIRECT(C7 &amp; "!G" &amp; B7+3)</f>
        <v>58934460</v>
      </c>
      <c r="G7" s="59">
        <f ca="1">INDIRECT(C7 &amp; "!H" &amp; B7+3)</f>
        <v>2946723</v>
      </c>
      <c r="H7" s="54">
        <f ca="1">INDIRECT(C7 &amp; "!I" &amp; B7+3)</f>
        <v>55987737</v>
      </c>
      <c r="I7" s="55"/>
      <c r="K7" s="12" t="s">
        <v>6</v>
      </c>
      <c r="L7" s="13">
        <v>60000000</v>
      </c>
      <c r="N7" s="94">
        <f>L7/L6</f>
        <v>0.12</v>
      </c>
    </row>
    <row r="8" spans="1:15">
      <c r="B8" s="56">
        <f t="shared" ref="B8" ca="1" si="1">COUNTA(INDIRECT(C8&amp;"!B:B"))</f>
        <v>5</v>
      </c>
      <c r="C8" s="47" t="s">
        <v>419</v>
      </c>
      <c r="D8" s="48">
        <f ca="1">INDIRECT(C8 &amp; "!E" &amp; B8+3)</f>
        <v>9101214</v>
      </c>
      <c r="E8" s="53">
        <f t="shared" ref="E8" ca="1" si="2">INDIRECT(C8 &amp; "!F" &amp; B8+3)</f>
        <v>0</v>
      </c>
      <c r="F8" s="54">
        <f t="shared" ref="F8" ca="1" si="3">INDIRECT(C8 &amp; "!G" &amp; B8+3)</f>
        <v>9101214</v>
      </c>
      <c r="G8" s="59">
        <f t="shared" ref="G8" ca="1" si="4">INDIRECT(C8 &amp; "!H" &amp; B8+3)</f>
        <v>455060.7</v>
      </c>
      <c r="H8" s="54">
        <f t="shared" ref="H8" ca="1" si="5">INDIRECT(C8 &amp; "!I" &amp; B8+3)</f>
        <v>8646153.3000000007</v>
      </c>
      <c r="I8" s="49"/>
      <c r="J8" s="20"/>
      <c r="K8" s="14"/>
      <c r="L8" s="15"/>
    </row>
    <row r="9" spans="1:15" ht="17.25" thickBot="1">
      <c r="B9" s="56">
        <f ca="1">COUNTA(INDIRECT(C9&amp;"!B:B"))</f>
        <v>52</v>
      </c>
      <c r="C9" s="123" t="s">
        <v>102</v>
      </c>
      <c r="D9" s="48">
        <f t="shared" ref="D9:D32" ca="1" si="6">INDIRECT(C9 &amp; "!E" &amp; B9+3)</f>
        <v>78520951.299999997</v>
      </c>
      <c r="E9" s="53">
        <f t="shared" ref="E9:E42" ca="1" si="7">INDIRECT(C9 &amp; "!F" &amp; B9+3)</f>
        <v>9010568.1900000013</v>
      </c>
      <c r="F9" s="54">
        <f t="shared" ref="F9:F42" ca="1" si="8">INDIRECT(C9 &amp; "!G" &amp; B9+3)</f>
        <v>69510383.109999999</v>
      </c>
      <c r="G9" s="59">
        <f t="shared" ref="G9:G42" ca="1" si="9">INDIRECT(C9 &amp; "!H" &amp; B9+3)</f>
        <v>3475519.1555000003</v>
      </c>
      <c r="H9" s="54">
        <f t="shared" ref="H9:H42" ca="1" si="10">INDIRECT(C9 &amp; "!I" &amp; B9+3)</f>
        <v>66034863.954500012</v>
      </c>
      <c r="I9" s="49"/>
      <c r="K9" s="14"/>
      <c r="L9" s="15"/>
    </row>
    <row r="10" spans="1:15" ht="17.25" thickBot="1">
      <c r="B10" s="56">
        <f t="shared" ca="1" si="0"/>
        <v>9</v>
      </c>
      <c r="C10" s="47" t="s">
        <v>43</v>
      </c>
      <c r="D10" s="48">
        <f ca="1">F10</f>
        <v>3193865.7344999998</v>
      </c>
      <c r="E10" s="53">
        <f t="shared" ca="1" si="7"/>
        <v>0</v>
      </c>
      <c r="F10" s="54">
        <f t="shared" ca="1" si="8"/>
        <v>3193865.7344999998</v>
      </c>
      <c r="G10" s="59">
        <f t="shared" ca="1" si="9"/>
        <v>159693.28672500001</v>
      </c>
      <c r="H10" s="54">
        <f t="shared" ca="1" si="10"/>
        <v>3034172.4477749998</v>
      </c>
      <c r="I10" s="49" t="s">
        <v>141</v>
      </c>
      <c r="K10" s="127" t="s">
        <v>7</v>
      </c>
      <c r="L10" s="128"/>
    </row>
    <row r="11" spans="1:15">
      <c r="B11" s="56">
        <f t="shared" ca="1" si="0"/>
        <v>9</v>
      </c>
      <c r="C11" s="47" t="s">
        <v>266</v>
      </c>
      <c r="D11" s="48">
        <f ca="1">INDIRECT(C11 &amp; "!E" &amp; B11+3)</f>
        <v>667367.30000000005</v>
      </c>
      <c r="E11" s="53">
        <f t="shared" ca="1" si="7"/>
        <v>283147.26500000001</v>
      </c>
      <c r="F11" s="54">
        <f t="shared" ca="1" si="8"/>
        <v>384220.03499999997</v>
      </c>
      <c r="G11" s="59">
        <f t="shared" ca="1" si="9"/>
        <v>19211.001749999999</v>
      </c>
      <c r="H11" s="54">
        <f t="shared" ca="1" si="10"/>
        <v>365009.03325000004</v>
      </c>
      <c r="I11" s="49"/>
      <c r="K11" s="14">
        <v>2021.05</v>
      </c>
      <c r="L11" s="100">
        <v>38491275</v>
      </c>
      <c r="N11" s="34" t="s">
        <v>287</v>
      </c>
    </row>
    <row r="12" spans="1:15">
      <c r="B12" s="56">
        <f t="shared" ca="1" si="0"/>
        <v>30</v>
      </c>
      <c r="C12" s="47" t="s">
        <v>26</v>
      </c>
      <c r="D12" s="48">
        <f t="shared" ref="D12:D20" ca="1" si="11">INDIRECT(C12 &amp; "!E" &amp; B12+3)</f>
        <v>8526312</v>
      </c>
      <c r="E12" s="53">
        <f t="shared" ca="1" si="7"/>
        <v>0</v>
      </c>
      <c r="F12" s="54">
        <f t="shared" ca="1" si="8"/>
        <v>8526312</v>
      </c>
      <c r="G12" s="59">
        <f t="shared" ca="1" si="9"/>
        <v>426315.60000000015</v>
      </c>
      <c r="H12" s="54">
        <f t="shared" ca="1" si="10"/>
        <v>8099996.3999999985</v>
      </c>
      <c r="I12" s="49"/>
      <c r="K12" s="14">
        <v>2021.06</v>
      </c>
      <c r="L12" s="50">
        <v>40614670.601243101</v>
      </c>
      <c r="N12" s="34" t="s">
        <v>296</v>
      </c>
    </row>
    <row r="13" spans="1:15" ht="17.45" customHeight="1">
      <c r="B13" s="56">
        <f t="shared" ca="1" si="0"/>
        <v>14</v>
      </c>
      <c r="C13" s="47" t="s">
        <v>92</v>
      </c>
      <c r="D13" s="48">
        <f t="shared" ca="1" si="11"/>
        <v>899900</v>
      </c>
      <c r="E13" s="53">
        <f t="shared" ca="1" si="7"/>
        <v>269970</v>
      </c>
      <c r="F13" s="54">
        <f t="shared" ca="1" si="8"/>
        <v>629930</v>
      </c>
      <c r="G13" s="59">
        <f t="shared" ca="1" si="9"/>
        <v>31496.5</v>
      </c>
      <c r="H13" s="54">
        <f t="shared" ca="1" si="10"/>
        <v>598433.5</v>
      </c>
      <c r="I13" s="49"/>
      <c r="K13" s="14">
        <v>2021.07</v>
      </c>
      <c r="L13" s="50">
        <v>38906565</v>
      </c>
      <c r="N13" s="34" t="s">
        <v>313</v>
      </c>
    </row>
    <row r="14" spans="1:15">
      <c r="B14" s="56">
        <f t="shared" ca="1" si="0"/>
        <v>10</v>
      </c>
      <c r="C14" s="47" t="s">
        <v>28</v>
      </c>
      <c r="D14" s="48">
        <f t="shared" ca="1" si="11"/>
        <v>1734282</v>
      </c>
      <c r="E14" s="53">
        <f t="shared" ca="1" si="7"/>
        <v>0</v>
      </c>
      <c r="F14" s="54">
        <f t="shared" ca="1" si="8"/>
        <v>1734282</v>
      </c>
      <c r="G14" s="59">
        <f t="shared" ca="1" si="9"/>
        <v>86714.10000000002</v>
      </c>
      <c r="H14" s="54">
        <f t="shared" ca="1" si="10"/>
        <v>1647567.9000000001</v>
      </c>
      <c r="I14" s="49"/>
      <c r="J14" s="16"/>
      <c r="K14" s="14">
        <v>2021.08</v>
      </c>
      <c r="L14" s="50">
        <v>40116328</v>
      </c>
      <c r="N14" s="34" t="s">
        <v>338</v>
      </c>
    </row>
    <row r="15" spans="1:15">
      <c r="B15" s="56">
        <f t="shared" ca="1" si="0"/>
        <v>42</v>
      </c>
      <c r="C15" s="47" t="s">
        <v>33</v>
      </c>
      <c r="D15" s="48">
        <f t="shared" ca="1" si="11"/>
        <v>7149530</v>
      </c>
      <c r="E15" s="53">
        <f t="shared" ca="1" si="7"/>
        <v>3131403</v>
      </c>
      <c r="F15" s="54">
        <f t="shared" ca="1" si="8"/>
        <v>4018127</v>
      </c>
      <c r="G15" s="59">
        <f t="shared" ca="1" si="9"/>
        <v>200906.35000000006</v>
      </c>
      <c r="H15" s="54">
        <f t="shared" ca="1" si="10"/>
        <v>3817220.649999999</v>
      </c>
      <c r="I15" s="49"/>
      <c r="K15" s="14">
        <v>2021.09</v>
      </c>
      <c r="L15" s="50">
        <v>34882157</v>
      </c>
      <c r="N15" s="34" t="s">
        <v>361</v>
      </c>
    </row>
    <row r="16" spans="1:15">
      <c r="B16" s="56">
        <f t="shared" ca="1" si="0"/>
        <v>39</v>
      </c>
      <c r="C16" s="47" t="s">
        <v>35</v>
      </c>
      <c r="D16" s="48">
        <f t="shared" ca="1" si="11"/>
        <v>6190222.5</v>
      </c>
      <c r="E16" s="53">
        <f t="shared" ca="1" si="7"/>
        <v>1078566.75</v>
      </c>
      <c r="F16" s="54">
        <f t="shared" ca="1" si="8"/>
        <v>5111655.75</v>
      </c>
      <c r="G16" s="59">
        <f t="shared" ca="1" si="9"/>
        <v>255582.78749999995</v>
      </c>
      <c r="H16" s="54">
        <f t="shared" ca="1" si="10"/>
        <v>4856072.9625000013</v>
      </c>
      <c r="I16" s="49"/>
      <c r="K16" s="117">
        <v>2021.1</v>
      </c>
      <c r="L16" s="50">
        <v>33253241</v>
      </c>
      <c r="N16" s="34" t="s">
        <v>420</v>
      </c>
      <c r="O16" s="39"/>
    </row>
    <row r="17" spans="2:17">
      <c r="B17" s="56">
        <f t="shared" ca="1" si="0"/>
        <v>33</v>
      </c>
      <c r="C17" s="47" t="s">
        <v>93</v>
      </c>
      <c r="D17" s="48">
        <f t="shared" ca="1" si="11"/>
        <v>18820970</v>
      </c>
      <c r="E17" s="53">
        <f t="shared" ca="1" si="7"/>
        <v>8344072</v>
      </c>
      <c r="F17" s="54">
        <f t="shared" ca="1" si="8"/>
        <v>10476898</v>
      </c>
      <c r="G17" s="59">
        <f t="shared" ca="1" si="9"/>
        <v>523844.90000000008</v>
      </c>
      <c r="H17" s="54">
        <f t="shared" ca="1" si="10"/>
        <v>9953053.0999999996</v>
      </c>
      <c r="I17" s="49"/>
      <c r="K17" s="14">
        <v>2021.11</v>
      </c>
      <c r="L17" s="50">
        <v>30199565.407282043</v>
      </c>
      <c r="N17" s="34" t="s">
        <v>436</v>
      </c>
      <c r="O17" s="39"/>
    </row>
    <row r="18" spans="2:17" ht="17.25" thickBot="1">
      <c r="B18" s="56">
        <f t="shared" ca="1" si="0"/>
        <v>9</v>
      </c>
      <c r="C18" s="47" t="s">
        <v>234</v>
      </c>
      <c r="D18" s="48">
        <f t="shared" ca="1" si="11"/>
        <v>3395376</v>
      </c>
      <c r="E18" s="53">
        <f t="shared" ca="1" si="7"/>
        <v>0</v>
      </c>
      <c r="F18" s="54">
        <f t="shared" ca="1" si="8"/>
        <v>3395376</v>
      </c>
      <c r="G18" s="59">
        <f t="shared" ca="1" si="9"/>
        <v>169768.8</v>
      </c>
      <c r="H18" s="54">
        <f t="shared" ca="1" si="10"/>
        <v>3225607.1999999997</v>
      </c>
      <c r="I18" s="49"/>
      <c r="K18" s="14">
        <v>2021.12</v>
      </c>
      <c r="L18" s="50">
        <v>31091642</v>
      </c>
      <c r="N18" s="34"/>
      <c r="O18" s="39"/>
    </row>
    <row r="19" spans="2:17" ht="17.25" thickBot="1">
      <c r="B19" s="56">
        <f t="shared" ca="1" si="0"/>
        <v>40</v>
      </c>
      <c r="C19" s="47" t="s">
        <v>83</v>
      </c>
      <c r="D19" s="48">
        <f t="shared" ca="1" si="11"/>
        <v>11631900</v>
      </c>
      <c r="E19" s="53">
        <f t="shared" ca="1" si="7"/>
        <v>3549561.0700000036</v>
      </c>
      <c r="F19" s="54">
        <f t="shared" ca="1" si="8"/>
        <v>8082338.929999996</v>
      </c>
      <c r="G19" s="59">
        <f t="shared" ca="1" si="9"/>
        <v>404116.94649999979</v>
      </c>
      <c r="H19" s="54">
        <f t="shared" ca="1" si="10"/>
        <v>7678221.9834999982</v>
      </c>
      <c r="I19" s="49"/>
      <c r="K19" s="10" t="s">
        <v>10</v>
      </c>
      <c r="L19" s="17">
        <f>SUM(L11:L18)</f>
        <v>287555444.00852513</v>
      </c>
      <c r="N19" s="34"/>
      <c r="O19" s="39"/>
    </row>
    <row r="20" spans="2:17">
      <c r="B20" s="56">
        <f t="shared" ca="1" si="0"/>
        <v>19</v>
      </c>
      <c r="C20" s="47" t="s">
        <v>94</v>
      </c>
      <c r="D20" s="48">
        <f t="shared" ca="1" si="11"/>
        <v>649800</v>
      </c>
      <c r="E20" s="53">
        <f t="shared" ca="1" si="7"/>
        <v>220932</v>
      </c>
      <c r="F20" s="54">
        <f t="shared" ca="1" si="8"/>
        <v>428868</v>
      </c>
      <c r="G20" s="59">
        <f t="shared" ca="1" si="9"/>
        <v>21443.400000000005</v>
      </c>
      <c r="H20" s="54">
        <f t="shared" ca="1" si="10"/>
        <v>407424.59999999992</v>
      </c>
      <c r="I20" s="49"/>
      <c r="K20" s="14">
        <v>2022.01</v>
      </c>
      <c r="L20" s="15">
        <v>13657155.860375067</v>
      </c>
      <c r="N20" s="34"/>
      <c r="O20" s="39"/>
    </row>
    <row r="21" spans="2:17">
      <c r="B21" s="56">
        <f t="shared" ca="1" si="0"/>
        <v>12</v>
      </c>
      <c r="C21" s="47" t="s">
        <v>95</v>
      </c>
      <c r="D21" s="48">
        <f ca="1">F21</f>
        <v>0</v>
      </c>
      <c r="E21" s="53">
        <f t="shared" ca="1" si="7"/>
        <v>0</v>
      </c>
      <c r="F21" s="54">
        <f t="shared" ca="1" si="8"/>
        <v>0</v>
      </c>
      <c r="G21" s="59">
        <f t="shared" ca="1" si="9"/>
        <v>0</v>
      </c>
      <c r="H21" s="54">
        <f t="shared" ca="1" si="10"/>
        <v>0</v>
      </c>
      <c r="I21" s="49" t="s">
        <v>392</v>
      </c>
      <c r="K21" s="14"/>
      <c r="L21" s="15"/>
      <c r="N21" s="73"/>
      <c r="O21" s="77"/>
    </row>
    <row r="22" spans="2:17">
      <c r="B22" s="56">
        <f t="shared" ca="1" si="0"/>
        <v>19</v>
      </c>
      <c r="C22" s="47" t="s">
        <v>276</v>
      </c>
      <c r="D22" s="48">
        <f ca="1">INDIRECT(C22 &amp; "!E" &amp; B22+3)</f>
        <v>27483480</v>
      </c>
      <c r="E22" s="53">
        <f t="shared" ca="1" si="7"/>
        <v>0</v>
      </c>
      <c r="F22" s="54">
        <f t="shared" ca="1" si="8"/>
        <v>27483480</v>
      </c>
      <c r="G22" s="59">
        <f t="shared" ca="1" si="9"/>
        <v>1374174</v>
      </c>
      <c r="H22" s="54">
        <f t="shared" ca="1" si="10"/>
        <v>26109306</v>
      </c>
      <c r="I22" s="49"/>
      <c r="K22" s="14"/>
      <c r="L22" s="15"/>
    </row>
    <row r="23" spans="2:17">
      <c r="B23" s="56">
        <f t="shared" ca="1" si="0"/>
        <v>20</v>
      </c>
      <c r="C23" s="47" t="s">
        <v>278</v>
      </c>
      <c r="D23" s="48">
        <f t="shared" ref="D23:D25" ca="1" si="12">INDIRECT(C23 &amp; "!E" &amp; B23+3)</f>
        <v>5334968</v>
      </c>
      <c r="E23" s="53">
        <f t="shared" ca="1" si="7"/>
        <v>0</v>
      </c>
      <c r="F23" s="54">
        <f t="shared" ca="1" si="8"/>
        <v>5334968</v>
      </c>
      <c r="G23" s="59">
        <f t="shared" ca="1" si="9"/>
        <v>266748.40000000008</v>
      </c>
      <c r="H23" s="54">
        <f t="shared" ca="1" si="10"/>
        <v>5068219.5999999996</v>
      </c>
      <c r="I23" s="49"/>
      <c r="K23" s="14"/>
      <c r="L23" s="15"/>
      <c r="Q23" s="34"/>
    </row>
    <row r="24" spans="2:17">
      <c r="B24" s="56">
        <f t="shared" ca="1" si="0"/>
        <v>16</v>
      </c>
      <c r="C24" s="47" t="s">
        <v>100</v>
      </c>
      <c r="D24" s="48">
        <f t="shared" ca="1" si="12"/>
        <v>8351803</v>
      </c>
      <c r="E24" s="53">
        <f t="shared" ca="1" si="7"/>
        <v>0</v>
      </c>
      <c r="F24" s="54">
        <f t="shared" ca="1" si="8"/>
        <v>8351803</v>
      </c>
      <c r="G24" s="59">
        <f t="shared" ca="1" si="9"/>
        <v>417590.15</v>
      </c>
      <c r="H24" s="54">
        <f t="shared" ca="1" si="10"/>
        <v>7934212.8500000006</v>
      </c>
      <c r="I24" s="49"/>
      <c r="K24" s="14"/>
      <c r="L24" s="15"/>
    </row>
    <row r="25" spans="2:17">
      <c r="B25" s="56">
        <f t="shared" ca="1" si="0"/>
        <v>12</v>
      </c>
      <c r="C25" s="47" t="s">
        <v>206</v>
      </c>
      <c r="D25" s="48">
        <f t="shared" ca="1" si="12"/>
        <v>285338</v>
      </c>
      <c r="E25" s="53">
        <f t="shared" ca="1" si="7"/>
        <v>0</v>
      </c>
      <c r="F25" s="54">
        <f t="shared" ca="1" si="8"/>
        <v>285338</v>
      </c>
      <c r="G25" s="59">
        <f t="shared" ca="1" si="9"/>
        <v>14266.9</v>
      </c>
      <c r="H25" s="54">
        <f t="shared" ca="1" si="10"/>
        <v>271071.09999999998</v>
      </c>
      <c r="I25" s="49"/>
      <c r="K25" s="14"/>
      <c r="L25" s="15"/>
    </row>
    <row r="26" spans="2:17">
      <c r="B26" s="56">
        <f t="shared" ca="1" si="0"/>
        <v>6</v>
      </c>
      <c r="C26" s="47" t="s">
        <v>97</v>
      </c>
      <c r="D26" s="48">
        <f ca="1">INDIRECT(C26 &amp; "!E" &amp; B26+3)</f>
        <v>105640.9</v>
      </c>
      <c r="E26" s="53">
        <f t="shared" ca="1" si="7"/>
        <v>0</v>
      </c>
      <c r="F26" s="54">
        <f t="shared" ca="1" si="8"/>
        <v>105640.9</v>
      </c>
      <c r="G26" s="59">
        <f t="shared" ca="1" si="9"/>
        <v>5282.045000000001</v>
      </c>
      <c r="H26" s="54">
        <f t="shared" ca="1" si="10"/>
        <v>100358.855</v>
      </c>
      <c r="I26" s="49"/>
      <c r="K26" s="14"/>
      <c r="L26" s="15"/>
    </row>
    <row r="27" spans="2:17">
      <c r="B27" s="56">
        <f t="shared" ca="1" si="0"/>
        <v>12</v>
      </c>
      <c r="C27" s="47" t="s">
        <v>98</v>
      </c>
      <c r="D27" s="48">
        <f t="shared" ref="D27:D28" ca="1" si="13">F27</f>
        <v>1383128.4983999999</v>
      </c>
      <c r="E27" s="53">
        <f t="shared" ca="1" si="7"/>
        <v>0</v>
      </c>
      <c r="F27" s="54">
        <f t="shared" ca="1" si="8"/>
        <v>1383128.4983999999</v>
      </c>
      <c r="G27" s="59">
        <f t="shared" ca="1" si="9"/>
        <v>69156.424920000005</v>
      </c>
      <c r="H27" s="54">
        <f t="shared" ca="1" si="10"/>
        <v>1313972.0734799998</v>
      </c>
      <c r="I27" s="49" t="s">
        <v>141</v>
      </c>
      <c r="K27" s="14"/>
      <c r="L27" s="15"/>
    </row>
    <row r="28" spans="2:17">
      <c r="B28" s="56">
        <f t="shared" ca="1" si="0"/>
        <v>6</v>
      </c>
      <c r="C28" s="47" t="s">
        <v>101</v>
      </c>
      <c r="D28" s="48">
        <f t="shared" ca="1" si="13"/>
        <v>72979.92</v>
      </c>
      <c r="E28" s="53">
        <f t="shared" ca="1" si="7"/>
        <v>0</v>
      </c>
      <c r="F28" s="54">
        <f t="shared" ca="1" si="8"/>
        <v>72979.92</v>
      </c>
      <c r="G28" s="59">
        <f t="shared" ca="1" si="9"/>
        <v>3648.9960000000005</v>
      </c>
      <c r="H28" s="54">
        <f t="shared" ca="1" si="10"/>
        <v>69330.924000000014</v>
      </c>
      <c r="I28" s="49" t="s">
        <v>339</v>
      </c>
      <c r="K28" s="14"/>
      <c r="L28" s="15"/>
    </row>
    <row r="29" spans="2:17">
      <c r="B29" s="56">
        <f t="shared" ca="1" si="0"/>
        <v>39</v>
      </c>
      <c r="C29" s="47" t="s">
        <v>99</v>
      </c>
      <c r="D29" s="48">
        <f t="shared" ca="1" si="6"/>
        <v>26505138</v>
      </c>
      <c r="E29" s="53">
        <f t="shared" ca="1" si="7"/>
        <v>10602055.200000001</v>
      </c>
      <c r="F29" s="54">
        <f t="shared" ca="1" si="8"/>
        <v>15903082.799999999</v>
      </c>
      <c r="G29" s="59">
        <f t="shared" ca="1" si="9"/>
        <v>795154.13999999978</v>
      </c>
      <c r="H29" s="54">
        <f t="shared" ca="1" si="10"/>
        <v>15107928.660000002</v>
      </c>
      <c r="I29" s="49"/>
      <c r="K29" s="14"/>
      <c r="L29" s="15"/>
    </row>
    <row r="30" spans="2:17">
      <c r="B30" s="56">
        <f t="shared" ca="1" si="0"/>
        <v>28</v>
      </c>
      <c r="C30" s="47" t="s">
        <v>147</v>
      </c>
      <c r="D30" s="48">
        <f t="shared" ca="1" si="6"/>
        <v>18259360</v>
      </c>
      <c r="E30" s="53">
        <f t="shared" ca="1" si="7"/>
        <v>7303744</v>
      </c>
      <c r="F30" s="54">
        <f t="shared" ca="1" si="8"/>
        <v>10955616</v>
      </c>
      <c r="G30" s="59">
        <f t="shared" ca="1" si="9"/>
        <v>547780.79999999993</v>
      </c>
      <c r="H30" s="54">
        <f t="shared" ca="1" si="10"/>
        <v>10407835.200000001</v>
      </c>
      <c r="I30" s="49"/>
      <c r="K30" s="24"/>
      <c r="L30" s="15"/>
    </row>
    <row r="31" spans="2:17">
      <c r="B31" s="56">
        <f t="shared" ca="1" si="0"/>
        <v>30</v>
      </c>
      <c r="C31" s="47" t="s">
        <v>182</v>
      </c>
      <c r="D31" s="48">
        <f t="shared" ca="1" si="6"/>
        <v>4620560</v>
      </c>
      <c r="E31" s="53">
        <f t="shared" ca="1" si="7"/>
        <v>1386167.8580000037</v>
      </c>
      <c r="F31" s="54">
        <f t="shared" ca="1" si="8"/>
        <v>3234392.1419999963</v>
      </c>
      <c r="G31" s="59">
        <f t="shared" ca="1" si="9"/>
        <v>161719.60709999985</v>
      </c>
      <c r="H31" s="54">
        <f t="shared" ca="1" si="10"/>
        <v>3072672.5348999961</v>
      </c>
      <c r="I31" s="49"/>
      <c r="J31" s="20"/>
      <c r="K31" s="14"/>
      <c r="L31" s="15"/>
    </row>
    <row r="32" spans="2:17">
      <c r="B32" s="56">
        <f t="shared" ca="1" si="0"/>
        <v>36</v>
      </c>
      <c r="C32" s="47" t="s">
        <v>158</v>
      </c>
      <c r="D32" s="48">
        <f t="shared" ca="1" si="6"/>
        <v>1679510</v>
      </c>
      <c r="E32" s="53">
        <f t="shared" ca="1" si="7"/>
        <v>0</v>
      </c>
      <c r="F32" s="54">
        <f t="shared" ca="1" si="8"/>
        <v>1679510</v>
      </c>
      <c r="G32" s="59">
        <f t="shared" ca="1" si="9"/>
        <v>83975.5</v>
      </c>
      <c r="H32" s="54">
        <f t="shared" ca="1" si="10"/>
        <v>1595534.5</v>
      </c>
      <c r="I32" s="49"/>
      <c r="J32" s="20"/>
      <c r="K32" s="14"/>
      <c r="L32" s="15"/>
    </row>
    <row r="33" spans="2:12">
      <c r="B33" s="56">
        <f t="shared" ca="1" si="0"/>
        <v>10</v>
      </c>
      <c r="C33" s="47" t="s">
        <v>193</v>
      </c>
      <c r="D33" s="48">
        <f t="shared" ref="D33:D35" ca="1" si="14">F33</f>
        <v>1355558.0315624999</v>
      </c>
      <c r="E33" s="53">
        <f t="shared" ca="1" si="7"/>
        <v>0</v>
      </c>
      <c r="F33" s="54">
        <f t="shared" ca="1" si="8"/>
        <v>1355558.0315624999</v>
      </c>
      <c r="G33" s="59">
        <f t="shared" ca="1" si="9"/>
        <v>67777.901578124991</v>
      </c>
      <c r="H33" s="54">
        <f t="shared" ca="1" si="10"/>
        <v>1287780.1299843751</v>
      </c>
      <c r="I33" s="49" t="s">
        <v>376</v>
      </c>
      <c r="J33" s="20"/>
      <c r="K33" s="14"/>
      <c r="L33" s="15"/>
    </row>
    <row r="34" spans="2:12">
      <c r="B34" s="56">
        <f t="shared" ca="1" si="0"/>
        <v>12</v>
      </c>
      <c r="C34" s="47" t="s">
        <v>201</v>
      </c>
      <c r="D34" s="48">
        <f t="shared" ca="1" si="14"/>
        <v>0</v>
      </c>
      <c r="E34" s="53">
        <f t="shared" ca="1" si="7"/>
        <v>0</v>
      </c>
      <c r="F34" s="54">
        <f t="shared" ca="1" si="8"/>
        <v>0</v>
      </c>
      <c r="G34" s="59">
        <f t="shared" ca="1" si="9"/>
        <v>0</v>
      </c>
      <c r="H34" s="54">
        <f t="shared" ca="1" si="10"/>
        <v>0</v>
      </c>
      <c r="I34" s="49" t="s">
        <v>442</v>
      </c>
      <c r="J34" s="20"/>
      <c r="K34" s="14"/>
      <c r="L34" s="15"/>
    </row>
    <row r="35" spans="2:12">
      <c r="B35" s="56">
        <f t="shared" ca="1" si="0"/>
        <v>6</v>
      </c>
      <c r="C35" s="47" t="s">
        <v>270</v>
      </c>
      <c r="D35" s="48">
        <f t="shared" ca="1" si="14"/>
        <v>1273714.754</v>
      </c>
      <c r="E35" s="53">
        <f t="shared" ca="1" si="7"/>
        <v>0</v>
      </c>
      <c r="F35" s="54">
        <f t="shared" ca="1" si="8"/>
        <v>1273714.754</v>
      </c>
      <c r="G35" s="59">
        <f t="shared" ca="1" si="9"/>
        <v>63685.737700000005</v>
      </c>
      <c r="H35" s="54">
        <f t="shared" ca="1" si="10"/>
        <v>1210029.0163000003</v>
      </c>
      <c r="I35" s="49" t="s">
        <v>329</v>
      </c>
      <c r="J35" s="20"/>
      <c r="K35" s="14"/>
      <c r="L35" s="15"/>
    </row>
    <row r="36" spans="2:12">
      <c r="B36" s="56">
        <f t="shared" ca="1" si="0"/>
        <v>21</v>
      </c>
      <c r="C36" s="47" t="s">
        <v>204</v>
      </c>
      <c r="D36" s="48">
        <f ca="1">INDIRECT(C36 &amp; "!E" &amp; B36+3)</f>
        <v>4609874.03483871</v>
      </c>
      <c r="E36" s="53">
        <f t="shared" ca="1" si="7"/>
        <v>0</v>
      </c>
      <c r="F36" s="54">
        <f t="shared" ca="1" si="8"/>
        <v>4609874.03483871</v>
      </c>
      <c r="G36" s="59">
        <f t="shared" ca="1" si="9"/>
        <v>230493.70174193551</v>
      </c>
      <c r="H36" s="54">
        <f t="shared" ca="1" si="10"/>
        <v>4379380.3330967743</v>
      </c>
      <c r="I36" s="49"/>
      <c r="J36" s="20"/>
      <c r="K36" s="14"/>
      <c r="L36" s="15"/>
    </row>
    <row r="37" spans="2:12">
      <c r="B37" s="56">
        <f t="shared" ca="1" si="0"/>
        <v>18</v>
      </c>
      <c r="C37" s="47" t="s">
        <v>209</v>
      </c>
      <c r="D37" s="48">
        <f t="shared" ref="D37:D42" ca="1" si="15">INDIRECT(C37 &amp; "!E" &amp; B37+3)</f>
        <v>1661941.0999999999</v>
      </c>
      <c r="E37" s="53">
        <f t="shared" ca="1" si="7"/>
        <v>0</v>
      </c>
      <c r="F37" s="54">
        <f t="shared" ca="1" si="8"/>
        <v>1661941.0999999999</v>
      </c>
      <c r="G37" s="59">
        <f t="shared" ca="1" si="9"/>
        <v>83097.055000000008</v>
      </c>
      <c r="H37" s="54">
        <f t="shared" ca="1" si="10"/>
        <v>1578844.0450000002</v>
      </c>
      <c r="I37" s="49"/>
      <c r="J37" s="20"/>
      <c r="K37" s="14"/>
      <c r="L37" s="15"/>
    </row>
    <row r="38" spans="2:12">
      <c r="B38" s="56">
        <f t="shared" ca="1" si="0"/>
        <v>20</v>
      </c>
      <c r="C38" s="47" t="s">
        <v>230</v>
      </c>
      <c r="D38" s="48">
        <f t="shared" ca="1" si="15"/>
        <v>290400</v>
      </c>
      <c r="E38" s="53">
        <f t="shared" ca="1" si="7"/>
        <v>87120</v>
      </c>
      <c r="F38" s="54">
        <f t="shared" ca="1" si="8"/>
        <v>203280</v>
      </c>
      <c r="G38" s="59">
        <f t="shared" ca="1" si="9"/>
        <v>10164</v>
      </c>
      <c r="H38" s="54">
        <f t="shared" ca="1" si="10"/>
        <v>193116</v>
      </c>
      <c r="I38" s="49"/>
      <c r="J38" s="20"/>
      <c r="K38" s="14"/>
      <c r="L38" s="15"/>
    </row>
    <row r="39" spans="2:12">
      <c r="B39" s="56">
        <f t="shared" ca="1" si="0"/>
        <v>32</v>
      </c>
      <c r="C39" s="47" t="s">
        <v>248</v>
      </c>
      <c r="D39" s="48">
        <f t="shared" ca="1" si="15"/>
        <v>1867410</v>
      </c>
      <c r="E39" s="53">
        <f t="shared" ca="1" si="7"/>
        <v>746964</v>
      </c>
      <c r="F39" s="54">
        <f t="shared" ca="1" si="8"/>
        <v>1120446</v>
      </c>
      <c r="G39" s="59">
        <f t="shared" ca="1" si="9"/>
        <v>56022.299999999996</v>
      </c>
      <c r="H39" s="54">
        <f t="shared" ca="1" si="10"/>
        <v>1064423.7000000002</v>
      </c>
      <c r="I39" s="49"/>
      <c r="J39" s="20"/>
      <c r="K39" s="14"/>
      <c r="L39" s="15"/>
    </row>
    <row r="40" spans="2:12">
      <c r="B40" s="56">
        <f t="shared" ca="1" si="0"/>
        <v>26</v>
      </c>
      <c r="C40" s="47" t="s">
        <v>249</v>
      </c>
      <c r="D40" s="48">
        <f t="shared" ca="1" si="15"/>
        <v>876060</v>
      </c>
      <c r="E40" s="53">
        <f t="shared" ca="1" si="7"/>
        <v>350424</v>
      </c>
      <c r="F40" s="54">
        <f t="shared" ca="1" si="8"/>
        <v>525636</v>
      </c>
      <c r="G40" s="59">
        <f t="shared" ca="1" si="9"/>
        <v>26281.8</v>
      </c>
      <c r="H40" s="54">
        <f t="shared" ca="1" si="10"/>
        <v>499354.19999999995</v>
      </c>
      <c r="I40" s="49"/>
      <c r="J40" s="20"/>
      <c r="K40" s="14"/>
      <c r="L40" s="15"/>
    </row>
    <row r="41" spans="2:12">
      <c r="B41" s="56">
        <f t="shared" ca="1" si="0"/>
        <v>21</v>
      </c>
      <c r="C41" s="47" t="s">
        <v>291</v>
      </c>
      <c r="D41" s="48">
        <f t="shared" ca="1" si="15"/>
        <v>1019600</v>
      </c>
      <c r="E41" s="53">
        <f t="shared" ca="1" si="7"/>
        <v>305880</v>
      </c>
      <c r="F41" s="54">
        <f t="shared" ca="1" si="8"/>
        <v>713720</v>
      </c>
      <c r="G41" s="59">
        <f t="shared" ca="1" si="9"/>
        <v>35686</v>
      </c>
      <c r="H41" s="54">
        <f t="shared" ca="1" si="10"/>
        <v>678034</v>
      </c>
      <c r="I41" s="49"/>
      <c r="J41" s="20"/>
      <c r="K41" s="14"/>
      <c r="L41" s="15"/>
    </row>
    <row r="42" spans="2:12">
      <c r="B42" s="56">
        <f t="shared" ca="1" si="0"/>
        <v>11</v>
      </c>
      <c r="C42" s="47" t="s">
        <v>306</v>
      </c>
      <c r="D42" s="48">
        <f t="shared" ca="1" si="15"/>
        <v>3019700</v>
      </c>
      <c r="E42" s="53">
        <f t="shared" ca="1" si="7"/>
        <v>1117289</v>
      </c>
      <c r="F42" s="54">
        <f t="shared" ca="1" si="8"/>
        <v>1902411</v>
      </c>
      <c r="G42" s="59">
        <f t="shared" ca="1" si="9"/>
        <v>95120.549999999988</v>
      </c>
      <c r="H42" s="54">
        <f t="shared" ca="1" si="10"/>
        <v>1807290.4500000002</v>
      </c>
      <c r="I42" s="49"/>
      <c r="J42" s="20"/>
      <c r="K42" s="14"/>
      <c r="L42" s="15"/>
    </row>
    <row r="43" spans="2:12">
      <c r="B43" s="56">
        <f t="shared" ref="B43:B47" ca="1" si="16">COUNTA(INDIRECT(C43&amp;"!B:B"))</f>
        <v>11</v>
      </c>
      <c r="C43" s="47" t="s">
        <v>374</v>
      </c>
      <c r="D43" s="48">
        <f ca="1">INDIRECT(C43 &amp; "!E" &amp; B43+3)</f>
        <v>443000</v>
      </c>
      <c r="E43" s="53">
        <f t="shared" ref="E43:E47" ca="1" si="17">INDIRECT(C43 &amp; "!F" &amp; B43+3)</f>
        <v>163910</v>
      </c>
      <c r="F43" s="54">
        <f t="shared" ref="F43:F47" ca="1" si="18">INDIRECT(C43 &amp; "!G" &amp; B43+3)</f>
        <v>279090</v>
      </c>
      <c r="G43" s="59">
        <f t="shared" ref="G43:G47" ca="1" si="19">INDIRECT(C43 &amp; "!H" &amp; B43+3)</f>
        <v>13954.499999999998</v>
      </c>
      <c r="H43" s="54">
        <f t="shared" ref="H43:H47" ca="1" si="20">INDIRECT(C43 &amp; "!I" &amp; B43+3)</f>
        <v>265135.5</v>
      </c>
      <c r="I43" s="49"/>
      <c r="J43" s="20"/>
      <c r="K43" s="14"/>
      <c r="L43" s="15"/>
    </row>
    <row r="44" spans="2:12">
      <c r="B44" s="56">
        <f t="shared" ca="1" si="16"/>
        <v>5</v>
      </c>
      <c r="C44" s="47" t="s">
        <v>403</v>
      </c>
      <c r="D44" s="48">
        <f ca="1">INDIRECT(C44 &amp; "!E" &amp; B44+3)</f>
        <v>169.86</v>
      </c>
      <c r="E44" s="53">
        <f t="shared" ca="1" si="17"/>
        <v>0</v>
      </c>
      <c r="F44" s="54">
        <f t="shared" ca="1" si="18"/>
        <v>201725.736</v>
      </c>
      <c r="G44" s="59">
        <f t="shared" ca="1" si="19"/>
        <v>10086.286800000002</v>
      </c>
      <c r="H44" s="54">
        <f t="shared" ca="1" si="20"/>
        <v>191639.4492</v>
      </c>
      <c r="I44" s="49"/>
      <c r="J44" s="20"/>
      <c r="K44" s="14"/>
      <c r="L44" s="15"/>
    </row>
    <row r="45" spans="2:12">
      <c r="B45" s="56">
        <f t="shared" ref="B45:B46" ca="1" si="21">COUNTA(INDIRECT(C45&amp;"!B:B"))</f>
        <v>7</v>
      </c>
      <c r="C45" s="120" t="s">
        <v>408</v>
      </c>
      <c r="D45" s="48">
        <f ca="1">INDIRECT(C45 &amp; "!E" &amp; B45+3)</f>
        <v>410.98399999999958</v>
      </c>
      <c r="E45" s="53">
        <f t="shared" ref="E45:E46" ca="1" si="22">INDIRECT(C45 &amp; "!F" &amp; B45+3)</f>
        <v>0</v>
      </c>
      <c r="F45" s="54">
        <f t="shared" ref="F45:F46" ca="1" si="23">INDIRECT(C45 &amp; "!G" &amp; B45+3)</f>
        <v>489810.73119999946</v>
      </c>
      <c r="G45" s="59">
        <f t="shared" ref="G45:G46" ca="1" si="24">INDIRECT(C45 &amp; "!H" &amp; B45+3)</f>
        <v>24490.536559999979</v>
      </c>
      <c r="H45" s="54">
        <f t="shared" ref="H45:H46" ca="1" si="25">INDIRECT(C45 &amp; "!I" &amp; B45+3)</f>
        <v>465320.19463999954</v>
      </c>
      <c r="I45" s="49"/>
      <c r="J45" s="20"/>
      <c r="K45" s="14"/>
      <c r="L45" s="15"/>
    </row>
    <row r="46" spans="2:12">
      <c r="B46" s="56">
        <f t="shared" ca="1" si="21"/>
        <v>6</v>
      </c>
      <c r="C46" s="120" t="s">
        <v>438</v>
      </c>
      <c r="D46" s="48">
        <f ca="1">INDIRECT(C46 &amp; "!E" &amp; B46+3)</f>
        <v>114100</v>
      </c>
      <c r="E46" s="53">
        <f t="shared" ca="1" si="22"/>
        <v>0</v>
      </c>
      <c r="F46" s="54">
        <f t="shared" ca="1" si="23"/>
        <v>79870</v>
      </c>
      <c r="G46" s="59">
        <f t="shared" ca="1" si="24"/>
        <v>3993.5</v>
      </c>
      <c r="H46" s="54">
        <f t="shared" ca="1" si="25"/>
        <v>75876.5</v>
      </c>
      <c r="I46" s="49"/>
      <c r="J46" s="20"/>
      <c r="K46" s="14"/>
      <c r="L46" s="15"/>
    </row>
    <row r="47" spans="2:12" ht="17.25" thickBot="1">
      <c r="B47" s="56">
        <f t="shared" ca="1" si="16"/>
        <v>6</v>
      </c>
      <c r="C47" s="120" t="s">
        <v>440</v>
      </c>
      <c r="D47" s="48">
        <f ca="1">INDIRECT(C47 &amp; "!E" &amp; B47+3)</f>
        <v>583100</v>
      </c>
      <c r="E47" s="53">
        <f t="shared" ca="1" si="17"/>
        <v>0</v>
      </c>
      <c r="F47" s="54">
        <f t="shared" ca="1" si="18"/>
        <v>408170</v>
      </c>
      <c r="G47" s="59">
        <f t="shared" ca="1" si="19"/>
        <v>20408.5</v>
      </c>
      <c r="H47" s="54">
        <f t="shared" ca="1" si="20"/>
        <v>387761.5</v>
      </c>
      <c r="I47" s="49"/>
      <c r="J47" s="20"/>
      <c r="K47" s="14"/>
      <c r="L47" s="15"/>
    </row>
    <row r="48" spans="2:12" ht="17.25" thickBot="1">
      <c r="B48" s="56">
        <f ca="1">COUNTA(INDIRECT(C42&amp;"!B:B"))</f>
        <v>11</v>
      </c>
      <c r="C48" s="122" t="s">
        <v>247</v>
      </c>
      <c r="D48" s="121">
        <f ca="1">SUM(D7:D47)</f>
        <v>348394582.2115013</v>
      </c>
      <c r="E48" s="18">
        <f ca="1">SUM(E7:E47)</f>
        <v>75733260.627200007</v>
      </c>
      <c r="F48" s="18">
        <f ca="1">SUM(F7:F47)</f>
        <v>273143117.20750123</v>
      </c>
      <c r="G48" s="18">
        <f ca="1">SUM(G7:G47)</f>
        <v>13657155.860375067</v>
      </c>
      <c r="H48" s="18">
        <f ca="1">SUM(H7:H47)</f>
        <v>259485961.3471261</v>
      </c>
      <c r="I48" s="18">
        <f t="shared" ref="I48" si="26">SUM(I7:I42)</f>
        <v>0</v>
      </c>
      <c r="J48" s="20"/>
      <c r="K48" s="14"/>
      <c r="L48" s="15"/>
    </row>
    <row r="49" spans="2:14" ht="17.25" thickBot="1">
      <c r="B49" s="58"/>
      <c r="F49" s="74"/>
      <c r="G49" s="76" t="s">
        <v>445</v>
      </c>
      <c r="J49" s="20"/>
      <c r="K49" s="14" t="s">
        <v>444</v>
      </c>
      <c r="L49" s="15">
        <f>SUM(L20:L48)</f>
        <v>13657155.860375067</v>
      </c>
    </row>
    <row r="50" spans="2:14" ht="17.25" thickBot="1">
      <c r="G50" s="34" t="s">
        <v>284</v>
      </c>
      <c r="H50" s="75" t="s">
        <v>283</v>
      </c>
      <c r="J50" s="20"/>
      <c r="K50" s="10" t="s">
        <v>8</v>
      </c>
      <c r="L50" s="17">
        <f>L6+L7-L19-L49</f>
        <v>258787400.13109979</v>
      </c>
    </row>
    <row r="51" spans="2:14">
      <c r="J51" s="20"/>
    </row>
    <row r="52" spans="2:14">
      <c r="E52" s="40"/>
      <c r="F52" s="40"/>
      <c r="G52" s="41"/>
      <c r="H52" s="41"/>
    </row>
    <row r="53" spans="2:14">
      <c r="E53" s="42"/>
      <c r="F53" s="42"/>
      <c r="G53" s="42"/>
      <c r="H53" s="42"/>
    </row>
    <row r="54" spans="2:14">
      <c r="J54"/>
    </row>
    <row r="55" spans="2:14">
      <c r="J55"/>
      <c r="N55" s="34"/>
    </row>
    <row r="56" spans="2:14">
      <c r="J56"/>
    </row>
  </sheetData>
  <mergeCells count="1">
    <mergeCell ref="K10:L10"/>
  </mergeCells>
  <phoneticPr fontId="11" type="noConversion"/>
  <pageMargins left="0.7" right="0.7" top="0.75" bottom="0.75" header="0.3" footer="0.3"/>
  <pageSetup paperSize="9" scale="63" fitToWidth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J43"/>
  <sheetViews>
    <sheetView topLeftCell="A15" zoomScale="80" zoomScaleNormal="80" workbookViewId="0">
      <selection activeCell="G41" sqref="G41:G42"/>
    </sheetView>
  </sheetViews>
  <sheetFormatPr defaultColWidth="9" defaultRowHeight="20.25" customHeight="1"/>
  <cols>
    <col min="1" max="1" width="9" style="34"/>
    <col min="2" max="2" width="15.625" style="34" customWidth="1"/>
    <col min="3" max="3" width="11.375" style="34" customWidth="1"/>
    <col min="4" max="4" width="35.25" style="34" bestFit="1" customWidth="1"/>
    <col min="5" max="5" width="20.625" style="34" customWidth="1"/>
    <col min="6" max="7" width="17.625" style="34" customWidth="1"/>
    <col min="8" max="9" width="16.25" style="34" customWidth="1"/>
    <col min="10" max="10" width="12" style="34" customWidth="1"/>
    <col min="11" max="16384" width="9" style="34"/>
  </cols>
  <sheetData>
    <row r="4" spans="2:10" ht="20.25" customHeight="1">
      <c r="B4" s="34" t="s">
        <v>42</v>
      </c>
    </row>
    <row r="5" spans="2:10" ht="20.25" customHeight="1">
      <c r="B5" s="84" t="s">
        <v>12</v>
      </c>
      <c r="C5" s="84" t="s">
        <v>16</v>
      </c>
      <c r="D5" s="84" t="s">
        <v>13</v>
      </c>
      <c r="E5" s="84" t="s">
        <v>14</v>
      </c>
      <c r="F5" s="84" t="s">
        <v>15</v>
      </c>
      <c r="G5" s="84" t="s">
        <v>188</v>
      </c>
      <c r="H5" s="84" t="s">
        <v>187</v>
      </c>
      <c r="I5" s="84" t="s">
        <v>9</v>
      </c>
      <c r="J5" s="84" t="s">
        <v>24</v>
      </c>
    </row>
    <row r="6" spans="2:10" ht="20.25" customHeight="1">
      <c r="B6" s="85" t="s">
        <v>103</v>
      </c>
      <c r="C6" s="86" t="str">
        <f t="shared" ref="C6:C42" si="0">VLOOKUP(B6,raw_a,2,0)</f>
        <v>1월분</v>
      </c>
      <c r="D6" s="85" t="s">
        <v>55</v>
      </c>
      <c r="E6" s="87">
        <f>SUMIFS(전체리스트!D:D,전체리스트!A:A,B6,전체리스트!C:C,D6)</f>
        <v>1178900</v>
      </c>
      <c r="F6" s="88">
        <f>E6-G6</f>
        <v>368860</v>
      </c>
      <c r="G6" s="89">
        <f>SUMIFS(전체리스트!E:E,전체리스트!A:A,B6,전체리스트!C:C,D6)</f>
        <v>810040</v>
      </c>
      <c r="H6" s="87">
        <f>G6*0.05</f>
        <v>40502</v>
      </c>
      <c r="I6" s="90">
        <f>G6-H6</f>
        <v>769538</v>
      </c>
      <c r="J6" s="85"/>
    </row>
    <row r="7" spans="2:10" ht="20.25" customHeight="1">
      <c r="B7" s="85" t="s">
        <v>103</v>
      </c>
      <c r="C7" s="86" t="str">
        <f t="shared" si="0"/>
        <v>1월분</v>
      </c>
      <c r="D7" s="85" t="s">
        <v>386</v>
      </c>
      <c r="E7" s="87">
        <f>SUMIFS(전체리스트!D:D,전체리스트!A:A,B7,전체리스트!C:C,D7)</f>
        <v>2183065</v>
      </c>
      <c r="F7" s="88">
        <f t="shared" ref="F7:F42" si="1">E7-G7</f>
        <v>666256</v>
      </c>
      <c r="G7" s="89">
        <f>SUMIFS(전체리스트!E:E,전체리스트!A:A,B7,전체리스트!C:C,D7)</f>
        <v>1516809</v>
      </c>
      <c r="H7" s="87">
        <f t="shared" ref="H7:H42" si="2">G7*0.05</f>
        <v>75840.45</v>
      </c>
      <c r="I7" s="90">
        <f t="shared" ref="I7:I42" si="3">G7-H7</f>
        <v>1440968.55</v>
      </c>
      <c r="J7" s="85"/>
    </row>
    <row r="8" spans="2:10" ht="20.25" customHeight="1">
      <c r="B8" s="85" t="s">
        <v>103</v>
      </c>
      <c r="C8" s="86" t="str">
        <f t="shared" si="0"/>
        <v>1월분</v>
      </c>
      <c r="D8" s="85" t="s">
        <v>321</v>
      </c>
      <c r="E8" s="87">
        <f>SUMIFS(전체리스트!D:D,전체리스트!A:A,B8,전체리스트!C:C,D8)</f>
        <v>498435</v>
      </c>
      <c r="F8" s="88">
        <f t="shared" si="1"/>
        <v>152049</v>
      </c>
      <c r="G8" s="89">
        <f>SUMIFS(전체리스트!E:E,전체리스트!A:A,B8,전체리스트!C:C,D8)</f>
        <v>346386</v>
      </c>
      <c r="H8" s="87">
        <f t="shared" si="2"/>
        <v>17319.3</v>
      </c>
      <c r="I8" s="90">
        <f t="shared" si="3"/>
        <v>329066.7</v>
      </c>
      <c r="J8" s="85"/>
    </row>
    <row r="9" spans="2:10" ht="20.25" customHeight="1">
      <c r="B9" s="85" t="s">
        <v>103</v>
      </c>
      <c r="C9" s="86" t="str">
        <f t="shared" si="0"/>
        <v>1월분</v>
      </c>
      <c r="D9" s="85" t="s">
        <v>312</v>
      </c>
      <c r="E9" s="87">
        <f>SUMIFS(전체리스트!D:D,전체리스트!A:A,B9,전체리스트!C:C,D9)</f>
        <v>723460</v>
      </c>
      <c r="F9" s="88">
        <f t="shared" si="1"/>
        <v>220614</v>
      </c>
      <c r="G9" s="89">
        <f>SUMIFS(전체리스트!E:E,전체리스트!A:A,B9,전체리스트!C:C,D9)</f>
        <v>502846</v>
      </c>
      <c r="H9" s="87">
        <f t="shared" si="2"/>
        <v>25142.300000000003</v>
      </c>
      <c r="I9" s="90">
        <f t="shared" si="3"/>
        <v>477703.7</v>
      </c>
      <c r="J9" s="85"/>
    </row>
    <row r="10" spans="2:10" ht="20.25" customHeight="1">
      <c r="B10" s="85" t="s">
        <v>103</v>
      </c>
      <c r="C10" s="86" t="str">
        <f t="shared" si="0"/>
        <v>1월분</v>
      </c>
      <c r="D10" s="85" t="s">
        <v>180</v>
      </c>
      <c r="E10" s="87">
        <f>SUMIFS(전체리스트!D:D,전체리스트!A:A,B10,전체리스트!C:C,D10)</f>
        <v>1503980</v>
      </c>
      <c r="F10" s="88">
        <f t="shared" si="1"/>
        <v>457012</v>
      </c>
      <c r="G10" s="89">
        <f>SUMIFS(전체리스트!E:E,전체리스트!A:A,B10,전체리스트!C:C,D10)</f>
        <v>1046968</v>
      </c>
      <c r="H10" s="87">
        <f t="shared" si="2"/>
        <v>52348.4</v>
      </c>
      <c r="I10" s="90">
        <f t="shared" si="3"/>
        <v>994619.6</v>
      </c>
      <c r="J10" s="85"/>
    </row>
    <row r="11" spans="2:10" ht="20.25" customHeight="1">
      <c r="B11" s="85" t="s">
        <v>103</v>
      </c>
      <c r="C11" s="86" t="str">
        <f t="shared" si="0"/>
        <v>1월분</v>
      </c>
      <c r="D11" s="85" t="s">
        <v>387</v>
      </c>
      <c r="E11" s="87">
        <f>SUMIFS(전체리스트!D:D,전체리스트!A:A,B11,전체리스트!C:C,D11)</f>
        <v>35898931.294200003</v>
      </c>
      <c r="F11" s="88">
        <f t="shared" si="1"/>
        <v>11066926.294200003</v>
      </c>
      <c r="G11" s="89">
        <f>SUMIFS(전체리스트!E:E,전체리스트!A:A,B11,전체리스트!C:C,D11)</f>
        <v>24832005</v>
      </c>
      <c r="H11" s="87">
        <f t="shared" si="2"/>
        <v>1241600.25</v>
      </c>
      <c r="I11" s="90">
        <f t="shared" si="3"/>
        <v>23590404.75</v>
      </c>
      <c r="J11" s="85"/>
    </row>
    <row r="12" spans="2:10" ht="20.25" customHeight="1">
      <c r="B12" s="85" t="s">
        <v>103</v>
      </c>
      <c r="C12" s="86" t="str">
        <f t="shared" si="0"/>
        <v>1월분</v>
      </c>
      <c r="D12" s="85" t="s">
        <v>346</v>
      </c>
      <c r="E12" s="87">
        <f>SUMIFS(전체리스트!D:D,전체리스트!A:A,B12,전체리스트!C:C,D12)</f>
        <v>771820</v>
      </c>
      <c r="F12" s="88">
        <f t="shared" si="1"/>
        <v>238108</v>
      </c>
      <c r="G12" s="89">
        <f>SUMIFS(전체리스트!E:E,전체리스트!A:A,B12,전체리스트!C:C,D12)</f>
        <v>533712</v>
      </c>
      <c r="H12" s="87">
        <f t="shared" si="2"/>
        <v>26685.600000000002</v>
      </c>
      <c r="I12" s="90">
        <f t="shared" si="3"/>
        <v>507026.4</v>
      </c>
      <c r="J12" s="85"/>
    </row>
    <row r="13" spans="2:10" ht="20.25" customHeight="1">
      <c r="B13" s="85" t="s">
        <v>25</v>
      </c>
      <c r="C13" s="86" t="str">
        <f t="shared" si="0"/>
        <v>1월분</v>
      </c>
      <c r="D13" s="85" t="s">
        <v>308</v>
      </c>
      <c r="E13" s="87">
        <f>SUMIFS(전체리스트!D:D,전체리스트!A:A,B13,전체리스트!C:C,D13)</f>
        <v>826960</v>
      </c>
      <c r="F13" s="88">
        <f t="shared" ref="F13:F14" si="4">E13-G13</f>
        <v>250704</v>
      </c>
      <c r="G13" s="89">
        <f>SUMIFS(전체리스트!E:E,전체리스트!A:A,B13,전체리스트!C:C,D13)</f>
        <v>576256</v>
      </c>
      <c r="H13" s="87">
        <f t="shared" si="2"/>
        <v>28812.800000000003</v>
      </c>
      <c r="I13" s="90">
        <f t="shared" ref="I13:I14" si="5">G13-H13</f>
        <v>547443.19999999995</v>
      </c>
      <c r="J13" s="85"/>
    </row>
    <row r="14" spans="2:10" ht="20.25" customHeight="1">
      <c r="B14" s="85" t="s">
        <v>103</v>
      </c>
      <c r="C14" s="86" t="str">
        <f t="shared" si="0"/>
        <v>1월분</v>
      </c>
      <c r="D14" s="85" t="s">
        <v>432</v>
      </c>
      <c r="E14" s="87">
        <f>SUMIFS(전체리스트!D:D,전체리스트!A:A,B14,전체리스트!C:C,D14)</f>
        <v>391890</v>
      </c>
      <c r="F14" s="88">
        <f t="shared" si="4"/>
        <v>121296</v>
      </c>
      <c r="G14" s="89">
        <f>SUMIFS(전체리스트!E:E,전체리스트!A:A,B14,전체리스트!C:C,D14)</f>
        <v>270594</v>
      </c>
      <c r="H14" s="87">
        <f t="shared" si="2"/>
        <v>13529.7</v>
      </c>
      <c r="I14" s="90">
        <f t="shared" si="5"/>
        <v>257064.3</v>
      </c>
      <c r="J14" s="85"/>
    </row>
    <row r="15" spans="2:10" ht="20.25" customHeight="1">
      <c r="B15" s="85" t="s">
        <v>103</v>
      </c>
      <c r="C15" s="86" t="str">
        <f t="shared" si="0"/>
        <v>1월분</v>
      </c>
      <c r="D15" s="85" t="s">
        <v>56</v>
      </c>
      <c r="E15" s="87">
        <f>SUMIFS(전체리스트!D:D,전체리스트!A:A,B15,전체리스트!C:C,D15)</f>
        <v>11000</v>
      </c>
      <c r="F15" s="88">
        <f t="shared" si="1"/>
        <v>3300</v>
      </c>
      <c r="G15" s="89">
        <f>SUMIFS(전체리스트!E:E,전체리스트!A:A,B15,전체리스트!C:C,D15)</f>
        <v>7700</v>
      </c>
      <c r="H15" s="87">
        <f t="shared" si="2"/>
        <v>385</v>
      </c>
      <c r="I15" s="90">
        <f t="shared" si="3"/>
        <v>7315</v>
      </c>
      <c r="J15" s="85"/>
    </row>
    <row r="16" spans="2:10" ht="20.25" customHeight="1">
      <c r="B16" s="85" t="s">
        <v>103</v>
      </c>
      <c r="C16" s="86" t="str">
        <f t="shared" si="0"/>
        <v>1월분</v>
      </c>
      <c r="D16" s="85" t="s">
        <v>75</v>
      </c>
      <c r="E16" s="87">
        <f>SUMIFS(전체리스트!D:D,전체리스트!A:A,B16,전체리스트!C:C,D16)</f>
        <v>219840</v>
      </c>
      <c r="F16" s="88">
        <f t="shared" si="1"/>
        <v>66546</v>
      </c>
      <c r="G16" s="89">
        <f>SUMIFS(전체리스트!E:E,전체리스트!A:A,B16,전체리스트!C:C,D16)</f>
        <v>153294</v>
      </c>
      <c r="H16" s="87">
        <f t="shared" si="2"/>
        <v>7664.7000000000007</v>
      </c>
      <c r="I16" s="90">
        <f t="shared" si="3"/>
        <v>145629.29999999999</v>
      </c>
      <c r="J16" s="85"/>
    </row>
    <row r="17" spans="2:10" ht="20.25" customHeight="1">
      <c r="B17" s="85" t="s">
        <v>103</v>
      </c>
      <c r="C17" s="86" t="str">
        <f t="shared" si="0"/>
        <v>1월분</v>
      </c>
      <c r="D17" s="85" t="s">
        <v>231</v>
      </c>
      <c r="E17" s="87">
        <f>SUMIFS(전체리스트!D:D,전체리스트!A:A,B17,전체리스트!C:C,D17)</f>
        <v>156100</v>
      </c>
      <c r="F17" s="88">
        <f t="shared" si="1"/>
        <v>48330</v>
      </c>
      <c r="G17" s="89">
        <f>SUMIFS(전체리스트!E:E,전체리스트!A:A,B17,전체리스트!C:C,D17)</f>
        <v>107770</v>
      </c>
      <c r="H17" s="87">
        <f t="shared" si="2"/>
        <v>5388.5</v>
      </c>
      <c r="I17" s="90">
        <f t="shared" si="3"/>
        <v>102381.5</v>
      </c>
      <c r="J17" s="85"/>
    </row>
    <row r="18" spans="2:10" ht="20.25" customHeight="1">
      <c r="B18" s="85" t="s">
        <v>25</v>
      </c>
      <c r="C18" s="86" t="str">
        <f t="shared" si="0"/>
        <v>1월분</v>
      </c>
      <c r="D18" s="85" t="s">
        <v>76</v>
      </c>
      <c r="E18" s="87">
        <f>SUMIFS(전체리스트!D:D,전체리스트!A:A,B18,전체리스트!C:C,D18)</f>
        <v>1374790</v>
      </c>
      <c r="F18" s="88">
        <f t="shared" si="1"/>
        <v>431416</v>
      </c>
      <c r="G18" s="89">
        <f>SUMIFS(전체리스트!E:E,전체리스트!A:A,B18,전체리스트!C:C,D18)</f>
        <v>943374</v>
      </c>
      <c r="H18" s="87">
        <f t="shared" si="2"/>
        <v>47168.700000000004</v>
      </c>
      <c r="I18" s="90">
        <f t="shared" si="3"/>
        <v>896205.3</v>
      </c>
      <c r="J18" s="85"/>
    </row>
    <row r="19" spans="2:10" ht="20.25" customHeight="1">
      <c r="B19" s="85" t="s">
        <v>25</v>
      </c>
      <c r="C19" s="86" t="str">
        <f t="shared" si="0"/>
        <v>1월분</v>
      </c>
      <c r="D19" s="85" t="s">
        <v>77</v>
      </c>
      <c r="E19" s="87">
        <f>SUMIFS(전체리스트!D:D,전체리스트!A:A,B19,전체리스트!C:C,D19)</f>
        <v>13596071</v>
      </c>
      <c r="F19" s="88">
        <f t="shared" si="1"/>
        <v>4168498</v>
      </c>
      <c r="G19" s="89">
        <f>SUMIFS(전체리스트!E:E,전체리스트!A:A,B19,전체리스트!C:C,D19)</f>
        <v>9427573</v>
      </c>
      <c r="H19" s="87">
        <f t="shared" si="2"/>
        <v>471378.65</v>
      </c>
      <c r="I19" s="90">
        <f t="shared" si="3"/>
        <v>8956194.3499999996</v>
      </c>
      <c r="J19" s="85"/>
    </row>
    <row r="20" spans="2:10" ht="20.25" customHeight="1">
      <c r="B20" s="85" t="s">
        <v>25</v>
      </c>
      <c r="C20" s="86" t="str">
        <f t="shared" si="0"/>
        <v>1월분</v>
      </c>
      <c r="D20" s="85" t="s">
        <v>87</v>
      </c>
      <c r="E20" s="87">
        <f>SUMIFS(전체리스트!D:D,전체리스트!A:A,B20,전체리스트!C:C,D20)</f>
        <v>12000</v>
      </c>
      <c r="F20" s="88">
        <f t="shared" ref="F20:F38" si="6">E20-G20</f>
        <v>3600</v>
      </c>
      <c r="G20" s="89">
        <f>SUMIFS(전체리스트!E:E,전체리스트!A:A,B20,전체리스트!C:C,D20)</f>
        <v>8400</v>
      </c>
      <c r="H20" s="87">
        <f t="shared" si="2"/>
        <v>420</v>
      </c>
      <c r="I20" s="90">
        <f t="shared" ref="I20:I38" si="7">G20-H20</f>
        <v>7980</v>
      </c>
      <c r="J20" s="85"/>
    </row>
    <row r="21" spans="2:10" ht="20.25" customHeight="1">
      <c r="B21" s="85" t="s">
        <v>25</v>
      </c>
      <c r="C21" s="86" t="str">
        <f t="shared" si="0"/>
        <v>1월분</v>
      </c>
      <c r="D21" s="85" t="s">
        <v>21</v>
      </c>
      <c r="E21" s="87">
        <f>SUMIFS(전체리스트!D:D,전체리스트!A:A,B21,전체리스트!C:C,D21)</f>
        <v>12800</v>
      </c>
      <c r="F21" s="88">
        <f t="shared" si="6"/>
        <v>3840</v>
      </c>
      <c r="G21" s="89">
        <f>SUMIFS(전체리스트!E:E,전체리스트!A:A,B21,전체리스트!C:C,D21)</f>
        <v>8960</v>
      </c>
      <c r="H21" s="87">
        <f t="shared" si="2"/>
        <v>448</v>
      </c>
      <c r="I21" s="90">
        <f t="shared" si="7"/>
        <v>8512</v>
      </c>
      <c r="J21" s="85"/>
    </row>
    <row r="22" spans="2:10" ht="20.25" customHeight="1">
      <c r="B22" s="85" t="s">
        <v>25</v>
      </c>
      <c r="C22" s="86" t="str">
        <f t="shared" ref="C22:C28" si="8">VLOOKUP(B22,raw_a,2,0)</f>
        <v>1월분</v>
      </c>
      <c r="D22" s="85" t="s">
        <v>327</v>
      </c>
      <c r="E22" s="87">
        <f>SUMIFS(전체리스트!D:D,전체리스트!A:A,B22,전체리스트!C:C,D22)</f>
        <v>20200</v>
      </c>
      <c r="F22" s="88">
        <f t="shared" ref="F22:F28" si="9">E22-G22</f>
        <v>6060</v>
      </c>
      <c r="G22" s="89">
        <f>SUMIFS(전체리스트!E:E,전체리스트!A:A,B22,전체리스트!C:C,D22)</f>
        <v>14140</v>
      </c>
      <c r="H22" s="87">
        <f t="shared" ref="H22:H28" si="10">G22*0.05</f>
        <v>707</v>
      </c>
      <c r="I22" s="90">
        <f t="shared" ref="I22:I28" si="11">G22-H22</f>
        <v>13433</v>
      </c>
      <c r="J22" s="85"/>
    </row>
    <row r="23" spans="2:10" ht="20.25" customHeight="1">
      <c r="B23" s="85" t="s">
        <v>25</v>
      </c>
      <c r="C23" s="86" t="str">
        <f t="shared" si="8"/>
        <v>1월분</v>
      </c>
      <c r="D23" s="85" t="s">
        <v>86</v>
      </c>
      <c r="E23" s="87">
        <f>SUMIFS(전체리스트!D:D,전체리스트!A:A,B23,전체리스트!C:C,D23)</f>
        <v>12400</v>
      </c>
      <c r="F23" s="88">
        <f t="shared" si="9"/>
        <v>3720</v>
      </c>
      <c r="G23" s="89">
        <f>SUMIFS(전체리스트!E:E,전체리스트!A:A,B23,전체리스트!C:C,D23)</f>
        <v>8680</v>
      </c>
      <c r="H23" s="87">
        <f t="shared" si="10"/>
        <v>434</v>
      </c>
      <c r="I23" s="90">
        <f t="shared" si="11"/>
        <v>8246</v>
      </c>
      <c r="J23" s="85"/>
    </row>
    <row r="24" spans="2:10" ht="20.25" customHeight="1">
      <c r="B24" s="85" t="s">
        <v>25</v>
      </c>
      <c r="C24" s="86" t="str">
        <f t="shared" si="8"/>
        <v>1월분</v>
      </c>
      <c r="D24" s="85" t="s">
        <v>68</v>
      </c>
      <c r="E24" s="87">
        <f>SUMIFS(전체리스트!D:D,전체리스트!A:A,B24,전체리스트!C:C,D24)</f>
        <v>2864781</v>
      </c>
      <c r="F24" s="88">
        <f t="shared" si="9"/>
        <v>869343</v>
      </c>
      <c r="G24" s="89">
        <f>SUMIFS(전체리스트!E:E,전체리스트!A:A,B24,전체리스트!C:C,D24)</f>
        <v>1995438</v>
      </c>
      <c r="H24" s="87">
        <f t="shared" si="10"/>
        <v>99771.900000000009</v>
      </c>
      <c r="I24" s="90">
        <f t="shared" si="11"/>
        <v>1895666.1</v>
      </c>
      <c r="J24" s="85"/>
    </row>
    <row r="25" spans="2:10" ht="20.25" customHeight="1">
      <c r="B25" s="85" t="s">
        <v>25</v>
      </c>
      <c r="C25" s="86" t="str">
        <f t="shared" si="8"/>
        <v>1월분</v>
      </c>
      <c r="D25" s="85" t="s">
        <v>78</v>
      </c>
      <c r="E25" s="87">
        <f>SUMIFS(전체리스트!D:D,전체리스트!A:A,B25,전체리스트!C:C,D25)</f>
        <v>66600</v>
      </c>
      <c r="F25" s="88">
        <f t="shared" si="9"/>
        <v>20310</v>
      </c>
      <c r="G25" s="89">
        <f>SUMIFS(전체리스트!E:E,전체리스트!A:A,B25,전체리스트!C:C,D25)</f>
        <v>46290</v>
      </c>
      <c r="H25" s="87">
        <f t="shared" si="10"/>
        <v>2314.5</v>
      </c>
      <c r="I25" s="90">
        <f t="shared" si="11"/>
        <v>43975.5</v>
      </c>
      <c r="J25" s="85"/>
    </row>
    <row r="26" spans="2:10" ht="20.25" customHeight="1">
      <c r="B26" s="85" t="s">
        <v>25</v>
      </c>
      <c r="C26" s="86" t="str">
        <f t="shared" si="8"/>
        <v>1월분</v>
      </c>
      <c r="D26" s="85" t="s">
        <v>229</v>
      </c>
      <c r="E26" s="87">
        <f>SUMIFS(전체리스트!D:D,전체리스트!A:A,B26,전체리스트!C:C,D26)</f>
        <v>1030725</v>
      </c>
      <c r="F26" s="88">
        <f t="shared" si="9"/>
        <v>319255</v>
      </c>
      <c r="G26" s="89">
        <f>SUMIFS(전체리스트!E:E,전체리스트!A:A,B26,전체리스트!C:C,D26)</f>
        <v>711470</v>
      </c>
      <c r="H26" s="87">
        <f t="shared" si="10"/>
        <v>35573.5</v>
      </c>
      <c r="I26" s="90">
        <f t="shared" si="11"/>
        <v>675896.5</v>
      </c>
      <c r="J26" s="85"/>
    </row>
    <row r="27" spans="2:10" ht="20.25" customHeight="1">
      <c r="B27" s="85" t="s">
        <v>25</v>
      </c>
      <c r="C27" s="86" t="str">
        <f t="shared" si="8"/>
        <v>1월분</v>
      </c>
      <c r="D27" s="85" t="s">
        <v>433</v>
      </c>
      <c r="E27" s="87">
        <f>SUMIFS(전체리스트!D:D,전체리스트!A:A,B27,전체리스트!C:C,D27)</f>
        <v>829760</v>
      </c>
      <c r="F27" s="88">
        <f t="shared" si="9"/>
        <v>259589</v>
      </c>
      <c r="G27" s="89">
        <f>SUMIFS(전체리스트!E:E,전체리스트!A:A,B27,전체리스트!C:C,D27)</f>
        <v>570171</v>
      </c>
      <c r="H27" s="87">
        <f t="shared" si="10"/>
        <v>28508.550000000003</v>
      </c>
      <c r="I27" s="90">
        <f t="shared" si="11"/>
        <v>541662.44999999995</v>
      </c>
      <c r="J27" s="85"/>
    </row>
    <row r="28" spans="2:10" ht="20.25" customHeight="1">
      <c r="B28" s="85" t="s">
        <v>25</v>
      </c>
      <c r="C28" s="86" t="str">
        <f t="shared" si="8"/>
        <v>1월분</v>
      </c>
      <c r="D28" s="85" t="s">
        <v>267</v>
      </c>
      <c r="E28" s="87">
        <f>SUMIFS(전체리스트!D:D,전체리스트!A:A,B28,전체리스트!C:C,D28)</f>
        <v>139250</v>
      </c>
      <c r="F28" s="88">
        <f t="shared" si="9"/>
        <v>41830</v>
      </c>
      <c r="G28" s="89">
        <f>SUMIFS(전체리스트!E:E,전체리스트!A:A,B28,전체리스트!C:C,D28)</f>
        <v>97420</v>
      </c>
      <c r="H28" s="87">
        <f t="shared" si="10"/>
        <v>4871</v>
      </c>
      <c r="I28" s="90">
        <f t="shared" si="11"/>
        <v>92549</v>
      </c>
      <c r="J28" s="85"/>
    </row>
    <row r="29" spans="2:10" ht="20.25" customHeight="1">
      <c r="B29" s="85" t="s">
        <v>25</v>
      </c>
      <c r="C29" s="86" t="str">
        <f t="shared" si="0"/>
        <v>1월분</v>
      </c>
      <c r="D29" s="85" t="s">
        <v>57</v>
      </c>
      <c r="E29" s="87">
        <f>SUMIFS(전체리스트!D:D,전체리스트!A:A,B29,전체리스트!C:C,D29)</f>
        <v>700</v>
      </c>
      <c r="F29" s="88">
        <f t="shared" si="6"/>
        <v>210</v>
      </c>
      <c r="G29" s="89">
        <f>SUMIFS(전체리스트!E:E,전체리스트!A:A,B29,전체리스트!C:C,D29)</f>
        <v>490</v>
      </c>
      <c r="H29" s="87">
        <f t="shared" si="2"/>
        <v>24.5</v>
      </c>
      <c r="I29" s="90">
        <f t="shared" si="7"/>
        <v>465.5</v>
      </c>
      <c r="J29" s="85"/>
    </row>
    <row r="30" spans="2:10" ht="20.25" customHeight="1">
      <c r="B30" s="85" t="s">
        <v>25</v>
      </c>
      <c r="C30" s="86" t="str">
        <f t="shared" si="0"/>
        <v>1월분</v>
      </c>
      <c r="D30" s="85" t="s">
        <v>328</v>
      </c>
      <c r="E30" s="87">
        <f>SUMIFS(전체리스트!D:D,전체리스트!A:A,B30,전체리스트!C:C,D30)</f>
        <v>42300</v>
      </c>
      <c r="F30" s="88">
        <f t="shared" si="6"/>
        <v>12690</v>
      </c>
      <c r="G30" s="89">
        <f>SUMIFS(전체리스트!E:E,전체리스트!A:A,B30,전체리스트!C:C,D30)</f>
        <v>29610</v>
      </c>
      <c r="H30" s="87">
        <f t="shared" si="2"/>
        <v>1480.5</v>
      </c>
      <c r="I30" s="90">
        <f t="shared" si="7"/>
        <v>28129.5</v>
      </c>
      <c r="J30" s="85"/>
    </row>
    <row r="31" spans="2:10" ht="20.25" customHeight="1">
      <c r="B31" s="85" t="s">
        <v>25</v>
      </c>
      <c r="C31" s="86" t="str">
        <f t="shared" si="0"/>
        <v>1월분</v>
      </c>
      <c r="D31" s="85" t="s">
        <v>58</v>
      </c>
      <c r="E31" s="87">
        <f>SUMIFS(전체리스트!D:D,전체리스트!A:A,B31,전체리스트!C:C,D31)</f>
        <v>73800</v>
      </c>
      <c r="F31" s="88">
        <f t="shared" si="6"/>
        <v>22140</v>
      </c>
      <c r="G31" s="89">
        <f>SUMIFS(전체리스트!E:E,전체리스트!A:A,B31,전체리스트!C:C,D31)</f>
        <v>51660</v>
      </c>
      <c r="H31" s="87">
        <f t="shared" si="2"/>
        <v>2583</v>
      </c>
      <c r="I31" s="90">
        <f t="shared" si="7"/>
        <v>49077</v>
      </c>
      <c r="J31" s="85"/>
    </row>
    <row r="32" spans="2:10" ht="20.25" customHeight="1">
      <c r="B32" s="85" t="s">
        <v>25</v>
      </c>
      <c r="C32" s="86" t="str">
        <f t="shared" ref="C32:C38" si="12">VLOOKUP(B32,raw_a,2,0)</f>
        <v>1월분</v>
      </c>
      <c r="D32" s="85" t="s">
        <v>59</v>
      </c>
      <c r="E32" s="87">
        <f>SUMIFS(전체리스트!D:D,전체리스트!A:A,B32,전체리스트!C:C,D32)</f>
        <v>1198349</v>
      </c>
      <c r="F32" s="88">
        <f t="shared" si="6"/>
        <v>365309</v>
      </c>
      <c r="G32" s="89">
        <f>SUMIFS(전체리스트!E:E,전체리스트!A:A,B32,전체리스트!C:C,D32)</f>
        <v>833040</v>
      </c>
      <c r="H32" s="87">
        <f t="shared" si="2"/>
        <v>41652</v>
      </c>
      <c r="I32" s="90">
        <f t="shared" si="7"/>
        <v>791388</v>
      </c>
      <c r="J32" s="85"/>
    </row>
    <row r="33" spans="2:10" ht="20.25" customHeight="1">
      <c r="B33" s="85" t="s">
        <v>25</v>
      </c>
      <c r="C33" s="86" t="str">
        <f t="shared" si="12"/>
        <v>1월분</v>
      </c>
      <c r="D33" s="85" t="s">
        <v>173</v>
      </c>
      <c r="E33" s="87">
        <f>SUMIFS(전체리스트!D:D,전체리스트!A:A,B33,전체리스트!C:C,D33)</f>
        <v>340020</v>
      </c>
      <c r="F33" s="88">
        <f t="shared" si="6"/>
        <v>104058</v>
      </c>
      <c r="G33" s="89">
        <f>SUMIFS(전체리스트!E:E,전체리스트!A:A,B33,전체리스트!C:C,D33)</f>
        <v>235962</v>
      </c>
      <c r="H33" s="87">
        <f t="shared" si="2"/>
        <v>11798.1</v>
      </c>
      <c r="I33" s="90">
        <f t="shared" si="7"/>
        <v>224163.9</v>
      </c>
      <c r="J33" s="85"/>
    </row>
    <row r="34" spans="2:10" ht="20.25" customHeight="1">
      <c r="B34" s="85" t="s">
        <v>25</v>
      </c>
      <c r="C34" s="86" t="str">
        <f t="shared" si="12"/>
        <v>1월분</v>
      </c>
      <c r="D34" s="85" t="s">
        <v>347</v>
      </c>
      <c r="E34" s="87">
        <f>SUMIFS(전체리스트!D:D,전체리스트!A:A,B34,전체리스트!C:C,D34)</f>
        <v>725670</v>
      </c>
      <c r="F34" s="88">
        <f t="shared" si="6"/>
        <v>222418</v>
      </c>
      <c r="G34" s="89">
        <f>SUMIFS(전체리스트!E:E,전체리스트!A:A,B34,전체리스트!C:C,D34)</f>
        <v>503252</v>
      </c>
      <c r="H34" s="87">
        <f t="shared" si="2"/>
        <v>25162.600000000002</v>
      </c>
      <c r="I34" s="90">
        <f t="shared" si="7"/>
        <v>478089.4</v>
      </c>
      <c r="J34" s="85"/>
    </row>
    <row r="35" spans="2:10" ht="20.25" customHeight="1">
      <c r="B35" s="85" t="s">
        <v>25</v>
      </c>
      <c r="C35" s="86" t="str">
        <f t="shared" si="12"/>
        <v>1월분</v>
      </c>
      <c r="D35" s="85" t="s">
        <v>79</v>
      </c>
      <c r="E35" s="87">
        <f>SUMIFS(전체리스트!D:D,전체리스트!A:A,B35,전체리스트!C:C,D35)</f>
        <v>62940</v>
      </c>
      <c r="F35" s="88">
        <f t="shared" si="6"/>
        <v>19476</v>
      </c>
      <c r="G35" s="89">
        <f>SUMIFS(전체리스트!E:E,전체리스트!A:A,B35,전체리스트!C:C,D35)</f>
        <v>43464</v>
      </c>
      <c r="H35" s="87">
        <f t="shared" si="2"/>
        <v>2173.2000000000003</v>
      </c>
      <c r="I35" s="90">
        <f t="shared" si="7"/>
        <v>41290.800000000003</v>
      </c>
      <c r="J35" s="85"/>
    </row>
    <row r="36" spans="2:10" ht="20.25" customHeight="1">
      <c r="B36" s="85" t="s">
        <v>25</v>
      </c>
      <c r="C36" s="86" t="str">
        <f t="shared" si="12"/>
        <v>1월분</v>
      </c>
      <c r="D36" s="85" t="s">
        <v>235</v>
      </c>
      <c r="E36" s="87">
        <f>SUMIFS(전체리스트!D:D,전체리스트!A:A,B36,전체리스트!C:C,D36)</f>
        <v>3168290</v>
      </c>
      <c r="F36" s="88">
        <f t="shared" si="6"/>
        <v>962896</v>
      </c>
      <c r="G36" s="89">
        <f>SUMIFS(전체리스트!E:E,전체리스트!A:A,B36,전체리스트!C:C,D36)</f>
        <v>2205394</v>
      </c>
      <c r="H36" s="87">
        <f t="shared" si="2"/>
        <v>110269.70000000001</v>
      </c>
      <c r="I36" s="90">
        <f t="shared" si="7"/>
        <v>2095124.3</v>
      </c>
      <c r="J36" s="85"/>
    </row>
    <row r="37" spans="2:10" ht="20.25" customHeight="1">
      <c r="B37" s="85" t="s">
        <v>25</v>
      </c>
      <c r="C37" s="86" t="str">
        <f t="shared" si="12"/>
        <v>1월분</v>
      </c>
      <c r="D37" s="85" t="s">
        <v>294</v>
      </c>
      <c r="E37" s="87">
        <f>SUMIFS(전체리스트!D:D,전체리스트!A:A,B37,전체리스트!C:C,D37)</f>
        <v>2529935</v>
      </c>
      <c r="F37" s="88">
        <f t="shared" si="6"/>
        <v>1011974</v>
      </c>
      <c r="G37" s="89">
        <f>SUMIFS(전체리스트!E:E,전체리스트!A:A,B37,전체리스트!C:C,D37)</f>
        <v>1517961</v>
      </c>
      <c r="H37" s="87">
        <f t="shared" si="2"/>
        <v>75898.05</v>
      </c>
      <c r="I37" s="90">
        <f t="shared" si="7"/>
        <v>1442062.95</v>
      </c>
      <c r="J37" s="85"/>
    </row>
    <row r="38" spans="2:10" ht="20.25" customHeight="1">
      <c r="B38" s="85" t="s">
        <v>25</v>
      </c>
      <c r="C38" s="86" t="str">
        <f t="shared" si="12"/>
        <v>1월분</v>
      </c>
      <c r="D38" s="85" t="s">
        <v>67</v>
      </c>
      <c r="E38" s="87">
        <f>SUMIFS(전체리스트!D:D,전체리스트!A:A,B38,전체리스트!C:C,D38)</f>
        <v>4434807</v>
      </c>
      <c r="F38" s="88">
        <f t="shared" si="6"/>
        <v>1995662</v>
      </c>
      <c r="G38" s="89">
        <f>SUMIFS(전체리스트!E:E,전체리스트!A:A,B38,전체리스트!C:C,D38)</f>
        <v>2439145</v>
      </c>
      <c r="H38" s="87">
        <f t="shared" si="2"/>
        <v>121957.25</v>
      </c>
      <c r="I38" s="90">
        <f t="shared" si="7"/>
        <v>2317187.75</v>
      </c>
      <c r="J38" s="85"/>
    </row>
    <row r="39" spans="2:10" ht="20.25" customHeight="1">
      <c r="B39" s="85" t="s">
        <v>25</v>
      </c>
      <c r="C39" s="86" t="str">
        <f t="shared" si="0"/>
        <v>1월분</v>
      </c>
      <c r="D39" s="85" t="s">
        <v>314</v>
      </c>
      <c r="E39" s="87">
        <f>SUMIFS(전체리스트!D:D,전체리스트!A:A,B39,전체리스트!C:C,D39)</f>
        <v>1289367</v>
      </c>
      <c r="F39" s="88">
        <f t="shared" ref="F39" si="13">E39-G39</f>
        <v>515747</v>
      </c>
      <c r="G39" s="89">
        <f>SUMIFS(전체리스트!E:E,전체리스트!A:A,B39,전체리스트!C:C,D39)</f>
        <v>773620</v>
      </c>
      <c r="H39" s="87">
        <f t="shared" si="2"/>
        <v>38681</v>
      </c>
      <c r="I39" s="90">
        <f t="shared" ref="I39" si="14">G39-H39</f>
        <v>734939</v>
      </c>
      <c r="J39" s="85"/>
    </row>
    <row r="40" spans="2:10" ht="20.25" customHeight="1">
      <c r="B40" s="85" t="s">
        <v>25</v>
      </c>
      <c r="C40" s="86" t="str">
        <f t="shared" ref="C40" si="15">VLOOKUP(B40,raw_a,2,0)</f>
        <v>1월분</v>
      </c>
      <c r="D40" s="85" t="s">
        <v>41</v>
      </c>
      <c r="E40" s="87">
        <f>SUMIFS(전체리스트!D:D,전체리스트!A:A,B40,전체리스트!C:C,D40)</f>
        <v>4075110</v>
      </c>
      <c r="F40" s="88">
        <f t="shared" ref="F40" si="16">E40-G40</f>
        <v>1833797</v>
      </c>
      <c r="G40" s="89">
        <f>SUMIFS(전체리스트!E:E,전체리스트!A:A,B40,전체리스트!C:C,D40)</f>
        <v>2241313</v>
      </c>
      <c r="H40" s="87">
        <f>G40*0.05</f>
        <v>112065.65000000001</v>
      </c>
      <c r="I40" s="90">
        <f t="shared" ref="I40" si="17">G40-H40</f>
        <v>2129247.35</v>
      </c>
      <c r="J40" s="85"/>
    </row>
    <row r="41" spans="2:10" ht="20.25" customHeight="1">
      <c r="B41" s="26" t="s">
        <v>357</v>
      </c>
      <c r="C41" s="86" t="str">
        <f t="shared" si="0"/>
        <v>12월분</v>
      </c>
      <c r="D41" s="85" t="s">
        <v>353</v>
      </c>
      <c r="E41" s="87">
        <f>SUMIFS(전체리스트!D:D,전체리스트!A:A,B41,전체리스트!C:C,D41)</f>
        <v>1413834</v>
      </c>
      <c r="F41" s="88">
        <f t="shared" si="1"/>
        <v>340689</v>
      </c>
      <c r="G41" s="89">
        <f>SUMIFS(전체리스트!E:E,전체리스트!A:A,B41,전체리스트!C:C,D41)</f>
        <v>1073145</v>
      </c>
      <c r="H41" s="87">
        <f t="shared" si="2"/>
        <v>53657.25</v>
      </c>
      <c r="I41" s="90">
        <f t="shared" si="3"/>
        <v>1019487.75</v>
      </c>
      <c r="J41" s="85"/>
    </row>
    <row r="42" spans="2:10" ht="20.25" customHeight="1">
      <c r="B42" s="26" t="s">
        <v>357</v>
      </c>
      <c r="C42" s="86" t="str">
        <f t="shared" si="0"/>
        <v>12월분</v>
      </c>
      <c r="D42" s="85" t="s">
        <v>314</v>
      </c>
      <c r="E42" s="87">
        <f>SUMIFS(전체리스트!D:D,전체리스트!A:A,B42,전체리스트!C:C,D42)</f>
        <v>3037066</v>
      </c>
      <c r="F42" s="88">
        <f t="shared" si="1"/>
        <v>586958</v>
      </c>
      <c r="G42" s="89">
        <f>SUMIFS(전체리스트!E:E,전체리스트!A:A,B42,전체리스트!C:C,D42)</f>
        <v>2450108</v>
      </c>
      <c r="H42" s="87">
        <f t="shared" si="2"/>
        <v>122505.40000000001</v>
      </c>
      <c r="I42" s="90">
        <f t="shared" si="3"/>
        <v>2327602.6</v>
      </c>
      <c r="J42" s="85"/>
    </row>
    <row r="43" spans="2:10" ht="20.25" customHeight="1">
      <c r="B43" s="91" t="s">
        <v>0</v>
      </c>
      <c r="C43" s="91"/>
      <c r="D43" s="92"/>
      <c r="E43" s="93">
        <f t="shared" ref="E43:J43" si="18">SUM(E6:E42)</f>
        <v>86715946.294200003</v>
      </c>
      <c r="F43" s="93">
        <f t="shared" si="18"/>
        <v>27781486.294200003</v>
      </c>
      <c r="G43" s="93">
        <f t="shared" si="18"/>
        <v>58934460</v>
      </c>
      <c r="H43" s="93">
        <f t="shared" si="18"/>
        <v>2946723</v>
      </c>
      <c r="I43" s="93">
        <f t="shared" si="18"/>
        <v>55987737</v>
      </c>
      <c r="J43" s="93">
        <f t="shared" si="18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DED1-05C8-49ED-90AB-2135CD25EF80}">
  <dimension ref="B4:J8"/>
  <sheetViews>
    <sheetView zoomScale="80" zoomScaleNormal="80" workbookViewId="0">
      <selection activeCell="E32" sqref="E32"/>
    </sheetView>
  </sheetViews>
  <sheetFormatPr defaultColWidth="9" defaultRowHeight="20.25" customHeight="1"/>
  <cols>
    <col min="1" max="1" width="9" style="34"/>
    <col min="2" max="2" width="15.625" style="34" customWidth="1"/>
    <col min="3" max="3" width="11.375" style="34" customWidth="1"/>
    <col min="4" max="4" width="35.25" style="34" bestFit="1" customWidth="1"/>
    <col min="5" max="5" width="20.625" style="34" customWidth="1"/>
    <col min="6" max="7" width="17.625" style="34" customWidth="1"/>
    <col min="8" max="9" width="16.25" style="34" customWidth="1"/>
    <col min="10" max="10" width="12" style="34" customWidth="1"/>
    <col min="11" max="16384" width="9" style="34"/>
  </cols>
  <sheetData>
    <row r="4" spans="2:10" ht="20.25" customHeight="1">
      <c r="B4" s="34" t="s">
        <v>42</v>
      </c>
    </row>
    <row r="5" spans="2:10" ht="20.25" customHeight="1">
      <c r="B5" s="84" t="s">
        <v>12</v>
      </c>
      <c r="C5" s="84" t="s">
        <v>16</v>
      </c>
      <c r="D5" s="84" t="s">
        <v>13</v>
      </c>
      <c r="E5" s="84" t="s">
        <v>14</v>
      </c>
      <c r="F5" s="84" t="s">
        <v>15</v>
      </c>
      <c r="G5" s="84" t="s">
        <v>188</v>
      </c>
      <c r="H5" s="84" t="s">
        <v>187</v>
      </c>
      <c r="I5" s="84" t="s">
        <v>9</v>
      </c>
      <c r="J5" s="84" t="s">
        <v>24</v>
      </c>
    </row>
    <row r="6" spans="2:10" ht="20.25" customHeight="1">
      <c r="B6" s="85" t="s">
        <v>416</v>
      </c>
      <c r="C6" s="86" t="str">
        <f t="shared" ref="C6:C7" si="0">VLOOKUP(B6,raw_a,2,0)</f>
        <v>10-12월분</v>
      </c>
      <c r="D6" s="85" t="s">
        <v>30</v>
      </c>
      <c r="E6" s="87">
        <f>SUMIFS(전체리스트!D:D,전체리스트!A:A,B6,전체리스트!C:C,D6)</f>
        <v>3927560</v>
      </c>
      <c r="F6" s="88">
        <f>E6-G6</f>
        <v>0</v>
      </c>
      <c r="G6" s="89">
        <f>SUMIFS(전체리스트!E:E,전체리스트!A:A,B6,전체리스트!C:C,D6)</f>
        <v>3927560</v>
      </c>
      <c r="H6" s="87">
        <f>G6*0.05</f>
        <v>196378</v>
      </c>
      <c r="I6" s="90">
        <f>G6-H6</f>
        <v>3731182</v>
      </c>
      <c r="J6" s="85"/>
    </row>
    <row r="7" spans="2:10" ht="20.25" customHeight="1">
      <c r="B7" s="85" t="s">
        <v>416</v>
      </c>
      <c r="C7" s="86" t="str">
        <f t="shared" si="0"/>
        <v>10-12월분</v>
      </c>
      <c r="D7" s="85" t="s">
        <v>379</v>
      </c>
      <c r="E7" s="87">
        <f>SUMIFS(전체리스트!D:D,전체리스트!A:A,B7,전체리스트!C:C,D7)</f>
        <v>5173654</v>
      </c>
      <c r="F7" s="88">
        <f t="shared" ref="F7" si="1">E7-G7</f>
        <v>0</v>
      </c>
      <c r="G7" s="89">
        <f>SUMIFS(전체리스트!E:E,전체리스트!A:A,B7,전체리스트!C:C,D7)</f>
        <v>5173654</v>
      </c>
      <c r="H7" s="87">
        <f t="shared" ref="H7" si="2">G7*0.05</f>
        <v>258682.7</v>
      </c>
      <c r="I7" s="90">
        <f t="shared" ref="I7" si="3">G7-H7</f>
        <v>4914971.3</v>
      </c>
      <c r="J7" s="85"/>
    </row>
    <row r="8" spans="2:10" ht="20.25" customHeight="1">
      <c r="B8" s="91" t="s">
        <v>0</v>
      </c>
      <c r="C8" s="91"/>
      <c r="D8" s="92"/>
      <c r="E8" s="93">
        <f t="shared" ref="E8:J8" si="4">SUM(E6:E7)</f>
        <v>9101214</v>
      </c>
      <c r="F8" s="93">
        <f t="shared" si="4"/>
        <v>0</v>
      </c>
      <c r="G8" s="93">
        <f t="shared" si="4"/>
        <v>9101214</v>
      </c>
      <c r="H8" s="93">
        <f t="shared" si="4"/>
        <v>455060.7</v>
      </c>
      <c r="I8" s="93">
        <f t="shared" si="4"/>
        <v>8646153.3000000007</v>
      </c>
      <c r="J8" s="93">
        <f t="shared" si="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4:J55"/>
  <sheetViews>
    <sheetView topLeftCell="A33" workbookViewId="0">
      <selection activeCell="L28" sqref="L28"/>
    </sheetView>
  </sheetViews>
  <sheetFormatPr defaultRowHeight="16.5"/>
  <cols>
    <col min="2" max="2" width="19.375" bestFit="1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130</v>
      </c>
      <c r="C6" s="61" t="str">
        <f t="shared" ref="C6:C52" si="0">VLOOKUP(B6,raw_a,2,0)</f>
        <v>1월분</v>
      </c>
      <c r="D6" s="125" t="s">
        <v>179</v>
      </c>
      <c r="E6" s="27">
        <f>SUMIFS(전체리스트!D:D,전체리스트!A:A,B6,전체리스트!C:C,D6)</f>
        <v>5285884.3</v>
      </c>
      <c r="F6" s="28">
        <f>E6-G6</f>
        <v>1585765.29</v>
      </c>
      <c r="G6" s="29">
        <f>SUMIFS(전체리스트!E:E,전체리스트!A:A,B6,전체리스트!C:C,D6)</f>
        <v>3700119.01</v>
      </c>
      <c r="H6" s="27">
        <f>G6*0.05</f>
        <v>185005.95050000001</v>
      </c>
      <c r="I6" s="30">
        <f>G6-H6</f>
        <v>3515113.0595</v>
      </c>
      <c r="J6" s="26"/>
    </row>
    <row r="7" spans="2:10">
      <c r="B7" s="26" t="s">
        <v>130</v>
      </c>
      <c r="C7" s="61" t="str">
        <f t="shared" si="0"/>
        <v>1월분</v>
      </c>
      <c r="D7" s="125" t="s">
        <v>387</v>
      </c>
      <c r="E7" s="27">
        <f>SUMIFS(전체리스트!D:D,전체리스트!A:A,B7,전체리스트!C:C,D7)</f>
        <v>3034097.4</v>
      </c>
      <c r="F7" s="28">
        <f t="shared" ref="F7:F11" si="1">E7-G7</f>
        <v>910229.2200000002</v>
      </c>
      <c r="G7" s="29">
        <f>SUMIFS(전체리스트!E:E,전체리스트!A:A,B7,전체리스트!C:C,D7)</f>
        <v>2123868.1799999997</v>
      </c>
      <c r="H7" s="27">
        <f>G7*0.05</f>
        <v>106193.40899999999</v>
      </c>
      <c r="I7" s="30">
        <f t="shared" ref="I7:I11" si="2">G7-H7</f>
        <v>2017674.7709999997</v>
      </c>
      <c r="J7" s="26"/>
    </row>
    <row r="8" spans="2:10">
      <c r="B8" s="26" t="s">
        <v>130</v>
      </c>
      <c r="C8" s="61" t="str">
        <f t="shared" si="0"/>
        <v>1월분</v>
      </c>
      <c r="D8" s="125" t="s">
        <v>59</v>
      </c>
      <c r="E8" s="27">
        <f>SUMIFS(전체리스트!D:D,전체리스트!A:A,B8,전체리스트!C:C,D8)</f>
        <v>2243126.9</v>
      </c>
      <c r="F8" s="28">
        <f t="shared" si="1"/>
        <v>672938.07000000007</v>
      </c>
      <c r="G8" s="29">
        <f>SUMIFS(전체리스트!E:E,전체리스트!A:A,B8,전체리스트!C:C,D8)</f>
        <v>1570188.8299999998</v>
      </c>
      <c r="H8" s="27">
        <f t="shared" ref="H8:H53" si="3">G8*0.05</f>
        <v>78509.441500000001</v>
      </c>
      <c r="I8" s="30">
        <f t="shared" si="2"/>
        <v>1491679.3884999999</v>
      </c>
      <c r="J8" s="26"/>
    </row>
    <row r="9" spans="2:10">
      <c r="B9" s="26" t="s">
        <v>130</v>
      </c>
      <c r="C9" s="61" t="str">
        <f t="shared" si="0"/>
        <v>1월분</v>
      </c>
      <c r="D9" s="125" t="s">
        <v>384</v>
      </c>
      <c r="E9" s="27">
        <f>SUMIFS(전체리스트!D:D,전체리스트!A:A,B9,전체리스트!C:C,D9)</f>
        <v>2219680</v>
      </c>
      <c r="F9" s="28">
        <f t="shared" si="1"/>
        <v>665904</v>
      </c>
      <c r="G9" s="29">
        <f>SUMIFS(전체리스트!E:E,전체리스트!A:A,B9,전체리스트!C:C,D9)</f>
        <v>1553776</v>
      </c>
      <c r="H9" s="27">
        <f t="shared" si="3"/>
        <v>77688.800000000003</v>
      </c>
      <c r="I9" s="30">
        <f t="shared" si="2"/>
        <v>1476087.2</v>
      </c>
      <c r="J9" s="26"/>
    </row>
    <row r="10" spans="2:10">
      <c r="B10" s="26" t="s">
        <v>130</v>
      </c>
      <c r="C10" s="61" t="str">
        <f t="shared" si="0"/>
        <v>1월분</v>
      </c>
      <c r="D10" s="125" t="s">
        <v>55</v>
      </c>
      <c r="E10" s="27">
        <f>SUMIFS(전체리스트!D:D,전체리스트!A:A,B10,전체리스트!C:C,D10)</f>
        <v>1807989.3</v>
      </c>
      <c r="F10" s="28">
        <f t="shared" si="1"/>
        <v>542396.79</v>
      </c>
      <c r="G10" s="29">
        <f>SUMIFS(전체리스트!E:E,전체리스트!A:A,B10,전체리스트!C:C,D10)</f>
        <v>1265592.51</v>
      </c>
      <c r="H10" s="27">
        <f t="shared" si="3"/>
        <v>63279.625500000002</v>
      </c>
      <c r="I10" s="30">
        <f t="shared" si="2"/>
        <v>1202312.8844999999</v>
      </c>
      <c r="J10" s="26"/>
    </row>
    <row r="11" spans="2:10">
      <c r="B11" s="26" t="s">
        <v>130</v>
      </c>
      <c r="C11" s="61" t="str">
        <f t="shared" si="0"/>
        <v>1월분</v>
      </c>
      <c r="D11" s="125" t="s">
        <v>180</v>
      </c>
      <c r="E11" s="27">
        <f>SUMIFS(전체리스트!D:D,전체리스트!A:A,B11,전체리스트!C:C,D11)</f>
        <v>1776986.2</v>
      </c>
      <c r="F11" s="28">
        <f t="shared" si="1"/>
        <v>533095.8600000001</v>
      </c>
      <c r="G11" s="29">
        <f>SUMIFS(전체리스트!E:E,전체리스트!A:A,B11,전체리스트!C:C,D11)</f>
        <v>1243890.3399999999</v>
      </c>
      <c r="H11" s="27">
        <f t="shared" si="3"/>
        <v>62194.516999999993</v>
      </c>
      <c r="I11" s="30">
        <f t="shared" si="2"/>
        <v>1181695.8229999999</v>
      </c>
      <c r="J11" s="26"/>
    </row>
    <row r="12" spans="2:10">
      <c r="B12" s="26" t="s">
        <v>102</v>
      </c>
      <c r="C12" s="61" t="str">
        <f t="shared" si="0"/>
        <v>1월분</v>
      </c>
      <c r="D12" s="125" t="s">
        <v>76</v>
      </c>
      <c r="E12" s="27">
        <f>SUMIFS(전체리스트!D:D,전체리스트!A:A,B12,전체리스트!C:C,D12)</f>
        <v>1601822.4</v>
      </c>
      <c r="F12" s="28">
        <f t="shared" ref="F12:F38" si="4">E12-G12</f>
        <v>480546.72</v>
      </c>
      <c r="G12" s="29">
        <f>SUMIFS(전체리스트!E:E,전체리스트!A:A,B12,전체리스트!C:C,D12)</f>
        <v>1121275.68</v>
      </c>
      <c r="H12" s="27">
        <f t="shared" si="3"/>
        <v>56063.784</v>
      </c>
      <c r="I12" s="30">
        <f t="shared" ref="I12:I38" si="5">G12-H12</f>
        <v>1065211.8959999999</v>
      </c>
      <c r="J12" s="26"/>
    </row>
    <row r="13" spans="2:10">
      <c r="B13" s="26" t="s">
        <v>102</v>
      </c>
      <c r="C13" s="61" t="str">
        <f t="shared" si="0"/>
        <v>1월분</v>
      </c>
      <c r="D13" s="125" t="s">
        <v>229</v>
      </c>
      <c r="E13" s="27">
        <f>SUMIFS(전체리스트!D:D,전체리스트!A:A,B13,전체리스트!C:C,D13)</f>
        <v>1377208</v>
      </c>
      <c r="F13" s="28">
        <f t="shared" si="4"/>
        <v>413162.4</v>
      </c>
      <c r="G13" s="29">
        <f>SUMIFS(전체리스트!E:E,전체리스트!A:A,B13,전체리스트!C:C,D13)</f>
        <v>964045.6</v>
      </c>
      <c r="H13" s="27">
        <f t="shared" si="3"/>
        <v>48202.28</v>
      </c>
      <c r="I13" s="30">
        <f t="shared" si="5"/>
        <v>915843.32</v>
      </c>
      <c r="J13" s="26"/>
    </row>
    <row r="14" spans="2:10">
      <c r="B14" s="26" t="s">
        <v>102</v>
      </c>
      <c r="C14" s="61" t="str">
        <f t="shared" si="0"/>
        <v>1월분</v>
      </c>
      <c r="D14" s="125" t="s">
        <v>429</v>
      </c>
      <c r="E14" s="27">
        <f>SUMIFS(전체리스트!D:D,전체리스트!A:A,B14,전체리스트!C:C,D14)</f>
        <v>1212326.6000000001</v>
      </c>
      <c r="F14" s="28">
        <f t="shared" si="4"/>
        <v>363697.9800000001</v>
      </c>
      <c r="G14" s="29">
        <f>SUMIFS(전체리스트!E:E,전체리스트!A:A,B14,전체리스트!C:C,D14)</f>
        <v>848628.62</v>
      </c>
      <c r="H14" s="27">
        <f t="shared" si="3"/>
        <v>42431.431000000004</v>
      </c>
      <c r="I14" s="30">
        <f t="shared" si="5"/>
        <v>806197.18900000001</v>
      </c>
      <c r="J14" s="26"/>
    </row>
    <row r="15" spans="2:10">
      <c r="B15" s="26" t="s">
        <v>102</v>
      </c>
      <c r="C15" s="61" t="str">
        <f t="shared" si="0"/>
        <v>1월분</v>
      </c>
      <c r="D15" s="125" t="s">
        <v>383</v>
      </c>
      <c r="E15" s="27">
        <f>SUMIFS(전체리스트!D:D,전체리스트!A:A,B15,전체리스트!C:C,D15)</f>
        <v>1104753.2</v>
      </c>
      <c r="F15" s="28">
        <f t="shared" si="4"/>
        <v>331425.96000000008</v>
      </c>
      <c r="G15" s="29">
        <f>SUMIFS(전체리스트!E:E,전체리스트!A:A,B15,전체리스트!C:C,D15)</f>
        <v>773327.23999999987</v>
      </c>
      <c r="H15" s="27">
        <f t="shared" si="3"/>
        <v>38666.361999999994</v>
      </c>
      <c r="I15" s="30">
        <f t="shared" si="5"/>
        <v>734660.87799999991</v>
      </c>
      <c r="J15" s="26"/>
    </row>
    <row r="16" spans="2:10">
      <c r="B16" s="26" t="s">
        <v>102</v>
      </c>
      <c r="C16" s="61" t="str">
        <f t="shared" si="0"/>
        <v>1월분</v>
      </c>
      <c r="D16" s="125" t="s">
        <v>308</v>
      </c>
      <c r="E16" s="27">
        <f>SUMIFS(전체리스트!D:D,전체리스트!A:A,B16,전체리스트!C:C,D16)</f>
        <v>979223</v>
      </c>
      <c r="F16" s="28">
        <f t="shared" si="4"/>
        <v>293766.90000000002</v>
      </c>
      <c r="G16" s="29">
        <f>SUMIFS(전체리스트!E:E,전체리스트!A:A,B16,전체리스트!C:C,D16)</f>
        <v>685456.1</v>
      </c>
      <c r="H16" s="27">
        <f t="shared" si="3"/>
        <v>34272.805</v>
      </c>
      <c r="I16" s="30">
        <f t="shared" si="5"/>
        <v>651183.29499999993</v>
      </c>
      <c r="J16" s="26"/>
    </row>
    <row r="17" spans="2:10">
      <c r="B17" s="26" t="s">
        <v>102</v>
      </c>
      <c r="C17" s="61" t="str">
        <f t="shared" si="0"/>
        <v>1월분</v>
      </c>
      <c r="D17" s="125" t="s">
        <v>173</v>
      </c>
      <c r="E17" s="27">
        <f>SUMIFS(전체리스트!D:D,전체리스트!A:A,B17,전체리스트!C:C,D17)</f>
        <v>876490.4</v>
      </c>
      <c r="F17" s="28">
        <f t="shared" si="4"/>
        <v>262947.12</v>
      </c>
      <c r="G17" s="29">
        <f>SUMIFS(전체리스트!E:E,전체리스트!A:A,B17,전체리스트!C:C,D17)</f>
        <v>613543.28</v>
      </c>
      <c r="H17" s="27">
        <f t="shared" si="3"/>
        <v>30677.164000000004</v>
      </c>
      <c r="I17" s="30">
        <f t="shared" si="5"/>
        <v>582866.11600000004</v>
      </c>
      <c r="J17" s="26"/>
    </row>
    <row r="18" spans="2:10">
      <c r="B18" s="26" t="s">
        <v>102</v>
      </c>
      <c r="C18" s="61" t="str">
        <f t="shared" si="0"/>
        <v>1월분</v>
      </c>
      <c r="D18" s="125" t="s">
        <v>312</v>
      </c>
      <c r="E18" s="27">
        <f>SUMIFS(전체리스트!D:D,전체리스트!A:A,B18,전체리스트!C:C,D18)</f>
        <v>817771.8</v>
      </c>
      <c r="F18" s="28">
        <f t="shared" si="4"/>
        <v>245331.54000000004</v>
      </c>
      <c r="G18" s="29">
        <f>SUMIFS(전체리스트!E:E,전체리스트!A:A,B18,전체리스트!C:C,D18)</f>
        <v>572440.26</v>
      </c>
      <c r="H18" s="27">
        <f t="shared" si="3"/>
        <v>28622.013000000003</v>
      </c>
      <c r="I18" s="30">
        <f t="shared" si="5"/>
        <v>543818.24699999997</v>
      </c>
      <c r="J18" s="26"/>
    </row>
    <row r="19" spans="2:10">
      <c r="B19" s="26" t="s">
        <v>102</v>
      </c>
      <c r="C19" s="61" t="str">
        <f t="shared" si="0"/>
        <v>1월분</v>
      </c>
      <c r="D19" s="125" t="s">
        <v>20</v>
      </c>
      <c r="E19" s="27">
        <f>SUMIFS(전체리스트!D:D,전체리스트!A:A,B19,전체리스트!C:C,D19)</f>
        <v>738160</v>
      </c>
      <c r="F19" s="28">
        <f t="shared" si="4"/>
        <v>221448.00000000006</v>
      </c>
      <c r="G19" s="29">
        <f>SUMIFS(전체리스트!E:E,전체리스트!A:A,B19,전체리스트!C:C,D19)</f>
        <v>516711.99999999994</v>
      </c>
      <c r="H19" s="27">
        <f t="shared" si="3"/>
        <v>25835.599999999999</v>
      </c>
      <c r="I19" s="30">
        <f t="shared" si="5"/>
        <v>490876.39999999997</v>
      </c>
      <c r="J19" s="26"/>
    </row>
    <row r="20" spans="2:10">
      <c r="B20" s="26" t="s">
        <v>130</v>
      </c>
      <c r="C20" s="61" t="str">
        <f t="shared" si="0"/>
        <v>1월분</v>
      </c>
      <c r="D20" s="125" t="s">
        <v>325</v>
      </c>
      <c r="E20" s="27">
        <f>SUMIFS(전체리스트!D:D,전체리스트!A:A,B20,전체리스트!C:C,D20)</f>
        <v>685595</v>
      </c>
      <c r="F20" s="28">
        <f t="shared" si="4"/>
        <v>205678.50000000006</v>
      </c>
      <c r="G20" s="29">
        <f>SUMIFS(전체리스트!E:E,전체리스트!A:A,B20,전체리스트!C:C,D20)</f>
        <v>479916.49999999994</v>
      </c>
      <c r="H20" s="27">
        <f t="shared" si="3"/>
        <v>23995.824999999997</v>
      </c>
      <c r="I20" s="30">
        <f t="shared" si="5"/>
        <v>455920.67499999993</v>
      </c>
      <c r="J20" s="26"/>
    </row>
    <row r="21" spans="2:10">
      <c r="B21" s="26" t="s">
        <v>102</v>
      </c>
      <c r="C21" s="61" t="str">
        <f t="shared" si="0"/>
        <v>1월분</v>
      </c>
      <c r="D21" s="125" t="s">
        <v>346</v>
      </c>
      <c r="E21" s="27">
        <f>SUMIFS(전체리스트!D:D,전체리스트!A:A,B21,전체리스트!C:C,D21)</f>
        <v>581887.80000000005</v>
      </c>
      <c r="F21" s="28">
        <f t="shared" si="4"/>
        <v>174566.34000000003</v>
      </c>
      <c r="G21" s="29">
        <f>SUMIFS(전체리스트!E:E,전체리스트!A:A,B21,전체리스트!C:C,D21)</f>
        <v>407321.46</v>
      </c>
      <c r="H21" s="27">
        <f t="shared" si="3"/>
        <v>20366.073000000004</v>
      </c>
      <c r="I21" s="30">
        <f t="shared" si="5"/>
        <v>386955.38699999999</v>
      </c>
      <c r="J21" s="26"/>
    </row>
    <row r="22" spans="2:10">
      <c r="B22" s="26" t="s">
        <v>102</v>
      </c>
      <c r="C22" s="61" t="str">
        <f t="shared" si="0"/>
        <v>1월분</v>
      </c>
      <c r="D22" s="125" t="s">
        <v>150</v>
      </c>
      <c r="E22" s="27">
        <f>SUMIFS(전체리스트!D:D,전체리스트!A:A,B22,전체리스트!C:C,D22)</f>
        <v>454968.4</v>
      </c>
      <c r="F22" s="28">
        <f t="shared" si="4"/>
        <v>136490.52000000002</v>
      </c>
      <c r="G22" s="29">
        <f>SUMIFS(전체리스트!E:E,전체리스트!A:A,B22,전체리스트!C:C,D22)</f>
        <v>318477.88</v>
      </c>
      <c r="H22" s="27">
        <f t="shared" si="3"/>
        <v>15923.894</v>
      </c>
      <c r="I22" s="30">
        <f t="shared" si="5"/>
        <v>302553.98600000003</v>
      </c>
      <c r="J22" s="26"/>
    </row>
    <row r="23" spans="2:10">
      <c r="B23" s="26" t="s">
        <v>102</v>
      </c>
      <c r="C23" s="61" t="str">
        <f t="shared" si="0"/>
        <v>1월분</v>
      </c>
      <c r="D23" s="125" t="s">
        <v>231</v>
      </c>
      <c r="E23" s="27">
        <f>SUMIFS(전체리스트!D:D,전체리스트!A:A,B23,전체리스트!C:C,D23)</f>
        <v>428197.4</v>
      </c>
      <c r="F23" s="28">
        <f t="shared" si="4"/>
        <v>128459.22000000003</v>
      </c>
      <c r="G23" s="29">
        <f>SUMIFS(전체리스트!E:E,전체리스트!A:A,B23,전체리스트!C:C,D23)</f>
        <v>299738.18</v>
      </c>
      <c r="H23" s="27">
        <f t="shared" si="3"/>
        <v>14986.909</v>
      </c>
      <c r="I23" s="30">
        <f t="shared" si="5"/>
        <v>284751.27100000001</v>
      </c>
      <c r="J23" s="26"/>
    </row>
    <row r="24" spans="2:10">
      <c r="B24" s="26" t="s">
        <v>102</v>
      </c>
      <c r="C24" s="61" t="str">
        <f t="shared" ref="C24:C37" si="6">VLOOKUP(B24,raw_a,2,0)</f>
        <v>1월분</v>
      </c>
      <c r="D24" s="125" t="s">
        <v>156</v>
      </c>
      <c r="E24" s="27">
        <f>SUMIFS(전체리스트!D:D,전체리스트!A:A,B24,전체리스트!C:C,D24)</f>
        <v>397008.5</v>
      </c>
      <c r="F24" s="28">
        <f t="shared" ref="F24:F37" si="7">E24-G24</f>
        <v>119102.55000000005</v>
      </c>
      <c r="G24" s="29">
        <f>SUMIFS(전체리스트!E:E,전체리스트!A:A,B24,전체리스트!C:C,D24)</f>
        <v>277905.94999999995</v>
      </c>
      <c r="H24" s="27">
        <f t="shared" si="3"/>
        <v>13895.297499999999</v>
      </c>
      <c r="I24" s="30">
        <f t="shared" ref="I24:I37" si="8">G24-H24</f>
        <v>264010.65249999997</v>
      </c>
      <c r="J24" s="26"/>
    </row>
    <row r="25" spans="2:10">
      <c r="B25" s="26" t="s">
        <v>102</v>
      </c>
      <c r="C25" s="61" t="str">
        <f t="shared" si="6"/>
        <v>1월분</v>
      </c>
      <c r="D25" s="125" t="s">
        <v>430</v>
      </c>
      <c r="E25" s="27">
        <f>SUMIFS(전체리스트!D:D,전체리스트!A:A,B25,전체리스트!C:C,D25)</f>
        <v>373368</v>
      </c>
      <c r="F25" s="28">
        <f t="shared" si="7"/>
        <v>112010.40000000002</v>
      </c>
      <c r="G25" s="29">
        <f>SUMIFS(전체리스트!E:E,전체리스트!A:A,B25,전체리스트!C:C,D25)</f>
        <v>261357.59999999998</v>
      </c>
      <c r="H25" s="27">
        <f t="shared" si="3"/>
        <v>13067.88</v>
      </c>
      <c r="I25" s="30">
        <f t="shared" si="8"/>
        <v>248289.71999999997</v>
      </c>
      <c r="J25" s="26"/>
    </row>
    <row r="26" spans="2:10">
      <c r="B26" s="26" t="s">
        <v>102</v>
      </c>
      <c r="C26" s="61" t="str">
        <f t="shared" si="6"/>
        <v>1월분</v>
      </c>
      <c r="D26" s="125" t="s">
        <v>431</v>
      </c>
      <c r="E26" s="27">
        <f>SUMIFS(전체리스트!D:D,전체리스트!A:A,B26,전체리스트!C:C,D26)</f>
        <v>361956</v>
      </c>
      <c r="F26" s="28">
        <f t="shared" si="7"/>
        <v>108586.80000000002</v>
      </c>
      <c r="G26" s="29">
        <f>SUMIFS(전체리스트!E:E,전체리스트!A:A,B26,전체리스트!C:C,D26)</f>
        <v>253369.19999999998</v>
      </c>
      <c r="H26" s="27">
        <f t="shared" si="3"/>
        <v>12668.46</v>
      </c>
      <c r="I26" s="30">
        <f t="shared" si="8"/>
        <v>240700.74</v>
      </c>
      <c r="J26" s="26"/>
    </row>
    <row r="27" spans="2:10">
      <c r="B27" s="26" t="s">
        <v>102</v>
      </c>
      <c r="C27" s="61" t="str">
        <f t="shared" si="6"/>
        <v>1월분</v>
      </c>
      <c r="D27" s="125" t="s">
        <v>164</v>
      </c>
      <c r="E27" s="27">
        <f>SUMIFS(전체리스트!D:D,전체리스트!A:A,B27,전체리스트!C:C,D27)</f>
        <v>312840</v>
      </c>
      <c r="F27" s="28">
        <f t="shared" si="7"/>
        <v>93852</v>
      </c>
      <c r="G27" s="29">
        <f>SUMIFS(전체리스트!E:E,전체리스트!A:A,B27,전체리스트!C:C,D27)</f>
        <v>218988</v>
      </c>
      <c r="H27" s="27">
        <f t="shared" si="3"/>
        <v>10949.400000000001</v>
      </c>
      <c r="I27" s="30">
        <f t="shared" si="8"/>
        <v>208038.6</v>
      </c>
      <c r="J27" s="26"/>
    </row>
    <row r="28" spans="2:10">
      <c r="B28" s="26" t="s">
        <v>102</v>
      </c>
      <c r="C28" s="61" t="str">
        <f t="shared" si="6"/>
        <v>1월분</v>
      </c>
      <c r="D28" s="125" t="s">
        <v>73</v>
      </c>
      <c r="E28" s="27">
        <f>SUMIFS(전체리스트!D:D,전체리스트!A:A,B28,전체리스트!C:C,D28)</f>
        <v>301808</v>
      </c>
      <c r="F28" s="28">
        <f t="shared" si="7"/>
        <v>90542.400000000023</v>
      </c>
      <c r="G28" s="29">
        <f>SUMIFS(전체리스트!E:E,전체리스트!A:A,B28,전체리스트!C:C,D28)</f>
        <v>211265.59999999998</v>
      </c>
      <c r="H28" s="27">
        <f t="shared" si="3"/>
        <v>10563.279999999999</v>
      </c>
      <c r="I28" s="30">
        <f t="shared" si="8"/>
        <v>200702.31999999998</v>
      </c>
      <c r="J28" s="26"/>
    </row>
    <row r="29" spans="2:10">
      <c r="B29" s="26" t="s">
        <v>102</v>
      </c>
      <c r="C29" s="61" t="str">
        <f t="shared" si="6"/>
        <v>1월분</v>
      </c>
      <c r="D29" s="125" t="s">
        <v>37</v>
      </c>
      <c r="E29" s="27">
        <f>SUMIFS(전체리스트!D:D,전체리스트!A:A,B29,전체리스트!C:C,D29)</f>
        <v>258144</v>
      </c>
      <c r="F29" s="28">
        <f t="shared" si="7"/>
        <v>77443.200000000012</v>
      </c>
      <c r="G29" s="29">
        <f>SUMIFS(전체리스트!E:E,전체리스트!A:A,B29,전체리스트!C:C,D29)</f>
        <v>180700.79999999999</v>
      </c>
      <c r="H29" s="27">
        <f t="shared" si="3"/>
        <v>9035.0399999999991</v>
      </c>
      <c r="I29" s="30">
        <f t="shared" si="8"/>
        <v>171665.75999999998</v>
      </c>
      <c r="J29" s="26"/>
    </row>
    <row r="30" spans="2:10">
      <c r="B30" s="26" t="s">
        <v>102</v>
      </c>
      <c r="C30" s="61" t="str">
        <f t="shared" ref="C30:C35" si="9">VLOOKUP(B30,raw_a,2,0)</f>
        <v>1월분</v>
      </c>
      <c r="D30" s="125" t="s">
        <v>385</v>
      </c>
      <c r="E30" s="27">
        <f>SUMIFS(전체리스트!D:D,전체리스트!A:A,B30,전체리스트!C:C,D30)</f>
        <v>209712</v>
      </c>
      <c r="F30" s="28">
        <f t="shared" ref="F30:F35" si="10">E30-G30</f>
        <v>62913.600000000006</v>
      </c>
      <c r="G30" s="29">
        <f>SUMIFS(전체리스트!E:E,전체리스트!A:A,B30,전체리스트!C:C,D30)</f>
        <v>146798.39999999999</v>
      </c>
      <c r="H30" s="27">
        <f t="shared" ref="H30:H35" si="11">G30*0.05</f>
        <v>7339.92</v>
      </c>
      <c r="I30" s="30">
        <f t="shared" ref="I30:I35" si="12">G30-H30</f>
        <v>139458.47999999998</v>
      </c>
      <c r="J30" s="26"/>
    </row>
    <row r="31" spans="2:10">
      <c r="B31" s="26" t="s">
        <v>102</v>
      </c>
      <c r="C31" s="61" t="str">
        <f t="shared" si="9"/>
        <v>1월분</v>
      </c>
      <c r="D31" s="125" t="s">
        <v>17</v>
      </c>
      <c r="E31" s="27">
        <f>SUMIFS(전체리스트!D:D,전체리스트!A:A,B31,전체리스트!C:C,D31)</f>
        <v>207900</v>
      </c>
      <c r="F31" s="28">
        <f t="shared" si="10"/>
        <v>62370</v>
      </c>
      <c r="G31" s="29">
        <f>SUMIFS(전체리스트!E:E,전체리스트!A:A,B31,전체리스트!C:C,D31)</f>
        <v>145530</v>
      </c>
      <c r="H31" s="27">
        <f t="shared" si="11"/>
        <v>7276.5</v>
      </c>
      <c r="I31" s="30">
        <f t="shared" si="12"/>
        <v>138253.5</v>
      </c>
      <c r="J31" s="26"/>
    </row>
    <row r="32" spans="2:10">
      <c r="B32" s="26" t="s">
        <v>102</v>
      </c>
      <c r="C32" s="61" t="str">
        <f t="shared" si="9"/>
        <v>1월분</v>
      </c>
      <c r="D32" s="125" t="s">
        <v>328</v>
      </c>
      <c r="E32" s="27">
        <f>SUMIFS(전체리스트!D:D,전체리스트!A:A,B32,전체리스트!C:C,D32)</f>
        <v>107692</v>
      </c>
      <c r="F32" s="28">
        <f t="shared" si="10"/>
        <v>32307.600000000006</v>
      </c>
      <c r="G32" s="29">
        <f>SUMIFS(전체리스트!E:E,전체리스트!A:A,B32,전체리스트!C:C,D32)</f>
        <v>75384.399999999994</v>
      </c>
      <c r="H32" s="27">
        <f t="shared" si="11"/>
        <v>3769.22</v>
      </c>
      <c r="I32" s="30">
        <f t="shared" si="12"/>
        <v>71615.179999999993</v>
      </c>
      <c r="J32" s="26"/>
    </row>
    <row r="33" spans="2:10">
      <c r="B33" s="26" t="s">
        <v>102</v>
      </c>
      <c r="C33" s="61" t="str">
        <f t="shared" si="9"/>
        <v>1월분</v>
      </c>
      <c r="D33" s="125" t="s">
        <v>72</v>
      </c>
      <c r="E33" s="27">
        <f>SUMIFS(전체리스트!D:D,전체리스트!A:A,B33,전체리스트!C:C,D33)</f>
        <v>78000</v>
      </c>
      <c r="F33" s="28">
        <f t="shared" si="10"/>
        <v>23400</v>
      </c>
      <c r="G33" s="29">
        <f>SUMIFS(전체리스트!E:E,전체리스트!A:A,B33,전체리스트!C:C,D33)</f>
        <v>54600</v>
      </c>
      <c r="H33" s="27">
        <f t="shared" si="11"/>
        <v>2730</v>
      </c>
      <c r="I33" s="30">
        <f t="shared" si="12"/>
        <v>51870</v>
      </c>
      <c r="J33" s="26"/>
    </row>
    <row r="34" spans="2:10">
      <c r="B34" s="26" t="s">
        <v>102</v>
      </c>
      <c r="C34" s="61" t="str">
        <f t="shared" si="9"/>
        <v>1월분</v>
      </c>
      <c r="D34" s="125" t="s">
        <v>327</v>
      </c>
      <c r="E34" s="27">
        <f>SUMIFS(전체리스트!D:D,전체리스트!A:A,B34,전체리스트!C:C,D34)</f>
        <v>75350.7</v>
      </c>
      <c r="F34" s="28">
        <f t="shared" si="10"/>
        <v>22605.21</v>
      </c>
      <c r="G34" s="29">
        <f>SUMIFS(전체리스트!E:E,전체리스트!A:A,B34,전체리스트!C:C,D34)</f>
        <v>52745.49</v>
      </c>
      <c r="H34" s="27">
        <f t="shared" si="11"/>
        <v>2637.2745</v>
      </c>
      <c r="I34" s="30">
        <f t="shared" si="12"/>
        <v>50108.215499999998</v>
      </c>
      <c r="J34" s="26"/>
    </row>
    <row r="35" spans="2:10">
      <c r="B35" s="26" t="s">
        <v>102</v>
      </c>
      <c r="C35" s="61" t="str">
        <f t="shared" si="9"/>
        <v>1월분</v>
      </c>
      <c r="D35" s="125" t="s">
        <v>84</v>
      </c>
      <c r="E35" s="27">
        <f>SUMIFS(전체리스트!D:D,전체리스트!A:A,B35,전체리스트!C:C,D35)</f>
        <v>43872</v>
      </c>
      <c r="F35" s="28">
        <f t="shared" si="10"/>
        <v>13161.600000000002</v>
      </c>
      <c r="G35" s="29">
        <f>SUMIFS(전체리스트!E:E,전체리스트!A:A,B35,전체리스트!C:C,D35)</f>
        <v>30710.399999999998</v>
      </c>
      <c r="H35" s="27">
        <f t="shared" si="11"/>
        <v>1535.52</v>
      </c>
      <c r="I35" s="30">
        <f t="shared" si="12"/>
        <v>29174.879999999997</v>
      </c>
      <c r="J35" s="26"/>
    </row>
    <row r="36" spans="2:10">
      <c r="B36" s="26" t="s">
        <v>102</v>
      </c>
      <c r="C36" s="61" t="str">
        <f t="shared" si="6"/>
        <v>1월분</v>
      </c>
      <c r="D36" s="125" t="s">
        <v>85</v>
      </c>
      <c r="E36" s="27">
        <f>SUMIFS(전체리스트!D:D,전체리스트!A:A,B36,전체리스트!C:C,D36)</f>
        <v>22800</v>
      </c>
      <c r="F36" s="28">
        <f t="shared" si="7"/>
        <v>6840.0000000000018</v>
      </c>
      <c r="G36" s="29">
        <f>SUMIFS(전체리스트!E:E,전체리스트!A:A,B36,전체리스트!C:C,D36)</f>
        <v>15959.999999999998</v>
      </c>
      <c r="H36" s="27">
        <f t="shared" si="3"/>
        <v>798</v>
      </c>
      <c r="I36" s="30">
        <f t="shared" si="8"/>
        <v>15161.999999999998</v>
      </c>
      <c r="J36" s="26"/>
    </row>
    <row r="37" spans="2:10">
      <c r="B37" s="26" t="s">
        <v>102</v>
      </c>
      <c r="C37" s="61" t="str">
        <f t="shared" si="6"/>
        <v>1월분</v>
      </c>
      <c r="D37" s="125" t="s">
        <v>29</v>
      </c>
      <c r="E37" s="27">
        <f>SUMIFS(전체리스트!D:D,전체리스트!A:A,B37,전체리스트!C:C,D37)</f>
        <v>20500</v>
      </c>
      <c r="F37" s="28">
        <f t="shared" si="7"/>
        <v>6150.0000000000018</v>
      </c>
      <c r="G37" s="29">
        <f>SUMIFS(전체리스트!E:E,전체리스트!A:A,B37,전체리스트!C:C,D37)</f>
        <v>14349.999999999998</v>
      </c>
      <c r="H37" s="27">
        <f t="shared" si="3"/>
        <v>717.5</v>
      </c>
      <c r="I37" s="30">
        <f t="shared" si="8"/>
        <v>13632.499999999998</v>
      </c>
      <c r="J37" s="26"/>
    </row>
    <row r="38" spans="2:10">
      <c r="B38" s="26" t="s">
        <v>102</v>
      </c>
      <c r="C38" s="61" t="str">
        <f t="shared" si="0"/>
        <v>1월분</v>
      </c>
      <c r="D38" s="125" t="s">
        <v>21</v>
      </c>
      <c r="E38" s="27">
        <f>SUMIFS(전체리스트!D:D,전체리스트!A:A,B38,전체리스트!C:C,D38)</f>
        <v>12208</v>
      </c>
      <c r="F38" s="28">
        <f t="shared" si="4"/>
        <v>3662.3999999999996</v>
      </c>
      <c r="G38" s="29">
        <f>SUMIFS(전체리스트!E:E,전체리스트!A:A,B38,전체리스트!C:C,D38)</f>
        <v>8545.6</v>
      </c>
      <c r="H38" s="27">
        <f t="shared" si="3"/>
        <v>427.28000000000003</v>
      </c>
      <c r="I38" s="30">
        <f t="shared" si="5"/>
        <v>8118.3200000000006</v>
      </c>
      <c r="J38" s="26"/>
    </row>
    <row r="39" spans="2:10">
      <c r="B39" s="26" t="s">
        <v>102</v>
      </c>
      <c r="C39" s="61" t="str">
        <f t="shared" si="0"/>
        <v>1월분</v>
      </c>
      <c r="D39" s="125" t="s">
        <v>74</v>
      </c>
      <c r="E39" s="27">
        <f>SUMIFS(전체리스트!D:D,전체리스트!A:A,B39,전체리스트!C:C,D39)</f>
        <v>9600</v>
      </c>
      <c r="F39" s="28">
        <f t="shared" ref="F39:F44" si="13">E39-G39</f>
        <v>2880</v>
      </c>
      <c r="G39" s="29">
        <f>SUMIFS(전체리스트!E:E,전체리스트!A:A,B39,전체리스트!C:C,D39)</f>
        <v>6720</v>
      </c>
      <c r="H39" s="27">
        <f t="shared" si="3"/>
        <v>336</v>
      </c>
      <c r="I39" s="30">
        <f t="shared" ref="I39:I44" si="14">G39-H39</f>
        <v>6384</v>
      </c>
      <c r="J39" s="26"/>
    </row>
    <row r="40" spans="2:10">
      <c r="B40" s="26" t="s">
        <v>102</v>
      </c>
      <c r="C40" s="61" t="str">
        <f t="shared" si="0"/>
        <v>1월분</v>
      </c>
      <c r="D40" s="125" t="s">
        <v>267</v>
      </c>
      <c r="E40" s="27">
        <f>SUMIFS(전체리스트!D:D,전체리스트!A:A,B40,전체리스트!C:C,D40)</f>
        <v>6900</v>
      </c>
      <c r="F40" s="28">
        <f t="shared" si="13"/>
        <v>2070</v>
      </c>
      <c r="G40" s="29">
        <f>SUMIFS(전체리스트!E:E,전체리스트!A:A,B40,전체리스트!C:C,D40)</f>
        <v>4830</v>
      </c>
      <c r="H40" s="27">
        <f t="shared" si="3"/>
        <v>241.5</v>
      </c>
      <c r="I40" s="30">
        <f t="shared" si="14"/>
        <v>4588.5</v>
      </c>
      <c r="J40" s="26"/>
    </row>
    <row r="41" spans="2:10">
      <c r="B41" s="26" t="s">
        <v>102</v>
      </c>
      <c r="C41" s="61" t="str">
        <f t="shared" si="0"/>
        <v>1월분</v>
      </c>
      <c r="D41" s="125" t="s">
        <v>86</v>
      </c>
      <c r="E41" s="27">
        <f>SUMIFS(전체리스트!D:D,전체리스트!A:A,B41,전체리스트!C:C,D41)</f>
        <v>4400</v>
      </c>
      <c r="F41" s="28">
        <f t="shared" si="13"/>
        <v>1320</v>
      </c>
      <c r="G41" s="29">
        <f>SUMIFS(전체리스트!E:E,전체리스트!A:A,B41,전체리스트!C:C,D41)</f>
        <v>3080</v>
      </c>
      <c r="H41" s="27">
        <f t="shared" si="3"/>
        <v>154</v>
      </c>
      <c r="I41" s="30">
        <f t="shared" si="14"/>
        <v>2926</v>
      </c>
      <c r="J41" s="26"/>
    </row>
    <row r="42" spans="2:10">
      <c r="B42" s="26" t="s">
        <v>102</v>
      </c>
      <c r="C42" s="61" t="str">
        <f t="shared" si="0"/>
        <v>1월분</v>
      </c>
      <c r="D42" s="125" t="s">
        <v>57</v>
      </c>
      <c r="E42" s="27">
        <f>SUMIFS(전체리스트!D:D,전체리스트!A:A,B42,전체리스트!C:C,D42)</f>
        <v>3200</v>
      </c>
      <c r="F42" s="28">
        <f t="shared" si="13"/>
        <v>960</v>
      </c>
      <c r="G42" s="29">
        <f>SUMIFS(전체리스트!E:E,전체리스트!A:A,B42,전체리스트!C:C,D42)</f>
        <v>2240</v>
      </c>
      <c r="H42" s="27">
        <f t="shared" si="3"/>
        <v>112</v>
      </c>
      <c r="I42" s="30">
        <f t="shared" si="14"/>
        <v>2128</v>
      </c>
      <c r="J42" s="26"/>
    </row>
    <row r="43" spans="2:10">
      <c r="B43" s="26" t="s">
        <v>102</v>
      </c>
      <c r="C43" s="61" t="str">
        <f t="shared" si="0"/>
        <v>1월분</v>
      </c>
      <c r="D43" s="125" t="s">
        <v>56</v>
      </c>
      <c r="E43" s="27">
        <f>SUMIFS(전체리스트!D:D,전체리스트!A:A,B43,전체리스트!C:C,D43)</f>
        <v>1400</v>
      </c>
      <c r="F43" s="28">
        <f t="shared" si="13"/>
        <v>420.00000000000011</v>
      </c>
      <c r="G43" s="29">
        <f>SUMIFS(전체리스트!E:E,전체리스트!A:A,B43,전체리스트!C:C,D43)</f>
        <v>979.99999999999989</v>
      </c>
      <c r="H43" s="27">
        <f t="shared" si="3"/>
        <v>49</v>
      </c>
      <c r="I43" s="30">
        <f t="shared" si="14"/>
        <v>930.99999999999989</v>
      </c>
      <c r="J43" s="26"/>
    </row>
    <row r="44" spans="2:10">
      <c r="B44" s="26" t="s">
        <v>102</v>
      </c>
      <c r="C44" s="61" t="str">
        <f t="shared" si="0"/>
        <v>1월분</v>
      </c>
      <c r="D44" s="125" t="s">
        <v>154</v>
      </c>
      <c r="E44" s="27">
        <f>SUMIFS(전체리스트!D:D,전체리스트!A:A,B44,전체리스트!C:C,D44)</f>
        <v>400</v>
      </c>
      <c r="F44" s="28">
        <f t="shared" si="13"/>
        <v>120</v>
      </c>
      <c r="G44" s="29">
        <f>SUMIFS(전체리스트!E:E,전체리스트!A:A,B44,전체리스트!C:C,D44)</f>
        <v>280</v>
      </c>
      <c r="H44" s="27">
        <f t="shared" si="3"/>
        <v>14</v>
      </c>
      <c r="I44" s="30">
        <f t="shared" si="14"/>
        <v>266</v>
      </c>
      <c r="J44" s="26"/>
    </row>
    <row r="45" spans="2:10">
      <c r="B45" s="26" t="s">
        <v>238</v>
      </c>
      <c r="C45" s="61" t="str">
        <f t="shared" si="0"/>
        <v>1월분</v>
      </c>
      <c r="D45" s="125" t="s">
        <v>174</v>
      </c>
      <c r="E45" s="27">
        <f>SUMIFS(전체리스트!D:D,전체리스트!A:A,B45,전체리스트!C:C,D45)</f>
        <v>19480019</v>
      </c>
      <c r="F45" s="28">
        <f t="shared" ref="F45:F53" si="15">E45-G45</f>
        <v>0</v>
      </c>
      <c r="G45" s="29">
        <f>SUMIFS(전체리스트!E:E,전체리스트!A:A,B45,전체리스트!C:C,D45)</f>
        <v>19480019</v>
      </c>
      <c r="H45" s="27">
        <f t="shared" si="3"/>
        <v>974000.95000000007</v>
      </c>
      <c r="I45" s="30">
        <f t="shared" ref="I45:I53" si="16">G45-H45</f>
        <v>18506018.050000001</v>
      </c>
      <c r="J45" s="26"/>
    </row>
    <row r="46" spans="2:10">
      <c r="B46" s="26" t="s">
        <v>242</v>
      </c>
      <c r="C46" s="61" t="str">
        <f t="shared" si="0"/>
        <v>1월분</v>
      </c>
      <c r="D46" s="125" t="s">
        <v>243</v>
      </c>
      <c r="E46" s="27">
        <f>SUMIFS(전체리스트!D:D,전체리스트!A:A,B46,전체리스트!C:C,D46)</f>
        <v>378468</v>
      </c>
      <c r="F46" s="28">
        <f t="shared" si="15"/>
        <v>0</v>
      </c>
      <c r="G46" s="29">
        <f>SUMIFS(전체리스트!E:E,전체리스트!A:A,B46,전체리스트!C:C,D46)</f>
        <v>378468</v>
      </c>
      <c r="H46" s="27">
        <f t="shared" si="3"/>
        <v>18923.400000000001</v>
      </c>
      <c r="I46" s="30">
        <f t="shared" si="16"/>
        <v>359544.6</v>
      </c>
      <c r="J46" s="26"/>
    </row>
    <row r="47" spans="2:10">
      <c r="B47" s="26" t="s">
        <v>241</v>
      </c>
      <c r="C47" s="61" t="str">
        <f t="shared" si="0"/>
        <v>1월분</v>
      </c>
      <c r="D47" s="125" t="s">
        <v>228</v>
      </c>
      <c r="E47" s="27">
        <f>SUMIFS(전체리스트!D:D,전체리스트!A:A,B47,전체리스트!C:C,D47)</f>
        <v>8139344</v>
      </c>
      <c r="F47" s="28">
        <f t="shared" ref="F47" si="17">E47-G47</f>
        <v>0</v>
      </c>
      <c r="G47" s="29">
        <f>SUMIFS(전체리스트!E:E,전체리스트!A:A,B47,전체리스트!C:C,D47)</f>
        <v>8139344</v>
      </c>
      <c r="H47" s="27">
        <f t="shared" si="3"/>
        <v>406967.2</v>
      </c>
      <c r="I47" s="30">
        <f t="shared" ref="I47" si="18">G47-H47</f>
        <v>7732376.7999999998</v>
      </c>
      <c r="J47" s="26"/>
    </row>
    <row r="48" spans="2:10">
      <c r="B48" s="26" t="s">
        <v>239</v>
      </c>
      <c r="C48" s="61" t="str">
        <f t="shared" si="0"/>
        <v>1월분</v>
      </c>
      <c r="D48" s="125" t="s">
        <v>240</v>
      </c>
      <c r="E48" s="27">
        <f>SUMIFS(전체리스트!D:D,전체리스트!A:A,B48,전체리스트!C:C,D48)</f>
        <v>9143673</v>
      </c>
      <c r="F48" s="28">
        <f t="shared" ref="F48:F51" si="19">E48-G48</f>
        <v>0</v>
      </c>
      <c r="G48" s="29">
        <f>SUMIFS(전체리스트!E:E,전체리스트!A:A,B48,전체리스트!C:C,D48)</f>
        <v>9143673</v>
      </c>
      <c r="H48" s="27">
        <f t="shared" si="3"/>
        <v>457183.65</v>
      </c>
      <c r="I48" s="30">
        <f t="shared" ref="I48:I51" si="20">G48-H48</f>
        <v>8686489.3499999996</v>
      </c>
      <c r="J48" s="26"/>
    </row>
    <row r="49" spans="2:10">
      <c r="B49" s="26" t="s">
        <v>190</v>
      </c>
      <c r="C49" s="61" t="str">
        <f t="shared" ref="C49:C51" si="21">VLOOKUP(B49,raw_a,2,0)</f>
        <v>1월분</v>
      </c>
      <c r="D49" s="125" t="s">
        <v>227</v>
      </c>
      <c r="E49" s="27">
        <f>SUMIFS(전체리스트!D:D,전체리스트!A:A,B49,전체리스트!C:C,D49)</f>
        <v>1722867</v>
      </c>
      <c r="F49" s="28">
        <f t="shared" si="19"/>
        <v>0</v>
      </c>
      <c r="G49" s="29">
        <f>SUMIFS(전체리스트!E:E,전체리스트!A:A,B49,전체리스트!C:C,D49)</f>
        <v>1722867</v>
      </c>
      <c r="H49" s="27">
        <f t="shared" si="3"/>
        <v>86143.35</v>
      </c>
      <c r="I49" s="30">
        <f t="shared" si="20"/>
        <v>1636723.65</v>
      </c>
      <c r="J49" s="26"/>
    </row>
    <row r="50" spans="2:10">
      <c r="B50" s="26" t="s">
        <v>190</v>
      </c>
      <c r="C50" s="61" t="str">
        <f t="shared" si="21"/>
        <v>1월분</v>
      </c>
      <c r="D50" s="125" t="s">
        <v>191</v>
      </c>
      <c r="E50" s="27">
        <f>SUMIFS(전체리스트!D:D,전체리스트!A:A,B50,전체리스트!C:C,D50)</f>
        <v>8953204</v>
      </c>
      <c r="F50" s="28">
        <f t="shared" si="19"/>
        <v>0</v>
      </c>
      <c r="G50" s="29">
        <f>SUMIFS(전체리스트!E:E,전체리스트!A:A,B50,전체리스트!C:C,D50)</f>
        <v>8953204</v>
      </c>
      <c r="H50" s="27">
        <f t="shared" si="3"/>
        <v>447660.2</v>
      </c>
      <c r="I50" s="30">
        <f t="shared" si="20"/>
        <v>8505543.8000000007</v>
      </c>
      <c r="J50" s="26"/>
    </row>
    <row r="51" spans="2:10">
      <c r="B51" s="26" t="s">
        <v>190</v>
      </c>
      <c r="C51" s="61" t="str">
        <f t="shared" si="21"/>
        <v>1월분</v>
      </c>
      <c r="D51" s="125" t="s">
        <v>369</v>
      </c>
      <c r="E51" s="27">
        <f>SUMIFS(전체리스트!D:D,전체리스트!A:A,B51,전체리스트!C:C,D51)</f>
        <v>405886</v>
      </c>
      <c r="F51" s="28">
        <f t="shared" si="19"/>
        <v>0</v>
      </c>
      <c r="G51" s="29">
        <f>SUMIFS(전체리스트!E:E,전체리스트!A:A,B51,전체리스트!C:C,D51)</f>
        <v>405886</v>
      </c>
      <c r="H51" s="27">
        <f>G51*0.05</f>
        <v>20294.300000000003</v>
      </c>
      <c r="I51" s="30">
        <f t="shared" si="20"/>
        <v>385591.7</v>
      </c>
      <c r="J51" s="26"/>
    </row>
    <row r="52" spans="2:10">
      <c r="B52" s="26" t="s">
        <v>190</v>
      </c>
      <c r="C52" s="61" t="str">
        <f t="shared" si="0"/>
        <v>1월분</v>
      </c>
      <c r="D52" s="125" t="s">
        <v>415</v>
      </c>
      <c r="E52" s="27">
        <f>SUMIFS(전체리스트!D:D,전체리스트!A:A,B52,전체리스트!C:C,D52)</f>
        <v>146923</v>
      </c>
      <c r="F52" s="28">
        <f t="shared" si="15"/>
        <v>0</v>
      </c>
      <c r="G52" s="29">
        <f>SUMIFS(전체리스트!E:E,전체리스트!A:A,B52,전체리스트!C:C,D52)</f>
        <v>146923</v>
      </c>
      <c r="H52" s="27">
        <f t="shared" si="3"/>
        <v>7346.1500000000005</v>
      </c>
      <c r="I52" s="30">
        <f t="shared" si="16"/>
        <v>139576.85</v>
      </c>
      <c r="J52" s="26"/>
    </row>
    <row r="53" spans="2:10">
      <c r="B53" s="26" t="s">
        <v>224</v>
      </c>
      <c r="C53" s="61" t="str">
        <f t="shared" ref="C53" si="22">VLOOKUP(B53,raw_a,2,0)</f>
        <v>12월분</v>
      </c>
      <c r="D53" s="125" t="s">
        <v>192</v>
      </c>
      <c r="E53" s="27">
        <f>SUMIFS(전체리스트!D:D,전체리스트!A:A,B53,전체리스트!C:C,D53)</f>
        <v>87319</v>
      </c>
      <c r="F53" s="28">
        <f t="shared" si="15"/>
        <v>0</v>
      </c>
      <c r="G53" s="29">
        <f>SUMIFS(전체리스트!E:E,전체리스트!A:A,B53,전체리스트!C:C,D53)</f>
        <v>87319</v>
      </c>
      <c r="H53" s="27">
        <f t="shared" si="3"/>
        <v>4365.95</v>
      </c>
      <c r="I53" s="30">
        <f t="shared" si="16"/>
        <v>82953.05</v>
      </c>
      <c r="J53" s="26"/>
    </row>
    <row r="54" spans="2:10">
      <c r="B54" s="26" t="s">
        <v>226</v>
      </c>
      <c r="C54" s="61" t="str">
        <f t="shared" ref="C54" si="23">VLOOKUP(B54,raw_a,2,0)</f>
        <v>12월분</v>
      </c>
      <c r="D54" s="125" t="s">
        <v>228</v>
      </c>
      <c r="E54" s="27">
        <f>SUMIFS(전체리스트!D:D,전체리스트!A:A,B54,전체리스트!C:C,D54)</f>
        <v>28021</v>
      </c>
      <c r="F54" s="28">
        <f t="shared" ref="F54" si="24">E54-G54</f>
        <v>0</v>
      </c>
      <c r="G54" s="29">
        <f>SUMIFS(전체리스트!E:E,전체리스트!A:A,B54,전체리스트!C:C,D54)</f>
        <v>28021</v>
      </c>
      <c r="H54" s="27">
        <f t="shared" ref="H54" si="25">G54*0.05</f>
        <v>1401.0500000000002</v>
      </c>
      <c r="I54" s="30">
        <f t="shared" ref="I54" si="26">G54-H54</f>
        <v>26619.95</v>
      </c>
      <c r="J54" s="26"/>
    </row>
    <row r="55" spans="2:10">
      <c r="B55" s="31" t="s">
        <v>0</v>
      </c>
      <c r="C55" s="31"/>
      <c r="D55" s="32"/>
      <c r="E55" s="33">
        <f t="shared" ref="E55:J55" si="27">SUM(E6:E54)</f>
        <v>78520951.299999997</v>
      </c>
      <c r="F55" s="33">
        <f t="shared" si="27"/>
        <v>9010568.1900000013</v>
      </c>
      <c r="G55" s="33">
        <f t="shared" si="27"/>
        <v>69510383.109999999</v>
      </c>
      <c r="H55" s="33">
        <f t="shared" si="27"/>
        <v>3475519.1555000003</v>
      </c>
      <c r="I55" s="33">
        <f t="shared" si="27"/>
        <v>66034863.954500012</v>
      </c>
      <c r="J55" s="33">
        <f t="shared" si="27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12"/>
  <sheetViews>
    <sheetView topLeftCell="A4" workbookViewId="0">
      <selection activeCell="K23" sqref="K23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3" spans="2:10">
      <c r="G3" s="65" t="s">
        <v>138</v>
      </c>
    </row>
    <row r="4" spans="2:10">
      <c r="B4" s="34" t="s">
        <v>42</v>
      </c>
      <c r="C4" s="34"/>
      <c r="F4" s="36" t="s">
        <v>136</v>
      </c>
      <c r="G4" s="43">
        <f>VLOOKUP(B6,raw_a,6,0)</f>
        <v>187.29</v>
      </c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104</v>
      </c>
      <c r="C6" s="61" t="str">
        <f t="shared" ref="C6:C11" si="0">VLOOKUP(B6,raw_a,2,0)</f>
        <v>12월분</v>
      </c>
      <c r="D6" s="26" t="s">
        <v>362</v>
      </c>
      <c r="E6" s="35">
        <f>SUMIFS(전체리스트!D:D,전체리스트!A:A,B6,전체리스트!C:C,D6)</f>
        <v>10613.21</v>
      </c>
      <c r="F6" s="28"/>
      <c r="G6" s="68">
        <f>SUMIFS(전체리스트!E:E,전체리스트!A:A,B6,전체리스트!C:C,D6)</f>
        <v>1987748.1008999997</v>
      </c>
      <c r="H6" s="27">
        <f>G6*0.05</f>
        <v>99387.405044999992</v>
      </c>
      <c r="I6" s="30">
        <f>G6-H6</f>
        <v>1888360.6958549998</v>
      </c>
      <c r="J6" s="26"/>
    </row>
    <row r="7" spans="2:10">
      <c r="B7" s="26" t="s">
        <v>104</v>
      </c>
      <c r="C7" s="61" t="str">
        <f t="shared" si="0"/>
        <v>12월분</v>
      </c>
      <c r="D7" s="26" t="s">
        <v>46</v>
      </c>
      <c r="E7" s="35">
        <f>SUMIFS(전체리스트!D:D,전체리스트!A:A,B7,전체리스트!C:C,D7)</f>
        <v>276</v>
      </c>
      <c r="F7" s="28"/>
      <c r="G7" s="68">
        <f>SUMIFS(전체리스트!E:E,전체리스트!A:A,B7,전체리스트!C:C,D7)</f>
        <v>51692.04</v>
      </c>
      <c r="H7" s="27">
        <f t="shared" ref="H7:H11" si="1">G7*0.05</f>
        <v>2584.6020000000003</v>
      </c>
      <c r="I7" s="30">
        <f t="shared" ref="I7:I11" si="2">G7-H7</f>
        <v>49107.438000000002</v>
      </c>
      <c r="J7" s="26"/>
    </row>
    <row r="8" spans="2:10">
      <c r="B8" s="26" t="s">
        <v>104</v>
      </c>
      <c r="C8" s="61" t="str">
        <f t="shared" si="0"/>
        <v>12월분</v>
      </c>
      <c r="D8" s="26" t="s">
        <v>304</v>
      </c>
      <c r="E8" s="35">
        <f>SUMIFS(전체리스트!D:D,전체리스트!A:A,B8,전체리스트!C:C,D8)</f>
        <v>2935.55</v>
      </c>
      <c r="F8" s="28"/>
      <c r="G8" s="68">
        <f>SUMIFS(전체리스트!E:E,전체리스트!A:A,B8,전체리스트!C:C,D8)</f>
        <v>549799.15950000007</v>
      </c>
      <c r="H8" s="27">
        <f t="shared" si="1"/>
        <v>27489.957975000005</v>
      </c>
      <c r="I8" s="30">
        <f t="shared" si="2"/>
        <v>522309.20152500004</v>
      </c>
      <c r="J8" s="26"/>
    </row>
    <row r="9" spans="2:10">
      <c r="B9" s="26" t="s">
        <v>104</v>
      </c>
      <c r="C9" s="61" t="str">
        <f t="shared" ref="C9:C10" si="3">VLOOKUP(B9,raw_a,2,0)</f>
        <v>12월분</v>
      </c>
      <c r="D9" s="26" t="s">
        <v>363</v>
      </c>
      <c r="E9" s="35">
        <f>SUMIFS(전체리스트!D:D,전체리스트!A:A,B9,전체리스트!C:C,D9)</f>
        <v>226.89</v>
      </c>
      <c r="F9" s="28"/>
      <c r="G9" s="68">
        <f>SUMIFS(전체리스트!E:E,전체리스트!A:A,B9,전체리스트!C:C,D9)</f>
        <v>42494.228099999993</v>
      </c>
      <c r="H9" s="27">
        <f t="shared" ref="H9:H10" si="4">G9*0.05</f>
        <v>2124.7114049999996</v>
      </c>
      <c r="I9" s="30">
        <f t="shared" ref="I9:I10" si="5">G9-H9</f>
        <v>40369.516694999991</v>
      </c>
      <c r="J9" s="26"/>
    </row>
    <row r="10" spans="2:10">
      <c r="B10" s="26" t="s">
        <v>104</v>
      </c>
      <c r="C10" s="61" t="str">
        <f t="shared" si="3"/>
        <v>12월분</v>
      </c>
      <c r="D10" s="26" t="s">
        <v>364</v>
      </c>
      <c r="E10" s="35">
        <f>SUMIFS(전체리스트!D:D,전체리스트!A:A,B10,전체리스트!C:C,D10)</f>
        <v>3001.31</v>
      </c>
      <c r="F10" s="28"/>
      <c r="G10" s="68">
        <f>SUMIFS(전체리스트!E:E,전체리스트!A:A,B10,전체리스트!C:C,D10)</f>
        <v>562115.34989999991</v>
      </c>
      <c r="H10" s="27">
        <f t="shared" si="4"/>
        <v>28105.767494999996</v>
      </c>
      <c r="I10" s="30">
        <f t="shared" si="5"/>
        <v>534009.58240499988</v>
      </c>
      <c r="J10" s="26"/>
    </row>
    <row r="11" spans="2:10">
      <c r="B11" s="26" t="s">
        <v>104</v>
      </c>
      <c r="C11" s="61" t="str">
        <f t="shared" si="0"/>
        <v>12월분</v>
      </c>
      <c r="D11" s="26" t="s">
        <v>369</v>
      </c>
      <c r="E11" s="35">
        <f>SUMIFS(전체리스트!D:D,전체리스트!A:A,B11,전체리스트!C:C,D11)</f>
        <v>0.09</v>
      </c>
      <c r="F11" s="28"/>
      <c r="G11" s="68">
        <f>SUMIFS(전체리스트!E:E,전체리스트!A:A,B11,전체리스트!C:C,D11)</f>
        <v>16.856099999999998</v>
      </c>
      <c r="H11" s="27">
        <f t="shared" si="1"/>
        <v>0.84280499999999992</v>
      </c>
      <c r="I11" s="30">
        <f t="shared" si="2"/>
        <v>16.013294999999999</v>
      </c>
      <c r="J11" s="26"/>
    </row>
    <row r="12" spans="2:10">
      <c r="B12" s="31" t="s">
        <v>0</v>
      </c>
      <c r="C12" s="31"/>
      <c r="D12" s="32"/>
      <c r="E12" s="33">
        <f t="shared" ref="E12:J12" si="6">SUM(E6:E11)</f>
        <v>17053.05</v>
      </c>
      <c r="F12" s="33">
        <f t="shared" si="6"/>
        <v>0</v>
      </c>
      <c r="G12" s="33">
        <f t="shared" si="6"/>
        <v>3193865.7344999998</v>
      </c>
      <c r="H12" s="33">
        <f t="shared" si="6"/>
        <v>159693.28672500001</v>
      </c>
      <c r="I12" s="33">
        <f t="shared" si="6"/>
        <v>3034172.4477749998</v>
      </c>
      <c r="J12" s="33">
        <f t="shared" si="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J12"/>
  <sheetViews>
    <sheetView workbookViewId="0">
      <selection activeCell="G29" sqref="G29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265</v>
      </c>
      <c r="C6" s="61" t="str">
        <f t="shared" ref="C6:C9" si="0">VLOOKUP(B6,raw_a,2,0)</f>
        <v>1월분</v>
      </c>
      <c r="D6" s="26" t="s">
        <v>268</v>
      </c>
      <c r="E6" s="27">
        <f>SUMIFS(전체리스트!D:D,전체리스트!A:A,B6,전체리스트!C:C,D6)</f>
        <v>596.4</v>
      </c>
      <c r="F6" s="28">
        <f t="shared" ref="F6:F7" si="1">E6-G6</f>
        <v>268.38</v>
      </c>
      <c r="G6" s="29">
        <f>SUMIFS(전체리스트!E:E,전체리스트!A:A,B6,전체리스트!C:C,D6)</f>
        <v>328.02</v>
      </c>
      <c r="H6" s="27">
        <f>G6*0.05</f>
        <v>16.401</v>
      </c>
      <c r="I6" s="30">
        <f t="shared" ref="I6:I7" si="2">G6-H6</f>
        <v>311.61899999999997</v>
      </c>
      <c r="J6" s="26"/>
    </row>
    <row r="7" spans="2:10">
      <c r="B7" s="26" t="s">
        <v>265</v>
      </c>
      <c r="C7" s="61" t="str">
        <f t="shared" si="0"/>
        <v>1월분</v>
      </c>
      <c r="D7" s="26" t="s">
        <v>22</v>
      </c>
      <c r="E7" s="27">
        <f>SUMIFS(전체리스트!D:D,전체리스트!A:A,B7,전체리스트!C:C,D7)</f>
        <v>138199.25</v>
      </c>
      <c r="F7" s="28">
        <f t="shared" si="1"/>
        <v>62189.662500000006</v>
      </c>
      <c r="G7" s="29">
        <f>SUMIFS(전체리스트!E:E,전체리스트!A:A,B7,전체리스트!C:C,D7)</f>
        <v>76009.587499999994</v>
      </c>
      <c r="H7" s="27">
        <f t="shared" ref="H7:H11" si="3">G7*0.05</f>
        <v>3800.4793749999999</v>
      </c>
      <c r="I7" s="30">
        <f t="shared" si="2"/>
        <v>72209.108124999999</v>
      </c>
      <c r="J7" s="26"/>
    </row>
    <row r="8" spans="2:10">
      <c r="B8" s="26" t="s">
        <v>265</v>
      </c>
      <c r="C8" s="61" t="str">
        <f t="shared" si="0"/>
        <v>1월분</v>
      </c>
      <c r="D8" s="26" t="s">
        <v>23</v>
      </c>
      <c r="E8" s="27">
        <f>SUMIFS(전체리스트!D:D,전체리스트!A:A,B8,전체리스트!C:C,D8)</f>
        <v>93243.25</v>
      </c>
      <c r="F8" s="28">
        <f t="shared" ref="F8:F10" si="4">E8-G8</f>
        <v>41959.462500000001</v>
      </c>
      <c r="G8" s="29">
        <f>SUMIFS(전체리스트!E:E,전체리스트!A:A,B8,전체리스트!C:C,D8)</f>
        <v>51283.787499999999</v>
      </c>
      <c r="H8" s="27">
        <f t="shared" si="3"/>
        <v>2564.1893749999999</v>
      </c>
      <c r="I8" s="30">
        <f t="shared" ref="I8:I10" si="5">G8-H8</f>
        <v>48719.598124999997</v>
      </c>
      <c r="J8" s="26"/>
    </row>
    <row r="9" spans="2:10">
      <c r="B9" s="26" t="s">
        <v>265</v>
      </c>
      <c r="C9" s="61" t="str">
        <f t="shared" si="0"/>
        <v>1월분</v>
      </c>
      <c r="D9" s="26" t="s">
        <v>71</v>
      </c>
      <c r="E9" s="27">
        <f>SUMIFS(전체리스트!D:D,전체리스트!A:A,B9,전체리스트!C:C,D9)</f>
        <v>189304.4</v>
      </c>
      <c r="F9" s="28">
        <f t="shared" si="4"/>
        <v>75721.759999999995</v>
      </c>
      <c r="G9" s="29">
        <f>SUMIFS(전체리스트!E:E,전체리스트!A:A,B9,전체리스트!C:C,D9)</f>
        <v>113582.64</v>
      </c>
      <c r="H9" s="27">
        <f t="shared" si="3"/>
        <v>5679.1320000000005</v>
      </c>
      <c r="I9" s="30">
        <f t="shared" si="5"/>
        <v>107903.508</v>
      </c>
      <c r="J9" s="26"/>
    </row>
    <row r="10" spans="2:10">
      <c r="B10" s="26" t="s">
        <v>265</v>
      </c>
      <c r="C10" s="61" t="str">
        <f t="shared" ref="C10:C11" si="6">VLOOKUP(B10,raw_a,2,0)</f>
        <v>1월분</v>
      </c>
      <c r="D10" s="26" t="s">
        <v>82</v>
      </c>
      <c r="E10" s="27">
        <f>SUMIFS(전체리스트!D:D,전체리스트!A:A,B10,전체리스트!C:C,D10)</f>
        <v>223032</v>
      </c>
      <c r="F10" s="28">
        <f t="shared" si="4"/>
        <v>89212.799999999988</v>
      </c>
      <c r="G10" s="29">
        <f>SUMIFS(전체리스트!E:E,전체리스트!A:A,B10,전체리스트!C:C,D10)</f>
        <v>133819.20000000001</v>
      </c>
      <c r="H10" s="27">
        <f t="shared" si="3"/>
        <v>6690.9600000000009</v>
      </c>
      <c r="I10" s="30">
        <f t="shared" si="5"/>
        <v>127128.24</v>
      </c>
      <c r="J10" s="26"/>
    </row>
    <row r="11" spans="2:10">
      <c r="B11" s="26" t="s">
        <v>265</v>
      </c>
      <c r="C11" s="61" t="str">
        <f t="shared" si="6"/>
        <v>1월분</v>
      </c>
      <c r="D11" s="26" t="s">
        <v>378</v>
      </c>
      <c r="E11" s="27">
        <f>SUMIFS(전체리스트!D:D,전체리스트!A:A,B11,전체리스트!C:C,D11)</f>
        <v>22992</v>
      </c>
      <c r="F11" s="28">
        <f t="shared" ref="F11" si="7">E11-G11</f>
        <v>13795.2</v>
      </c>
      <c r="G11" s="29">
        <f>SUMIFS(전체리스트!E:E,전체리스트!A:A,B11,전체리스트!C:C,D11)</f>
        <v>9196.7999999999993</v>
      </c>
      <c r="H11" s="27">
        <f t="shared" si="3"/>
        <v>459.84</v>
      </c>
      <c r="I11" s="30">
        <f t="shared" ref="I11" si="8">G11-H11</f>
        <v>8736.9599999999991</v>
      </c>
      <c r="J11" s="26"/>
    </row>
    <row r="12" spans="2:10">
      <c r="B12" s="31" t="s">
        <v>0</v>
      </c>
      <c r="C12" s="31"/>
      <c r="D12" s="32"/>
      <c r="E12" s="33">
        <f t="shared" ref="E12:J12" si="9">SUM(E6:E11)</f>
        <v>667367.30000000005</v>
      </c>
      <c r="F12" s="33">
        <f t="shared" si="9"/>
        <v>283147.26500000001</v>
      </c>
      <c r="G12" s="33">
        <f t="shared" si="9"/>
        <v>384220.03499999997</v>
      </c>
      <c r="H12" s="33">
        <f t="shared" si="9"/>
        <v>19211.001749999999</v>
      </c>
      <c r="I12" s="33">
        <f t="shared" si="9"/>
        <v>365009.03325000004</v>
      </c>
      <c r="J12" s="33">
        <f t="shared" si="9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J33"/>
  <sheetViews>
    <sheetView topLeftCell="A4" workbookViewId="0">
      <selection activeCell="M21" sqref="M21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106</v>
      </c>
      <c r="C6" s="61" t="str">
        <f t="shared" ref="C6:C11" si="0">VLOOKUP(B6,raw_a,2,0)</f>
        <v>1월분</v>
      </c>
      <c r="D6" s="26" t="s">
        <v>21</v>
      </c>
      <c r="E6" s="27">
        <f>SUMIFS(전체리스트!D:D,전체리스트!A:A,B6,전체리스트!C:C,D6)</f>
        <v>8190</v>
      </c>
      <c r="F6" s="28">
        <f>E6-G6</f>
        <v>0</v>
      </c>
      <c r="G6" s="29">
        <f>SUMIFS(전체리스트!E:E,전체리스트!A:A,B6,전체리스트!C:C,D6)</f>
        <v>8190</v>
      </c>
      <c r="H6" s="27">
        <f>G6*0.05</f>
        <v>409.5</v>
      </c>
      <c r="I6" s="30">
        <f>G6-H6</f>
        <v>7780.5</v>
      </c>
      <c r="J6" s="26"/>
    </row>
    <row r="7" spans="2:10">
      <c r="B7" s="26" t="s">
        <v>106</v>
      </c>
      <c r="C7" s="61" t="str">
        <f t="shared" si="0"/>
        <v>1월분</v>
      </c>
      <c r="D7" s="26" t="s">
        <v>27</v>
      </c>
      <c r="E7" s="27">
        <f>SUMIFS(전체리스트!D:D,전체리스트!A:A,B7,전체리스트!C:C,D7)</f>
        <v>21000</v>
      </c>
      <c r="F7" s="28">
        <f t="shared" ref="F7:F11" si="1">E7-G7</f>
        <v>0</v>
      </c>
      <c r="G7" s="29">
        <f>SUMIFS(전체리스트!E:E,전체리스트!A:A,B7,전체리스트!C:C,D7)</f>
        <v>21000</v>
      </c>
      <c r="H7" s="27">
        <f t="shared" ref="H7:H32" si="2">G7*0.05</f>
        <v>1050</v>
      </c>
      <c r="I7" s="30">
        <f t="shared" ref="I7:I11" si="3">G7-H7</f>
        <v>19950</v>
      </c>
      <c r="J7" s="26"/>
    </row>
    <row r="8" spans="2:10">
      <c r="B8" s="26" t="s">
        <v>106</v>
      </c>
      <c r="C8" s="61" t="str">
        <f t="shared" si="0"/>
        <v>1월분</v>
      </c>
      <c r="D8" s="26" t="s">
        <v>17</v>
      </c>
      <c r="E8" s="27">
        <f>SUMIFS(전체리스트!D:D,전체리스트!A:A,B8,전체리스트!C:C,D8)</f>
        <v>62720</v>
      </c>
      <c r="F8" s="28">
        <f t="shared" si="1"/>
        <v>0</v>
      </c>
      <c r="G8" s="29">
        <f>SUMIFS(전체리스트!E:E,전체리스트!A:A,B8,전체리스트!C:C,D8)</f>
        <v>62720</v>
      </c>
      <c r="H8" s="27">
        <f t="shared" si="2"/>
        <v>3136</v>
      </c>
      <c r="I8" s="30">
        <f t="shared" si="3"/>
        <v>59584</v>
      </c>
      <c r="J8" s="26"/>
    </row>
    <row r="9" spans="2:10">
      <c r="B9" s="26" t="s">
        <v>106</v>
      </c>
      <c r="C9" s="61" t="str">
        <f t="shared" si="0"/>
        <v>1월분</v>
      </c>
      <c r="D9" s="26" t="s">
        <v>19</v>
      </c>
      <c r="E9" s="27">
        <f>SUMIFS(전체리스트!D:D,전체리스트!A:A,B9,전체리스트!C:C,D9)</f>
        <v>45080</v>
      </c>
      <c r="F9" s="28">
        <f t="shared" si="1"/>
        <v>0</v>
      </c>
      <c r="G9" s="29">
        <f>SUMIFS(전체리스트!E:E,전체리스트!A:A,B9,전체리스트!C:C,D9)</f>
        <v>45080</v>
      </c>
      <c r="H9" s="27">
        <f t="shared" si="2"/>
        <v>2254</v>
      </c>
      <c r="I9" s="30">
        <f t="shared" si="3"/>
        <v>42826</v>
      </c>
      <c r="J9" s="26"/>
    </row>
    <row r="10" spans="2:10">
      <c r="B10" s="26" t="s">
        <v>106</v>
      </c>
      <c r="C10" s="61" t="str">
        <f t="shared" si="0"/>
        <v>1월분</v>
      </c>
      <c r="D10" s="26" t="s">
        <v>72</v>
      </c>
      <c r="E10" s="27">
        <f>SUMIFS(전체리스트!D:D,전체리스트!A:A,B10,전체리스트!C:C,D10)</f>
        <v>280</v>
      </c>
      <c r="F10" s="28">
        <f t="shared" si="1"/>
        <v>0</v>
      </c>
      <c r="G10" s="29">
        <f>SUMIFS(전체리스트!E:E,전체리스트!A:A,B10,전체리스트!C:C,D10)</f>
        <v>280</v>
      </c>
      <c r="H10" s="27">
        <f t="shared" si="2"/>
        <v>14</v>
      </c>
      <c r="I10" s="30">
        <f t="shared" si="3"/>
        <v>266</v>
      </c>
      <c r="J10" s="26"/>
    </row>
    <row r="11" spans="2:10">
      <c r="B11" s="26" t="s">
        <v>106</v>
      </c>
      <c r="C11" s="61" t="str">
        <f t="shared" si="0"/>
        <v>1월분</v>
      </c>
      <c r="D11" s="26" t="s">
        <v>20</v>
      </c>
      <c r="E11" s="27">
        <f>SUMIFS(전체리스트!D:D,전체리스트!A:A,B11,전체리스트!C:C,D11)</f>
        <v>46200</v>
      </c>
      <c r="F11" s="28">
        <f t="shared" si="1"/>
        <v>0</v>
      </c>
      <c r="G11" s="29">
        <f>SUMIFS(전체리스트!E:E,전체리스트!A:A,B11,전체리스트!C:C,D11)</f>
        <v>46200</v>
      </c>
      <c r="H11" s="27">
        <f t="shared" si="2"/>
        <v>2310</v>
      </c>
      <c r="I11" s="30">
        <f t="shared" si="3"/>
        <v>43890</v>
      </c>
      <c r="J11" s="26"/>
    </row>
    <row r="12" spans="2:10">
      <c r="B12" s="26" t="s">
        <v>26</v>
      </c>
      <c r="C12" s="61" t="str">
        <f t="shared" ref="C12:C26" si="4">VLOOKUP(B12,raw_a,2,0)</f>
        <v>1월분</v>
      </c>
      <c r="D12" s="26" t="s">
        <v>155</v>
      </c>
      <c r="E12" s="27">
        <f>SUMIFS(전체리스트!D:D,전체리스트!A:A,B12,전체리스트!C:C,D12)</f>
        <v>48000</v>
      </c>
      <c r="F12" s="28">
        <f t="shared" ref="F12:F26" si="5">E12-G12</f>
        <v>0</v>
      </c>
      <c r="G12" s="29">
        <f>SUMIFS(전체리스트!E:E,전체리스트!A:A,B12,전체리스트!C:C,D12)</f>
        <v>48000</v>
      </c>
      <c r="H12" s="27">
        <f t="shared" si="2"/>
        <v>2400</v>
      </c>
      <c r="I12" s="30">
        <f t="shared" ref="I12:I26" si="6">G12-H12</f>
        <v>45600</v>
      </c>
      <c r="J12" s="26"/>
    </row>
    <row r="13" spans="2:10">
      <c r="B13" s="26" t="s">
        <v>26</v>
      </c>
      <c r="C13" s="61" t="str">
        <f t="shared" si="4"/>
        <v>1월분</v>
      </c>
      <c r="D13" s="26" t="s">
        <v>350</v>
      </c>
      <c r="E13" s="27">
        <f>SUMIFS(전체리스트!D:D,전체리스트!A:A,B13,전체리스트!C:C,D13)</f>
        <v>14800</v>
      </c>
      <c r="F13" s="28">
        <f t="shared" si="5"/>
        <v>0</v>
      </c>
      <c r="G13" s="29">
        <f>SUMIFS(전체리스트!E:E,전체리스트!A:A,B13,전체리스트!C:C,D13)</f>
        <v>14800</v>
      </c>
      <c r="H13" s="27">
        <f t="shared" si="2"/>
        <v>740</v>
      </c>
      <c r="I13" s="30">
        <f t="shared" si="6"/>
        <v>14060</v>
      </c>
      <c r="J13" s="26"/>
    </row>
    <row r="14" spans="2:10">
      <c r="B14" s="26" t="s">
        <v>26</v>
      </c>
      <c r="C14" s="61" t="str">
        <f t="shared" si="4"/>
        <v>1월분</v>
      </c>
      <c r="D14" s="26" t="s">
        <v>37</v>
      </c>
      <c r="E14" s="27">
        <f>SUMIFS(전체리스트!D:D,전체리스트!A:A,B14,전체리스트!C:C,D14)</f>
        <v>600</v>
      </c>
      <c r="F14" s="28">
        <f t="shared" si="5"/>
        <v>0</v>
      </c>
      <c r="G14" s="29">
        <f>SUMIFS(전체리스트!E:E,전체리스트!A:A,B14,전체리스트!C:C,D14)</f>
        <v>600</v>
      </c>
      <c r="H14" s="27">
        <f t="shared" si="2"/>
        <v>30</v>
      </c>
      <c r="I14" s="30">
        <f t="shared" si="6"/>
        <v>570</v>
      </c>
      <c r="J14" s="26"/>
    </row>
    <row r="15" spans="2:10">
      <c r="B15" s="26" t="s">
        <v>26</v>
      </c>
      <c r="C15" s="61" t="str">
        <f t="shared" si="4"/>
        <v>1월분</v>
      </c>
      <c r="D15" s="26" t="s">
        <v>76</v>
      </c>
      <c r="E15" s="27">
        <f>SUMIFS(전체리스트!D:D,전체리스트!A:A,B15,전체리스트!C:C,D15)</f>
        <v>717444</v>
      </c>
      <c r="F15" s="28">
        <f t="shared" si="5"/>
        <v>0</v>
      </c>
      <c r="G15" s="29">
        <f>SUMIFS(전체리스트!E:E,전체리스트!A:A,B15,전체리스트!C:C,D15)</f>
        <v>717444</v>
      </c>
      <c r="H15" s="27">
        <f t="shared" si="2"/>
        <v>35872.200000000004</v>
      </c>
      <c r="I15" s="30">
        <f t="shared" si="6"/>
        <v>681571.8</v>
      </c>
      <c r="J15" s="26"/>
    </row>
    <row r="16" spans="2:10">
      <c r="B16" s="26" t="s">
        <v>26</v>
      </c>
      <c r="C16" s="61" t="str">
        <f t="shared" si="4"/>
        <v>1월분</v>
      </c>
      <c r="D16" s="26" t="s">
        <v>250</v>
      </c>
      <c r="E16" s="27">
        <f>SUMIFS(전체리스트!D:D,전체리스트!A:A,B16,전체리스트!C:C,D16)</f>
        <v>1202544</v>
      </c>
      <c r="F16" s="28">
        <f t="shared" si="5"/>
        <v>0</v>
      </c>
      <c r="G16" s="29">
        <f>SUMIFS(전체리스트!E:E,전체리스트!A:A,B16,전체리스트!C:C,D16)</f>
        <v>1202544</v>
      </c>
      <c r="H16" s="27">
        <f t="shared" si="2"/>
        <v>60127.200000000004</v>
      </c>
      <c r="I16" s="30">
        <f t="shared" si="6"/>
        <v>1142416.8</v>
      </c>
      <c r="J16" s="26"/>
    </row>
    <row r="17" spans="2:10">
      <c r="B17" s="26" t="s">
        <v>26</v>
      </c>
      <c r="C17" s="61" t="str">
        <f t="shared" si="4"/>
        <v>1월분</v>
      </c>
      <c r="D17" s="26" t="s">
        <v>154</v>
      </c>
      <c r="E17" s="27">
        <f>SUMIFS(전체리스트!D:D,전체리스트!A:A,B17,전체리스트!C:C,D17)</f>
        <v>1350</v>
      </c>
      <c r="F17" s="28">
        <f t="shared" si="5"/>
        <v>0</v>
      </c>
      <c r="G17" s="29">
        <f>SUMIFS(전체리스트!E:E,전체리스트!A:A,B17,전체리스트!C:C,D17)</f>
        <v>1350</v>
      </c>
      <c r="H17" s="27">
        <f t="shared" si="2"/>
        <v>67.5</v>
      </c>
      <c r="I17" s="30">
        <f t="shared" si="6"/>
        <v>1282.5</v>
      </c>
      <c r="J17" s="26"/>
    </row>
    <row r="18" spans="2:10">
      <c r="B18" s="26" t="s">
        <v>26</v>
      </c>
      <c r="C18" s="61" t="str">
        <f t="shared" si="4"/>
        <v>1월분</v>
      </c>
      <c r="D18" s="26" t="s">
        <v>57</v>
      </c>
      <c r="E18" s="27">
        <f>SUMIFS(전체리스트!D:D,전체리스트!A:A,B18,전체리스트!C:C,D18)</f>
        <v>9240</v>
      </c>
      <c r="F18" s="28">
        <f t="shared" si="5"/>
        <v>0</v>
      </c>
      <c r="G18" s="29">
        <f>SUMIFS(전체리스트!E:E,전체리스트!A:A,B18,전체리스트!C:C,D18)</f>
        <v>9240</v>
      </c>
      <c r="H18" s="27">
        <f t="shared" si="2"/>
        <v>462</v>
      </c>
      <c r="I18" s="30">
        <f t="shared" si="6"/>
        <v>8778</v>
      </c>
      <c r="J18" s="26"/>
    </row>
    <row r="19" spans="2:10">
      <c r="B19" s="26" t="s">
        <v>26</v>
      </c>
      <c r="C19" s="61" t="str">
        <f t="shared" si="4"/>
        <v>1월분</v>
      </c>
      <c r="D19" s="26" t="s">
        <v>251</v>
      </c>
      <c r="E19" s="27">
        <f>SUMIFS(전체리스트!D:D,전체리스트!A:A,B19,전체리스트!C:C,D19)</f>
        <v>3881808</v>
      </c>
      <c r="F19" s="28">
        <f t="shared" si="5"/>
        <v>0</v>
      </c>
      <c r="G19" s="29">
        <f>SUMIFS(전체리스트!E:E,전체리스트!A:A,B19,전체리스트!C:C,D19)</f>
        <v>3881808</v>
      </c>
      <c r="H19" s="27">
        <f t="shared" si="2"/>
        <v>194090.40000000002</v>
      </c>
      <c r="I19" s="30">
        <f t="shared" si="6"/>
        <v>3687717.6</v>
      </c>
      <c r="J19" s="26"/>
    </row>
    <row r="20" spans="2:10">
      <c r="B20" s="26" t="s">
        <v>26</v>
      </c>
      <c r="C20" s="61" t="str">
        <f t="shared" si="4"/>
        <v>1월분</v>
      </c>
      <c r="D20" s="26" t="s">
        <v>180</v>
      </c>
      <c r="E20" s="27">
        <f>SUMIFS(전체리스트!D:D,전체리스트!A:A,B20,전체리스트!C:C,D20)</f>
        <v>1628424</v>
      </c>
      <c r="F20" s="28">
        <f t="shared" si="5"/>
        <v>0</v>
      </c>
      <c r="G20" s="29">
        <f>SUMIFS(전체리스트!E:E,전체리스트!A:A,B20,전체리스트!C:C,D20)</f>
        <v>1628424</v>
      </c>
      <c r="H20" s="27">
        <f t="shared" si="2"/>
        <v>81421.200000000012</v>
      </c>
      <c r="I20" s="30">
        <f t="shared" si="6"/>
        <v>1547002.8</v>
      </c>
      <c r="J20" s="26"/>
    </row>
    <row r="21" spans="2:10">
      <c r="B21" s="26" t="s">
        <v>26</v>
      </c>
      <c r="C21" s="61" t="str">
        <f t="shared" si="4"/>
        <v>1월분</v>
      </c>
      <c r="D21" s="26" t="s">
        <v>229</v>
      </c>
      <c r="E21" s="27">
        <f>SUMIFS(전체리스트!D:D,전체리스트!A:A,B21,전체리스트!C:C,D21)</f>
        <v>14868</v>
      </c>
      <c r="F21" s="28">
        <f t="shared" si="5"/>
        <v>0</v>
      </c>
      <c r="G21" s="29">
        <f>SUMIFS(전체리스트!E:E,전체리스트!A:A,B21,전체리스트!C:C,D21)</f>
        <v>14868</v>
      </c>
      <c r="H21" s="27">
        <f t="shared" si="2"/>
        <v>743.40000000000009</v>
      </c>
      <c r="I21" s="30">
        <f t="shared" si="6"/>
        <v>14124.6</v>
      </c>
      <c r="J21" s="26"/>
    </row>
    <row r="22" spans="2:10">
      <c r="B22" s="26" t="s">
        <v>26</v>
      </c>
      <c r="C22" s="61" t="str">
        <f t="shared" si="4"/>
        <v>1월분</v>
      </c>
      <c r="D22" s="26" t="s">
        <v>269</v>
      </c>
      <c r="E22" s="27">
        <f>SUMIFS(전체리스트!D:D,전체리스트!A:A,B22,전체리스트!C:C,D22)</f>
        <v>13356</v>
      </c>
      <c r="F22" s="28">
        <f t="shared" si="5"/>
        <v>0</v>
      </c>
      <c r="G22" s="29">
        <f>SUMIFS(전체리스트!E:E,전체리스트!A:A,B22,전체리스트!C:C,D22)</f>
        <v>13356</v>
      </c>
      <c r="H22" s="27">
        <f t="shared" si="2"/>
        <v>667.80000000000007</v>
      </c>
      <c r="I22" s="30">
        <f t="shared" si="6"/>
        <v>12688.2</v>
      </c>
      <c r="J22" s="26"/>
    </row>
    <row r="23" spans="2:10">
      <c r="B23" s="26" t="s">
        <v>26</v>
      </c>
      <c r="C23" s="61" t="str">
        <f t="shared" si="4"/>
        <v>1월분</v>
      </c>
      <c r="D23" s="26" t="s">
        <v>66</v>
      </c>
      <c r="E23" s="27">
        <f>SUMIFS(전체리스트!D:D,전체리스트!A:A,B23,전체리스트!C:C,D23)</f>
        <v>53700</v>
      </c>
      <c r="F23" s="28">
        <f t="shared" si="5"/>
        <v>0</v>
      </c>
      <c r="G23" s="29">
        <f>SUMIFS(전체리스트!E:E,전체리스트!A:A,B23,전체리스트!C:C,D23)</f>
        <v>53700</v>
      </c>
      <c r="H23" s="27">
        <f t="shared" si="2"/>
        <v>2685</v>
      </c>
      <c r="I23" s="30">
        <f t="shared" si="6"/>
        <v>51015</v>
      </c>
      <c r="J23" s="26"/>
    </row>
    <row r="24" spans="2:10">
      <c r="B24" s="26" t="s">
        <v>26</v>
      </c>
      <c r="C24" s="61" t="str">
        <f t="shared" si="4"/>
        <v>1월분</v>
      </c>
      <c r="D24" s="26" t="s">
        <v>330</v>
      </c>
      <c r="E24" s="27">
        <f>SUMIFS(전체리스트!D:D,전체리스트!A:A,B24,전체리스트!C:C,D24)</f>
        <v>24948</v>
      </c>
      <c r="F24" s="28">
        <f t="shared" si="5"/>
        <v>0</v>
      </c>
      <c r="G24" s="29">
        <f>SUMIFS(전체리스트!E:E,전체리스트!A:A,B24,전체리스트!C:C,D24)</f>
        <v>24948</v>
      </c>
      <c r="H24" s="27">
        <f t="shared" si="2"/>
        <v>1247.4000000000001</v>
      </c>
      <c r="I24" s="30">
        <f t="shared" si="6"/>
        <v>23700.6</v>
      </c>
      <c r="J24" s="26"/>
    </row>
    <row r="25" spans="2:10">
      <c r="B25" s="26" t="s">
        <v>26</v>
      </c>
      <c r="C25" s="61" t="str">
        <f t="shared" si="4"/>
        <v>1월분</v>
      </c>
      <c r="D25" s="26" t="s">
        <v>331</v>
      </c>
      <c r="E25" s="27">
        <f>SUMIFS(전체리스트!D:D,전체리스트!A:A,B25,전체리스트!C:C,D25)</f>
        <v>30744</v>
      </c>
      <c r="F25" s="28">
        <f t="shared" si="5"/>
        <v>0</v>
      </c>
      <c r="G25" s="29">
        <f>SUMIFS(전체리스트!E:E,전체리스트!A:A,B25,전체리스트!C:C,D25)</f>
        <v>30744</v>
      </c>
      <c r="H25" s="27">
        <f t="shared" si="2"/>
        <v>1537.2</v>
      </c>
      <c r="I25" s="30">
        <f t="shared" si="6"/>
        <v>29206.799999999999</v>
      </c>
      <c r="J25" s="26"/>
    </row>
    <row r="26" spans="2:10">
      <c r="B26" s="26" t="s">
        <v>26</v>
      </c>
      <c r="C26" s="61" t="str">
        <f t="shared" si="4"/>
        <v>1월분</v>
      </c>
      <c r="D26" s="26" t="s">
        <v>332</v>
      </c>
      <c r="E26" s="27">
        <f>SUMIFS(전체리스트!D:D,전체리스트!A:A,B26,전체리스트!C:C,D26)</f>
        <v>244608</v>
      </c>
      <c r="F26" s="28">
        <f t="shared" si="5"/>
        <v>0</v>
      </c>
      <c r="G26" s="29">
        <f>SUMIFS(전체리스트!E:E,전체리스트!A:A,B26,전체리스트!C:C,D26)</f>
        <v>244608</v>
      </c>
      <c r="H26" s="27">
        <f t="shared" si="2"/>
        <v>12230.400000000001</v>
      </c>
      <c r="I26" s="30">
        <f t="shared" si="6"/>
        <v>232377.60000000001</v>
      </c>
      <c r="J26" s="26"/>
    </row>
    <row r="27" spans="2:10">
      <c r="B27" s="26" t="s">
        <v>26</v>
      </c>
      <c r="C27" s="61" t="str">
        <f t="shared" ref="C27" si="7">VLOOKUP(B27,raw_a,2,0)</f>
        <v>1월분</v>
      </c>
      <c r="D27" s="26" t="s">
        <v>351</v>
      </c>
      <c r="E27" s="27">
        <f>SUMIFS(전체리스트!D:D,전체리스트!A:A,B27,전체리스트!C:C,D27)</f>
        <v>13440</v>
      </c>
      <c r="F27" s="28">
        <f t="shared" ref="F27" si="8">E27-G27</f>
        <v>0</v>
      </c>
      <c r="G27" s="29">
        <f>SUMIFS(전체리스트!E:E,전체리스트!A:A,B27,전체리스트!C:C,D27)</f>
        <v>13440</v>
      </c>
      <c r="H27" s="27">
        <f t="shared" si="2"/>
        <v>672</v>
      </c>
      <c r="I27" s="30">
        <f t="shared" ref="I27" si="9">G27-H27</f>
        <v>12768</v>
      </c>
      <c r="J27" s="26"/>
    </row>
    <row r="28" spans="2:10">
      <c r="B28" s="26" t="s">
        <v>26</v>
      </c>
      <c r="C28" s="61" t="str">
        <f t="shared" ref="C28:C32" si="10">VLOOKUP(B28,raw_a,2,0)</f>
        <v>1월분</v>
      </c>
      <c r="D28" s="26" t="s">
        <v>389</v>
      </c>
      <c r="E28" s="27">
        <f>SUMIFS(전체리스트!D:D,전체리스트!A:A,B28,전체리스트!C:C,D28)</f>
        <v>113400</v>
      </c>
      <c r="F28" s="28">
        <f t="shared" ref="F28:F32" si="11">E28-G28</f>
        <v>0</v>
      </c>
      <c r="G28" s="29">
        <f>SUMIFS(전체리스트!E:E,전체리스트!A:A,B28,전체리스트!C:C,D28)</f>
        <v>113400</v>
      </c>
      <c r="H28" s="27">
        <f t="shared" si="2"/>
        <v>5670</v>
      </c>
      <c r="I28" s="30">
        <f t="shared" ref="I28:I32" si="12">G28-H28</f>
        <v>107730</v>
      </c>
      <c r="J28" s="26"/>
    </row>
    <row r="29" spans="2:10">
      <c r="B29" s="26" t="s">
        <v>26</v>
      </c>
      <c r="C29" s="61" t="str">
        <f t="shared" si="10"/>
        <v>1월분</v>
      </c>
      <c r="D29" s="26" t="s">
        <v>390</v>
      </c>
      <c r="E29" s="27">
        <f>SUMIFS(전체리스트!D:D,전체리스트!A:A,B29,전체리스트!C:C,D29)</f>
        <v>29568</v>
      </c>
      <c r="F29" s="28">
        <f t="shared" si="11"/>
        <v>0</v>
      </c>
      <c r="G29" s="29">
        <f>SUMIFS(전체리스트!E:E,전체리스트!A:A,B29,전체리스트!C:C,D29)</f>
        <v>29568</v>
      </c>
      <c r="H29" s="27">
        <f t="shared" si="2"/>
        <v>1478.4</v>
      </c>
      <c r="I29" s="30">
        <f t="shared" si="12"/>
        <v>28089.599999999999</v>
      </c>
      <c r="J29" s="26"/>
    </row>
    <row r="30" spans="2:10">
      <c r="B30" s="26" t="s">
        <v>26</v>
      </c>
      <c r="C30" s="61" t="str">
        <f t="shared" si="10"/>
        <v>1월분</v>
      </c>
      <c r="D30" s="26" t="s">
        <v>391</v>
      </c>
      <c r="E30" s="27">
        <f>SUMIFS(전체리스트!D:D,전체리스트!A:A,B30,전체리스트!C:C,D30)</f>
        <v>45600</v>
      </c>
      <c r="F30" s="28">
        <f t="shared" si="11"/>
        <v>0</v>
      </c>
      <c r="G30" s="29">
        <f>SUMIFS(전체리스트!E:E,전체리스트!A:A,B30,전체리스트!C:C,D30)</f>
        <v>45600</v>
      </c>
      <c r="H30" s="27">
        <f t="shared" si="2"/>
        <v>2280</v>
      </c>
      <c r="I30" s="30">
        <f t="shared" si="12"/>
        <v>43320</v>
      </c>
      <c r="J30" s="26"/>
    </row>
    <row r="31" spans="2:10">
      <c r="B31" s="26" t="s">
        <v>26</v>
      </c>
      <c r="C31" s="61" t="str">
        <f t="shared" si="10"/>
        <v>1월분</v>
      </c>
      <c r="D31" s="26" t="s">
        <v>59</v>
      </c>
      <c r="E31" s="27">
        <f>SUMIFS(전체리스트!D:D,전체리스트!A:A,B31,전체리스트!C:C,D31)</f>
        <v>5400</v>
      </c>
      <c r="F31" s="28">
        <f t="shared" si="11"/>
        <v>0</v>
      </c>
      <c r="G31" s="29">
        <f>SUMIFS(전체리스트!E:E,전체리스트!A:A,B31,전체리스트!C:C,D31)</f>
        <v>5400</v>
      </c>
      <c r="H31" s="27">
        <f t="shared" si="2"/>
        <v>270</v>
      </c>
      <c r="I31" s="30">
        <f t="shared" si="12"/>
        <v>5130</v>
      </c>
      <c r="J31" s="26"/>
    </row>
    <row r="32" spans="2:10">
      <c r="B32" s="26" t="s">
        <v>26</v>
      </c>
      <c r="C32" s="61" t="str">
        <f t="shared" si="10"/>
        <v>1월분</v>
      </c>
      <c r="D32" s="26" t="s">
        <v>380</v>
      </c>
      <c r="E32" s="27">
        <f>SUMIFS(전체리스트!D:D,전체리스트!A:A,B32,전체리스트!C:C,D32)</f>
        <v>249000</v>
      </c>
      <c r="F32" s="28">
        <f t="shared" si="11"/>
        <v>0</v>
      </c>
      <c r="G32" s="29">
        <f>SUMIFS(전체리스트!E:E,전체리스트!A:A,B32,전체리스트!C:C,D32)</f>
        <v>249000</v>
      </c>
      <c r="H32" s="27">
        <f t="shared" si="2"/>
        <v>12450</v>
      </c>
      <c r="I32" s="30">
        <f t="shared" si="12"/>
        <v>236550</v>
      </c>
      <c r="J32" s="26"/>
    </row>
    <row r="33" spans="2:10">
      <c r="B33" s="31" t="s">
        <v>0</v>
      </c>
      <c r="C33" s="31"/>
      <c r="D33" s="32"/>
      <c r="E33" s="33">
        <f t="shared" ref="E33:J33" si="13">SUM(E6:E32)</f>
        <v>8526312</v>
      </c>
      <c r="F33" s="33">
        <f t="shared" si="13"/>
        <v>0</v>
      </c>
      <c r="G33" s="33">
        <f t="shared" si="13"/>
        <v>8526312</v>
      </c>
      <c r="H33" s="33">
        <f t="shared" si="13"/>
        <v>426315.60000000015</v>
      </c>
      <c r="I33" s="33">
        <f t="shared" si="13"/>
        <v>8099996.3999999985</v>
      </c>
      <c r="J33" s="33">
        <f t="shared" si="1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J17"/>
  <sheetViews>
    <sheetView workbookViewId="0">
      <selection activeCell="F24" sqref="F24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92</v>
      </c>
      <c r="C6" s="61" t="str">
        <f t="shared" ref="C6:C16" si="0">VLOOKUP(B6,raw_a,2,0)</f>
        <v>1월분</v>
      </c>
      <c r="D6" s="26" t="s">
        <v>66</v>
      </c>
      <c r="E6" s="27">
        <f>SUMIFS(전체리스트!D:D,전체리스트!A:A,B6,전체리스트!C:C,D6)</f>
        <v>34400</v>
      </c>
      <c r="F6" s="28">
        <f>E6-G6</f>
        <v>10320</v>
      </c>
      <c r="G6" s="29">
        <f>SUMIFS(전체리스트!E:E,전체리스트!A:A,B6,전체리스트!C:C,D6)</f>
        <v>24080</v>
      </c>
      <c r="H6" s="27">
        <f>G6*0.05</f>
        <v>1204</v>
      </c>
      <c r="I6" s="30">
        <f>G6-H6</f>
        <v>22876</v>
      </c>
      <c r="J6" s="26"/>
    </row>
    <row r="7" spans="2:10">
      <c r="B7" s="26" t="s">
        <v>92</v>
      </c>
      <c r="C7" s="61" t="str">
        <f t="shared" ref="C7:C11" si="1">VLOOKUP(B7,raw_a,2,0)</f>
        <v>1월분</v>
      </c>
      <c r="D7" s="26" t="s">
        <v>386</v>
      </c>
      <c r="E7" s="27">
        <f>SUMIFS(전체리스트!D:D,전체리스트!A:A,B7,전체리스트!C:C,D7)</f>
        <v>460000</v>
      </c>
      <c r="F7" s="28">
        <f t="shared" ref="F7:F11" si="2">E7-G7</f>
        <v>138000</v>
      </c>
      <c r="G7" s="29">
        <f>SUMIFS(전체리스트!E:E,전체리스트!A:A,B7,전체리스트!C:C,D7)</f>
        <v>322000</v>
      </c>
      <c r="H7" s="27">
        <f t="shared" ref="H7:H16" si="3">G7*0.05</f>
        <v>16100</v>
      </c>
      <c r="I7" s="30">
        <f t="shared" ref="I7:I11" si="4">G7-H7</f>
        <v>305900</v>
      </c>
      <c r="J7" s="26"/>
    </row>
    <row r="8" spans="2:10">
      <c r="B8" s="26" t="s">
        <v>92</v>
      </c>
      <c r="C8" s="61" t="str">
        <f t="shared" si="1"/>
        <v>1월분</v>
      </c>
      <c r="D8" s="26" t="s">
        <v>321</v>
      </c>
      <c r="E8" s="27">
        <f>SUMIFS(전체리스트!D:D,전체리스트!A:A,B8,전체리스트!C:C,D8)</f>
        <v>108500</v>
      </c>
      <c r="F8" s="28">
        <f t="shared" si="2"/>
        <v>32550</v>
      </c>
      <c r="G8" s="29">
        <f>SUMIFS(전체리스트!E:E,전체리스트!A:A,B8,전체리스트!C:C,D8)</f>
        <v>75950</v>
      </c>
      <c r="H8" s="27">
        <f t="shared" si="3"/>
        <v>3797.5</v>
      </c>
      <c r="I8" s="30">
        <f t="shared" si="4"/>
        <v>72152.5</v>
      </c>
      <c r="J8" s="26"/>
    </row>
    <row r="9" spans="2:10">
      <c r="B9" s="26" t="s">
        <v>92</v>
      </c>
      <c r="C9" s="61" t="str">
        <f t="shared" si="1"/>
        <v>1월분</v>
      </c>
      <c r="D9" s="26" t="s">
        <v>281</v>
      </c>
      <c r="E9" s="27">
        <f>SUMIFS(전체리스트!D:D,전체리스트!A:A,B9,전체리스트!C:C,D9)</f>
        <v>10500</v>
      </c>
      <c r="F9" s="28">
        <f t="shared" si="2"/>
        <v>3150</v>
      </c>
      <c r="G9" s="29">
        <f>SUMIFS(전체리스트!E:E,전체리스트!A:A,B9,전체리스트!C:C,D9)</f>
        <v>7350</v>
      </c>
      <c r="H9" s="27">
        <f t="shared" si="3"/>
        <v>367.5</v>
      </c>
      <c r="I9" s="30">
        <f t="shared" si="4"/>
        <v>6982.5</v>
      </c>
      <c r="J9" s="26"/>
    </row>
    <row r="10" spans="2:10">
      <c r="B10" s="26" t="s">
        <v>92</v>
      </c>
      <c r="C10" s="61" t="str">
        <f t="shared" si="1"/>
        <v>1월분</v>
      </c>
      <c r="D10" s="26" t="s">
        <v>27</v>
      </c>
      <c r="E10" s="27">
        <f>SUMIFS(전체리스트!D:D,전체리스트!A:A,B10,전체리스트!C:C,D10)</f>
        <v>400</v>
      </c>
      <c r="F10" s="28">
        <f t="shared" si="2"/>
        <v>120</v>
      </c>
      <c r="G10" s="29">
        <f>SUMIFS(전체리스트!E:E,전체리스트!A:A,B10,전체리스트!C:C,D10)</f>
        <v>280</v>
      </c>
      <c r="H10" s="27">
        <f t="shared" si="3"/>
        <v>14</v>
      </c>
      <c r="I10" s="30">
        <f t="shared" si="4"/>
        <v>266</v>
      </c>
      <c r="J10" s="26"/>
    </row>
    <row r="11" spans="2:10">
      <c r="B11" s="26" t="s">
        <v>92</v>
      </c>
      <c r="C11" s="61" t="str">
        <f t="shared" si="1"/>
        <v>1월분</v>
      </c>
      <c r="D11" s="26" t="s">
        <v>349</v>
      </c>
      <c r="E11" s="27">
        <f>SUMIFS(전체리스트!D:D,전체리스트!A:A,B11,전체리스트!C:C,D11)</f>
        <v>13500</v>
      </c>
      <c r="F11" s="28">
        <f t="shared" si="2"/>
        <v>4050</v>
      </c>
      <c r="G11" s="29">
        <f>SUMIFS(전체리스트!E:E,전체리스트!A:A,B11,전체리스트!C:C,D11)</f>
        <v>9450</v>
      </c>
      <c r="H11" s="27">
        <f t="shared" si="3"/>
        <v>472.5</v>
      </c>
      <c r="I11" s="30">
        <f t="shared" si="4"/>
        <v>8977.5</v>
      </c>
      <c r="J11" s="26"/>
    </row>
    <row r="12" spans="2:10">
      <c r="B12" s="26" t="s">
        <v>92</v>
      </c>
      <c r="C12" s="61" t="str">
        <f t="shared" si="0"/>
        <v>1월분</v>
      </c>
      <c r="D12" s="26" t="s">
        <v>433</v>
      </c>
      <c r="E12" s="27">
        <f>SUMIFS(전체리스트!D:D,전체리스트!A:A,B12,전체리스트!C:C,D12)</f>
        <v>33600</v>
      </c>
      <c r="F12" s="28">
        <f t="shared" ref="F12:F16" si="5">E12-G12</f>
        <v>10080</v>
      </c>
      <c r="G12" s="29">
        <f>SUMIFS(전체리스트!E:E,전체리스트!A:A,B12,전체리스트!C:C,D12)</f>
        <v>23520</v>
      </c>
      <c r="H12" s="27">
        <f t="shared" si="3"/>
        <v>1176</v>
      </c>
      <c r="I12" s="30">
        <f t="shared" ref="I12:I16" si="6">G12-H12</f>
        <v>22344</v>
      </c>
      <c r="J12" s="26"/>
    </row>
    <row r="13" spans="2:10">
      <c r="B13" s="26" t="s">
        <v>92</v>
      </c>
      <c r="C13" s="61" t="str">
        <f t="shared" si="0"/>
        <v>1월분</v>
      </c>
      <c r="D13" s="26" t="s">
        <v>72</v>
      </c>
      <c r="E13" s="27">
        <f>SUMIFS(전체리스트!D:D,전체리스트!A:A,B13,전체리스트!C:C,D13)</f>
        <v>300</v>
      </c>
      <c r="F13" s="28">
        <f t="shared" si="5"/>
        <v>90</v>
      </c>
      <c r="G13" s="29">
        <f>SUMIFS(전체리스트!E:E,전체리스트!A:A,B13,전체리스트!C:C,D13)</f>
        <v>210</v>
      </c>
      <c r="H13" s="27">
        <f t="shared" si="3"/>
        <v>10.5</v>
      </c>
      <c r="I13" s="30">
        <f t="shared" si="6"/>
        <v>199.5</v>
      </c>
      <c r="J13" s="26"/>
    </row>
    <row r="14" spans="2:10">
      <c r="B14" s="26" t="s">
        <v>92</v>
      </c>
      <c r="C14" s="61" t="str">
        <f t="shared" si="0"/>
        <v>1월분</v>
      </c>
      <c r="D14" s="26" t="s">
        <v>380</v>
      </c>
      <c r="E14" s="27">
        <f>SUMIFS(전체리스트!D:D,전체리스트!A:A,B14,전체리스트!C:C,D14)</f>
        <v>10000</v>
      </c>
      <c r="F14" s="28">
        <f t="shared" si="5"/>
        <v>3000</v>
      </c>
      <c r="G14" s="29">
        <f>SUMIFS(전체리스트!E:E,전체리스트!A:A,B14,전체리스트!C:C,D14)</f>
        <v>7000</v>
      </c>
      <c r="H14" s="27">
        <f t="shared" si="3"/>
        <v>350</v>
      </c>
      <c r="I14" s="30">
        <f t="shared" si="6"/>
        <v>6650</v>
      </c>
      <c r="J14" s="26"/>
    </row>
    <row r="15" spans="2:10">
      <c r="B15" s="26" t="s">
        <v>92</v>
      </c>
      <c r="C15" s="61" t="str">
        <f t="shared" ref="C15" si="7">VLOOKUP(B15,raw_a,2,0)</f>
        <v>1월분</v>
      </c>
      <c r="D15" s="26" t="s">
        <v>347</v>
      </c>
      <c r="E15" s="27">
        <f>SUMIFS(전체리스트!D:D,전체리스트!A:A,B15,전체리스트!C:C,D15)</f>
        <v>19000</v>
      </c>
      <c r="F15" s="28">
        <f t="shared" ref="F15" si="8">E15-G15</f>
        <v>5700</v>
      </c>
      <c r="G15" s="29">
        <f>SUMIFS(전체리스트!E:E,전체리스트!A:A,B15,전체리스트!C:C,D15)</f>
        <v>13300</v>
      </c>
      <c r="H15" s="27">
        <f t="shared" ref="H15" si="9">G15*0.05</f>
        <v>665</v>
      </c>
      <c r="I15" s="30">
        <f t="shared" ref="I15" si="10">G15-H15</f>
        <v>12635</v>
      </c>
      <c r="J15" s="26"/>
    </row>
    <row r="16" spans="2:10">
      <c r="B16" s="26" t="s">
        <v>92</v>
      </c>
      <c r="C16" s="61" t="str">
        <f t="shared" si="0"/>
        <v>1월분</v>
      </c>
      <c r="D16" s="26" t="s">
        <v>61</v>
      </c>
      <c r="E16" s="27">
        <f>SUMIFS(전체리스트!D:D,전체리스트!A:A,B16,전체리스트!C:C,D16)</f>
        <v>209700</v>
      </c>
      <c r="F16" s="28">
        <f t="shared" si="5"/>
        <v>62910</v>
      </c>
      <c r="G16" s="29">
        <f>SUMIFS(전체리스트!E:E,전체리스트!A:A,B16,전체리스트!C:C,D16)</f>
        <v>146790</v>
      </c>
      <c r="H16" s="27">
        <f t="shared" si="3"/>
        <v>7339.5</v>
      </c>
      <c r="I16" s="30">
        <f t="shared" si="6"/>
        <v>139450.5</v>
      </c>
      <c r="J16" s="26"/>
    </row>
    <row r="17" spans="2:10">
      <c r="B17" s="31" t="s">
        <v>0</v>
      </c>
      <c r="C17" s="31"/>
      <c r="D17" s="32"/>
      <c r="E17" s="33">
        <f t="shared" ref="E17:J17" si="11">SUM(E6:E16)</f>
        <v>899900</v>
      </c>
      <c r="F17" s="33">
        <f t="shared" si="11"/>
        <v>269970</v>
      </c>
      <c r="G17" s="33">
        <f t="shared" si="11"/>
        <v>629930</v>
      </c>
      <c r="H17" s="33">
        <f t="shared" si="11"/>
        <v>31496.5</v>
      </c>
      <c r="I17" s="33">
        <f t="shared" si="11"/>
        <v>598433.5</v>
      </c>
      <c r="J17" s="33">
        <f t="shared" si="11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J13"/>
  <sheetViews>
    <sheetView workbookViewId="0">
      <selection activeCell="I26" sqref="I26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120</v>
      </c>
      <c r="C6" s="61" t="str">
        <f t="shared" ref="C6:C10" si="0">VLOOKUP(B6,raw_a,2,0)</f>
        <v>12월분</v>
      </c>
      <c r="D6" s="26" t="s">
        <v>77</v>
      </c>
      <c r="E6" s="27">
        <f>SUMIFS(전체리스트!D:D,전체리스트!A:A,B6,전체리스트!C:C,D6)</f>
        <v>669024</v>
      </c>
      <c r="F6" s="28">
        <f>E6-G6</f>
        <v>0</v>
      </c>
      <c r="G6" s="29">
        <f>SUMIFS(전체리스트!E:E,전체리스트!A:A,B6,전체리스트!C:C,D6)</f>
        <v>669024</v>
      </c>
      <c r="H6" s="27">
        <f>G6*0.05</f>
        <v>33451.200000000004</v>
      </c>
      <c r="I6" s="30">
        <f>G6-H6</f>
        <v>635572.80000000005</v>
      </c>
      <c r="J6" s="26"/>
    </row>
    <row r="7" spans="2:10">
      <c r="B7" s="26" t="s">
        <v>120</v>
      </c>
      <c r="C7" s="61" t="str">
        <f t="shared" si="0"/>
        <v>12월분</v>
      </c>
      <c r="D7" s="26" t="s">
        <v>76</v>
      </c>
      <c r="E7" s="27">
        <f>SUMIFS(전체리스트!D:D,전체리스트!A:A,B7,전체리스트!C:C,D7)</f>
        <v>38961</v>
      </c>
      <c r="F7" s="28">
        <f t="shared" ref="F7" si="1">E7-G7</f>
        <v>0</v>
      </c>
      <c r="G7" s="29">
        <f>SUMIFS(전체리스트!E:E,전체리스트!A:A,B7,전체리스트!C:C,D7)</f>
        <v>38961</v>
      </c>
      <c r="H7" s="27">
        <f t="shared" ref="H7:H12" si="2">G7*0.05</f>
        <v>1948.0500000000002</v>
      </c>
      <c r="I7" s="30">
        <f t="shared" ref="I7" si="3">G7-H7</f>
        <v>37012.949999999997</v>
      </c>
      <c r="J7" s="26"/>
    </row>
    <row r="8" spans="2:10">
      <c r="B8" s="26" t="s">
        <v>28</v>
      </c>
      <c r="C8" s="61" t="str">
        <f t="shared" si="0"/>
        <v>12월분</v>
      </c>
      <c r="D8" s="26" t="s">
        <v>179</v>
      </c>
      <c r="E8" s="27">
        <f>SUMIFS(전체리스트!D:D,전체리스트!A:A,B8,전체리스트!C:C,D8)</f>
        <v>603891</v>
      </c>
      <c r="F8" s="28">
        <f>E8-G8</f>
        <v>0</v>
      </c>
      <c r="G8" s="29">
        <f>SUMIFS(전체리스트!E:E,전체리스트!A:A,B8,전체리스트!C:C,D8)</f>
        <v>603891</v>
      </c>
      <c r="H8" s="27">
        <f t="shared" si="2"/>
        <v>30194.550000000003</v>
      </c>
      <c r="I8" s="30">
        <f>G8-H8</f>
        <v>573696.44999999995</v>
      </c>
      <c r="J8" s="26"/>
    </row>
    <row r="9" spans="2:10">
      <c r="B9" s="26" t="s">
        <v>28</v>
      </c>
      <c r="C9" s="61" t="str">
        <f t="shared" si="0"/>
        <v>12월분</v>
      </c>
      <c r="D9" s="26" t="s">
        <v>180</v>
      </c>
      <c r="E9" s="27">
        <f>SUMIFS(전체리스트!D:D,전체리스트!A:A,B9,전체리스트!C:C,D9)</f>
        <v>332127</v>
      </c>
      <c r="F9" s="28">
        <f t="shared" ref="F9" si="4">E9-G9</f>
        <v>0</v>
      </c>
      <c r="G9" s="29">
        <f>SUMIFS(전체리스트!E:E,전체리스트!A:A,B9,전체리스트!C:C,D9)</f>
        <v>332127</v>
      </c>
      <c r="H9" s="27">
        <f t="shared" si="2"/>
        <v>16606.350000000002</v>
      </c>
      <c r="I9" s="30">
        <f t="shared" ref="I9" si="5">G9-H9</f>
        <v>315520.65000000002</v>
      </c>
      <c r="J9" s="26"/>
    </row>
    <row r="10" spans="2:10">
      <c r="B10" s="26" t="s">
        <v>28</v>
      </c>
      <c r="C10" s="61" t="str">
        <f t="shared" si="0"/>
        <v>12월분</v>
      </c>
      <c r="D10" s="26" t="s">
        <v>236</v>
      </c>
      <c r="E10" s="27">
        <f>SUMIFS(전체리스트!D:D,전체리스트!A:A,B10,전체리스트!C:C,D10)</f>
        <v>7533</v>
      </c>
      <c r="F10" s="28">
        <f>E10-G10</f>
        <v>0</v>
      </c>
      <c r="G10" s="29">
        <f>SUMIFS(전체리스트!E:E,전체리스트!A:A,B10,전체리스트!C:C,D10)</f>
        <v>7533</v>
      </c>
      <c r="H10" s="27">
        <f t="shared" si="2"/>
        <v>376.65000000000003</v>
      </c>
      <c r="I10" s="30">
        <f>G10-H10</f>
        <v>7156.35</v>
      </c>
      <c r="J10" s="26"/>
    </row>
    <row r="11" spans="2:10">
      <c r="B11" s="26" t="s">
        <v>28</v>
      </c>
      <c r="C11" s="61" t="str">
        <f t="shared" ref="C11:C12" si="6">VLOOKUP(B11,raw_a,2,0)</f>
        <v>12월분</v>
      </c>
      <c r="D11" s="26" t="s">
        <v>333</v>
      </c>
      <c r="E11" s="27">
        <f>SUMIFS(전체리스트!D:D,전체리스트!A:A,B11,전체리스트!C:C,D11)</f>
        <v>57312</v>
      </c>
      <c r="F11" s="28">
        <f>E11-G11</f>
        <v>0</v>
      </c>
      <c r="G11" s="29">
        <f>SUMIFS(전체리스트!E:E,전체리스트!A:A,B11,전체리스트!C:C,D11)</f>
        <v>57312</v>
      </c>
      <c r="H11" s="27">
        <f t="shared" si="2"/>
        <v>2865.6000000000004</v>
      </c>
      <c r="I11" s="30">
        <f>G11-H11</f>
        <v>54446.400000000001</v>
      </c>
      <c r="J11" s="26"/>
    </row>
    <row r="12" spans="2:10">
      <c r="B12" s="26" t="s">
        <v>28</v>
      </c>
      <c r="C12" s="61" t="str">
        <f t="shared" si="6"/>
        <v>12월분</v>
      </c>
      <c r="D12" s="26" t="s">
        <v>312</v>
      </c>
      <c r="E12" s="27">
        <f>SUMIFS(전체리스트!D:D,전체리스트!A:A,B12,전체리스트!C:C,D12)</f>
        <v>25434</v>
      </c>
      <c r="F12" s="28">
        <f t="shared" ref="F12" si="7">E12-G12</f>
        <v>0</v>
      </c>
      <c r="G12" s="29">
        <f>SUMIFS(전체리스트!E:E,전체리스트!A:A,B12,전체리스트!C:C,D12)</f>
        <v>25434</v>
      </c>
      <c r="H12" s="27">
        <f t="shared" si="2"/>
        <v>1271.7</v>
      </c>
      <c r="I12" s="30">
        <f t="shared" ref="I12" si="8">G12-H12</f>
        <v>24162.3</v>
      </c>
      <c r="J12" s="26"/>
    </row>
    <row r="13" spans="2:10">
      <c r="B13" s="31" t="s">
        <v>0</v>
      </c>
      <c r="C13" s="31"/>
      <c r="D13" s="32"/>
      <c r="E13" s="33">
        <f t="shared" ref="E13:J13" si="9">SUM(E6:E12)</f>
        <v>1734282</v>
      </c>
      <c r="F13" s="33">
        <f t="shared" si="9"/>
        <v>0</v>
      </c>
      <c r="G13" s="33">
        <f t="shared" si="9"/>
        <v>1734282</v>
      </c>
      <c r="H13" s="33">
        <f t="shared" si="9"/>
        <v>86714.10000000002</v>
      </c>
      <c r="I13" s="33">
        <f t="shared" si="9"/>
        <v>1647567.9000000001</v>
      </c>
      <c r="J13" s="33">
        <f t="shared" si="9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M47"/>
  <sheetViews>
    <sheetView topLeftCell="A19" workbookViewId="0">
      <selection activeCell="D48" sqref="D48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187</v>
      </c>
      <c r="I5" s="25" t="s">
        <v>9</v>
      </c>
      <c r="J5" s="25" t="s">
        <v>24</v>
      </c>
    </row>
    <row r="6" spans="2:10">
      <c r="B6" s="26" t="s">
        <v>142</v>
      </c>
      <c r="C6" s="61" t="str">
        <f t="shared" ref="C6:C16" si="0">VLOOKUP(B6,raw_a,2,0)</f>
        <v>11월분</v>
      </c>
      <c r="D6" s="26" t="s">
        <v>30</v>
      </c>
      <c r="E6" s="27">
        <f>SUMIFS(전체리스트!D:D,전체리스트!A:A,B6,전체리스트!C:C,D6)</f>
        <v>625100</v>
      </c>
      <c r="F6" s="28">
        <f>E6-G6</f>
        <v>312550</v>
      </c>
      <c r="G6" s="29">
        <f>SUMIFS(전체리스트!E:E,전체리스트!A:A,B6,전체리스트!C:C,D6)</f>
        <v>312550</v>
      </c>
      <c r="H6" s="27">
        <f>G6*0.05</f>
        <v>15627.5</v>
      </c>
      <c r="I6" s="30">
        <f>G6-H6</f>
        <v>296922.5</v>
      </c>
      <c r="J6" s="26"/>
    </row>
    <row r="7" spans="2:10">
      <c r="B7" s="26" t="s">
        <v>143</v>
      </c>
      <c r="C7" s="61" t="str">
        <f t="shared" si="0"/>
        <v>11월분</v>
      </c>
      <c r="D7" s="26" t="s">
        <v>30</v>
      </c>
      <c r="E7" s="27">
        <f>SUMIFS(전체리스트!D:D,전체리스트!A:A,B7,전체리스트!C:C,D7)</f>
        <v>3150</v>
      </c>
      <c r="F7" s="28">
        <f t="shared" ref="F7:F16" si="1">E7-G7</f>
        <v>1575</v>
      </c>
      <c r="G7" s="29">
        <f>SUMIFS(전체리스트!E:E,전체리스트!A:A,B7,전체리스트!C:C,D7)</f>
        <v>1575</v>
      </c>
      <c r="H7" s="27">
        <f t="shared" ref="H7:H44" si="2">G7*0.05</f>
        <v>78.75</v>
      </c>
      <c r="I7" s="30">
        <f t="shared" ref="I7:I16" si="3">G7-H7</f>
        <v>1496.25</v>
      </c>
      <c r="J7" s="26"/>
    </row>
    <row r="8" spans="2:10">
      <c r="B8" s="26" t="s">
        <v>144</v>
      </c>
      <c r="C8" s="61" t="str">
        <f t="shared" si="0"/>
        <v>11월분</v>
      </c>
      <c r="D8" s="26" t="s">
        <v>30</v>
      </c>
      <c r="E8" s="27">
        <f>SUMIFS(전체리스트!D:D,전체리스트!A:A,B8,전체리스트!C:C,D8)</f>
        <v>8400</v>
      </c>
      <c r="F8" s="28">
        <f t="shared" si="1"/>
        <v>4200</v>
      </c>
      <c r="G8" s="29">
        <f>SUMIFS(전체리스트!E:E,전체리스트!A:A,B8,전체리스트!C:C,D8)</f>
        <v>4200</v>
      </c>
      <c r="H8" s="27">
        <f t="shared" si="2"/>
        <v>210</v>
      </c>
      <c r="I8" s="30">
        <f t="shared" si="3"/>
        <v>3990</v>
      </c>
      <c r="J8" s="26"/>
    </row>
    <row r="9" spans="2:10">
      <c r="B9" s="26" t="s">
        <v>181</v>
      </c>
      <c r="C9" s="61" t="str">
        <f t="shared" si="0"/>
        <v>11월분</v>
      </c>
      <c r="D9" s="26" t="s">
        <v>30</v>
      </c>
      <c r="E9" s="27">
        <f>SUMIFS(전체리스트!D:D,전체리스트!A:A,B9,전체리스트!C:C,D9)</f>
        <v>2940</v>
      </c>
      <c r="F9" s="28">
        <f t="shared" ref="F9" si="4">E9-G9</f>
        <v>1470</v>
      </c>
      <c r="G9" s="29">
        <f>SUMIFS(전체리스트!E:E,전체리스트!A:A,B9,전체리스트!C:C,D9)</f>
        <v>1470</v>
      </c>
      <c r="H9" s="27">
        <f t="shared" si="2"/>
        <v>73.5</v>
      </c>
      <c r="I9" s="30">
        <f t="shared" ref="I9" si="5">G9-H9</f>
        <v>1396.5</v>
      </c>
      <c r="J9" s="26"/>
    </row>
    <row r="10" spans="2:10">
      <c r="B10" s="26" t="s">
        <v>285</v>
      </c>
      <c r="C10" s="61" t="str">
        <f t="shared" si="0"/>
        <v>11월분</v>
      </c>
      <c r="D10" s="26" t="s">
        <v>31</v>
      </c>
      <c r="E10" s="27">
        <f>SUMIFS(전체리스트!D:D,전체리스트!A:A,B10,전체리스트!C:C,D10)</f>
        <v>11760</v>
      </c>
      <c r="F10" s="28">
        <f t="shared" si="1"/>
        <v>5880</v>
      </c>
      <c r="G10" s="29">
        <f>SUMIFS(전체리스트!E:E,전체리스트!A:A,B10,전체리스트!C:C,D10)</f>
        <v>5880</v>
      </c>
      <c r="H10" s="27">
        <f t="shared" si="2"/>
        <v>294</v>
      </c>
      <c r="I10" s="30">
        <f t="shared" si="3"/>
        <v>5586</v>
      </c>
      <c r="J10" s="26"/>
    </row>
    <row r="11" spans="2:10">
      <c r="B11" s="26" t="s">
        <v>60</v>
      </c>
      <c r="C11" s="61" t="str">
        <f t="shared" si="0"/>
        <v>12월분</v>
      </c>
      <c r="D11" s="26" t="s">
        <v>56</v>
      </c>
      <c r="E11" s="27">
        <f>SUMIFS(전체리스트!D:D,전체리스트!A:A,B11,전체리스트!C:C,D11)</f>
        <v>900</v>
      </c>
      <c r="F11" s="28">
        <f t="shared" si="1"/>
        <v>414</v>
      </c>
      <c r="G11" s="29">
        <f>SUMIFS(전체리스트!E:E,전체리스트!A:A,B11,전체리스트!C:C,D11)</f>
        <v>486</v>
      </c>
      <c r="H11" s="27">
        <f t="shared" si="2"/>
        <v>24.3</v>
      </c>
      <c r="I11" s="30">
        <f t="shared" si="3"/>
        <v>461.7</v>
      </c>
      <c r="J11" s="26"/>
    </row>
    <row r="12" spans="2:10">
      <c r="B12" s="26" t="s">
        <v>60</v>
      </c>
      <c r="C12" s="61" t="str">
        <f t="shared" si="0"/>
        <v>12월분</v>
      </c>
      <c r="D12" s="26" t="s">
        <v>76</v>
      </c>
      <c r="E12" s="27">
        <f>SUMIFS(전체리스트!D:D,전체리스트!A:A,B12,전체리스트!C:C,D12)</f>
        <v>61020</v>
      </c>
      <c r="F12" s="28">
        <f t="shared" si="1"/>
        <v>30510</v>
      </c>
      <c r="G12" s="29">
        <f>SUMIFS(전체리스트!E:E,전체리스트!A:A,B12,전체리스트!C:C,D12)</f>
        <v>30510</v>
      </c>
      <c r="H12" s="27">
        <f t="shared" si="2"/>
        <v>1525.5</v>
      </c>
      <c r="I12" s="30">
        <f t="shared" si="3"/>
        <v>28984.5</v>
      </c>
      <c r="J12" s="26"/>
    </row>
    <row r="13" spans="2:10">
      <c r="B13" s="26" t="s">
        <v>60</v>
      </c>
      <c r="C13" s="61" t="str">
        <f t="shared" si="0"/>
        <v>12월분</v>
      </c>
      <c r="D13" s="26" t="s">
        <v>32</v>
      </c>
      <c r="E13" s="27">
        <f>SUMIFS(전체리스트!D:D,전체리스트!A:A,B13,전체리스트!C:C,D13)</f>
        <v>7560</v>
      </c>
      <c r="F13" s="28">
        <f t="shared" si="1"/>
        <v>4176</v>
      </c>
      <c r="G13" s="29">
        <f>SUMIFS(전체리스트!E:E,전체리스트!A:A,B13,전체리스트!C:C,D13)</f>
        <v>3384</v>
      </c>
      <c r="H13" s="27">
        <f t="shared" si="2"/>
        <v>169.20000000000002</v>
      </c>
      <c r="I13" s="30">
        <f t="shared" si="3"/>
        <v>3214.8</v>
      </c>
      <c r="J13" s="26"/>
    </row>
    <row r="14" spans="2:10">
      <c r="B14" s="26" t="s">
        <v>60</v>
      </c>
      <c r="C14" s="61" t="str">
        <f t="shared" si="0"/>
        <v>12월분</v>
      </c>
      <c r="D14" s="26" t="s">
        <v>30</v>
      </c>
      <c r="E14" s="27">
        <f>SUMIFS(전체리스트!D:D,전체리스트!A:A,B14,전체리스트!C:C,D14)</f>
        <v>458460</v>
      </c>
      <c r="F14" s="28">
        <f t="shared" si="1"/>
        <v>283257</v>
      </c>
      <c r="G14" s="29">
        <f>SUMIFS(전체리스트!E:E,전체리스트!A:A,B14,전체리스트!C:C,D14)</f>
        <v>175203</v>
      </c>
      <c r="H14" s="27">
        <f t="shared" si="2"/>
        <v>8760.15</v>
      </c>
      <c r="I14" s="30">
        <f t="shared" si="3"/>
        <v>166442.85</v>
      </c>
      <c r="J14" s="26"/>
    </row>
    <row r="15" spans="2:10">
      <c r="B15" s="26" t="s">
        <v>60</v>
      </c>
      <c r="C15" s="61" t="str">
        <f t="shared" si="0"/>
        <v>12월분</v>
      </c>
      <c r="D15" s="26" t="s">
        <v>86</v>
      </c>
      <c r="E15" s="27">
        <f>SUMIFS(전체리스트!D:D,전체리스트!A:A,B15,전체리스트!C:C,D15)</f>
        <v>25200</v>
      </c>
      <c r="F15" s="28">
        <f t="shared" si="1"/>
        <v>13536</v>
      </c>
      <c r="G15" s="29">
        <f>SUMIFS(전체리스트!E:E,전체리스트!A:A,B15,전체리스트!C:C,D15)</f>
        <v>11664</v>
      </c>
      <c r="H15" s="27">
        <f t="shared" si="2"/>
        <v>583.20000000000005</v>
      </c>
      <c r="I15" s="30">
        <f t="shared" si="3"/>
        <v>11080.8</v>
      </c>
      <c r="J15" s="26"/>
    </row>
    <row r="16" spans="2:10">
      <c r="B16" s="26" t="s">
        <v>60</v>
      </c>
      <c r="C16" s="61" t="str">
        <f t="shared" si="0"/>
        <v>12월분</v>
      </c>
      <c r="D16" s="26" t="s">
        <v>17</v>
      </c>
      <c r="E16" s="27">
        <f>SUMIFS(전체리스트!D:D,전체리스트!A:A,B16,전체리스트!C:C,D16)</f>
        <v>262440</v>
      </c>
      <c r="F16" s="28">
        <f t="shared" si="1"/>
        <v>137570</v>
      </c>
      <c r="G16" s="29">
        <f>SUMIFS(전체리스트!E:E,전체리스트!A:A,B16,전체리스트!C:C,D16)</f>
        <v>124870</v>
      </c>
      <c r="H16" s="27">
        <f t="shared" si="2"/>
        <v>6243.5</v>
      </c>
      <c r="I16" s="30">
        <f t="shared" si="3"/>
        <v>118626.5</v>
      </c>
      <c r="J16" s="26"/>
    </row>
    <row r="17" spans="2:10">
      <c r="B17" s="26" t="s">
        <v>60</v>
      </c>
      <c r="C17" s="61" t="str">
        <f t="shared" ref="C17:C37" si="6">VLOOKUP(B17,raw_a,2,0)</f>
        <v>12월분</v>
      </c>
      <c r="D17" s="26" t="s">
        <v>57</v>
      </c>
      <c r="E17" s="27">
        <f>SUMIFS(전체리스트!D:D,전체리스트!A:A,B17,전체리스트!C:C,D17)</f>
        <v>2880</v>
      </c>
      <c r="F17" s="28">
        <f t="shared" ref="F17:F37" si="7">E17-G17</f>
        <v>1325</v>
      </c>
      <c r="G17" s="29">
        <f>SUMIFS(전체리스트!E:E,전체리스트!A:A,B17,전체리스트!C:C,D17)</f>
        <v>1555</v>
      </c>
      <c r="H17" s="27">
        <f t="shared" si="2"/>
        <v>77.75</v>
      </c>
      <c r="I17" s="30">
        <f t="shared" ref="I17:I37" si="8">G17-H17</f>
        <v>1477.25</v>
      </c>
      <c r="J17" s="26"/>
    </row>
    <row r="18" spans="2:10">
      <c r="B18" s="26" t="s">
        <v>60</v>
      </c>
      <c r="C18" s="61" t="str">
        <f t="shared" si="6"/>
        <v>12월분</v>
      </c>
      <c r="D18" s="26" t="s">
        <v>72</v>
      </c>
      <c r="E18" s="27">
        <f>SUMIFS(전체리스트!D:D,전체리스트!A:A,B18,전체리스트!C:C,D18)</f>
        <v>83160</v>
      </c>
      <c r="F18" s="28">
        <f t="shared" si="7"/>
        <v>41688</v>
      </c>
      <c r="G18" s="29">
        <f>SUMIFS(전체리스트!E:E,전체리스트!A:A,B18,전체리스트!C:C,D18)</f>
        <v>41472</v>
      </c>
      <c r="H18" s="27">
        <f t="shared" si="2"/>
        <v>2073.6</v>
      </c>
      <c r="I18" s="30">
        <f t="shared" si="8"/>
        <v>39398.400000000001</v>
      </c>
      <c r="J18" s="26"/>
    </row>
    <row r="19" spans="2:10">
      <c r="B19" s="26" t="s">
        <v>60</v>
      </c>
      <c r="C19" s="61" t="str">
        <f t="shared" si="6"/>
        <v>12월분</v>
      </c>
      <c r="D19" s="26" t="s">
        <v>150</v>
      </c>
      <c r="E19" s="27">
        <f>SUMIFS(전체리스트!D:D,전체리스트!A:A,B19,전체리스트!C:C,D19)</f>
        <v>59220</v>
      </c>
      <c r="F19" s="28">
        <f t="shared" si="7"/>
        <v>30092</v>
      </c>
      <c r="G19" s="29">
        <f>SUMIFS(전체리스트!E:E,전체리스트!A:A,B19,전체리스트!C:C,D19)</f>
        <v>29128</v>
      </c>
      <c r="H19" s="27">
        <f t="shared" si="2"/>
        <v>1456.4</v>
      </c>
      <c r="I19" s="30">
        <f t="shared" si="8"/>
        <v>27671.599999999999</v>
      </c>
      <c r="J19" s="26"/>
    </row>
    <row r="20" spans="2:10">
      <c r="B20" s="26" t="s">
        <v>60</v>
      </c>
      <c r="C20" s="61" t="str">
        <f t="shared" si="6"/>
        <v>12월분</v>
      </c>
      <c r="D20" s="26" t="s">
        <v>31</v>
      </c>
      <c r="E20" s="27">
        <f>SUMIFS(전체리스트!D:D,전체리스트!A:A,B20,전체리스트!C:C,D20)</f>
        <v>212220</v>
      </c>
      <c r="F20" s="28">
        <f t="shared" si="7"/>
        <v>127359</v>
      </c>
      <c r="G20" s="29">
        <f>SUMIFS(전체리스트!E:E,전체리스트!A:A,B20,전체리스트!C:C,D20)</f>
        <v>84861</v>
      </c>
      <c r="H20" s="27">
        <f t="shared" si="2"/>
        <v>4243.05</v>
      </c>
      <c r="I20" s="30">
        <f t="shared" si="8"/>
        <v>80617.95</v>
      </c>
      <c r="J20" s="26"/>
    </row>
    <row r="21" spans="2:10">
      <c r="B21" s="26" t="s">
        <v>60</v>
      </c>
      <c r="C21" s="61" t="str">
        <f t="shared" si="6"/>
        <v>12월분</v>
      </c>
      <c r="D21" s="26" t="s">
        <v>19</v>
      </c>
      <c r="E21" s="27">
        <f>SUMIFS(전체리스트!D:D,전체리스트!A:A,B21,전체리스트!C:C,D21)</f>
        <v>45000</v>
      </c>
      <c r="F21" s="28">
        <f t="shared" si="7"/>
        <v>23335</v>
      </c>
      <c r="G21" s="29">
        <f>SUMIFS(전체리스트!E:E,전체리스트!A:A,B21,전체리스트!C:C,D21)</f>
        <v>21665</v>
      </c>
      <c r="H21" s="27">
        <f t="shared" si="2"/>
        <v>1083.25</v>
      </c>
      <c r="I21" s="30">
        <f t="shared" si="8"/>
        <v>20581.75</v>
      </c>
      <c r="J21" s="26"/>
    </row>
    <row r="22" spans="2:10">
      <c r="B22" s="26" t="s">
        <v>60</v>
      </c>
      <c r="C22" s="61" t="str">
        <f t="shared" si="6"/>
        <v>12월분</v>
      </c>
      <c r="D22" s="26" t="s">
        <v>61</v>
      </c>
      <c r="E22" s="27">
        <f>SUMIFS(전체리스트!D:D,전체리스트!A:A,B22,전체리스트!C:C,D22)</f>
        <v>1351080</v>
      </c>
      <c r="F22" s="28">
        <f t="shared" si="7"/>
        <v>721030</v>
      </c>
      <c r="G22" s="29">
        <f>SUMIFS(전체리스트!E:E,전체리스트!A:A,B22,전체리스트!C:C,D22)</f>
        <v>630050</v>
      </c>
      <c r="H22" s="27">
        <f t="shared" si="2"/>
        <v>31502.5</v>
      </c>
      <c r="I22" s="30">
        <f t="shared" si="8"/>
        <v>598547.5</v>
      </c>
      <c r="J22" s="26"/>
    </row>
    <row r="23" spans="2:10">
      <c r="B23" s="26" t="s">
        <v>60</v>
      </c>
      <c r="C23" s="61" t="str">
        <f t="shared" si="6"/>
        <v>12월분</v>
      </c>
      <c r="D23" s="26" t="s">
        <v>386</v>
      </c>
      <c r="E23" s="27">
        <f>SUMIFS(전체리스트!D:D,전체리스트!A:A,B23,전체리스트!C:C,D23)</f>
        <v>693180</v>
      </c>
      <c r="F23" s="28">
        <f t="shared" si="7"/>
        <v>245052</v>
      </c>
      <c r="G23" s="29">
        <f>SUMIFS(전체리스트!E:E,전체리스트!A:A,B23,전체리스트!C:C,D23)</f>
        <v>448128</v>
      </c>
      <c r="H23" s="27">
        <f t="shared" si="2"/>
        <v>22406.400000000001</v>
      </c>
      <c r="I23" s="30">
        <f t="shared" si="8"/>
        <v>425721.59999999998</v>
      </c>
      <c r="J23" s="26"/>
    </row>
    <row r="24" spans="2:10">
      <c r="B24" s="26" t="s">
        <v>60</v>
      </c>
      <c r="C24" s="61" t="str">
        <f t="shared" si="6"/>
        <v>12월분</v>
      </c>
      <c r="D24" s="26" t="s">
        <v>77</v>
      </c>
      <c r="E24" s="27">
        <f>SUMIFS(전체리스트!D:D,전체리스트!A:A,B24,전체리스트!C:C,D24)</f>
        <v>545940</v>
      </c>
      <c r="F24" s="28">
        <f t="shared" si="7"/>
        <v>191880</v>
      </c>
      <c r="G24" s="29">
        <f>SUMIFS(전체리스트!E:E,전체리스트!A:A,B24,전체리스트!C:C,D24)</f>
        <v>354060</v>
      </c>
      <c r="H24" s="27">
        <f t="shared" si="2"/>
        <v>17703</v>
      </c>
      <c r="I24" s="30">
        <f t="shared" si="8"/>
        <v>336357</v>
      </c>
      <c r="J24" s="26"/>
    </row>
    <row r="25" spans="2:10">
      <c r="B25" s="26" t="s">
        <v>60</v>
      </c>
      <c r="C25" s="61" t="str">
        <f t="shared" si="6"/>
        <v>12월분</v>
      </c>
      <c r="D25" s="26" t="s">
        <v>321</v>
      </c>
      <c r="E25" s="27">
        <f>SUMIFS(전체리스트!D:D,전체리스트!A:A,B25,전체리스트!C:C,D25)</f>
        <v>442260</v>
      </c>
      <c r="F25" s="28">
        <f t="shared" si="7"/>
        <v>165690</v>
      </c>
      <c r="G25" s="29">
        <f>SUMIFS(전체리스트!E:E,전체리스트!A:A,B25,전체리스트!C:C,D25)</f>
        <v>276570</v>
      </c>
      <c r="H25" s="27">
        <f t="shared" si="2"/>
        <v>13828.5</v>
      </c>
      <c r="I25" s="30">
        <f t="shared" si="8"/>
        <v>262741.5</v>
      </c>
      <c r="J25" s="26"/>
    </row>
    <row r="26" spans="2:10">
      <c r="B26" s="26" t="s">
        <v>60</v>
      </c>
      <c r="C26" s="61" t="str">
        <f t="shared" si="6"/>
        <v>12월분</v>
      </c>
      <c r="D26" s="26" t="s">
        <v>180</v>
      </c>
      <c r="E26" s="27">
        <f>SUMIFS(전체리스트!D:D,전체리스트!A:A,B26,전체리스트!C:C,D26)</f>
        <v>349740</v>
      </c>
      <c r="F26" s="28">
        <f t="shared" si="7"/>
        <v>115146</v>
      </c>
      <c r="G26" s="29">
        <f>SUMIFS(전체리스트!E:E,전체리스트!A:A,B26,전체리스트!C:C,D26)</f>
        <v>234594</v>
      </c>
      <c r="H26" s="27">
        <f t="shared" si="2"/>
        <v>11729.7</v>
      </c>
      <c r="I26" s="30">
        <f t="shared" si="8"/>
        <v>222864.3</v>
      </c>
      <c r="J26" s="26"/>
    </row>
    <row r="27" spans="2:10">
      <c r="B27" s="26" t="s">
        <v>60</v>
      </c>
      <c r="C27" s="61" t="str">
        <f t="shared" ref="C27:C30" si="9">VLOOKUP(B27,raw_a,2,0)</f>
        <v>12월분</v>
      </c>
      <c r="D27" s="26" t="s">
        <v>66</v>
      </c>
      <c r="E27" s="27">
        <f>SUMIFS(전체리스트!D:D,전체리스트!A:A,B27,전체리스트!C:C,D27)</f>
        <v>362340</v>
      </c>
      <c r="F27" s="28">
        <f t="shared" ref="F27:F30" si="10">E27-G27</f>
        <v>131778</v>
      </c>
      <c r="G27" s="29">
        <f>SUMIFS(전체리스트!E:E,전체리스트!A:A,B27,전체리스트!C:C,D27)</f>
        <v>230562</v>
      </c>
      <c r="H27" s="27">
        <f t="shared" ref="H27:H30" si="11">G27*0.05</f>
        <v>11528.1</v>
      </c>
      <c r="I27" s="30">
        <f t="shared" ref="I27:I30" si="12">G27-H27</f>
        <v>219033.9</v>
      </c>
      <c r="J27" s="26"/>
    </row>
    <row r="28" spans="2:10">
      <c r="B28" s="26" t="s">
        <v>60</v>
      </c>
      <c r="C28" s="61" t="str">
        <f t="shared" si="9"/>
        <v>12월분</v>
      </c>
      <c r="D28" s="26" t="s">
        <v>347</v>
      </c>
      <c r="E28" s="27">
        <f>SUMIFS(전체리스트!D:D,전체리스트!A:A,B28,전체리스트!C:C,D28)</f>
        <v>345420</v>
      </c>
      <c r="F28" s="28">
        <f t="shared" si="10"/>
        <v>122346</v>
      </c>
      <c r="G28" s="29">
        <f>SUMIFS(전체리스트!E:E,전체리스트!A:A,B28,전체리스트!C:C,D28)</f>
        <v>223074</v>
      </c>
      <c r="H28" s="27">
        <f t="shared" si="11"/>
        <v>11153.7</v>
      </c>
      <c r="I28" s="30">
        <f t="shared" si="12"/>
        <v>211920.3</v>
      </c>
      <c r="J28" s="26"/>
    </row>
    <row r="29" spans="2:10">
      <c r="B29" s="26" t="s">
        <v>60</v>
      </c>
      <c r="C29" s="61" t="str">
        <f t="shared" si="9"/>
        <v>12월분</v>
      </c>
      <c r="D29" s="26" t="s">
        <v>179</v>
      </c>
      <c r="E29" s="27">
        <f>SUMIFS(전체리스트!D:D,전체리스트!A:A,B29,전체리스트!C:C,D29)</f>
        <v>275040</v>
      </c>
      <c r="F29" s="28">
        <f t="shared" si="10"/>
        <v>100764</v>
      </c>
      <c r="G29" s="29">
        <f>SUMIFS(전체리스트!E:E,전체리스트!A:A,B29,전체리스트!C:C,D29)</f>
        <v>174276</v>
      </c>
      <c r="H29" s="27">
        <f t="shared" si="11"/>
        <v>8713.8000000000011</v>
      </c>
      <c r="I29" s="30">
        <f t="shared" si="12"/>
        <v>165562.20000000001</v>
      </c>
      <c r="J29" s="26"/>
    </row>
    <row r="30" spans="2:10">
      <c r="B30" s="26" t="s">
        <v>60</v>
      </c>
      <c r="C30" s="61" t="str">
        <f t="shared" si="9"/>
        <v>12월분</v>
      </c>
      <c r="D30" s="26" t="s">
        <v>20</v>
      </c>
      <c r="E30" s="27">
        <f>SUMIFS(전체리스트!D:D,전체리스트!A:A,B30,전체리스트!C:C,D30)</f>
        <v>207000</v>
      </c>
      <c r="F30" s="28">
        <f t="shared" si="10"/>
        <v>71514</v>
      </c>
      <c r="G30" s="29">
        <f>SUMIFS(전체리스트!E:E,전체리스트!A:A,B30,전체리스트!C:C,D30)</f>
        <v>135486</v>
      </c>
      <c r="H30" s="27">
        <f t="shared" si="11"/>
        <v>6774.3</v>
      </c>
      <c r="I30" s="30">
        <f t="shared" si="12"/>
        <v>128711.7</v>
      </c>
      <c r="J30" s="26"/>
    </row>
    <row r="31" spans="2:10">
      <c r="B31" s="26" t="s">
        <v>60</v>
      </c>
      <c r="C31" s="61" t="str">
        <f t="shared" si="6"/>
        <v>12월분</v>
      </c>
      <c r="D31" s="26" t="s">
        <v>380</v>
      </c>
      <c r="E31" s="27">
        <f>SUMIFS(전체리스트!D:D,전체리스트!A:A,B31,전체리스트!C:C,D31)</f>
        <v>199260</v>
      </c>
      <c r="F31" s="28">
        <f t="shared" si="7"/>
        <v>68508</v>
      </c>
      <c r="G31" s="29">
        <f>SUMIFS(전체리스트!E:E,전체리스트!A:A,B31,전체리스트!C:C,D31)</f>
        <v>130752</v>
      </c>
      <c r="H31" s="27">
        <f t="shared" si="2"/>
        <v>6537.6</v>
      </c>
      <c r="I31" s="30">
        <f t="shared" si="8"/>
        <v>124214.39999999999</v>
      </c>
      <c r="J31" s="26"/>
    </row>
    <row r="32" spans="2:10">
      <c r="B32" s="26" t="s">
        <v>60</v>
      </c>
      <c r="C32" s="61" t="str">
        <f t="shared" si="6"/>
        <v>12월분</v>
      </c>
      <c r="D32" s="26" t="s">
        <v>346</v>
      </c>
      <c r="E32" s="27">
        <f>SUMIFS(전체리스트!D:D,전체리스트!A:A,B32,전체리스트!C:C,D32)</f>
        <v>145440</v>
      </c>
      <c r="F32" s="28">
        <f t="shared" si="7"/>
        <v>48636</v>
      </c>
      <c r="G32" s="29">
        <f>SUMIFS(전체리스트!E:E,전체리스트!A:A,B32,전체리스트!C:C,D32)</f>
        <v>96804</v>
      </c>
      <c r="H32" s="27">
        <f t="shared" si="2"/>
        <v>4840.2</v>
      </c>
      <c r="I32" s="30">
        <f t="shared" si="8"/>
        <v>91963.8</v>
      </c>
      <c r="J32" s="26"/>
    </row>
    <row r="33" spans="2:13">
      <c r="B33" s="26" t="s">
        <v>60</v>
      </c>
      <c r="C33" s="61" t="str">
        <f t="shared" si="6"/>
        <v>12월분</v>
      </c>
      <c r="D33" s="26" t="s">
        <v>308</v>
      </c>
      <c r="E33" s="27">
        <f>SUMIFS(전체리스트!D:D,전체리스트!A:A,B33,전체리스트!C:C,D33)</f>
        <v>108900</v>
      </c>
      <c r="F33" s="28">
        <f t="shared" si="7"/>
        <v>40842</v>
      </c>
      <c r="G33" s="29">
        <f>SUMIFS(전체리스트!E:E,전체리스트!A:A,B33,전체리스트!C:C,D33)</f>
        <v>68058</v>
      </c>
      <c r="H33" s="27">
        <f t="shared" si="2"/>
        <v>3402.9</v>
      </c>
      <c r="I33" s="30">
        <f t="shared" si="8"/>
        <v>64655.1</v>
      </c>
      <c r="J33" s="26"/>
    </row>
    <row r="34" spans="2:13">
      <c r="B34" s="26" t="s">
        <v>60</v>
      </c>
      <c r="C34" s="61" t="str">
        <f t="shared" si="6"/>
        <v>12월분</v>
      </c>
      <c r="D34" s="26" t="s">
        <v>312</v>
      </c>
      <c r="E34" s="27">
        <f>SUMIFS(전체리스트!D:D,전체리스트!A:A,B34,전체리스트!C:C,D34)</f>
        <v>76140</v>
      </c>
      <c r="F34" s="28">
        <f t="shared" si="7"/>
        <v>27432</v>
      </c>
      <c r="G34" s="29">
        <f>SUMIFS(전체리스트!E:E,전체리스트!A:A,B34,전체리스트!C:C,D34)</f>
        <v>48708</v>
      </c>
      <c r="H34" s="27">
        <f t="shared" si="2"/>
        <v>2435.4</v>
      </c>
      <c r="I34" s="30">
        <f t="shared" si="8"/>
        <v>46272.6</v>
      </c>
      <c r="J34" s="26"/>
    </row>
    <row r="35" spans="2:13">
      <c r="B35" s="26" t="s">
        <v>60</v>
      </c>
      <c r="C35" s="61" t="str">
        <f t="shared" si="6"/>
        <v>12월분</v>
      </c>
      <c r="D35" s="26" t="s">
        <v>254</v>
      </c>
      <c r="E35" s="27">
        <f>SUMIFS(전체리스트!D:D,전체리스트!A:A,B35,전체리스트!C:C,D35)</f>
        <v>53280</v>
      </c>
      <c r="F35" s="28">
        <f t="shared" si="7"/>
        <v>17946</v>
      </c>
      <c r="G35" s="29">
        <f>SUMIFS(전체리스트!E:E,전체리스트!A:A,B35,전체리스트!C:C,D35)</f>
        <v>35334</v>
      </c>
      <c r="H35" s="27">
        <f t="shared" si="2"/>
        <v>1766.7</v>
      </c>
      <c r="I35" s="30">
        <f t="shared" si="8"/>
        <v>33567.300000000003</v>
      </c>
      <c r="J35" s="26"/>
    </row>
    <row r="36" spans="2:13">
      <c r="B36" s="26" t="s">
        <v>60</v>
      </c>
      <c r="C36" s="61" t="str">
        <f t="shared" si="6"/>
        <v>12월분</v>
      </c>
      <c r="D36" s="26" t="s">
        <v>87</v>
      </c>
      <c r="E36" s="27">
        <f>SUMIFS(전체리스트!D:D,전체리스트!A:A,B36,전체리스트!C:C,D36)</f>
        <v>34740</v>
      </c>
      <c r="F36" s="28">
        <f t="shared" si="7"/>
        <v>11880</v>
      </c>
      <c r="G36" s="29">
        <f>SUMIFS(전체리스트!E:E,전체리스트!A:A,B36,전체리스트!C:C,D36)</f>
        <v>22860</v>
      </c>
      <c r="H36" s="27">
        <f t="shared" si="2"/>
        <v>1143</v>
      </c>
      <c r="I36" s="30">
        <f t="shared" si="8"/>
        <v>21717</v>
      </c>
      <c r="J36" s="26"/>
    </row>
    <row r="37" spans="2:13">
      <c r="B37" s="26" t="s">
        <v>60</v>
      </c>
      <c r="C37" s="61" t="str">
        <f t="shared" si="6"/>
        <v>12월분</v>
      </c>
      <c r="D37" s="26" t="s">
        <v>231</v>
      </c>
      <c r="E37" s="27">
        <f>SUMIFS(전체리스트!D:D,전체리스트!A:A,B37,전체리스트!C:C,D37)</f>
        <v>29520</v>
      </c>
      <c r="F37" s="28">
        <f t="shared" si="7"/>
        <v>9432</v>
      </c>
      <c r="G37" s="29">
        <f>SUMIFS(전체리스트!E:E,전체리스트!A:A,B37,전체리스트!C:C,D37)</f>
        <v>20088</v>
      </c>
      <c r="H37" s="27">
        <f t="shared" si="2"/>
        <v>1004.4000000000001</v>
      </c>
      <c r="I37" s="30">
        <f t="shared" si="8"/>
        <v>19083.599999999999</v>
      </c>
      <c r="J37" s="26"/>
    </row>
    <row r="38" spans="2:13">
      <c r="B38" s="26" t="s">
        <v>60</v>
      </c>
      <c r="C38" s="61" t="str">
        <f t="shared" ref="C38:C44" si="13">VLOOKUP(B38,raw_a,2,0)</f>
        <v>12월분</v>
      </c>
      <c r="D38" s="26" t="s">
        <v>59</v>
      </c>
      <c r="E38" s="27">
        <f>SUMIFS(전체리스트!D:D,전체리스트!A:A,B38,전체리스트!C:C,D38)</f>
        <v>18360</v>
      </c>
      <c r="F38" s="28">
        <f t="shared" ref="F38:F44" si="14">E38-G38</f>
        <v>7344</v>
      </c>
      <c r="G38" s="29">
        <f>SUMIFS(전체리스트!E:E,전체리스트!A:A,B38,전체리스트!C:C,D38)</f>
        <v>11016</v>
      </c>
      <c r="H38" s="27">
        <f t="shared" si="2"/>
        <v>550.80000000000007</v>
      </c>
      <c r="I38" s="30">
        <f t="shared" ref="I38:I44" si="15">G38-H38</f>
        <v>10465.200000000001</v>
      </c>
      <c r="J38" s="26"/>
    </row>
    <row r="39" spans="2:13">
      <c r="B39" s="26" t="s">
        <v>60</v>
      </c>
      <c r="C39" s="61" t="str">
        <f t="shared" si="13"/>
        <v>12월분</v>
      </c>
      <c r="D39" s="26" t="s">
        <v>88</v>
      </c>
      <c r="E39" s="27">
        <f>SUMIFS(전체리스트!D:D,전체리스트!A:A,B39,전체리스트!C:C,D39)</f>
        <v>21780</v>
      </c>
      <c r="F39" s="28">
        <f t="shared" si="14"/>
        <v>7956</v>
      </c>
      <c r="G39" s="29">
        <f>SUMIFS(전체리스트!E:E,전체리스트!A:A,B39,전체리스트!C:C,D39)</f>
        <v>13824</v>
      </c>
      <c r="H39" s="27">
        <f t="shared" si="2"/>
        <v>691.2</v>
      </c>
      <c r="I39" s="30">
        <f t="shared" si="15"/>
        <v>13132.8</v>
      </c>
      <c r="J39" s="26"/>
    </row>
    <row r="40" spans="2:13">
      <c r="B40" s="26" t="s">
        <v>60</v>
      </c>
      <c r="C40" s="61" t="str">
        <f t="shared" si="13"/>
        <v>12월분</v>
      </c>
      <c r="D40" s="26" t="s">
        <v>328</v>
      </c>
      <c r="E40" s="27">
        <f>SUMIFS(전체리스트!D:D,전체리스트!A:A,B40,전체리스트!C:C,D40)</f>
        <v>9720</v>
      </c>
      <c r="F40" s="28">
        <f t="shared" si="14"/>
        <v>3366</v>
      </c>
      <c r="G40" s="29">
        <f>SUMIFS(전체리스트!E:E,전체리스트!A:A,B40,전체리스트!C:C,D40)</f>
        <v>6354</v>
      </c>
      <c r="H40" s="27">
        <f t="shared" si="2"/>
        <v>317.70000000000005</v>
      </c>
      <c r="I40" s="30">
        <f t="shared" si="15"/>
        <v>6036.3</v>
      </c>
      <c r="J40" s="26"/>
    </row>
    <row r="41" spans="2:13">
      <c r="B41" s="26" t="s">
        <v>60</v>
      </c>
      <c r="C41" s="61" t="str">
        <f t="shared" si="13"/>
        <v>12월분</v>
      </c>
      <c r="D41" s="26" t="s">
        <v>89</v>
      </c>
      <c r="E41" s="27">
        <f>SUMIFS(전체리스트!D:D,전체리스트!A:A,B41,전체리스트!C:C,D41)</f>
        <v>2700</v>
      </c>
      <c r="F41" s="28">
        <f t="shared" si="14"/>
        <v>1080</v>
      </c>
      <c r="G41" s="29">
        <f>SUMIFS(전체리스트!E:E,전체리스트!A:A,B41,전체리스트!C:C,D41)</f>
        <v>1620</v>
      </c>
      <c r="H41" s="27">
        <f t="shared" si="2"/>
        <v>81</v>
      </c>
      <c r="I41" s="30">
        <f t="shared" si="15"/>
        <v>1539</v>
      </c>
      <c r="J41" s="26"/>
    </row>
    <row r="42" spans="2:13">
      <c r="B42" s="26" t="s">
        <v>60</v>
      </c>
      <c r="C42" s="61" t="str">
        <f t="shared" si="13"/>
        <v>12월분</v>
      </c>
      <c r="D42" s="26" t="s">
        <v>154</v>
      </c>
      <c r="E42" s="27">
        <f>SUMIFS(전체리스트!D:D,전체리스트!A:A,B42,전체리스트!C:C,D42)</f>
        <v>720</v>
      </c>
      <c r="F42" s="28">
        <f t="shared" si="14"/>
        <v>216</v>
      </c>
      <c r="G42" s="29">
        <f>SUMIFS(전체리스트!E:E,전체리스트!A:A,B42,전체리스트!C:C,D42)</f>
        <v>504</v>
      </c>
      <c r="H42" s="27">
        <f t="shared" si="2"/>
        <v>25.200000000000003</v>
      </c>
      <c r="I42" s="30">
        <f t="shared" si="15"/>
        <v>478.8</v>
      </c>
      <c r="J42" s="26"/>
    </row>
    <row r="43" spans="2:13">
      <c r="B43" s="26" t="s">
        <v>60</v>
      </c>
      <c r="C43" s="61" t="str">
        <f t="shared" ref="C43" si="16">VLOOKUP(B43,raw_a,2,0)</f>
        <v>12월분</v>
      </c>
      <c r="D43" s="26" t="s">
        <v>327</v>
      </c>
      <c r="E43" s="27">
        <f>SUMIFS(전체리스트!D:D,전체리스트!A:A,B43,전체리스트!C:C,D43)</f>
        <v>360</v>
      </c>
      <c r="F43" s="28">
        <f t="shared" ref="F43" si="17">E43-G43</f>
        <v>108</v>
      </c>
      <c r="G43" s="29">
        <f>SUMIFS(전체리스트!E:E,전체리스트!A:A,B43,전체리스트!C:C,D43)</f>
        <v>252</v>
      </c>
      <c r="H43" s="27">
        <f t="shared" ref="H43" si="18">G43*0.05</f>
        <v>12.600000000000001</v>
      </c>
      <c r="I43" s="30">
        <f t="shared" ref="I43" si="19">G43-H43</f>
        <v>239.4</v>
      </c>
      <c r="J43" s="26"/>
    </row>
    <row r="44" spans="2:13">
      <c r="B44" s="26" t="s">
        <v>60</v>
      </c>
      <c r="C44" s="61" t="str">
        <f t="shared" si="13"/>
        <v>12월분</v>
      </c>
      <c r="D44" s="26" t="s">
        <v>413</v>
      </c>
      <c r="E44" s="27">
        <f>SUMIFS(전체리스트!D:D,전체리스트!A:A,B44,전체리스트!C:C,D44)</f>
        <v>7200</v>
      </c>
      <c r="F44" s="28">
        <f t="shared" si="14"/>
        <v>2520</v>
      </c>
      <c r="G44" s="29">
        <f>SUMIFS(전체리스트!E:E,전체리스트!A:A,B44,전체리스트!C:C,D44)</f>
        <v>4680</v>
      </c>
      <c r="H44" s="27">
        <f t="shared" si="2"/>
        <v>234</v>
      </c>
      <c r="I44" s="30">
        <f t="shared" si="15"/>
        <v>4446</v>
      </c>
      <c r="J44" s="26"/>
    </row>
    <row r="45" spans="2:13">
      <c r="B45" s="31" t="s">
        <v>0</v>
      </c>
      <c r="C45" s="31"/>
      <c r="D45" s="32"/>
      <c r="E45" s="33">
        <f t="shared" ref="E45:J45" si="20">SUM(E6:E44)</f>
        <v>7149530</v>
      </c>
      <c r="F45" s="33">
        <f t="shared" si="20"/>
        <v>3131403</v>
      </c>
      <c r="G45" s="33">
        <f t="shared" si="20"/>
        <v>4018127</v>
      </c>
      <c r="H45" s="33">
        <f t="shared" si="20"/>
        <v>200906.35000000006</v>
      </c>
      <c r="I45" s="33">
        <f t="shared" si="20"/>
        <v>3817220.649999999</v>
      </c>
      <c r="J45" s="33">
        <f t="shared" si="20"/>
        <v>0</v>
      </c>
    </row>
    <row r="47" spans="2:13">
      <c r="M47" s="34" t="s">
        <v>335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J42"/>
  <sheetViews>
    <sheetView topLeftCell="A19" workbookViewId="0">
      <selection activeCell="D49" sqref="D49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121</v>
      </c>
      <c r="C6" s="61" t="str">
        <f>VLOOKUP(B6,raw_a,2,0)</f>
        <v>12월분</v>
      </c>
      <c r="D6" s="26" t="s">
        <v>386</v>
      </c>
      <c r="E6" s="27">
        <f>SUMIFS(전체리스트!D:D,전체리스트!A:A,B6,전체리스트!C:C,D6)</f>
        <v>3510</v>
      </c>
      <c r="F6" s="28">
        <f>E6-G6</f>
        <v>1053</v>
      </c>
      <c r="G6" s="29">
        <f>SUMIFS(전체리스트!E:E,전체리스트!A:A,B6,전체리스트!C:C,D6)</f>
        <v>2457</v>
      </c>
      <c r="H6" s="27">
        <f>G6*0.05</f>
        <v>122.85000000000001</v>
      </c>
      <c r="I6" s="30">
        <f>G6-H6</f>
        <v>2334.15</v>
      </c>
      <c r="J6" s="26"/>
    </row>
    <row r="7" spans="2:10">
      <c r="B7" s="26" t="s">
        <v>121</v>
      </c>
      <c r="C7" s="61" t="str">
        <f t="shared" ref="C7:C12" si="0">VLOOKUP(B7,raw_a,2,0)</f>
        <v>12월분</v>
      </c>
      <c r="D7" s="26" t="s">
        <v>321</v>
      </c>
      <c r="E7" s="27">
        <f>SUMIFS(전체리스트!D:D,전체리스트!A:A,B7,전체리스트!C:C,D7)</f>
        <v>35370</v>
      </c>
      <c r="F7" s="28">
        <f t="shared" ref="F7:F15" si="1">E7-G7</f>
        <v>-11527</v>
      </c>
      <c r="G7" s="29">
        <f>SUMIFS(전체리스트!E:E,전체리스트!A:A,B7,전체리스트!C:C,D7)</f>
        <v>46897</v>
      </c>
      <c r="H7" s="27">
        <f t="shared" ref="H7:H41" si="2">G7*0.05</f>
        <v>2344.85</v>
      </c>
      <c r="I7" s="30">
        <f t="shared" ref="I7:I15" si="3">G7-H7</f>
        <v>44552.15</v>
      </c>
      <c r="J7" s="26"/>
    </row>
    <row r="8" spans="2:10">
      <c r="B8" s="26" t="s">
        <v>121</v>
      </c>
      <c r="C8" s="61" t="str">
        <f t="shared" si="0"/>
        <v>12월분</v>
      </c>
      <c r="D8" s="26" t="s">
        <v>312</v>
      </c>
      <c r="E8" s="27">
        <f>SUMIFS(전체리스트!D:D,전체리스트!A:A,B8,전체리스트!C:C,D8)</f>
        <v>68175</v>
      </c>
      <c r="F8" s="28">
        <f t="shared" si="1"/>
        <v>14719.5</v>
      </c>
      <c r="G8" s="29">
        <f>SUMIFS(전체리스트!E:E,전체리스트!A:A,B8,전체리스트!C:C,D8)</f>
        <v>53455.5</v>
      </c>
      <c r="H8" s="27">
        <f t="shared" si="2"/>
        <v>2672.7750000000001</v>
      </c>
      <c r="I8" s="30">
        <f t="shared" si="3"/>
        <v>50782.724999999999</v>
      </c>
      <c r="J8" s="26"/>
    </row>
    <row r="9" spans="2:10">
      <c r="B9" s="26" t="s">
        <v>121</v>
      </c>
      <c r="C9" s="61" t="str">
        <f t="shared" si="0"/>
        <v>12월분</v>
      </c>
      <c r="D9" s="26" t="s">
        <v>180</v>
      </c>
      <c r="E9" s="27">
        <f>SUMIFS(전체리스트!D:D,전체리스트!A:A,B9,전체리스트!C:C,D9)</f>
        <v>709290</v>
      </c>
      <c r="F9" s="28">
        <f t="shared" si="1"/>
        <v>67963</v>
      </c>
      <c r="G9" s="29">
        <f>SUMIFS(전체리스트!E:E,전체리스트!A:A,B9,전체리스트!C:C,D9)</f>
        <v>641327</v>
      </c>
      <c r="H9" s="27">
        <f t="shared" si="2"/>
        <v>32066.350000000002</v>
      </c>
      <c r="I9" s="30">
        <f t="shared" si="3"/>
        <v>609260.65</v>
      </c>
      <c r="J9" s="26"/>
    </row>
    <row r="10" spans="2:10">
      <c r="B10" s="26" t="s">
        <v>121</v>
      </c>
      <c r="C10" s="61" t="str">
        <f t="shared" si="0"/>
        <v>12월분</v>
      </c>
      <c r="D10" s="26" t="s">
        <v>179</v>
      </c>
      <c r="E10" s="27">
        <f>SUMIFS(전체리스트!D:D,전체리스트!A:A,B10,전체리스트!C:C,D10)</f>
        <v>2176740</v>
      </c>
      <c r="F10" s="28">
        <f t="shared" si="1"/>
        <v>386746</v>
      </c>
      <c r="G10" s="29">
        <f>SUMIFS(전체리스트!E:E,전체리스트!A:A,B10,전체리스트!C:C,D10)</f>
        <v>1789994</v>
      </c>
      <c r="H10" s="27">
        <f t="shared" si="2"/>
        <v>89499.700000000012</v>
      </c>
      <c r="I10" s="30">
        <f t="shared" si="3"/>
        <v>1700494.3</v>
      </c>
      <c r="J10" s="26"/>
    </row>
    <row r="11" spans="2:10">
      <c r="B11" s="26" t="s">
        <v>121</v>
      </c>
      <c r="C11" s="61" t="str">
        <f t="shared" si="0"/>
        <v>12월분</v>
      </c>
      <c r="D11" s="26" t="s">
        <v>365</v>
      </c>
      <c r="E11" s="27">
        <f>SUMIFS(전체리스트!D:D,전체리스트!A:A,B11,전체리스트!C:C,D11)</f>
        <v>30780</v>
      </c>
      <c r="F11" s="28">
        <f t="shared" si="1"/>
        <v>9234</v>
      </c>
      <c r="G11" s="29">
        <f>SUMIFS(전체리스트!E:E,전체리스트!A:A,B11,전체리스트!C:C,D11)</f>
        <v>21546</v>
      </c>
      <c r="H11" s="27">
        <f t="shared" si="2"/>
        <v>1077.3</v>
      </c>
      <c r="I11" s="30">
        <f t="shared" si="3"/>
        <v>20468.7</v>
      </c>
      <c r="J11" s="26"/>
    </row>
    <row r="12" spans="2:10">
      <c r="B12" s="26" t="s">
        <v>121</v>
      </c>
      <c r="C12" s="61" t="str">
        <f t="shared" si="0"/>
        <v>12월분</v>
      </c>
      <c r="D12" s="26" t="s">
        <v>308</v>
      </c>
      <c r="E12" s="27">
        <f>SUMIFS(전체리스트!D:D,전체리스트!A:A,B12,전체리스트!C:C,D12)</f>
        <v>113602.5</v>
      </c>
      <c r="F12" s="28">
        <f t="shared" si="1"/>
        <v>22173.75</v>
      </c>
      <c r="G12" s="29">
        <f>SUMIFS(전체리스트!E:E,전체리스트!A:A,B12,전체리스트!C:C,D12)</f>
        <v>91428.75</v>
      </c>
      <c r="H12" s="27">
        <f t="shared" si="2"/>
        <v>4571.4375</v>
      </c>
      <c r="I12" s="30">
        <f t="shared" si="3"/>
        <v>86857.3125</v>
      </c>
      <c r="J12" s="26"/>
    </row>
    <row r="13" spans="2:10">
      <c r="B13" s="26" t="s">
        <v>35</v>
      </c>
      <c r="C13" s="61" t="str">
        <f t="shared" ref="C13:C15" si="4">VLOOKUP(B13,raw_a,2,0)</f>
        <v>12월분</v>
      </c>
      <c r="D13" s="26" t="s">
        <v>398</v>
      </c>
      <c r="E13" s="27">
        <f>SUMIFS(전체리스트!D:D,전체리스트!A:A,B13,전체리스트!C:C,D13)</f>
        <v>140400</v>
      </c>
      <c r="F13" s="28">
        <f t="shared" si="1"/>
        <v>42120</v>
      </c>
      <c r="G13" s="29">
        <f>SUMIFS(전체리스트!E:E,전체리스트!A:A,B13,전체리스트!C:C,D13)</f>
        <v>98280</v>
      </c>
      <c r="H13" s="27">
        <f t="shared" si="2"/>
        <v>4914</v>
      </c>
      <c r="I13" s="30">
        <f t="shared" si="3"/>
        <v>93366</v>
      </c>
      <c r="J13" s="26"/>
    </row>
    <row r="14" spans="2:10">
      <c r="B14" s="26" t="s">
        <v>35</v>
      </c>
      <c r="C14" s="61" t="str">
        <f t="shared" si="4"/>
        <v>12월분</v>
      </c>
      <c r="D14" s="26" t="s">
        <v>399</v>
      </c>
      <c r="E14" s="27">
        <f>SUMIFS(전체리스트!D:D,전체리스트!A:A,B14,전체리스트!C:C,D14)</f>
        <v>3240</v>
      </c>
      <c r="F14" s="28">
        <f t="shared" si="1"/>
        <v>972</v>
      </c>
      <c r="G14" s="29">
        <f>SUMIFS(전체리스트!E:E,전체리스트!A:A,B14,전체리스트!C:C,D14)</f>
        <v>2268</v>
      </c>
      <c r="H14" s="27">
        <f t="shared" si="2"/>
        <v>113.4</v>
      </c>
      <c r="I14" s="30">
        <f t="shared" si="3"/>
        <v>2154.6</v>
      </c>
      <c r="J14" s="26"/>
    </row>
    <row r="15" spans="2:10">
      <c r="B15" s="26" t="s">
        <v>35</v>
      </c>
      <c r="C15" s="61" t="str">
        <f t="shared" si="4"/>
        <v>12월분</v>
      </c>
      <c r="D15" s="26" t="s">
        <v>340</v>
      </c>
      <c r="E15" s="27">
        <f>SUMIFS(전체리스트!D:D,전체리스트!A:A,B15,전체리스트!C:C,D15)</f>
        <v>135</v>
      </c>
      <c r="F15" s="28">
        <f t="shared" si="1"/>
        <v>40.5</v>
      </c>
      <c r="G15" s="29">
        <f>SUMIFS(전체리스트!E:E,전체리스트!A:A,B15,전체리스트!C:C,D15)</f>
        <v>94.5</v>
      </c>
      <c r="H15" s="27">
        <f t="shared" si="2"/>
        <v>4.7250000000000005</v>
      </c>
      <c r="I15" s="30">
        <f t="shared" si="3"/>
        <v>89.775000000000006</v>
      </c>
      <c r="J15" s="26"/>
    </row>
    <row r="16" spans="2:10">
      <c r="B16" s="26" t="s">
        <v>35</v>
      </c>
      <c r="C16" s="61" t="str">
        <f t="shared" ref="C16:C19" si="5">VLOOKUP(B16,raw_a,2,0)</f>
        <v>12월분</v>
      </c>
      <c r="D16" s="26" t="s">
        <v>56</v>
      </c>
      <c r="E16" s="27">
        <f>SUMIFS(전체리스트!D:D,전체리스트!A:A,B16,전체리스트!C:C,D16)</f>
        <v>540</v>
      </c>
      <c r="F16" s="28">
        <f t="shared" ref="F16:F19" si="6">E16-G16</f>
        <v>162</v>
      </c>
      <c r="G16" s="29">
        <f>SUMIFS(전체리스트!E:E,전체리스트!A:A,B16,전체리스트!C:C,D16)</f>
        <v>378</v>
      </c>
      <c r="H16" s="27">
        <f t="shared" si="2"/>
        <v>18.900000000000002</v>
      </c>
      <c r="I16" s="30">
        <f t="shared" ref="I16:I19" si="7">G16-H16</f>
        <v>359.1</v>
      </c>
      <c r="J16" s="26"/>
    </row>
    <row r="17" spans="2:10">
      <c r="B17" s="26" t="s">
        <v>35</v>
      </c>
      <c r="C17" s="61" t="str">
        <f t="shared" si="5"/>
        <v>12월분</v>
      </c>
      <c r="D17" s="26" t="s">
        <v>400</v>
      </c>
      <c r="E17" s="27">
        <f>SUMIFS(전체리스트!D:D,전체리스트!A:A,B17,전체리스트!C:C,D17)</f>
        <v>0</v>
      </c>
      <c r="F17" s="28">
        <f t="shared" si="6"/>
        <v>-265</v>
      </c>
      <c r="G17" s="29">
        <f>SUMIFS(전체리스트!E:E,전체리스트!A:A,B17,전체리스트!C:C,D17)</f>
        <v>265</v>
      </c>
      <c r="H17" s="27">
        <f t="shared" si="2"/>
        <v>13.25</v>
      </c>
      <c r="I17" s="30">
        <f t="shared" si="7"/>
        <v>251.75</v>
      </c>
      <c r="J17" s="26"/>
    </row>
    <row r="18" spans="2:10">
      <c r="B18" s="26" t="s">
        <v>35</v>
      </c>
      <c r="C18" s="61" t="str">
        <f t="shared" si="5"/>
        <v>12월분</v>
      </c>
      <c r="D18" s="26" t="s">
        <v>352</v>
      </c>
      <c r="E18" s="27">
        <f>SUMIFS(전체리스트!D:D,전체리스트!A:A,B18,전체리스트!C:C,D18)</f>
        <v>0</v>
      </c>
      <c r="F18" s="28">
        <f t="shared" si="6"/>
        <v>-56</v>
      </c>
      <c r="G18" s="29">
        <f>SUMIFS(전체리스트!E:E,전체리스트!A:A,B18,전체리스트!C:C,D18)</f>
        <v>56</v>
      </c>
      <c r="H18" s="27">
        <f t="shared" si="2"/>
        <v>2.8000000000000003</v>
      </c>
      <c r="I18" s="30">
        <f t="shared" si="7"/>
        <v>53.2</v>
      </c>
      <c r="J18" s="26"/>
    </row>
    <row r="19" spans="2:10">
      <c r="B19" s="26" t="s">
        <v>35</v>
      </c>
      <c r="C19" s="61" t="str">
        <f t="shared" si="5"/>
        <v>12월분</v>
      </c>
      <c r="D19" s="26" t="s">
        <v>20</v>
      </c>
      <c r="E19" s="27">
        <f>SUMIFS(전체리스트!D:D,전체리스트!A:A,B19,전체리스트!C:C,D19)</f>
        <v>134190</v>
      </c>
      <c r="F19" s="28">
        <f t="shared" si="6"/>
        <v>40257</v>
      </c>
      <c r="G19" s="29">
        <f>SUMIFS(전체리스트!E:E,전체리스트!A:A,B19,전체리스트!C:C,D19)</f>
        <v>93933</v>
      </c>
      <c r="H19" s="27">
        <f t="shared" si="2"/>
        <v>4696.6500000000005</v>
      </c>
      <c r="I19" s="30">
        <f t="shared" si="7"/>
        <v>89236.35</v>
      </c>
      <c r="J19" s="26"/>
    </row>
    <row r="20" spans="2:10">
      <c r="B20" s="26" t="s">
        <v>35</v>
      </c>
      <c r="C20" s="61" t="str">
        <f t="shared" ref="C20:C21" si="8">VLOOKUP(B20,raw_a,2,0)</f>
        <v>12월분</v>
      </c>
      <c r="D20" s="26" t="s">
        <v>90</v>
      </c>
      <c r="E20" s="27">
        <f>SUMIFS(전체리스트!D:D,전체리스트!A:A,B20,전체리스트!C:C,D20)</f>
        <v>810</v>
      </c>
      <c r="F20" s="28">
        <f t="shared" ref="F20:F21" si="9">E20-G20</f>
        <v>243</v>
      </c>
      <c r="G20" s="29">
        <f>SUMIFS(전체리스트!E:E,전체리스트!A:A,B20,전체리스트!C:C,D20)</f>
        <v>567</v>
      </c>
      <c r="H20" s="27">
        <f t="shared" si="2"/>
        <v>28.35</v>
      </c>
      <c r="I20" s="30">
        <f t="shared" ref="I20:I21" si="10">G20-H20</f>
        <v>538.65</v>
      </c>
      <c r="J20" s="26"/>
    </row>
    <row r="21" spans="2:10">
      <c r="B21" s="26" t="s">
        <v>35</v>
      </c>
      <c r="C21" s="61" t="str">
        <f t="shared" si="8"/>
        <v>12월분</v>
      </c>
      <c r="D21" s="26" t="s">
        <v>231</v>
      </c>
      <c r="E21" s="27">
        <f>SUMIFS(전체리스트!D:D,전체리스트!A:A,B21,전체리스트!C:C,D21)</f>
        <v>17280</v>
      </c>
      <c r="F21" s="28">
        <f t="shared" si="9"/>
        <v>5184</v>
      </c>
      <c r="G21" s="29">
        <f>SUMIFS(전체리스트!E:E,전체리스트!A:A,B21,전체리스트!C:C,D21)</f>
        <v>12096</v>
      </c>
      <c r="H21" s="27">
        <f t="shared" si="2"/>
        <v>604.80000000000007</v>
      </c>
      <c r="I21" s="30">
        <f t="shared" si="10"/>
        <v>11491.2</v>
      </c>
      <c r="J21" s="26"/>
    </row>
    <row r="22" spans="2:10">
      <c r="B22" s="26" t="s">
        <v>35</v>
      </c>
      <c r="C22" s="61" t="str">
        <f t="shared" ref="C22:C41" si="11">VLOOKUP(B22,raw_a,2,0)</f>
        <v>12월분</v>
      </c>
      <c r="D22" s="26" t="s">
        <v>76</v>
      </c>
      <c r="E22" s="27">
        <f>SUMIFS(전체리스트!D:D,전체리스트!A:A,B22,전체리스트!C:C,D22)</f>
        <v>94770</v>
      </c>
      <c r="F22" s="28">
        <f t="shared" ref="F22:F41" si="12">E22-G22</f>
        <v>-39042</v>
      </c>
      <c r="G22" s="29">
        <f>SUMIFS(전체리스트!E:E,전체리스트!A:A,B22,전체리스트!C:C,D22)</f>
        <v>133812</v>
      </c>
      <c r="H22" s="27">
        <f t="shared" si="2"/>
        <v>6690.6</v>
      </c>
      <c r="I22" s="30">
        <f t="shared" ref="I22:I41" si="13">G22-H22</f>
        <v>127121.4</v>
      </c>
      <c r="J22" s="26"/>
    </row>
    <row r="23" spans="2:10">
      <c r="B23" s="26" t="s">
        <v>35</v>
      </c>
      <c r="C23" s="61" t="str">
        <f t="shared" ref="C23:C39" si="14">VLOOKUP(B23,raw_a,2,0)</f>
        <v>12월분</v>
      </c>
      <c r="D23" s="26" t="s">
        <v>77</v>
      </c>
      <c r="E23" s="27">
        <f>SUMIFS(전체리스트!D:D,전체리스트!A:A,B23,전체리스트!C:C,D23)</f>
        <v>1995030</v>
      </c>
      <c r="F23" s="28">
        <f t="shared" ref="F23:F39" si="15">E23-G23</f>
        <v>493286</v>
      </c>
      <c r="G23" s="29">
        <f>SUMIFS(전체리스트!E:E,전체리스트!A:A,B23,전체리스트!C:C,D23)</f>
        <v>1501744</v>
      </c>
      <c r="H23" s="27">
        <f t="shared" si="2"/>
        <v>75087.199999999997</v>
      </c>
      <c r="I23" s="30">
        <f t="shared" ref="I23:I39" si="16">G23-H23</f>
        <v>1426656.8</v>
      </c>
      <c r="J23" s="26"/>
    </row>
    <row r="24" spans="2:10">
      <c r="B24" s="26" t="s">
        <v>35</v>
      </c>
      <c r="C24" s="61" t="str">
        <f t="shared" si="14"/>
        <v>12월분</v>
      </c>
      <c r="D24" s="26" t="s">
        <v>29</v>
      </c>
      <c r="E24" s="27">
        <f>SUMIFS(전체리스트!D:D,전체리스트!A:A,B24,전체리스트!C:C,D24)</f>
        <v>11745</v>
      </c>
      <c r="F24" s="28">
        <f t="shared" si="15"/>
        <v>3523.5</v>
      </c>
      <c r="G24" s="29">
        <f>SUMIFS(전체리스트!E:E,전체리스트!A:A,B24,전체리스트!C:C,D24)</f>
        <v>8221.5</v>
      </c>
      <c r="H24" s="27">
        <f t="shared" si="2"/>
        <v>411.07500000000005</v>
      </c>
      <c r="I24" s="30">
        <f t="shared" si="16"/>
        <v>7810.4250000000002</v>
      </c>
      <c r="J24" s="26"/>
    </row>
    <row r="25" spans="2:10">
      <c r="B25" s="26" t="s">
        <v>35</v>
      </c>
      <c r="C25" s="61" t="str">
        <f t="shared" si="14"/>
        <v>12월분</v>
      </c>
      <c r="D25" s="26" t="s">
        <v>21</v>
      </c>
      <c r="E25" s="27">
        <f>SUMIFS(전체리스트!D:D,전체리스트!A:A,B25,전체리스트!C:C,D25)</f>
        <v>0</v>
      </c>
      <c r="F25" s="28">
        <f t="shared" si="15"/>
        <v>-353</v>
      </c>
      <c r="G25" s="29">
        <f>SUMIFS(전체리스트!E:E,전체리스트!A:A,B25,전체리스트!C:C,D25)</f>
        <v>353</v>
      </c>
      <c r="H25" s="27">
        <f t="shared" si="2"/>
        <v>17.650000000000002</v>
      </c>
      <c r="I25" s="30">
        <f t="shared" si="16"/>
        <v>335.35</v>
      </c>
      <c r="J25" s="26"/>
    </row>
    <row r="26" spans="2:10">
      <c r="B26" s="26" t="s">
        <v>35</v>
      </c>
      <c r="C26" s="61" t="str">
        <f t="shared" ref="C26:C31" si="17">VLOOKUP(B26,raw_a,2,0)</f>
        <v>12월분</v>
      </c>
      <c r="D26" s="26" t="s">
        <v>327</v>
      </c>
      <c r="E26" s="27">
        <f>SUMIFS(전체리스트!D:D,전체리스트!A:A,B26,전체리스트!C:C,D26)</f>
        <v>13365</v>
      </c>
      <c r="F26" s="28">
        <f t="shared" ref="F26:F31" si="18">E26-G26</f>
        <v>2069.5</v>
      </c>
      <c r="G26" s="29">
        <f>SUMIFS(전체리스트!E:E,전체리스트!A:A,B26,전체리스트!C:C,D26)</f>
        <v>11295.5</v>
      </c>
      <c r="H26" s="27">
        <f t="shared" ref="H26:H31" si="19">G26*0.05</f>
        <v>564.77499999999998</v>
      </c>
      <c r="I26" s="30">
        <f t="shared" ref="I26:I31" si="20">G26-H26</f>
        <v>10730.725</v>
      </c>
      <c r="J26" s="26"/>
    </row>
    <row r="27" spans="2:10">
      <c r="B27" s="26" t="s">
        <v>35</v>
      </c>
      <c r="C27" s="61" t="str">
        <f t="shared" si="17"/>
        <v>12월분</v>
      </c>
      <c r="D27" s="26" t="s">
        <v>27</v>
      </c>
      <c r="E27" s="27">
        <f>SUMIFS(전체리스트!D:D,전체리스트!A:A,B27,전체리스트!C:C,D27)</f>
        <v>0</v>
      </c>
      <c r="F27" s="28">
        <f t="shared" si="18"/>
        <v>-560</v>
      </c>
      <c r="G27" s="29">
        <f>SUMIFS(전체리스트!E:E,전체리스트!A:A,B27,전체리스트!C:C,D27)</f>
        <v>560</v>
      </c>
      <c r="H27" s="27">
        <f t="shared" si="19"/>
        <v>28</v>
      </c>
      <c r="I27" s="30">
        <f t="shared" si="20"/>
        <v>532</v>
      </c>
      <c r="J27" s="26"/>
    </row>
    <row r="28" spans="2:10">
      <c r="B28" s="26" t="s">
        <v>35</v>
      </c>
      <c r="C28" s="61" t="str">
        <f t="shared" si="17"/>
        <v>12월분</v>
      </c>
      <c r="D28" s="26" t="s">
        <v>91</v>
      </c>
      <c r="E28" s="27">
        <f>SUMIFS(전체리스트!D:D,전체리스트!A:A,B28,전체리스트!C:C,D28)</f>
        <v>25785</v>
      </c>
      <c r="F28" s="28">
        <f t="shared" si="18"/>
        <v>7735.5</v>
      </c>
      <c r="G28" s="29">
        <f>SUMIFS(전체리스트!E:E,전체리스트!A:A,B28,전체리스트!C:C,D28)</f>
        <v>18049.5</v>
      </c>
      <c r="H28" s="27">
        <f t="shared" si="19"/>
        <v>902.47500000000002</v>
      </c>
      <c r="I28" s="30">
        <f t="shared" si="20"/>
        <v>17147.025000000001</v>
      </c>
      <c r="J28" s="26"/>
    </row>
    <row r="29" spans="2:10">
      <c r="B29" s="26" t="s">
        <v>35</v>
      </c>
      <c r="C29" s="61" t="str">
        <f t="shared" si="17"/>
        <v>12월분</v>
      </c>
      <c r="D29" s="26" t="s">
        <v>366</v>
      </c>
      <c r="E29" s="27">
        <f>SUMIFS(전체리스트!D:D,전체리스트!A:A,B29,전체리스트!C:C,D29)</f>
        <v>1755</v>
      </c>
      <c r="F29" s="28">
        <f t="shared" si="18"/>
        <v>526.5</v>
      </c>
      <c r="G29" s="29">
        <f>SUMIFS(전체리스트!E:E,전체리스트!A:A,B29,전체리스트!C:C,D29)</f>
        <v>1228.5</v>
      </c>
      <c r="H29" s="27">
        <f t="shared" si="19"/>
        <v>61.425000000000004</v>
      </c>
      <c r="I29" s="30">
        <f t="shared" si="20"/>
        <v>1167.075</v>
      </c>
      <c r="J29" s="26"/>
    </row>
    <row r="30" spans="2:10">
      <c r="B30" s="26" t="s">
        <v>35</v>
      </c>
      <c r="C30" s="61" t="str">
        <f t="shared" si="17"/>
        <v>12월분</v>
      </c>
      <c r="D30" s="26" t="s">
        <v>229</v>
      </c>
      <c r="E30" s="27">
        <f>SUMIFS(전체리스트!D:D,전체리스트!A:A,B30,전체리스트!C:C,D30)</f>
        <v>273375</v>
      </c>
      <c r="F30" s="28">
        <f t="shared" si="18"/>
        <v>-40320.5</v>
      </c>
      <c r="G30" s="29">
        <f>SUMIFS(전체리스트!E:E,전체리스트!A:A,B30,전체리스트!C:C,D30)</f>
        <v>313695.5</v>
      </c>
      <c r="H30" s="27">
        <f t="shared" si="19"/>
        <v>15684.775000000001</v>
      </c>
      <c r="I30" s="30">
        <f t="shared" si="20"/>
        <v>298010.72499999998</v>
      </c>
      <c r="J30" s="26"/>
    </row>
    <row r="31" spans="2:10">
      <c r="B31" s="26" t="s">
        <v>35</v>
      </c>
      <c r="C31" s="61" t="str">
        <f t="shared" si="17"/>
        <v>12월분</v>
      </c>
      <c r="D31" s="26" t="s">
        <v>36</v>
      </c>
      <c r="E31" s="27">
        <f>SUMIFS(전체리스트!D:D,전체리스트!A:A,B31,전체리스트!C:C,D31)</f>
        <v>24165</v>
      </c>
      <c r="F31" s="28">
        <f t="shared" si="18"/>
        <v>-13437.5</v>
      </c>
      <c r="G31" s="29">
        <f>SUMIFS(전체리스트!E:E,전체리스트!A:A,B31,전체리스트!C:C,D31)</f>
        <v>37602.5</v>
      </c>
      <c r="H31" s="27">
        <f t="shared" si="19"/>
        <v>1880.125</v>
      </c>
      <c r="I31" s="30">
        <f t="shared" si="20"/>
        <v>35722.375</v>
      </c>
      <c r="J31" s="26"/>
    </row>
    <row r="32" spans="2:10">
      <c r="B32" s="26" t="s">
        <v>35</v>
      </c>
      <c r="C32" s="61" t="str">
        <f t="shared" si="14"/>
        <v>12월분</v>
      </c>
      <c r="D32" s="26" t="s">
        <v>267</v>
      </c>
      <c r="E32" s="27">
        <f>SUMIFS(전체리스트!D:D,전체리스트!A:A,B32,전체리스트!C:C,D32)</f>
        <v>0</v>
      </c>
      <c r="F32" s="28">
        <f t="shared" si="15"/>
        <v>-1588</v>
      </c>
      <c r="G32" s="29">
        <f>SUMIFS(전체리스트!E:E,전체리스트!A:A,B32,전체리스트!C:C,D32)</f>
        <v>1588</v>
      </c>
      <c r="H32" s="27">
        <f t="shared" si="2"/>
        <v>79.400000000000006</v>
      </c>
      <c r="I32" s="30">
        <f t="shared" si="16"/>
        <v>1508.6</v>
      </c>
      <c r="J32" s="26"/>
    </row>
    <row r="33" spans="2:10">
      <c r="B33" s="26" t="s">
        <v>35</v>
      </c>
      <c r="C33" s="61" t="str">
        <f t="shared" si="14"/>
        <v>12월분</v>
      </c>
      <c r="D33" s="26" t="s">
        <v>57</v>
      </c>
      <c r="E33" s="27">
        <f>SUMIFS(전체리스트!D:D,전체리스트!A:A,B33,전체리스트!C:C,D33)</f>
        <v>0</v>
      </c>
      <c r="F33" s="28">
        <f t="shared" si="15"/>
        <v>-176</v>
      </c>
      <c r="G33" s="29">
        <f>SUMIFS(전체리스트!E:E,전체리스트!A:A,B33,전체리스트!C:C,D33)</f>
        <v>176</v>
      </c>
      <c r="H33" s="27">
        <f t="shared" si="2"/>
        <v>8.8000000000000007</v>
      </c>
      <c r="I33" s="30">
        <f t="shared" si="16"/>
        <v>167.2</v>
      </c>
      <c r="J33" s="26"/>
    </row>
    <row r="34" spans="2:10">
      <c r="B34" s="26" t="s">
        <v>35</v>
      </c>
      <c r="C34" s="61" t="str">
        <f t="shared" si="14"/>
        <v>12월분</v>
      </c>
      <c r="D34" s="26" t="s">
        <v>37</v>
      </c>
      <c r="E34" s="27">
        <f>SUMIFS(전체리스트!D:D,전체리스트!A:A,B34,전체리스트!C:C,D34)</f>
        <v>53460</v>
      </c>
      <c r="F34" s="28">
        <f t="shared" si="15"/>
        <v>16038</v>
      </c>
      <c r="G34" s="29">
        <f>SUMIFS(전체리스트!E:E,전체리스트!A:A,B34,전체리스트!C:C,D34)</f>
        <v>37422</v>
      </c>
      <c r="H34" s="27">
        <f t="shared" si="2"/>
        <v>1871.1000000000001</v>
      </c>
      <c r="I34" s="30">
        <f t="shared" si="16"/>
        <v>35550.9</v>
      </c>
      <c r="J34" s="26"/>
    </row>
    <row r="35" spans="2:10">
      <c r="B35" s="26" t="s">
        <v>35</v>
      </c>
      <c r="C35" s="61" t="str">
        <f t="shared" si="14"/>
        <v>12월분</v>
      </c>
      <c r="D35" s="26" t="s">
        <v>328</v>
      </c>
      <c r="E35" s="27">
        <f>SUMIFS(전체리스트!D:D,전체리스트!A:A,B35,전체리스트!C:C,D35)</f>
        <v>32940</v>
      </c>
      <c r="F35" s="28">
        <f t="shared" si="15"/>
        <v>2914</v>
      </c>
      <c r="G35" s="29">
        <f>SUMIFS(전체리스트!E:E,전체리스트!A:A,B35,전체리스트!C:C,D35)</f>
        <v>30026</v>
      </c>
      <c r="H35" s="27">
        <f t="shared" si="2"/>
        <v>1501.3000000000002</v>
      </c>
      <c r="I35" s="30">
        <f t="shared" si="16"/>
        <v>28524.7</v>
      </c>
      <c r="J35" s="26"/>
    </row>
    <row r="36" spans="2:10">
      <c r="B36" s="26" t="s">
        <v>35</v>
      </c>
      <c r="C36" s="61" t="str">
        <f t="shared" si="14"/>
        <v>12월분</v>
      </c>
      <c r="D36" s="26" t="s">
        <v>72</v>
      </c>
      <c r="E36" s="27">
        <f>SUMIFS(전체리스트!D:D,전체리스트!A:A,B36,전체리스트!C:C,D36)</f>
        <v>6885</v>
      </c>
      <c r="F36" s="28">
        <f t="shared" si="15"/>
        <v>2065.5</v>
      </c>
      <c r="G36" s="29">
        <f>SUMIFS(전체리스트!E:E,전체리스트!A:A,B36,전체리스트!C:C,D36)</f>
        <v>4819.5</v>
      </c>
      <c r="H36" s="27">
        <f t="shared" si="2"/>
        <v>240.97500000000002</v>
      </c>
      <c r="I36" s="30">
        <f t="shared" si="16"/>
        <v>4578.5249999999996</v>
      </c>
      <c r="J36" s="26"/>
    </row>
    <row r="37" spans="2:10">
      <c r="B37" s="26" t="s">
        <v>35</v>
      </c>
      <c r="C37" s="61" t="str">
        <f t="shared" si="14"/>
        <v>12월분</v>
      </c>
      <c r="D37" s="26" t="s">
        <v>59</v>
      </c>
      <c r="E37" s="27">
        <f>SUMIFS(전체리스트!D:D,전체리스트!A:A,B37,전체리스트!C:C,D37)</f>
        <v>100575</v>
      </c>
      <c r="F37" s="28">
        <f t="shared" si="15"/>
        <v>30172.5</v>
      </c>
      <c r="G37" s="29">
        <f>SUMIFS(전체리스트!E:E,전체리스트!A:A,B37,전체리스트!C:C,D37)</f>
        <v>70402.5</v>
      </c>
      <c r="H37" s="27">
        <f t="shared" si="2"/>
        <v>3520.125</v>
      </c>
      <c r="I37" s="30">
        <f t="shared" si="16"/>
        <v>66882.375</v>
      </c>
      <c r="J37" s="26"/>
    </row>
    <row r="38" spans="2:10">
      <c r="B38" s="26" t="s">
        <v>35</v>
      </c>
      <c r="C38" s="61" t="str">
        <f t="shared" si="14"/>
        <v>12월분</v>
      </c>
      <c r="D38" s="26" t="s">
        <v>380</v>
      </c>
      <c r="E38" s="27">
        <f>SUMIFS(전체리스트!D:D,전체리스트!A:A,B38,전체리스트!C:C,D38)</f>
        <v>25380</v>
      </c>
      <c r="F38" s="28">
        <f t="shared" si="15"/>
        <v>7614</v>
      </c>
      <c r="G38" s="29">
        <f>SUMIFS(전체리스트!E:E,전체리스트!A:A,B38,전체리스트!C:C,D38)</f>
        <v>17766</v>
      </c>
      <c r="H38" s="27">
        <f t="shared" si="2"/>
        <v>888.30000000000007</v>
      </c>
      <c r="I38" s="30">
        <f t="shared" si="16"/>
        <v>16877.7</v>
      </c>
      <c r="J38" s="26"/>
    </row>
    <row r="39" spans="2:10">
      <c r="B39" s="26" t="s">
        <v>35</v>
      </c>
      <c r="C39" s="61" t="str">
        <f t="shared" si="14"/>
        <v>12월분</v>
      </c>
      <c r="D39" s="26" t="s">
        <v>347</v>
      </c>
      <c r="E39" s="27">
        <f>SUMIFS(전체리스트!D:D,전체리스트!A:A,B39,전체리스트!C:C,D39)</f>
        <v>23625</v>
      </c>
      <c r="F39" s="28">
        <f t="shared" si="15"/>
        <v>7087.5</v>
      </c>
      <c r="G39" s="29">
        <f>SUMIFS(전체리스트!E:E,전체리스트!A:A,B39,전체리스트!C:C,D39)</f>
        <v>16537.5</v>
      </c>
      <c r="H39" s="27">
        <f t="shared" si="2"/>
        <v>826.875</v>
      </c>
      <c r="I39" s="30">
        <f t="shared" si="16"/>
        <v>15710.625</v>
      </c>
      <c r="J39" s="26"/>
    </row>
    <row r="40" spans="2:10">
      <c r="B40" s="26" t="s">
        <v>35</v>
      </c>
      <c r="C40" s="61" t="str">
        <f t="shared" si="11"/>
        <v>12월분</v>
      </c>
      <c r="D40" s="26" t="s">
        <v>155</v>
      </c>
      <c r="E40" s="27">
        <f>SUMIFS(전체리스트!D:D,전체리스트!A:A,B40,전체리스트!C:C,D40)</f>
        <v>72630</v>
      </c>
      <c r="F40" s="28">
        <f t="shared" si="12"/>
        <v>21789</v>
      </c>
      <c r="G40" s="29">
        <f>SUMIFS(전체리스트!E:E,전체리스트!A:A,B40,전체리스트!C:C,D40)</f>
        <v>50841</v>
      </c>
      <c r="H40" s="27">
        <f t="shared" si="2"/>
        <v>2542.0500000000002</v>
      </c>
      <c r="I40" s="30">
        <f t="shared" si="13"/>
        <v>48298.95</v>
      </c>
      <c r="J40" s="26"/>
    </row>
    <row r="41" spans="2:10">
      <c r="B41" s="26" t="s">
        <v>35</v>
      </c>
      <c r="C41" s="61" t="str">
        <f t="shared" si="11"/>
        <v>12월분</v>
      </c>
      <c r="D41" s="26" t="s">
        <v>170</v>
      </c>
      <c r="E41" s="27">
        <f>SUMIFS(전체리스트!D:D,전체리스트!A:A,B41,전체리스트!C:C,D41)</f>
        <v>675</v>
      </c>
      <c r="F41" s="28">
        <f t="shared" si="12"/>
        <v>202.5</v>
      </c>
      <c r="G41" s="29">
        <f>SUMIFS(전체리스트!E:E,전체리스트!A:A,B41,전체리스트!C:C,D41)</f>
        <v>472.5</v>
      </c>
      <c r="H41" s="27">
        <f t="shared" si="2"/>
        <v>23.625</v>
      </c>
      <c r="I41" s="30">
        <f t="shared" si="13"/>
        <v>448.875</v>
      </c>
      <c r="J41" s="26"/>
    </row>
    <row r="42" spans="2:10">
      <c r="B42" s="31" t="s">
        <v>0</v>
      </c>
      <c r="C42" s="31"/>
      <c r="D42" s="32"/>
      <c r="E42" s="33">
        <f t="shared" ref="E42:J42" si="21">SUM(E6:E41)</f>
        <v>6190222.5</v>
      </c>
      <c r="F42" s="33">
        <f t="shared" si="21"/>
        <v>1078566.75</v>
      </c>
      <c r="G42" s="33">
        <f t="shared" si="21"/>
        <v>5111655.75</v>
      </c>
      <c r="H42" s="33">
        <f t="shared" si="21"/>
        <v>255582.78749999995</v>
      </c>
      <c r="I42" s="33">
        <f t="shared" si="21"/>
        <v>4856072.9625000013</v>
      </c>
      <c r="J42" s="33">
        <f t="shared" si="21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4:J36"/>
  <sheetViews>
    <sheetView topLeftCell="A5" workbookViewId="0">
      <selection activeCell="H35" sqref="H7:H35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3.1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163</v>
      </c>
      <c r="C6" s="62" t="str">
        <f>VLOOKUP(B6,raw_a,2,0)</f>
        <v>12월분</v>
      </c>
      <c r="D6" s="45" t="s">
        <v>171</v>
      </c>
      <c r="E6" s="27">
        <f>SUMIFS(전체리스트!D:D,전체리스트!A:A,B6,전체리스트!C:C,D6)</f>
        <v>916470</v>
      </c>
      <c r="F6" s="28">
        <f>E6-G6</f>
        <v>0</v>
      </c>
      <c r="G6" s="29">
        <f>SUMIFS(전체리스트!E:E,전체리스트!A:A,B6,전체리스트!C:C,D6)</f>
        <v>916470</v>
      </c>
      <c r="H6" s="27">
        <f>G6*0.05</f>
        <v>45823.5</v>
      </c>
      <c r="I6" s="30">
        <f>G6-H6</f>
        <v>870646.5</v>
      </c>
      <c r="J6" s="26"/>
    </row>
    <row r="7" spans="2:10">
      <c r="B7" s="26" t="s">
        <v>232</v>
      </c>
      <c r="C7" s="62" t="str">
        <f t="shared" ref="C7:C34" si="0">VLOOKUP(B7,raw_a,2,0)</f>
        <v>1월분</v>
      </c>
      <c r="D7" s="45" t="s">
        <v>307</v>
      </c>
      <c r="E7" s="27">
        <f>SUMIFS(전체리스트!D:D,전체리스트!A:A,B7,전체리스트!C:C,D7)</f>
        <v>57700</v>
      </c>
      <c r="F7" s="28">
        <f t="shared" ref="F7:F34" si="1">E7-G7</f>
        <v>29974</v>
      </c>
      <c r="G7" s="29">
        <f>SUMIFS(전체리스트!E:E,전체리스트!A:A,B7,전체리스트!C:C,D7)</f>
        <v>27726</v>
      </c>
      <c r="H7" s="27">
        <f t="shared" ref="H7:H35" si="2">G7*0.05</f>
        <v>1386.3000000000002</v>
      </c>
      <c r="I7" s="30">
        <f t="shared" ref="I7:I34" si="3">G7-H7</f>
        <v>26339.7</v>
      </c>
      <c r="J7" s="26"/>
    </row>
    <row r="8" spans="2:10">
      <c r="B8" s="26" t="s">
        <v>232</v>
      </c>
      <c r="C8" s="62" t="str">
        <f t="shared" si="0"/>
        <v>1월분</v>
      </c>
      <c r="D8" s="45" t="s">
        <v>386</v>
      </c>
      <c r="E8" s="27">
        <f>SUMIFS(전체리스트!D:D,전체리스트!A:A,B8,전체리스트!C:C,D8)</f>
        <v>107800</v>
      </c>
      <c r="F8" s="28">
        <f t="shared" si="1"/>
        <v>39606</v>
      </c>
      <c r="G8" s="29">
        <f>SUMIFS(전체리스트!E:E,전체리스트!A:A,B8,전체리스트!C:C,D8)</f>
        <v>68194</v>
      </c>
      <c r="H8" s="27">
        <f t="shared" si="2"/>
        <v>3409.7000000000003</v>
      </c>
      <c r="I8" s="30">
        <f t="shared" si="3"/>
        <v>64784.3</v>
      </c>
      <c r="J8" s="26"/>
    </row>
    <row r="9" spans="2:10">
      <c r="B9" s="26" t="s">
        <v>232</v>
      </c>
      <c r="C9" s="62" t="str">
        <f t="shared" si="0"/>
        <v>1월분</v>
      </c>
      <c r="D9" s="45" t="s">
        <v>321</v>
      </c>
      <c r="E9" s="27">
        <f>SUMIFS(전체리스트!D:D,전체리스트!A:A,B9,전체리스트!C:C,D9)</f>
        <v>181100</v>
      </c>
      <c r="F9" s="28">
        <f t="shared" si="1"/>
        <v>91880</v>
      </c>
      <c r="G9" s="29">
        <f>SUMIFS(전체리스트!E:E,전체리스트!A:A,B9,전체리스트!C:C,D9)</f>
        <v>89220</v>
      </c>
      <c r="H9" s="27">
        <f t="shared" si="2"/>
        <v>4461</v>
      </c>
      <c r="I9" s="30">
        <f t="shared" si="3"/>
        <v>84759</v>
      </c>
      <c r="J9" s="26"/>
    </row>
    <row r="10" spans="2:10">
      <c r="B10" s="26" t="s">
        <v>232</v>
      </c>
      <c r="C10" s="62" t="str">
        <f t="shared" si="0"/>
        <v>1월분</v>
      </c>
      <c r="D10" s="45" t="s">
        <v>312</v>
      </c>
      <c r="E10" s="27">
        <f>SUMIFS(전체리스트!D:D,전체리스트!A:A,B10,전체리스트!C:C,D10)</f>
        <v>110800</v>
      </c>
      <c r="F10" s="28">
        <f t="shared" si="1"/>
        <v>54097</v>
      </c>
      <c r="G10" s="29">
        <f>SUMIFS(전체리스트!E:E,전체리스트!A:A,B10,전체리스트!C:C,D10)</f>
        <v>56703</v>
      </c>
      <c r="H10" s="27">
        <f t="shared" si="2"/>
        <v>2835.15</v>
      </c>
      <c r="I10" s="30">
        <f t="shared" si="3"/>
        <v>53867.85</v>
      </c>
      <c r="J10" s="26"/>
    </row>
    <row r="11" spans="2:10">
      <c r="B11" s="26" t="s">
        <v>232</v>
      </c>
      <c r="C11" s="62" t="str">
        <f t="shared" si="0"/>
        <v>1월분</v>
      </c>
      <c r="D11" s="45" t="s">
        <v>180</v>
      </c>
      <c r="E11" s="27">
        <f>SUMIFS(전체리스트!D:D,전체리스트!A:A,B11,전체리스트!C:C,D11)</f>
        <v>1622700</v>
      </c>
      <c r="F11" s="28">
        <f t="shared" si="1"/>
        <v>774441</v>
      </c>
      <c r="G11" s="29">
        <f>SUMIFS(전체리스트!E:E,전체리스트!A:A,B11,전체리스트!C:C,D11)</f>
        <v>848259</v>
      </c>
      <c r="H11" s="27">
        <f t="shared" si="2"/>
        <v>42412.950000000004</v>
      </c>
      <c r="I11" s="30">
        <f t="shared" si="3"/>
        <v>805846.05</v>
      </c>
      <c r="J11" s="26"/>
    </row>
    <row r="12" spans="2:10">
      <c r="B12" s="26" t="s">
        <v>232</v>
      </c>
      <c r="C12" s="62" t="str">
        <f t="shared" si="0"/>
        <v>1월분</v>
      </c>
      <c r="D12" s="45" t="s">
        <v>179</v>
      </c>
      <c r="E12" s="27">
        <f>SUMIFS(전체리스트!D:D,전체리스트!A:A,B12,전체리스트!C:C,D12)</f>
        <v>2207500</v>
      </c>
      <c r="F12" s="28">
        <f t="shared" si="1"/>
        <v>1098481</v>
      </c>
      <c r="G12" s="29">
        <f>SUMIFS(전체리스트!E:E,전체리스트!A:A,B12,전체리스트!C:C,D12)</f>
        <v>1109019</v>
      </c>
      <c r="H12" s="27">
        <f t="shared" si="2"/>
        <v>55450.950000000004</v>
      </c>
      <c r="I12" s="30">
        <f t="shared" si="3"/>
        <v>1053568.05</v>
      </c>
      <c r="J12" s="26"/>
    </row>
    <row r="13" spans="2:10">
      <c r="B13" s="26" t="s">
        <v>232</v>
      </c>
      <c r="C13" s="62" t="str">
        <f t="shared" si="0"/>
        <v>1월분</v>
      </c>
      <c r="D13" s="45" t="s">
        <v>387</v>
      </c>
      <c r="E13" s="27">
        <f>SUMIFS(전체리스트!D:D,전체리스트!A:A,B13,전체리스트!C:C,D13)</f>
        <v>76000</v>
      </c>
      <c r="F13" s="28">
        <f t="shared" si="1"/>
        <v>32544</v>
      </c>
      <c r="G13" s="29">
        <f>SUMIFS(전체리스트!E:E,전체리스트!A:A,B13,전체리스트!C:C,D13)</f>
        <v>43456</v>
      </c>
      <c r="H13" s="27">
        <f t="shared" si="2"/>
        <v>2172.8000000000002</v>
      </c>
      <c r="I13" s="30">
        <f t="shared" si="3"/>
        <v>41283.199999999997</v>
      </c>
      <c r="J13" s="26"/>
    </row>
    <row r="14" spans="2:10">
      <c r="B14" s="26" t="s">
        <v>232</v>
      </c>
      <c r="C14" s="62" t="str">
        <f t="shared" si="0"/>
        <v>1월분</v>
      </c>
      <c r="D14" s="45" t="s">
        <v>346</v>
      </c>
      <c r="E14" s="27">
        <f>SUMIFS(전체리스트!D:D,전체리스트!A:A,B14,전체리스트!C:C,D14)</f>
        <v>338400</v>
      </c>
      <c r="F14" s="28">
        <f t="shared" si="1"/>
        <v>123549</v>
      </c>
      <c r="G14" s="29">
        <f>SUMIFS(전체리스트!E:E,전체리스트!A:A,B14,전체리스트!C:C,D14)</f>
        <v>214851</v>
      </c>
      <c r="H14" s="27">
        <f t="shared" si="2"/>
        <v>10742.550000000001</v>
      </c>
      <c r="I14" s="30">
        <f t="shared" si="3"/>
        <v>204108.45</v>
      </c>
      <c r="J14" s="26"/>
    </row>
    <row r="15" spans="2:10">
      <c r="B15" s="26" t="s">
        <v>232</v>
      </c>
      <c r="C15" s="62" t="str">
        <f t="shared" si="0"/>
        <v>1월분</v>
      </c>
      <c r="D15" s="45" t="s">
        <v>308</v>
      </c>
      <c r="E15" s="27">
        <f>SUMIFS(전체리스트!D:D,전체리스트!A:A,B15,전체리스트!C:C,D15)</f>
        <v>685000</v>
      </c>
      <c r="F15" s="28">
        <f t="shared" si="1"/>
        <v>320863</v>
      </c>
      <c r="G15" s="29">
        <f>SUMIFS(전체리스트!E:E,전체리스트!A:A,B15,전체리스트!C:C,D15)</f>
        <v>364137</v>
      </c>
      <c r="H15" s="27">
        <f t="shared" si="2"/>
        <v>18206.850000000002</v>
      </c>
      <c r="I15" s="30">
        <f t="shared" si="3"/>
        <v>345930.15</v>
      </c>
      <c r="J15" s="26"/>
    </row>
    <row r="16" spans="2:10">
      <c r="B16" s="26" t="s">
        <v>232</v>
      </c>
      <c r="C16" s="62" t="str">
        <f t="shared" ref="C16:C33" si="4">VLOOKUP(B16,raw_a,2,0)</f>
        <v>1월분</v>
      </c>
      <c r="D16" s="45" t="s">
        <v>425</v>
      </c>
      <c r="E16" s="27">
        <f>SUMIFS(전체리스트!D:D,전체리스트!A:A,B16,전체리스트!C:C,D16)</f>
        <v>300</v>
      </c>
      <c r="F16" s="28">
        <f t="shared" ref="F16:F33" si="5">E16-G16</f>
        <v>90</v>
      </c>
      <c r="G16" s="29">
        <f>SUMIFS(전체리스트!E:E,전체리스트!A:A,B16,전체리스트!C:C,D16)</f>
        <v>210</v>
      </c>
      <c r="H16" s="27">
        <f t="shared" si="2"/>
        <v>10.5</v>
      </c>
      <c r="I16" s="30">
        <f t="shared" ref="I16:I33" si="6">G16-H16</f>
        <v>199.5</v>
      </c>
      <c r="J16" s="26"/>
    </row>
    <row r="17" spans="2:10">
      <c r="B17" s="26" t="s">
        <v>232</v>
      </c>
      <c r="C17" s="62" t="str">
        <f t="shared" ref="C17:C28" si="7">VLOOKUP(B17,raw_a,2,0)</f>
        <v>1월분</v>
      </c>
      <c r="D17" s="45" t="s">
        <v>233</v>
      </c>
      <c r="E17" s="27">
        <f>SUMIFS(전체리스트!D:D,전체리스트!A:A,B17,전체리스트!C:C,D17)</f>
        <v>92700</v>
      </c>
      <c r="F17" s="28">
        <f t="shared" ref="F17:F28" si="8">E17-G17</f>
        <v>47286</v>
      </c>
      <c r="G17" s="29">
        <f>SUMIFS(전체리스트!E:E,전체리스트!A:A,B17,전체리스트!C:C,D17)</f>
        <v>45414</v>
      </c>
      <c r="H17" s="27">
        <f t="shared" si="2"/>
        <v>2270.7000000000003</v>
      </c>
      <c r="I17" s="30">
        <f t="shared" ref="I17:I28" si="9">G17-H17</f>
        <v>43143.3</v>
      </c>
      <c r="J17" s="26"/>
    </row>
    <row r="18" spans="2:10">
      <c r="B18" s="26" t="s">
        <v>232</v>
      </c>
      <c r="C18" s="62" t="str">
        <f t="shared" si="7"/>
        <v>1월분</v>
      </c>
      <c r="D18" s="45" t="s">
        <v>231</v>
      </c>
      <c r="E18" s="27">
        <f>SUMIFS(전체리스트!D:D,전체리스트!A:A,B18,전체리스트!C:C,D18)</f>
        <v>19100</v>
      </c>
      <c r="F18" s="28">
        <f t="shared" si="8"/>
        <v>8756</v>
      </c>
      <c r="G18" s="29">
        <f>SUMIFS(전체리스트!E:E,전체리스트!A:A,B18,전체리스트!C:C,D18)</f>
        <v>10344</v>
      </c>
      <c r="H18" s="27">
        <f t="shared" si="2"/>
        <v>517.20000000000005</v>
      </c>
      <c r="I18" s="30">
        <f t="shared" si="9"/>
        <v>9826.7999999999993</v>
      </c>
      <c r="J18" s="26"/>
    </row>
    <row r="19" spans="2:10">
      <c r="B19" s="26" t="s">
        <v>232</v>
      </c>
      <c r="C19" s="62" t="str">
        <f t="shared" si="7"/>
        <v>1월분</v>
      </c>
      <c r="D19" s="45" t="s">
        <v>76</v>
      </c>
      <c r="E19" s="27">
        <f>SUMIFS(전체리스트!D:D,전체리스트!A:A,B19,전체리스트!C:C,D19)</f>
        <v>1930800</v>
      </c>
      <c r="F19" s="28">
        <f t="shared" si="8"/>
        <v>897036</v>
      </c>
      <c r="G19" s="29">
        <f>SUMIFS(전체리스트!E:E,전체리스트!A:A,B19,전체리스트!C:C,D19)</f>
        <v>1033764</v>
      </c>
      <c r="H19" s="27">
        <f t="shared" si="2"/>
        <v>51688.200000000004</v>
      </c>
      <c r="I19" s="30">
        <f t="shared" si="9"/>
        <v>982075.8</v>
      </c>
      <c r="J19" s="26"/>
    </row>
    <row r="20" spans="2:10">
      <c r="B20" s="26" t="s">
        <v>232</v>
      </c>
      <c r="C20" s="62" t="str">
        <f t="shared" si="7"/>
        <v>1월분</v>
      </c>
      <c r="D20" s="45" t="s">
        <v>77</v>
      </c>
      <c r="E20" s="27">
        <f>SUMIFS(전체리스트!D:D,전체리스트!A:A,B20,전체리스트!C:C,D20)</f>
        <v>7278200</v>
      </c>
      <c r="F20" s="28">
        <f t="shared" si="8"/>
        <v>3464204</v>
      </c>
      <c r="G20" s="29">
        <f>SUMIFS(전체리스트!E:E,전체리스트!A:A,B20,전체리스트!C:C,D20)</f>
        <v>3813996</v>
      </c>
      <c r="H20" s="27">
        <f t="shared" si="2"/>
        <v>190699.80000000002</v>
      </c>
      <c r="I20" s="30">
        <f t="shared" si="9"/>
        <v>3623296.2</v>
      </c>
      <c r="J20" s="26"/>
    </row>
    <row r="21" spans="2:10">
      <c r="B21" s="26" t="s">
        <v>232</v>
      </c>
      <c r="C21" s="62" t="str">
        <f t="shared" ref="C21:C24" si="10">VLOOKUP(B21,raw_a,2,0)</f>
        <v>1월분</v>
      </c>
      <c r="D21" s="45" t="s">
        <v>344</v>
      </c>
      <c r="E21" s="27">
        <f>SUMIFS(전체리스트!D:D,전체리스트!A:A,B21,전체리스트!C:C,D21)</f>
        <v>200</v>
      </c>
      <c r="F21" s="28">
        <f t="shared" ref="F21:F24" si="11">E21-G21</f>
        <v>102</v>
      </c>
      <c r="G21" s="29">
        <f>SUMIFS(전체리스트!E:E,전체리스트!A:A,B21,전체리스트!C:C,D21)</f>
        <v>98</v>
      </c>
      <c r="H21" s="27">
        <f t="shared" ref="H21:H24" si="12">G21*0.05</f>
        <v>4.9000000000000004</v>
      </c>
      <c r="I21" s="30">
        <f t="shared" ref="I21:I24" si="13">G21-H21</f>
        <v>93.1</v>
      </c>
      <c r="J21" s="26"/>
    </row>
    <row r="22" spans="2:10">
      <c r="B22" s="26" t="s">
        <v>232</v>
      </c>
      <c r="C22" s="62" t="str">
        <f t="shared" si="10"/>
        <v>1월분</v>
      </c>
      <c r="D22" s="45" t="s">
        <v>327</v>
      </c>
      <c r="E22" s="27">
        <f>SUMIFS(전체리스트!D:D,전체리스트!A:A,B22,전체리스트!C:C,D22)</f>
        <v>700</v>
      </c>
      <c r="F22" s="28">
        <f t="shared" si="11"/>
        <v>357</v>
      </c>
      <c r="G22" s="29">
        <f>SUMIFS(전체리스트!E:E,전체리스트!A:A,B22,전체리스트!C:C,D22)</f>
        <v>343</v>
      </c>
      <c r="H22" s="27">
        <f t="shared" si="12"/>
        <v>17.150000000000002</v>
      </c>
      <c r="I22" s="30">
        <f t="shared" si="13"/>
        <v>325.85000000000002</v>
      </c>
      <c r="J22" s="26"/>
    </row>
    <row r="23" spans="2:10">
      <c r="B23" s="26" t="s">
        <v>232</v>
      </c>
      <c r="C23" s="62" t="str">
        <f t="shared" si="10"/>
        <v>1월분</v>
      </c>
      <c r="D23" s="45" t="s">
        <v>68</v>
      </c>
      <c r="E23" s="27">
        <f>SUMIFS(전체리스트!D:D,전체리스트!A:A,B23,전체리스트!C:C,D23)</f>
        <v>600</v>
      </c>
      <c r="F23" s="28">
        <f t="shared" si="11"/>
        <v>180</v>
      </c>
      <c r="G23" s="29">
        <f>SUMIFS(전체리스트!E:E,전체리스트!A:A,B23,전체리스트!C:C,D23)</f>
        <v>420</v>
      </c>
      <c r="H23" s="27">
        <f t="shared" si="12"/>
        <v>21</v>
      </c>
      <c r="I23" s="30">
        <f t="shared" si="13"/>
        <v>399</v>
      </c>
      <c r="J23" s="26"/>
    </row>
    <row r="24" spans="2:10">
      <c r="B24" s="26" t="s">
        <v>232</v>
      </c>
      <c r="C24" s="62" t="str">
        <f t="shared" si="10"/>
        <v>1월분</v>
      </c>
      <c r="D24" s="45" t="s">
        <v>309</v>
      </c>
      <c r="E24" s="27">
        <f>SUMIFS(전체리스트!D:D,전체리스트!A:A,B24,전체리스트!C:C,D24)</f>
        <v>50700</v>
      </c>
      <c r="F24" s="28">
        <f t="shared" si="11"/>
        <v>24051</v>
      </c>
      <c r="G24" s="29">
        <f>SUMIFS(전체리스트!E:E,전체리스트!A:A,B24,전체리스트!C:C,D24)</f>
        <v>26649</v>
      </c>
      <c r="H24" s="27">
        <f t="shared" si="12"/>
        <v>1332.45</v>
      </c>
      <c r="I24" s="30">
        <f t="shared" si="13"/>
        <v>25316.55</v>
      </c>
      <c r="J24" s="26"/>
    </row>
    <row r="25" spans="2:10">
      <c r="B25" s="26" t="s">
        <v>232</v>
      </c>
      <c r="C25" s="62" t="str">
        <f t="shared" si="7"/>
        <v>1월분</v>
      </c>
      <c r="D25" s="45" t="s">
        <v>345</v>
      </c>
      <c r="E25" s="27">
        <f>SUMIFS(전체리스트!D:D,전체리스트!A:A,B25,전체리스트!C:C,D25)</f>
        <v>900</v>
      </c>
      <c r="F25" s="28">
        <f t="shared" si="8"/>
        <v>387</v>
      </c>
      <c r="G25" s="29">
        <f>SUMIFS(전체리스트!E:E,전체리스트!A:A,B25,전체리스트!C:C,D25)</f>
        <v>513</v>
      </c>
      <c r="H25" s="27">
        <f t="shared" si="2"/>
        <v>25.650000000000002</v>
      </c>
      <c r="I25" s="30">
        <f t="shared" si="9"/>
        <v>487.35</v>
      </c>
      <c r="J25" s="26"/>
    </row>
    <row r="26" spans="2:10">
      <c r="B26" s="26" t="s">
        <v>232</v>
      </c>
      <c r="C26" s="62" t="str">
        <f t="shared" si="7"/>
        <v>1월분</v>
      </c>
      <c r="D26" s="45" t="s">
        <v>229</v>
      </c>
      <c r="E26" s="27">
        <f>SUMIFS(전체리스트!D:D,전체리스트!A:A,B26,전체리스트!C:C,D26)</f>
        <v>1224000</v>
      </c>
      <c r="F26" s="28">
        <f t="shared" si="8"/>
        <v>616620</v>
      </c>
      <c r="G26" s="29">
        <f>SUMIFS(전체리스트!E:E,전체리스트!A:A,B26,전체리스트!C:C,D26)</f>
        <v>607380</v>
      </c>
      <c r="H26" s="27">
        <f t="shared" si="2"/>
        <v>30369</v>
      </c>
      <c r="I26" s="30">
        <f t="shared" si="9"/>
        <v>577011</v>
      </c>
      <c r="J26" s="26"/>
    </row>
    <row r="27" spans="2:10">
      <c r="B27" s="26" t="s">
        <v>232</v>
      </c>
      <c r="C27" s="62" t="str">
        <f t="shared" si="7"/>
        <v>1월분</v>
      </c>
      <c r="D27" s="45" t="s">
        <v>426</v>
      </c>
      <c r="E27" s="27">
        <f>SUMIFS(전체리스트!D:D,전체리스트!A:A,B27,전체리스트!C:C,D27)</f>
        <v>4200</v>
      </c>
      <c r="F27" s="28">
        <f t="shared" si="8"/>
        <v>1323</v>
      </c>
      <c r="G27" s="29">
        <f>SUMIFS(전체리스트!E:E,전체리스트!A:A,B27,전체리스트!C:C,D27)</f>
        <v>2877</v>
      </c>
      <c r="H27" s="27">
        <f t="shared" si="2"/>
        <v>143.85</v>
      </c>
      <c r="I27" s="30">
        <f t="shared" si="9"/>
        <v>2733.15</v>
      </c>
      <c r="J27" s="26"/>
    </row>
    <row r="28" spans="2:10">
      <c r="B28" s="26" t="s">
        <v>232</v>
      </c>
      <c r="C28" s="62" t="str">
        <f t="shared" si="7"/>
        <v>1월분</v>
      </c>
      <c r="D28" s="45" t="s">
        <v>57</v>
      </c>
      <c r="E28" s="27">
        <f>SUMIFS(전체리스트!D:D,전체리스트!A:A,B28,전체리스트!C:C,D28)</f>
        <v>2400</v>
      </c>
      <c r="F28" s="28">
        <f t="shared" si="8"/>
        <v>1137</v>
      </c>
      <c r="G28" s="29">
        <f>SUMIFS(전체리스트!E:E,전체리스트!A:A,B28,전체리스트!C:C,D28)</f>
        <v>1263</v>
      </c>
      <c r="H28" s="27">
        <f t="shared" si="2"/>
        <v>63.150000000000006</v>
      </c>
      <c r="I28" s="30">
        <f t="shared" si="9"/>
        <v>1199.8499999999999</v>
      </c>
      <c r="J28" s="26"/>
    </row>
    <row r="29" spans="2:10">
      <c r="B29" s="26" t="s">
        <v>232</v>
      </c>
      <c r="C29" s="62" t="str">
        <f t="shared" si="4"/>
        <v>1월분</v>
      </c>
      <c r="D29" s="45" t="s">
        <v>328</v>
      </c>
      <c r="E29" s="27">
        <f>SUMIFS(전체리스트!D:D,전체리스트!A:A,B29,전체리스트!C:C,D29)</f>
        <v>19900</v>
      </c>
      <c r="F29" s="28">
        <f t="shared" si="5"/>
        <v>9351</v>
      </c>
      <c r="G29" s="29">
        <f>SUMIFS(전체리스트!E:E,전체리스트!A:A,B29,전체리스트!C:C,D29)</f>
        <v>10549</v>
      </c>
      <c r="H29" s="27">
        <f t="shared" si="2"/>
        <v>527.45000000000005</v>
      </c>
      <c r="I29" s="30">
        <f t="shared" si="6"/>
        <v>10021.549999999999</v>
      </c>
      <c r="J29" s="26"/>
    </row>
    <row r="30" spans="2:10">
      <c r="B30" s="26" t="s">
        <v>232</v>
      </c>
      <c r="C30" s="62" t="str">
        <f t="shared" si="4"/>
        <v>1월분</v>
      </c>
      <c r="D30" s="45" t="s">
        <v>59</v>
      </c>
      <c r="E30" s="27">
        <f>SUMIFS(전체리스트!D:D,전체리스트!A:A,B30,전체리스트!C:C,D30)</f>
        <v>1634400</v>
      </c>
      <c r="F30" s="28">
        <f t="shared" si="5"/>
        <v>594753</v>
      </c>
      <c r="G30" s="29">
        <f>SUMIFS(전체리스트!E:E,전체리스트!A:A,B30,전체리스트!C:C,D30)</f>
        <v>1039647</v>
      </c>
      <c r="H30" s="27">
        <f t="shared" si="2"/>
        <v>51982.350000000006</v>
      </c>
      <c r="I30" s="30">
        <f t="shared" si="6"/>
        <v>987664.65</v>
      </c>
      <c r="J30" s="26"/>
    </row>
    <row r="31" spans="2:10">
      <c r="B31" s="26" t="s">
        <v>232</v>
      </c>
      <c r="C31" s="62" t="str">
        <f t="shared" si="4"/>
        <v>1월분</v>
      </c>
      <c r="D31" s="45" t="s">
        <v>380</v>
      </c>
      <c r="E31" s="27">
        <f>SUMIFS(전체리스트!D:D,전체리스트!A:A,B31,전체리스트!C:C,D31)</f>
        <v>36500</v>
      </c>
      <c r="F31" s="28">
        <f t="shared" si="5"/>
        <v>13827</v>
      </c>
      <c r="G31" s="29">
        <f>SUMIFS(전체리스트!E:E,전체리스트!A:A,B31,전체리스트!C:C,D31)</f>
        <v>22673</v>
      </c>
      <c r="H31" s="27">
        <f t="shared" si="2"/>
        <v>1133.6500000000001</v>
      </c>
      <c r="I31" s="30">
        <f t="shared" si="6"/>
        <v>21539.35</v>
      </c>
      <c r="J31" s="26"/>
    </row>
    <row r="32" spans="2:10">
      <c r="B32" s="26" t="s">
        <v>232</v>
      </c>
      <c r="C32" s="62" t="str">
        <f t="shared" si="4"/>
        <v>1월분</v>
      </c>
      <c r="D32" s="45" t="s">
        <v>347</v>
      </c>
      <c r="E32" s="27">
        <f>SUMIFS(전체리스트!D:D,전체리스트!A:A,B32,전체리스트!C:C,D32)</f>
        <v>42200</v>
      </c>
      <c r="F32" s="28">
        <f t="shared" si="5"/>
        <v>15285</v>
      </c>
      <c r="G32" s="29">
        <f>SUMIFS(전체리스트!E:E,전체리스트!A:A,B32,전체리스트!C:C,D32)</f>
        <v>26915</v>
      </c>
      <c r="H32" s="27">
        <f t="shared" si="2"/>
        <v>1345.75</v>
      </c>
      <c r="I32" s="30">
        <f t="shared" si="6"/>
        <v>25569.25</v>
      </c>
      <c r="J32" s="26"/>
    </row>
    <row r="33" spans="2:10">
      <c r="B33" s="26" t="s">
        <v>232</v>
      </c>
      <c r="C33" s="62" t="str">
        <f t="shared" si="4"/>
        <v>1월분</v>
      </c>
      <c r="D33" s="45" t="s">
        <v>310</v>
      </c>
      <c r="E33" s="27">
        <f>SUMIFS(전체리스트!D:D,전체리스트!A:A,B33,전체리스트!C:C,D33)</f>
        <v>15900</v>
      </c>
      <c r="F33" s="28">
        <f t="shared" si="5"/>
        <v>7608</v>
      </c>
      <c r="G33" s="29">
        <f>SUMIFS(전체리스트!E:E,전체리스트!A:A,B33,전체리스트!C:C,D33)</f>
        <v>8292</v>
      </c>
      <c r="H33" s="27">
        <f t="shared" si="2"/>
        <v>414.6</v>
      </c>
      <c r="I33" s="30">
        <f t="shared" si="6"/>
        <v>7877.4</v>
      </c>
      <c r="J33" s="26"/>
    </row>
    <row r="34" spans="2:10">
      <c r="B34" s="26" t="s">
        <v>232</v>
      </c>
      <c r="C34" s="62" t="str">
        <f t="shared" si="0"/>
        <v>1월분</v>
      </c>
      <c r="D34" s="45" t="s">
        <v>61</v>
      </c>
      <c r="E34" s="27">
        <f>SUMIFS(전체리스트!D:D,전체리스트!A:A,B34,전체리스트!C:C,D34)</f>
        <v>7200</v>
      </c>
      <c r="F34" s="28">
        <f t="shared" si="1"/>
        <v>3204</v>
      </c>
      <c r="G34" s="29">
        <f>SUMIFS(전체리스트!E:E,전체리스트!A:A,B34,전체리스트!C:C,D34)</f>
        <v>3996</v>
      </c>
      <c r="H34" s="27">
        <f t="shared" si="2"/>
        <v>199.8</v>
      </c>
      <c r="I34" s="30">
        <f t="shared" si="3"/>
        <v>3796.2</v>
      </c>
      <c r="J34" s="26"/>
    </row>
    <row r="35" spans="2:10">
      <c r="B35" s="26" t="s">
        <v>232</v>
      </c>
      <c r="C35" s="62" t="str">
        <f t="shared" ref="C35" si="14">VLOOKUP(B35,raw_a,2,0)</f>
        <v>1월분</v>
      </c>
      <c r="D35" s="45" t="s">
        <v>156</v>
      </c>
      <c r="E35" s="27">
        <f>SUMIFS(전체리스트!D:D,전체리스트!A:A,B35,전체리스트!C:C,D35)</f>
        <v>156600</v>
      </c>
      <c r="F35" s="28">
        <f t="shared" ref="F35" si="15">E35-G35</f>
        <v>73080</v>
      </c>
      <c r="G35" s="29">
        <f>SUMIFS(전체리스트!E:E,전체리스트!A:A,B35,전체리스트!C:C,D35)</f>
        <v>83520</v>
      </c>
      <c r="H35" s="27">
        <f t="shared" si="2"/>
        <v>4176</v>
      </c>
      <c r="I35" s="30">
        <f t="shared" ref="I35" si="16">G35-H35</f>
        <v>79344</v>
      </c>
      <c r="J35" s="26"/>
    </row>
    <row r="36" spans="2:10">
      <c r="B36" s="31" t="s">
        <v>0</v>
      </c>
      <c r="C36" s="31"/>
      <c r="D36" s="32"/>
      <c r="E36" s="33">
        <f t="shared" ref="E36:J36" si="17">SUM(E6:E35)</f>
        <v>18820970</v>
      </c>
      <c r="F36" s="33">
        <f t="shared" si="17"/>
        <v>8344072</v>
      </c>
      <c r="G36" s="33">
        <f t="shared" si="17"/>
        <v>10476898</v>
      </c>
      <c r="H36" s="33">
        <f t="shared" si="17"/>
        <v>523844.90000000008</v>
      </c>
      <c r="I36" s="33">
        <f t="shared" si="17"/>
        <v>9953053.0999999996</v>
      </c>
      <c r="J36" s="33">
        <f t="shared" si="17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8A16-7F42-4A43-8CA4-061F60100938}">
  <dimension ref="B4:J12"/>
  <sheetViews>
    <sheetView workbookViewId="0">
      <selection activeCell="I30" sqref="H30:I30"/>
    </sheetView>
  </sheetViews>
  <sheetFormatPr defaultRowHeight="16.5"/>
  <cols>
    <col min="2" max="2" width="14" bestFit="1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421</v>
      </c>
      <c r="C6" s="62" t="str">
        <f>VLOOKUP(B6,raw_a,2,0)</f>
        <v>12월분</v>
      </c>
      <c r="D6" s="116" t="s">
        <v>160</v>
      </c>
      <c r="E6" s="27">
        <f>SUMIFS(전체리스트!D:D,전체리스트!A:A,B6,전체리스트!C:C,D6)</f>
        <v>1934436</v>
      </c>
      <c r="F6" s="28">
        <f>E6-G6</f>
        <v>0</v>
      </c>
      <c r="G6" s="29">
        <f>SUMIFS(전체리스트!E:E,전체리스트!A:A,B6,전체리스트!C:C,D6)</f>
        <v>1934436</v>
      </c>
      <c r="H6" s="27">
        <f>G6*0.05</f>
        <v>96721.8</v>
      </c>
      <c r="I6" s="30">
        <f>G6-H6</f>
        <v>1837714.2</v>
      </c>
      <c r="J6" s="26"/>
    </row>
    <row r="7" spans="2:10">
      <c r="B7" s="26" t="s">
        <v>421</v>
      </c>
      <c r="C7" s="62" t="str">
        <f t="shared" ref="C7:C10" si="0">VLOOKUP(B7,raw_a,2,0)</f>
        <v>12월분</v>
      </c>
      <c r="D7" s="116" t="s">
        <v>40</v>
      </c>
      <c r="E7" s="27">
        <f>SUMIFS(전체리스트!D:D,전체리스트!A:A,B7,전체리스트!C:C,D7)</f>
        <v>241642</v>
      </c>
      <c r="F7" s="28">
        <f t="shared" ref="F7:F10" si="1">E7-G7</f>
        <v>0</v>
      </c>
      <c r="G7" s="29">
        <f>SUMIFS(전체리스트!E:E,전체리스트!A:A,B7,전체리스트!C:C,D7)</f>
        <v>241642</v>
      </c>
      <c r="H7" s="27">
        <f t="shared" ref="H7:H10" si="2">G7*0.05</f>
        <v>12082.1</v>
      </c>
      <c r="I7" s="30">
        <f t="shared" ref="I7:I10" si="3">G7-H7</f>
        <v>229559.9</v>
      </c>
      <c r="J7" s="26"/>
    </row>
    <row r="8" spans="2:10">
      <c r="B8" s="26" t="s">
        <v>421</v>
      </c>
      <c r="C8" s="62" t="str">
        <f t="shared" si="0"/>
        <v>12월분</v>
      </c>
      <c r="D8" s="116" t="s">
        <v>17</v>
      </c>
      <c r="E8" s="27">
        <f>SUMIFS(전체리스트!D:D,전체리스트!A:A,B8,전체리스트!C:C,D8)</f>
        <v>93340</v>
      </c>
      <c r="F8" s="28">
        <f t="shared" si="1"/>
        <v>0</v>
      </c>
      <c r="G8" s="29">
        <f>SUMIFS(전체리스트!E:E,전체리스트!A:A,B8,전체리스트!C:C,D8)</f>
        <v>93340</v>
      </c>
      <c r="H8" s="27">
        <f t="shared" si="2"/>
        <v>4667</v>
      </c>
      <c r="I8" s="30">
        <f t="shared" si="3"/>
        <v>88673</v>
      </c>
      <c r="J8" s="26"/>
    </row>
    <row r="9" spans="2:10">
      <c r="B9" s="26" t="s">
        <v>421</v>
      </c>
      <c r="C9" s="62" t="str">
        <f t="shared" si="0"/>
        <v>12월분</v>
      </c>
      <c r="D9" s="116" t="s">
        <v>161</v>
      </c>
      <c r="E9" s="27">
        <f>SUMIFS(전체리스트!D:D,전체리스트!A:A,B9,전체리스트!C:C,D9)</f>
        <v>972534</v>
      </c>
      <c r="F9" s="28">
        <f t="shared" si="1"/>
        <v>0</v>
      </c>
      <c r="G9" s="29">
        <f>SUMIFS(전체리스트!E:E,전체리스트!A:A,B9,전체리스트!C:C,D9)</f>
        <v>972534</v>
      </c>
      <c r="H9" s="27">
        <f t="shared" si="2"/>
        <v>48626.700000000004</v>
      </c>
      <c r="I9" s="30">
        <f t="shared" si="3"/>
        <v>923907.3</v>
      </c>
      <c r="J9" s="26"/>
    </row>
    <row r="10" spans="2:10">
      <c r="B10" s="26" t="s">
        <v>421</v>
      </c>
      <c r="C10" s="62" t="str">
        <f t="shared" si="0"/>
        <v>12월분</v>
      </c>
      <c r="D10" s="116" t="s">
        <v>30</v>
      </c>
      <c r="E10" s="27">
        <f>SUMIFS(전체리스트!D:D,전체리스트!A:A,B10,전체리스트!C:C,D10)</f>
        <v>151738</v>
      </c>
      <c r="F10" s="28">
        <f t="shared" si="1"/>
        <v>0</v>
      </c>
      <c r="G10" s="29">
        <f>SUMIFS(전체리스트!E:E,전체리스트!A:A,B10,전체리스트!C:C,D10)</f>
        <v>151738</v>
      </c>
      <c r="H10" s="27">
        <f t="shared" si="2"/>
        <v>7586.9000000000005</v>
      </c>
      <c r="I10" s="30">
        <f t="shared" si="3"/>
        <v>144151.1</v>
      </c>
      <c r="J10" s="26"/>
    </row>
    <row r="11" spans="2:10">
      <c r="B11" s="26" t="s">
        <v>421</v>
      </c>
      <c r="C11" s="62" t="str">
        <f>VLOOKUP(B11,raw_a,2,0)</f>
        <v>12월분</v>
      </c>
      <c r="D11" s="116" t="s">
        <v>202</v>
      </c>
      <c r="E11" s="27">
        <f>SUMIFS(전체리스트!D:D,전체리스트!A:A,B11,전체리스트!C:C,D11)</f>
        <v>1686</v>
      </c>
      <c r="F11" s="28">
        <f>E11-G11</f>
        <v>0</v>
      </c>
      <c r="G11" s="29">
        <f>SUMIFS(전체리스트!E:E,전체리스트!A:A,B11,전체리스트!C:C,D11)</f>
        <v>1686</v>
      </c>
      <c r="H11" s="27">
        <f>G11*0.05</f>
        <v>84.300000000000011</v>
      </c>
      <c r="I11" s="30">
        <f>G11-H11</f>
        <v>1601.7</v>
      </c>
      <c r="J11" s="26"/>
    </row>
    <row r="12" spans="2:10">
      <c r="B12" s="31" t="s">
        <v>0</v>
      </c>
      <c r="C12" s="31"/>
      <c r="D12" s="32"/>
      <c r="E12" s="33">
        <f t="shared" ref="E12:J12" si="4">SUM(E6:E11)</f>
        <v>3395376</v>
      </c>
      <c r="F12" s="33">
        <f t="shared" si="4"/>
        <v>0</v>
      </c>
      <c r="G12" s="33">
        <f t="shared" si="4"/>
        <v>3395376</v>
      </c>
      <c r="H12" s="33">
        <f t="shared" si="4"/>
        <v>169768.8</v>
      </c>
      <c r="I12" s="33">
        <f t="shared" si="4"/>
        <v>3225607.1999999997</v>
      </c>
      <c r="J12" s="33">
        <f t="shared" si="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4:J43"/>
  <sheetViews>
    <sheetView topLeftCell="A13" workbookViewId="0">
      <selection activeCell="R32" sqref="R32:R33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83</v>
      </c>
      <c r="C6" s="61" t="str">
        <f t="shared" ref="C6:C10" si="0">VLOOKUP(B6,raw_a,2,0)</f>
        <v>11~12월분</v>
      </c>
      <c r="D6" s="108" t="s">
        <v>334</v>
      </c>
      <c r="E6" s="27">
        <f>SUMIFS(전체리스트!D:D,전체리스트!A:A,B6,전체리스트!C:C,D6)</f>
        <v>129000</v>
      </c>
      <c r="F6" s="28">
        <f>E6-G6</f>
        <v>38700</v>
      </c>
      <c r="G6" s="29">
        <f>SUMIFS(전체리스트!E:E,전체리스트!A:A,B6,전체리스트!C:C,D6)</f>
        <v>90300</v>
      </c>
      <c r="H6" s="27">
        <f>G6*0.05</f>
        <v>4515</v>
      </c>
      <c r="I6" s="30">
        <f>G6-H6</f>
        <v>85785</v>
      </c>
      <c r="J6" s="26"/>
    </row>
    <row r="7" spans="2:10">
      <c r="B7" s="26" t="s">
        <v>83</v>
      </c>
      <c r="C7" s="61" t="str">
        <f t="shared" si="0"/>
        <v>11~12월분</v>
      </c>
      <c r="D7" s="108" t="s">
        <v>443</v>
      </c>
      <c r="E7" s="27">
        <f>SUMIFS(전체리스트!D:D,전체리스트!A:A,B7,전체리스트!C:C,D7)</f>
        <v>58800</v>
      </c>
      <c r="F7" s="28">
        <f t="shared" ref="F7:F10" si="1">E7-G7</f>
        <v>17640</v>
      </c>
      <c r="G7" s="29">
        <f>SUMIFS(전체리스트!E:E,전체리스트!A:A,B7,전체리스트!C:C,D7)</f>
        <v>41160</v>
      </c>
      <c r="H7" s="27">
        <f t="shared" ref="H7:H42" si="2">G7*0.05</f>
        <v>2058</v>
      </c>
      <c r="I7" s="30">
        <f t="shared" ref="I7:I10" si="3">G7-H7</f>
        <v>39102</v>
      </c>
      <c r="J7" s="26"/>
    </row>
    <row r="8" spans="2:10">
      <c r="B8" s="26" t="s">
        <v>83</v>
      </c>
      <c r="C8" s="61" t="str">
        <f t="shared" si="0"/>
        <v>11~12월분</v>
      </c>
      <c r="D8" s="108" t="s">
        <v>401</v>
      </c>
      <c r="E8" s="27">
        <f>SUMIFS(전체리스트!D:D,전체리스트!A:A,B8,전체리스트!C:C,D8)</f>
        <v>30000</v>
      </c>
      <c r="F8" s="28">
        <f t="shared" si="1"/>
        <v>9000</v>
      </c>
      <c r="G8" s="29">
        <f>SUMIFS(전체리스트!E:E,전체리스트!A:A,B8,전체리스트!C:C,D8)</f>
        <v>21000</v>
      </c>
      <c r="H8" s="27">
        <f t="shared" si="2"/>
        <v>1050</v>
      </c>
      <c r="I8" s="30">
        <f t="shared" si="3"/>
        <v>19950</v>
      </c>
      <c r="J8" s="26"/>
    </row>
    <row r="9" spans="2:10">
      <c r="B9" s="26" t="s">
        <v>83</v>
      </c>
      <c r="C9" s="61" t="str">
        <f t="shared" si="0"/>
        <v>11~12월분</v>
      </c>
      <c r="D9" s="108" t="s">
        <v>66</v>
      </c>
      <c r="E9" s="27">
        <f>SUMIFS(전체리스트!D:D,전체리스트!A:A,B9,전체리스트!C:C,D9)</f>
        <v>48000</v>
      </c>
      <c r="F9" s="28">
        <f t="shared" si="1"/>
        <v>14400</v>
      </c>
      <c r="G9" s="29">
        <f>SUMIFS(전체리스트!E:E,전체리스트!A:A,B9,전체리스트!C:C,D9)</f>
        <v>33600</v>
      </c>
      <c r="H9" s="27">
        <f t="shared" si="2"/>
        <v>1680</v>
      </c>
      <c r="I9" s="30">
        <f t="shared" si="3"/>
        <v>31920</v>
      </c>
      <c r="J9" s="26"/>
    </row>
    <row r="10" spans="2:10">
      <c r="B10" s="26" t="s">
        <v>83</v>
      </c>
      <c r="C10" s="61" t="str">
        <f t="shared" si="0"/>
        <v>11~12월분</v>
      </c>
      <c r="D10" s="108" t="s">
        <v>321</v>
      </c>
      <c r="E10" s="27">
        <f>SUMIFS(전체리스트!D:D,전체리스트!A:A,B10,전체리스트!C:C,D10)</f>
        <v>837800</v>
      </c>
      <c r="F10" s="28">
        <f t="shared" si="1"/>
        <v>259224.95000000019</v>
      </c>
      <c r="G10" s="29">
        <f>SUMIFS(전체리스트!E:E,전체리스트!A:A,B10,전체리스트!C:C,D10)</f>
        <v>578575.04999999981</v>
      </c>
      <c r="H10" s="27">
        <f t="shared" si="2"/>
        <v>28928.752499999991</v>
      </c>
      <c r="I10" s="30">
        <f t="shared" si="3"/>
        <v>549646.29749999987</v>
      </c>
      <c r="J10" s="26"/>
    </row>
    <row r="11" spans="2:10">
      <c r="B11" s="26" t="s">
        <v>83</v>
      </c>
      <c r="C11" s="61" t="str">
        <f t="shared" ref="C11:C12" si="4">VLOOKUP(B11,raw_a,2,0)</f>
        <v>11~12월분</v>
      </c>
      <c r="D11" s="108" t="s">
        <v>312</v>
      </c>
      <c r="E11" s="27">
        <f>SUMIFS(전체리스트!D:D,전체리스트!A:A,B11,전체리스트!C:C,D11)</f>
        <v>84400</v>
      </c>
      <c r="F11" s="28">
        <f t="shared" ref="F11:F12" si="5">E11-G11</f>
        <v>26070.400000000009</v>
      </c>
      <c r="G11" s="29">
        <f>SUMIFS(전체리스트!E:E,전체리스트!A:A,B11,전체리스트!C:C,D11)</f>
        <v>58329.599999999991</v>
      </c>
      <c r="H11" s="27">
        <f t="shared" si="2"/>
        <v>2916.4799999999996</v>
      </c>
      <c r="I11" s="30">
        <f t="shared" ref="I11:I12" si="6">G11-H11</f>
        <v>55413.119999999995</v>
      </c>
      <c r="J11" s="26"/>
    </row>
    <row r="12" spans="2:10">
      <c r="B12" s="26" t="s">
        <v>83</v>
      </c>
      <c r="C12" s="61" t="str">
        <f t="shared" si="4"/>
        <v>11~12월분</v>
      </c>
      <c r="D12" s="108" t="s">
        <v>180</v>
      </c>
      <c r="E12" s="27">
        <f>SUMIFS(전체리스트!D:D,전체리스트!A:A,B12,전체리스트!C:C,D12)</f>
        <v>1141000</v>
      </c>
      <c r="F12" s="28">
        <f t="shared" si="5"/>
        <v>345325.42000000039</v>
      </c>
      <c r="G12" s="29">
        <f>SUMIFS(전체리스트!E:E,전체리스트!A:A,B12,전체리스트!C:C,D12)</f>
        <v>795674.57999999961</v>
      </c>
      <c r="H12" s="27">
        <f t="shared" si="2"/>
        <v>39783.728999999985</v>
      </c>
      <c r="I12" s="30">
        <f t="shared" si="6"/>
        <v>755890.85099999967</v>
      </c>
      <c r="J12" s="26"/>
    </row>
    <row r="13" spans="2:10">
      <c r="B13" s="26" t="s">
        <v>83</v>
      </c>
      <c r="C13" s="61" t="str">
        <f t="shared" ref="C13:C35" si="7">VLOOKUP(B13,raw_a,2,0)</f>
        <v>11~12월분</v>
      </c>
      <c r="D13" s="108" t="s">
        <v>179</v>
      </c>
      <c r="E13" s="27">
        <f>SUMIFS(전체리스트!D:D,전체리스트!A:A,B13,전체리스트!C:C,D13)</f>
        <v>4829400</v>
      </c>
      <c r="F13" s="28">
        <f t="shared" ref="F13:F35" si="8">E13-G13</f>
        <v>1482141.6699999967</v>
      </c>
      <c r="G13" s="29">
        <f>SUMIFS(전체리스트!E:E,전체리스트!A:A,B13,전체리스트!C:C,D13)</f>
        <v>3347258.3300000033</v>
      </c>
      <c r="H13" s="27">
        <f t="shared" si="2"/>
        <v>167362.91650000017</v>
      </c>
      <c r="I13" s="30">
        <f t="shared" ref="I13:I35" si="9">G13-H13</f>
        <v>3179895.4135000031</v>
      </c>
      <c r="J13" s="26"/>
    </row>
    <row r="14" spans="2:10">
      <c r="B14" s="26" t="s">
        <v>83</v>
      </c>
      <c r="C14" s="61" t="str">
        <f t="shared" si="7"/>
        <v>11~12월분</v>
      </c>
      <c r="D14" s="108" t="s">
        <v>346</v>
      </c>
      <c r="E14" s="27">
        <f>SUMIFS(전체리스트!D:D,전체리스트!A:A,B14,전체리스트!C:C,D14)</f>
        <v>28700</v>
      </c>
      <c r="F14" s="28">
        <f t="shared" si="8"/>
        <v>8610</v>
      </c>
      <c r="G14" s="29">
        <f>SUMIFS(전체리스트!E:E,전체리스트!A:A,B14,전체리스트!C:C,D14)</f>
        <v>20090</v>
      </c>
      <c r="H14" s="27">
        <f t="shared" si="2"/>
        <v>1004.5</v>
      </c>
      <c r="I14" s="30">
        <f t="shared" si="9"/>
        <v>19085.5</v>
      </c>
      <c r="J14" s="26"/>
    </row>
    <row r="15" spans="2:10">
      <c r="B15" s="26" t="s">
        <v>83</v>
      </c>
      <c r="C15" s="61" t="str">
        <f t="shared" si="7"/>
        <v>11~12월분</v>
      </c>
      <c r="D15" s="108" t="s">
        <v>308</v>
      </c>
      <c r="E15" s="27">
        <f>SUMIFS(전체리스트!D:D,전체리스트!A:A,B15,전체리스트!C:C,D15)</f>
        <v>136000</v>
      </c>
      <c r="F15" s="28">
        <f t="shared" si="8"/>
        <v>41427.200000000026</v>
      </c>
      <c r="G15" s="29">
        <f>SUMIFS(전체리스트!E:E,전체리스트!A:A,B15,전체리스트!C:C,D15)</f>
        <v>94572.799999999974</v>
      </c>
      <c r="H15" s="27">
        <f t="shared" si="2"/>
        <v>4728.6399999999985</v>
      </c>
      <c r="I15" s="30">
        <f t="shared" si="9"/>
        <v>89844.159999999974</v>
      </c>
      <c r="J15" s="26"/>
    </row>
    <row r="16" spans="2:10">
      <c r="B16" s="26" t="s">
        <v>83</v>
      </c>
      <c r="C16" s="61" t="str">
        <f t="shared" si="7"/>
        <v>11~12월분</v>
      </c>
      <c r="D16" s="108" t="s">
        <v>340</v>
      </c>
      <c r="E16" s="27">
        <f>SUMIFS(전체리스트!D:D,전체리스트!A:A,B16,전체리스트!C:C,D16)</f>
        <v>100</v>
      </c>
      <c r="F16" s="28">
        <f t="shared" si="8"/>
        <v>30</v>
      </c>
      <c r="G16" s="29">
        <f>SUMIFS(전체리스트!E:E,전체리스트!A:A,B16,전체리스트!C:C,D16)</f>
        <v>70</v>
      </c>
      <c r="H16" s="27">
        <f t="shared" si="2"/>
        <v>3.5</v>
      </c>
      <c r="I16" s="30">
        <f t="shared" si="9"/>
        <v>66.5</v>
      </c>
      <c r="J16" s="26"/>
    </row>
    <row r="17" spans="2:10">
      <c r="B17" s="26" t="s">
        <v>83</v>
      </c>
      <c r="C17" s="61" t="str">
        <f t="shared" ref="C17:C21" si="10">VLOOKUP(B17,raw_a,2,0)</f>
        <v>11~12월분</v>
      </c>
      <c r="D17" s="108" t="s">
        <v>56</v>
      </c>
      <c r="E17" s="27">
        <f>SUMIFS(전체리스트!D:D,전체리스트!A:A,B17,전체리스트!C:C,D17)</f>
        <v>18800</v>
      </c>
      <c r="F17" s="28">
        <f t="shared" ref="F17:F21" si="11">E17-G17</f>
        <v>5640</v>
      </c>
      <c r="G17" s="29">
        <f>SUMIFS(전체리스트!E:E,전체리스트!A:A,B17,전체리스트!C:C,D17)</f>
        <v>13160</v>
      </c>
      <c r="H17" s="27">
        <f t="shared" si="2"/>
        <v>658</v>
      </c>
      <c r="I17" s="30">
        <f t="shared" ref="I17:I21" si="12">G17-H17</f>
        <v>12502</v>
      </c>
      <c r="J17" s="26"/>
    </row>
    <row r="18" spans="2:10">
      <c r="B18" s="26" t="s">
        <v>83</v>
      </c>
      <c r="C18" s="61" t="str">
        <f t="shared" si="10"/>
        <v>11~12월분</v>
      </c>
      <c r="D18" s="108" t="s">
        <v>20</v>
      </c>
      <c r="E18" s="27">
        <f>SUMIFS(전체리스트!D:D,전체리스트!A:A,B18,전체리스트!C:C,D18)</f>
        <v>53400</v>
      </c>
      <c r="F18" s="28">
        <f t="shared" si="11"/>
        <v>16020</v>
      </c>
      <c r="G18" s="29">
        <f>SUMIFS(전체리스트!E:E,전체리스트!A:A,B18,전체리스트!C:C,D18)</f>
        <v>37380</v>
      </c>
      <c r="H18" s="27">
        <f t="shared" si="2"/>
        <v>1869</v>
      </c>
      <c r="I18" s="30">
        <f t="shared" si="12"/>
        <v>35511</v>
      </c>
      <c r="J18" s="26"/>
    </row>
    <row r="19" spans="2:10">
      <c r="B19" s="26" t="s">
        <v>83</v>
      </c>
      <c r="C19" s="61" t="str">
        <f t="shared" si="10"/>
        <v>11~12월분</v>
      </c>
      <c r="D19" s="108" t="s">
        <v>297</v>
      </c>
      <c r="E19" s="27">
        <f>SUMIFS(전체리스트!D:D,전체리스트!A:A,B19,전체리스트!C:C,D19)</f>
        <v>1800</v>
      </c>
      <c r="F19" s="28">
        <f t="shared" si="11"/>
        <v>540</v>
      </c>
      <c r="G19" s="29">
        <f>SUMIFS(전체리스트!E:E,전체리스트!A:A,B19,전체리스트!C:C,D19)</f>
        <v>1260</v>
      </c>
      <c r="H19" s="27">
        <f t="shared" si="2"/>
        <v>63</v>
      </c>
      <c r="I19" s="30">
        <f t="shared" si="12"/>
        <v>1197</v>
      </c>
      <c r="J19" s="26"/>
    </row>
    <row r="20" spans="2:10">
      <c r="B20" s="26" t="s">
        <v>83</v>
      </c>
      <c r="C20" s="61" t="str">
        <f t="shared" si="10"/>
        <v>11~12월분</v>
      </c>
      <c r="D20" s="108" t="s">
        <v>231</v>
      </c>
      <c r="E20" s="27">
        <f>SUMIFS(전체리스트!D:D,전체리스트!A:A,B20,전체리스트!C:C,D20)</f>
        <v>8100</v>
      </c>
      <c r="F20" s="28">
        <f t="shared" si="11"/>
        <v>2588.66</v>
      </c>
      <c r="G20" s="29">
        <f>SUMIFS(전체리스트!E:E,전체리스트!A:A,B20,전체리스트!C:C,D20)</f>
        <v>5511.34</v>
      </c>
      <c r="H20" s="27">
        <f t="shared" si="2"/>
        <v>275.56700000000001</v>
      </c>
      <c r="I20" s="30">
        <f t="shared" si="12"/>
        <v>5235.7730000000001</v>
      </c>
      <c r="J20" s="26"/>
    </row>
    <row r="21" spans="2:10">
      <c r="B21" s="26" t="s">
        <v>83</v>
      </c>
      <c r="C21" s="61" t="str">
        <f t="shared" si="10"/>
        <v>11~12월분</v>
      </c>
      <c r="D21" s="108" t="s">
        <v>76</v>
      </c>
      <c r="E21" s="27">
        <f>SUMIFS(전체리스트!D:D,전체리스트!A:A,B21,전체리스트!C:C,D21)</f>
        <v>849800</v>
      </c>
      <c r="F21" s="28">
        <f t="shared" si="11"/>
        <v>255051.19999999995</v>
      </c>
      <c r="G21" s="29">
        <f>SUMIFS(전체리스트!E:E,전체리스트!A:A,B21,전체리스트!C:C,D21)</f>
        <v>594748.80000000005</v>
      </c>
      <c r="H21" s="27">
        <f t="shared" si="2"/>
        <v>29737.440000000002</v>
      </c>
      <c r="I21" s="30">
        <f t="shared" si="12"/>
        <v>565011.3600000001</v>
      </c>
      <c r="J21" s="26"/>
    </row>
    <row r="22" spans="2:10">
      <c r="B22" s="26" t="s">
        <v>83</v>
      </c>
      <c r="C22" s="61" t="str">
        <f t="shared" si="7"/>
        <v>11~12월분</v>
      </c>
      <c r="D22" s="108" t="s">
        <v>77</v>
      </c>
      <c r="E22" s="27">
        <f>SUMIFS(전체리스트!D:D,전체리스트!A:A,B22,전체리스트!C:C,D22)</f>
        <v>2417600</v>
      </c>
      <c r="F22" s="28">
        <f t="shared" si="8"/>
        <v>735941.97000000626</v>
      </c>
      <c r="G22" s="29">
        <f>SUMIFS(전체리스트!E:E,전체리스트!A:A,B22,전체리스트!C:C,D22)</f>
        <v>1681658.0299999937</v>
      </c>
      <c r="H22" s="27">
        <f t="shared" si="2"/>
        <v>84082.901499999687</v>
      </c>
      <c r="I22" s="30">
        <f t="shared" si="9"/>
        <v>1597575.1284999941</v>
      </c>
      <c r="J22" s="26"/>
    </row>
    <row r="23" spans="2:10">
      <c r="B23" s="26" t="s">
        <v>83</v>
      </c>
      <c r="C23" s="61" t="str">
        <f t="shared" si="7"/>
        <v>11~12월분</v>
      </c>
      <c r="D23" s="108" t="s">
        <v>29</v>
      </c>
      <c r="E23" s="27">
        <f>SUMIFS(전체리스트!D:D,전체리스트!A:A,B23,전체리스트!C:C,D23)</f>
        <v>27200</v>
      </c>
      <c r="F23" s="28">
        <f t="shared" si="8"/>
        <v>8160</v>
      </c>
      <c r="G23" s="29">
        <f>SUMIFS(전체리스트!E:E,전체리스트!A:A,B23,전체리스트!C:C,D23)</f>
        <v>19040</v>
      </c>
      <c r="H23" s="27">
        <f t="shared" si="2"/>
        <v>952</v>
      </c>
      <c r="I23" s="30">
        <f t="shared" si="9"/>
        <v>18088</v>
      </c>
      <c r="J23" s="26"/>
    </row>
    <row r="24" spans="2:10">
      <c r="B24" s="26" t="s">
        <v>83</v>
      </c>
      <c r="C24" s="61" t="str">
        <f t="shared" ref="C24:C34" si="13">VLOOKUP(B24,raw_a,2,0)</f>
        <v>11~12월분</v>
      </c>
      <c r="D24" s="108" t="s">
        <v>21</v>
      </c>
      <c r="E24" s="27">
        <f>SUMIFS(전체리스트!D:D,전체리스트!A:A,B24,전체리스트!C:C,D24)</f>
        <v>1400</v>
      </c>
      <c r="F24" s="28">
        <f t="shared" ref="F24:F34" si="14">E24-G24</f>
        <v>420</v>
      </c>
      <c r="G24" s="29">
        <f>SUMIFS(전체리스트!E:E,전체리스트!A:A,B24,전체리스트!C:C,D24)</f>
        <v>980</v>
      </c>
      <c r="H24" s="27">
        <f t="shared" ref="H24:H34" si="15">G24*0.05</f>
        <v>49</v>
      </c>
      <c r="I24" s="30">
        <f t="shared" ref="I24:I34" si="16">G24-H24</f>
        <v>931</v>
      </c>
      <c r="J24" s="26"/>
    </row>
    <row r="25" spans="2:10">
      <c r="B25" s="26" t="s">
        <v>83</v>
      </c>
      <c r="C25" s="61" t="str">
        <f t="shared" si="13"/>
        <v>11~12월분</v>
      </c>
      <c r="D25" s="108" t="s">
        <v>327</v>
      </c>
      <c r="E25" s="27">
        <f>SUMIFS(전체리스트!D:D,전체리스트!A:A,B25,전체리스트!C:C,D25)</f>
        <v>6900</v>
      </c>
      <c r="F25" s="28">
        <f t="shared" si="14"/>
        <v>2070</v>
      </c>
      <c r="G25" s="29">
        <f>SUMIFS(전체리스트!E:E,전체리스트!A:A,B25,전체리스트!C:C,D25)</f>
        <v>4830</v>
      </c>
      <c r="H25" s="27">
        <f t="shared" si="15"/>
        <v>241.5</v>
      </c>
      <c r="I25" s="30">
        <f t="shared" si="16"/>
        <v>4588.5</v>
      </c>
      <c r="J25" s="26"/>
    </row>
    <row r="26" spans="2:10">
      <c r="B26" s="26" t="s">
        <v>83</v>
      </c>
      <c r="C26" s="61" t="str">
        <f t="shared" si="13"/>
        <v>11~12월분</v>
      </c>
      <c r="D26" s="108" t="s">
        <v>27</v>
      </c>
      <c r="E26" s="27">
        <f>SUMIFS(전체리스트!D:D,전체리스트!A:A,B26,전체리스트!C:C,D26)</f>
        <v>400</v>
      </c>
      <c r="F26" s="28">
        <f t="shared" si="14"/>
        <v>120</v>
      </c>
      <c r="G26" s="29">
        <f>SUMIFS(전체리스트!E:E,전체리스트!A:A,B26,전체리스트!C:C,D26)</f>
        <v>280</v>
      </c>
      <c r="H26" s="27">
        <f t="shared" si="15"/>
        <v>14</v>
      </c>
      <c r="I26" s="30">
        <f t="shared" si="16"/>
        <v>266</v>
      </c>
      <c r="J26" s="26"/>
    </row>
    <row r="27" spans="2:10">
      <c r="B27" s="26" t="s">
        <v>83</v>
      </c>
      <c r="C27" s="61" t="str">
        <f t="shared" ref="C27:C32" si="17">VLOOKUP(B27,raw_a,2,0)</f>
        <v>11~12월분</v>
      </c>
      <c r="D27" s="108" t="s">
        <v>154</v>
      </c>
      <c r="E27" s="27">
        <f>SUMIFS(전체리스트!D:D,전체리스트!A:A,B27,전체리스트!C:C,D27)</f>
        <v>3000</v>
      </c>
      <c r="F27" s="28">
        <f t="shared" ref="F27:F32" si="18">E27-G27</f>
        <v>900</v>
      </c>
      <c r="G27" s="29">
        <f>SUMIFS(전체리스트!E:E,전체리스트!A:A,B27,전체리스트!C:C,D27)</f>
        <v>2100</v>
      </c>
      <c r="H27" s="27">
        <f t="shared" ref="H27:H32" si="19">G27*0.05</f>
        <v>105</v>
      </c>
      <c r="I27" s="30">
        <f t="shared" ref="I27:I32" si="20">G27-H27</f>
        <v>1995</v>
      </c>
      <c r="J27" s="26"/>
    </row>
    <row r="28" spans="2:10">
      <c r="B28" s="26" t="s">
        <v>83</v>
      </c>
      <c r="C28" s="61" t="str">
        <f t="shared" si="17"/>
        <v>11~12월분</v>
      </c>
      <c r="D28" s="108" t="s">
        <v>17</v>
      </c>
      <c r="E28" s="27">
        <f>SUMIFS(전체리스트!D:D,전체리스트!A:A,B28,전체리스트!C:C,D28)</f>
        <v>19500</v>
      </c>
      <c r="F28" s="28">
        <f t="shared" si="18"/>
        <v>5850</v>
      </c>
      <c r="G28" s="29">
        <f>SUMIFS(전체리스트!E:E,전체리스트!A:A,B28,전체리스트!C:C,D28)</f>
        <v>13650</v>
      </c>
      <c r="H28" s="27">
        <f t="shared" si="19"/>
        <v>682.5</v>
      </c>
      <c r="I28" s="30">
        <f t="shared" si="20"/>
        <v>12967.5</v>
      </c>
      <c r="J28" s="26"/>
    </row>
    <row r="29" spans="2:10">
      <c r="B29" s="26" t="s">
        <v>83</v>
      </c>
      <c r="C29" s="61" t="str">
        <f t="shared" si="17"/>
        <v>11~12월분</v>
      </c>
      <c r="D29" s="108" t="s">
        <v>18</v>
      </c>
      <c r="E29" s="27">
        <f>SUMIFS(전체리스트!D:D,전체리스트!A:A,B29,전체리스트!C:C,D29)</f>
        <v>8700</v>
      </c>
      <c r="F29" s="28">
        <f t="shared" si="18"/>
        <v>2643.6000000000004</v>
      </c>
      <c r="G29" s="29">
        <f>SUMIFS(전체리스트!E:E,전체리스트!A:A,B29,전체리스트!C:C,D29)</f>
        <v>6056.4</v>
      </c>
      <c r="H29" s="27">
        <f t="shared" si="19"/>
        <v>302.82</v>
      </c>
      <c r="I29" s="30">
        <f t="shared" si="20"/>
        <v>5753.58</v>
      </c>
      <c r="J29" s="26"/>
    </row>
    <row r="30" spans="2:10">
      <c r="B30" s="26" t="s">
        <v>83</v>
      </c>
      <c r="C30" s="61" t="str">
        <f t="shared" si="17"/>
        <v>11~12월분</v>
      </c>
      <c r="D30" s="108" t="s">
        <v>366</v>
      </c>
      <c r="E30" s="27">
        <f>SUMIFS(전체리스트!D:D,전체리스트!A:A,B30,전체리스트!C:C,D30)</f>
        <v>600</v>
      </c>
      <c r="F30" s="28">
        <f t="shared" si="18"/>
        <v>180</v>
      </c>
      <c r="G30" s="29">
        <f>SUMIFS(전체리스트!E:E,전체리스트!A:A,B30,전체리스트!C:C,D30)</f>
        <v>420</v>
      </c>
      <c r="H30" s="27">
        <f t="shared" si="19"/>
        <v>21</v>
      </c>
      <c r="I30" s="30">
        <f t="shared" si="20"/>
        <v>399</v>
      </c>
      <c r="J30" s="26"/>
    </row>
    <row r="31" spans="2:10">
      <c r="B31" s="26" t="s">
        <v>83</v>
      </c>
      <c r="C31" s="61" t="str">
        <f t="shared" si="17"/>
        <v>11~12월분</v>
      </c>
      <c r="D31" s="108" t="s">
        <v>229</v>
      </c>
      <c r="E31" s="27">
        <f>SUMIFS(전체리스트!D:D,전체리스트!A:A,B31,전체리스트!C:C,D31)</f>
        <v>460600</v>
      </c>
      <c r="F31" s="28">
        <f t="shared" si="18"/>
        <v>138628</v>
      </c>
      <c r="G31" s="29">
        <f>SUMIFS(전체리스트!E:E,전체리스트!A:A,B31,전체리스트!C:C,D31)</f>
        <v>321972</v>
      </c>
      <c r="H31" s="27">
        <f t="shared" si="19"/>
        <v>16098.6</v>
      </c>
      <c r="I31" s="30">
        <f t="shared" si="20"/>
        <v>305873.40000000002</v>
      </c>
      <c r="J31" s="26"/>
    </row>
    <row r="32" spans="2:10">
      <c r="B32" s="26" t="s">
        <v>83</v>
      </c>
      <c r="C32" s="61" t="str">
        <f t="shared" si="17"/>
        <v>11~12월분</v>
      </c>
      <c r="D32" s="108" t="s">
        <v>267</v>
      </c>
      <c r="E32" s="27">
        <f>SUMIFS(전체리스트!D:D,전체리스트!A:A,B32,전체리스트!C:C,D32)</f>
        <v>2100</v>
      </c>
      <c r="F32" s="28">
        <f t="shared" si="18"/>
        <v>630</v>
      </c>
      <c r="G32" s="29">
        <f>SUMIFS(전체리스트!E:E,전체리스트!A:A,B32,전체리스트!C:C,D32)</f>
        <v>1470</v>
      </c>
      <c r="H32" s="27">
        <f t="shared" si="19"/>
        <v>73.5</v>
      </c>
      <c r="I32" s="30">
        <f t="shared" si="20"/>
        <v>1396.5</v>
      </c>
      <c r="J32" s="26"/>
    </row>
    <row r="33" spans="2:10">
      <c r="B33" s="26" t="s">
        <v>83</v>
      </c>
      <c r="C33" s="61" t="str">
        <f t="shared" si="13"/>
        <v>11~12월분</v>
      </c>
      <c r="D33" s="108" t="s">
        <v>37</v>
      </c>
      <c r="E33" s="27">
        <f>SUMIFS(전체리스트!D:D,전체리스트!A:A,B33,전체리스트!C:C,D33)</f>
        <v>15200</v>
      </c>
      <c r="F33" s="28">
        <f t="shared" si="14"/>
        <v>4560</v>
      </c>
      <c r="G33" s="29">
        <f>SUMIFS(전체리스트!E:E,전체리스트!A:A,B33,전체리스트!C:C,D33)</f>
        <v>10640</v>
      </c>
      <c r="H33" s="27">
        <f t="shared" si="15"/>
        <v>532</v>
      </c>
      <c r="I33" s="30">
        <f t="shared" si="16"/>
        <v>10108</v>
      </c>
      <c r="J33" s="26"/>
    </row>
    <row r="34" spans="2:10">
      <c r="B34" s="26" t="s">
        <v>83</v>
      </c>
      <c r="C34" s="61" t="str">
        <f t="shared" si="13"/>
        <v>11~12월분</v>
      </c>
      <c r="D34" s="108" t="s">
        <v>402</v>
      </c>
      <c r="E34" s="27">
        <f>SUMIFS(전체리스트!D:D,전체리스트!A:A,B34,전체리스트!C:C,D34)</f>
        <v>200</v>
      </c>
      <c r="F34" s="28">
        <f t="shared" si="14"/>
        <v>60</v>
      </c>
      <c r="G34" s="29">
        <f>SUMIFS(전체리스트!E:E,전체리스트!A:A,B34,전체리스트!C:C,D34)</f>
        <v>140</v>
      </c>
      <c r="H34" s="27">
        <f t="shared" si="15"/>
        <v>7</v>
      </c>
      <c r="I34" s="30">
        <f t="shared" si="16"/>
        <v>133</v>
      </c>
      <c r="J34" s="26"/>
    </row>
    <row r="35" spans="2:10">
      <c r="B35" s="26" t="s">
        <v>83</v>
      </c>
      <c r="C35" s="61" t="str">
        <f t="shared" si="7"/>
        <v>11~12월분</v>
      </c>
      <c r="D35" s="108" t="s">
        <v>328</v>
      </c>
      <c r="E35" s="27">
        <f>SUMIFS(전체리스트!D:D,전체리스트!A:A,B35,전체리스트!C:C,D35)</f>
        <v>24200</v>
      </c>
      <c r="F35" s="28">
        <f t="shared" si="8"/>
        <v>7260</v>
      </c>
      <c r="G35" s="29">
        <f>SUMIFS(전체리스트!E:E,전체리스트!A:A,B35,전체리스트!C:C,D35)</f>
        <v>16940</v>
      </c>
      <c r="H35" s="27">
        <f t="shared" si="2"/>
        <v>847</v>
      </c>
      <c r="I35" s="30">
        <f t="shared" si="9"/>
        <v>16093</v>
      </c>
      <c r="J35" s="26"/>
    </row>
    <row r="36" spans="2:10">
      <c r="B36" s="26" t="s">
        <v>83</v>
      </c>
      <c r="C36" s="61" t="str">
        <f t="shared" ref="C36:C37" si="21">VLOOKUP(B36,raw_a,2,0)</f>
        <v>11~12월분</v>
      </c>
      <c r="D36" s="108" t="s">
        <v>72</v>
      </c>
      <c r="E36" s="27">
        <f>SUMIFS(전체리스트!D:D,전체리스트!A:A,B36,전체리스트!C:C,D36)</f>
        <v>8700</v>
      </c>
      <c r="F36" s="28">
        <f t="shared" ref="F36:F37" si="22">E36-G36</f>
        <v>2610</v>
      </c>
      <c r="G36" s="29">
        <f>SUMIFS(전체리스트!E:E,전체리스트!A:A,B36,전체리스트!C:C,D36)</f>
        <v>6090</v>
      </c>
      <c r="H36" s="27">
        <f t="shared" si="2"/>
        <v>304.5</v>
      </c>
      <c r="I36" s="30">
        <f t="shared" ref="I36:I37" si="23">G36-H36</f>
        <v>5785.5</v>
      </c>
      <c r="J36" s="26"/>
    </row>
    <row r="37" spans="2:10">
      <c r="B37" s="26" t="s">
        <v>83</v>
      </c>
      <c r="C37" s="61" t="str">
        <f t="shared" si="21"/>
        <v>11~12월분</v>
      </c>
      <c r="D37" s="108" t="s">
        <v>150</v>
      </c>
      <c r="E37" s="27">
        <f>SUMIFS(전체리스트!D:D,전체리스트!A:A,B37,전체리스트!C:C,D37)</f>
        <v>31300</v>
      </c>
      <c r="F37" s="28">
        <f t="shared" si="22"/>
        <v>9390</v>
      </c>
      <c r="G37" s="29">
        <f>SUMIFS(전체리스트!E:E,전체리스트!A:A,B37,전체리스트!C:C,D37)</f>
        <v>21910</v>
      </c>
      <c r="H37" s="27">
        <f t="shared" si="2"/>
        <v>1095.5</v>
      </c>
      <c r="I37" s="30">
        <f t="shared" si="23"/>
        <v>20814.5</v>
      </c>
      <c r="J37" s="26"/>
    </row>
    <row r="38" spans="2:10">
      <c r="B38" s="26" t="s">
        <v>83</v>
      </c>
      <c r="C38" s="61" t="str">
        <f t="shared" ref="C38:C42" si="24">VLOOKUP(B38,raw_a,2,0)</f>
        <v>11~12월분</v>
      </c>
      <c r="D38" s="108" t="s">
        <v>347</v>
      </c>
      <c r="E38" s="27">
        <f>SUMIFS(전체리스트!D:D,전체리스트!A:A,B38,전체리스트!C:C,D38)</f>
        <v>109800</v>
      </c>
      <c r="F38" s="28">
        <f t="shared" ref="F38:F42" si="25">E38-G38</f>
        <v>33388.000000000015</v>
      </c>
      <c r="G38" s="29">
        <f>SUMIFS(전체리스트!E:E,전체리스트!A:A,B38,전체리스트!C:C,D38)</f>
        <v>76411.999999999985</v>
      </c>
      <c r="H38" s="27">
        <f t="shared" si="2"/>
        <v>3820.5999999999995</v>
      </c>
      <c r="I38" s="30">
        <f t="shared" ref="I38:I42" si="26">G38-H38</f>
        <v>72591.39999999998</v>
      </c>
      <c r="J38" s="26"/>
    </row>
    <row r="39" spans="2:10">
      <c r="B39" s="26" t="s">
        <v>83</v>
      </c>
      <c r="C39" s="61" t="str">
        <f t="shared" si="24"/>
        <v>11~12월분</v>
      </c>
      <c r="D39" s="108" t="s">
        <v>19</v>
      </c>
      <c r="E39" s="27">
        <f>SUMIFS(전체리스트!D:D,전체리스트!A:A,B39,전체리스트!C:C,D39)</f>
        <v>50400</v>
      </c>
      <c r="F39" s="28">
        <f t="shared" si="25"/>
        <v>15120</v>
      </c>
      <c r="G39" s="29">
        <f>SUMIFS(전체리스트!E:E,전체리스트!A:A,B39,전체리스트!C:C,D39)</f>
        <v>35280</v>
      </c>
      <c r="H39" s="27">
        <f>G39*0.05</f>
        <v>1764</v>
      </c>
      <c r="I39" s="30">
        <f t="shared" si="26"/>
        <v>33516</v>
      </c>
      <c r="J39" s="26"/>
    </row>
    <row r="40" spans="2:10">
      <c r="B40" s="26" t="s">
        <v>83</v>
      </c>
      <c r="C40" s="61" t="str">
        <f t="shared" si="24"/>
        <v>11~12월분</v>
      </c>
      <c r="D40" s="108" t="s">
        <v>395</v>
      </c>
      <c r="E40" s="27">
        <f>SUMIFS(전체리스트!D:D,전체리스트!A:A,B40,전체리스트!C:C,D40)</f>
        <v>7500</v>
      </c>
      <c r="F40" s="28">
        <f t="shared" si="25"/>
        <v>2250</v>
      </c>
      <c r="G40" s="29">
        <f>SUMIFS(전체리스트!E:E,전체리스트!A:A,B40,전체리스트!C:C,D40)</f>
        <v>5250</v>
      </c>
      <c r="H40" s="27">
        <f t="shared" si="2"/>
        <v>262.5</v>
      </c>
      <c r="I40" s="30">
        <f t="shared" si="26"/>
        <v>4987.5</v>
      </c>
      <c r="J40" s="26"/>
    </row>
    <row r="41" spans="2:10">
      <c r="B41" s="26" t="s">
        <v>83</v>
      </c>
      <c r="C41" s="61" t="str">
        <f t="shared" si="24"/>
        <v>11~12월분</v>
      </c>
      <c r="D41" s="108" t="s">
        <v>61</v>
      </c>
      <c r="E41" s="27">
        <f>SUMIFS(전체리스트!D:D,전체리스트!A:A,B41,전체리스트!C:C,D41)</f>
        <v>95700</v>
      </c>
      <c r="F41" s="28">
        <f t="shared" si="25"/>
        <v>28710</v>
      </c>
      <c r="G41" s="29">
        <f>SUMIFS(전체리스트!E:E,전체리스트!A:A,B41,전체리스트!C:C,D41)</f>
        <v>66990</v>
      </c>
      <c r="H41" s="27">
        <f t="shared" si="2"/>
        <v>3349.5</v>
      </c>
      <c r="I41" s="30">
        <f t="shared" si="26"/>
        <v>63640.5</v>
      </c>
      <c r="J41" s="26"/>
    </row>
    <row r="42" spans="2:10">
      <c r="B42" s="26" t="s">
        <v>83</v>
      </c>
      <c r="C42" s="61" t="str">
        <f t="shared" si="24"/>
        <v>11~12월분</v>
      </c>
      <c r="D42" s="108" t="s">
        <v>156</v>
      </c>
      <c r="E42" s="27">
        <f>SUMIFS(전체리스트!D:D,전체리스트!A:A,B42,전체리스트!C:C,D42)</f>
        <v>85800</v>
      </c>
      <c r="F42" s="28">
        <f t="shared" si="25"/>
        <v>28259.999999999927</v>
      </c>
      <c r="G42" s="29">
        <f>SUMIFS(전체리스트!E:E,전체리스트!A:A,B42,전체리스트!C:C,D42)</f>
        <v>57540.000000000073</v>
      </c>
      <c r="H42" s="27">
        <f t="shared" si="2"/>
        <v>2877.0000000000036</v>
      </c>
      <c r="I42" s="30">
        <f t="shared" si="26"/>
        <v>54663.000000000073</v>
      </c>
      <c r="J42" s="26"/>
    </row>
    <row r="43" spans="2:10">
      <c r="B43" s="31" t="s">
        <v>0</v>
      </c>
      <c r="C43" s="31"/>
      <c r="D43" s="32"/>
      <c r="E43" s="33">
        <f t="shared" ref="E43:J43" si="27">SUM(E6:E42)</f>
        <v>11631900</v>
      </c>
      <c r="F43" s="33">
        <f t="shared" si="27"/>
        <v>3549561.0700000036</v>
      </c>
      <c r="G43" s="33">
        <f t="shared" si="27"/>
        <v>8082338.929999996</v>
      </c>
      <c r="H43" s="33">
        <f t="shared" si="27"/>
        <v>404116.94649999979</v>
      </c>
      <c r="I43" s="33">
        <f t="shared" si="27"/>
        <v>7678221.9834999982</v>
      </c>
      <c r="J43" s="33">
        <f t="shared" si="27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4:J22"/>
  <sheetViews>
    <sheetView workbookViewId="0">
      <selection activeCell="N31" sqref="N31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122</v>
      </c>
      <c r="C6" s="61" t="str">
        <f t="shared" ref="C6:C21" si="0">VLOOKUP(B6,raw_a,2,0)</f>
        <v>1월분</v>
      </c>
      <c r="D6" s="60" t="s">
        <v>77</v>
      </c>
      <c r="E6" s="27">
        <f>SUMIFS(전체리스트!D:D,전체리스트!A:A,B6,전체리스트!C:C,D6)</f>
        <v>120800</v>
      </c>
      <c r="F6" s="28">
        <f>E6-G6</f>
        <v>41072</v>
      </c>
      <c r="G6" s="29">
        <f>SUMIFS(전체리스트!E:E,전체리스트!A:A,B6,전체리스트!C:C,D6)</f>
        <v>79728</v>
      </c>
      <c r="H6" s="27">
        <f>G6*0.05</f>
        <v>3986.4</v>
      </c>
      <c r="I6" s="30">
        <f>G6-H6</f>
        <v>75741.600000000006</v>
      </c>
      <c r="J6" s="26"/>
    </row>
    <row r="7" spans="2:10">
      <c r="B7" s="26" t="s">
        <v>122</v>
      </c>
      <c r="C7" s="61" t="str">
        <f t="shared" si="0"/>
        <v>1월분</v>
      </c>
      <c r="D7" s="60" t="s">
        <v>321</v>
      </c>
      <c r="E7" s="27">
        <f>SUMIFS(전체리스트!D:D,전체리스트!A:A,B7,전체리스트!C:C,D7)</f>
        <v>118500</v>
      </c>
      <c r="F7" s="28">
        <f t="shared" ref="F7:F21" si="1">E7-G7</f>
        <v>40290</v>
      </c>
      <c r="G7" s="29">
        <f>SUMIFS(전체리스트!E:E,전체리스트!A:A,B7,전체리스트!C:C,D7)</f>
        <v>78210</v>
      </c>
      <c r="H7" s="27">
        <f t="shared" ref="H7:H21" si="2">G7*0.05</f>
        <v>3910.5</v>
      </c>
      <c r="I7" s="30">
        <f t="shared" ref="I7:I21" si="3">G7-H7</f>
        <v>74299.5</v>
      </c>
      <c r="J7" s="26"/>
    </row>
    <row r="8" spans="2:10">
      <c r="B8" s="26" t="s">
        <v>122</v>
      </c>
      <c r="C8" s="61" t="str">
        <f t="shared" si="0"/>
        <v>1월분</v>
      </c>
      <c r="D8" s="60" t="s">
        <v>346</v>
      </c>
      <c r="E8" s="27">
        <f>SUMIFS(전체리스트!D:D,전체리스트!A:A,B8,전체리스트!C:C,D8)</f>
        <v>109800</v>
      </c>
      <c r="F8" s="28">
        <f t="shared" si="1"/>
        <v>37332</v>
      </c>
      <c r="G8" s="29">
        <f>SUMIFS(전체리스트!E:E,전체리스트!A:A,B8,전체리스트!C:C,D8)</f>
        <v>72468</v>
      </c>
      <c r="H8" s="27">
        <f t="shared" si="2"/>
        <v>3623.4</v>
      </c>
      <c r="I8" s="30">
        <f t="shared" si="3"/>
        <v>68844.600000000006</v>
      </c>
      <c r="J8" s="26"/>
    </row>
    <row r="9" spans="2:10">
      <c r="B9" s="26" t="s">
        <v>112</v>
      </c>
      <c r="C9" s="61" t="str">
        <f t="shared" ref="C9:C19" si="4">VLOOKUP(B9,raw_a,2,0)</f>
        <v>1월분</v>
      </c>
      <c r="D9" s="60" t="s">
        <v>179</v>
      </c>
      <c r="E9" s="27">
        <f>SUMIFS(전체리스트!D:D,전체리스트!A:A,B9,전체리스트!C:C,D9)</f>
        <v>95400</v>
      </c>
      <c r="F9" s="28">
        <f t="shared" ref="F9:F19" si="5">E9-G9</f>
        <v>32436</v>
      </c>
      <c r="G9" s="29">
        <f>SUMIFS(전체리스트!E:E,전체리스트!A:A,B9,전체리스트!C:C,D9)</f>
        <v>62964</v>
      </c>
      <c r="H9" s="27">
        <f t="shared" si="2"/>
        <v>3148.2000000000003</v>
      </c>
      <c r="I9" s="30">
        <f t="shared" ref="I9:I19" si="6">G9-H9</f>
        <v>59815.8</v>
      </c>
      <c r="J9" s="26"/>
    </row>
    <row r="10" spans="2:10">
      <c r="B10" s="26" t="s">
        <v>112</v>
      </c>
      <c r="C10" s="61" t="str">
        <f t="shared" si="4"/>
        <v>1월분</v>
      </c>
      <c r="D10" s="60" t="s">
        <v>29</v>
      </c>
      <c r="E10" s="27">
        <f>SUMIFS(전체리스트!D:D,전체리스트!A:A,B10,전체리스트!C:C,D10)</f>
        <v>86300</v>
      </c>
      <c r="F10" s="28">
        <f t="shared" si="5"/>
        <v>29342</v>
      </c>
      <c r="G10" s="29">
        <f>SUMIFS(전체리스트!E:E,전체리스트!A:A,B10,전체리스트!C:C,D10)</f>
        <v>56958</v>
      </c>
      <c r="H10" s="27">
        <f t="shared" si="2"/>
        <v>2847.9</v>
      </c>
      <c r="I10" s="30">
        <f t="shared" si="6"/>
        <v>54110.1</v>
      </c>
      <c r="J10" s="26"/>
    </row>
    <row r="11" spans="2:10" s="73" customFormat="1">
      <c r="B11" s="44" t="s">
        <v>112</v>
      </c>
      <c r="C11" s="44" t="str">
        <f t="shared" si="4"/>
        <v>1월분</v>
      </c>
      <c r="D11" s="95" t="s">
        <v>308</v>
      </c>
      <c r="E11" s="44">
        <f>SUMIFS(전체리스트!D:D,전체리스트!A:A,B11,전체리스트!C:C,D11)</f>
        <v>52000</v>
      </c>
      <c r="F11" s="96">
        <f t="shared" si="5"/>
        <v>17680</v>
      </c>
      <c r="G11" s="97">
        <f>SUMIFS(전체리스트!E:E,전체리스트!A:A,B11,전체리스트!C:C,D11)</f>
        <v>34320</v>
      </c>
      <c r="H11" s="27">
        <f t="shared" si="2"/>
        <v>1716</v>
      </c>
      <c r="I11" s="98">
        <f t="shared" si="6"/>
        <v>32604</v>
      </c>
      <c r="J11" s="44"/>
    </row>
    <row r="12" spans="2:10" s="73" customFormat="1">
      <c r="B12" s="44" t="s">
        <v>112</v>
      </c>
      <c r="C12" s="44" t="str">
        <f t="shared" si="4"/>
        <v>1월분</v>
      </c>
      <c r="D12" s="95" t="s">
        <v>347</v>
      </c>
      <c r="E12" s="44">
        <f>SUMIFS(전체리스트!D:D,전체리스트!A:A,B12,전체리스트!C:C,D12)</f>
        <v>24400</v>
      </c>
      <c r="F12" s="96">
        <f t="shared" si="5"/>
        <v>8296</v>
      </c>
      <c r="G12" s="97">
        <f>SUMIFS(전체리스트!E:E,전체리스트!A:A,B12,전체리스트!C:C,D12)</f>
        <v>16104</v>
      </c>
      <c r="H12" s="27">
        <f t="shared" si="2"/>
        <v>805.2</v>
      </c>
      <c r="I12" s="98">
        <f t="shared" si="6"/>
        <v>15298.8</v>
      </c>
      <c r="J12" s="44"/>
    </row>
    <row r="13" spans="2:10" s="73" customFormat="1">
      <c r="B13" s="44" t="s">
        <v>112</v>
      </c>
      <c r="C13" s="44" t="str">
        <f t="shared" ref="C13:C18" si="7">VLOOKUP(B13,raw_a,2,0)</f>
        <v>1월분</v>
      </c>
      <c r="D13" s="95" t="s">
        <v>328</v>
      </c>
      <c r="E13" s="44">
        <f>SUMIFS(전체리스트!D:D,전체리스트!A:A,B13,전체리스트!C:C,D13)</f>
        <v>12000</v>
      </c>
      <c r="F13" s="96">
        <f t="shared" ref="F13:F18" si="8">E13-G13</f>
        <v>4080</v>
      </c>
      <c r="G13" s="97">
        <f>SUMIFS(전체리스트!E:E,전체리스트!A:A,B13,전체리스트!C:C,D13)</f>
        <v>7920</v>
      </c>
      <c r="H13" s="27">
        <f t="shared" si="2"/>
        <v>396</v>
      </c>
      <c r="I13" s="98">
        <f t="shared" ref="I13:I18" si="9">G13-H13</f>
        <v>7524</v>
      </c>
      <c r="J13" s="44"/>
    </row>
    <row r="14" spans="2:10">
      <c r="B14" s="26" t="s">
        <v>112</v>
      </c>
      <c r="C14" s="61" t="str">
        <f t="shared" si="7"/>
        <v>1월분</v>
      </c>
      <c r="D14" s="60" t="s">
        <v>61</v>
      </c>
      <c r="E14" s="27">
        <f>SUMIFS(전체리스트!D:D,전체리스트!A:A,B14,전체리스트!C:C,D14)</f>
        <v>9000</v>
      </c>
      <c r="F14" s="28">
        <f t="shared" si="8"/>
        <v>3060</v>
      </c>
      <c r="G14" s="29">
        <f>SUMIFS(전체리스트!E:E,전체리스트!A:A,B14,전체리스트!C:C,D14)</f>
        <v>5940</v>
      </c>
      <c r="H14" s="27">
        <f t="shared" si="2"/>
        <v>297</v>
      </c>
      <c r="I14" s="30">
        <f t="shared" si="9"/>
        <v>5643</v>
      </c>
      <c r="J14" s="26"/>
    </row>
    <row r="15" spans="2:10">
      <c r="B15" s="26" t="s">
        <v>112</v>
      </c>
      <c r="C15" s="61" t="str">
        <f t="shared" si="7"/>
        <v>1월분</v>
      </c>
      <c r="D15" s="60" t="s">
        <v>66</v>
      </c>
      <c r="E15" s="27">
        <f>SUMIFS(전체리스트!D:D,전체리스트!A:A,B15,전체리스트!C:C,D15)</f>
        <v>7000</v>
      </c>
      <c r="F15" s="28">
        <f t="shared" si="8"/>
        <v>2380</v>
      </c>
      <c r="G15" s="29">
        <f>SUMIFS(전체리스트!E:E,전체리스트!A:A,B15,전체리스트!C:C,D15)</f>
        <v>4620</v>
      </c>
      <c r="H15" s="27">
        <f t="shared" si="2"/>
        <v>231</v>
      </c>
      <c r="I15" s="30">
        <f t="shared" si="9"/>
        <v>4389</v>
      </c>
      <c r="J15" s="26"/>
    </row>
    <row r="16" spans="2:10" s="73" customFormat="1">
      <c r="B16" s="44" t="s">
        <v>112</v>
      </c>
      <c r="C16" s="44" t="str">
        <f t="shared" si="7"/>
        <v>1월분</v>
      </c>
      <c r="D16" s="95" t="s">
        <v>57</v>
      </c>
      <c r="E16" s="44">
        <f>SUMIFS(전체리스트!D:D,전체리스트!A:A,B16,전체리스트!C:C,D16)</f>
        <v>6300</v>
      </c>
      <c r="F16" s="96">
        <f t="shared" si="8"/>
        <v>2142</v>
      </c>
      <c r="G16" s="97">
        <f>SUMIFS(전체리스트!E:E,전체리스트!A:A,B16,전체리스트!C:C,D16)</f>
        <v>4158</v>
      </c>
      <c r="H16" s="27">
        <f t="shared" si="2"/>
        <v>207.9</v>
      </c>
      <c r="I16" s="98">
        <f t="shared" si="9"/>
        <v>3950.1</v>
      </c>
      <c r="J16" s="44"/>
    </row>
    <row r="17" spans="2:10" s="73" customFormat="1">
      <c r="B17" s="44" t="s">
        <v>112</v>
      </c>
      <c r="C17" s="44" t="str">
        <f t="shared" si="7"/>
        <v>1월분</v>
      </c>
      <c r="D17" s="95" t="s">
        <v>180</v>
      </c>
      <c r="E17" s="44">
        <f>SUMIFS(전체리스트!D:D,전체리스트!A:A,B17,전체리스트!C:C,D17)</f>
        <v>5100</v>
      </c>
      <c r="F17" s="96">
        <f t="shared" si="8"/>
        <v>1734</v>
      </c>
      <c r="G17" s="97">
        <f>SUMIFS(전체리스트!E:E,전체리스트!A:A,B17,전체리스트!C:C,D17)</f>
        <v>3366</v>
      </c>
      <c r="H17" s="27">
        <f t="shared" si="2"/>
        <v>168.3</v>
      </c>
      <c r="I17" s="98">
        <f t="shared" si="9"/>
        <v>3197.7</v>
      </c>
      <c r="J17" s="44"/>
    </row>
    <row r="18" spans="2:10" s="73" customFormat="1">
      <c r="B18" s="44" t="s">
        <v>112</v>
      </c>
      <c r="C18" s="44" t="str">
        <f t="shared" si="7"/>
        <v>1월분</v>
      </c>
      <c r="D18" s="95" t="s">
        <v>290</v>
      </c>
      <c r="E18" s="44">
        <f>SUMIFS(전체리스트!D:D,전체리스트!A:A,B18,전체리스트!C:C,D18)</f>
        <v>1800</v>
      </c>
      <c r="F18" s="96">
        <f t="shared" si="8"/>
        <v>612</v>
      </c>
      <c r="G18" s="97">
        <f>SUMIFS(전체리스트!E:E,전체리스트!A:A,B18,전체리스트!C:C,D18)</f>
        <v>1188</v>
      </c>
      <c r="H18" s="27">
        <f t="shared" si="2"/>
        <v>59.400000000000006</v>
      </c>
      <c r="I18" s="98">
        <f t="shared" si="9"/>
        <v>1128.5999999999999</v>
      </c>
      <c r="J18" s="44"/>
    </row>
    <row r="19" spans="2:10" s="73" customFormat="1">
      <c r="B19" s="44" t="s">
        <v>112</v>
      </c>
      <c r="C19" s="44" t="str">
        <f t="shared" si="4"/>
        <v>1월분</v>
      </c>
      <c r="D19" s="95" t="s">
        <v>17</v>
      </c>
      <c r="E19" s="44">
        <f>SUMIFS(전체리스트!D:D,전체리스트!A:A,B19,전체리스트!C:C,D19)</f>
        <v>600</v>
      </c>
      <c r="F19" s="96">
        <f t="shared" si="5"/>
        <v>204</v>
      </c>
      <c r="G19" s="97">
        <f>SUMIFS(전체리스트!E:E,전체리스트!A:A,B19,전체리스트!C:C,D19)</f>
        <v>396</v>
      </c>
      <c r="H19" s="27">
        <f t="shared" si="2"/>
        <v>19.8</v>
      </c>
      <c r="I19" s="98">
        <f t="shared" si="6"/>
        <v>376.2</v>
      </c>
      <c r="J19" s="44"/>
    </row>
    <row r="20" spans="2:10">
      <c r="B20" s="26" t="s">
        <v>122</v>
      </c>
      <c r="C20" s="61" t="str">
        <f t="shared" si="0"/>
        <v>1월분</v>
      </c>
      <c r="D20" s="60" t="s">
        <v>422</v>
      </c>
      <c r="E20" s="27">
        <f>SUMIFS(전체리스트!D:D,전체리스트!A:A,B20,전체리스트!C:C,D20)</f>
        <v>400</v>
      </c>
      <c r="F20" s="28">
        <f t="shared" si="1"/>
        <v>136</v>
      </c>
      <c r="G20" s="29">
        <f>SUMIFS(전체리스트!E:E,전체리스트!A:A,B20,전체리스트!C:C,D20)</f>
        <v>264</v>
      </c>
      <c r="H20" s="27">
        <f t="shared" si="2"/>
        <v>13.200000000000001</v>
      </c>
      <c r="I20" s="30">
        <f t="shared" si="3"/>
        <v>250.8</v>
      </c>
      <c r="J20" s="26"/>
    </row>
    <row r="21" spans="2:10">
      <c r="B21" s="26" t="s">
        <v>122</v>
      </c>
      <c r="C21" s="61" t="str">
        <f t="shared" si="0"/>
        <v>1월분</v>
      </c>
      <c r="D21" s="60" t="s">
        <v>423</v>
      </c>
      <c r="E21" s="27">
        <f>SUMIFS(전체리스트!D:D,전체리스트!A:A,B21,전체리스트!C:C,D21)</f>
        <v>400</v>
      </c>
      <c r="F21" s="28">
        <f t="shared" si="1"/>
        <v>136</v>
      </c>
      <c r="G21" s="29">
        <f>SUMIFS(전체리스트!E:E,전체리스트!A:A,B21,전체리스트!C:C,D21)</f>
        <v>264</v>
      </c>
      <c r="H21" s="27">
        <f t="shared" si="2"/>
        <v>13.200000000000001</v>
      </c>
      <c r="I21" s="30">
        <f t="shared" si="3"/>
        <v>250.8</v>
      </c>
      <c r="J21" s="26"/>
    </row>
    <row r="22" spans="2:10">
      <c r="B22" s="31" t="s">
        <v>0</v>
      </c>
      <c r="C22" s="31"/>
      <c r="D22" s="32"/>
      <c r="E22" s="33">
        <f t="shared" ref="E22:J22" si="10">SUM(E6:E21)</f>
        <v>649800</v>
      </c>
      <c r="F22" s="33">
        <f t="shared" si="10"/>
        <v>220932</v>
      </c>
      <c r="G22" s="33">
        <f t="shared" si="10"/>
        <v>428868</v>
      </c>
      <c r="H22" s="33">
        <f t="shared" si="10"/>
        <v>21443.400000000005</v>
      </c>
      <c r="I22" s="33">
        <f t="shared" si="10"/>
        <v>407424.59999999992</v>
      </c>
      <c r="J22" s="33">
        <f t="shared" si="10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B3:J15"/>
  <sheetViews>
    <sheetView workbookViewId="0">
      <selection activeCell="K25" sqref="K25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3" spans="2:10">
      <c r="G3" s="65" t="s">
        <v>138</v>
      </c>
    </row>
    <row r="4" spans="2:10">
      <c r="B4" s="34" t="s">
        <v>42</v>
      </c>
      <c r="C4" s="34"/>
      <c r="F4" s="36" t="s">
        <v>137</v>
      </c>
      <c r="G4" s="43">
        <f>VLOOKUP(B6,raw_a,6,0)</f>
        <v>35.81</v>
      </c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123</v>
      </c>
      <c r="C6" s="61" t="str">
        <f>VLOOKUP(B6,raw_a,2,0)</f>
        <v>10월분</v>
      </c>
      <c r="D6" s="26" t="s">
        <v>261</v>
      </c>
      <c r="E6" s="35">
        <f>SUMIFS(전체리스트!D:D,전체리스트!A:A,B6,전체리스트!C:C,D6)</f>
        <v>0</v>
      </c>
      <c r="F6" s="28"/>
      <c r="G6" s="29">
        <f>SUMIFS(전체리스트!E:E,전체리스트!A:A,B6,전체리스트!C:C,D6)</f>
        <v>0</v>
      </c>
      <c r="H6" s="27">
        <f>G6*0.05</f>
        <v>0</v>
      </c>
      <c r="I6" s="30">
        <f>G6-H6</f>
        <v>0</v>
      </c>
      <c r="J6" s="26"/>
    </row>
    <row r="7" spans="2:10">
      <c r="B7" s="26" t="s">
        <v>123</v>
      </c>
      <c r="C7" s="61" t="str">
        <f t="shared" ref="C7:C8" si="0">VLOOKUP(B7,raw_a,2,0)</f>
        <v>10월분</v>
      </c>
      <c r="D7" s="26" t="s">
        <v>262</v>
      </c>
      <c r="E7" s="35">
        <f>SUMIFS(전체리스트!D:D,전체리스트!A:A,B7,전체리스트!C:C,D7)</f>
        <v>0</v>
      </c>
      <c r="F7" s="28"/>
      <c r="G7" s="29">
        <f>SUMIFS(전체리스트!E:E,전체리스트!A:A,B7,전체리스트!C:C,D7)</f>
        <v>0</v>
      </c>
      <c r="H7" s="27">
        <f t="shared" ref="H7:H14" si="1">G7*0.05</f>
        <v>0</v>
      </c>
      <c r="I7" s="30">
        <f t="shared" ref="I7:I8" si="2">G7-H7</f>
        <v>0</v>
      </c>
      <c r="J7" s="26"/>
    </row>
    <row r="8" spans="2:10">
      <c r="B8" s="26" t="s">
        <v>123</v>
      </c>
      <c r="C8" s="61" t="str">
        <f t="shared" si="0"/>
        <v>10월분</v>
      </c>
      <c r="D8" s="26" t="s">
        <v>263</v>
      </c>
      <c r="E8" s="35">
        <f>SUMIFS(전체리스트!D:D,전체리스트!A:A,B8,전체리스트!C:C,D8)</f>
        <v>0</v>
      </c>
      <c r="F8" s="28"/>
      <c r="G8" s="29">
        <f>SUMIFS(전체리스트!E:E,전체리스트!A:A,B8,전체리스트!C:C,D8)</f>
        <v>0</v>
      </c>
      <c r="H8" s="27">
        <f t="shared" si="1"/>
        <v>0</v>
      </c>
      <c r="I8" s="30">
        <f t="shared" si="2"/>
        <v>0</v>
      </c>
      <c r="J8" s="26"/>
    </row>
    <row r="9" spans="2:10">
      <c r="B9" s="26" t="s">
        <v>113</v>
      </c>
      <c r="C9" s="61" t="str">
        <f t="shared" ref="C9:C13" si="3">VLOOKUP(B9,raw_a,2,0)</f>
        <v>10월분</v>
      </c>
      <c r="D9" s="26" t="s">
        <v>255</v>
      </c>
      <c r="E9" s="35">
        <f>SUMIFS(전체리스트!D:D,전체리스트!A:A,B9,전체리스트!C:C,D9)</f>
        <v>0</v>
      </c>
      <c r="F9" s="28"/>
      <c r="G9" s="29">
        <f>SUMIFS(전체리스트!E:E,전체리스트!A:A,B9,전체리스트!C:C,D9)</f>
        <v>0</v>
      </c>
      <c r="H9" s="27">
        <f t="shared" si="1"/>
        <v>0</v>
      </c>
      <c r="I9" s="30">
        <f>G9-H9</f>
        <v>0</v>
      </c>
      <c r="J9" s="26"/>
    </row>
    <row r="10" spans="2:10">
      <c r="B10" s="26" t="s">
        <v>113</v>
      </c>
      <c r="C10" s="61" t="str">
        <f t="shared" si="3"/>
        <v>10월분</v>
      </c>
      <c r="D10" s="26" t="s">
        <v>256</v>
      </c>
      <c r="E10" s="35">
        <f>SUMIFS(전체리스트!D:D,전체리스트!A:A,B10,전체리스트!C:C,D10)</f>
        <v>0</v>
      </c>
      <c r="F10" s="28"/>
      <c r="G10" s="29">
        <f>SUMIFS(전체리스트!E:E,전체리스트!A:A,B10,전체리스트!C:C,D10)</f>
        <v>0</v>
      </c>
      <c r="H10" s="27">
        <f t="shared" si="1"/>
        <v>0</v>
      </c>
      <c r="I10" s="30">
        <f t="shared" ref="I10:I13" si="4">G10-H10</f>
        <v>0</v>
      </c>
      <c r="J10" s="26"/>
    </row>
    <row r="11" spans="2:10">
      <c r="B11" s="26" t="s">
        <v>113</v>
      </c>
      <c r="C11" s="61" t="str">
        <f t="shared" si="3"/>
        <v>10월분</v>
      </c>
      <c r="D11" s="26" t="s">
        <v>257</v>
      </c>
      <c r="E11" s="35">
        <f>SUMIFS(전체리스트!D:D,전체리스트!A:A,B11,전체리스트!C:C,D11)</f>
        <v>0</v>
      </c>
      <c r="F11" s="28"/>
      <c r="G11" s="29">
        <f>SUMIFS(전체리스트!E:E,전체리스트!A:A,B11,전체리스트!C:C,D11)</f>
        <v>0</v>
      </c>
      <c r="H11" s="27">
        <f t="shared" si="1"/>
        <v>0</v>
      </c>
      <c r="I11" s="30">
        <f t="shared" si="4"/>
        <v>0</v>
      </c>
      <c r="J11" s="26"/>
    </row>
    <row r="12" spans="2:10">
      <c r="B12" s="26" t="s">
        <v>113</v>
      </c>
      <c r="C12" s="61" t="str">
        <f t="shared" si="3"/>
        <v>10월분</v>
      </c>
      <c r="D12" s="26" t="s">
        <v>258</v>
      </c>
      <c r="E12" s="35">
        <f>SUMIFS(전체리스트!D:D,전체리스트!A:A,B12,전체리스트!C:C,D12)</f>
        <v>0</v>
      </c>
      <c r="F12" s="28"/>
      <c r="G12" s="29">
        <f>SUMIFS(전체리스트!E:E,전체리스트!A:A,B12,전체리스트!C:C,D12)</f>
        <v>0</v>
      </c>
      <c r="H12" s="27">
        <f t="shared" si="1"/>
        <v>0</v>
      </c>
      <c r="I12" s="30">
        <f t="shared" si="4"/>
        <v>0</v>
      </c>
      <c r="J12" s="26"/>
    </row>
    <row r="13" spans="2:10">
      <c r="B13" s="26" t="s">
        <v>113</v>
      </c>
      <c r="C13" s="61" t="str">
        <f t="shared" si="3"/>
        <v>10월분</v>
      </c>
      <c r="D13" s="26" t="s">
        <v>259</v>
      </c>
      <c r="E13" s="35">
        <f>SUMIFS(전체리스트!D:D,전체리스트!A:A,B13,전체리스트!C:C,D13)</f>
        <v>0</v>
      </c>
      <c r="F13" s="28"/>
      <c r="G13" s="29">
        <f>SUMIFS(전체리스트!E:E,전체리스트!A:A,B13,전체리스트!C:C,D13)</f>
        <v>0</v>
      </c>
      <c r="H13" s="27">
        <f t="shared" si="1"/>
        <v>0</v>
      </c>
      <c r="I13" s="30">
        <f t="shared" si="4"/>
        <v>0</v>
      </c>
      <c r="J13" s="26"/>
    </row>
    <row r="14" spans="2:10">
      <c r="B14" s="26" t="s">
        <v>113</v>
      </c>
      <c r="C14" s="61" t="str">
        <f t="shared" ref="C14" si="5">VLOOKUP(B14,raw_a,2,0)</f>
        <v>10월분</v>
      </c>
      <c r="D14" s="26" t="s">
        <v>260</v>
      </c>
      <c r="E14" s="35">
        <f>SUMIFS(전체리스트!D:D,전체리스트!A:A,B14,전체리스트!C:C,D14)</f>
        <v>0</v>
      </c>
      <c r="F14" s="28"/>
      <c r="G14" s="29">
        <f>SUMIFS(전체리스트!E:E,전체리스트!A:A,B14,전체리스트!C:C,D14)</f>
        <v>0</v>
      </c>
      <c r="H14" s="27">
        <f t="shared" si="1"/>
        <v>0</v>
      </c>
      <c r="I14" s="30">
        <f>G14-H14</f>
        <v>0</v>
      </c>
      <c r="J14" s="26"/>
    </row>
    <row r="15" spans="2:10">
      <c r="B15" s="31" t="s">
        <v>0</v>
      </c>
      <c r="C15" s="31"/>
      <c r="D15" s="32"/>
      <c r="E15" s="112">
        <f>SUM(E6:E14)</f>
        <v>0</v>
      </c>
      <c r="F15" s="112">
        <f t="shared" ref="F15:J15" si="6">SUM(F6:F14)</f>
        <v>0</v>
      </c>
      <c r="G15" s="112">
        <f t="shared" si="6"/>
        <v>0</v>
      </c>
      <c r="H15" s="112">
        <f t="shared" si="6"/>
        <v>0</v>
      </c>
      <c r="I15" s="112">
        <f t="shared" si="6"/>
        <v>0</v>
      </c>
      <c r="J15" s="112">
        <f t="shared" si="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4:J22"/>
  <sheetViews>
    <sheetView topLeftCell="A4" workbookViewId="0">
      <selection activeCell="I33" sqref="I33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124</v>
      </c>
      <c r="C6" s="61" t="str">
        <f>VLOOKUP(B6,raw_a,2,0)</f>
        <v>11월분</v>
      </c>
      <c r="D6" s="26" t="s">
        <v>45</v>
      </c>
      <c r="E6" s="27">
        <f>SUMIFS(전체리스트!D:D,전체리스트!A:A,B6,전체리스트!C:C,D6)</f>
        <v>1440</v>
      </c>
      <c r="F6" s="28">
        <f>E6-G6</f>
        <v>0</v>
      </c>
      <c r="G6" s="29">
        <f>SUMIFS(전체리스트!E:E,전체리스트!A:A,B6,전체리스트!C:C,D6)</f>
        <v>1440</v>
      </c>
      <c r="H6" s="27">
        <f>G6*0.05</f>
        <v>72</v>
      </c>
      <c r="I6" s="30">
        <f>G6-H6</f>
        <v>1368</v>
      </c>
      <c r="J6" s="26"/>
    </row>
    <row r="7" spans="2:10">
      <c r="B7" s="26" t="s">
        <v>124</v>
      </c>
      <c r="C7" s="61" t="str">
        <f t="shared" ref="C7:C21" si="0">VLOOKUP(B7,raw_a,2,0)</f>
        <v>11월분</v>
      </c>
      <c r="D7" s="26" t="s">
        <v>46</v>
      </c>
      <c r="E7" s="27">
        <f>SUMIFS(전체리스트!D:D,전체리스트!A:A,B7,전체리스트!C:C,D7)</f>
        <v>240780</v>
      </c>
      <c r="F7" s="28">
        <f t="shared" ref="F7:F21" si="1">E7-G7</f>
        <v>0</v>
      </c>
      <c r="G7" s="29">
        <f>SUMIFS(전체리스트!E:E,전체리스트!A:A,B7,전체리스트!C:C,D7)</f>
        <v>240780</v>
      </c>
      <c r="H7" s="27">
        <f t="shared" ref="H7:H21" si="2">G7*0.05</f>
        <v>12039</v>
      </c>
      <c r="I7" s="30">
        <f t="shared" ref="I7:I21" si="3">G7-H7</f>
        <v>228741</v>
      </c>
      <c r="J7" s="26"/>
    </row>
    <row r="8" spans="2:10">
      <c r="B8" s="26" t="s">
        <v>124</v>
      </c>
      <c r="C8" s="61" t="str">
        <f t="shared" si="0"/>
        <v>11월분</v>
      </c>
      <c r="D8" s="26" t="s">
        <v>69</v>
      </c>
      <c r="E8" s="27">
        <f>SUMIFS(전체리스트!D:D,전체리스트!A:A,B8,전체리스트!C:C,D8)</f>
        <v>171540</v>
      </c>
      <c r="F8" s="28">
        <f t="shared" si="1"/>
        <v>0</v>
      </c>
      <c r="G8" s="29">
        <f>SUMIFS(전체리스트!E:E,전체리스트!A:A,B8,전체리스트!C:C,D8)</f>
        <v>171540</v>
      </c>
      <c r="H8" s="27">
        <f t="shared" si="2"/>
        <v>8577</v>
      </c>
      <c r="I8" s="30">
        <f t="shared" si="3"/>
        <v>162963</v>
      </c>
      <c r="J8" s="26"/>
    </row>
    <row r="9" spans="2:10">
      <c r="B9" s="26" t="s">
        <v>124</v>
      </c>
      <c r="C9" s="61" t="str">
        <f t="shared" si="0"/>
        <v>11월분</v>
      </c>
      <c r="D9" s="26" t="s">
        <v>315</v>
      </c>
      <c r="E9" s="27">
        <f>SUMIFS(전체리스트!D:D,전체리스트!A:A,B9,전체리스트!C:C,D9)</f>
        <v>9186300</v>
      </c>
      <c r="F9" s="28">
        <f t="shared" si="1"/>
        <v>0</v>
      </c>
      <c r="G9" s="29">
        <f>SUMIFS(전체리스트!E:E,전체리스트!A:A,B9,전체리스트!C:C,D9)</f>
        <v>9186300</v>
      </c>
      <c r="H9" s="27">
        <f t="shared" si="2"/>
        <v>459315</v>
      </c>
      <c r="I9" s="30">
        <f t="shared" si="3"/>
        <v>8726985</v>
      </c>
      <c r="J9" s="26"/>
    </row>
    <row r="10" spans="2:10">
      <c r="B10" s="26" t="s">
        <v>114</v>
      </c>
      <c r="C10" s="61" t="str">
        <f t="shared" ref="C10:C20" si="4">VLOOKUP(B10,raw_a,2,0)</f>
        <v>11월분</v>
      </c>
      <c r="D10" s="26" t="s">
        <v>34</v>
      </c>
      <c r="E10" s="27">
        <f>SUMIFS(전체리스트!D:D,전체리스트!A:A,B10,전체리스트!C:C,D10)</f>
        <v>216540</v>
      </c>
      <c r="F10" s="28">
        <f t="shared" ref="F10:F20" si="5">E10-G10</f>
        <v>0</v>
      </c>
      <c r="G10" s="29">
        <f>SUMIFS(전체리스트!E:E,전체리스트!A:A,B10,전체리스트!C:C,D10)</f>
        <v>216540</v>
      </c>
      <c r="H10" s="27">
        <f t="shared" si="2"/>
        <v>10827</v>
      </c>
      <c r="I10" s="30">
        <f t="shared" ref="I10:I20" si="6">G10-H10</f>
        <v>205713</v>
      </c>
      <c r="J10" s="26"/>
    </row>
    <row r="11" spans="2:10">
      <c r="B11" s="26" t="s">
        <v>114</v>
      </c>
      <c r="C11" s="61" t="str">
        <f t="shared" si="4"/>
        <v>11월분</v>
      </c>
      <c r="D11" s="26" t="s">
        <v>70</v>
      </c>
      <c r="E11" s="27">
        <f>SUMIFS(전체리스트!D:D,전체리스트!A:A,B11,전체리스트!C:C,D11)</f>
        <v>9411360</v>
      </c>
      <c r="F11" s="28">
        <f t="shared" si="5"/>
        <v>0</v>
      </c>
      <c r="G11" s="29">
        <f>SUMIFS(전체리스트!E:E,전체리스트!A:A,B11,전체리스트!C:C,D11)</f>
        <v>9411360</v>
      </c>
      <c r="H11" s="27">
        <f t="shared" si="2"/>
        <v>470568</v>
      </c>
      <c r="I11" s="30">
        <f t="shared" si="6"/>
        <v>8940792</v>
      </c>
      <c r="J11" s="26"/>
    </row>
    <row r="12" spans="2:10">
      <c r="B12" s="26" t="s">
        <v>114</v>
      </c>
      <c r="C12" s="61" t="str">
        <f t="shared" si="4"/>
        <v>11월분</v>
      </c>
      <c r="D12" s="26" t="s">
        <v>63</v>
      </c>
      <c r="E12" s="27">
        <f>SUMIFS(전체리스트!D:D,전체리스트!A:A,B12,전체리스트!C:C,D12)</f>
        <v>813420</v>
      </c>
      <c r="F12" s="28">
        <f t="shared" si="5"/>
        <v>0</v>
      </c>
      <c r="G12" s="29">
        <f>SUMIFS(전체리스트!E:E,전체리스트!A:A,B12,전체리스트!C:C,D12)</f>
        <v>813420</v>
      </c>
      <c r="H12" s="27">
        <f t="shared" si="2"/>
        <v>40671</v>
      </c>
      <c r="I12" s="30">
        <f t="shared" si="6"/>
        <v>772749</v>
      </c>
      <c r="J12" s="26"/>
    </row>
    <row r="13" spans="2:10">
      <c r="B13" s="26" t="s">
        <v>114</v>
      </c>
      <c r="C13" s="61" t="str">
        <f t="shared" si="4"/>
        <v>11월분</v>
      </c>
      <c r="D13" s="26" t="s">
        <v>54</v>
      </c>
      <c r="E13" s="27">
        <f>SUMIFS(전체리스트!D:D,전체리스트!A:A,B13,전체리스트!C:C,D13)</f>
        <v>1477800</v>
      </c>
      <c r="F13" s="28">
        <f t="shared" si="5"/>
        <v>0</v>
      </c>
      <c r="G13" s="29">
        <f>SUMIFS(전체리스트!E:E,전체리스트!A:A,B13,전체리스트!C:C,D13)</f>
        <v>1477800</v>
      </c>
      <c r="H13" s="27">
        <f t="shared" si="2"/>
        <v>73890</v>
      </c>
      <c r="I13" s="30">
        <f t="shared" si="6"/>
        <v>1403910</v>
      </c>
      <c r="J13" s="26"/>
    </row>
    <row r="14" spans="2:10">
      <c r="B14" s="26" t="s">
        <v>114</v>
      </c>
      <c r="C14" s="61" t="str">
        <f t="shared" ref="C14:C19" si="7">VLOOKUP(B14,raw_a,2,0)</f>
        <v>11월분</v>
      </c>
      <c r="D14" s="26" t="s">
        <v>316</v>
      </c>
      <c r="E14" s="27">
        <f>SUMIFS(전체리스트!D:D,전체리스트!A:A,B14,전체리스트!C:C,D14)</f>
        <v>1693800</v>
      </c>
      <c r="F14" s="28">
        <f t="shared" ref="F14:F19" si="8">E14-G14</f>
        <v>0</v>
      </c>
      <c r="G14" s="29">
        <f>SUMIFS(전체리스트!E:E,전체리스트!A:A,B14,전체리스트!C:C,D14)</f>
        <v>1693800</v>
      </c>
      <c r="H14" s="27">
        <f t="shared" si="2"/>
        <v>84690</v>
      </c>
      <c r="I14" s="30">
        <f t="shared" ref="I14:I19" si="9">G14-H14</f>
        <v>1609110</v>
      </c>
      <c r="J14" s="26"/>
    </row>
    <row r="15" spans="2:10">
      <c r="B15" s="26" t="s">
        <v>114</v>
      </c>
      <c r="C15" s="61" t="str">
        <f t="shared" si="7"/>
        <v>11월분</v>
      </c>
      <c r="D15" s="26" t="s">
        <v>317</v>
      </c>
      <c r="E15" s="27">
        <f>SUMIFS(전체리스트!D:D,전체리스트!A:A,B15,전체리스트!C:C,D15)</f>
        <v>1253520</v>
      </c>
      <c r="F15" s="28">
        <f t="shared" si="8"/>
        <v>0</v>
      </c>
      <c r="G15" s="29">
        <f>SUMIFS(전체리스트!E:E,전체리스트!A:A,B15,전체리스트!C:C,D15)</f>
        <v>1253520</v>
      </c>
      <c r="H15" s="27">
        <f t="shared" si="2"/>
        <v>62676</v>
      </c>
      <c r="I15" s="30">
        <f t="shared" si="9"/>
        <v>1190844</v>
      </c>
      <c r="J15" s="26"/>
    </row>
    <row r="16" spans="2:10">
      <c r="B16" s="26" t="s">
        <v>114</v>
      </c>
      <c r="C16" s="61" t="str">
        <f t="shared" si="7"/>
        <v>11월분</v>
      </c>
      <c r="D16" s="26" t="s">
        <v>318</v>
      </c>
      <c r="E16" s="27">
        <f>SUMIFS(전체리스트!D:D,전체리스트!A:A,B16,전체리스트!C:C,D16)</f>
        <v>754020</v>
      </c>
      <c r="F16" s="28">
        <f t="shared" si="8"/>
        <v>0</v>
      </c>
      <c r="G16" s="29">
        <f>SUMIFS(전체리스트!E:E,전체리스트!A:A,B16,전체리스트!C:C,D16)</f>
        <v>754020</v>
      </c>
      <c r="H16" s="27">
        <f t="shared" si="2"/>
        <v>37701</v>
      </c>
      <c r="I16" s="30">
        <f t="shared" si="9"/>
        <v>716319</v>
      </c>
      <c r="J16" s="26"/>
    </row>
    <row r="17" spans="2:10">
      <c r="B17" s="26" t="s">
        <v>114</v>
      </c>
      <c r="C17" s="61" t="str">
        <f t="shared" si="7"/>
        <v>11월분</v>
      </c>
      <c r="D17" s="26" t="s">
        <v>319</v>
      </c>
      <c r="E17" s="27">
        <f>SUMIFS(전체리스트!D:D,전체리스트!A:A,B17,전체리스트!C:C,D17)</f>
        <v>377460</v>
      </c>
      <c r="F17" s="28">
        <f t="shared" si="8"/>
        <v>0</v>
      </c>
      <c r="G17" s="29">
        <f>SUMIFS(전체리스트!E:E,전체리스트!A:A,B17,전체리스트!C:C,D17)</f>
        <v>377460</v>
      </c>
      <c r="H17" s="27">
        <f t="shared" si="2"/>
        <v>18873</v>
      </c>
      <c r="I17" s="30">
        <f t="shared" si="9"/>
        <v>358587</v>
      </c>
      <c r="J17" s="26"/>
    </row>
    <row r="18" spans="2:10">
      <c r="B18" s="26" t="s">
        <v>114</v>
      </c>
      <c r="C18" s="61" t="str">
        <f t="shared" si="7"/>
        <v>11월분</v>
      </c>
      <c r="D18" s="26" t="s">
        <v>320</v>
      </c>
      <c r="E18" s="27">
        <f>SUMIFS(전체리스트!D:D,전체리스트!A:A,B18,전체리스트!C:C,D18)</f>
        <v>192960</v>
      </c>
      <c r="F18" s="28">
        <f t="shared" si="8"/>
        <v>0</v>
      </c>
      <c r="G18" s="29">
        <f>SUMIFS(전체리스트!E:E,전체리스트!A:A,B18,전체리스트!C:C,D18)</f>
        <v>192960</v>
      </c>
      <c r="H18" s="27">
        <f t="shared" si="2"/>
        <v>9648</v>
      </c>
      <c r="I18" s="30">
        <f t="shared" si="9"/>
        <v>183312</v>
      </c>
      <c r="J18" s="26"/>
    </row>
    <row r="19" spans="2:10">
      <c r="B19" s="26" t="s">
        <v>114</v>
      </c>
      <c r="C19" s="61" t="str">
        <f t="shared" si="7"/>
        <v>11월분</v>
      </c>
      <c r="D19" s="26" t="s">
        <v>298</v>
      </c>
      <c r="E19" s="27">
        <f>SUMIFS(전체리스트!D:D,전체리스트!A:A,B19,전체리스트!C:C,D19)</f>
        <v>1255680</v>
      </c>
      <c r="F19" s="28">
        <f t="shared" si="8"/>
        <v>0</v>
      </c>
      <c r="G19" s="29">
        <f>SUMIFS(전체리스트!E:E,전체리스트!A:A,B19,전체리스트!C:C,D19)</f>
        <v>1255680</v>
      </c>
      <c r="H19" s="27">
        <f t="shared" si="2"/>
        <v>62784</v>
      </c>
      <c r="I19" s="30">
        <f t="shared" si="9"/>
        <v>1192896</v>
      </c>
      <c r="J19" s="26"/>
    </row>
    <row r="20" spans="2:10">
      <c r="B20" s="26" t="s">
        <v>114</v>
      </c>
      <c r="C20" s="61" t="str">
        <f t="shared" si="4"/>
        <v>11월분</v>
      </c>
      <c r="D20" s="26" t="s">
        <v>336</v>
      </c>
      <c r="E20" s="27">
        <f>SUMIFS(전체리스트!D:D,전체리스트!A:A,B20,전체리스트!C:C,D20)</f>
        <v>263340</v>
      </c>
      <c r="F20" s="28">
        <f t="shared" si="5"/>
        <v>0</v>
      </c>
      <c r="G20" s="29">
        <f>SUMIFS(전체리스트!E:E,전체리스트!A:A,B20,전체리스트!C:C,D20)</f>
        <v>263340</v>
      </c>
      <c r="H20" s="27">
        <f t="shared" si="2"/>
        <v>13167</v>
      </c>
      <c r="I20" s="30">
        <f t="shared" si="6"/>
        <v>250173</v>
      </c>
      <c r="J20" s="26"/>
    </row>
    <row r="21" spans="2:10">
      <c r="B21" s="26" t="s">
        <v>124</v>
      </c>
      <c r="C21" s="61" t="str">
        <f t="shared" si="0"/>
        <v>11월분</v>
      </c>
      <c r="D21" s="26" t="s">
        <v>337</v>
      </c>
      <c r="E21" s="27">
        <f>SUMIFS(전체리스트!D:D,전체리스트!A:A,B21,전체리스트!C:C,D21)</f>
        <v>173520</v>
      </c>
      <c r="F21" s="28">
        <f t="shared" si="1"/>
        <v>0</v>
      </c>
      <c r="G21" s="29">
        <f>SUMIFS(전체리스트!E:E,전체리스트!A:A,B21,전체리스트!C:C,D21)</f>
        <v>173520</v>
      </c>
      <c r="H21" s="27">
        <f t="shared" si="2"/>
        <v>8676</v>
      </c>
      <c r="I21" s="30">
        <f t="shared" si="3"/>
        <v>164844</v>
      </c>
      <c r="J21" s="26"/>
    </row>
    <row r="22" spans="2:10">
      <c r="B22" s="31" t="s">
        <v>0</v>
      </c>
      <c r="C22" s="31"/>
      <c r="D22" s="32"/>
      <c r="E22" s="33">
        <f t="shared" ref="E22:J22" si="10">SUM(E6:E21)</f>
        <v>27483480</v>
      </c>
      <c r="F22" s="33">
        <f t="shared" si="10"/>
        <v>0</v>
      </c>
      <c r="G22" s="33">
        <f t="shared" si="10"/>
        <v>27483480</v>
      </c>
      <c r="H22" s="33">
        <f t="shared" si="10"/>
        <v>1374174</v>
      </c>
      <c r="I22" s="33">
        <f t="shared" si="10"/>
        <v>26109306</v>
      </c>
      <c r="J22" s="33">
        <f t="shared" si="10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4:J23"/>
  <sheetViews>
    <sheetView workbookViewId="0">
      <selection activeCell="H21" sqref="H21:H22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96</v>
      </c>
      <c r="C6" s="61" t="str">
        <f t="shared" ref="C6:C15" si="0">VLOOKUP(B6,raw_a,2,0)</f>
        <v>12월분</v>
      </c>
      <c r="D6" s="26" t="s">
        <v>41</v>
      </c>
      <c r="E6" s="27">
        <f>SUMIFS(전체리스트!D:D,전체리스트!A:A,B6,전체리스트!C:C,D6)</f>
        <v>2257323</v>
      </c>
      <c r="F6" s="28">
        <f>E6-G6</f>
        <v>0</v>
      </c>
      <c r="G6" s="29">
        <f>SUMIFS(전체리스트!E:E,전체리스트!A:A,B6,전체리스트!C:C,D6)</f>
        <v>2257323</v>
      </c>
      <c r="H6" s="27">
        <f>G6*0.05</f>
        <v>112866.15000000001</v>
      </c>
      <c r="I6" s="30">
        <f>G6-H6</f>
        <v>2144456.85</v>
      </c>
      <c r="J6" s="26"/>
    </row>
    <row r="7" spans="2:10">
      <c r="B7" s="26" t="s">
        <v>96</v>
      </c>
      <c r="C7" s="61" t="str">
        <f t="shared" si="0"/>
        <v>12월분</v>
      </c>
      <c r="D7" s="26" t="s">
        <v>59</v>
      </c>
      <c r="E7" s="27">
        <f>SUMIFS(전체리스트!D:D,전체리스트!A:A,B7,전체리스트!C:C,D7)</f>
        <v>699701</v>
      </c>
      <c r="F7" s="28">
        <f t="shared" ref="F7:F15" si="1">E7-G7</f>
        <v>0</v>
      </c>
      <c r="G7" s="29">
        <f>SUMIFS(전체리스트!E:E,전체리스트!A:A,B7,전체리스트!C:C,D7)</f>
        <v>699701</v>
      </c>
      <c r="H7" s="27">
        <f t="shared" ref="H7:H22" si="2">G7*0.05</f>
        <v>34985.050000000003</v>
      </c>
      <c r="I7" s="30">
        <f t="shared" ref="I7:I15" si="3">G7-H7</f>
        <v>664715.94999999995</v>
      </c>
      <c r="J7" s="26"/>
    </row>
    <row r="8" spans="2:10">
      <c r="B8" s="26" t="s">
        <v>96</v>
      </c>
      <c r="C8" s="61" t="str">
        <f t="shared" si="0"/>
        <v>12월분</v>
      </c>
      <c r="D8" s="26" t="s">
        <v>155</v>
      </c>
      <c r="E8" s="27">
        <f>SUMIFS(전체리스트!D:D,전체리스트!A:A,B8,전체리스트!C:C,D8)</f>
        <v>407044</v>
      </c>
      <c r="F8" s="28">
        <f t="shared" si="1"/>
        <v>0</v>
      </c>
      <c r="G8" s="29">
        <f>SUMIFS(전체리스트!E:E,전체리스트!A:A,B8,전체리스트!C:C,D8)</f>
        <v>407044</v>
      </c>
      <c r="H8" s="27">
        <f t="shared" si="2"/>
        <v>20352.2</v>
      </c>
      <c r="I8" s="30">
        <f t="shared" si="3"/>
        <v>386691.8</v>
      </c>
      <c r="J8" s="26"/>
    </row>
    <row r="9" spans="2:10">
      <c r="B9" s="26" t="s">
        <v>96</v>
      </c>
      <c r="C9" s="61" t="str">
        <f t="shared" si="0"/>
        <v>12월분</v>
      </c>
      <c r="D9" s="26" t="s">
        <v>160</v>
      </c>
      <c r="E9" s="27">
        <f>SUMIFS(전체리스트!D:D,전체리스트!A:A,B9,전체리스트!C:C,D9)</f>
        <v>385468</v>
      </c>
      <c r="F9" s="28">
        <f t="shared" si="1"/>
        <v>0</v>
      </c>
      <c r="G9" s="29">
        <f>SUMIFS(전체리스트!E:E,전체리스트!A:A,B9,전체리스트!C:C,D9)</f>
        <v>385468</v>
      </c>
      <c r="H9" s="27">
        <f t="shared" si="2"/>
        <v>19273.400000000001</v>
      </c>
      <c r="I9" s="30">
        <f t="shared" si="3"/>
        <v>366194.6</v>
      </c>
      <c r="J9" s="26"/>
    </row>
    <row r="10" spans="2:10">
      <c r="B10" s="26" t="s">
        <v>96</v>
      </c>
      <c r="C10" s="61" t="str">
        <f t="shared" si="0"/>
        <v>12월분</v>
      </c>
      <c r="D10" s="26" t="s">
        <v>54</v>
      </c>
      <c r="E10" s="27">
        <f>SUMIFS(전체리스트!D:D,전체리스트!A:A,B10,전체리스트!C:C,D10)</f>
        <v>314805</v>
      </c>
      <c r="F10" s="28">
        <f t="shared" si="1"/>
        <v>0</v>
      </c>
      <c r="G10" s="29">
        <f>SUMIFS(전체리스트!E:E,전체리스트!A:A,B10,전체리스트!C:C,D10)</f>
        <v>314805</v>
      </c>
      <c r="H10" s="27">
        <f t="shared" si="2"/>
        <v>15740.25</v>
      </c>
      <c r="I10" s="30">
        <f t="shared" si="3"/>
        <v>299064.75</v>
      </c>
      <c r="J10" s="26"/>
    </row>
    <row r="11" spans="2:10">
      <c r="B11" s="26" t="s">
        <v>96</v>
      </c>
      <c r="C11" s="61" t="str">
        <f t="shared" si="0"/>
        <v>12월분</v>
      </c>
      <c r="D11" s="26" t="s">
        <v>20</v>
      </c>
      <c r="E11" s="27">
        <f>SUMIFS(전체리스트!D:D,전체리스트!A:A,B11,전체리스트!C:C,D11)</f>
        <v>172295</v>
      </c>
      <c r="F11" s="28">
        <f t="shared" si="1"/>
        <v>0</v>
      </c>
      <c r="G11" s="29">
        <f>SUMIFS(전체리스트!E:E,전체리스트!A:A,B11,전체리스트!C:C,D11)</f>
        <v>172295</v>
      </c>
      <c r="H11" s="27">
        <f t="shared" si="2"/>
        <v>8614.75</v>
      </c>
      <c r="I11" s="30">
        <f t="shared" si="3"/>
        <v>163680.25</v>
      </c>
      <c r="J11" s="26"/>
    </row>
    <row r="12" spans="2:10">
      <c r="B12" s="26" t="s">
        <v>96</v>
      </c>
      <c r="C12" s="61" t="str">
        <f t="shared" si="0"/>
        <v>12월분</v>
      </c>
      <c r="D12" s="26" t="s">
        <v>30</v>
      </c>
      <c r="E12" s="27">
        <f>SUMIFS(전체리스트!D:D,전체리스트!A:A,B12,전체리스트!C:C,D12)</f>
        <v>171247</v>
      </c>
      <c r="F12" s="28">
        <f t="shared" si="1"/>
        <v>0</v>
      </c>
      <c r="G12" s="29">
        <f>SUMIFS(전체리스트!E:E,전체리스트!A:A,B12,전체리스트!C:C,D12)</f>
        <v>171247</v>
      </c>
      <c r="H12" s="27">
        <f t="shared" si="2"/>
        <v>8562.35</v>
      </c>
      <c r="I12" s="30">
        <f t="shared" si="3"/>
        <v>162684.65</v>
      </c>
      <c r="J12" s="26"/>
    </row>
    <row r="13" spans="2:10">
      <c r="B13" s="26" t="s">
        <v>96</v>
      </c>
      <c r="C13" s="61" t="str">
        <f t="shared" si="0"/>
        <v>12월분</v>
      </c>
      <c r="D13" s="26" t="s">
        <v>46</v>
      </c>
      <c r="E13" s="27">
        <f>SUMIFS(전체리스트!D:D,전체리스트!A:A,B13,전체리스트!C:C,D13)</f>
        <v>142524</v>
      </c>
      <c r="F13" s="28">
        <f t="shared" si="1"/>
        <v>0</v>
      </c>
      <c r="G13" s="29">
        <f>SUMIFS(전체리스트!E:E,전체리스트!A:A,B13,전체리스트!C:C,D13)</f>
        <v>142524</v>
      </c>
      <c r="H13" s="27">
        <f t="shared" si="2"/>
        <v>7126.2000000000007</v>
      </c>
      <c r="I13" s="30">
        <f t="shared" si="3"/>
        <v>135397.79999999999</v>
      </c>
      <c r="J13" s="26"/>
    </row>
    <row r="14" spans="2:10">
      <c r="B14" s="26" t="s">
        <v>96</v>
      </c>
      <c r="C14" s="61" t="str">
        <f t="shared" si="0"/>
        <v>12월분</v>
      </c>
      <c r="D14" s="26" t="s">
        <v>65</v>
      </c>
      <c r="E14" s="27">
        <f>SUMIFS(전체리스트!D:D,전체리스트!A:A,B14,전체리스트!C:C,D14)</f>
        <v>129619</v>
      </c>
      <c r="F14" s="28">
        <f t="shared" si="1"/>
        <v>0</v>
      </c>
      <c r="G14" s="29">
        <f>SUMIFS(전체리스트!E:E,전체리스트!A:A,B14,전체리스트!C:C,D14)</f>
        <v>129619</v>
      </c>
      <c r="H14" s="27">
        <f t="shared" si="2"/>
        <v>6480.9500000000007</v>
      </c>
      <c r="I14" s="30">
        <f t="shared" si="3"/>
        <v>123138.05</v>
      </c>
      <c r="J14" s="26"/>
    </row>
    <row r="15" spans="2:10">
      <c r="B15" s="26" t="s">
        <v>96</v>
      </c>
      <c r="C15" s="61" t="str">
        <f t="shared" si="0"/>
        <v>12월분</v>
      </c>
      <c r="D15" s="26" t="s">
        <v>323</v>
      </c>
      <c r="E15" s="27">
        <f>SUMIFS(전체리스트!D:D,전체리스트!A:A,B15,전체리스트!C:C,D15)</f>
        <v>120036</v>
      </c>
      <c r="F15" s="28">
        <f t="shared" si="1"/>
        <v>0</v>
      </c>
      <c r="G15" s="29">
        <f>SUMIFS(전체리스트!E:E,전체리스트!A:A,B15,전체리스트!C:C,D15)</f>
        <v>120036</v>
      </c>
      <c r="H15" s="27">
        <f t="shared" si="2"/>
        <v>6001.8</v>
      </c>
      <c r="I15" s="30">
        <f t="shared" si="3"/>
        <v>114034.2</v>
      </c>
      <c r="J15" s="26"/>
    </row>
    <row r="16" spans="2:10">
      <c r="B16" s="26" t="s">
        <v>96</v>
      </c>
      <c r="C16" s="61" t="str">
        <f t="shared" ref="C16:C22" si="4">VLOOKUP(B16,raw_a,2,0)</f>
        <v>12월분</v>
      </c>
      <c r="D16" s="26" t="s">
        <v>161</v>
      </c>
      <c r="E16" s="27">
        <f>SUMIFS(전체리스트!D:D,전체리스트!A:A,B16,전체리스트!C:C,D16)</f>
        <v>100897</v>
      </c>
      <c r="F16" s="28">
        <f t="shared" ref="F16:F21" si="5">E16-G16</f>
        <v>0</v>
      </c>
      <c r="G16" s="29">
        <f>SUMIFS(전체리스트!E:E,전체리스트!A:A,B16,전체리스트!C:C,D16)</f>
        <v>100897</v>
      </c>
      <c r="H16" s="27">
        <f t="shared" si="2"/>
        <v>5044.8500000000004</v>
      </c>
      <c r="I16" s="30">
        <f t="shared" ref="I16:I21" si="6">G16-H16</f>
        <v>95852.15</v>
      </c>
      <c r="J16" s="26"/>
    </row>
    <row r="17" spans="2:10">
      <c r="B17" s="26" t="s">
        <v>96</v>
      </c>
      <c r="C17" s="61" t="str">
        <f t="shared" ref="C17:C20" si="7">VLOOKUP(B17,raw_a,2,0)</f>
        <v>12월분</v>
      </c>
      <c r="D17" s="26" t="s">
        <v>68</v>
      </c>
      <c r="E17" s="27">
        <f>SUMIFS(전체리스트!D:D,전체리스트!A:A,B17,전체리스트!C:C,D17)</f>
        <v>74651</v>
      </c>
      <c r="F17" s="28">
        <f t="shared" ref="F17:F20" si="8">E17-G17</f>
        <v>0</v>
      </c>
      <c r="G17" s="29">
        <f>SUMIFS(전체리스트!E:E,전체리스트!A:A,B17,전체리스트!C:C,D17)</f>
        <v>74651</v>
      </c>
      <c r="H17" s="27">
        <f t="shared" ref="H17:H20" si="9">G17*0.05</f>
        <v>3732.55</v>
      </c>
      <c r="I17" s="30">
        <f t="shared" ref="I17:I20" si="10">G17-H17</f>
        <v>70918.45</v>
      </c>
      <c r="J17" s="26"/>
    </row>
    <row r="18" spans="2:10">
      <c r="B18" s="26" t="s">
        <v>96</v>
      </c>
      <c r="C18" s="61" t="str">
        <f t="shared" si="7"/>
        <v>12월분</v>
      </c>
      <c r="D18" s="26" t="s">
        <v>45</v>
      </c>
      <c r="E18" s="27">
        <f>SUMIFS(전체리스트!D:D,전체리스트!A:A,B18,전체리스트!C:C,D18)</f>
        <v>30029</v>
      </c>
      <c r="F18" s="28">
        <f t="shared" si="8"/>
        <v>0</v>
      </c>
      <c r="G18" s="29">
        <f>SUMIFS(전체리스트!E:E,전체리스트!A:A,B18,전체리스트!C:C,D18)</f>
        <v>30029</v>
      </c>
      <c r="H18" s="27">
        <f t="shared" si="9"/>
        <v>1501.45</v>
      </c>
      <c r="I18" s="30">
        <f t="shared" si="10"/>
        <v>28527.55</v>
      </c>
      <c r="J18" s="26"/>
    </row>
    <row r="19" spans="2:10">
      <c r="B19" s="26" t="s">
        <v>96</v>
      </c>
      <c r="C19" s="61" t="str">
        <f t="shared" si="7"/>
        <v>12월분</v>
      </c>
      <c r="D19" s="26" t="s">
        <v>21</v>
      </c>
      <c r="E19" s="27">
        <f>SUMIFS(전체리스트!D:D,전체리스트!A:A,B19,전체리스트!C:C,D19)</f>
        <v>14647</v>
      </c>
      <c r="F19" s="28">
        <f t="shared" si="8"/>
        <v>0</v>
      </c>
      <c r="G19" s="29">
        <f>SUMIFS(전체리스트!E:E,전체리스트!A:A,B19,전체리스트!C:C,D19)</f>
        <v>14647</v>
      </c>
      <c r="H19" s="27">
        <f t="shared" si="9"/>
        <v>732.35</v>
      </c>
      <c r="I19" s="30">
        <f t="shared" si="10"/>
        <v>13914.65</v>
      </c>
      <c r="J19" s="26"/>
    </row>
    <row r="20" spans="2:10">
      <c r="B20" s="26" t="s">
        <v>96</v>
      </c>
      <c r="C20" s="61" t="str">
        <f t="shared" si="7"/>
        <v>12월분</v>
      </c>
      <c r="D20" s="26" t="s">
        <v>38</v>
      </c>
      <c r="E20" s="27">
        <f>SUMIFS(전체리스트!D:D,전체리스트!A:A,B20,전체리스트!C:C,D20)</f>
        <v>8685</v>
      </c>
      <c r="F20" s="28">
        <f t="shared" si="8"/>
        <v>0</v>
      </c>
      <c r="G20" s="29">
        <f>SUMIFS(전체리스트!E:E,전체리스트!A:A,B20,전체리스트!C:C,D20)</f>
        <v>8685</v>
      </c>
      <c r="H20" s="27">
        <f t="shared" si="9"/>
        <v>434.25</v>
      </c>
      <c r="I20" s="30">
        <f t="shared" si="10"/>
        <v>8250.75</v>
      </c>
      <c r="J20" s="26"/>
    </row>
    <row r="21" spans="2:10">
      <c r="B21" s="118" t="s">
        <v>277</v>
      </c>
      <c r="C21" s="61" t="str">
        <f t="shared" ref="C21" si="11">VLOOKUP(B21,raw_a,2,0)</f>
        <v>12월분</v>
      </c>
      <c r="D21" s="26" t="s">
        <v>155</v>
      </c>
      <c r="E21" s="27">
        <f>SUMIFS(전체리스트!D:D,전체리스트!A:A,B21,전체리스트!C:C,D21)</f>
        <v>276744</v>
      </c>
      <c r="F21" s="28">
        <f t="shared" si="5"/>
        <v>0</v>
      </c>
      <c r="G21" s="29">
        <f>SUMIFS(전체리스트!E:E,전체리스트!A:A,B21,전체리스트!C:C,D21)</f>
        <v>276744</v>
      </c>
      <c r="H21" s="27">
        <f t="shared" si="2"/>
        <v>13837.2</v>
      </c>
      <c r="I21" s="30">
        <f t="shared" si="6"/>
        <v>262906.8</v>
      </c>
      <c r="J21" s="26"/>
    </row>
    <row r="22" spans="2:10">
      <c r="B22" s="118" t="s">
        <v>277</v>
      </c>
      <c r="C22" s="61" t="str">
        <f t="shared" si="4"/>
        <v>12월분</v>
      </c>
      <c r="D22" s="26" t="s">
        <v>30</v>
      </c>
      <c r="E22" s="27">
        <f>SUMIFS(전체리스트!D:D,전체리스트!A:A,B22,전체리스트!C:C,D22)</f>
        <v>29253</v>
      </c>
      <c r="F22" s="28">
        <f t="shared" ref="F22" si="12">E22-G22</f>
        <v>0</v>
      </c>
      <c r="G22" s="29">
        <f>SUMIFS(전체리스트!E:E,전체리스트!A:A,B22,전체리스트!C:C,D22)</f>
        <v>29253</v>
      </c>
      <c r="H22" s="27">
        <f t="shared" si="2"/>
        <v>1462.65</v>
      </c>
      <c r="I22" s="30">
        <f t="shared" ref="I22" si="13">G22-H22</f>
        <v>27790.35</v>
      </c>
      <c r="J22" s="26"/>
    </row>
    <row r="23" spans="2:10">
      <c r="B23" s="31" t="s">
        <v>0</v>
      </c>
      <c r="C23" s="31"/>
      <c r="D23" s="32"/>
      <c r="E23" s="33">
        <f>SUM(E6:E22)</f>
        <v>5334968</v>
      </c>
      <c r="F23" s="33">
        <f t="shared" ref="F23:J23" si="14">SUM(F6:F22)</f>
        <v>0</v>
      </c>
      <c r="G23" s="33">
        <f>SUM(G6:G22)</f>
        <v>5334968</v>
      </c>
      <c r="H23" s="33">
        <f t="shared" si="14"/>
        <v>266748.40000000008</v>
      </c>
      <c r="I23" s="33">
        <f t="shared" si="14"/>
        <v>5068219.5999999996</v>
      </c>
      <c r="J23" s="33">
        <f t="shared" si="1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4:J19"/>
  <sheetViews>
    <sheetView workbookViewId="0">
      <selection activeCell="J31" sqref="J31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100</v>
      </c>
      <c r="C6" s="61" t="str">
        <f t="shared" ref="C6:C17" si="0">VLOOKUP(B6,raw_a,2,0)</f>
        <v>12월분</v>
      </c>
      <c r="D6" s="26" t="s">
        <v>17</v>
      </c>
      <c r="E6" s="27">
        <f>SUMIFS(전체리스트!D:D,전체리스트!A:A,B6,전체리스트!C:C,D6)</f>
        <v>205450</v>
      </c>
      <c r="F6" s="28">
        <f>E6-G6</f>
        <v>0</v>
      </c>
      <c r="G6" s="29">
        <f>SUMIFS(전체리스트!E:E,전체리스트!A:A,B6,전체리스트!C:C,D6)</f>
        <v>205450</v>
      </c>
      <c r="H6" s="27">
        <f>G6*0.05</f>
        <v>10272.5</v>
      </c>
      <c r="I6" s="30">
        <f>G6-H6</f>
        <v>195177.5</v>
      </c>
      <c r="J6" s="26"/>
    </row>
    <row r="7" spans="2:10">
      <c r="B7" s="26" t="s">
        <v>100</v>
      </c>
      <c r="C7" s="61" t="str">
        <f t="shared" si="0"/>
        <v>12월분</v>
      </c>
      <c r="D7" s="26" t="s">
        <v>39</v>
      </c>
      <c r="E7" s="27">
        <f>SUMIFS(전체리스트!D:D,전체리스트!A:A,B7,전체리스트!C:C,D7)</f>
        <v>1477224</v>
      </c>
      <c r="F7" s="28">
        <f t="shared" ref="F7:F17" si="1">E7-G7</f>
        <v>0</v>
      </c>
      <c r="G7" s="29">
        <f>SUMIFS(전체리스트!E:E,전체리스트!A:A,B7,전체리스트!C:C,D7)</f>
        <v>1477224</v>
      </c>
      <c r="H7" s="27">
        <f t="shared" ref="H7:H18" si="2">G7*0.05</f>
        <v>73861.2</v>
      </c>
      <c r="I7" s="30">
        <f t="shared" ref="I7:I17" si="3">G7-H7</f>
        <v>1403362.8</v>
      </c>
      <c r="J7" s="26"/>
    </row>
    <row r="8" spans="2:10">
      <c r="B8" s="26" t="s">
        <v>100</v>
      </c>
      <c r="C8" s="61" t="str">
        <f t="shared" si="0"/>
        <v>12월분</v>
      </c>
      <c r="D8" s="26" t="s">
        <v>37</v>
      </c>
      <c r="E8" s="27">
        <f>SUMIFS(전체리스트!D:D,전체리스트!A:A,B8,전체리스트!C:C,D8)</f>
        <v>18157</v>
      </c>
      <c r="F8" s="28">
        <f t="shared" si="1"/>
        <v>0</v>
      </c>
      <c r="G8" s="29">
        <f>SUMIFS(전체리스트!E:E,전체리스트!A:A,B8,전체리스트!C:C,D8)</f>
        <v>18157</v>
      </c>
      <c r="H8" s="27">
        <f t="shared" si="2"/>
        <v>907.85</v>
      </c>
      <c r="I8" s="30">
        <f t="shared" si="3"/>
        <v>17249.150000000001</v>
      </c>
      <c r="J8" s="26"/>
    </row>
    <row r="9" spans="2:10">
      <c r="B9" s="26" t="s">
        <v>100</v>
      </c>
      <c r="C9" s="61" t="str">
        <f t="shared" si="0"/>
        <v>12월분</v>
      </c>
      <c r="D9" s="26" t="s">
        <v>264</v>
      </c>
      <c r="E9" s="27">
        <f>SUMIFS(전체리스트!D:D,전체리스트!A:A,B9,전체리스트!C:C,D9)</f>
        <v>2008</v>
      </c>
      <c r="F9" s="28">
        <f t="shared" si="1"/>
        <v>0</v>
      </c>
      <c r="G9" s="29">
        <f>SUMIFS(전체리스트!E:E,전체리스트!A:A,B9,전체리스트!C:C,D9)</f>
        <v>2008</v>
      </c>
      <c r="H9" s="27">
        <f t="shared" si="2"/>
        <v>100.4</v>
      </c>
      <c r="I9" s="30">
        <f t="shared" si="3"/>
        <v>1907.6</v>
      </c>
      <c r="J9" s="26"/>
    </row>
    <row r="10" spans="2:10">
      <c r="B10" s="26" t="s">
        <v>100</v>
      </c>
      <c r="C10" s="61" t="str">
        <f t="shared" si="0"/>
        <v>12월분</v>
      </c>
      <c r="D10" s="26" t="s">
        <v>40</v>
      </c>
      <c r="E10" s="27">
        <f>SUMIFS(전체리스트!D:D,전체리스트!A:A,B10,전체리스트!C:C,D10)</f>
        <v>559847</v>
      </c>
      <c r="F10" s="28">
        <f t="shared" si="1"/>
        <v>0</v>
      </c>
      <c r="G10" s="29">
        <f>SUMIFS(전체리스트!E:E,전체리스트!A:A,B10,전체리스트!C:C,D10)</f>
        <v>559847</v>
      </c>
      <c r="H10" s="27">
        <f t="shared" si="2"/>
        <v>27992.350000000002</v>
      </c>
      <c r="I10" s="30">
        <f t="shared" si="3"/>
        <v>531854.65</v>
      </c>
      <c r="J10" s="26"/>
    </row>
    <row r="11" spans="2:10">
      <c r="B11" s="26" t="s">
        <v>100</v>
      </c>
      <c r="C11" s="61" t="str">
        <f t="shared" si="0"/>
        <v>12월분</v>
      </c>
      <c r="D11" s="26" t="s">
        <v>71</v>
      </c>
      <c r="E11" s="27">
        <f>SUMIFS(전체리스트!D:D,전체리스트!A:A,B11,전체리스트!C:C,D11)</f>
        <v>214856</v>
      </c>
      <c r="F11" s="28">
        <f t="shared" si="1"/>
        <v>0</v>
      </c>
      <c r="G11" s="29">
        <f>SUMIFS(전체리스트!E:E,전체리스트!A:A,B11,전체리스트!C:C,D11)</f>
        <v>214856</v>
      </c>
      <c r="H11" s="27">
        <f t="shared" si="2"/>
        <v>10742.800000000001</v>
      </c>
      <c r="I11" s="30">
        <f t="shared" si="3"/>
        <v>204113.2</v>
      </c>
      <c r="J11" s="26"/>
    </row>
    <row r="12" spans="2:10">
      <c r="B12" s="26" t="s">
        <v>100</v>
      </c>
      <c r="C12" s="61" t="str">
        <f t="shared" si="0"/>
        <v>12월분</v>
      </c>
      <c r="D12" s="26" t="s">
        <v>150</v>
      </c>
      <c r="E12" s="27">
        <f>SUMIFS(전체리스트!D:D,전체리스트!A:A,B12,전체리스트!C:C,D12)</f>
        <v>90749</v>
      </c>
      <c r="F12" s="28">
        <f t="shared" si="1"/>
        <v>0</v>
      </c>
      <c r="G12" s="29">
        <f>SUMIFS(전체리스트!E:E,전체리스트!A:A,B12,전체리스트!C:C,D12)</f>
        <v>90749</v>
      </c>
      <c r="H12" s="27">
        <f t="shared" si="2"/>
        <v>4537.45</v>
      </c>
      <c r="I12" s="30">
        <f t="shared" si="3"/>
        <v>86211.55</v>
      </c>
      <c r="J12" s="26"/>
    </row>
    <row r="13" spans="2:10">
      <c r="B13" s="26" t="s">
        <v>100</v>
      </c>
      <c r="C13" s="61" t="str">
        <f t="shared" si="0"/>
        <v>12월분</v>
      </c>
      <c r="D13" s="26" t="s">
        <v>21</v>
      </c>
      <c r="E13" s="27">
        <f>SUMIFS(전체리스트!D:D,전체리스트!A:A,B13,전체리스트!C:C,D13)</f>
        <v>19613</v>
      </c>
      <c r="F13" s="28">
        <f t="shared" si="1"/>
        <v>0</v>
      </c>
      <c r="G13" s="29">
        <f>SUMIFS(전체리스트!E:E,전체리스트!A:A,B13,전체리스트!C:C,D13)</f>
        <v>19613</v>
      </c>
      <c r="H13" s="27">
        <f t="shared" si="2"/>
        <v>980.65000000000009</v>
      </c>
      <c r="I13" s="30">
        <f t="shared" si="3"/>
        <v>18632.349999999999</v>
      </c>
      <c r="J13" s="26"/>
    </row>
    <row r="14" spans="2:10">
      <c r="B14" s="26" t="s">
        <v>100</v>
      </c>
      <c r="C14" s="61" t="str">
        <f t="shared" si="0"/>
        <v>12월분</v>
      </c>
      <c r="D14" s="26" t="s">
        <v>66</v>
      </c>
      <c r="E14" s="27">
        <f>SUMIFS(전체리스트!D:D,전체리스트!A:A,B14,전체리스트!C:C,D14)</f>
        <v>275695</v>
      </c>
      <c r="F14" s="28">
        <f t="shared" si="1"/>
        <v>0</v>
      </c>
      <c r="G14" s="29">
        <f>SUMIFS(전체리스트!E:E,전체리스트!A:A,B14,전체리스트!C:C,D14)</f>
        <v>275695</v>
      </c>
      <c r="H14" s="27">
        <f t="shared" si="2"/>
        <v>13784.75</v>
      </c>
      <c r="I14" s="30">
        <f t="shared" si="3"/>
        <v>261910.25</v>
      </c>
      <c r="J14" s="26"/>
    </row>
    <row r="15" spans="2:10">
      <c r="B15" s="26" t="s">
        <v>100</v>
      </c>
      <c r="C15" s="61" t="str">
        <f t="shared" si="0"/>
        <v>12월분</v>
      </c>
      <c r="D15" s="26" t="s">
        <v>53</v>
      </c>
      <c r="E15" s="27">
        <f>SUMIFS(전체리스트!D:D,전체리스트!A:A,B15,전체리스트!C:C,D15)</f>
        <v>3782483</v>
      </c>
      <c r="F15" s="28">
        <f t="shared" si="1"/>
        <v>0</v>
      </c>
      <c r="G15" s="29">
        <f>SUMIFS(전체리스트!E:E,전체리스트!A:A,B15,전체리스트!C:C,D15)</f>
        <v>3782483</v>
      </c>
      <c r="H15" s="27">
        <f t="shared" si="2"/>
        <v>189124.15000000002</v>
      </c>
      <c r="I15" s="30">
        <f t="shared" si="3"/>
        <v>3593358.85</v>
      </c>
      <c r="J15" s="26"/>
    </row>
    <row r="16" spans="2:10">
      <c r="B16" s="26" t="s">
        <v>100</v>
      </c>
      <c r="C16" s="61" t="str">
        <f t="shared" ref="C16" si="4">VLOOKUP(B16,raw_a,2,0)</f>
        <v>12월분</v>
      </c>
      <c r="D16" s="26" t="s">
        <v>59</v>
      </c>
      <c r="E16" s="27">
        <f>SUMIFS(전체리스트!D:D,전체리스트!A:A,B16,전체리스트!C:C,D16)</f>
        <v>451989</v>
      </c>
      <c r="F16" s="28">
        <f t="shared" ref="F16" si="5">E16-G16</f>
        <v>0</v>
      </c>
      <c r="G16" s="29">
        <f>SUMIFS(전체리스트!E:E,전체리스트!A:A,B16,전체리스트!C:C,D16)</f>
        <v>451989</v>
      </c>
      <c r="H16" s="27">
        <f t="shared" si="2"/>
        <v>22599.45</v>
      </c>
      <c r="I16" s="30">
        <f t="shared" ref="I16" si="6">G16-H16</f>
        <v>429389.55</v>
      </c>
      <c r="J16" s="26"/>
    </row>
    <row r="17" spans="2:10">
      <c r="B17" s="26" t="s">
        <v>100</v>
      </c>
      <c r="C17" s="61" t="str">
        <f t="shared" si="0"/>
        <v>12월분</v>
      </c>
      <c r="D17" s="26" t="s">
        <v>67</v>
      </c>
      <c r="E17" s="27">
        <f>SUMIFS(전체리스트!D:D,전체리스트!A:A,B17,전체리스트!C:C,D17)</f>
        <v>1243141</v>
      </c>
      <c r="F17" s="28">
        <f t="shared" si="1"/>
        <v>0</v>
      </c>
      <c r="G17" s="29">
        <f>SUMIFS(전체리스트!E:E,전체리스트!A:A,B17,전체리스트!C:C,D17)</f>
        <v>1243141</v>
      </c>
      <c r="H17" s="27">
        <f t="shared" si="2"/>
        <v>62157.05</v>
      </c>
      <c r="I17" s="30">
        <f t="shared" si="3"/>
        <v>1180983.95</v>
      </c>
      <c r="J17" s="26"/>
    </row>
    <row r="18" spans="2:10">
      <c r="B18" s="26" t="s">
        <v>100</v>
      </c>
      <c r="C18" s="61" t="str">
        <f t="shared" ref="C18" si="7">VLOOKUP(B18,raw_a,2,0)</f>
        <v>12월분</v>
      </c>
      <c r="D18" s="26" t="s">
        <v>172</v>
      </c>
      <c r="E18" s="27">
        <f>SUMIFS(전체리스트!D:D,전체리스트!A:A,B18,전체리스트!C:C,D18)</f>
        <v>10591</v>
      </c>
      <c r="F18" s="28">
        <f t="shared" ref="F18" si="8">E18-G18</f>
        <v>0</v>
      </c>
      <c r="G18" s="29">
        <f>SUMIFS(전체리스트!E:E,전체리스트!A:A,B18,전체리스트!C:C,D18)</f>
        <v>10591</v>
      </c>
      <c r="H18" s="27">
        <f t="shared" si="2"/>
        <v>529.55000000000007</v>
      </c>
      <c r="I18" s="30">
        <f t="shared" ref="I18" si="9">G18-H18</f>
        <v>10061.450000000001</v>
      </c>
      <c r="J18" s="26"/>
    </row>
    <row r="19" spans="2:10">
      <c r="B19" s="31" t="s">
        <v>0</v>
      </c>
      <c r="C19" s="31"/>
      <c r="D19" s="32"/>
      <c r="E19" s="33">
        <f>SUM(E6:E18)</f>
        <v>8351803</v>
      </c>
      <c r="F19" s="33">
        <f t="shared" ref="F19:J19" si="10">SUM(F6:F18)</f>
        <v>0</v>
      </c>
      <c r="G19" s="33">
        <f t="shared" si="10"/>
        <v>8351803</v>
      </c>
      <c r="H19" s="33">
        <f t="shared" si="10"/>
        <v>417590.15</v>
      </c>
      <c r="I19" s="33">
        <f t="shared" si="10"/>
        <v>7934212.8500000006</v>
      </c>
      <c r="J19" s="33">
        <f t="shared" si="10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DB2C-DE15-43D2-A015-A640C3083349}">
  <dimension ref="B4:J15"/>
  <sheetViews>
    <sheetView workbookViewId="0">
      <selection activeCell="I29" sqref="I29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206</v>
      </c>
      <c r="C6" s="61" t="str">
        <f t="shared" ref="C6:C14" si="0">VLOOKUP(B6,raw_a,2,0)</f>
        <v>9월분</v>
      </c>
      <c r="D6" s="26" t="s">
        <v>172</v>
      </c>
      <c r="E6" s="27">
        <f>SUMIFS(전체리스트!D:D,전체리스트!A:A,B6,전체리스트!C:C,D6)</f>
        <v>1531</v>
      </c>
      <c r="F6" s="28">
        <f>E6-G6</f>
        <v>0</v>
      </c>
      <c r="G6" s="29">
        <f>SUMIFS(전체리스트!E:E,전체리스트!A:A,B6,전체리스트!C:C,D6)</f>
        <v>1531</v>
      </c>
      <c r="H6" s="27">
        <f>G6*0.05</f>
        <v>76.55</v>
      </c>
      <c r="I6" s="30">
        <f>G6-H6</f>
        <v>1454.45</v>
      </c>
      <c r="J6" s="26"/>
    </row>
    <row r="7" spans="2:10">
      <c r="B7" s="26" t="s">
        <v>206</v>
      </c>
      <c r="C7" s="61" t="str">
        <f t="shared" si="0"/>
        <v>9월분</v>
      </c>
      <c r="D7" s="26" t="s">
        <v>71</v>
      </c>
      <c r="E7" s="27">
        <f>SUMIFS(전체리스트!D:D,전체리스트!A:A,B7,전체리스트!C:C,D7)</f>
        <v>25668</v>
      </c>
      <c r="F7" s="28">
        <f t="shared" ref="F7:F14" si="1">E7-G7</f>
        <v>0</v>
      </c>
      <c r="G7" s="29">
        <f>SUMIFS(전체리스트!E:E,전체리스트!A:A,B7,전체리스트!C:C,D7)</f>
        <v>25668</v>
      </c>
      <c r="H7" s="27">
        <f t="shared" ref="H7:H14" si="2">G7*0.05</f>
        <v>1283.4000000000001</v>
      </c>
      <c r="I7" s="30">
        <f t="shared" ref="I7:I14" si="3">G7-H7</f>
        <v>24384.6</v>
      </c>
      <c r="J7" s="26"/>
    </row>
    <row r="8" spans="2:10">
      <c r="B8" s="26" t="s">
        <v>206</v>
      </c>
      <c r="C8" s="61" t="str">
        <f t="shared" si="0"/>
        <v>9월분</v>
      </c>
      <c r="D8" s="26" t="s">
        <v>37</v>
      </c>
      <c r="E8" s="27">
        <f>SUMIFS(전체리스트!D:D,전체리스트!A:A,B8,전체리스트!C:C,D8)</f>
        <v>6159</v>
      </c>
      <c r="F8" s="28">
        <f t="shared" si="1"/>
        <v>0</v>
      </c>
      <c r="G8" s="29">
        <f>SUMIFS(전체리스트!E:E,전체리스트!A:A,B8,전체리스트!C:C,D8)</f>
        <v>6159</v>
      </c>
      <c r="H8" s="27">
        <f t="shared" si="2"/>
        <v>307.95000000000005</v>
      </c>
      <c r="I8" s="30">
        <f t="shared" si="3"/>
        <v>5851.05</v>
      </c>
      <c r="J8" s="26"/>
    </row>
    <row r="9" spans="2:10">
      <c r="B9" s="26" t="s">
        <v>206</v>
      </c>
      <c r="C9" s="61" t="str">
        <f t="shared" si="0"/>
        <v>9월분</v>
      </c>
      <c r="D9" s="26" t="s">
        <v>39</v>
      </c>
      <c r="E9" s="27">
        <f>SUMIFS(전체리스트!D:D,전체리스트!A:A,B9,전체리스트!C:C,D9)</f>
        <v>75796</v>
      </c>
      <c r="F9" s="28">
        <f t="shared" si="1"/>
        <v>0</v>
      </c>
      <c r="G9" s="29">
        <f>SUMIFS(전체리스트!E:E,전체리스트!A:A,B9,전체리스트!C:C,D9)</f>
        <v>75796</v>
      </c>
      <c r="H9" s="27">
        <f t="shared" si="2"/>
        <v>3789.8</v>
      </c>
      <c r="I9" s="30">
        <f t="shared" si="3"/>
        <v>72006.2</v>
      </c>
      <c r="J9" s="26"/>
    </row>
    <row r="10" spans="2:10">
      <c r="B10" s="26" t="s">
        <v>206</v>
      </c>
      <c r="C10" s="61" t="str">
        <f t="shared" si="0"/>
        <v>9월분</v>
      </c>
      <c r="D10" s="26" t="s">
        <v>207</v>
      </c>
      <c r="E10" s="27">
        <f>SUMIFS(전체리스트!D:D,전체리스트!A:A,B10,전체리스트!C:C,D10)</f>
        <v>26601</v>
      </c>
      <c r="F10" s="28">
        <f t="shared" si="1"/>
        <v>0</v>
      </c>
      <c r="G10" s="29">
        <f>SUMIFS(전체리스트!E:E,전체리스트!A:A,B10,전체리스트!C:C,D10)</f>
        <v>26601</v>
      </c>
      <c r="H10" s="27">
        <f t="shared" si="2"/>
        <v>1330.0500000000002</v>
      </c>
      <c r="I10" s="30">
        <f t="shared" si="3"/>
        <v>25270.95</v>
      </c>
      <c r="J10" s="26"/>
    </row>
    <row r="11" spans="2:10">
      <c r="B11" s="26" t="s">
        <v>206</v>
      </c>
      <c r="C11" s="61" t="str">
        <f t="shared" si="0"/>
        <v>9월분</v>
      </c>
      <c r="D11" s="26" t="s">
        <v>208</v>
      </c>
      <c r="E11" s="27">
        <f>SUMIFS(전체리스트!D:D,전체리스트!A:A,B11,전체리스트!C:C,D11)</f>
        <v>63326</v>
      </c>
      <c r="F11" s="28">
        <f t="shared" si="1"/>
        <v>0</v>
      </c>
      <c r="G11" s="29">
        <f>SUMIFS(전체리스트!E:E,전체리스트!A:A,B11,전체리스트!C:C,D11)</f>
        <v>63326</v>
      </c>
      <c r="H11" s="27">
        <f t="shared" si="2"/>
        <v>3166.3</v>
      </c>
      <c r="I11" s="30">
        <f t="shared" si="3"/>
        <v>60159.7</v>
      </c>
      <c r="J11" s="26"/>
    </row>
    <row r="12" spans="2:10">
      <c r="B12" s="26" t="s">
        <v>206</v>
      </c>
      <c r="C12" s="61" t="str">
        <f t="shared" si="0"/>
        <v>9월분</v>
      </c>
      <c r="D12" s="26" t="s">
        <v>40</v>
      </c>
      <c r="E12" s="27">
        <f>SUMIFS(전체리스트!D:D,전체리스트!A:A,B12,전체리스트!C:C,D12)</f>
        <v>62868</v>
      </c>
      <c r="F12" s="28">
        <f t="shared" si="1"/>
        <v>0</v>
      </c>
      <c r="G12" s="29">
        <f>SUMIFS(전체리스트!E:E,전체리스트!A:A,B12,전체리스트!C:C,D12)</f>
        <v>62868</v>
      </c>
      <c r="H12" s="27">
        <f t="shared" si="2"/>
        <v>3143.4</v>
      </c>
      <c r="I12" s="30">
        <f t="shared" si="3"/>
        <v>59724.6</v>
      </c>
      <c r="J12" s="26"/>
    </row>
    <row r="13" spans="2:10">
      <c r="B13" s="26" t="s">
        <v>206</v>
      </c>
      <c r="C13" s="61" t="str">
        <f t="shared" si="0"/>
        <v>9월분</v>
      </c>
      <c r="D13" s="26" t="s">
        <v>21</v>
      </c>
      <c r="E13" s="27">
        <f>SUMIFS(전체리스트!D:D,전체리스트!A:A,B13,전체리스트!C:C,D13)</f>
        <v>5963</v>
      </c>
      <c r="F13" s="28">
        <f t="shared" si="1"/>
        <v>0</v>
      </c>
      <c r="G13" s="29">
        <f>SUMIFS(전체리스트!E:E,전체리스트!A:A,B13,전체리스트!C:C,D13)</f>
        <v>5963</v>
      </c>
      <c r="H13" s="27">
        <f t="shared" si="2"/>
        <v>298.15000000000003</v>
      </c>
      <c r="I13" s="30">
        <f t="shared" si="3"/>
        <v>5664.85</v>
      </c>
      <c r="J13" s="26"/>
    </row>
    <row r="14" spans="2:10">
      <c r="B14" s="26" t="s">
        <v>206</v>
      </c>
      <c r="C14" s="61" t="str">
        <f t="shared" si="0"/>
        <v>9월분</v>
      </c>
      <c r="D14" s="26" t="s">
        <v>17</v>
      </c>
      <c r="E14" s="27">
        <f>SUMIFS(전체리스트!D:D,전체리스트!A:A,B14,전체리스트!C:C,D14)</f>
        <v>17426</v>
      </c>
      <c r="F14" s="28">
        <f t="shared" si="1"/>
        <v>0</v>
      </c>
      <c r="G14" s="29">
        <f>SUMIFS(전체리스트!E:E,전체리스트!A:A,B14,전체리스트!C:C,D14)</f>
        <v>17426</v>
      </c>
      <c r="H14" s="27">
        <f t="shared" si="2"/>
        <v>871.30000000000007</v>
      </c>
      <c r="I14" s="30">
        <f t="shared" si="3"/>
        <v>16554.7</v>
      </c>
      <c r="J14" s="26"/>
    </row>
    <row r="15" spans="2:10">
      <c r="B15" s="31" t="s">
        <v>0</v>
      </c>
      <c r="C15" s="31"/>
      <c r="D15" s="32"/>
      <c r="E15" s="33">
        <f>SUM(E6:E14)</f>
        <v>285338</v>
      </c>
      <c r="F15" s="33">
        <f t="shared" ref="F15:J15" si="4">SUM(F6:F14)</f>
        <v>0</v>
      </c>
      <c r="G15" s="33">
        <f t="shared" si="4"/>
        <v>285338</v>
      </c>
      <c r="H15" s="33">
        <f t="shared" si="4"/>
        <v>14266.9</v>
      </c>
      <c r="I15" s="33">
        <f t="shared" si="4"/>
        <v>271071.09999999998</v>
      </c>
      <c r="J15" s="33">
        <f t="shared" si="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4:J9"/>
  <sheetViews>
    <sheetView workbookViewId="0">
      <selection activeCell="F25" sqref="F25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125</v>
      </c>
      <c r="C6" s="61" t="str">
        <f t="shared" ref="C6:C8" si="0">VLOOKUP(B6,raw_a,2,0)</f>
        <v>12월분</v>
      </c>
      <c r="D6" s="26" t="s">
        <v>126</v>
      </c>
      <c r="E6" s="27">
        <f>SUMIFS(전체리스트!D:D,전체리스트!A:A,B6,전체리스트!C:C,D6)</f>
        <v>64564</v>
      </c>
      <c r="F6" s="28">
        <f>E6-G6</f>
        <v>0</v>
      </c>
      <c r="G6" s="29">
        <f>SUMIFS(전체리스트!E:E,전체리스트!A:A,B6,전체리스트!C:C,D6)</f>
        <v>64564</v>
      </c>
      <c r="H6" s="27">
        <f>G6*0.05</f>
        <v>3228.2000000000003</v>
      </c>
      <c r="I6" s="30">
        <f>G6-H6</f>
        <v>61335.8</v>
      </c>
      <c r="J6" s="26"/>
    </row>
    <row r="7" spans="2:10">
      <c r="B7" s="26" t="s">
        <v>125</v>
      </c>
      <c r="C7" s="61" t="str">
        <f t="shared" si="0"/>
        <v>12월분</v>
      </c>
      <c r="D7" s="26" t="s">
        <v>59</v>
      </c>
      <c r="E7" s="27">
        <f>SUMIFS(전체리스트!D:D,전체리스트!A:A,B7,전체리스트!C:C,D7)</f>
        <v>13499.45</v>
      </c>
      <c r="F7" s="28">
        <f t="shared" ref="F7:F8" si="1">E7-G7</f>
        <v>0</v>
      </c>
      <c r="G7" s="29">
        <f>SUMIFS(전체리스트!E:E,전체리스트!A:A,B7,전체리스트!C:C,D7)</f>
        <v>13499.45</v>
      </c>
      <c r="H7" s="27">
        <f t="shared" ref="H7:H8" si="2">G7*0.05</f>
        <v>674.97250000000008</v>
      </c>
      <c r="I7" s="30">
        <f t="shared" ref="I7:I8" si="3">G7-H7</f>
        <v>12824.477500000001</v>
      </c>
      <c r="J7" s="26"/>
    </row>
    <row r="8" spans="2:10">
      <c r="B8" s="26" t="s">
        <v>125</v>
      </c>
      <c r="C8" s="61" t="str">
        <f t="shared" si="0"/>
        <v>12월분</v>
      </c>
      <c r="D8" s="26" t="s">
        <v>127</v>
      </c>
      <c r="E8" s="27">
        <f>SUMIFS(전체리스트!D:D,전체리스트!A:A,B8,전체리스트!C:C,D8)</f>
        <v>27577.45</v>
      </c>
      <c r="F8" s="28">
        <f t="shared" si="1"/>
        <v>0</v>
      </c>
      <c r="G8" s="29">
        <f>SUMIFS(전체리스트!E:E,전체리스트!A:A,B8,전체리스트!C:C,D8)</f>
        <v>27577.45</v>
      </c>
      <c r="H8" s="27">
        <f t="shared" si="2"/>
        <v>1378.8725000000002</v>
      </c>
      <c r="I8" s="30">
        <f t="shared" si="3"/>
        <v>26198.577499999999</v>
      </c>
      <c r="J8" s="26"/>
    </row>
    <row r="9" spans="2:10">
      <c r="B9" s="31" t="s">
        <v>0</v>
      </c>
      <c r="C9" s="31"/>
      <c r="D9" s="32"/>
      <c r="E9" s="33">
        <f>SUM(E6:E8)</f>
        <v>105640.9</v>
      </c>
      <c r="F9" s="33">
        <f t="shared" ref="F9:J9" si="4">SUM(F6:F8)</f>
        <v>0</v>
      </c>
      <c r="G9" s="33">
        <f>SUM(G6:G8)</f>
        <v>105640.9</v>
      </c>
      <c r="H9" s="33">
        <f t="shared" si="4"/>
        <v>5282.045000000001</v>
      </c>
      <c r="I9" s="33">
        <f t="shared" si="4"/>
        <v>100358.855</v>
      </c>
      <c r="J9" s="33">
        <f t="shared" si="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3:J15"/>
  <sheetViews>
    <sheetView workbookViewId="0">
      <selection activeCell="H31" sqref="H31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3" spans="2:10">
      <c r="G3" s="65" t="s">
        <v>138</v>
      </c>
    </row>
    <row r="4" spans="2:10">
      <c r="B4" s="34" t="s">
        <v>42</v>
      </c>
      <c r="C4" s="34"/>
      <c r="F4" s="36" t="s">
        <v>137</v>
      </c>
      <c r="G4" s="43">
        <f>VLOOKUP(B6,raw_a,6,0)</f>
        <v>35.76</v>
      </c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128</v>
      </c>
      <c r="C6" s="61" t="str">
        <f t="shared" ref="C6:C9" si="0">VLOOKUP(B6,raw_a,2,0)</f>
        <v>12월분</v>
      </c>
      <c r="D6" s="26" t="s">
        <v>165</v>
      </c>
      <c r="E6" s="35">
        <f>SUMIFS(전체리스트!D:D,전체리스트!A:A,B6,전체리스트!C:C,D6)</f>
        <v>402.36</v>
      </c>
      <c r="F6" s="28"/>
      <c r="G6" s="29">
        <f>SUMIFS(전체리스트!E:E,전체리스트!A:A,B6,전체리스트!C:C,D6)</f>
        <v>14388.393599999999</v>
      </c>
      <c r="H6" s="27">
        <f>G6*0.05</f>
        <v>719.41967999999997</v>
      </c>
      <c r="I6" s="30">
        <f>G6-H6</f>
        <v>13668.97392</v>
      </c>
      <c r="J6" s="26"/>
    </row>
    <row r="7" spans="2:10">
      <c r="B7" s="26" t="s">
        <v>128</v>
      </c>
      <c r="C7" s="61" t="str">
        <f t="shared" si="0"/>
        <v>12월분</v>
      </c>
      <c r="D7" s="26" t="s">
        <v>160</v>
      </c>
      <c r="E7" s="35">
        <f>SUMIFS(전체리스트!D:D,전체리스트!A:A,B7,전체리스트!C:C,D7)</f>
        <v>6264.56</v>
      </c>
      <c r="F7" s="28"/>
      <c r="G7" s="29">
        <f>SUMIFS(전체리스트!E:E,전체리스트!A:A,B7,전체리스트!C:C,D7)</f>
        <v>224020.66560000001</v>
      </c>
      <c r="H7" s="27">
        <f t="shared" ref="H7:H14" si="1">G7*0.05</f>
        <v>11201.033280000001</v>
      </c>
      <c r="I7" s="30">
        <f t="shared" ref="I7:I9" si="2">G7-H7</f>
        <v>212819.63232</v>
      </c>
      <c r="J7" s="26"/>
    </row>
    <row r="8" spans="2:10">
      <c r="B8" s="26" t="s">
        <v>128</v>
      </c>
      <c r="C8" s="61" t="str">
        <f t="shared" si="0"/>
        <v>12월분</v>
      </c>
      <c r="D8" s="26" t="s">
        <v>166</v>
      </c>
      <c r="E8" s="35">
        <f>SUMIFS(전체리스트!D:D,전체리스트!A:A,B8,전체리스트!C:C,D8)</f>
        <v>1058.8599999999999</v>
      </c>
      <c r="F8" s="28"/>
      <c r="G8" s="29">
        <f>SUMIFS(전체리스트!E:E,전체리스트!A:A,B8,전체리스트!C:C,D8)</f>
        <v>37864.833599999991</v>
      </c>
      <c r="H8" s="27">
        <f t="shared" si="1"/>
        <v>1893.2416799999996</v>
      </c>
      <c r="I8" s="30">
        <f t="shared" si="2"/>
        <v>35971.591919999992</v>
      </c>
      <c r="J8" s="26"/>
    </row>
    <row r="9" spans="2:10">
      <c r="B9" s="26" t="s">
        <v>128</v>
      </c>
      <c r="C9" s="61" t="str">
        <f t="shared" si="0"/>
        <v>12월분</v>
      </c>
      <c r="D9" s="26" t="s">
        <v>167</v>
      </c>
      <c r="E9" s="35">
        <f>SUMIFS(전체리스트!D:D,전체리스트!A:A,B9,전체리스트!C:C,D9)</f>
        <v>6157.15</v>
      </c>
      <c r="F9" s="28"/>
      <c r="G9" s="29">
        <f>SUMIFS(전체리스트!E:E,전체리스트!A:A,B9,전체리스트!C:C,D9)</f>
        <v>220179.68399999998</v>
      </c>
      <c r="H9" s="27">
        <f t="shared" si="1"/>
        <v>11008.984199999999</v>
      </c>
      <c r="I9" s="30">
        <f t="shared" si="2"/>
        <v>209170.69979999997</v>
      </c>
      <c r="J9" s="26"/>
    </row>
    <row r="10" spans="2:10">
      <c r="B10" s="26" t="s">
        <v>116</v>
      </c>
      <c r="C10" s="61" t="str">
        <f t="shared" ref="C10:C14" si="3">VLOOKUP(B10,raw_a,2,0)</f>
        <v>12월분</v>
      </c>
      <c r="D10" s="26" t="s">
        <v>41</v>
      </c>
      <c r="E10" s="35">
        <f>SUMIFS(전체리스트!D:D,전체리스트!A:A,B10,전체리스트!C:C,D10)</f>
        <v>11148.92</v>
      </c>
      <c r="F10" s="28"/>
      <c r="G10" s="29">
        <f>SUMIFS(전체리스트!E:E,전체리스트!A:A,B10,전체리스트!C:C,D10)</f>
        <v>398685.37919999997</v>
      </c>
      <c r="H10" s="27">
        <f t="shared" si="1"/>
        <v>19934.268960000001</v>
      </c>
      <c r="I10" s="30">
        <f t="shared" ref="I10:I14" si="4">G10-H10</f>
        <v>378751.11023999995</v>
      </c>
      <c r="J10" s="26"/>
    </row>
    <row r="11" spans="2:10">
      <c r="B11" s="26" t="s">
        <v>116</v>
      </c>
      <c r="C11" s="61" t="str">
        <f t="shared" si="3"/>
        <v>12월분</v>
      </c>
      <c r="D11" s="26" t="s">
        <v>168</v>
      </c>
      <c r="E11" s="35">
        <f>SUMIFS(전체리스트!D:D,전체리스트!A:A,B11,전체리스트!C:C,D11)</f>
        <v>1783.39</v>
      </c>
      <c r="F11" s="28"/>
      <c r="G11" s="29">
        <f>SUMIFS(전체리스트!E:E,전체리스트!A:A,B11,전체리스트!C:C,D11)</f>
        <v>63774.026400000002</v>
      </c>
      <c r="H11" s="27">
        <f t="shared" si="1"/>
        <v>3188.7013200000001</v>
      </c>
      <c r="I11" s="30">
        <f t="shared" si="4"/>
        <v>60585.325080000002</v>
      </c>
      <c r="J11" s="26"/>
    </row>
    <row r="12" spans="2:10">
      <c r="B12" s="26" t="s">
        <v>116</v>
      </c>
      <c r="C12" s="61" t="str">
        <f t="shared" si="3"/>
        <v>12월분</v>
      </c>
      <c r="D12" s="26" t="s">
        <v>169</v>
      </c>
      <c r="E12" s="35">
        <f>SUMIFS(전체리스트!D:D,전체리스트!A:A,B12,전체리스트!C:C,D12)</f>
        <v>1147.1500000000001</v>
      </c>
      <c r="F12" s="28"/>
      <c r="G12" s="29">
        <f>SUMIFS(전체리스트!E:E,전체리스트!A:A,B12,전체리스트!C:C,D12)</f>
        <v>41022.084000000003</v>
      </c>
      <c r="H12" s="27">
        <f t="shared" si="1"/>
        <v>2051.1042000000002</v>
      </c>
      <c r="I12" s="30">
        <f t="shared" si="4"/>
        <v>38970.979800000001</v>
      </c>
      <c r="J12" s="26"/>
    </row>
    <row r="13" spans="2:10">
      <c r="B13" s="26" t="s">
        <v>116</v>
      </c>
      <c r="C13" s="61" t="str">
        <f t="shared" ref="C13" si="5">VLOOKUP(B13,raw_a,2,0)</f>
        <v>12월분</v>
      </c>
      <c r="D13" s="26" t="s">
        <v>161</v>
      </c>
      <c r="E13" s="35">
        <f>SUMIFS(전체리스트!D:D,전체리스트!A:A,B13,전체리스트!C:C,D13)</f>
        <v>3230.88</v>
      </c>
      <c r="F13" s="28"/>
      <c r="G13" s="29">
        <f>SUMIFS(전체리스트!E:E,전체리스트!A:A,B13,전체리스트!C:C,D13)</f>
        <v>115536.26879999999</v>
      </c>
      <c r="H13" s="27">
        <f t="shared" si="1"/>
        <v>5776.8134399999999</v>
      </c>
      <c r="I13" s="30">
        <f t="shared" ref="I13" si="6">G13-H13</f>
        <v>109759.45535999999</v>
      </c>
      <c r="J13" s="26"/>
    </row>
    <row r="14" spans="2:10">
      <c r="B14" s="26" t="s">
        <v>116</v>
      </c>
      <c r="C14" s="61" t="str">
        <f t="shared" si="3"/>
        <v>12월분</v>
      </c>
      <c r="D14" s="26" t="s">
        <v>155</v>
      </c>
      <c r="E14" s="35">
        <f>SUMIFS(전체리스트!D:D,전체리스트!A:A,B14,전체리스트!C:C,D14)</f>
        <v>7484.82</v>
      </c>
      <c r="F14" s="28"/>
      <c r="G14" s="29">
        <f>SUMIFS(전체리스트!E:E,전체리스트!A:A,B14,전체리스트!C:C,D14)</f>
        <v>267657.16319999995</v>
      </c>
      <c r="H14" s="27">
        <f t="shared" si="1"/>
        <v>13382.858159999998</v>
      </c>
      <c r="I14" s="30">
        <f t="shared" si="4"/>
        <v>254274.30503999995</v>
      </c>
      <c r="J14" s="26"/>
    </row>
    <row r="15" spans="2:10">
      <c r="B15" s="31" t="s">
        <v>0</v>
      </c>
      <c r="C15" s="31"/>
      <c r="D15" s="32"/>
      <c r="E15" s="33">
        <f>SUM(E6:E14)</f>
        <v>38678.089999999997</v>
      </c>
      <c r="F15" s="33">
        <f t="shared" ref="F15:J15" si="7">SUM(F6:F14)</f>
        <v>0</v>
      </c>
      <c r="G15" s="33">
        <f t="shared" si="7"/>
        <v>1383128.4983999999</v>
      </c>
      <c r="H15" s="33">
        <f t="shared" si="7"/>
        <v>69156.424920000005</v>
      </c>
      <c r="I15" s="33">
        <f t="shared" si="7"/>
        <v>1313972.0734799998</v>
      </c>
      <c r="J15" s="33">
        <f t="shared" si="7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3:J9"/>
  <sheetViews>
    <sheetView topLeftCell="A3" workbookViewId="0">
      <selection activeCell="N29" sqref="N29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3" spans="2:10">
      <c r="G3" s="65" t="s">
        <v>140</v>
      </c>
    </row>
    <row r="4" spans="2:10">
      <c r="B4" s="34" t="s">
        <v>42</v>
      </c>
      <c r="C4" s="34"/>
      <c r="F4" s="36" t="s">
        <v>139</v>
      </c>
      <c r="G4" s="43">
        <f>VLOOKUP(B6,raw_a,6,0)</f>
        <v>10.4</v>
      </c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129</v>
      </c>
      <c r="C6" s="61" t="str">
        <f>VLOOKUP(B6,raw_a,2,0)</f>
        <v>12월분</v>
      </c>
      <c r="D6" s="26" t="s">
        <v>152</v>
      </c>
      <c r="E6" s="27">
        <f>SUMIFS(전체리스트!D:D,전체리스트!A:A,B6,전체리스트!C:C,D6)</f>
        <v>5129.1000000000004</v>
      </c>
      <c r="F6" s="28"/>
      <c r="G6" s="29">
        <f>SUMIFS(전체리스트!E:E,전체리스트!A:A,B6,전체리스트!C:C,D6)</f>
        <v>53342.640000000007</v>
      </c>
      <c r="H6" s="27">
        <f>G6*0.05</f>
        <v>2667.1320000000005</v>
      </c>
      <c r="I6" s="30">
        <f>G6-H6</f>
        <v>50675.508000000009</v>
      </c>
      <c r="J6" s="26"/>
    </row>
    <row r="7" spans="2:10">
      <c r="B7" s="26" t="s">
        <v>129</v>
      </c>
      <c r="C7" s="61" t="str">
        <f t="shared" ref="C7" si="0">VLOOKUP(B7,raw_a,2,0)</f>
        <v>12월분</v>
      </c>
      <c r="D7" s="26" t="s">
        <v>153</v>
      </c>
      <c r="E7" s="27">
        <f>SUMIFS(전체리스트!D:D,전체리스트!A:A,B7,전체리스트!C:C,D7)</f>
        <v>963.9</v>
      </c>
      <c r="F7" s="28"/>
      <c r="G7" s="29">
        <f>SUMIFS(전체리스트!E:E,전체리스트!A:A,B7,전체리스트!C:C,D7)</f>
        <v>10024.56</v>
      </c>
      <c r="H7" s="27">
        <f t="shared" ref="H7:H8" si="1">G7*0.05</f>
        <v>501.22800000000001</v>
      </c>
      <c r="I7" s="30">
        <f t="shared" ref="I7" si="2">G7-H7</f>
        <v>9523.3320000000003</v>
      </c>
      <c r="J7" s="26"/>
    </row>
    <row r="8" spans="2:10">
      <c r="B8" s="26" t="s">
        <v>117</v>
      </c>
      <c r="C8" s="61" t="str">
        <f t="shared" ref="C8" si="3">VLOOKUP(B8,raw_a,2,0)</f>
        <v>12월분</v>
      </c>
      <c r="D8" s="26" t="s">
        <v>162</v>
      </c>
      <c r="E8" s="27">
        <f>SUMIFS(전체리스트!D:D,전체리스트!A:A,B8,전체리스트!C:C,D8)</f>
        <v>924.3</v>
      </c>
      <c r="F8" s="28"/>
      <c r="G8" s="29">
        <f>SUMIFS(전체리스트!E:E,전체리스트!A:A,B8,전체리스트!C:C,D8)</f>
        <v>9612.7199999999993</v>
      </c>
      <c r="H8" s="27">
        <f t="shared" si="1"/>
        <v>480.63599999999997</v>
      </c>
      <c r="I8" s="30">
        <f t="shared" ref="I8" si="4">G8-H8</f>
        <v>9132.0839999999989</v>
      </c>
      <c r="J8" s="26"/>
    </row>
    <row r="9" spans="2:10">
      <c r="B9" s="31" t="s">
        <v>0</v>
      </c>
      <c r="C9" s="31"/>
      <c r="D9" s="32"/>
      <c r="E9" s="33">
        <f>SUM(E6:E8)</f>
        <v>7017.3</v>
      </c>
      <c r="F9" s="33">
        <f>SUM(F6:F8)</f>
        <v>0</v>
      </c>
      <c r="G9" s="33">
        <f>SUM(G6:G8)</f>
        <v>72979.92</v>
      </c>
      <c r="H9" s="33">
        <f>SUM(H6:H8)</f>
        <v>3648.9960000000005</v>
      </c>
      <c r="I9" s="33">
        <f>SUM(I6:I8)</f>
        <v>69330.924000000014</v>
      </c>
      <c r="J9" s="33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4:J42"/>
  <sheetViews>
    <sheetView topLeftCell="A13" workbookViewId="0">
      <selection activeCell="M44" sqref="M44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3.125" bestFit="1" customWidth="1"/>
    <col min="9" max="9" width="14.625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/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175</v>
      </c>
      <c r="C6" s="61" t="str">
        <f t="shared" ref="C6:C41" si="0">VLOOKUP(B6,raw_a,2,0)</f>
        <v>1월분</v>
      </c>
      <c r="D6" s="26" t="s">
        <v>167</v>
      </c>
      <c r="E6" s="27">
        <f>SUMIFS(전체리스트!D:D,전체리스트!A:A,B6,전체리스트!C:C,D6)</f>
        <v>200990</v>
      </c>
      <c r="F6" s="28">
        <f>E6-G6</f>
        <v>80396</v>
      </c>
      <c r="G6" s="29">
        <f>SUMIFS(전체리스트!E:E,전체리스트!A:A,B6,전체리스트!C:C,D6)</f>
        <v>120594</v>
      </c>
      <c r="H6" s="27">
        <f>G6*0.05</f>
        <v>6029.7000000000007</v>
      </c>
      <c r="I6" s="30">
        <f>G6-H6</f>
        <v>114564.3</v>
      </c>
      <c r="J6" s="26"/>
    </row>
    <row r="7" spans="2:10">
      <c r="B7" s="26" t="s">
        <v>176</v>
      </c>
      <c r="C7" s="61" t="str">
        <f t="shared" si="0"/>
        <v>1월분</v>
      </c>
      <c r="D7" s="26" t="s">
        <v>321</v>
      </c>
      <c r="E7" s="27">
        <f>SUMIFS(전체리스트!D:D,전체리스트!A:A,B7,전체리스트!C:C,D7)</f>
        <v>556690</v>
      </c>
      <c r="F7" s="28">
        <f t="shared" ref="F7:F41" si="1">E7-G7</f>
        <v>222676</v>
      </c>
      <c r="G7" s="29">
        <f>SUMIFS(전체리스트!E:E,전체리스트!A:A,B7,전체리스트!C:C,D7)</f>
        <v>334014</v>
      </c>
      <c r="H7" s="27">
        <f t="shared" ref="H7:H41" si="2">G7*0.05</f>
        <v>16700.7</v>
      </c>
      <c r="I7" s="30">
        <f t="shared" ref="I7:I41" si="3">G7-H7</f>
        <v>317313.3</v>
      </c>
      <c r="J7" s="26"/>
    </row>
    <row r="8" spans="2:10">
      <c r="B8" s="26" t="s">
        <v>176</v>
      </c>
      <c r="C8" s="61" t="str">
        <f t="shared" si="0"/>
        <v>1월분</v>
      </c>
      <c r="D8" s="26" t="s">
        <v>180</v>
      </c>
      <c r="E8" s="27">
        <f>SUMIFS(전체리스트!D:D,전체리스트!A:A,B8,전체리스트!C:C,D8)</f>
        <v>1856800</v>
      </c>
      <c r="F8" s="28">
        <f t="shared" si="1"/>
        <v>742720</v>
      </c>
      <c r="G8" s="29">
        <f>SUMIFS(전체리스트!E:E,전체리스트!A:A,B8,전체리스트!C:C,D8)</f>
        <v>1114080</v>
      </c>
      <c r="H8" s="27">
        <f t="shared" si="2"/>
        <v>55704</v>
      </c>
      <c r="I8" s="30">
        <f t="shared" si="3"/>
        <v>1058376</v>
      </c>
      <c r="J8" s="26"/>
    </row>
    <row r="9" spans="2:10">
      <c r="B9" s="26" t="s">
        <v>176</v>
      </c>
      <c r="C9" s="61" t="str">
        <f t="shared" si="0"/>
        <v>1월분</v>
      </c>
      <c r="D9" s="26" t="s">
        <v>179</v>
      </c>
      <c r="E9" s="27">
        <f>SUMIFS(전체리스트!D:D,전체리스트!A:A,B9,전체리스트!C:C,D9)</f>
        <v>6011880</v>
      </c>
      <c r="F9" s="28">
        <f t="shared" si="1"/>
        <v>2404752</v>
      </c>
      <c r="G9" s="29">
        <f>SUMIFS(전체리스트!E:E,전체리스트!A:A,B9,전체리스트!C:C,D9)</f>
        <v>3607128</v>
      </c>
      <c r="H9" s="27">
        <f t="shared" si="2"/>
        <v>180356.40000000002</v>
      </c>
      <c r="I9" s="30">
        <f t="shared" si="3"/>
        <v>3426771.6</v>
      </c>
      <c r="J9" s="26"/>
    </row>
    <row r="10" spans="2:10">
      <c r="B10" s="26" t="s">
        <v>176</v>
      </c>
      <c r="C10" s="61" t="str">
        <f t="shared" si="0"/>
        <v>1월분</v>
      </c>
      <c r="D10" s="26" t="s">
        <v>308</v>
      </c>
      <c r="E10" s="27">
        <f>SUMIFS(전체리스트!D:D,전체리스트!A:A,B10,전체리스트!C:C,D10)</f>
        <v>378680</v>
      </c>
      <c r="F10" s="28">
        <f t="shared" si="1"/>
        <v>151472</v>
      </c>
      <c r="G10" s="29">
        <f>SUMIFS(전체리스트!E:E,전체리스트!A:A,B10,전체리스트!C:C,D10)</f>
        <v>227208</v>
      </c>
      <c r="H10" s="27">
        <f t="shared" si="2"/>
        <v>11360.400000000001</v>
      </c>
      <c r="I10" s="30">
        <f t="shared" si="3"/>
        <v>215847.6</v>
      </c>
      <c r="J10" s="26"/>
    </row>
    <row r="11" spans="2:10">
      <c r="B11" s="26" t="s">
        <v>175</v>
      </c>
      <c r="C11" s="61" t="str">
        <f t="shared" ref="C11:C39" si="4">VLOOKUP(B11,raw_a,2,0)</f>
        <v>1월분</v>
      </c>
      <c r="D11" s="26" t="s">
        <v>56</v>
      </c>
      <c r="E11" s="27">
        <f>SUMIFS(전체리스트!D:D,전체리스트!A:A,B11,전체리스트!C:C,D11)</f>
        <v>100</v>
      </c>
      <c r="F11" s="28">
        <f t="shared" ref="F11:F39" si="5">E11-G11</f>
        <v>40</v>
      </c>
      <c r="G11" s="29">
        <f>SUMIFS(전체리스트!E:E,전체리스트!A:A,B11,전체리스트!C:C,D11)</f>
        <v>60</v>
      </c>
      <c r="H11" s="27">
        <f t="shared" si="2"/>
        <v>3</v>
      </c>
      <c r="I11" s="30">
        <f t="shared" ref="I11:I39" si="6">G11-H11</f>
        <v>57</v>
      </c>
      <c r="J11" s="26"/>
    </row>
    <row r="12" spans="2:10">
      <c r="B12" s="26" t="s">
        <v>175</v>
      </c>
      <c r="C12" s="61" t="str">
        <f t="shared" si="4"/>
        <v>1월분</v>
      </c>
      <c r="D12" s="26" t="s">
        <v>20</v>
      </c>
      <c r="E12" s="27">
        <f>SUMIFS(전체리스트!D:D,전체리스트!A:A,B12,전체리스트!C:C,D12)</f>
        <v>31200</v>
      </c>
      <c r="F12" s="28">
        <f t="shared" si="5"/>
        <v>12480</v>
      </c>
      <c r="G12" s="29">
        <f>SUMIFS(전체리스트!E:E,전체리스트!A:A,B12,전체리스트!C:C,D12)</f>
        <v>18720</v>
      </c>
      <c r="H12" s="27">
        <f t="shared" si="2"/>
        <v>936</v>
      </c>
      <c r="I12" s="30">
        <f t="shared" si="6"/>
        <v>17784</v>
      </c>
      <c r="J12" s="26"/>
    </row>
    <row r="13" spans="2:10">
      <c r="B13" s="26" t="s">
        <v>175</v>
      </c>
      <c r="C13" s="61" t="str">
        <f t="shared" si="4"/>
        <v>1월분</v>
      </c>
      <c r="D13" s="26" t="s">
        <v>74</v>
      </c>
      <c r="E13" s="27">
        <f>SUMIFS(전체리스트!D:D,전체리스트!A:A,B13,전체리스트!C:C,D13)</f>
        <v>31800</v>
      </c>
      <c r="F13" s="28">
        <f t="shared" si="5"/>
        <v>12720</v>
      </c>
      <c r="G13" s="29">
        <f>SUMIFS(전체리스트!E:E,전체리스트!A:A,B13,전체리스트!C:C,D13)</f>
        <v>19080</v>
      </c>
      <c r="H13" s="27">
        <f t="shared" si="2"/>
        <v>954</v>
      </c>
      <c r="I13" s="30">
        <f t="shared" si="6"/>
        <v>18126</v>
      </c>
      <c r="J13" s="26"/>
    </row>
    <row r="14" spans="2:10">
      <c r="B14" s="26" t="s">
        <v>175</v>
      </c>
      <c r="C14" s="61" t="str">
        <f t="shared" si="4"/>
        <v>1월분</v>
      </c>
      <c r="D14" s="26" t="s">
        <v>76</v>
      </c>
      <c r="E14" s="27">
        <f>SUMIFS(전체리스트!D:D,전체리스트!A:A,B14,전체리스트!C:C,D14)</f>
        <v>490208</v>
      </c>
      <c r="F14" s="28">
        <f t="shared" si="5"/>
        <v>196083.20000000001</v>
      </c>
      <c r="G14" s="29">
        <f>SUMIFS(전체리스트!E:E,전체리스트!A:A,B14,전체리스트!C:C,D14)</f>
        <v>294124.79999999999</v>
      </c>
      <c r="H14" s="27">
        <f t="shared" si="2"/>
        <v>14706.24</v>
      </c>
      <c r="I14" s="30">
        <f t="shared" si="6"/>
        <v>279418.56</v>
      </c>
      <c r="J14" s="26"/>
    </row>
    <row r="15" spans="2:10">
      <c r="B15" s="26" t="s">
        <v>175</v>
      </c>
      <c r="C15" s="61" t="str">
        <f t="shared" si="4"/>
        <v>1월분</v>
      </c>
      <c r="D15" s="26" t="s">
        <v>77</v>
      </c>
      <c r="E15" s="27">
        <f>SUMIFS(전체리스트!D:D,전체리스트!A:A,B15,전체리스트!C:C,D15)</f>
        <v>11964376</v>
      </c>
      <c r="F15" s="28">
        <f t="shared" si="5"/>
        <v>4785750.4000000004</v>
      </c>
      <c r="G15" s="29">
        <f>SUMIFS(전체리스트!E:E,전체리스트!A:A,B15,전체리스트!C:C,D15)</f>
        <v>7178625.5999999996</v>
      </c>
      <c r="H15" s="27">
        <f t="shared" si="2"/>
        <v>358931.28</v>
      </c>
      <c r="I15" s="30">
        <f t="shared" si="6"/>
        <v>6819694.3199999994</v>
      </c>
      <c r="J15" s="26"/>
    </row>
    <row r="16" spans="2:10">
      <c r="B16" s="26" t="s">
        <v>175</v>
      </c>
      <c r="C16" s="61" t="str">
        <f t="shared" si="4"/>
        <v>1월분</v>
      </c>
      <c r="D16" s="26" t="s">
        <v>29</v>
      </c>
      <c r="E16" s="27">
        <f>SUMIFS(전체리스트!D:D,전체리스트!A:A,B16,전체리스트!C:C,D16)</f>
        <v>210980</v>
      </c>
      <c r="F16" s="28">
        <f t="shared" si="5"/>
        <v>84392</v>
      </c>
      <c r="G16" s="29">
        <f>SUMIFS(전체리스트!E:E,전체리스트!A:A,B16,전체리스트!C:C,D16)</f>
        <v>126588</v>
      </c>
      <c r="H16" s="27">
        <f t="shared" si="2"/>
        <v>6329.4000000000005</v>
      </c>
      <c r="I16" s="30">
        <f t="shared" si="6"/>
        <v>120258.6</v>
      </c>
      <c r="J16" s="26"/>
    </row>
    <row r="17" spans="2:10">
      <c r="B17" s="26" t="s">
        <v>175</v>
      </c>
      <c r="C17" s="61" t="str">
        <f t="shared" si="4"/>
        <v>1월분</v>
      </c>
      <c r="D17" s="26" t="s">
        <v>87</v>
      </c>
      <c r="E17" s="27">
        <f>SUMIFS(전체리스트!D:D,전체리스트!A:A,B17,전체리스트!C:C,D17)</f>
        <v>8640</v>
      </c>
      <c r="F17" s="28">
        <f t="shared" si="5"/>
        <v>3456</v>
      </c>
      <c r="G17" s="29">
        <f>SUMIFS(전체리스트!E:E,전체리스트!A:A,B17,전체리스트!C:C,D17)</f>
        <v>5184</v>
      </c>
      <c r="H17" s="27">
        <f t="shared" si="2"/>
        <v>259.2</v>
      </c>
      <c r="I17" s="30">
        <f t="shared" si="6"/>
        <v>4924.8</v>
      </c>
      <c r="J17" s="26"/>
    </row>
    <row r="18" spans="2:10">
      <c r="B18" s="26" t="s">
        <v>175</v>
      </c>
      <c r="C18" s="61" t="str">
        <f t="shared" ref="C18:C38" si="7">VLOOKUP(B18,raw_a,2,0)</f>
        <v>1월분</v>
      </c>
      <c r="D18" s="26" t="s">
        <v>21</v>
      </c>
      <c r="E18" s="27">
        <f>SUMIFS(전체리스트!D:D,전체리스트!A:A,B18,전체리스트!C:C,D18)</f>
        <v>26400</v>
      </c>
      <c r="F18" s="28">
        <f t="shared" ref="F18:F38" si="8">E18-G18</f>
        <v>10560</v>
      </c>
      <c r="G18" s="29">
        <f>SUMIFS(전체리스트!E:E,전체리스트!A:A,B18,전체리스트!C:C,D18)</f>
        <v>15840</v>
      </c>
      <c r="H18" s="27">
        <f t="shared" si="2"/>
        <v>792</v>
      </c>
      <c r="I18" s="30">
        <f t="shared" ref="I18:I38" si="9">G18-H18</f>
        <v>15048</v>
      </c>
      <c r="J18" s="26"/>
    </row>
    <row r="19" spans="2:10">
      <c r="B19" s="26" t="s">
        <v>175</v>
      </c>
      <c r="C19" s="61" t="str">
        <f t="shared" si="7"/>
        <v>1월분</v>
      </c>
      <c r="D19" s="26" t="s">
        <v>327</v>
      </c>
      <c r="E19" s="27">
        <f>SUMIFS(전체리스트!D:D,전체리스트!A:A,B19,전체리스트!C:C,D19)</f>
        <v>5900</v>
      </c>
      <c r="F19" s="28">
        <f t="shared" si="8"/>
        <v>2360</v>
      </c>
      <c r="G19" s="29">
        <f>SUMIFS(전체리스트!E:E,전체리스트!A:A,B19,전체리스트!C:C,D19)</f>
        <v>3540</v>
      </c>
      <c r="H19" s="27">
        <f t="shared" si="2"/>
        <v>177</v>
      </c>
      <c r="I19" s="30">
        <f t="shared" si="9"/>
        <v>3363</v>
      </c>
      <c r="J19" s="26"/>
    </row>
    <row r="20" spans="2:10">
      <c r="B20" s="26" t="s">
        <v>175</v>
      </c>
      <c r="C20" s="61" t="str">
        <f t="shared" si="7"/>
        <v>1월분</v>
      </c>
      <c r="D20" s="26" t="s">
        <v>86</v>
      </c>
      <c r="E20" s="27">
        <f>SUMIFS(전체리스트!D:D,전체리스트!A:A,B20,전체리스트!C:C,D20)</f>
        <v>5200</v>
      </c>
      <c r="F20" s="28">
        <f t="shared" si="8"/>
        <v>2080</v>
      </c>
      <c r="G20" s="29">
        <f>SUMIFS(전체리스트!E:E,전체리스트!A:A,B20,전체리스트!C:C,D20)</f>
        <v>3120</v>
      </c>
      <c r="H20" s="27">
        <f t="shared" si="2"/>
        <v>156</v>
      </c>
      <c r="I20" s="30">
        <f t="shared" si="9"/>
        <v>2964</v>
      </c>
      <c r="J20" s="26"/>
    </row>
    <row r="21" spans="2:10">
      <c r="B21" s="26" t="s">
        <v>175</v>
      </c>
      <c r="C21" s="61" t="str">
        <f t="shared" ref="C21:C29" si="10">VLOOKUP(B21,raw_a,2,0)</f>
        <v>1월분</v>
      </c>
      <c r="D21" s="26" t="s">
        <v>68</v>
      </c>
      <c r="E21" s="27">
        <f>SUMIFS(전체리스트!D:D,전체리스트!A:A,B21,전체리스트!C:C,D21)</f>
        <v>275340</v>
      </c>
      <c r="F21" s="28">
        <f t="shared" ref="F21:F29" si="11">E21-G21</f>
        <v>110136</v>
      </c>
      <c r="G21" s="29">
        <f>SUMIFS(전체리스트!E:E,전체리스트!A:A,B21,전체리스트!C:C,D21)</f>
        <v>165204</v>
      </c>
      <c r="H21" s="27">
        <f t="shared" ref="H21:H29" si="12">G21*0.05</f>
        <v>8260.2000000000007</v>
      </c>
      <c r="I21" s="30">
        <f t="shared" ref="I21:I29" si="13">G21-H21</f>
        <v>156943.79999999999</v>
      </c>
      <c r="J21" s="26"/>
    </row>
    <row r="22" spans="2:10">
      <c r="B22" s="26" t="s">
        <v>175</v>
      </c>
      <c r="C22" s="61" t="str">
        <f t="shared" si="10"/>
        <v>1월분</v>
      </c>
      <c r="D22" s="26" t="s">
        <v>154</v>
      </c>
      <c r="E22" s="27">
        <f>SUMIFS(전체리스트!D:D,전체리스트!A:A,B22,전체리스트!C:C,D22)</f>
        <v>6600</v>
      </c>
      <c r="F22" s="28">
        <f t="shared" si="11"/>
        <v>2640</v>
      </c>
      <c r="G22" s="29">
        <f>SUMIFS(전체리스트!E:E,전체리스트!A:A,B22,전체리스트!C:C,D22)</f>
        <v>3960</v>
      </c>
      <c r="H22" s="27">
        <f t="shared" si="12"/>
        <v>198</v>
      </c>
      <c r="I22" s="30">
        <f t="shared" si="13"/>
        <v>3762</v>
      </c>
      <c r="J22" s="26"/>
    </row>
    <row r="23" spans="2:10">
      <c r="B23" s="26" t="s">
        <v>175</v>
      </c>
      <c r="C23" s="61" t="str">
        <f t="shared" si="10"/>
        <v>1월분</v>
      </c>
      <c r="D23" s="26" t="s">
        <v>80</v>
      </c>
      <c r="E23" s="27">
        <f>SUMIFS(전체리스트!D:D,전체리스트!A:A,B23,전체리스트!C:C,D23)</f>
        <v>127140</v>
      </c>
      <c r="F23" s="28">
        <f t="shared" si="11"/>
        <v>50856</v>
      </c>
      <c r="G23" s="29">
        <f>SUMIFS(전체리스트!E:E,전체리스트!A:A,B23,전체리스트!C:C,D23)</f>
        <v>76284</v>
      </c>
      <c r="H23" s="27">
        <f t="shared" si="12"/>
        <v>3814.2000000000003</v>
      </c>
      <c r="I23" s="30">
        <f t="shared" si="13"/>
        <v>72469.8</v>
      </c>
      <c r="J23" s="26"/>
    </row>
    <row r="24" spans="2:10">
      <c r="B24" s="26" t="s">
        <v>175</v>
      </c>
      <c r="C24" s="61" t="str">
        <f t="shared" si="10"/>
        <v>1월분</v>
      </c>
      <c r="D24" s="26" t="s">
        <v>73</v>
      </c>
      <c r="E24" s="27">
        <f>SUMIFS(전체리스트!D:D,전체리스트!A:A,B24,전체리스트!C:C,D24)</f>
        <v>600</v>
      </c>
      <c r="F24" s="28">
        <f t="shared" si="11"/>
        <v>240</v>
      </c>
      <c r="G24" s="29">
        <f>SUMIFS(전체리스트!E:E,전체리스트!A:A,B24,전체리스트!C:C,D24)</f>
        <v>360</v>
      </c>
      <c r="H24" s="27">
        <f t="shared" si="12"/>
        <v>18</v>
      </c>
      <c r="I24" s="30">
        <f t="shared" si="13"/>
        <v>342</v>
      </c>
      <c r="J24" s="26"/>
    </row>
    <row r="25" spans="2:10">
      <c r="B25" s="26" t="s">
        <v>175</v>
      </c>
      <c r="C25" s="61" t="str">
        <f t="shared" si="10"/>
        <v>1월분</v>
      </c>
      <c r="D25" s="26" t="s">
        <v>57</v>
      </c>
      <c r="E25" s="27">
        <f>SUMIFS(전체리스트!D:D,전체리스트!A:A,B25,전체리스트!C:C,D25)</f>
        <v>12420</v>
      </c>
      <c r="F25" s="28">
        <f t="shared" si="11"/>
        <v>4968</v>
      </c>
      <c r="G25" s="29">
        <f>SUMIFS(전체리스트!E:E,전체리스트!A:A,B25,전체리스트!C:C,D25)</f>
        <v>7452</v>
      </c>
      <c r="H25" s="27">
        <f t="shared" si="12"/>
        <v>372.6</v>
      </c>
      <c r="I25" s="30">
        <f t="shared" si="13"/>
        <v>7079.4</v>
      </c>
      <c r="J25" s="26"/>
    </row>
    <row r="26" spans="2:10">
      <c r="B26" s="26" t="s">
        <v>175</v>
      </c>
      <c r="C26" s="61" t="str">
        <f t="shared" si="10"/>
        <v>1월분</v>
      </c>
      <c r="D26" s="26" t="s">
        <v>37</v>
      </c>
      <c r="E26" s="27">
        <f>SUMIFS(전체리스트!D:D,전체리스트!A:A,B26,전체리스트!C:C,D26)</f>
        <v>52960</v>
      </c>
      <c r="F26" s="28">
        <f t="shared" si="11"/>
        <v>21184</v>
      </c>
      <c r="G26" s="29">
        <f>SUMIFS(전체리스트!E:E,전체리스트!A:A,B26,전체리스트!C:C,D26)</f>
        <v>31776</v>
      </c>
      <c r="H26" s="27">
        <f t="shared" si="12"/>
        <v>1588.8000000000002</v>
      </c>
      <c r="I26" s="30">
        <f t="shared" si="13"/>
        <v>30187.200000000001</v>
      </c>
      <c r="J26" s="26"/>
    </row>
    <row r="27" spans="2:10">
      <c r="B27" s="26" t="s">
        <v>175</v>
      </c>
      <c r="C27" s="61" t="str">
        <f t="shared" si="10"/>
        <v>1월분</v>
      </c>
      <c r="D27" s="26" t="s">
        <v>328</v>
      </c>
      <c r="E27" s="27">
        <f>SUMIFS(전체리스트!D:D,전체리스트!A:A,B27,전체리스트!C:C,D27)</f>
        <v>65000</v>
      </c>
      <c r="F27" s="28">
        <f t="shared" si="11"/>
        <v>26000</v>
      </c>
      <c r="G27" s="29">
        <f>SUMIFS(전체리스트!E:E,전체리스트!A:A,B27,전체리스트!C:C,D27)</f>
        <v>39000</v>
      </c>
      <c r="H27" s="27">
        <f t="shared" si="12"/>
        <v>1950</v>
      </c>
      <c r="I27" s="30">
        <f t="shared" si="13"/>
        <v>37050</v>
      </c>
      <c r="J27" s="26"/>
    </row>
    <row r="28" spans="2:10">
      <c r="B28" s="26" t="s">
        <v>175</v>
      </c>
      <c r="C28" s="61" t="str">
        <f t="shared" si="10"/>
        <v>1월분</v>
      </c>
      <c r="D28" s="26" t="s">
        <v>81</v>
      </c>
      <c r="E28" s="27">
        <f>SUMIFS(전체리스트!D:D,전체리스트!A:A,B28,전체리스트!C:C,D28)</f>
        <v>3000</v>
      </c>
      <c r="F28" s="28">
        <f t="shared" si="11"/>
        <v>1200</v>
      </c>
      <c r="G28" s="29">
        <f>SUMIFS(전체리스트!E:E,전체리스트!A:A,B28,전체리스트!C:C,D28)</f>
        <v>1800</v>
      </c>
      <c r="H28" s="27">
        <f t="shared" si="12"/>
        <v>90</v>
      </c>
      <c r="I28" s="30">
        <f t="shared" si="13"/>
        <v>1710</v>
      </c>
      <c r="J28" s="26"/>
    </row>
    <row r="29" spans="2:10">
      <c r="B29" s="26" t="s">
        <v>175</v>
      </c>
      <c r="C29" s="61" t="str">
        <f t="shared" si="10"/>
        <v>1월분</v>
      </c>
      <c r="D29" s="26" t="s">
        <v>150</v>
      </c>
      <c r="E29" s="27">
        <f>SUMIFS(전체리스트!D:D,전체리스트!A:A,B29,전체리스트!C:C,D29)</f>
        <v>184600</v>
      </c>
      <c r="F29" s="28">
        <f t="shared" si="11"/>
        <v>73840</v>
      </c>
      <c r="G29" s="29">
        <f>SUMIFS(전체리스트!E:E,전체리스트!A:A,B29,전체리스트!C:C,D29)</f>
        <v>110760</v>
      </c>
      <c r="H29" s="27">
        <f t="shared" si="12"/>
        <v>5538</v>
      </c>
      <c r="I29" s="30">
        <f t="shared" si="13"/>
        <v>105222</v>
      </c>
      <c r="J29" s="26"/>
    </row>
    <row r="30" spans="2:10">
      <c r="B30" s="26" t="s">
        <v>175</v>
      </c>
      <c r="C30" s="61" t="str">
        <f t="shared" si="7"/>
        <v>1월분</v>
      </c>
      <c r="D30" s="26" t="s">
        <v>59</v>
      </c>
      <c r="E30" s="27">
        <f>SUMIFS(전체리스트!D:D,전체리스트!A:A,B30,전체리스트!C:C,D30)</f>
        <v>558840</v>
      </c>
      <c r="F30" s="28">
        <f t="shared" si="8"/>
        <v>223536</v>
      </c>
      <c r="G30" s="29">
        <f>SUMIFS(전체리스트!E:E,전체리스트!A:A,B30,전체리스트!C:C,D30)</f>
        <v>335304</v>
      </c>
      <c r="H30" s="27">
        <f t="shared" si="2"/>
        <v>16765.2</v>
      </c>
      <c r="I30" s="30">
        <f t="shared" si="9"/>
        <v>318538.8</v>
      </c>
      <c r="J30" s="26"/>
    </row>
    <row r="31" spans="2:10">
      <c r="B31" s="26" t="s">
        <v>175</v>
      </c>
      <c r="C31" s="61" t="str">
        <f t="shared" si="7"/>
        <v>1월분</v>
      </c>
      <c r="D31" s="26" t="s">
        <v>380</v>
      </c>
      <c r="E31" s="27">
        <f>SUMIFS(전체리스트!D:D,전체리스트!A:A,B31,전체리스트!C:C,D31)</f>
        <v>711600</v>
      </c>
      <c r="F31" s="28">
        <f t="shared" si="8"/>
        <v>284640</v>
      </c>
      <c r="G31" s="29">
        <f>SUMIFS(전체리스트!E:E,전체리스트!A:A,B31,전체리스트!C:C,D31)</f>
        <v>426960</v>
      </c>
      <c r="H31" s="27">
        <f t="shared" si="2"/>
        <v>21348</v>
      </c>
      <c r="I31" s="30">
        <f t="shared" si="9"/>
        <v>405612</v>
      </c>
      <c r="J31" s="26"/>
    </row>
    <row r="32" spans="2:10">
      <c r="B32" s="26" t="s">
        <v>175</v>
      </c>
      <c r="C32" s="61" t="str">
        <f t="shared" si="7"/>
        <v>1월분</v>
      </c>
      <c r="D32" s="26" t="s">
        <v>19</v>
      </c>
      <c r="E32" s="27">
        <f>SUMIFS(전체리스트!D:D,전체리스트!A:A,B32,전체리스트!C:C,D32)</f>
        <v>3300</v>
      </c>
      <c r="F32" s="28">
        <f t="shared" si="8"/>
        <v>1320</v>
      </c>
      <c r="G32" s="29">
        <f>SUMIFS(전체리스트!E:E,전체리스트!A:A,B32,전체리스트!C:C,D32)</f>
        <v>1980</v>
      </c>
      <c r="H32" s="27">
        <f t="shared" si="2"/>
        <v>99</v>
      </c>
      <c r="I32" s="30">
        <f t="shared" si="9"/>
        <v>1881</v>
      </c>
      <c r="J32" s="26"/>
    </row>
    <row r="33" spans="2:10">
      <c r="B33" s="26" t="s">
        <v>175</v>
      </c>
      <c r="C33" s="61" t="str">
        <f t="shared" si="7"/>
        <v>1월분</v>
      </c>
      <c r="D33" s="26" t="s">
        <v>61</v>
      </c>
      <c r="E33" s="27">
        <f>SUMIFS(전체리스트!D:D,전체리스트!A:A,B33,전체리스트!C:C,D33)</f>
        <v>109620</v>
      </c>
      <c r="F33" s="28">
        <f t="shared" si="8"/>
        <v>43848</v>
      </c>
      <c r="G33" s="29">
        <f>SUMIFS(전체리스트!E:E,전체리스트!A:A,B33,전체리스트!C:C,D33)</f>
        <v>65772</v>
      </c>
      <c r="H33" s="27">
        <f t="shared" si="2"/>
        <v>3288.6000000000004</v>
      </c>
      <c r="I33" s="30">
        <f t="shared" si="9"/>
        <v>62483.4</v>
      </c>
      <c r="J33" s="26"/>
    </row>
    <row r="34" spans="2:10">
      <c r="B34" s="26" t="s">
        <v>175</v>
      </c>
      <c r="C34" s="61" t="str">
        <f t="shared" si="7"/>
        <v>1월분</v>
      </c>
      <c r="D34" s="26" t="s">
        <v>156</v>
      </c>
      <c r="E34" s="27">
        <f>SUMIFS(전체리스트!D:D,전체리스트!A:A,B34,전체리스트!C:C,D34)</f>
        <v>44940</v>
      </c>
      <c r="F34" s="28">
        <f t="shared" si="8"/>
        <v>17976</v>
      </c>
      <c r="G34" s="29">
        <f>SUMIFS(전체리스트!E:E,전체리스트!A:A,B34,전체리스트!C:C,D34)</f>
        <v>26964</v>
      </c>
      <c r="H34" s="27">
        <f t="shared" si="2"/>
        <v>1348.2</v>
      </c>
      <c r="I34" s="30">
        <f t="shared" si="9"/>
        <v>25615.8</v>
      </c>
      <c r="J34" s="26"/>
    </row>
    <row r="35" spans="2:10">
      <c r="B35" s="26" t="s">
        <v>175</v>
      </c>
      <c r="C35" s="61" t="str">
        <f t="shared" si="7"/>
        <v>1월분</v>
      </c>
      <c r="D35" s="26" t="s">
        <v>427</v>
      </c>
      <c r="E35" s="27">
        <f>SUMIFS(전체리스트!D:D,전체리스트!A:A,B35,전체리스트!C:C,D35)</f>
        <v>657544</v>
      </c>
      <c r="F35" s="28">
        <f t="shared" si="8"/>
        <v>263017.59999999998</v>
      </c>
      <c r="G35" s="29">
        <f>SUMIFS(전체리스트!E:E,전체리스트!A:A,B35,전체리스트!C:C,D35)</f>
        <v>394526.4</v>
      </c>
      <c r="H35" s="27">
        <f t="shared" si="2"/>
        <v>19726.320000000003</v>
      </c>
      <c r="I35" s="30">
        <f t="shared" si="9"/>
        <v>374800.08</v>
      </c>
      <c r="J35" s="26"/>
    </row>
    <row r="36" spans="2:10">
      <c r="B36" s="26" t="s">
        <v>175</v>
      </c>
      <c r="C36" s="61" t="str">
        <f t="shared" si="7"/>
        <v>1월분</v>
      </c>
      <c r="D36" s="26" t="s">
        <v>326</v>
      </c>
      <c r="E36" s="27">
        <f>SUMIFS(전체리스트!D:D,전체리스트!A:A,B36,전체리스트!C:C,D36)</f>
        <v>383080</v>
      </c>
      <c r="F36" s="28">
        <f t="shared" si="8"/>
        <v>153232</v>
      </c>
      <c r="G36" s="29">
        <f>SUMIFS(전체리스트!E:E,전체리스트!A:A,B36,전체리스트!C:C,D36)</f>
        <v>229848</v>
      </c>
      <c r="H36" s="27">
        <f t="shared" si="2"/>
        <v>11492.400000000001</v>
      </c>
      <c r="I36" s="30">
        <f t="shared" si="9"/>
        <v>218355.6</v>
      </c>
      <c r="J36" s="26"/>
    </row>
    <row r="37" spans="2:10">
      <c r="B37" s="26" t="s">
        <v>175</v>
      </c>
      <c r="C37" s="61" t="str">
        <f t="shared" si="7"/>
        <v>1월분</v>
      </c>
      <c r="D37" s="26" t="s">
        <v>428</v>
      </c>
      <c r="E37" s="27">
        <f>SUMIFS(전체리스트!D:D,전체리스트!A:A,B37,전체리스트!C:C,D37)</f>
        <v>243180</v>
      </c>
      <c r="F37" s="28">
        <f t="shared" si="8"/>
        <v>97272</v>
      </c>
      <c r="G37" s="29">
        <f>SUMIFS(전체리스트!E:E,전체리스트!A:A,B37,전체리스트!C:C,D37)</f>
        <v>145908</v>
      </c>
      <c r="H37" s="27">
        <f t="shared" si="2"/>
        <v>7295.4000000000005</v>
      </c>
      <c r="I37" s="30">
        <f t="shared" si="9"/>
        <v>138612.6</v>
      </c>
      <c r="J37" s="26"/>
    </row>
    <row r="38" spans="2:10">
      <c r="B38" s="26" t="s">
        <v>175</v>
      </c>
      <c r="C38" s="61" t="str">
        <f t="shared" si="7"/>
        <v>1월분</v>
      </c>
      <c r="D38" s="26" t="s">
        <v>381</v>
      </c>
      <c r="E38" s="27">
        <f>SUMIFS(전체리스트!D:D,전체리스트!A:A,B38,전체리스트!C:C,D38)</f>
        <v>104970</v>
      </c>
      <c r="F38" s="28">
        <f t="shared" si="8"/>
        <v>41988</v>
      </c>
      <c r="G38" s="29">
        <f>SUMIFS(전체리스트!E:E,전체리스트!A:A,B38,전체리스트!C:C,D38)</f>
        <v>62982</v>
      </c>
      <c r="H38" s="27">
        <f t="shared" si="2"/>
        <v>3149.1000000000004</v>
      </c>
      <c r="I38" s="30">
        <f t="shared" si="9"/>
        <v>59832.9</v>
      </c>
      <c r="J38" s="26"/>
    </row>
    <row r="39" spans="2:10">
      <c r="B39" s="26" t="s">
        <v>175</v>
      </c>
      <c r="C39" s="61" t="str">
        <f t="shared" si="4"/>
        <v>1월분</v>
      </c>
      <c r="D39" s="26" t="s">
        <v>279</v>
      </c>
      <c r="E39" s="27">
        <f>SUMIFS(전체리스트!D:D,전체리스트!A:A,B39,전체리스트!C:C,D39)</f>
        <v>28600</v>
      </c>
      <c r="F39" s="28">
        <f t="shared" si="5"/>
        <v>11440</v>
      </c>
      <c r="G39" s="29">
        <f>SUMIFS(전체리스트!E:E,전체리스트!A:A,B39,전체리스트!C:C,D39)</f>
        <v>17160</v>
      </c>
      <c r="H39" s="27">
        <f t="shared" si="2"/>
        <v>858</v>
      </c>
      <c r="I39" s="30">
        <f t="shared" si="6"/>
        <v>16302</v>
      </c>
      <c r="J39" s="26"/>
    </row>
    <row r="40" spans="2:10">
      <c r="B40" s="26" t="s">
        <v>176</v>
      </c>
      <c r="C40" s="61" t="str">
        <f t="shared" si="0"/>
        <v>1월분</v>
      </c>
      <c r="D40" s="26" t="s">
        <v>280</v>
      </c>
      <c r="E40" s="27">
        <f>SUMIFS(전체리스트!D:D,전체리스트!A:A,B40,전체리스트!C:C,D40)</f>
        <v>276880</v>
      </c>
      <c r="F40" s="28">
        <f t="shared" si="1"/>
        <v>110752</v>
      </c>
      <c r="G40" s="29">
        <f>SUMIFS(전체리스트!E:E,전체리스트!A:A,B40,전체리스트!C:C,D40)</f>
        <v>166128</v>
      </c>
      <c r="H40" s="27">
        <f t="shared" si="2"/>
        <v>8306.4</v>
      </c>
      <c r="I40" s="30">
        <f t="shared" si="3"/>
        <v>157821.6</v>
      </c>
      <c r="J40" s="26"/>
    </row>
    <row r="41" spans="2:10">
      <c r="B41" s="26" t="s">
        <v>176</v>
      </c>
      <c r="C41" s="61" t="str">
        <f t="shared" si="0"/>
        <v>1월분</v>
      </c>
      <c r="D41" s="26" t="s">
        <v>382</v>
      </c>
      <c r="E41" s="27">
        <f>SUMIFS(전체리스트!D:D,전체리스트!A:A,B41,전체리스트!C:C,D41)</f>
        <v>875080</v>
      </c>
      <c r="F41" s="28">
        <f t="shared" si="1"/>
        <v>350032</v>
      </c>
      <c r="G41" s="29">
        <f>SUMIFS(전체리스트!E:E,전체리스트!A:A,B41,전체리스트!C:C,D41)</f>
        <v>525048</v>
      </c>
      <c r="H41" s="27">
        <f t="shared" si="2"/>
        <v>26252.400000000001</v>
      </c>
      <c r="I41" s="30">
        <f t="shared" si="3"/>
        <v>498795.6</v>
      </c>
      <c r="J41" s="26"/>
    </row>
    <row r="42" spans="2:10">
      <c r="B42" s="31" t="s">
        <v>0</v>
      </c>
      <c r="C42" s="31"/>
      <c r="D42" s="32"/>
      <c r="E42" s="33">
        <f t="shared" ref="E42:J42" si="14">SUM(E6:E41)</f>
        <v>26505138</v>
      </c>
      <c r="F42" s="33">
        <f t="shared" si="14"/>
        <v>10602055.200000001</v>
      </c>
      <c r="G42" s="33">
        <f t="shared" si="14"/>
        <v>15903082.799999999</v>
      </c>
      <c r="H42" s="33">
        <f t="shared" si="14"/>
        <v>795154.13999999978</v>
      </c>
      <c r="I42" s="33">
        <f t="shared" si="14"/>
        <v>15107928.660000002</v>
      </c>
      <c r="J42" s="33">
        <f t="shared" si="1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2905-EFA2-4A1A-BB5A-D4AD10172432}">
  <dimension ref="B4:J33"/>
  <sheetViews>
    <sheetView topLeftCell="A2" workbookViewId="0">
      <selection activeCell="M24" sqref="M24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182</v>
      </c>
      <c r="C6" s="61" t="str">
        <f t="shared" ref="C6:C31" si="0">VLOOKUP(B6,raw_a,2,0)</f>
        <v>12월분</v>
      </c>
      <c r="D6" s="26" t="s">
        <v>66</v>
      </c>
      <c r="E6" s="27">
        <f>SUMIFS(전체리스트!D:D,전체리스트!A:A,B6,전체리스트!C:C,D6)</f>
        <v>8900</v>
      </c>
      <c r="F6" s="28">
        <f>E6-G6</f>
        <v>2670</v>
      </c>
      <c r="G6" s="29">
        <f>SUMIFS(전체리스트!E:E,전체리스트!A:A,B6,전체리스트!C:C,D6)</f>
        <v>6230</v>
      </c>
      <c r="H6" s="27">
        <f>G6*0.05</f>
        <v>311.5</v>
      </c>
      <c r="I6" s="30">
        <f>G6-H6</f>
        <v>5918.5</v>
      </c>
      <c r="J6" s="26"/>
    </row>
    <row r="7" spans="2:10">
      <c r="B7" s="26" t="s">
        <v>182</v>
      </c>
      <c r="C7" s="61" t="str">
        <f t="shared" si="0"/>
        <v>12월분</v>
      </c>
      <c r="D7" s="26" t="s">
        <v>386</v>
      </c>
      <c r="E7" s="27">
        <f>SUMIFS(전체리스트!D:D,전체리스트!A:A,B7,전체리스트!C:C,D7)</f>
        <v>15540</v>
      </c>
      <c r="F7" s="28">
        <f t="shared" ref="F7:F31" si="1">E7-G7</f>
        <v>4662</v>
      </c>
      <c r="G7" s="29">
        <f>SUMIFS(전체리스트!E:E,전체리스트!A:A,B7,전체리스트!C:C,D7)</f>
        <v>10878</v>
      </c>
      <c r="H7" s="27">
        <f t="shared" ref="H7:H32" si="2">G7*0.05</f>
        <v>543.9</v>
      </c>
      <c r="I7" s="30">
        <f t="shared" ref="I7:I31" si="3">G7-H7</f>
        <v>10334.1</v>
      </c>
      <c r="J7" s="26"/>
    </row>
    <row r="8" spans="2:10">
      <c r="B8" s="26" t="s">
        <v>182</v>
      </c>
      <c r="C8" s="61" t="str">
        <f t="shared" si="0"/>
        <v>12월분</v>
      </c>
      <c r="D8" s="26" t="s">
        <v>321</v>
      </c>
      <c r="E8" s="27">
        <f>SUMIFS(전체리스트!D:D,전체리스트!A:A,B8,전체리스트!C:C,D8)</f>
        <v>82300</v>
      </c>
      <c r="F8" s="28">
        <f t="shared" si="1"/>
        <v>24690</v>
      </c>
      <c r="G8" s="29">
        <f>SUMIFS(전체리스트!E:E,전체리스트!A:A,B8,전체리스트!C:C,D8)</f>
        <v>57610</v>
      </c>
      <c r="H8" s="27">
        <f t="shared" si="2"/>
        <v>2880.5</v>
      </c>
      <c r="I8" s="30">
        <f t="shared" si="3"/>
        <v>54729.5</v>
      </c>
      <c r="J8" s="26"/>
    </row>
    <row r="9" spans="2:10">
      <c r="B9" s="26" t="s">
        <v>182</v>
      </c>
      <c r="C9" s="61" t="str">
        <f t="shared" si="0"/>
        <v>12월분</v>
      </c>
      <c r="D9" s="26" t="s">
        <v>312</v>
      </c>
      <c r="E9" s="27">
        <f>SUMIFS(전체리스트!D:D,전체리스트!A:A,B9,전체리스트!C:C,D9)</f>
        <v>43540</v>
      </c>
      <c r="F9" s="28">
        <f t="shared" si="1"/>
        <v>13062</v>
      </c>
      <c r="G9" s="29">
        <f>SUMIFS(전체리스트!E:E,전체리스트!A:A,B9,전체리스트!C:C,D9)</f>
        <v>30478</v>
      </c>
      <c r="H9" s="27">
        <f t="shared" si="2"/>
        <v>1523.9</v>
      </c>
      <c r="I9" s="30">
        <f t="shared" si="3"/>
        <v>28954.1</v>
      </c>
      <c r="J9" s="26"/>
    </row>
    <row r="10" spans="2:10">
      <c r="B10" s="26" t="s">
        <v>182</v>
      </c>
      <c r="C10" s="61" t="str">
        <f t="shared" si="0"/>
        <v>12월분</v>
      </c>
      <c r="D10" s="26" t="s">
        <v>180</v>
      </c>
      <c r="E10" s="27">
        <f>SUMIFS(전체리스트!D:D,전체리스트!A:A,B10,전체리스트!C:C,D10)</f>
        <v>544270</v>
      </c>
      <c r="F10" s="28">
        <f t="shared" si="1"/>
        <v>163281</v>
      </c>
      <c r="G10" s="29">
        <f>SUMIFS(전체리스트!E:E,전체리스트!A:A,B10,전체리스트!C:C,D10)</f>
        <v>380989</v>
      </c>
      <c r="H10" s="27">
        <f t="shared" si="2"/>
        <v>19049.45</v>
      </c>
      <c r="I10" s="30">
        <f t="shared" si="3"/>
        <v>361939.55</v>
      </c>
      <c r="J10" s="26"/>
    </row>
    <row r="11" spans="2:10">
      <c r="B11" s="26" t="s">
        <v>182</v>
      </c>
      <c r="C11" s="61" t="str">
        <f t="shared" si="0"/>
        <v>12월분</v>
      </c>
      <c r="D11" s="26" t="s">
        <v>179</v>
      </c>
      <c r="E11" s="27">
        <f>SUMIFS(전체리스트!D:D,전체리스트!A:A,B11,전체리스트!C:C,D11)</f>
        <v>918030</v>
      </c>
      <c r="F11" s="28">
        <f t="shared" si="1"/>
        <v>275409</v>
      </c>
      <c r="G11" s="29">
        <f>SUMIFS(전체리스트!E:E,전체리스트!A:A,B11,전체리스트!C:C,D11)</f>
        <v>642621</v>
      </c>
      <c r="H11" s="27">
        <f t="shared" si="2"/>
        <v>32131.050000000003</v>
      </c>
      <c r="I11" s="30">
        <f t="shared" si="3"/>
        <v>610489.94999999995</v>
      </c>
      <c r="J11" s="26"/>
    </row>
    <row r="12" spans="2:10">
      <c r="B12" s="26" t="s">
        <v>182</v>
      </c>
      <c r="C12" s="61" t="str">
        <f t="shared" ref="C12:C17" si="4">VLOOKUP(B12,raw_a,2,0)</f>
        <v>12월분</v>
      </c>
      <c r="D12" s="26" t="s">
        <v>346</v>
      </c>
      <c r="E12" s="27">
        <f>SUMIFS(전체리스트!D:D,전체리스트!A:A,B12,전체리스트!C:C,D12)</f>
        <v>11200</v>
      </c>
      <c r="F12" s="28">
        <f t="shared" ref="F12:F17" si="5">E12-G12</f>
        <v>3360</v>
      </c>
      <c r="G12" s="29">
        <f>SUMIFS(전체리스트!E:E,전체리스트!A:A,B12,전체리스트!C:C,D12)</f>
        <v>7840</v>
      </c>
      <c r="H12" s="27">
        <f t="shared" si="2"/>
        <v>392</v>
      </c>
      <c r="I12" s="30">
        <f t="shared" ref="I12:I17" si="6">G12-H12</f>
        <v>7448</v>
      </c>
      <c r="J12" s="26"/>
    </row>
    <row r="13" spans="2:10">
      <c r="B13" s="26" t="s">
        <v>182</v>
      </c>
      <c r="C13" s="61" t="str">
        <f t="shared" si="4"/>
        <v>12월분</v>
      </c>
      <c r="D13" s="26" t="s">
        <v>308</v>
      </c>
      <c r="E13" s="27">
        <f>SUMIFS(전체리스트!D:D,전체리스트!A:A,B13,전체리스트!C:C,D13)</f>
        <v>67900</v>
      </c>
      <c r="F13" s="28">
        <f t="shared" si="5"/>
        <v>20370</v>
      </c>
      <c r="G13" s="29">
        <f>SUMIFS(전체리스트!E:E,전체리스트!A:A,B13,전체리스트!C:C,D13)</f>
        <v>47530</v>
      </c>
      <c r="H13" s="27">
        <f t="shared" si="2"/>
        <v>2376.5</v>
      </c>
      <c r="I13" s="30">
        <f t="shared" si="6"/>
        <v>45153.5</v>
      </c>
      <c r="J13" s="26"/>
    </row>
    <row r="14" spans="2:10">
      <c r="B14" s="26" t="s">
        <v>182</v>
      </c>
      <c r="C14" s="61" t="str">
        <f t="shared" si="4"/>
        <v>12월분</v>
      </c>
      <c r="D14" s="26" t="s">
        <v>20</v>
      </c>
      <c r="E14" s="27">
        <f>SUMIFS(전체리스트!D:D,전체리스트!A:A,B14,전체리스트!C:C,D14)</f>
        <v>70800</v>
      </c>
      <c r="F14" s="28">
        <f t="shared" si="5"/>
        <v>21240</v>
      </c>
      <c r="G14" s="29">
        <f>SUMIFS(전체리스트!E:E,전체리스트!A:A,B14,전체리스트!C:C,D14)</f>
        <v>49560</v>
      </c>
      <c r="H14" s="27">
        <f t="shared" si="2"/>
        <v>2478</v>
      </c>
      <c r="I14" s="30">
        <f t="shared" si="6"/>
        <v>47082</v>
      </c>
      <c r="J14" s="26"/>
    </row>
    <row r="15" spans="2:10">
      <c r="B15" s="26" t="s">
        <v>182</v>
      </c>
      <c r="C15" s="61" t="str">
        <f t="shared" si="4"/>
        <v>12월분</v>
      </c>
      <c r="D15" s="26" t="s">
        <v>231</v>
      </c>
      <c r="E15" s="27">
        <f>SUMIFS(전체리스트!D:D,전체리스트!A:A,B15,전체리스트!C:C,D15)</f>
        <v>23000</v>
      </c>
      <c r="F15" s="28">
        <f t="shared" si="5"/>
        <v>6900</v>
      </c>
      <c r="G15" s="29">
        <f>SUMIFS(전체리스트!E:E,전체리스트!A:A,B15,전체리스트!C:C,D15)</f>
        <v>16100</v>
      </c>
      <c r="H15" s="27">
        <f t="shared" si="2"/>
        <v>805</v>
      </c>
      <c r="I15" s="30">
        <f t="shared" si="6"/>
        <v>15295</v>
      </c>
      <c r="J15" s="26"/>
    </row>
    <row r="16" spans="2:10">
      <c r="B16" s="26" t="s">
        <v>182</v>
      </c>
      <c r="C16" s="61" t="str">
        <f t="shared" si="4"/>
        <v>12월분</v>
      </c>
      <c r="D16" s="26" t="s">
        <v>76</v>
      </c>
      <c r="E16" s="27">
        <f>SUMIFS(전체리스트!D:D,전체리스트!A:A,B16,전체리스트!C:C,D16)</f>
        <v>219740</v>
      </c>
      <c r="F16" s="28">
        <f t="shared" si="5"/>
        <v>65922</v>
      </c>
      <c r="G16" s="29">
        <f>SUMIFS(전체리스트!E:E,전체리스트!A:A,B16,전체리스트!C:C,D16)</f>
        <v>153818</v>
      </c>
      <c r="H16" s="27">
        <f t="shared" si="2"/>
        <v>7690.9000000000005</v>
      </c>
      <c r="I16" s="30">
        <f t="shared" si="6"/>
        <v>146127.1</v>
      </c>
      <c r="J16" s="26"/>
    </row>
    <row r="17" spans="2:10">
      <c r="B17" s="26" t="s">
        <v>182</v>
      </c>
      <c r="C17" s="61" t="str">
        <f t="shared" si="4"/>
        <v>12월분</v>
      </c>
      <c r="D17" s="26" t="s">
        <v>77</v>
      </c>
      <c r="E17" s="27">
        <f>SUMIFS(전체리스트!D:D,전체리스트!A:A,B17,전체리스트!C:C,D17)</f>
        <v>1884000</v>
      </c>
      <c r="F17" s="28">
        <f t="shared" si="5"/>
        <v>565199.94600000372</v>
      </c>
      <c r="G17" s="29">
        <f>SUMIFS(전체리스트!E:E,전체리스트!A:A,B17,전체리스트!C:C,D17)</f>
        <v>1318800.0539999963</v>
      </c>
      <c r="H17" s="27">
        <f t="shared" si="2"/>
        <v>65940.002699999823</v>
      </c>
      <c r="I17" s="30">
        <f t="shared" si="6"/>
        <v>1252860.0512999964</v>
      </c>
      <c r="J17" s="26"/>
    </row>
    <row r="18" spans="2:10">
      <c r="B18" s="26" t="s">
        <v>182</v>
      </c>
      <c r="C18" s="61" t="str">
        <f t="shared" si="0"/>
        <v>12월분</v>
      </c>
      <c r="D18" s="26" t="s">
        <v>21</v>
      </c>
      <c r="E18" s="27">
        <f>SUMIFS(전체리스트!D:D,전체리스트!A:A,B18,전체리스트!C:C,D18)</f>
        <v>5840</v>
      </c>
      <c r="F18" s="28">
        <f t="shared" si="1"/>
        <v>1752</v>
      </c>
      <c r="G18" s="29">
        <f>SUMIFS(전체리스트!E:E,전체리스트!A:A,B18,전체리스트!C:C,D18)</f>
        <v>4088</v>
      </c>
      <c r="H18" s="27">
        <f t="shared" si="2"/>
        <v>204.4</v>
      </c>
      <c r="I18" s="30">
        <f t="shared" si="3"/>
        <v>3883.6</v>
      </c>
      <c r="J18" s="26"/>
    </row>
    <row r="19" spans="2:10">
      <c r="B19" s="26" t="s">
        <v>182</v>
      </c>
      <c r="C19" s="61" t="str">
        <f t="shared" ref="C19:C26" si="7">VLOOKUP(B19,raw_a,2,0)</f>
        <v>12월분</v>
      </c>
      <c r="D19" s="26" t="s">
        <v>327</v>
      </c>
      <c r="E19" s="27">
        <f>SUMIFS(전체리스트!D:D,전체리스트!A:A,B19,전체리스트!C:C,D19)</f>
        <v>2470</v>
      </c>
      <c r="F19" s="28">
        <f t="shared" ref="F19:F26" si="8">E19-G19</f>
        <v>741</v>
      </c>
      <c r="G19" s="29">
        <f>SUMIFS(전체리스트!E:E,전체리스트!A:A,B19,전체리스트!C:C,D19)</f>
        <v>1729</v>
      </c>
      <c r="H19" s="27">
        <f t="shared" ref="H19:H26" si="9">G19*0.05</f>
        <v>86.45</v>
      </c>
      <c r="I19" s="30">
        <f t="shared" ref="I19:I26" si="10">G19-H19</f>
        <v>1642.55</v>
      </c>
      <c r="J19" s="26"/>
    </row>
    <row r="20" spans="2:10">
      <c r="B20" s="26" t="s">
        <v>182</v>
      </c>
      <c r="C20" s="61" t="str">
        <f t="shared" si="7"/>
        <v>12월분</v>
      </c>
      <c r="D20" s="26" t="s">
        <v>68</v>
      </c>
      <c r="E20" s="27">
        <f>SUMIFS(전체리스트!D:D,전체리스트!A:A,B20,전체리스트!C:C,D20)</f>
        <v>48690</v>
      </c>
      <c r="F20" s="28">
        <f t="shared" si="8"/>
        <v>14607</v>
      </c>
      <c r="G20" s="29">
        <f>SUMIFS(전체리스트!E:E,전체리스트!A:A,B20,전체리스트!C:C,D20)</f>
        <v>34083</v>
      </c>
      <c r="H20" s="27">
        <f t="shared" si="9"/>
        <v>1704.15</v>
      </c>
      <c r="I20" s="30">
        <f t="shared" si="10"/>
        <v>32378.85</v>
      </c>
      <c r="J20" s="26"/>
    </row>
    <row r="21" spans="2:10">
      <c r="B21" s="26" t="s">
        <v>182</v>
      </c>
      <c r="C21" s="61" t="str">
        <f t="shared" si="7"/>
        <v>12월분</v>
      </c>
      <c r="D21" s="26" t="s">
        <v>154</v>
      </c>
      <c r="E21" s="27">
        <f>SUMIFS(전체리스트!D:D,전체리스트!A:A,B21,전체리스트!C:C,D21)</f>
        <v>200</v>
      </c>
      <c r="F21" s="28">
        <f t="shared" si="8"/>
        <v>60</v>
      </c>
      <c r="G21" s="29">
        <f>SUMIFS(전체리스트!E:E,전체리스트!A:A,B21,전체리스트!C:C,D21)</f>
        <v>140</v>
      </c>
      <c r="H21" s="27">
        <f t="shared" si="9"/>
        <v>7</v>
      </c>
      <c r="I21" s="30">
        <f t="shared" si="10"/>
        <v>133</v>
      </c>
      <c r="J21" s="26"/>
    </row>
    <row r="22" spans="2:10">
      <c r="B22" s="26" t="s">
        <v>182</v>
      </c>
      <c r="C22" s="61" t="str">
        <f t="shared" ref="C22:C23" si="11">VLOOKUP(B22,raw_a,2,0)</f>
        <v>12월분</v>
      </c>
      <c r="D22" s="26" t="s">
        <v>17</v>
      </c>
      <c r="E22" s="27">
        <f>SUMIFS(전체리스트!D:D,전체리스트!A:A,B22,전체리스트!C:C,D22)</f>
        <v>18900</v>
      </c>
      <c r="F22" s="28">
        <f t="shared" ref="F22:F23" si="12">E22-G22</f>
        <v>5670</v>
      </c>
      <c r="G22" s="29">
        <f>SUMIFS(전체리스트!E:E,전체리스트!A:A,B22,전체리스트!C:C,D22)</f>
        <v>13230</v>
      </c>
      <c r="H22" s="27">
        <f t="shared" ref="H22:H23" si="13">G22*0.05</f>
        <v>661.5</v>
      </c>
      <c r="I22" s="30">
        <f t="shared" ref="I22:I23" si="14">G22-H22</f>
        <v>12568.5</v>
      </c>
      <c r="J22" s="26"/>
    </row>
    <row r="23" spans="2:10">
      <c r="B23" s="26" t="s">
        <v>182</v>
      </c>
      <c r="C23" s="61" t="str">
        <f t="shared" si="11"/>
        <v>12월분</v>
      </c>
      <c r="D23" s="26" t="s">
        <v>229</v>
      </c>
      <c r="E23" s="27">
        <f>SUMIFS(전체리스트!D:D,전체리스트!A:A,B23,전체리스트!C:C,D23)</f>
        <v>401640</v>
      </c>
      <c r="F23" s="28">
        <f t="shared" si="12"/>
        <v>120491.92899999995</v>
      </c>
      <c r="G23" s="29">
        <f>SUMIFS(전체리스트!E:E,전체리스트!A:A,B23,전체리스트!C:C,D23)</f>
        <v>281148.07100000005</v>
      </c>
      <c r="H23" s="27">
        <f t="shared" si="13"/>
        <v>14057.403550000003</v>
      </c>
      <c r="I23" s="30">
        <f t="shared" si="14"/>
        <v>267090.66745000007</v>
      </c>
      <c r="J23" s="26"/>
    </row>
    <row r="24" spans="2:10">
      <c r="B24" s="26" t="s">
        <v>182</v>
      </c>
      <c r="C24" s="61" t="str">
        <f t="shared" si="7"/>
        <v>12월분</v>
      </c>
      <c r="D24" s="26" t="s">
        <v>267</v>
      </c>
      <c r="E24" s="27">
        <f>SUMIFS(전체리스트!D:D,전체리스트!A:A,B24,전체리스트!C:C,D24)</f>
        <v>4500</v>
      </c>
      <c r="F24" s="28">
        <f t="shared" si="8"/>
        <v>1350</v>
      </c>
      <c r="G24" s="29">
        <f>SUMIFS(전체리스트!E:E,전체리스트!A:A,B24,전체리스트!C:C,D24)</f>
        <v>3150</v>
      </c>
      <c r="H24" s="27">
        <f t="shared" si="9"/>
        <v>157.5</v>
      </c>
      <c r="I24" s="30">
        <f t="shared" si="10"/>
        <v>2992.5</v>
      </c>
      <c r="J24" s="26"/>
    </row>
    <row r="25" spans="2:10">
      <c r="B25" s="26" t="s">
        <v>182</v>
      </c>
      <c r="C25" s="61" t="str">
        <f t="shared" si="7"/>
        <v>12월분</v>
      </c>
      <c r="D25" s="26" t="s">
        <v>57</v>
      </c>
      <c r="E25" s="27">
        <f>SUMIFS(전체리스트!D:D,전체리스트!A:A,B25,전체리스트!C:C,D25)</f>
        <v>500</v>
      </c>
      <c r="F25" s="28">
        <f t="shared" si="8"/>
        <v>150</v>
      </c>
      <c r="G25" s="29">
        <f>SUMIFS(전체리스트!E:E,전체리스트!A:A,B25,전체리스트!C:C,D25)</f>
        <v>350</v>
      </c>
      <c r="H25" s="27">
        <f t="shared" si="9"/>
        <v>17.5</v>
      </c>
      <c r="I25" s="30">
        <f t="shared" si="10"/>
        <v>332.5</v>
      </c>
      <c r="J25" s="26"/>
    </row>
    <row r="26" spans="2:10">
      <c r="B26" s="26" t="s">
        <v>182</v>
      </c>
      <c r="C26" s="61" t="str">
        <f t="shared" si="7"/>
        <v>12월분</v>
      </c>
      <c r="D26" s="26" t="s">
        <v>37</v>
      </c>
      <c r="E26" s="27">
        <f>SUMIFS(전체리스트!D:D,전체리스트!A:A,B26,전체리스트!C:C,D26)</f>
        <v>15000</v>
      </c>
      <c r="F26" s="28">
        <f t="shared" si="8"/>
        <v>4500</v>
      </c>
      <c r="G26" s="29">
        <f>SUMIFS(전체리스트!E:E,전체리스트!A:A,B26,전체리스트!C:C,D26)</f>
        <v>10500</v>
      </c>
      <c r="H26" s="27">
        <f t="shared" si="9"/>
        <v>525</v>
      </c>
      <c r="I26" s="30">
        <f t="shared" si="10"/>
        <v>9975</v>
      </c>
      <c r="J26" s="26"/>
    </row>
    <row r="27" spans="2:10">
      <c r="B27" s="26" t="s">
        <v>182</v>
      </c>
      <c r="C27" s="61" t="str">
        <f t="shared" si="0"/>
        <v>12월분</v>
      </c>
      <c r="D27" s="26" t="s">
        <v>328</v>
      </c>
      <c r="E27" s="27">
        <f>SUMIFS(전체리스트!D:D,전체리스트!A:A,B27,전체리스트!C:C,D27)</f>
        <v>11940</v>
      </c>
      <c r="F27" s="28">
        <f t="shared" si="1"/>
        <v>3582</v>
      </c>
      <c r="G27" s="29">
        <f>SUMIFS(전체리스트!E:E,전체리스트!A:A,B27,전체리스트!C:C,D27)</f>
        <v>8358</v>
      </c>
      <c r="H27" s="27">
        <f t="shared" si="2"/>
        <v>417.90000000000003</v>
      </c>
      <c r="I27" s="30">
        <f t="shared" si="3"/>
        <v>7940.1</v>
      </c>
      <c r="J27" s="26"/>
    </row>
    <row r="28" spans="2:10">
      <c r="B28" s="26" t="s">
        <v>182</v>
      </c>
      <c r="C28" s="61" t="str">
        <f t="shared" ref="C28:C29" si="15">VLOOKUP(B28,raw_a,2,0)</f>
        <v>12월분</v>
      </c>
      <c r="D28" s="26" t="s">
        <v>59</v>
      </c>
      <c r="E28" s="27">
        <f>SUMIFS(전체리스트!D:D,전체리스트!A:A,B28,전체리스트!C:C,D28)</f>
        <v>68080</v>
      </c>
      <c r="F28" s="28">
        <f t="shared" ref="F28:F29" si="16">E28-G28</f>
        <v>20423.983000000007</v>
      </c>
      <c r="G28" s="29">
        <f>SUMIFS(전체리스트!E:E,전체리스트!A:A,B28,전체리스트!C:C,D28)</f>
        <v>47656.016999999993</v>
      </c>
      <c r="H28" s="27">
        <f t="shared" si="2"/>
        <v>2382.8008499999996</v>
      </c>
      <c r="I28" s="30">
        <f t="shared" ref="I28:I29" si="17">G28-H28</f>
        <v>45273.216149999993</v>
      </c>
      <c r="J28" s="26"/>
    </row>
    <row r="29" spans="2:10">
      <c r="B29" s="26" t="s">
        <v>182</v>
      </c>
      <c r="C29" s="61" t="str">
        <f t="shared" si="15"/>
        <v>12월분</v>
      </c>
      <c r="D29" s="26" t="s">
        <v>380</v>
      </c>
      <c r="E29" s="27">
        <f>SUMIFS(전체리스트!D:D,전체리스트!A:A,B29,전체리스트!C:C,D29)</f>
        <v>50240</v>
      </c>
      <c r="F29" s="28">
        <f t="shared" si="16"/>
        <v>15072</v>
      </c>
      <c r="G29" s="29">
        <f>SUMIFS(전체리스트!E:E,전체리스트!A:A,B29,전체리스트!C:C,D29)</f>
        <v>35168</v>
      </c>
      <c r="H29" s="27">
        <f t="shared" si="2"/>
        <v>1758.4</v>
      </c>
      <c r="I29" s="30">
        <f t="shared" si="17"/>
        <v>33409.599999999999</v>
      </c>
      <c r="J29" s="26"/>
    </row>
    <row r="30" spans="2:10">
      <c r="B30" s="26" t="s">
        <v>182</v>
      </c>
      <c r="C30" s="61" t="str">
        <f t="shared" si="0"/>
        <v>12월분</v>
      </c>
      <c r="D30" s="26" t="s">
        <v>347</v>
      </c>
      <c r="E30" s="27">
        <f>SUMIFS(전체리스트!D:D,전체리스트!A:A,B30,전체리스트!C:C,D30)</f>
        <v>68120</v>
      </c>
      <c r="F30" s="28">
        <f t="shared" si="1"/>
        <v>20436</v>
      </c>
      <c r="G30" s="29">
        <f>SUMIFS(전체리스트!E:E,전체리스트!A:A,B30,전체리스트!C:C,D30)</f>
        <v>47684</v>
      </c>
      <c r="H30" s="27">
        <f t="shared" si="2"/>
        <v>2384.2000000000003</v>
      </c>
      <c r="I30" s="30">
        <f t="shared" si="3"/>
        <v>45299.8</v>
      </c>
      <c r="J30" s="26"/>
    </row>
    <row r="31" spans="2:10">
      <c r="B31" s="26" t="s">
        <v>182</v>
      </c>
      <c r="C31" s="61" t="str">
        <f t="shared" si="0"/>
        <v>12월분</v>
      </c>
      <c r="D31" s="26" t="s">
        <v>183</v>
      </c>
      <c r="E31" s="27">
        <f>SUMIFS(전체리스트!D:D,전체리스트!A:A,B31,전체리스트!C:C,D31)</f>
        <v>9600</v>
      </c>
      <c r="F31" s="28">
        <f t="shared" si="1"/>
        <v>2880</v>
      </c>
      <c r="G31" s="29">
        <f>SUMIFS(전체리스트!E:E,전체리스트!A:A,B31,전체리스트!C:C,D31)</f>
        <v>6720</v>
      </c>
      <c r="H31" s="27">
        <f t="shared" si="2"/>
        <v>336</v>
      </c>
      <c r="I31" s="30">
        <f t="shared" si="3"/>
        <v>6384</v>
      </c>
      <c r="J31" s="26"/>
    </row>
    <row r="32" spans="2:10">
      <c r="B32" s="26" t="s">
        <v>182</v>
      </c>
      <c r="C32" s="61" t="str">
        <f t="shared" ref="C32" si="18">VLOOKUP(B32,raw_a,2,0)</f>
        <v>12월분</v>
      </c>
      <c r="D32" s="26" t="s">
        <v>61</v>
      </c>
      <c r="E32" s="27">
        <f>SUMIFS(전체리스트!D:D,전체리스트!A:A,B32,전체리스트!C:C,D32)</f>
        <v>25620</v>
      </c>
      <c r="F32" s="28">
        <f t="shared" ref="F32" si="19">E32-G32</f>
        <v>7686</v>
      </c>
      <c r="G32" s="29">
        <f>SUMIFS(전체리스트!E:E,전체리스트!A:A,B32,전체리스트!C:C,D32)</f>
        <v>17934</v>
      </c>
      <c r="H32" s="27">
        <f t="shared" si="2"/>
        <v>896.7</v>
      </c>
      <c r="I32" s="30">
        <f t="shared" ref="I32" si="20">G32-H32</f>
        <v>17037.3</v>
      </c>
      <c r="J32" s="26"/>
    </row>
    <row r="33" spans="2:10">
      <c r="B33" s="31" t="s">
        <v>0</v>
      </c>
      <c r="C33" s="31"/>
      <c r="D33" s="32"/>
      <c r="E33" s="33">
        <f t="shared" ref="E33:J33" si="21">SUM(E6:E32)</f>
        <v>4620560</v>
      </c>
      <c r="F33" s="33">
        <f t="shared" si="21"/>
        <v>1386167.8580000037</v>
      </c>
      <c r="G33" s="33">
        <f t="shared" si="21"/>
        <v>3234392.1419999963</v>
      </c>
      <c r="H33" s="33">
        <f t="shared" si="21"/>
        <v>161719.60709999985</v>
      </c>
      <c r="I33" s="33">
        <f t="shared" si="21"/>
        <v>3072672.5348999961</v>
      </c>
      <c r="J33" s="33">
        <f t="shared" si="21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4:J31"/>
  <sheetViews>
    <sheetView workbookViewId="0">
      <selection activeCell="M29" sqref="M29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3.1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151</v>
      </c>
      <c r="C6" s="61" t="str">
        <f t="shared" ref="C6:C11" si="0">VLOOKUP(B6,raw_a,2,0)</f>
        <v>12월분</v>
      </c>
      <c r="D6" s="102" t="s">
        <v>77</v>
      </c>
      <c r="E6" s="27">
        <f>SUMIFS(전체리스트!D:D,전체리스트!A:A,B6,전체리스트!C:C,D6)</f>
        <v>5109300</v>
      </c>
      <c r="F6" s="28">
        <f>E6-G6</f>
        <v>2043720</v>
      </c>
      <c r="G6" s="29">
        <f>SUMIFS(전체리스트!E:E,전체리스트!A:A,B6,전체리스트!C:C,D6)</f>
        <v>3065580</v>
      </c>
      <c r="H6" s="27">
        <f>G6*0.05</f>
        <v>153279</v>
      </c>
      <c r="I6" s="30">
        <f>G6-H6</f>
        <v>2912301</v>
      </c>
      <c r="J6" s="26"/>
    </row>
    <row r="7" spans="2:10">
      <c r="B7" s="26" t="s">
        <v>147</v>
      </c>
      <c r="C7" s="61" t="str">
        <f t="shared" si="0"/>
        <v>12월분</v>
      </c>
      <c r="D7" s="102" t="s">
        <v>321</v>
      </c>
      <c r="E7" s="27">
        <f>SUMIFS(전체리스트!D:D,전체리스트!A:A,B7,전체리스트!C:C,D7)</f>
        <v>4421340</v>
      </c>
      <c r="F7" s="28">
        <f t="shared" ref="F7:F11" si="1">E7-G7</f>
        <v>1768536</v>
      </c>
      <c r="G7" s="29">
        <f>SUMIFS(전체리스트!E:E,전체리스트!A:A,B7,전체리스트!C:C,D7)</f>
        <v>2652804</v>
      </c>
      <c r="H7" s="27">
        <f t="shared" ref="H7:H30" si="2">G7*0.05</f>
        <v>132640.20000000001</v>
      </c>
      <c r="I7" s="30">
        <f t="shared" ref="I7:I11" si="3">G7-H7</f>
        <v>2520163.7999999998</v>
      </c>
      <c r="J7" s="26"/>
    </row>
    <row r="8" spans="2:10">
      <c r="B8" s="26" t="s">
        <v>147</v>
      </c>
      <c r="C8" s="61" t="str">
        <f t="shared" si="0"/>
        <v>12월분</v>
      </c>
      <c r="D8" s="102" t="s">
        <v>179</v>
      </c>
      <c r="E8" s="27">
        <f>SUMIFS(전체리스트!D:D,전체리스트!A:A,B8,전체리스트!C:C,D8)</f>
        <v>2782360</v>
      </c>
      <c r="F8" s="28">
        <f t="shared" si="1"/>
        <v>1112944</v>
      </c>
      <c r="G8" s="29">
        <f>SUMIFS(전체리스트!E:E,전체리스트!A:A,B8,전체리스트!C:C,D8)</f>
        <v>1669416</v>
      </c>
      <c r="H8" s="27">
        <f t="shared" si="2"/>
        <v>83470.8</v>
      </c>
      <c r="I8" s="30">
        <f t="shared" si="3"/>
        <v>1585945.2</v>
      </c>
      <c r="J8" s="26"/>
    </row>
    <row r="9" spans="2:10">
      <c r="B9" s="26" t="s">
        <v>147</v>
      </c>
      <c r="C9" s="61" t="str">
        <f t="shared" si="0"/>
        <v>12월분</v>
      </c>
      <c r="D9" s="102" t="s">
        <v>76</v>
      </c>
      <c r="E9" s="27">
        <f>SUMIFS(전체리스트!D:D,전체리스트!A:A,B9,전체리스트!C:C,D9)</f>
        <v>1729840</v>
      </c>
      <c r="F9" s="28">
        <f t="shared" si="1"/>
        <v>691936</v>
      </c>
      <c r="G9" s="29">
        <f>SUMIFS(전체리스트!E:E,전체리스트!A:A,B9,전체리스트!C:C,D9)</f>
        <v>1037904</v>
      </c>
      <c r="H9" s="27">
        <f t="shared" si="2"/>
        <v>51895.200000000004</v>
      </c>
      <c r="I9" s="30">
        <f t="shared" si="3"/>
        <v>986008.8</v>
      </c>
      <c r="J9" s="26"/>
    </row>
    <row r="10" spans="2:10">
      <c r="B10" s="26" t="s">
        <v>147</v>
      </c>
      <c r="C10" s="61" t="str">
        <f t="shared" si="0"/>
        <v>12월분</v>
      </c>
      <c r="D10" s="102" t="s">
        <v>66</v>
      </c>
      <c r="E10" s="27">
        <f>SUMIFS(전체리스트!D:D,전체리스트!A:A,B10,전체리스트!C:C,D10)</f>
        <v>1682940</v>
      </c>
      <c r="F10" s="28">
        <f t="shared" si="1"/>
        <v>673176</v>
      </c>
      <c r="G10" s="29">
        <f>SUMIFS(전체리스트!E:E,전체리스트!A:A,B10,전체리스트!C:C,D10)</f>
        <v>1009764</v>
      </c>
      <c r="H10" s="27">
        <f t="shared" si="2"/>
        <v>50488.200000000004</v>
      </c>
      <c r="I10" s="30">
        <f t="shared" si="3"/>
        <v>959275.8</v>
      </c>
      <c r="J10" s="26"/>
    </row>
    <row r="11" spans="2:10">
      <c r="B11" s="26" t="s">
        <v>147</v>
      </c>
      <c r="C11" s="61" t="str">
        <f t="shared" si="0"/>
        <v>12월분</v>
      </c>
      <c r="D11" s="102" t="s">
        <v>180</v>
      </c>
      <c r="E11" s="27">
        <f>SUMIFS(전체리스트!D:D,전체리스트!A:A,B11,전체리스트!C:C,D11)</f>
        <v>636160</v>
      </c>
      <c r="F11" s="28">
        <f t="shared" si="1"/>
        <v>254464</v>
      </c>
      <c r="G11" s="29">
        <f>SUMIFS(전체리스트!E:E,전체리스트!A:A,B11,전체리스트!C:C,D11)</f>
        <v>381696</v>
      </c>
      <c r="H11" s="27">
        <f t="shared" si="2"/>
        <v>19084.8</v>
      </c>
      <c r="I11" s="30">
        <f t="shared" si="3"/>
        <v>362611.20000000001</v>
      </c>
      <c r="J11" s="26"/>
    </row>
    <row r="12" spans="2:10">
      <c r="B12" s="26" t="s">
        <v>147</v>
      </c>
      <c r="C12" s="61" t="str">
        <f t="shared" ref="C12:C30" si="4">VLOOKUP(B12,raw_a,2,0)</f>
        <v>12월분</v>
      </c>
      <c r="D12" s="102" t="s">
        <v>347</v>
      </c>
      <c r="E12" s="27">
        <f>SUMIFS(전체리스트!D:D,전체리스트!A:A,B12,전체리스트!C:C,D12)</f>
        <v>541800</v>
      </c>
      <c r="F12" s="28">
        <f t="shared" ref="F12:F30" si="5">E12-G12</f>
        <v>216720</v>
      </c>
      <c r="G12" s="29">
        <f>SUMIFS(전체리스트!E:E,전체리스트!A:A,B12,전체리스트!C:C,D12)</f>
        <v>325080</v>
      </c>
      <c r="H12" s="27">
        <f t="shared" si="2"/>
        <v>16254</v>
      </c>
      <c r="I12" s="30">
        <f t="shared" ref="I12:I30" si="6">G12-H12</f>
        <v>308826</v>
      </c>
      <c r="J12" s="26"/>
    </row>
    <row r="13" spans="2:10">
      <c r="B13" s="26" t="s">
        <v>147</v>
      </c>
      <c r="C13" s="61" t="str">
        <f t="shared" si="4"/>
        <v>12월분</v>
      </c>
      <c r="D13" s="102" t="s">
        <v>308</v>
      </c>
      <c r="E13" s="27">
        <f>SUMIFS(전체리스트!D:D,전체리스트!A:A,B13,전체리스트!C:C,D13)</f>
        <v>257040</v>
      </c>
      <c r="F13" s="28">
        <f t="shared" si="5"/>
        <v>102816</v>
      </c>
      <c r="G13" s="29">
        <f>SUMIFS(전체리스트!E:E,전체리스트!A:A,B13,전체리스트!C:C,D13)</f>
        <v>154224</v>
      </c>
      <c r="H13" s="27">
        <f t="shared" si="2"/>
        <v>7711.2000000000007</v>
      </c>
      <c r="I13" s="30">
        <f t="shared" si="6"/>
        <v>146512.79999999999</v>
      </c>
      <c r="J13" s="26"/>
    </row>
    <row r="14" spans="2:10">
      <c r="B14" s="26" t="s">
        <v>147</v>
      </c>
      <c r="C14" s="61" t="str">
        <f t="shared" si="4"/>
        <v>12월분</v>
      </c>
      <c r="D14" s="102" t="s">
        <v>312</v>
      </c>
      <c r="E14" s="27">
        <f>SUMIFS(전체리스트!D:D,전체리스트!A:A,B14,전체리스트!C:C,D14)</f>
        <v>180180</v>
      </c>
      <c r="F14" s="28">
        <f t="shared" si="5"/>
        <v>72072</v>
      </c>
      <c r="G14" s="29">
        <f>SUMIFS(전체리스트!E:E,전체리스트!A:A,B14,전체리스트!C:C,D14)</f>
        <v>108108</v>
      </c>
      <c r="H14" s="27">
        <f t="shared" si="2"/>
        <v>5405.4000000000005</v>
      </c>
      <c r="I14" s="30">
        <f t="shared" si="6"/>
        <v>102702.6</v>
      </c>
      <c r="J14" s="26"/>
    </row>
    <row r="15" spans="2:10">
      <c r="B15" s="26" t="s">
        <v>147</v>
      </c>
      <c r="C15" s="61" t="str">
        <f t="shared" si="4"/>
        <v>12월분</v>
      </c>
      <c r="D15" s="102" t="s">
        <v>229</v>
      </c>
      <c r="E15" s="27">
        <f>SUMIFS(전체리스트!D:D,전체리스트!A:A,B15,전체리스트!C:C,D15)</f>
        <v>165060</v>
      </c>
      <c r="F15" s="28">
        <f t="shared" si="5"/>
        <v>66024</v>
      </c>
      <c r="G15" s="29">
        <f>SUMIFS(전체리스트!E:E,전체리스트!A:A,B15,전체리스트!C:C,D15)</f>
        <v>99036</v>
      </c>
      <c r="H15" s="27">
        <f t="shared" si="2"/>
        <v>4951.8</v>
      </c>
      <c r="I15" s="30">
        <f t="shared" si="6"/>
        <v>94084.2</v>
      </c>
      <c r="J15" s="26"/>
    </row>
    <row r="16" spans="2:10">
      <c r="B16" s="26" t="s">
        <v>147</v>
      </c>
      <c r="C16" s="61" t="str">
        <f t="shared" si="4"/>
        <v>12월분</v>
      </c>
      <c r="D16" s="102" t="s">
        <v>346</v>
      </c>
      <c r="E16" s="27">
        <f>SUMIFS(전체리스트!D:D,전체리스트!A:A,B16,전체리스트!C:C,D16)</f>
        <v>143920</v>
      </c>
      <c r="F16" s="28">
        <f t="shared" si="5"/>
        <v>57568</v>
      </c>
      <c r="G16" s="29">
        <f>SUMIFS(전체리스트!E:E,전체리스트!A:A,B16,전체리스트!C:C,D16)</f>
        <v>86352</v>
      </c>
      <c r="H16" s="27">
        <f t="shared" si="2"/>
        <v>4317.6000000000004</v>
      </c>
      <c r="I16" s="30">
        <f t="shared" si="6"/>
        <v>82034.399999999994</v>
      </c>
      <c r="J16" s="26"/>
    </row>
    <row r="17" spans="2:10">
      <c r="B17" s="26" t="s">
        <v>147</v>
      </c>
      <c r="C17" s="61" t="str">
        <f t="shared" si="4"/>
        <v>12월분</v>
      </c>
      <c r="D17" s="102" t="s">
        <v>157</v>
      </c>
      <c r="E17" s="27">
        <f>SUMIFS(전체리스트!D:D,전체리스트!A:A,B17,전체리스트!C:C,D17)</f>
        <v>142240</v>
      </c>
      <c r="F17" s="28">
        <f t="shared" si="5"/>
        <v>56896</v>
      </c>
      <c r="G17" s="29">
        <f>SUMIFS(전체리스트!E:E,전체리스트!A:A,B17,전체리스트!C:C,D17)</f>
        <v>85344</v>
      </c>
      <c r="H17" s="27">
        <f t="shared" si="2"/>
        <v>4267.2</v>
      </c>
      <c r="I17" s="30">
        <f t="shared" si="6"/>
        <v>81076.800000000003</v>
      </c>
      <c r="J17" s="26"/>
    </row>
    <row r="18" spans="2:10">
      <c r="B18" s="26" t="s">
        <v>147</v>
      </c>
      <c r="C18" s="61" t="str">
        <f t="shared" si="4"/>
        <v>12월분</v>
      </c>
      <c r="D18" s="101" t="s">
        <v>61</v>
      </c>
      <c r="E18" s="27">
        <f>SUMIFS(전체리스트!D:D,전체리스트!A:A,B18,전체리스트!C:C,D18)</f>
        <v>100240</v>
      </c>
      <c r="F18" s="28">
        <f t="shared" si="5"/>
        <v>40096</v>
      </c>
      <c r="G18" s="29">
        <f>SUMIFS(전체리스트!E:E,전체리스트!A:A,B18,전체리스트!C:C,D18)</f>
        <v>60144</v>
      </c>
      <c r="H18" s="27">
        <f t="shared" si="2"/>
        <v>3007.2000000000003</v>
      </c>
      <c r="I18" s="30">
        <f t="shared" si="6"/>
        <v>57136.800000000003</v>
      </c>
      <c r="J18" s="26"/>
    </row>
    <row r="19" spans="2:10">
      <c r="B19" s="26" t="s">
        <v>147</v>
      </c>
      <c r="C19" s="61" t="str">
        <f t="shared" ref="C19:C29" si="7">VLOOKUP(B19,raw_a,2,0)</f>
        <v>12월분</v>
      </c>
      <c r="D19" s="101" t="s">
        <v>20</v>
      </c>
      <c r="E19" s="27">
        <f>SUMIFS(전체리스트!D:D,전체리스트!A:A,B19,전체리스트!C:C,D19)</f>
        <v>85680</v>
      </c>
      <c r="F19" s="28">
        <f t="shared" ref="F19:F29" si="8">E19-G19</f>
        <v>34272</v>
      </c>
      <c r="G19" s="29">
        <f>SUMIFS(전체리스트!E:E,전체리스트!A:A,B19,전체리스트!C:C,D19)</f>
        <v>51408</v>
      </c>
      <c r="H19" s="27">
        <f t="shared" si="2"/>
        <v>2570.4</v>
      </c>
      <c r="I19" s="30">
        <f t="shared" ref="I19:I29" si="9">G19-H19</f>
        <v>48837.599999999999</v>
      </c>
      <c r="J19" s="26"/>
    </row>
    <row r="20" spans="2:10">
      <c r="B20" s="26" t="s">
        <v>147</v>
      </c>
      <c r="C20" s="61" t="str">
        <f t="shared" si="7"/>
        <v>12월분</v>
      </c>
      <c r="D20" s="101" t="s">
        <v>18</v>
      </c>
      <c r="E20" s="27">
        <f>SUMIFS(전체리스트!D:D,전체리스트!A:A,B20,전체리스트!C:C,D20)</f>
        <v>77840</v>
      </c>
      <c r="F20" s="28">
        <f t="shared" si="8"/>
        <v>31136</v>
      </c>
      <c r="G20" s="29">
        <f>SUMIFS(전체리스트!E:E,전체리스트!A:A,B20,전체리스트!C:C,D20)</f>
        <v>46704</v>
      </c>
      <c r="H20" s="27">
        <f t="shared" si="2"/>
        <v>2335.2000000000003</v>
      </c>
      <c r="I20" s="30">
        <f t="shared" si="9"/>
        <v>44368.800000000003</v>
      </c>
      <c r="J20" s="26"/>
    </row>
    <row r="21" spans="2:10">
      <c r="B21" s="26" t="s">
        <v>147</v>
      </c>
      <c r="C21" s="61" t="str">
        <f t="shared" ref="C21:C27" si="10">VLOOKUP(B21,raw_a,2,0)</f>
        <v>12월분</v>
      </c>
      <c r="D21" s="101" t="s">
        <v>17</v>
      </c>
      <c r="E21" s="27">
        <f>SUMIFS(전체리스트!D:D,전체리스트!A:A,B21,전체리스트!C:C,D21)</f>
        <v>73360</v>
      </c>
      <c r="F21" s="28">
        <f t="shared" ref="F21:F27" si="11">E21-G21</f>
        <v>29344</v>
      </c>
      <c r="G21" s="29">
        <f>SUMIFS(전체리스트!E:E,전체리스트!A:A,B21,전체리스트!C:C,D21)</f>
        <v>44016</v>
      </c>
      <c r="H21" s="27">
        <f t="shared" si="2"/>
        <v>2200.8000000000002</v>
      </c>
      <c r="I21" s="30">
        <f t="shared" ref="I21:I27" si="12">G21-H21</f>
        <v>41815.199999999997</v>
      </c>
      <c r="J21" s="26"/>
    </row>
    <row r="22" spans="2:10">
      <c r="B22" s="26" t="s">
        <v>147</v>
      </c>
      <c r="C22" s="61" t="str">
        <f t="shared" si="10"/>
        <v>12월분</v>
      </c>
      <c r="D22" s="101" t="s">
        <v>68</v>
      </c>
      <c r="E22" s="27">
        <f>SUMIFS(전체리스트!D:D,전체리스트!A:A,B22,전체리스트!C:C,D22)</f>
        <v>53760</v>
      </c>
      <c r="F22" s="28">
        <f t="shared" si="11"/>
        <v>21504</v>
      </c>
      <c r="G22" s="29">
        <f>SUMIFS(전체리스트!E:E,전체리스트!A:A,B22,전체리스트!C:C,D22)</f>
        <v>32256</v>
      </c>
      <c r="H22" s="27">
        <f t="shared" si="2"/>
        <v>1612.8000000000002</v>
      </c>
      <c r="I22" s="30">
        <f t="shared" si="12"/>
        <v>30643.200000000001</v>
      </c>
      <c r="J22" s="26"/>
    </row>
    <row r="23" spans="2:10">
      <c r="B23" s="26" t="s">
        <v>147</v>
      </c>
      <c r="C23" s="61" t="str">
        <f t="shared" si="10"/>
        <v>12월분</v>
      </c>
      <c r="D23" s="101" t="s">
        <v>72</v>
      </c>
      <c r="E23" s="27">
        <f>SUMIFS(전체리스트!D:D,전체리스트!A:A,B23,전체리스트!C:C,D23)</f>
        <v>35280</v>
      </c>
      <c r="F23" s="28">
        <f t="shared" si="11"/>
        <v>14112</v>
      </c>
      <c r="G23" s="29">
        <f>SUMIFS(전체리스트!E:E,전체리스트!A:A,B23,전체리스트!C:C,D23)</f>
        <v>21168</v>
      </c>
      <c r="H23" s="27">
        <f t="shared" si="2"/>
        <v>1058.4000000000001</v>
      </c>
      <c r="I23" s="30">
        <f t="shared" si="12"/>
        <v>20109.599999999999</v>
      </c>
      <c r="J23" s="26"/>
    </row>
    <row r="24" spans="2:10">
      <c r="B24" s="26" t="s">
        <v>147</v>
      </c>
      <c r="C24" s="61" t="str">
        <f t="shared" si="10"/>
        <v>12월분</v>
      </c>
      <c r="D24" s="101" t="s">
        <v>328</v>
      </c>
      <c r="E24" s="27">
        <f>SUMIFS(전체리스트!D:D,전체리스트!A:A,B24,전체리스트!C:C,D24)</f>
        <v>23240</v>
      </c>
      <c r="F24" s="28">
        <f t="shared" si="11"/>
        <v>9296</v>
      </c>
      <c r="G24" s="29">
        <f>SUMIFS(전체리스트!E:E,전체리스트!A:A,B24,전체리스트!C:C,D24)</f>
        <v>13944</v>
      </c>
      <c r="H24" s="27">
        <f t="shared" si="2"/>
        <v>697.2</v>
      </c>
      <c r="I24" s="30">
        <f t="shared" si="12"/>
        <v>13246.8</v>
      </c>
      <c r="J24" s="26"/>
    </row>
    <row r="25" spans="2:10">
      <c r="B25" s="26" t="s">
        <v>147</v>
      </c>
      <c r="C25" s="61" t="str">
        <f t="shared" si="10"/>
        <v>12월분</v>
      </c>
      <c r="D25" s="101" t="s">
        <v>231</v>
      </c>
      <c r="E25" s="27">
        <f>SUMIFS(전체리스트!D:D,전체리스트!A:A,B25,전체리스트!C:C,D25)</f>
        <v>9240</v>
      </c>
      <c r="F25" s="28">
        <f t="shared" si="11"/>
        <v>3696</v>
      </c>
      <c r="G25" s="29">
        <f>SUMIFS(전체리스트!E:E,전체리스트!A:A,B25,전체리스트!C:C,D25)</f>
        <v>5544</v>
      </c>
      <c r="H25" s="27">
        <f t="shared" ref="H25:H27" si="13">G25*0.05</f>
        <v>277.2</v>
      </c>
      <c r="I25" s="30">
        <f t="shared" si="12"/>
        <v>5266.8</v>
      </c>
      <c r="J25" s="26"/>
    </row>
    <row r="26" spans="2:10">
      <c r="B26" s="26" t="s">
        <v>147</v>
      </c>
      <c r="C26" s="61" t="str">
        <f t="shared" si="10"/>
        <v>12월분</v>
      </c>
      <c r="D26" s="101" t="s">
        <v>327</v>
      </c>
      <c r="E26" s="27">
        <f>SUMIFS(전체리스트!D:D,전체리스트!A:A,B26,전체리스트!C:C,D26)</f>
        <v>4200</v>
      </c>
      <c r="F26" s="28">
        <f t="shared" si="11"/>
        <v>1680</v>
      </c>
      <c r="G26" s="29">
        <f>SUMIFS(전체리스트!E:E,전체리스트!A:A,B26,전체리스트!C:C,D26)</f>
        <v>2520</v>
      </c>
      <c r="H26" s="27">
        <f t="shared" si="13"/>
        <v>126</v>
      </c>
      <c r="I26" s="30">
        <f t="shared" si="12"/>
        <v>2394</v>
      </c>
      <c r="J26" s="26"/>
    </row>
    <row r="27" spans="2:10">
      <c r="B27" s="26" t="s">
        <v>147</v>
      </c>
      <c r="C27" s="61" t="str">
        <f t="shared" si="10"/>
        <v>12월분</v>
      </c>
      <c r="D27" s="101" t="s">
        <v>19</v>
      </c>
      <c r="E27" s="27">
        <f>SUMIFS(전체리스트!D:D,전체리스트!A:A,B27,전체리스트!C:C,D27)</f>
        <v>1680</v>
      </c>
      <c r="F27" s="28">
        <f t="shared" si="11"/>
        <v>672</v>
      </c>
      <c r="G27" s="29">
        <f>SUMIFS(전체리스트!E:E,전체리스트!A:A,B27,전체리스트!C:C,D27)</f>
        <v>1008</v>
      </c>
      <c r="H27" s="27">
        <f t="shared" si="13"/>
        <v>50.400000000000006</v>
      </c>
      <c r="I27" s="30">
        <f t="shared" si="12"/>
        <v>957.6</v>
      </c>
      <c r="J27" s="26"/>
    </row>
    <row r="28" spans="2:10">
      <c r="B28" s="26" t="s">
        <v>147</v>
      </c>
      <c r="C28" s="61" t="str">
        <f t="shared" si="7"/>
        <v>12월분</v>
      </c>
      <c r="D28" s="101" t="s">
        <v>297</v>
      </c>
      <c r="E28" s="27">
        <f>SUMIFS(전체리스트!D:D,전체리스트!A:A,B28,전체리스트!C:C,D28)</f>
        <v>1120</v>
      </c>
      <c r="F28" s="28">
        <f t="shared" si="8"/>
        <v>448</v>
      </c>
      <c r="G28" s="29">
        <f>SUMIFS(전체리스트!E:E,전체리스트!A:A,B28,전체리스트!C:C,D28)</f>
        <v>672</v>
      </c>
      <c r="H28" s="27">
        <f>G28*0.05</f>
        <v>33.6</v>
      </c>
      <c r="I28" s="30">
        <f t="shared" si="9"/>
        <v>638.4</v>
      </c>
      <c r="J28" s="26"/>
    </row>
    <row r="29" spans="2:10">
      <c r="B29" s="26" t="s">
        <v>147</v>
      </c>
      <c r="C29" s="61" t="str">
        <f t="shared" si="7"/>
        <v>12월분</v>
      </c>
      <c r="D29" s="101" t="s">
        <v>395</v>
      </c>
      <c r="E29" s="27">
        <f>SUMIFS(전체리스트!D:D,전체리스트!A:A,B29,전체리스트!C:C,D29)</f>
        <v>1120</v>
      </c>
      <c r="F29" s="28">
        <f t="shared" si="8"/>
        <v>448</v>
      </c>
      <c r="G29" s="29">
        <f>SUMIFS(전체리스트!E:E,전체리스트!A:A,B29,전체리스트!C:C,D29)</f>
        <v>672</v>
      </c>
      <c r="H29" s="27">
        <f t="shared" si="2"/>
        <v>33.6</v>
      </c>
      <c r="I29" s="30">
        <f t="shared" si="9"/>
        <v>638.4</v>
      </c>
      <c r="J29" s="26"/>
    </row>
    <row r="30" spans="2:10">
      <c r="B30" s="26" t="s">
        <v>147</v>
      </c>
      <c r="C30" s="61" t="str">
        <f t="shared" si="4"/>
        <v>12월분</v>
      </c>
      <c r="D30" s="101" t="s">
        <v>86</v>
      </c>
      <c r="E30" s="27">
        <f>SUMIFS(전체리스트!D:D,전체리스트!A:A,B30,전체리스트!C:C,D30)</f>
        <v>420</v>
      </c>
      <c r="F30" s="28">
        <f t="shared" si="5"/>
        <v>168</v>
      </c>
      <c r="G30" s="29">
        <f>SUMIFS(전체리스트!E:E,전체리스트!A:A,B30,전체리스트!C:C,D30)</f>
        <v>252</v>
      </c>
      <c r="H30" s="27">
        <f t="shared" si="2"/>
        <v>12.600000000000001</v>
      </c>
      <c r="I30" s="30">
        <f t="shared" si="6"/>
        <v>239.4</v>
      </c>
      <c r="J30" s="26"/>
    </row>
    <row r="31" spans="2:10">
      <c r="B31" s="31" t="s">
        <v>0</v>
      </c>
      <c r="C31" s="31"/>
      <c r="D31" s="32"/>
      <c r="E31" s="33">
        <f t="shared" ref="E31:J31" si="14">SUM(E6:E30)</f>
        <v>18259360</v>
      </c>
      <c r="F31" s="33">
        <f t="shared" si="14"/>
        <v>7303744</v>
      </c>
      <c r="G31" s="33">
        <f t="shared" si="14"/>
        <v>10955616</v>
      </c>
      <c r="H31" s="33">
        <f t="shared" si="14"/>
        <v>547780.79999999993</v>
      </c>
      <c r="I31" s="33">
        <f t="shared" si="14"/>
        <v>10407835.200000001</v>
      </c>
      <c r="J31" s="33">
        <f t="shared" si="14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1D72-71A3-4857-8112-1482B4113507}">
  <dimension ref="B4:J40"/>
  <sheetViews>
    <sheetView topLeftCell="A16" workbookViewId="0">
      <selection activeCell="N37" sqref="N37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158</v>
      </c>
      <c r="C6" s="61" t="str">
        <f t="shared" ref="C6:C38" si="0">VLOOKUP(B6,raw_a,2,0)</f>
        <v>12월분</v>
      </c>
      <c r="D6" s="26" t="s">
        <v>77</v>
      </c>
      <c r="E6" s="27">
        <f>SUMIFS(전체리스트!D:D,전체리스트!A:A,B6,전체리스트!C:C,D6)</f>
        <v>460404</v>
      </c>
      <c r="F6" s="28">
        <f>E6-G6</f>
        <v>0</v>
      </c>
      <c r="G6" s="29">
        <f>SUMIFS(전체리스트!E:E,전체리스트!A:A,B6,전체리스트!C:C,D6)</f>
        <v>460404</v>
      </c>
      <c r="H6" s="27">
        <f>G6*0.05</f>
        <v>23020.2</v>
      </c>
      <c r="I6" s="30">
        <f>G6-H6</f>
        <v>437383.8</v>
      </c>
      <c r="J6" s="26"/>
    </row>
    <row r="7" spans="2:10">
      <c r="B7" s="26" t="s">
        <v>158</v>
      </c>
      <c r="C7" s="61" t="str">
        <f t="shared" si="0"/>
        <v>12월분</v>
      </c>
      <c r="D7" s="26" t="s">
        <v>76</v>
      </c>
      <c r="E7" s="27">
        <f>SUMIFS(전체리스트!D:D,전체리스트!A:A,B7,전체리스트!C:C,D7)</f>
        <v>61740</v>
      </c>
      <c r="F7" s="28">
        <f t="shared" ref="F7:F12" si="1">E7-G7</f>
        <v>0</v>
      </c>
      <c r="G7" s="29">
        <f>SUMIFS(전체리스트!E:E,전체리스트!A:A,B7,전체리스트!C:C,D7)</f>
        <v>61740</v>
      </c>
      <c r="H7" s="27">
        <f t="shared" ref="H7:H38" si="2">G7*0.05</f>
        <v>3087</v>
      </c>
      <c r="I7" s="30">
        <f t="shared" ref="I7:I12" si="3">G7-H7</f>
        <v>58653</v>
      </c>
      <c r="J7" s="26"/>
    </row>
    <row r="8" spans="2:10">
      <c r="B8" s="26" t="s">
        <v>158</v>
      </c>
      <c r="C8" s="61" t="str">
        <f t="shared" si="0"/>
        <v>12월분</v>
      </c>
      <c r="D8" s="26" t="s">
        <v>155</v>
      </c>
      <c r="E8" s="27">
        <f>SUMIFS(전체리스트!D:D,전체리스트!A:A,B8,전체리스트!C:C,D8)</f>
        <v>32508</v>
      </c>
      <c r="F8" s="28">
        <f t="shared" si="1"/>
        <v>0</v>
      </c>
      <c r="G8" s="29">
        <f>SUMIFS(전체리스트!E:E,전체리스트!A:A,B8,전체리스트!C:C,D8)</f>
        <v>32508</v>
      </c>
      <c r="H8" s="27">
        <f t="shared" si="2"/>
        <v>1625.4</v>
      </c>
      <c r="I8" s="30">
        <f t="shared" si="3"/>
        <v>30882.6</v>
      </c>
      <c r="J8" s="26"/>
    </row>
    <row r="9" spans="2:10">
      <c r="B9" s="26" t="s">
        <v>158</v>
      </c>
      <c r="C9" s="61" t="str">
        <f t="shared" si="0"/>
        <v>12월분</v>
      </c>
      <c r="D9" s="26" t="s">
        <v>159</v>
      </c>
      <c r="E9" s="27">
        <f>SUMIFS(전체리스트!D:D,전체리스트!A:A,B9,전체리스트!C:C,D9)</f>
        <v>588</v>
      </c>
      <c r="F9" s="28">
        <f t="shared" si="1"/>
        <v>0</v>
      </c>
      <c r="G9" s="29">
        <f>SUMIFS(전체리스트!E:E,전체리스트!A:A,B9,전체리스트!C:C,D9)</f>
        <v>588</v>
      </c>
      <c r="H9" s="27">
        <f t="shared" si="2"/>
        <v>29.400000000000002</v>
      </c>
      <c r="I9" s="30">
        <f t="shared" si="3"/>
        <v>558.6</v>
      </c>
      <c r="J9" s="26"/>
    </row>
    <row r="10" spans="2:10">
      <c r="B10" s="26" t="s">
        <v>158</v>
      </c>
      <c r="C10" s="61" t="str">
        <f t="shared" si="0"/>
        <v>12월분</v>
      </c>
      <c r="D10" s="26" t="s">
        <v>150</v>
      </c>
      <c r="E10" s="27">
        <f>SUMIFS(전체리스트!D:D,전체리스트!A:A,B10,전체리스트!C:C,D10)</f>
        <v>335</v>
      </c>
      <c r="F10" s="28">
        <f t="shared" si="1"/>
        <v>0</v>
      </c>
      <c r="G10" s="29">
        <f>SUMIFS(전체리스트!E:E,전체리스트!A:A,B10,전체리스트!C:C,D10)</f>
        <v>335</v>
      </c>
      <c r="H10" s="27">
        <f t="shared" si="2"/>
        <v>16.75</v>
      </c>
      <c r="I10" s="30">
        <f t="shared" si="3"/>
        <v>318.25</v>
      </c>
      <c r="J10" s="26"/>
    </row>
    <row r="11" spans="2:10">
      <c r="B11" s="26" t="s">
        <v>158</v>
      </c>
      <c r="C11" s="61" t="str">
        <f t="shared" si="0"/>
        <v>12월분</v>
      </c>
      <c r="D11" s="26" t="s">
        <v>37</v>
      </c>
      <c r="E11" s="27">
        <f>SUMIFS(전체리스트!D:D,전체리스트!A:A,B11,전체리스트!C:C,D11)</f>
        <v>10332</v>
      </c>
      <c r="F11" s="28">
        <f t="shared" si="1"/>
        <v>0</v>
      </c>
      <c r="G11" s="29">
        <f>SUMIFS(전체리스트!E:E,전체리스트!A:A,B11,전체리스트!C:C,D11)</f>
        <v>10332</v>
      </c>
      <c r="H11" s="27">
        <f t="shared" si="2"/>
        <v>516.6</v>
      </c>
      <c r="I11" s="30">
        <f t="shared" si="3"/>
        <v>9815.4</v>
      </c>
      <c r="J11" s="26"/>
    </row>
    <row r="12" spans="2:10">
      <c r="B12" s="26" t="s">
        <v>158</v>
      </c>
      <c r="C12" s="61" t="str">
        <f t="shared" si="0"/>
        <v>12월분</v>
      </c>
      <c r="D12" s="26" t="s">
        <v>87</v>
      </c>
      <c r="E12" s="27">
        <f>SUMIFS(전체리스트!D:D,전체리스트!A:A,B12,전체리스트!C:C,D12)</f>
        <v>447</v>
      </c>
      <c r="F12" s="28">
        <f t="shared" si="1"/>
        <v>0</v>
      </c>
      <c r="G12" s="29">
        <f>SUMIFS(전체리스트!E:E,전체리스트!A:A,B12,전체리스트!C:C,D12)</f>
        <v>447</v>
      </c>
      <c r="H12" s="27">
        <f t="shared" si="2"/>
        <v>22.35</v>
      </c>
      <c r="I12" s="30">
        <f t="shared" si="3"/>
        <v>424.65</v>
      </c>
      <c r="J12" s="26"/>
    </row>
    <row r="13" spans="2:10">
      <c r="B13" s="26" t="s">
        <v>158</v>
      </c>
      <c r="C13" s="61" t="str">
        <f t="shared" si="0"/>
        <v>12월분</v>
      </c>
      <c r="D13" s="26" t="s">
        <v>17</v>
      </c>
      <c r="E13" s="27">
        <f>SUMIFS(전체리스트!D:D,전체리스트!A:A,B13,전체리스트!C:C,D13)</f>
        <v>30744</v>
      </c>
      <c r="F13" s="28">
        <f t="shared" ref="F13:F38" si="4">E13-G13</f>
        <v>0</v>
      </c>
      <c r="G13" s="29">
        <f>SUMIFS(전체리스트!E:E,전체리스트!A:A,B13,전체리스트!C:C,D13)</f>
        <v>30744</v>
      </c>
      <c r="H13" s="27">
        <f t="shared" si="2"/>
        <v>1537.2</v>
      </c>
      <c r="I13" s="30">
        <f t="shared" ref="I13:I38" si="5">G13-H13</f>
        <v>29206.799999999999</v>
      </c>
      <c r="J13" s="26"/>
    </row>
    <row r="14" spans="2:10">
      <c r="B14" s="26" t="s">
        <v>158</v>
      </c>
      <c r="C14" s="61" t="str">
        <f t="shared" si="0"/>
        <v>12월분</v>
      </c>
      <c r="D14" s="26" t="s">
        <v>292</v>
      </c>
      <c r="E14" s="27">
        <f>SUMIFS(전체리스트!D:D,전체리스트!A:A,B14,전체리스트!C:C,D14)</f>
        <v>810</v>
      </c>
      <c r="F14" s="28">
        <f t="shared" si="4"/>
        <v>0</v>
      </c>
      <c r="G14" s="29">
        <f>SUMIFS(전체리스트!E:E,전체리스트!A:A,B14,전체리스트!C:C,D14)</f>
        <v>810</v>
      </c>
      <c r="H14" s="27">
        <f t="shared" si="2"/>
        <v>40.5</v>
      </c>
      <c r="I14" s="30">
        <f t="shared" si="5"/>
        <v>769.5</v>
      </c>
      <c r="J14" s="26"/>
    </row>
    <row r="15" spans="2:10">
      <c r="B15" s="26" t="s">
        <v>158</v>
      </c>
      <c r="C15" s="61" t="str">
        <f t="shared" si="0"/>
        <v>12월분</v>
      </c>
      <c r="D15" s="26" t="s">
        <v>20</v>
      </c>
      <c r="E15" s="27">
        <f>SUMIFS(전체리스트!D:D,전체리스트!A:A,B15,전체리스트!C:C,D15)</f>
        <v>83664</v>
      </c>
      <c r="F15" s="28">
        <f t="shared" si="4"/>
        <v>0</v>
      </c>
      <c r="G15" s="29">
        <f>SUMIFS(전체리스트!E:E,전체리스트!A:A,B15,전체리스트!C:C,D15)</f>
        <v>83664</v>
      </c>
      <c r="H15" s="27">
        <f t="shared" si="2"/>
        <v>4183.2</v>
      </c>
      <c r="I15" s="30">
        <f t="shared" si="5"/>
        <v>79480.800000000003</v>
      </c>
      <c r="J15" s="26"/>
    </row>
    <row r="16" spans="2:10">
      <c r="B16" s="26" t="s">
        <v>158</v>
      </c>
      <c r="C16" s="61" t="str">
        <f t="shared" ref="C16:C32" si="6">VLOOKUP(B16,raw_a,2,0)</f>
        <v>12월분</v>
      </c>
      <c r="D16" s="26" t="s">
        <v>233</v>
      </c>
      <c r="E16" s="27">
        <f>SUMIFS(전체리스트!D:D,전체리스트!A:A,B16,전체리스트!C:C,D16)</f>
        <v>18560</v>
      </c>
      <c r="F16" s="28">
        <f t="shared" ref="F16:F32" si="7">E16-G16</f>
        <v>0</v>
      </c>
      <c r="G16" s="29">
        <f>SUMIFS(전체리스트!E:E,전체리스트!A:A,B16,전체리스트!C:C,D16)</f>
        <v>18560</v>
      </c>
      <c r="H16" s="27">
        <f t="shared" si="2"/>
        <v>928</v>
      </c>
      <c r="I16" s="30">
        <f t="shared" ref="I16:I32" si="8">G16-H16</f>
        <v>17632</v>
      </c>
      <c r="J16" s="26"/>
    </row>
    <row r="17" spans="2:10">
      <c r="B17" s="26" t="s">
        <v>158</v>
      </c>
      <c r="C17" s="61" t="str">
        <f t="shared" si="6"/>
        <v>12월분</v>
      </c>
      <c r="D17" s="26" t="s">
        <v>154</v>
      </c>
      <c r="E17" s="27">
        <f>SUMIFS(전체리스트!D:D,전체리스트!A:A,B17,전체리스트!C:C,D17)</f>
        <v>378</v>
      </c>
      <c r="F17" s="28">
        <f t="shared" si="7"/>
        <v>0</v>
      </c>
      <c r="G17" s="29">
        <f>SUMIFS(전체리스트!E:E,전체리스트!A:A,B17,전체리스트!C:C,D17)</f>
        <v>378</v>
      </c>
      <c r="H17" s="27">
        <f t="shared" si="2"/>
        <v>18.900000000000002</v>
      </c>
      <c r="I17" s="30">
        <f t="shared" si="8"/>
        <v>359.1</v>
      </c>
      <c r="J17" s="26"/>
    </row>
    <row r="18" spans="2:10">
      <c r="B18" s="26" t="s">
        <v>158</v>
      </c>
      <c r="C18" s="61" t="str">
        <f t="shared" si="6"/>
        <v>12월분</v>
      </c>
      <c r="D18" s="26" t="s">
        <v>86</v>
      </c>
      <c r="E18" s="27">
        <f>SUMIFS(전체리스트!D:D,전체리스트!A:A,B18,전체리스트!C:C,D18)</f>
        <v>2646</v>
      </c>
      <c r="F18" s="28">
        <f t="shared" si="7"/>
        <v>0</v>
      </c>
      <c r="G18" s="29">
        <f>SUMIFS(전체리스트!E:E,전체리스트!A:A,B18,전체리스트!C:C,D18)</f>
        <v>2646</v>
      </c>
      <c r="H18" s="27">
        <f t="shared" si="2"/>
        <v>132.30000000000001</v>
      </c>
      <c r="I18" s="30">
        <f t="shared" si="8"/>
        <v>2513.6999999999998</v>
      </c>
      <c r="J18" s="26"/>
    </row>
    <row r="19" spans="2:10">
      <c r="B19" s="26" t="s">
        <v>158</v>
      </c>
      <c r="C19" s="61" t="str">
        <f t="shared" si="6"/>
        <v>12월분</v>
      </c>
      <c r="D19" s="26" t="s">
        <v>72</v>
      </c>
      <c r="E19" s="27">
        <f>SUMIFS(전체리스트!D:D,전체리스트!A:A,B19,전체리스트!C:C,D19)</f>
        <v>29736</v>
      </c>
      <c r="F19" s="28">
        <f t="shared" si="7"/>
        <v>0</v>
      </c>
      <c r="G19" s="29">
        <f>SUMIFS(전체리스트!E:E,전체리스트!A:A,B19,전체리스트!C:C,D19)</f>
        <v>29736</v>
      </c>
      <c r="H19" s="27">
        <f t="shared" si="2"/>
        <v>1486.8000000000002</v>
      </c>
      <c r="I19" s="30">
        <f t="shared" si="8"/>
        <v>28249.200000000001</v>
      </c>
      <c r="J19" s="26"/>
    </row>
    <row r="20" spans="2:10">
      <c r="B20" s="26" t="s">
        <v>158</v>
      </c>
      <c r="C20" s="61" t="str">
        <f t="shared" ref="C20:C24" si="9">VLOOKUP(B20,raw_a,2,0)</f>
        <v>12월분</v>
      </c>
      <c r="D20" s="26" t="s">
        <v>29</v>
      </c>
      <c r="E20" s="27">
        <f>SUMIFS(전체리스트!D:D,전체리스트!A:A,B20,전체리스트!C:C,D20)</f>
        <v>26586</v>
      </c>
      <c r="F20" s="28">
        <f t="shared" ref="F20:F24" si="10">E20-G20</f>
        <v>0</v>
      </c>
      <c r="G20" s="29">
        <f>SUMIFS(전체리스트!E:E,전체리스트!A:A,B20,전체리스트!C:C,D20)</f>
        <v>26586</v>
      </c>
      <c r="H20" s="27">
        <f t="shared" si="2"/>
        <v>1329.3000000000002</v>
      </c>
      <c r="I20" s="30">
        <f t="shared" ref="I20:I24" si="11">G20-H20</f>
        <v>25256.7</v>
      </c>
      <c r="J20" s="26"/>
    </row>
    <row r="21" spans="2:10">
      <c r="B21" s="26" t="s">
        <v>158</v>
      </c>
      <c r="C21" s="61" t="str">
        <f t="shared" si="9"/>
        <v>12월분</v>
      </c>
      <c r="D21" s="26" t="s">
        <v>179</v>
      </c>
      <c r="E21" s="27">
        <f>SUMIFS(전체리스트!D:D,전체리스트!A:A,B21,전체리스트!C:C,D21)</f>
        <v>427014</v>
      </c>
      <c r="F21" s="28">
        <f t="shared" si="10"/>
        <v>0</v>
      </c>
      <c r="G21" s="29">
        <f>SUMIFS(전체리스트!E:E,전체리스트!A:A,B21,전체리스트!C:C,D21)</f>
        <v>427014</v>
      </c>
      <c r="H21" s="27">
        <f t="shared" si="2"/>
        <v>21350.7</v>
      </c>
      <c r="I21" s="30">
        <f t="shared" si="11"/>
        <v>405663.3</v>
      </c>
      <c r="J21" s="26"/>
    </row>
    <row r="22" spans="2:10">
      <c r="B22" s="26" t="s">
        <v>158</v>
      </c>
      <c r="C22" s="61" t="str">
        <f t="shared" si="9"/>
        <v>12월분</v>
      </c>
      <c r="D22" s="26" t="s">
        <v>180</v>
      </c>
      <c r="E22" s="27">
        <f>SUMIFS(전체리스트!D:D,전체리스트!A:A,B22,전체리스트!C:C,D22)</f>
        <v>180306</v>
      </c>
      <c r="F22" s="28">
        <f t="shared" si="10"/>
        <v>0</v>
      </c>
      <c r="G22" s="29">
        <f>SUMIFS(전체리스트!E:E,전체리스트!A:A,B22,전체리스트!C:C,D22)</f>
        <v>180306</v>
      </c>
      <c r="H22" s="27">
        <f t="shared" si="2"/>
        <v>9015.3000000000011</v>
      </c>
      <c r="I22" s="30">
        <f t="shared" si="11"/>
        <v>171290.7</v>
      </c>
      <c r="J22" s="26"/>
    </row>
    <row r="23" spans="2:10">
      <c r="B23" s="26" t="s">
        <v>158</v>
      </c>
      <c r="C23" s="61" t="str">
        <f t="shared" si="9"/>
        <v>12월분</v>
      </c>
      <c r="D23" s="26" t="s">
        <v>57</v>
      </c>
      <c r="E23" s="27">
        <f>SUMIFS(전체리스트!D:D,전체리스트!A:A,B23,전체리스트!C:C,D23)</f>
        <v>504</v>
      </c>
      <c r="F23" s="28">
        <f t="shared" si="10"/>
        <v>0</v>
      </c>
      <c r="G23" s="29">
        <f>SUMIFS(전체리스트!E:E,전체리스트!A:A,B23,전체리스트!C:C,D23)</f>
        <v>504</v>
      </c>
      <c r="H23" s="27">
        <f t="shared" si="2"/>
        <v>25.200000000000003</v>
      </c>
      <c r="I23" s="30">
        <f t="shared" si="11"/>
        <v>478.8</v>
      </c>
      <c r="J23" s="26"/>
    </row>
    <row r="24" spans="2:10">
      <c r="B24" s="26" t="s">
        <v>158</v>
      </c>
      <c r="C24" s="61" t="str">
        <f t="shared" si="9"/>
        <v>12월분</v>
      </c>
      <c r="D24" s="26" t="s">
        <v>236</v>
      </c>
      <c r="E24" s="27">
        <f>SUMIFS(전체리스트!D:D,전체리스트!A:A,B24,전체리스트!C:C,D24)</f>
        <v>1260</v>
      </c>
      <c r="F24" s="28">
        <f t="shared" si="10"/>
        <v>0</v>
      </c>
      <c r="G24" s="29">
        <f>SUMIFS(전체리스트!E:E,전체리스트!A:A,B24,전체리스트!C:C,D24)</f>
        <v>1260</v>
      </c>
      <c r="H24" s="27">
        <f t="shared" si="2"/>
        <v>63</v>
      </c>
      <c r="I24" s="30">
        <f t="shared" si="11"/>
        <v>1197</v>
      </c>
      <c r="J24" s="26"/>
    </row>
    <row r="25" spans="2:10">
      <c r="B25" s="26" t="s">
        <v>158</v>
      </c>
      <c r="C25" s="61" t="str">
        <f t="shared" si="6"/>
        <v>12월분</v>
      </c>
      <c r="D25" s="26" t="s">
        <v>229</v>
      </c>
      <c r="E25" s="27">
        <f>SUMIFS(전체리스트!D:D,전체리스트!A:A,B25,전체리스트!C:C,D25)</f>
        <v>133560</v>
      </c>
      <c r="F25" s="28">
        <f t="shared" si="7"/>
        <v>0</v>
      </c>
      <c r="G25" s="29">
        <f>SUMIFS(전체리스트!E:E,전체리스트!A:A,B25,전체리스트!C:C,D25)</f>
        <v>133560</v>
      </c>
      <c r="H25" s="27">
        <f t="shared" si="2"/>
        <v>6678</v>
      </c>
      <c r="I25" s="30">
        <f t="shared" si="8"/>
        <v>126882</v>
      </c>
      <c r="J25" s="26"/>
    </row>
    <row r="26" spans="2:10">
      <c r="B26" s="26" t="s">
        <v>158</v>
      </c>
      <c r="C26" s="61" t="str">
        <f t="shared" ref="C26:C30" si="12">VLOOKUP(B26,raw_a,2,0)</f>
        <v>12월분</v>
      </c>
      <c r="D26" s="26" t="s">
        <v>56</v>
      </c>
      <c r="E26" s="27">
        <f>SUMIFS(전체리스트!D:D,전체리스트!A:A,B26,전체리스트!C:C,D26)</f>
        <v>756</v>
      </c>
      <c r="F26" s="28">
        <f t="shared" ref="F26:F30" si="13">E26-G26</f>
        <v>0</v>
      </c>
      <c r="G26" s="29">
        <f>SUMIFS(전체리스트!E:E,전체리스트!A:A,B26,전체리스트!C:C,D26)</f>
        <v>756</v>
      </c>
      <c r="H26" s="27">
        <f t="shared" si="2"/>
        <v>37.800000000000004</v>
      </c>
      <c r="I26" s="30">
        <f t="shared" ref="I26:I30" si="14">G26-H26</f>
        <v>718.2</v>
      </c>
      <c r="J26" s="26"/>
    </row>
    <row r="27" spans="2:10">
      <c r="B27" s="26" t="s">
        <v>158</v>
      </c>
      <c r="C27" s="61" t="str">
        <f t="shared" si="12"/>
        <v>12월분</v>
      </c>
      <c r="D27" s="26" t="s">
        <v>66</v>
      </c>
      <c r="E27" s="27">
        <f>SUMIFS(전체리스트!D:D,전체리스트!A:A,B27,전체리스트!C:C,D27)</f>
        <v>5922</v>
      </c>
      <c r="F27" s="28">
        <f t="shared" si="13"/>
        <v>0</v>
      </c>
      <c r="G27" s="29">
        <f>SUMIFS(전체리스트!E:E,전체리스트!A:A,B27,전체리스트!C:C,D27)</f>
        <v>5922</v>
      </c>
      <c r="H27" s="27">
        <f t="shared" si="2"/>
        <v>296.10000000000002</v>
      </c>
      <c r="I27" s="30">
        <f t="shared" si="14"/>
        <v>5625.9</v>
      </c>
      <c r="J27" s="26"/>
    </row>
    <row r="28" spans="2:10">
      <c r="B28" s="26" t="s">
        <v>158</v>
      </c>
      <c r="C28" s="61" t="str">
        <f t="shared" si="12"/>
        <v>12월분</v>
      </c>
      <c r="D28" s="26" t="s">
        <v>333</v>
      </c>
      <c r="E28" s="27">
        <f>SUMIFS(전체리스트!D:D,전체리스트!A:A,B28,전체리스트!C:C,D28)</f>
        <v>92736</v>
      </c>
      <c r="F28" s="28">
        <f t="shared" si="13"/>
        <v>0</v>
      </c>
      <c r="G28" s="29">
        <f>SUMIFS(전체리스트!E:E,전체리스트!A:A,B28,전체리스트!C:C,D28)</f>
        <v>92736</v>
      </c>
      <c r="H28" s="27">
        <f t="shared" si="2"/>
        <v>4636.8</v>
      </c>
      <c r="I28" s="30">
        <f t="shared" si="14"/>
        <v>88099.199999999997</v>
      </c>
      <c r="J28" s="26"/>
    </row>
    <row r="29" spans="2:10">
      <c r="B29" s="26" t="s">
        <v>158</v>
      </c>
      <c r="C29" s="61" t="str">
        <f t="shared" si="12"/>
        <v>12월분</v>
      </c>
      <c r="D29" s="26" t="s">
        <v>321</v>
      </c>
      <c r="E29" s="27">
        <f>SUMIFS(전체리스트!D:D,전체리스트!A:A,B29,전체리스트!C:C,D29)</f>
        <v>41076</v>
      </c>
      <c r="F29" s="28">
        <f t="shared" si="13"/>
        <v>0</v>
      </c>
      <c r="G29" s="29">
        <f>SUMIFS(전체리스트!E:E,전체리스트!A:A,B29,전체리스트!C:C,D29)</f>
        <v>41076</v>
      </c>
      <c r="H29" s="27">
        <f t="shared" si="2"/>
        <v>2053.8000000000002</v>
      </c>
      <c r="I29" s="30">
        <f t="shared" si="14"/>
        <v>39022.199999999997</v>
      </c>
      <c r="J29" s="26"/>
    </row>
    <row r="30" spans="2:10">
      <c r="B30" s="26" t="s">
        <v>158</v>
      </c>
      <c r="C30" s="61" t="str">
        <f t="shared" si="12"/>
        <v>12월분</v>
      </c>
      <c r="D30" s="26" t="s">
        <v>21</v>
      </c>
      <c r="E30" s="27">
        <f>SUMIFS(전체리스트!D:D,전체리스트!A:A,B30,전체리스트!C:C,D30)</f>
        <v>504</v>
      </c>
      <c r="F30" s="28">
        <f t="shared" si="13"/>
        <v>0</v>
      </c>
      <c r="G30" s="29">
        <f>SUMIFS(전체리스트!E:E,전체리스트!A:A,B30,전체리스트!C:C,D30)</f>
        <v>504</v>
      </c>
      <c r="H30" s="27">
        <f t="shared" si="2"/>
        <v>25.200000000000003</v>
      </c>
      <c r="I30" s="30">
        <f t="shared" si="14"/>
        <v>478.8</v>
      </c>
      <c r="J30" s="26"/>
    </row>
    <row r="31" spans="2:10">
      <c r="B31" s="26" t="s">
        <v>158</v>
      </c>
      <c r="C31" s="61" t="str">
        <f t="shared" si="6"/>
        <v>12월분</v>
      </c>
      <c r="D31" s="26" t="s">
        <v>299</v>
      </c>
      <c r="E31" s="27">
        <f>SUMIFS(전체리스트!D:D,전체리스트!A:A,B31,전체리스트!C:C,D31)</f>
        <v>475</v>
      </c>
      <c r="F31" s="28">
        <f t="shared" si="7"/>
        <v>0</v>
      </c>
      <c r="G31" s="29">
        <f>SUMIFS(전체리스트!E:E,전체리스트!A:A,B31,전체리스트!C:C,D31)</f>
        <v>475</v>
      </c>
      <c r="H31" s="27">
        <f t="shared" si="2"/>
        <v>23.75</v>
      </c>
      <c r="I31" s="30">
        <f t="shared" si="8"/>
        <v>451.25</v>
      </c>
      <c r="J31" s="26"/>
    </row>
    <row r="32" spans="2:10">
      <c r="B32" s="26" t="s">
        <v>158</v>
      </c>
      <c r="C32" s="61" t="str">
        <f t="shared" si="6"/>
        <v>12월분</v>
      </c>
      <c r="D32" s="26" t="s">
        <v>358</v>
      </c>
      <c r="E32" s="27">
        <f>SUMIFS(전체리스트!D:D,전체리스트!A:A,B32,전체리스트!C:C,D32)</f>
        <v>8351</v>
      </c>
      <c r="F32" s="28">
        <f t="shared" si="7"/>
        <v>0</v>
      </c>
      <c r="G32" s="29">
        <f>SUMIFS(전체리스트!E:E,전체리스트!A:A,B32,전체리스트!C:C,D32)</f>
        <v>8351</v>
      </c>
      <c r="H32" s="27">
        <f t="shared" si="2"/>
        <v>417.55</v>
      </c>
      <c r="I32" s="30">
        <f t="shared" si="8"/>
        <v>7933.45</v>
      </c>
      <c r="J32" s="26"/>
    </row>
    <row r="33" spans="2:10">
      <c r="B33" s="26" t="s">
        <v>158</v>
      </c>
      <c r="C33" s="61" t="str">
        <f t="shared" si="0"/>
        <v>12월분</v>
      </c>
      <c r="D33" s="26" t="s">
        <v>359</v>
      </c>
      <c r="E33" s="27">
        <f>SUMIFS(전체리스트!D:D,전체리스트!A:A,B33,전체리스트!C:C,D33)</f>
        <v>22596</v>
      </c>
      <c r="F33" s="28">
        <f t="shared" si="4"/>
        <v>0</v>
      </c>
      <c r="G33" s="29">
        <f>SUMIFS(전체리스트!E:E,전체리스트!A:A,B33,전체리스트!C:C,D33)</f>
        <v>22596</v>
      </c>
      <c r="H33" s="27">
        <f t="shared" si="2"/>
        <v>1129.8</v>
      </c>
      <c r="I33" s="30">
        <f t="shared" si="5"/>
        <v>21466.2</v>
      </c>
      <c r="J33" s="26"/>
    </row>
    <row r="34" spans="2:10">
      <c r="B34" s="26" t="s">
        <v>158</v>
      </c>
      <c r="C34" s="61" t="str">
        <f t="shared" si="0"/>
        <v>12월분</v>
      </c>
      <c r="D34" s="26" t="s">
        <v>300</v>
      </c>
      <c r="E34" s="27">
        <f>SUMIFS(전체리스트!D:D,전체리스트!A:A,B34,전체리스트!C:C,D34)</f>
        <v>168</v>
      </c>
      <c r="F34" s="28">
        <f t="shared" si="4"/>
        <v>0</v>
      </c>
      <c r="G34" s="29">
        <f>SUMIFS(전체리스트!E:E,전체리스트!A:A,B34,전체리스트!C:C,D34)</f>
        <v>168</v>
      </c>
      <c r="H34" s="27">
        <f t="shared" si="2"/>
        <v>8.4</v>
      </c>
      <c r="I34" s="30">
        <f t="shared" si="5"/>
        <v>159.6</v>
      </c>
      <c r="J34" s="26"/>
    </row>
    <row r="35" spans="2:10">
      <c r="B35" s="26" t="s">
        <v>158</v>
      </c>
      <c r="C35" s="61" t="str">
        <f t="shared" si="0"/>
        <v>12월분</v>
      </c>
      <c r="D35" s="26" t="s">
        <v>301</v>
      </c>
      <c r="E35" s="27">
        <f>SUMIFS(전체리스트!D:D,전체리스트!A:A,B35,전체리스트!C:C,D35)</f>
        <v>503</v>
      </c>
      <c r="F35" s="28">
        <f t="shared" si="4"/>
        <v>0</v>
      </c>
      <c r="G35" s="29">
        <f>SUMIFS(전체리스트!E:E,전체리스트!A:A,B35,전체리스트!C:C,D35)</f>
        <v>503</v>
      </c>
      <c r="H35" s="27">
        <f t="shared" si="2"/>
        <v>25.150000000000002</v>
      </c>
      <c r="I35" s="30">
        <f t="shared" si="5"/>
        <v>477.85</v>
      </c>
      <c r="J35" s="26"/>
    </row>
    <row r="36" spans="2:10">
      <c r="B36" s="26" t="s">
        <v>158</v>
      </c>
      <c r="C36" s="61" t="str">
        <f t="shared" si="0"/>
        <v>12월분</v>
      </c>
      <c r="D36" s="26" t="s">
        <v>302</v>
      </c>
      <c r="E36" s="27">
        <f>SUMIFS(전체리스트!D:D,전체리스트!A:A,B36,전체리스트!C:C,D36)</f>
        <v>838</v>
      </c>
      <c r="F36" s="28">
        <f t="shared" si="4"/>
        <v>0</v>
      </c>
      <c r="G36" s="29">
        <f>SUMIFS(전체리스트!E:E,전체리스트!A:A,B36,전체리스트!C:C,D36)</f>
        <v>838</v>
      </c>
      <c r="H36" s="27">
        <f t="shared" si="2"/>
        <v>41.900000000000006</v>
      </c>
      <c r="I36" s="30">
        <f t="shared" si="5"/>
        <v>796.1</v>
      </c>
      <c r="J36" s="26"/>
    </row>
    <row r="37" spans="2:10">
      <c r="B37" s="26" t="s">
        <v>158</v>
      </c>
      <c r="C37" s="61" t="str">
        <f t="shared" si="0"/>
        <v>12월분</v>
      </c>
      <c r="D37" s="26" t="s">
        <v>303</v>
      </c>
      <c r="E37" s="27">
        <f>SUMIFS(전체리스트!D:D,전체리스트!A:A,B37,전체리스트!C:C,D37)</f>
        <v>1005</v>
      </c>
      <c r="F37" s="28">
        <f t="shared" si="4"/>
        <v>0</v>
      </c>
      <c r="G37" s="29">
        <f>SUMIFS(전체리스트!E:E,전체리스트!A:A,B37,전체리스트!C:C,D37)</f>
        <v>1005</v>
      </c>
      <c r="H37" s="27">
        <f t="shared" si="2"/>
        <v>50.25</v>
      </c>
      <c r="I37" s="30">
        <f t="shared" si="5"/>
        <v>954.75</v>
      </c>
      <c r="J37" s="26"/>
    </row>
    <row r="38" spans="2:10">
      <c r="B38" s="26" t="s">
        <v>158</v>
      </c>
      <c r="C38" s="61" t="str">
        <f t="shared" si="0"/>
        <v>12월분</v>
      </c>
      <c r="D38" s="26" t="s">
        <v>360</v>
      </c>
      <c r="E38" s="27">
        <f>SUMIFS(전체리스트!D:D,전체리스트!A:A,B38,전체리스트!C:C,D38)</f>
        <v>2458</v>
      </c>
      <c r="F38" s="28">
        <f t="shared" si="4"/>
        <v>0</v>
      </c>
      <c r="G38" s="29">
        <f>SUMIFS(전체리스트!E:E,전체리스트!A:A,B38,전체리스트!C:C,D38)</f>
        <v>2458</v>
      </c>
      <c r="H38" s="27">
        <f t="shared" si="2"/>
        <v>122.9</v>
      </c>
      <c r="I38" s="30">
        <f t="shared" si="5"/>
        <v>2335.1</v>
      </c>
      <c r="J38" s="26"/>
    </row>
    <row r="39" spans="2:10">
      <c r="B39" s="31" t="s">
        <v>0</v>
      </c>
      <c r="C39" s="31"/>
      <c r="D39" s="32"/>
      <c r="E39" s="33">
        <f t="shared" ref="E39:J39" si="15">SUM(E6:E38)</f>
        <v>1679510</v>
      </c>
      <c r="F39" s="33">
        <f t="shared" si="15"/>
        <v>0</v>
      </c>
      <c r="G39" s="33">
        <f t="shared" si="15"/>
        <v>1679510</v>
      </c>
      <c r="H39" s="33">
        <f t="shared" si="15"/>
        <v>83975.5</v>
      </c>
      <c r="I39" s="33">
        <f t="shared" si="15"/>
        <v>1595534.5</v>
      </c>
      <c r="J39" s="33">
        <f t="shared" si="15"/>
        <v>0</v>
      </c>
    </row>
    <row r="40" spans="2:10">
      <c r="D40" s="109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BAB2-6737-4BD6-A1D3-42D4AF833E57}">
  <dimension ref="B3:J13"/>
  <sheetViews>
    <sheetView workbookViewId="0">
      <selection activeCell="G28" sqref="G28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3" spans="2:10">
      <c r="G3" s="65" t="s">
        <v>138</v>
      </c>
    </row>
    <row r="4" spans="2:10">
      <c r="B4" s="34" t="s">
        <v>42</v>
      </c>
      <c r="C4" s="34"/>
      <c r="F4" s="36" t="s">
        <v>136</v>
      </c>
      <c r="G4" s="43">
        <f>VLOOKUP(B6,raw_a,6,0)</f>
        <v>189.1</v>
      </c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193</v>
      </c>
      <c r="C6" s="61" t="str">
        <f t="shared" ref="C6:C12" si="0">VLOOKUP(B6,raw_a,2,0)</f>
        <v>12월분</v>
      </c>
      <c r="D6" s="26" t="s">
        <v>200</v>
      </c>
      <c r="E6" s="27">
        <f>SUMIFS(전체리스트!D:D,전체리스트!A:A,B6,전체리스트!C:C,D6)</f>
        <v>946.44712499999991</v>
      </c>
      <c r="F6" s="28"/>
      <c r="G6" s="126">
        <f>SUMIFS(전체리스트!E:E,전체리스트!A:A,B6,전체리스트!C:C,D6)</f>
        <v>178973.15133749999</v>
      </c>
      <c r="H6" s="27">
        <f>G6*0.05</f>
        <v>8948.6575668749992</v>
      </c>
      <c r="I6" s="30">
        <f>G6-H6</f>
        <v>170024.49377062501</v>
      </c>
      <c r="J6" s="26"/>
    </row>
    <row r="7" spans="2:10">
      <c r="B7" s="26" t="s">
        <v>193</v>
      </c>
      <c r="C7" s="61" t="str">
        <f t="shared" si="0"/>
        <v>12월분</v>
      </c>
      <c r="D7" s="26" t="s">
        <v>195</v>
      </c>
      <c r="E7" s="27">
        <f>SUMIFS(전체리스트!D:D,전체리스트!A:A,B7,전체리스트!C:C,D7)</f>
        <v>56.980125000000001</v>
      </c>
      <c r="F7" s="28"/>
      <c r="G7" s="126">
        <f>SUMIFS(전체리스트!E:E,전체리스트!A:A,B7,전체리스트!C:C,D7)</f>
        <v>10774.9416375</v>
      </c>
      <c r="H7" s="27">
        <f t="shared" ref="H7:H12" si="1">G7*0.05</f>
        <v>538.74708187500005</v>
      </c>
      <c r="I7" s="30">
        <f t="shared" ref="I7:I12" si="2">G7-H7</f>
        <v>10236.194555624999</v>
      </c>
      <c r="J7" s="26"/>
    </row>
    <row r="8" spans="2:10">
      <c r="B8" s="26" t="s">
        <v>193</v>
      </c>
      <c r="C8" s="61" t="str">
        <f t="shared" si="0"/>
        <v>12월분</v>
      </c>
      <c r="D8" s="26" t="s">
        <v>196</v>
      </c>
      <c r="E8" s="27">
        <f>SUMIFS(전체리스트!D:D,전체리스트!A:A,B8,전체리스트!C:C,D8)</f>
        <v>199.68675000000002</v>
      </c>
      <c r="F8" s="28"/>
      <c r="G8" s="126">
        <f>SUMIFS(전체리스트!E:E,전체리스트!A:A,B8,전체리스트!C:C,D8)</f>
        <v>37760.764425000001</v>
      </c>
      <c r="H8" s="27">
        <f t="shared" si="1"/>
        <v>1888.0382212500001</v>
      </c>
      <c r="I8" s="30">
        <f t="shared" si="2"/>
        <v>35872.726203750004</v>
      </c>
      <c r="J8" s="26"/>
    </row>
    <row r="9" spans="2:10">
      <c r="B9" s="26" t="s">
        <v>193</v>
      </c>
      <c r="C9" s="61" t="str">
        <f t="shared" si="0"/>
        <v>12월분</v>
      </c>
      <c r="D9" s="26" t="s">
        <v>197</v>
      </c>
      <c r="E9" s="27">
        <f>SUMIFS(전체리스트!D:D,전체리스트!A:A,B9,전체리스트!C:C,D9)</f>
        <v>1390.4190000000001</v>
      </c>
      <c r="F9" s="28"/>
      <c r="G9" s="126">
        <f>SUMIFS(전체리스트!E:E,전체리스트!A:A,B9,전체리스트!C:C,D9)</f>
        <v>262928.2329</v>
      </c>
      <c r="H9" s="27">
        <f>G9*0.05</f>
        <v>13146.411645</v>
      </c>
      <c r="I9" s="30">
        <f t="shared" si="2"/>
        <v>249781.82125500002</v>
      </c>
      <c r="J9" s="26"/>
    </row>
    <row r="10" spans="2:10">
      <c r="B10" s="26" t="s">
        <v>193</v>
      </c>
      <c r="C10" s="61" t="str">
        <f t="shared" si="0"/>
        <v>12월분</v>
      </c>
      <c r="D10" s="26" t="s">
        <v>198</v>
      </c>
      <c r="E10" s="27">
        <f>SUMIFS(전체리스트!D:D,전체리스트!A:A,B10,전체리스트!C:C,D10)</f>
        <v>1883.8334999999997</v>
      </c>
      <c r="F10" s="28"/>
      <c r="G10" s="126">
        <f>SUMIFS(전체리스트!E:E,전체리스트!A:A,B10,전체리스트!C:C,D10)</f>
        <v>356232.91484999994</v>
      </c>
      <c r="H10" s="27">
        <f>G10*0.05</f>
        <v>17811.645742499997</v>
      </c>
      <c r="I10" s="30">
        <f t="shared" si="2"/>
        <v>338421.26910749997</v>
      </c>
      <c r="J10" s="26"/>
    </row>
    <row r="11" spans="2:10">
      <c r="B11" s="26" t="s">
        <v>193</v>
      </c>
      <c r="C11" s="61" t="str">
        <f t="shared" ref="C11" si="3">VLOOKUP(B11,raw_a,2,0)</f>
        <v>12월분</v>
      </c>
      <c r="D11" s="26" t="s">
        <v>199</v>
      </c>
      <c r="E11" s="27">
        <f>SUMIFS(전체리스트!D:D,전체리스트!A:A,B11,전체리스트!C:C,D11)</f>
        <v>1541.665125</v>
      </c>
      <c r="F11" s="28"/>
      <c r="G11" s="126">
        <f>SUMIFS(전체리스트!E:E,전체리스트!A:A,B11,전체리스트!C:C,D11)</f>
        <v>291528.8751375</v>
      </c>
      <c r="H11" s="27">
        <f t="shared" si="1"/>
        <v>14576.443756875</v>
      </c>
      <c r="I11" s="30">
        <f t="shared" ref="I11" si="4">G11-H11</f>
        <v>276952.431380625</v>
      </c>
      <c r="J11" s="26"/>
    </row>
    <row r="12" spans="2:10">
      <c r="B12" s="26" t="s">
        <v>193</v>
      </c>
      <c r="C12" s="61" t="str">
        <f t="shared" si="0"/>
        <v>12월분</v>
      </c>
      <c r="D12" s="26" t="s">
        <v>324</v>
      </c>
      <c r="E12" s="27">
        <f>SUMIFS(전체리스트!D:D,전체리스트!A:A,B12,전체리스트!C:C,D12)</f>
        <v>1149.4402500000001</v>
      </c>
      <c r="F12" s="28"/>
      <c r="G12" s="126">
        <f>SUMIFS(전체리스트!E:E,전체리스트!A:A,B12,전체리스트!C:C,D12)</f>
        <v>217359.15127500001</v>
      </c>
      <c r="H12" s="27">
        <f t="shared" si="1"/>
        <v>10867.957563750002</v>
      </c>
      <c r="I12" s="30">
        <f t="shared" si="2"/>
        <v>206491.19371125</v>
      </c>
      <c r="J12" s="26"/>
    </row>
    <row r="13" spans="2:10">
      <c r="B13" s="31" t="s">
        <v>0</v>
      </c>
      <c r="C13" s="31"/>
      <c r="D13" s="32"/>
      <c r="E13" s="33">
        <f>SUM(E6:E12)</f>
        <v>7168.4718749999993</v>
      </c>
      <c r="F13" s="33">
        <f t="shared" ref="F13:J13" si="5">SUM(F6:F12)</f>
        <v>0</v>
      </c>
      <c r="G13" s="33">
        <f t="shared" si="5"/>
        <v>1355558.0315624999</v>
      </c>
      <c r="H13" s="33">
        <f t="shared" si="5"/>
        <v>67777.901578124991</v>
      </c>
      <c r="I13" s="33">
        <f t="shared" si="5"/>
        <v>1287780.1299843751</v>
      </c>
      <c r="J13" s="33">
        <f t="shared" si="5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F479-0956-47FA-AE61-AA69477BBC53}">
  <dimension ref="B3:J15"/>
  <sheetViews>
    <sheetView workbookViewId="0">
      <selection activeCell="D20" sqref="D20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3" spans="2:10">
      <c r="G3" s="65" t="s">
        <v>138</v>
      </c>
    </row>
    <row r="4" spans="2:10">
      <c r="B4" s="34" t="s">
        <v>42</v>
      </c>
      <c r="C4" s="34"/>
      <c r="F4" s="36" t="s">
        <v>253</v>
      </c>
      <c r="G4" s="43">
        <f>VLOOKUP(B6,raw_a,6,0)</f>
        <v>1199.4000000000001</v>
      </c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201</v>
      </c>
      <c r="C6" s="61" t="str">
        <f t="shared" ref="C6:C14" si="0">VLOOKUP(B6,raw_a,2,0)</f>
        <v>월분</v>
      </c>
      <c r="D6" s="26" t="s">
        <v>71</v>
      </c>
      <c r="E6" s="35">
        <f>SUMIFS(전체리스트!D:D,전체리스트!A:A,B6,전체리스트!C:C,D6)</f>
        <v>0</v>
      </c>
      <c r="F6" s="28"/>
      <c r="G6" s="119">
        <f>SUMIFS(전체리스트!E:E,전체리스트!A:A,B6,전체리스트!C:C,D6)</f>
        <v>0</v>
      </c>
      <c r="H6" s="27">
        <f>G6*0.05</f>
        <v>0</v>
      </c>
      <c r="I6" s="30">
        <f>G6-H6</f>
        <v>0</v>
      </c>
      <c r="J6" s="26"/>
    </row>
    <row r="7" spans="2:10">
      <c r="B7" s="26" t="s">
        <v>201</v>
      </c>
      <c r="C7" s="61" t="str">
        <f t="shared" si="0"/>
        <v>월분</v>
      </c>
      <c r="D7" s="26" t="s">
        <v>202</v>
      </c>
      <c r="E7" s="35">
        <f>SUMIFS(전체리스트!D:D,전체리스트!A:A,B7,전체리스트!C:C,D7)</f>
        <v>0</v>
      </c>
      <c r="F7" s="28"/>
      <c r="G7" s="119">
        <f>SUMIFS(전체리스트!E:E,전체리스트!A:A,B7,전체리스트!C:C,D7)</f>
        <v>0</v>
      </c>
      <c r="H7" s="27">
        <f t="shared" ref="H7:H14" si="1">G7*0.05</f>
        <v>0</v>
      </c>
      <c r="I7" s="30">
        <f t="shared" ref="I7:I14" si="2">G7-H7</f>
        <v>0</v>
      </c>
      <c r="J7" s="26"/>
    </row>
    <row r="8" spans="2:10">
      <c r="B8" s="26" t="s">
        <v>201</v>
      </c>
      <c r="C8" s="61" t="str">
        <f t="shared" si="0"/>
        <v>월분</v>
      </c>
      <c r="D8" s="26" t="s">
        <v>87</v>
      </c>
      <c r="E8" s="35">
        <f>SUMIFS(전체리스트!D:D,전체리스트!A:A,B8,전체리스트!C:C,D8)</f>
        <v>0</v>
      </c>
      <c r="F8" s="28"/>
      <c r="G8" s="119">
        <f>SUMIFS(전체리스트!E:E,전체리스트!A:A,B8,전체리스트!C:C,D8)</f>
        <v>0</v>
      </c>
      <c r="H8" s="27">
        <f t="shared" si="1"/>
        <v>0</v>
      </c>
      <c r="I8" s="30">
        <f t="shared" si="2"/>
        <v>0</v>
      </c>
      <c r="J8" s="26"/>
    </row>
    <row r="9" spans="2:10">
      <c r="B9" s="26" t="s">
        <v>201</v>
      </c>
      <c r="C9" s="61" t="str">
        <f t="shared" si="0"/>
        <v>월분</v>
      </c>
      <c r="D9" s="26" t="s">
        <v>203</v>
      </c>
      <c r="E9" s="35">
        <f>SUMIFS(전체리스트!D:D,전체리스트!A:A,B9,전체리스트!C:C,D9)</f>
        <v>0</v>
      </c>
      <c r="F9" s="28"/>
      <c r="G9" s="119">
        <f>SUMIFS(전체리스트!E:E,전체리스트!A:A,B9,전체리스트!C:C,D9)</f>
        <v>0</v>
      </c>
      <c r="H9" s="27">
        <f t="shared" si="1"/>
        <v>0</v>
      </c>
      <c r="I9" s="30">
        <f t="shared" si="2"/>
        <v>0</v>
      </c>
      <c r="J9" s="26"/>
    </row>
    <row r="10" spans="2:10">
      <c r="B10" s="26" t="s">
        <v>201</v>
      </c>
      <c r="C10" s="61" t="str">
        <f t="shared" ref="C10:C12" si="3">VLOOKUP(B10,raw_a,2,0)</f>
        <v>월분</v>
      </c>
      <c r="D10" s="26" t="s">
        <v>21</v>
      </c>
      <c r="E10" s="35">
        <f>SUMIFS(전체리스트!D:D,전체리스트!A:A,B10,전체리스트!C:C,D10)</f>
        <v>0</v>
      </c>
      <c r="F10" s="28"/>
      <c r="G10" s="119">
        <f>SUMIFS(전체리스트!E:E,전체리스트!A:A,B10,전체리스트!C:C,D10)</f>
        <v>0</v>
      </c>
      <c r="H10" s="27">
        <f t="shared" si="1"/>
        <v>0</v>
      </c>
      <c r="I10" s="30">
        <f t="shared" ref="I10:I12" si="4">G10-H10</f>
        <v>0</v>
      </c>
      <c r="J10" s="26"/>
    </row>
    <row r="11" spans="2:10">
      <c r="B11" s="26" t="s">
        <v>201</v>
      </c>
      <c r="C11" s="61" t="str">
        <f t="shared" si="3"/>
        <v>월분</v>
      </c>
      <c r="D11" s="26" t="s">
        <v>46</v>
      </c>
      <c r="E11" s="35">
        <f>SUMIFS(전체리스트!D:D,전체리스트!A:A,B11,전체리스트!C:C,D11)</f>
        <v>0</v>
      </c>
      <c r="F11" s="28"/>
      <c r="G11" s="119">
        <f>SUMIFS(전체리스트!E:E,전체리스트!A:A,B11,전체리스트!C:C,D11)</f>
        <v>0</v>
      </c>
      <c r="H11" s="27">
        <f t="shared" si="1"/>
        <v>0</v>
      </c>
      <c r="I11" s="30">
        <f t="shared" si="4"/>
        <v>0</v>
      </c>
      <c r="J11" s="26"/>
    </row>
    <row r="12" spans="2:10">
      <c r="B12" s="26" t="s">
        <v>201</v>
      </c>
      <c r="C12" s="61" t="str">
        <f t="shared" si="3"/>
        <v>월분</v>
      </c>
      <c r="D12" s="26" t="s">
        <v>20</v>
      </c>
      <c r="E12" s="35">
        <f>SUMIFS(전체리스트!D:D,전체리스트!A:A,B12,전체리스트!C:C,D12)</f>
        <v>0</v>
      </c>
      <c r="F12" s="28"/>
      <c r="G12" s="119">
        <f>SUMIFS(전체리스트!E:E,전체리스트!A:A,B12,전체리스트!C:C,D12)</f>
        <v>0</v>
      </c>
      <c r="H12" s="27">
        <f t="shared" si="1"/>
        <v>0</v>
      </c>
      <c r="I12" s="30">
        <f t="shared" si="4"/>
        <v>0</v>
      </c>
      <c r="J12" s="26"/>
    </row>
    <row r="13" spans="2:10">
      <c r="B13" s="26" t="s">
        <v>201</v>
      </c>
      <c r="C13" s="61" t="str">
        <f t="shared" si="0"/>
        <v>월분</v>
      </c>
      <c r="D13" s="26" t="s">
        <v>379</v>
      </c>
      <c r="E13" s="35">
        <f>SUMIFS(전체리스트!D:D,전체리스트!A:A,B13,전체리스트!C:C,D13)</f>
        <v>0</v>
      </c>
      <c r="F13" s="28"/>
      <c r="G13" s="119">
        <f>SUMIFS(전체리스트!E:E,전체리스트!A:A,B13,전체리스트!C:C,D13)</f>
        <v>0</v>
      </c>
      <c r="H13" s="27">
        <f t="shared" si="1"/>
        <v>0</v>
      </c>
      <c r="I13" s="30">
        <f t="shared" si="2"/>
        <v>0</v>
      </c>
      <c r="J13" s="26"/>
    </row>
    <row r="14" spans="2:10">
      <c r="B14" s="26" t="s">
        <v>201</v>
      </c>
      <c r="C14" s="61" t="str">
        <f t="shared" si="0"/>
        <v>월분</v>
      </c>
      <c r="D14" s="26" t="s">
        <v>30</v>
      </c>
      <c r="E14" s="35">
        <f>SUMIFS(전체리스트!D:D,전체리스트!A:A,B14,전체리스트!C:C,D14)</f>
        <v>0</v>
      </c>
      <c r="F14" s="28"/>
      <c r="G14" s="119">
        <f>SUMIFS(전체리스트!E:E,전체리스트!A:A,B14,전체리스트!C:C,D14)</f>
        <v>0</v>
      </c>
      <c r="H14" s="27">
        <f t="shared" si="1"/>
        <v>0</v>
      </c>
      <c r="I14" s="30">
        <f t="shared" si="2"/>
        <v>0</v>
      </c>
      <c r="J14" s="26"/>
    </row>
    <row r="15" spans="2:10">
      <c r="B15" s="31" t="s">
        <v>0</v>
      </c>
      <c r="C15" s="31"/>
      <c r="D15" s="32"/>
      <c r="E15" s="113">
        <f t="shared" ref="E15:J15" si="5">SUM(E6:E14)</f>
        <v>0</v>
      </c>
      <c r="F15" s="113">
        <f t="shared" si="5"/>
        <v>0</v>
      </c>
      <c r="G15" s="112">
        <f t="shared" si="5"/>
        <v>0</v>
      </c>
      <c r="H15" s="112">
        <f t="shared" si="5"/>
        <v>0</v>
      </c>
      <c r="I15" s="112">
        <f t="shared" si="5"/>
        <v>0</v>
      </c>
      <c r="J15" s="113">
        <f t="shared" si="5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10D9-4AD2-447F-B2F6-2260767A7C88}">
  <dimension ref="B3:J9"/>
  <sheetViews>
    <sheetView workbookViewId="0">
      <selection activeCell="J27" sqref="J27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3" spans="2:10">
      <c r="G3" s="65" t="s">
        <v>138</v>
      </c>
    </row>
    <row r="4" spans="2:10">
      <c r="B4" s="34" t="s">
        <v>42</v>
      </c>
      <c r="C4" s="34"/>
      <c r="D4" s="34" t="s">
        <v>295</v>
      </c>
      <c r="F4" s="36" t="s">
        <v>253</v>
      </c>
      <c r="G4" s="43">
        <f>VLOOKUP(B6,raw_a,6,0)</f>
        <v>1188.2</v>
      </c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270</v>
      </c>
      <c r="C6" s="61" t="str">
        <f>VLOOKUP(B6,raw_a,2,0)</f>
        <v>10~12월분</v>
      </c>
      <c r="D6" s="26" t="s">
        <v>271</v>
      </c>
      <c r="E6" s="35">
        <f>SUMIFS(전체리스트!D:D,전체리스트!A:A,B6,전체리스트!C:C,D6)</f>
        <v>417.95</v>
      </c>
      <c r="F6" s="28"/>
      <c r="G6" s="29">
        <f>SUMIFS(전체리스트!E:E,전체리스트!A:A,B6,전체리스트!C:C,D6)</f>
        <v>496608.19</v>
      </c>
      <c r="H6" s="27">
        <f>G6*0.05</f>
        <v>24830.409500000002</v>
      </c>
      <c r="I6" s="30">
        <f>G6-H6</f>
        <v>471777.78049999999</v>
      </c>
      <c r="J6" s="26"/>
    </row>
    <row r="7" spans="2:10">
      <c r="B7" s="26" t="s">
        <v>270</v>
      </c>
      <c r="C7" s="61" t="str">
        <f t="shared" ref="C7:C8" si="0">VLOOKUP(B7,raw_a,2,0)</f>
        <v>10~12월분</v>
      </c>
      <c r="D7" s="26" t="s">
        <v>272</v>
      </c>
      <c r="E7" s="35">
        <f>SUMIFS(전체리스트!D:D,전체리스트!A:A,B7,전체리스트!C:C,D7)</f>
        <v>645</v>
      </c>
      <c r="F7" s="28"/>
      <c r="G7" s="29">
        <f>SUMIFS(전체리스트!E:E,전체리스트!A:A,B7,전체리스트!C:C,D7)</f>
        <v>766389</v>
      </c>
      <c r="H7" s="27">
        <f t="shared" ref="H7:H8" si="1">G7*0.05</f>
        <v>38319.450000000004</v>
      </c>
      <c r="I7" s="30">
        <f t="shared" ref="I7:I8" si="2">G7-H7</f>
        <v>728069.55</v>
      </c>
      <c r="J7" s="26"/>
    </row>
    <row r="8" spans="2:10">
      <c r="B8" s="26" t="s">
        <v>270</v>
      </c>
      <c r="C8" s="61" t="str">
        <f t="shared" si="0"/>
        <v>10~12월분</v>
      </c>
      <c r="D8" s="26" t="s">
        <v>273</v>
      </c>
      <c r="E8" s="35">
        <f>SUMIFS(전체리스트!D:D,전체리스트!A:A,B8,전체리스트!C:C,D8)</f>
        <v>9.02</v>
      </c>
      <c r="F8" s="28"/>
      <c r="G8" s="29">
        <f>SUMIFS(전체리스트!E:E,전체리스트!A:A,B8,전체리스트!C:C,D8)</f>
        <v>10717.564</v>
      </c>
      <c r="H8" s="27">
        <f t="shared" si="1"/>
        <v>535.87819999999999</v>
      </c>
      <c r="I8" s="30">
        <f t="shared" si="2"/>
        <v>10181.685800000001</v>
      </c>
      <c r="J8" s="26"/>
    </row>
    <row r="9" spans="2:10">
      <c r="B9" s="31" t="s">
        <v>0</v>
      </c>
      <c r="C9" s="31"/>
      <c r="D9" s="32"/>
      <c r="E9" s="113">
        <f>SUM(E6:E8)</f>
        <v>1071.97</v>
      </c>
      <c r="F9" s="113">
        <f t="shared" ref="F9:J9" si="3">SUM(F6:F8)</f>
        <v>0</v>
      </c>
      <c r="G9" s="113">
        <f t="shared" si="3"/>
        <v>1273714.754</v>
      </c>
      <c r="H9" s="113">
        <f t="shared" si="3"/>
        <v>63685.737700000005</v>
      </c>
      <c r="I9" s="113">
        <f t="shared" si="3"/>
        <v>1210029.0163000003</v>
      </c>
      <c r="J9" s="113">
        <f t="shared" si="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C897-7129-4EC2-A70A-4325133A0D32}">
  <dimension ref="B4:J24"/>
  <sheetViews>
    <sheetView workbookViewId="0">
      <selection activeCell="G29" sqref="G29"/>
    </sheetView>
  </sheetViews>
  <sheetFormatPr defaultRowHeight="16.5"/>
  <cols>
    <col min="2" max="2" width="11.875" customWidth="1"/>
    <col min="3" max="3" width="11.375" customWidth="1"/>
    <col min="4" max="4" width="41.5" bestFit="1" customWidth="1"/>
    <col min="5" max="5" width="12.125" bestFit="1" customWidth="1"/>
    <col min="6" max="6" width="11.375" bestFit="1" customWidth="1"/>
    <col min="7" max="7" width="15" bestFit="1" customWidth="1"/>
    <col min="8" max="8" width="13.1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204</v>
      </c>
      <c r="C6" s="61" t="str">
        <f t="shared" ref="C6:C21" si="0">VLOOKUP(B6,raw_a,2,0)</f>
        <v>12월분</v>
      </c>
      <c r="D6" s="26" t="s">
        <v>205</v>
      </c>
      <c r="E6" s="27">
        <f>SUMIFS(전체리스트!D:D,전체리스트!A:A,B6,전체리스트!C:C,D6)</f>
        <v>2813332.3287096773</v>
      </c>
      <c r="F6" s="28">
        <f t="shared" ref="F6:F21" si="1">E6-G6</f>
        <v>0</v>
      </c>
      <c r="G6" s="29">
        <f>SUMIFS(전체리스트!E:E,전체리스트!A:A,B6,전체리스트!C:C,D6)</f>
        <v>2813332.3287096773</v>
      </c>
      <c r="H6" s="27">
        <f>G6*0.05</f>
        <v>140666.61643548388</v>
      </c>
      <c r="I6" s="30">
        <f>G6-H6</f>
        <v>2672665.7122741933</v>
      </c>
      <c r="J6" s="26"/>
    </row>
    <row r="7" spans="2:10">
      <c r="B7" s="26" t="s">
        <v>204</v>
      </c>
      <c r="C7" s="61" t="str">
        <f t="shared" si="0"/>
        <v>12월분</v>
      </c>
      <c r="D7" s="26" t="s">
        <v>54</v>
      </c>
      <c r="E7" s="27">
        <f>SUMIFS(전체리스트!D:D,전체리스트!A:A,B7,전체리스트!C:C,D7)</f>
        <v>118075.91645161289</v>
      </c>
      <c r="F7" s="28">
        <f t="shared" si="1"/>
        <v>0</v>
      </c>
      <c r="G7" s="29">
        <f>SUMIFS(전체리스트!E:E,전체리스트!A:A,B7,전체리스트!C:C,D7)</f>
        <v>118075.91645161289</v>
      </c>
      <c r="H7" s="27">
        <f t="shared" ref="H7:H23" si="2">G7*0.05</f>
        <v>5903.7958225806451</v>
      </c>
      <c r="I7" s="30">
        <f t="shared" ref="I7:I20" si="3">G7-H7</f>
        <v>112172.12062903224</v>
      </c>
      <c r="J7" s="26"/>
    </row>
    <row r="8" spans="2:10">
      <c r="B8" s="26" t="s">
        <v>204</v>
      </c>
      <c r="C8" s="61" t="str">
        <f t="shared" si="0"/>
        <v>12월분</v>
      </c>
      <c r="D8" s="26" t="s">
        <v>64</v>
      </c>
      <c r="E8" s="27">
        <f>SUMIFS(전체리스트!D:D,전체리스트!A:A,B8,전체리스트!C:C,D8)</f>
        <v>179074.02483870968</v>
      </c>
      <c r="F8" s="28">
        <f t="shared" si="1"/>
        <v>0</v>
      </c>
      <c r="G8" s="29">
        <f>SUMIFS(전체리스트!E:E,전체리스트!A:A,B8,전체리스트!C:C,D8)</f>
        <v>179074.02483870968</v>
      </c>
      <c r="H8" s="27">
        <f t="shared" si="2"/>
        <v>8953.7012419354851</v>
      </c>
      <c r="I8" s="30">
        <f t="shared" ref="I8:I15" si="4">G8-H8</f>
        <v>170120.32359677419</v>
      </c>
      <c r="J8" s="26"/>
    </row>
    <row r="9" spans="2:10">
      <c r="B9" s="26" t="s">
        <v>204</v>
      </c>
      <c r="C9" s="61" t="str">
        <f t="shared" si="0"/>
        <v>12월분</v>
      </c>
      <c r="D9" s="26" t="s">
        <v>71</v>
      </c>
      <c r="E9" s="27">
        <f>SUMIFS(전체리스트!D:D,전체리스트!A:A,B9,전체리스트!C:C,D9)</f>
        <v>74694.066774193547</v>
      </c>
      <c r="F9" s="28">
        <f t="shared" si="1"/>
        <v>0</v>
      </c>
      <c r="G9" s="29">
        <f>SUMIFS(전체리스트!E:E,전체리스트!A:A,B9,전체리스트!C:C,D9)</f>
        <v>74694.066774193547</v>
      </c>
      <c r="H9" s="27">
        <f t="shared" si="2"/>
        <v>3734.7033387096776</v>
      </c>
      <c r="I9" s="30">
        <f t="shared" si="4"/>
        <v>70959.363435483872</v>
      </c>
      <c r="J9" s="26"/>
    </row>
    <row r="10" spans="2:10">
      <c r="B10" s="26" t="s">
        <v>204</v>
      </c>
      <c r="C10" s="61" t="str">
        <f t="shared" si="0"/>
        <v>12월분</v>
      </c>
      <c r="D10" s="26" t="s">
        <v>20</v>
      </c>
      <c r="E10" s="27">
        <f>SUMIFS(전체리스트!D:D,전체리스트!A:A,B10,전체리스트!C:C,D10)</f>
        <v>120038.49290322579</v>
      </c>
      <c r="F10" s="28">
        <f t="shared" si="1"/>
        <v>0</v>
      </c>
      <c r="G10" s="29">
        <f>SUMIFS(전체리스트!E:E,전체리스트!A:A,B10,전체리스트!C:C,D10)</f>
        <v>120038.49290322579</v>
      </c>
      <c r="H10" s="27">
        <f t="shared" si="2"/>
        <v>6001.9246451612898</v>
      </c>
      <c r="I10" s="30">
        <f t="shared" si="4"/>
        <v>114036.56825806451</v>
      </c>
      <c r="J10" s="26"/>
    </row>
    <row r="11" spans="2:10">
      <c r="B11" s="26" t="s">
        <v>204</v>
      </c>
      <c r="C11" s="61" t="str">
        <f t="shared" si="0"/>
        <v>12월분</v>
      </c>
      <c r="D11" s="26" t="s">
        <v>87</v>
      </c>
      <c r="E11" s="27">
        <f>SUMIFS(전체리스트!D:D,전체리스트!A:A,B11,전체리스트!C:C,D11)</f>
        <v>1881.3629032258063</v>
      </c>
      <c r="F11" s="28">
        <f t="shared" si="1"/>
        <v>0</v>
      </c>
      <c r="G11" s="29">
        <f>SUMIFS(전체리스트!E:E,전체리스트!A:A,B11,전체리스트!C:C,D11)</f>
        <v>1881.3629032258063</v>
      </c>
      <c r="H11" s="27">
        <f t="shared" si="2"/>
        <v>94.068145161290317</v>
      </c>
      <c r="I11" s="30">
        <f t="shared" si="4"/>
        <v>1787.2947580645159</v>
      </c>
      <c r="J11" s="26"/>
    </row>
    <row r="12" spans="2:10">
      <c r="B12" s="26" t="s">
        <v>204</v>
      </c>
      <c r="C12" s="61" t="str">
        <f t="shared" si="0"/>
        <v>12월분</v>
      </c>
      <c r="D12" s="26" t="s">
        <v>21</v>
      </c>
      <c r="E12" s="27">
        <f>SUMIFS(전체리스트!D:D,전체리스트!A:A,B12,전체리스트!C:C,D12)</f>
        <v>82220.688064516129</v>
      </c>
      <c r="F12" s="28">
        <f t="shared" si="1"/>
        <v>0</v>
      </c>
      <c r="G12" s="29">
        <f>SUMIFS(전체리스트!E:E,전체리스트!A:A,B12,전체리스트!C:C,D12)</f>
        <v>82220.688064516129</v>
      </c>
      <c r="H12" s="27">
        <f t="shared" si="2"/>
        <v>4111.0344032258063</v>
      </c>
      <c r="I12" s="30">
        <f t="shared" si="4"/>
        <v>78109.653661290329</v>
      </c>
      <c r="J12" s="26"/>
    </row>
    <row r="13" spans="2:10">
      <c r="B13" s="26" t="s">
        <v>204</v>
      </c>
      <c r="C13" s="61" t="str">
        <f t="shared" si="0"/>
        <v>12월분</v>
      </c>
      <c r="D13" s="26" t="s">
        <v>30</v>
      </c>
      <c r="E13" s="27">
        <f>SUMIFS(전체리스트!D:D,전체리스트!A:A,B13,전체리스트!C:C,D13)</f>
        <v>92299.719354838715</v>
      </c>
      <c r="F13" s="28">
        <f t="shared" si="1"/>
        <v>0</v>
      </c>
      <c r="G13" s="29">
        <f>SUMIFS(전체리스트!E:E,전체리스트!A:A,B13,전체리스트!C:C,D13)</f>
        <v>92299.719354838715</v>
      </c>
      <c r="H13" s="27">
        <f t="shared" si="2"/>
        <v>4614.9859677419363</v>
      </c>
      <c r="I13" s="30">
        <f t="shared" si="4"/>
        <v>87684.733387096785</v>
      </c>
      <c r="J13" s="26"/>
    </row>
    <row r="14" spans="2:10">
      <c r="B14" s="26" t="s">
        <v>204</v>
      </c>
      <c r="C14" s="61" t="str">
        <f t="shared" si="0"/>
        <v>12월분</v>
      </c>
      <c r="D14" s="26" t="s">
        <v>86</v>
      </c>
      <c r="E14" s="27">
        <f>SUMIFS(전체리스트!D:D,전체리스트!A:A,B14,전체리스트!C:C,D14)</f>
        <v>61901.130967741934</v>
      </c>
      <c r="F14" s="28">
        <f t="shared" si="1"/>
        <v>0</v>
      </c>
      <c r="G14" s="29">
        <f>SUMIFS(전체리스트!E:E,전체리스트!A:A,B14,전체리스트!C:C,D14)</f>
        <v>61901.130967741934</v>
      </c>
      <c r="H14" s="27">
        <f t="shared" si="2"/>
        <v>3095.0565483870969</v>
      </c>
      <c r="I14" s="30">
        <f t="shared" si="4"/>
        <v>58806.074419354838</v>
      </c>
      <c r="J14" s="26"/>
    </row>
    <row r="15" spans="2:10">
      <c r="B15" s="26" t="s">
        <v>204</v>
      </c>
      <c r="C15" s="61" t="str">
        <f t="shared" si="0"/>
        <v>12월분</v>
      </c>
      <c r="D15" s="26" t="s">
        <v>22</v>
      </c>
      <c r="E15" s="27">
        <f>SUMIFS(전체리스트!D:D,전체리스트!A:A,B15,전체리스트!C:C,D15)</f>
        <v>26037.540967741934</v>
      </c>
      <c r="F15" s="28">
        <f t="shared" si="1"/>
        <v>0</v>
      </c>
      <c r="G15" s="29">
        <f>SUMIFS(전체리스트!E:E,전체리스트!A:A,B15,전체리스트!C:C,D15)</f>
        <v>26037.540967741934</v>
      </c>
      <c r="H15" s="27">
        <f t="shared" si="2"/>
        <v>1301.8770483870967</v>
      </c>
      <c r="I15" s="30">
        <f t="shared" si="4"/>
        <v>24735.663919354836</v>
      </c>
      <c r="J15" s="26"/>
    </row>
    <row r="16" spans="2:10">
      <c r="B16" s="26" t="s">
        <v>204</v>
      </c>
      <c r="C16" s="61" t="str">
        <f t="shared" si="0"/>
        <v>12월분</v>
      </c>
      <c r="D16" s="26" t="s">
        <v>68</v>
      </c>
      <c r="E16" s="27">
        <f>SUMIFS(전체리스트!D:D,전체리스트!A:A,B16,전체리스트!C:C,D16)</f>
        <v>4101.0787096774193</v>
      </c>
      <c r="F16" s="28">
        <f t="shared" si="1"/>
        <v>0</v>
      </c>
      <c r="G16" s="29">
        <f>SUMIFS(전체리스트!E:E,전체리스트!A:A,B16,전체리스트!C:C,D16)</f>
        <v>4101.0787096774193</v>
      </c>
      <c r="H16" s="27">
        <f t="shared" si="2"/>
        <v>205.05393548387099</v>
      </c>
      <c r="I16" s="30">
        <f t="shared" si="3"/>
        <v>3896.0247741935482</v>
      </c>
      <c r="J16" s="26"/>
    </row>
    <row r="17" spans="2:10">
      <c r="B17" s="26" t="s">
        <v>204</v>
      </c>
      <c r="C17" s="61" t="str">
        <f t="shared" ref="C17:C20" si="5">VLOOKUP(B17,raw_a,2,0)</f>
        <v>12월분</v>
      </c>
      <c r="D17" s="26" t="s">
        <v>17</v>
      </c>
      <c r="E17" s="27">
        <f>SUMIFS(전체리스트!D:D,전체리스트!A:A,B17,전체리스트!C:C,D17)</f>
        <v>471880.40064516134</v>
      </c>
      <c r="F17" s="28">
        <f t="shared" ref="F17:F20" si="6">E17-G17</f>
        <v>0</v>
      </c>
      <c r="G17" s="29">
        <f>SUMIFS(전체리스트!E:E,전체리스트!A:A,B17,전체리스트!C:C,D17)</f>
        <v>471880.40064516134</v>
      </c>
      <c r="H17" s="27">
        <f t="shared" ref="H17:H20" si="7">G17*0.05</f>
        <v>23594.020032258068</v>
      </c>
      <c r="I17" s="30">
        <f t="shared" si="3"/>
        <v>448286.38061290327</v>
      </c>
      <c r="J17" s="26"/>
    </row>
    <row r="18" spans="2:10">
      <c r="B18" s="26" t="s">
        <v>204</v>
      </c>
      <c r="C18" s="61" t="str">
        <f t="shared" si="5"/>
        <v>12월분</v>
      </c>
      <c r="D18" s="26" t="s">
        <v>38</v>
      </c>
      <c r="E18" s="27">
        <f>SUMIFS(전체리스트!D:D,전체리스트!A:A,B18,전체리스트!C:C,D18)</f>
        <v>489.1780645161291</v>
      </c>
      <c r="F18" s="28">
        <f t="shared" si="6"/>
        <v>0</v>
      </c>
      <c r="G18" s="29">
        <f>SUMIFS(전체리스트!E:E,전체리스트!A:A,B18,전체리스트!C:C,D18)</f>
        <v>489.1780645161291</v>
      </c>
      <c r="H18" s="27">
        <f t="shared" si="7"/>
        <v>24.458903225806456</v>
      </c>
      <c r="I18" s="30">
        <f t="shared" si="3"/>
        <v>464.71916129032263</v>
      </c>
      <c r="J18" s="26"/>
    </row>
    <row r="19" spans="2:10" ht="15.75" customHeight="1">
      <c r="B19" s="26" t="s">
        <v>204</v>
      </c>
      <c r="C19" s="61" t="str">
        <f t="shared" si="5"/>
        <v>12월분</v>
      </c>
      <c r="D19" s="26" t="s">
        <v>289</v>
      </c>
      <c r="E19" s="27">
        <f>SUMIFS(전체리스트!D:D,전체리스트!A:A,B19,전체리스트!C:C,D19)</f>
        <v>3988.2838709677417</v>
      </c>
      <c r="F19" s="28">
        <f t="shared" si="6"/>
        <v>0</v>
      </c>
      <c r="G19" s="29">
        <f>SUMIFS(전체리스트!E:E,전체리스트!A:A,B19,전체리스트!C:C,D19)</f>
        <v>3988.2838709677417</v>
      </c>
      <c r="H19" s="27">
        <f t="shared" si="7"/>
        <v>199.41419354838709</v>
      </c>
      <c r="I19" s="30">
        <f t="shared" si="3"/>
        <v>3788.8696774193545</v>
      </c>
      <c r="J19" s="26"/>
    </row>
    <row r="20" spans="2:10">
      <c r="B20" s="26" t="s">
        <v>204</v>
      </c>
      <c r="C20" s="61" t="str">
        <f t="shared" si="5"/>
        <v>12월분</v>
      </c>
      <c r="D20" s="26" t="s">
        <v>65</v>
      </c>
      <c r="E20" s="27">
        <f>SUMIFS(전체리스트!D:D,전체리스트!A:A,B20,전체리스트!C:C,D20)</f>
        <v>50387.980322580646</v>
      </c>
      <c r="F20" s="28">
        <f t="shared" si="6"/>
        <v>0</v>
      </c>
      <c r="G20" s="29">
        <f>SUMIFS(전체리스트!E:E,전체리스트!A:A,B20,전체리스트!C:C,D20)</f>
        <v>50387.980322580646</v>
      </c>
      <c r="H20" s="27">
        <f t="shared" si="7"/>
        <v>2519.3990161290326</v>
      </c>
      <c r="I20" s="30">
        <f t="shared" si="3"/>
        <v>47868.581306451611</v>
      </c>
      <c r="J20" s="26"/>
    </row>
    <row r="21" spans="2:10">
      <c r="B21" s="26" t="s">
        <v>204</v>
      </c>
      <c r="C21" s="61" t="str">
        <f t="shared" si="0"/>
        <v>12월분</v>
      </c>
      <c r="D21" s="26" t="s">
        <v>59</v>
      </c>
      <c r="E21" s="27">
        <f>SUMIFS(전체리스트!D:D,전체리스트!A:A,B21,전체리스트!C:C,D21)</f>
        <v>50158.897419354835</v>
      </c>
      <c r="F21" s="28">
        <f t="shared" si="1"/>
        <v>0</v>
      </c>
      <c r="G21" s="29">
        <f>SUMIFS(전체리스트!E:E,전체리스트!A:A,B21,전체리스트!C:C,D21)</f>
        <v>50158.897419354835</v>
      </c>
      <c r="H21" s="27">
        <f t="shared" si="2"/>
        <v>2507.9448709677417</v>
      </c>
      <c r="I21" s="30">
        <f t="shared" ref="I21" si="8">G21-H21</f>
        <v>47650.952548387097</v>
      </c>
      <c r="J21" s="26"/>
    </row>
    <row r="22" spans="2:10">
      <c r="B22" s="26" t="s">
        <v>204</v>
      </c>
      <c r="C22" s="61" t="str">
        <f t="shared" ref="C22:C23" si="9">VLOOKUP(B22,raw_a,2,0)</f>
        <v>12월분</v>
      </c>
      <c r="D22" s="26" t="s">
        <v>377</v>
      </c>
      <c r="E22" s="27">
        <f>SUMIFS(전체리스트!D:D,전체리스트!A:A,B22,전체리스트!C:C,D22)</f>
        <v>171130.03419354837</v>
      </c>
      <c r="F22" s="28">
        <f t="shared" ref="F22:F23" si="10">E22-G22</f>
        <v>0</v>
      </c>
      <c r="G22" s="29">
        <f>SUMIFS(전체리스트!E:E,전체리스트!A:A,B22,전체리스트!C:C,D22)</f>
        <v>171130.03419354837</v>
      </c>
      <c r="H22" s="27">
        <f t="shared" si="2"/>
        <v>8556.5017096774191</v>
      </c>
      <c r="I22" s="30">
        <f t="shared" ref="I22:I23" si="11">G22-H22</f>
        <v>162573.53248387095</v>
      </c>
      <c r="J22" s="26"/>
    </row>
    <row r="23" spans="2:10" ht="15.75" customHeight="1">
      <c r="B23" s="26" t="s">
        <v>204</v>
      </c>
      <c r="C23" s="61" t="str">
        <f t="shared" si="9"/>
        <v>12월분</v>
      </c>
      <c r="D23" s="26" t="s">
        <v>41</v>
      </c>
      <c r="E23" s="27">
        <f>SUMIFS(전체리스트!D:D,전체리스트!A:A,B23,전체리스트!C:C,D23)</f>
        <v>288182.90967741935</v>
      </c>
      <c r="F23" s="28">
        <f t="shared" si="10"/>
        <v>0</v>
      </c>
      <c r="G23" s="29">
        <f>SUMIFS(전체리스트!E:E,전체리스트!A:A,B23,전체리스트!C:C,D23)</f>
        <v>288182.90967741935</v>
      </c>
      <c r="H23" s="27">
        <f t="shared" si="2"/>
        <v>14409.145483870969</v>
      </c>
      <c r="I23" s="30">
        <f t="shared" si="11"/>
        <v>273773.76419354836</v>
      </c>
      <c r="J23" s="26"/>
    </row>
    <row r="24" spans="2:10">
      <c r="B24" s="31" t="s">
        <v>0</v>
      </c>
      <c r="C24" s="31"/>
      <c r="D24" s="32"/>
      <c r="E24" s="33">
        <f t="shared" ref="E24:J24" si="12">SUM(E6:E23)</f>
        <v>4609874.03483871</v>
      </c>
      <c r="F24" s="33">
        <f t="shared" si="12"/>
        <v>0</v>
      </c>
      <c r="G24" s="33">
        <f t="shared" si="12"/>
        <v>4609874.03483871</v>
      </c>
      <c r="H24" s="33">
        <f t="shared" si="12"/>
        <v>230493.70174193551</v>
      </c>
      <c r="I24" s="33">
        <f t="shared" si="12"/>
        <v>4379380.3330967743</v>
      </c>
      <c r="J24" s="33">
        <f t="shared" si="12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964C-20C5-4EF8-816C-ABAAE9920762}">
  <dimension ref="B4:J21"/>
  <sheetViews>
    <sheetView topLeftCell="A2" workbookViewId="0">
      <selection activeCell="I32" sqref="I32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209</v>
      </c>
      <c r="C6" s="61" t="str">
        <f t="shared" ref="C6:C20" si="0">VLOOKUP(B6,raw_a,2,0)</f>
        <v>12월분</v>
      </c>
      <c r="D6" s="26" t="s">
        <v>65</v>
      </c>
      <c r="E6" s="27">
        <f>SUMIFS(전체리스트!D:D,전체리스트!A:A,B6,전체리스트!C:C,D6)</f>
        <v>974359</v>
      </c>
      <c r="F6" s="28">
        <f>E6-G6</f>
        <v>0</v>
      </c>
      <c r="G6" s="29">
        <f>SUMIFS(전체리스트!E:E,전체리스트!A:A,B6,전체리스트!C:C,D6)</f>
        <v>974359</v>
      </c>
      <c r="H6" s="27">
        <f>G6*0.05</f>
        <v>48717.950000000004</v>
      </c>
      <c r="I6" s="30">
        <f>G6-H6</f>
        <v>925641.05</v>
      </c>
      <c r="J6" s="26"/>
    </row>
    <row r="7" spans="2:10">
      <c r="B7" s="26" t="s">
        <v>209</v>
      </c>
      <c r="C7" s="61" t="str">
        <f t="shared" si="0"/>
        <v>12월분</v>
      </c>
      <c r="D7" s="26" t="s">
        <v>68</v>
      </c>
      <c r="E7" s="27">
        <f>SUMIFS(전체리스트!D:D,전체리스트!A:A,B7,전체리스트!C:C,D7)</f>
        <v>22956</v>
      </c>
      <c r="F7" s="28">
        <f t="shared" ref="F7:F20" si="1">E7-G7</f>
        <v>0</v>
      </c>
      <c r="G7" s="29">
        <f>SUMIFS(전체리스트!E:E,전체리스트!A:A,B7,전체리스트!C:C,D7)</f>
        <v>22956</v>
      </c>
      <c r="H7" s="27">
        <f t="shared" ref="H7:H20" si="2">G7*0.05</f>
        <v>1147.8</v>
      </c>
      <c r="I7" s="30">
        <f t="shared" ref="I7:I20" si="3">G7-H7</f>
        <v>21808.2</v>
      </c>
      <c r="J7" s="26"/>
    </row>
    <row r="8" spans="2:10">
      <c r="B8" s="26" t="s">
        <v>209</v>
      </c>
      <c r="C8" s="61" t="str">
        <f t="shared" si="0"/>
        <v>12월분</v>
      </c>
      <c r="D8" s="26" t="s">
        <v>210</v>
      </c>
      <c r="E8" s="27">
        <f>SUMIFS(전체리스트!D:D,전체리스트!A:A,B8,전체리스트!C:C,D8)</f>
        <v>50052.5</v>
      </c>
      <c r="F8" s="28">
        <f t="shared" si="1"/>
        <v>0</v>
      </c>
      <c r="G8" s="29">
        <f>SUMIFS(전체리스트!E:E,전체리스트!A:A,B8,전체리스트!C:C,D8)</f>
        <v>50052.5</v>
      </c>
      <c r="H8" s="27">
        <f t="shared" si="2"/>
        <v>2502.625</v>
      </c>
      <c r="I8" s="30">
        <f t="shared" si="3"/>
        <v>47549.875</v>
      </c>
      <c r="J8" s="26"/>
    </row>
    <row r="9" spans="2:10">
      <c r="B9" s="26" t="s">
        <v>209</v>
      </c>
      <c r="C9" s="61" t="str">
        <f t="shared" si="0"/>
        <v>12월분</v>
      </c>
      <c r="D9" s="26" t="s">
        <v>38</v>
      </c>
      <c r="E9" s="27">
        <f>SUMIFS(전체리스트!D:D,전체리스트!A:A,B9,전체리스트!C:C,D9)</f>
        <v>499</v>
      </c>
      <c r="F9" s="28">
        <f t="shared" si="1"/>
        <v>0</v>
      </c>
      <c r="G9" s="29">
        <f>SUMIFS(전체리스트!E:E,전체리스트!A:A,B9,전체리스트!C:C,D9)</f>
        <v>499</v>
      </c>
      <c r="H9" s="27">
        <f t="shared" si="2"/>
        <v>24.950000000000003</v>
      </c>
      <c r="I9" s="30">
        <f t="shared" si="3"/>
        <v>474.05</v>
      </c>
      <c r="J9" s="26"/>
    </row>
    <row r="10" spans="2:10">
      <c r="B10" s="26" t="s">
        <v>209</v>
      </c>
      <c r="C10" s="61" t="str">
        <f t="shared" si="0"/>
        <v>12월분</v>
      </c>
      <c r="D10" s="26" t="s">
        <v>177</v>
      </c>
      <c r="E10" s="27">
        <f>SUMIFS(전체리스트!D:D,전체리스트!A:A,B10,전체리스트!C:C,D10)</f>
        <v>13723.5</v>
      </c>
      <c r="F10" s="28">
        <f t="shared" si="1"/>
        <v>0</v>
      </c>
      <c r="G10" s="29">
        <f>SUMIFS(전체리스트!E:E,전체리스트!A:A,B10,전체리스트!C:C,D10)</f>
        <v>13723.5</v>
      </c>
      <c r="H10" s="27">
        <f t="shared" si="2"/>
        <v>686.17500000000007</v>
      </c>
      <c r="I10" s="30">
        <f t="shared" si="3"/>
        <v>13037.325000000001</v>
      </c>
      <c r="J10" s="26"/>
    </row>
    <row r="11" spans="2:10">
      <c r="B11" s="26" t="s">
        <v>209</v>
      </c>
      <c r="C11" s="61" t="str">
        <f t="shared" si="0"/>
        <v>12월분</v>
      </c>
      <c r="D11" s="26" t="s">
        <v>21</v>
      </c>
      <c r="E11" s="27">
        <f>SUMIFS(전체리스트!D:D,전체리스트!A:A,B11,전체리스트!C:C,D11)</f>
        <v>1720</v>
      </c>
      <c r="F11" s="28">
        <f t="shared" ref="F11:F12" si="4">E11-G11</f>
        <v>0</v>
      </c>
      <c r="G11" s="29">
        <f>SUMIFS(전체리스트!E:E,전체리스트!A:A,B11,전체리스트!C:C,D11)</f>
        <v>1720</v>
      </c>
      <c r="H11" s="27">
        <f t="shared" si="2"/>
        <v>86</v>
      </c>
      <c r="I11" s="30">
        <f t="shared" ref="I11:I12" si="5">G11-H11</f>
        <v>1634</v>
      </c>
      <c r="J11" s="26"/>
    </row>
    <row r="12" spans="2:10">
      <c r="B12" s="26" t="s">
        <v>209</v>
      </c>
      <c r="C12" s="61" t="str">
        <f t="shared" si="0"/>
        <v>12월분</v>
      </c>
      <c r="D12" s="26" t="s">
        <v>31</v>
      </c>
      <c r="E12" s="27">
        <f>SUMIFS(전체리스트!D:D,전체리스트!A:A,B12,전체리스트!C:C,D12)</f>
        <v>7384.5</v>
      </c>
      <c r="F12" s="28">
        <f t="shared" si="4"/>
        <v>0</v>
      </c>
      <c r="G12" s="29">
        <f>SUMIFS(전체리스트!E:E,전체리스트!A:A,B12,전체리스트!C:C,D12)</f>
        <v>7384.5</v>
      </c>
      <c r="H12" s="27">
        <f t="shared" si="2"/>
        <v>369.22500000000002</v>
      </c>
      <c r="I12" s="30">
        <f t="shared" si="5"/>
        <v>7015.2749999999996</v>
      </c>
      <c r="J12" s="26"/>
    </row>
    <row r="13" spans="2:10">
      <c r="B13" s="26" t="s">
        <v>209</v>
      </c>
      <c r="C13" s="61" t="str">
        <f t="shared" si="0"/>
        <v>12월분</v>
      </c>
      <c r="D13" s="26" t="s">
        <v>61</v>
      </c>
      <c r="E13" s="27">
        <f>SUMIFS(전체리스트!D:D,전체리스트!A:A,B13,전체리스트!C:C,D13)</f>
        <v>385214.5</v>
      </c>
      <c r="F13" s="28">
        <f t="shared" si="1"/>
        <v>0</v>
      </c>
      <c r="G13" s="29">
        <f>SUMIFS(전체리스트!E:E,전체리스트!A:A,B13,전체리스트!C:C,D13)</f>
        <v>385214.5</v>
      </c>
      <c r="H13" s="27">
        <f t="shared" si="2"/>
        <v>19260.725000000002</v>
      </c>
      <c r="I13" s="30">
        <f t="shared" si="3"/>
        <v>365953.77500000002</v>
      </c>
      <c r="J13" s="26"/>
    </row>
    <row r="14" spans="2:10">
      <c r="B14" s="26" t="s">
        <v>209</v>
      </c>
      <c r="C14" s="61" t="str">
        <f t="shared" ref="C14:C19" si="6">VLOOKUP(B14,raw_a,2,0)</f>
        <v>12월분</v>
      </c>
      <c r="D14" s="26" t="s">
        <v>72</v>
      </c>
      <c r="E14" s="27">
        <f>SUMIFS(전체리스트!D:D,전체리스트!A:A,B14,전체리스트!C:C,D14)</f>
        <v>15369</v>
      </c>
      <c r="F14" s="28">
        <f t="shared" ref="F14:F19" si="7">E14-G14</f>
        <v>0</v>
      </c>
      <c r="G14" s="29">
        <f>SUMIFS(전체리스트!E:E,전체리스트!A:A,B14,전체리스트!C:C,D14)</f>
        <v>15369</v>
      </c>
      <c r="H14" s="27">
        <f t="shared" si="2"/>
        <v>768.45</v>
      </c>
      <c r="I14" s="30">
        <f t="shared" ref="I14:I19" si="8">G14-H14</f>
        <v>14600.55</v>
      </c>
      <c r="J14" s="26"/>
    </row>
    <row r="15" spans="2:10">
      <c r="B15" s="26" t="s">
        <v>209</v>
      </c>
      <c r="C15" s="61" t="str">
        <f t="shared" ref="C15:C17" si="9">VLOOKUP(B15,raw_a,2,0)</f>
        <v>12월분</v>
      </c>
      <c r="D15" s="26" t="s">
        <v>86</v>
      </c>
      <c r="E15" s="27">
        <f>SUMIFS(전체리스트!D:D,전체리스트!A:A,B15,전체리스트!C:C,D15)</f>
        <v>5941</v>
      </c>
      <c r="F15" s="28">
        <f t="shared" ref="F15:F17" si="10">E15-G15</f>
        <v>0</v>
      </c>
      <c r="G15" s="29">
        <f>SUMIFS(전체리스트!E:E,전체리스트!A:A,B15,전체리스트!C:C,D15)</f>
        <v>5941</v>
      </c>
      <c r="H15" s="27">
        <f t="shared" ref="H15:H17" si="11">G15*0.05</f>
        <v>297.05</v>
      </c>
      <c r="I15" s="30">
        <f t="shared" ref="I15:I17" si="12">G15-H15</f>
        <v>5643.95</v>
      </c>
      <c r="J15" s="26"/>
    </row>
    <row r="16" spans="2:10">
      <c r="B16" s="26" t="s">
        <v>209</v>
      </c>
      <c r="C16" s="61" t="str">
        <f t="shared" si="9"/>
        <v>12월분</v>
      </c>
      <c r="D16" s="26" t="s">
        <v>17</v>
      </c>
      <c r="E16" s="27">
        <f>SUMIFS(전체리스트!D:D,전체리스트!A:A,B16,전체리스트!C:C,D16)</f>
        <v>43958.400000000001</v>
      </c>
      <c r="F16" s="28">
        <f t="shared" si="10"/>
        <v>0</v>
      </c>
      <c r="G16" s="29">
        <f>SUMIFS(전체리스트!E:E,전체리스트!A:A,B16,전체리스트!C:C,D16)</f>
        <v>43958.400000000001</v>
      </c>
      <c r="H16" s="27">
        <f t="shared" si="11"/>
        <v>2197.92</v>
      </c>
      <c r="I16" s="30">
        <f t="shared" si="12"/>
        <v>41760.480000000003</v>
      </c>
      <c r="J16" s="26"/>
    </row>
    <row r="17" spans="2:10">
      <c r="B17" s="26" t="s">
        <v>209</v>
      </c>
      <c r="C17" s="61" t="str">
        <f t="shared" si="9"/>
        <v>12월분</v>
      </c>
      <c r="D17" s="26" t="s">
        <v>20</v>
      </c>
      <c r="E17" s="27">
        <f>SUMIFS(전체리스트!D:D,전체리스트!A:A,B17,전체리스트!C:C,D17)</f>
        <v>7963.2</v>
      </c>
      <c r="F17" s="28">
        <f t="shared" si="10"/>
        <v>0</v>
      </c>
      <c r="G17" s="29">
        <f>SUMIFS(전체리스트!E:E,전체리스트!A:A,B17,전체리스트!C:C,D17)</f>
        <v>7963.2</v>
      </c>
      <c r="H17" s="27">
        <f t="shared" si="11"/>
        <v>398.16</v>
      </c>
      <c r="I17" s="30">
        <f t="shared" si="12"/>
        <v>7565.04</v>
      </c>
      <c r="J17" s="26"/>
    </row>
    <row r="18" spans="2:10">
      <c r="B18" s="26" t="s">
        <v>209</v>
      </c>
      <c r="C18" s="61" t="str">
        <f t="shared" si="6"/>
        <v>12월분</v>
      </c>
      <c r="D18" s="26" t="s">
        <v>71</v>
      </c>
      <c r="E18" s="27">
        <f>SUMIFS(전체리스트!D:D,전체리스트!A:A,B18,전체리스트!C:C,D18)</f>
        <v>5786.5</v>
      </c>
      <c r="F18" s="28">
        <f t="shared" si="7"/>
        <v>0</v>
      </c>
      <c r="G18" s="29">
        <f>SUMIFS(전체리스트!E:E,전체리스트!A:A,B18,전체리스트!C:C,D18)</f>
        <v>5786.5</v>
      </c>
      <c r="H18" s="27">
        <f t="shared" si="2"/>
        <v>289.32499999999999</v>
      </c>
      <c r="I18" s="30">
        <f t="shared" si="8"/>
        <v>5497.1750000000002</v>
      </c>
      <c r="J18" s="26"/>
    </row>
    <row r="19" spans="2:10">
      <c r="B19" s="26" t="s">
        <v>209</v>
      </c>
      <c r="C19" s="61" t="str">
        <f t="shared" si="6"/>
        <v>12월분</v>
      </c>
      <c r="D19" s="26" t="s">
        <v>160</v>
      </c>
      <c r="E19" s="27">
        <f>SUMIFS(전체리스트!D:D,전체리스트!A:A,B19,전체리스트!C:C,D19)</f>
        <v>74856.600000000006</v>
      </c>
      <c r="F19" s="28">
        <f t="shared" si="7"/>
        <v>0</v>
      </c>
      <c r="G19" s="29">
        <f>SUMIFS(전체리스트!E:E,전체리스트!A:A,B19,전체리스트!C:C,D19)</f>
        <v>74856.600000000006</v>
      </c>
      <c r="H19" s="27">
        <f t="shared" si="2"/>
        <v>3742.8300000000004</v>
      </c>
      <c r="I19" s="30">
        <f t="shared" si="8"/>
        <v>71113.77</v>
      </c>
      <c r="J19" s="26"/>
    </row>
    <row r="20" spans="2:10">
      <c r="B20" s="26" t="s">
        <v>209</v>
      </c>
      <c r="C20" s="61" t="str">
        <f t="shared" si="0"/>
        <v>12월분</v>
      </c>
      <c r="D20" s="26" t="s">
        <v>30</v>
      </c>
      <c r="E20" s="27">
        <f>SUMIFS(전체리스트!D:D,전체리스트!A:A,B20,전체리스트!C:C,D20)</f>
        <v>52157.4</v>
      </c>
      <c r="F20" s="28">
        <f t="shared" si="1"/>
        <v>0</v>
      </c>
      <c r="G20" s="29">
        <f>SUMIFS(전체리스트!E:E,전체리스트!A:A,B20,전체리스트!C:C,D20)</f>
        <v>52157.4</v>
      </c>
      <c r="H20" s="27">
        <f t="shared" si="2"/>
        <v>2607.8700000000003</v>
      </c>
      <c r="I20" s="30">
        <f t="shared" si="3"/>
        <v>49549.53</v>
      </c>
      <c r="J20" s="26"/>
    </row>
    <row r="21" spans="2:10">
      <c r="B21" s="31" t="s">
        <v>0</v>
      </c>
      <c r="C21" s="31"/>
      <c r="D21" s="32"/>
      <c r="E21" s="33">
        <f t="shared" ref="E21:J21" si="13">SUM(E6:E20)</f>
        <v>1661941.0999999999</v>
      </c>
      <c r="F21" s="33">
        <f t="shared" si="13"/>
        <v>0</v>
      </c>
      <c r="G21" s="33">
        <f t="shared" si="13"/>
        <v>1661941.0999999999</v>
      </c>
      <c r="H21" s="33">
        <f t="shared" si="13"/>
        <v>83097.055000000008</v>
      </c>
      <c r="I21" s="33">
        <f t="shared" si="13"/>
        <v>1578844.0450000002</v>
      </c>
      <c r="J21" s="33">
        <f t="shared" si="1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4:J23"/>
  <sheetViews>
    <sheetView workbookViewId="0">
      <selection activeCell="N26" sqref="N26"/>
    </sheetView>
  </sheetViews>
  <sheetFormatPr defaultRowHeight="16.5"/>
  <cols>
    <col min="2" max="2" width="11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230</v>
      </c>
      <c r="C6" s="61" t="str">
        <f t="shared" ref="C6:C11" si="0">VLOOKUP(B6,raw_a,2,0)</f>
        <v>1월분</v>
      </c>
      <c r="D6" s="61" t="s">
        <v>77</v>
      </c>
      <c r="E6" s="27">
        <f>SUMIFS(전체리스트!D:D,전체리스트!A:A,B6,전체리스트!C:C,D6)</f>
        <v>114200</v>
      </c>
      <c r="F6" s="28">
        <f>E6-G6</f>
        <v>34260</v>
      </c>
      <c r="G6" s="29">
        <f>SUMIFS(전체리스트!E:E,전체리스트!A:A,B6,전체리스트!C:C,D6)</f>
        <v>79940</v>
      </c>
      <c r="H6" s="27">
        <f>G6*0.05</f>
        <v>3997</v>
      </c>
      <c r="I6" s="30">
        <f t="shared" ref="I6:I11" si="1">G6-H6</f>
        <v>75943</v>
      </c>
      <c r="J6" s="26"/>
    </row>
    <row r="7" spans="2:10">
      <c r="B7" s="26" t="s">
        <v>230</v>
      </c>
      <c r="C7" s="61" t="str">
        <f t="shared" si="0"/>
        <v>1월분</v>
      </c>
      <c r="D7" s="61" t="s">
        <v>76</v>
      </c>
      <c r="E7" s="27">
        <f>SUMIFS(전체리스트!D:D,전체리스트!A:A,B7,전체리스트!C:C,D7)</f>
        <v>4000</v>
      </c>
      <c r="F7" s="28">
        <f t="shared" ref="F7:F11" si="2">E7-G7</f>
        <v>1200</v>
      </c>
      <c r="G7" s="29">
        <f>SUMIFS(전체리스트!E:E,전체리스트!A:A,B7,전체리스트!C:C,D7)</f>
        <v>2800</v>
      </c>
      <c r="H7" s="27">
        <f t="shared" ref="H7:H22" si="3">G7*0.05</f>
        <v>140</v>
      </c>
      <c r="I7" s="30">
        <f t="shared" si="1"/>
        <v>2660</v>
      </c>
      <c r="J7" s="26"/>
    </row>
    <row r="8" spans="2:10">
      <c r="B8" s="26" t="s">
        <v>230</v>
      </c>
      <c r="C8" s="61" t="str">
        <f t="shared" si="0"/>
        <v>1월분</v>
      </c>
      <c r="D8" s="61" t="s">
        <v>61</v>
      </c>
      <c r="E8" s="27">
        <f>SUMIFS(전체리스트!D:D,전체리스트!A:A,B8,전체리스트!C:C,D8)</f>
        <v>5700</v>
      </c>
      <c r="F8" s="28">
        <f t="shared" si="2"/>
        <v>1710</v>
      </c>
      <c r="G8" s="29">
        <f>SUMIFS(전체리스트!E:E,전체리스트!A:A,B8,전체리스트!C:C,D8)</f>
        <v>3990</v>
      </c>
      <c r="H8" s="27">
        <f t="shared" si="3"/>
        <v>199.5</v>
      </c>
      <c r="I8" s="30">
        <f t="shared" si="1"/>
        <v>3790.5</v>
      </c>
      <c r="J8" s="26"/>
    </row>
    <row r="9" spans="2:10">
      <c r="B9" s="26" t="s">
        <v>230</v>
      </c>
      <c r="C9" s="61" t="str">
        <f t="shared" si="0"/>
        <v>1월분</v>
      </c>
      <c r="D9" s="61" t="s">
        <v>156</v>
      </c>
      <c r="E9" s="27">
        <f>SUMIFS(전체리스트!D:D,전체리스트!A:A,B9,전체리스트!C:C,D9)</f>
        <v>900</v>
      </c>
      <c r="F9" s="28">
        <f t="shared" si="2"/>
        <v>270</v>
      </c>
      <c r="G9" s="29">
        <f>SUMIFS(전체리스트!E:E,전체리스트!A:A,B9,전체리스트!C:C,D9)</f>
        <v>630</v>
      </c>
      <c r="H9" s="27">
        <f t="shared" si="3"/>
        <v>31.5</v>
      </c>
      <c r="I9" s="30">
        <f t="shared" si="1"/>
        <v>598.5</v>
      </c>
      <c r="J9" s="26"/>
    </row>
    <row r="10" spans="2:10">
      <c r="B10" s="26" t="s">
        <v>230</v>
      </c>
      <c r="C10" s="61" t="str">
        <f t="shared" si="0"/>
        <v>1월분</v>
      </c>
      <c r="D10" s="61" t="s">
        <v>74</v>
      </c>
      <c r="E10" s="27">
        <f>SUMIFS(전체리스트!D:D,전체리스트!A:A,B10,전체리스트!C:C,D10)</f>
        <v>900</v>
      </c>
      <c r="F10" s="28">
        <f t="shared" si="2"/>
        <v>270</v>
      </c>
      <c r="G10" s="29">
        <f>SUMIFS(전체리스트!E:E,전체리스트!A:A,B10,전체리스트!C:C,D10)</f>
        <v>630</v>
      </c>
      <c r="H10" s="27">
        <f t="shared" si="3"/>
        <v>31.5</v>
      </c>
      <c r="I10" s="30">
        <f t="shared" si="1"/>
        <v>598.5</v>
      </c>
      <c r="J10" s="26"/>
    </row>
    <row r="11" spans="2:10">
      <c r="B11" s="26" t="s">
        <v>230</v>
      </c>
      <c r="C11" s="61" t="str">
        <f t="shared" si="0"/>
        <v>1월분</v>
      </c>
      <c r="D11" s="61" t="s">
        <v>180</v>
      </c>
      <c r="E11" s="27">
        <f>SUMIFS(전체리스트!D:D,전체리스트!A:A,B11,전체리스트!C:C,D11)</f>
        <v>17700</v>
      </c>
      <c r="F11" s="28">
        <f t="shared" si="2"/>
        <v>5310</v>
      </c>
      <c r="G11" s="29">
        <f>SUMIFS(전체리스트!E:E,전체리스트!A:A,B11,전체리스트!C:C,D11)</f>
        <v>12390</v>
      </c>
      <c r="H11" s="27">
        <f t="shared" si="3"/>
        <v>619.5</v>
      </c>
      <c r="I11" s="30">
        <f t="shared" si="1"/>
        <v>11770.5</v>
      </c>
      <c r="J11" s="26"/>
    </row>
    <row r="12" spans="2:10">
      <c r="B12" s="26" t="s">
        <v>230</v>
      </c>
      <c r="C12" s="61" t="str">
        <f t="shared" ref="C12:C22" si="4">VLOOKUP(B12,raw_a,2,0)</f>
        <v>1월분</v>
      </c>
      <c r="D12" s="61" t="s">
        <v>179</v>
      </c>
      <c r="E12" s="27">
        <f>SUMIFS(전체리스트!D:D,전체리스트!A:A,B12,전체리스트!C:C,D12)</f>
        <v>66900</v>
      </c>
      <c r="F12" s="28">
        <f t="shared" ref="F12:F22" si="5">E12-G12</f>
        <v>20070</v>
      </c>
      <c r="G12" s="29">
        <f>SUMIFS(전체리스트!E:E,전체리스트!A:A,B12,전체리스트!C:C,D12)</f>
        <v>46830</v>
      </c>
      <c r="H12" s="27">
        <f t="shared" si="3"/>
        <v>2341.5</v>
      </c>
      <c r="I12" s="30">
        <f t="shared" ref="I12:I22" si="6">G12-H12</f>
        <v>44488.5</v>
      </c>
      <c r="J12" s="26"/>
    </row>
    <row r="13" spans="2:10">
      <c r="B13" s="26" t="s">
        <v>230</v>
      </c>
      <c r="C13" s="61" t="str">
        <f t="shared" si="4"/>
        <v>1월분</v>
      </c>
      <c r="D13" s="61" t="s">
        <v>229</v>
      </c>
      <c r="E13" s="27">
        <f>SUMIFS(전체리스트!D:D,전체리스트!A:A,B13,전체리스트!C:C,D13)</f>
        <v>31000</v>
      </c>
      <c r="F13" s="28">
        <f t="shared" si="5"/>
        <v>9300</v>
      </c>
      <c r="G13" s="29">
        <f>SUMIFS(전체리스트!E:E,전체리스트!A:A,B13,전체리스트!C:C,D13)</f>
        <v>21700</v>
      </c>
      <c r="H13" s="27">
        <f t="shared" si="3"/>
        <v>1085</v>
      </c>
      <c r="I13" s="30">
        <f t="shared" si="6"/>
        <v>20615</v>
      </c>
      <c r="J13" s="26"/>
    </row>
    <row r="14" spans="2:10">
      <c r="B14" s="26" t="s">
        <v>230</v>
      </c>
      <c r="C14" s="61" t="str">
        <f t="shared" si="4"/>
        <v>1월분</v>
      </c>
      <c r="D14" s="61" t="s">
        <v>66</v>
      </c>
      <c r="E14" s="27">
        <f>SUMIFS(전체리스트!D:D,전체리스트!A:A,B14,전체리스트!C:C,D14)</f>
        <v>2000</v>
      </c>
      <c r="F14" s="28">
        <f t="shared" si="5"/>
        <v>600</v>
      </c>
      <c r="G14" s="29">
        <f>SUMIFS(전체리스트!E:E,전체리스트!A:A,B14,전체리스트!C:C,D14)</f>
        <v>1400</v>
      </c>
      <c r="H14" s="27">
        <f t="shared" si="3"/>
        <v>70</v>
      </c>
      <c r="I14" s="30">
        <f t="shared" si="6"/>
        <v>1330</v>
      </c>
      <c r="J14" s="26"/>
    </row>
    <row r="15" spans="2:10">
      <c r="B15" s="26" t="s">
        <v>230</v>
      </c>
      <c r="C15" s="61" t="str">
        <f t="shared" ref="C15:C19" si="7">VLOOKUP(B15,raw_a,2,0)</f>
        <v>1월분</v>
      </c>
      <c r="D15" s="61" t="s">
        <v>321</v>
      </c>
      <c r="E15" s="27">
        <f>SUMIFS(전체리스트!D:D,전체리스트!A:A,B15,전체리스트!C:C,D15)</f>
        <v>19400</v>
      </c>
      <c r="F15" s="28">
        <f t="shared" ref="F15:F19" si="8">E15-G15</f>
        <v>5820</v>
      </c>
      <c r="G15" s="29">
        <f>SUMIFS(전체리스트!E:E,전체리스트!A:A,B15,전체리스트!C:C,D15)</f>
        <v>13580</v>
      </c>
      <c r="H15" s="27">
        <f t="shared" ref="H15:H19" si="9">G15*0.05</f>
        <v>679</v>
      </c>
      <c r="I15" s="30">
        <f t="shared" ref="I15:I19" si="10">G15-H15</f>
        <v>12901</v>
      </c>
      <c r="J15" s="26"/>
    </row>
    <row r="16" spans="2:10">
      <c r="B16" s="26" t="s">
        <v>230</v>
      </c>
      <c r="C16" s="61" t="str">
        <f t="shared" si="7"/>
        <v>1월분</v>
      </c>
      <c r="D16" s="61" t="s">
        <v>328</v>
      </c>
      <c r="E16" s="27">
        <f>SUMIFS(전체리스트!D:D,전체리스트!A:A,B16,전체리스트!C:C,D16)</f>
        <v>4300</v>
      </c>
      <c r="F16" s="28">
        <f t="shared" si="8"/>
        <v>1290</v>
      </c>
      <c r="G16" s="29">
        <f>SUMIFS(전체리스트!E:E,전체리스트!A:A,B16,전체리스트!C:C,D16)</f>
        <v>3010</v>
      </c>
      <c r="H16" s="27">
        <f t="shared" si="9"/>
        <v>150.5</v>
      </c>
      <c r="I16" s="30">
        <f t="shared" si="10"/>
        <v>2859.5</v>
      </c>
      <c r="J16" s="26"/>
    </row>
    <row r="17" spans="2:10">
      <c r="B17" s="26" t="s">
        <v>230</v>
      </c>
      <c r="C17" s="61" t="str">
        <f t="shared" si="7"/>
        <v>1월분</v>
      </c>
      <c r="D17" s="61" t="s">
        <v>346</v>
      </c>
      <c r="E17" s="27">
        <f>SUMIFS(전체리스트!D:D,전체리스트!A:A,B17,전체리스트!C:C,D17)</f>
        <v>1500</v>
      </c>
      <c r="F17" s="28">
        <f t="shared" si="8"/>
        <v>450</v>
      </c>
      <c r="G17" s="29">
        <f>SUMIFS(전체리스트!E:E,전체리스트!A:A,B17,전체리스트!C:C,D17)</f>
        <v>1050</v>
      </c>
      <c r="H17" s="27">
        <f t="shared" si="9"/>
        <v>52.5</v>
      </c>
      <c r="I17" s="30">
        <f t="shared" si="10"/>
        <v>997.5</v>
      </c>
      <c r="J17" s="26"/>
    </row>
    <row r="18" spans="2:10">
      <c r="B18" s="26" t="s">
        <v>230</v>
      </c>
      <c r="C18" s="61" t="str">
        <f t="shared" si="7"/>
        <v>1월분</v>
      </c>
      <c r="D18" s="61" t="s">
        <v>386</v>
      </c>
      <c r="E18" s="27">
        <f>SUMIFS(전체리스트!D:D,전체리스트!A:A,B18,전체리스트!C:C,D18)</f>
        <v>2000</v>
      </c>
      <c r="F18" s="28">
        <f t="shared" si="8"/>
        <v>600</v>
      </c>
      <c r="G18" s="29">
        <f>SUMIFS(전체리스트!E:E,전체리스트!A:A,B18,전체리스트!C:C,D18)</f>
        <v>1400</v>
      </c>
      <c r="H18" s="27">
        <f t="shared" si="9"/>
        <v>70</v>
      </c>
      <c r="I18" s="30">
        <f t="shared" si="10"/>
        <v>1330</v>
      </c>
      <c r="J18" s="26"/>
    </row>
    <row r="19" spans="2:10">
      <c r="B19" s="26" t="s">
        <v>230</v>
      </c>
      <c r="C19" s="61" t="str">
        <f t="shared" si="7"/>
        <v>1월분</v>
      </c>
      <c r="D19" s="61" t="s">
        <v>387</v>
      </c>
      <c r="E19" s="27">
        <f>SUMIFS(전체리스트!D:D,전체리스트!A:A,B19,전체리스트!C:C,D19)</f>
        <v>1000</v>
      </c>
      <c r="F19" s="28">
        <f t="shared" si="8"/>
        <v>300</v>
      </c>
      <c r="G19" s="29">
        <f>SUMIFS(전체리스트!E:E,전체리스트!A:A,B19,전체리스트!C:C,D19)</f>
        <v>700</v>
      </c>
      <c r="H19" s="27">
        <f t="shared" si="9"/>
        <v>35</v>
      </c>
      <c r="I19" s="30">
        <f t="shared" si="10"/>
        <v>665</v>
      </c>
      <c r="J19" s="26"/>
    </row>
    <row r="20" spans="2:10">
      <c r="B20" s="26" t="s">
        <v>230</v>
      </c>
      <c r="C20" s="61" t="str">
        <f t="shared" si="4"/>
        <v>1월분</v>
      </c>
      <c r="D20" s="61" t="s">
        <v>380</v>
      </c>
      <c r="E20" s="27">
        <f>SUMIFS(전체리스트!D:D,전체리스트!A:A,B20,전체리스트!C:C,D20)</f>
        <v>4000</v>
      </c>
      <c r="F20" s="28">
        <f t="shared" si="5"/>
        <v>1200</v>
      </c>
      <c r="G20" s="29">
        <f>SUMIFS(전체리스트!E:E,전체리스트!A:A,B20,전체리스트!C:C,D20)</f>
        <v>2800</v>
      </c>
      <c r="H20" s="27">
        <f>G20*0.05</f>
        <v>140</v>
      </c>
      <c r="I20" s="30">
        <f t="shared" si="6"/>
        <v>2660</v>
      </c>
      <c r="J20" s="26"/>
    </row>
    <row r="21" spans="2:10">
      <c r="B21" s="26" t="s">
        <v>230</v>
      </c>
      <c r="C21" s="61" t="str">
        <f t="shared" si="4"/>
        <v>1월분</v>
      </c>
      <c r="D21" s="61" t="s">
        <v>59</v>
      </c>
      <c r="E21" s="27">
        <f>SUMIFS(전체리스트!D:D,전체리스트!A:A,B21,전체리스트!C:C,D21)</f>
        <v>2600</v>
      </c>
      <c r="F21" s="28">
        <f t="shared" si="5"/>
        <v>780</v>
      </c>
      <c r="G21" s="29">
        <f>SUMIFS(전체리스트!E:E,전체리스트!A:A,B21,전체리스트!C:C,D21)</f>
        <v>1820</v>
      </c>
      <c r="H21" s="27">
        <f t="shared" si="3"/>
        <v>91</v>
      </c>
      <c r="I21" s="30">
        <f t="shared" si="6"/>
        <v>1729</v>
      </c>
      <c r="J21" s="26"/>
    </row>
    <row r="22" spans="2:10">
      <c r="B22" s="26" t="s">
        <v>230</v>
      </c>
      <c r="C22" s="61" t="str">
        <f t="shared" si="4"/>
        <v>1월분</v>
      </c>
      <c r="D22" s="61" t="s">
        <v>68</v>
      </c>
      <c r="E22" s="27">
        <f>SUMIFS(전체리스트!D:D,전체리스트!A:A,B22,전체리스트!C:C,D22)</f>
        <v>12300</v>
      </c>
      <c r="F22" s="28">
        <f t="shared" si="5"/>
        <v>3690</v>
      </c>
      <c r="G22" s="29">
        <f>SUMIFS(전체리스트!E:E,전체리스트!A:A,B22,전체리스트!C:C,D22)</f>
        <v>8610</v>
      </c>
      <c r="H22" s="27">
        <f t="shared" si="3"/>
        <v>430.5</v>
      </c>
      <c r="I22" s="30">
        <f t="shared" si="6"/>
        <v>8179.5</v>
      </c>
      <c r="J22" s="26"/>
    </row>
    <row r="23" spans="2:10">
      <c r="B23" s="31" t="s">
        <v>0</v>
      </c>
      <c r="C23" s="31"/>
      <c r="D23" s="32"/>
      <c r="E23" s="33">
        <f t="shared" ref="E23:J23" si="11">SUM(E6:E22)</f>
        <v>290400</v>
      </c>
      <c r="F23" s="33">
        <f t="shared" si="11"/>
        <v>87120</v>
      </c>
      <c r="G23" s="33">
        <f t="shared" si="11"/>
        <v>203280</v>
      </c>
      <c r="H23" s="33">
        <f t="shared" si="11"/>
        <v>10164</v>
      </c>
      <c r="I23" s="33">
        <f t="shared" si="11"/>
        <v>193116</v>
      </c>
      <c r="J23" s="33">
        <f t="shared" si="11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3D53-057D-462E-8379-4EA0B88FFCAC}">
  <dimension ref="B4:J35"/>
  <sheetViews>
    <sheetView topLeftCell="A5" workbookViewId="0">
      <selection activeCell="M32" sqref="M32"/>
    </sheetView>
  </sheetViews>
  <sheetFormatPr defaultRowHeight="16.5"/>
  <cols>
    <col min="2" max="2" width="15.12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248</v>
      </c>
      <c r="C6" s="61" t="str">
        <f t="shared" ref="C6:C34" si="0">VLOOKUP(B6,raw_a,2,0)</f>
        <v>1월분</v>
      </c>
      <c r="D6" s="26" t="s">
        <v>37</v>
      </c>
      <c r="E6" s="27">
        <f>SUMIFS(전체리스트!D:D,전체리스트!A:A,B6,전체리스트!C:C,D6)</f>
        <v>7560</v>
      </c>
      <c r="F6" s="28">
        <f t="shared" ref="F6:F33" si="1">E6-G6</f>
        <v>3024</v>
      </c>
      <c r="G6" s="29">
        <f>SUMIFS(전체리스트!E:E,전체리스트!A:A,B6,전체리스트!C:C,D6)</f>
        <v>4536</v>
      </c>
      <c r="H6" s="27">
        <f>G6*0.05</f>
        <v>226.8</v>
      </c>
      <c r="I6" s="30">
        <f>G6-H6</f>
        <v>4309.2</v>
      </c>
      <c r="J6" s="26"/>
    </row>
    <row r="7" spans="2:10">
      <c r="B7" s="26" t="s">
        <v>248</v>
      </c>
      <c r="C7" s="61" t="str">
        <f t="shared" si="0"/>
        <v>1월분</v>
      </c>
      <c r="D7" s="26" t="s">
        <v>435</v>
      </c>
      <c r="E7" s="27">
        <f>SUMIFS(전체리스트!D:D,전체리스트!A:A,B7,전체리스트!C:C,D7)</f>
        <v>540</v>
      </c>
      <c r="F7" s="28">
        <f t="shared" si="1"/>
        <v>216</v>
      </c>
      <c r="G7" s="29">
        <f>SUMIFS(전체리스트!E:E,전체리스트!A:A,B7,전체리스트!C:C,D7)</f>
        <v>324</v>
      </c>
      <c r="H7" s="27">
        <f t="shared" ref="H7:H32" si="2">G7*0.05</f>
        <v>16.2</v>
      </c>
      <c r="I7" s="30">
        <f t="shared" ref="I7:I33" si="3">G7-H7</f>
        <v>307.8</v>
      </c>
      <c r="J7" s="26"/>
    </row>
    <row r="8" spans="2:10">
      <c r="B8" s="26" t="s">
        <v>248</v>
      </c>
      <c r="C8" s="61" t="str">
        <f t="shared" si="0"/>
        <v>1월분</v>
      </c>
      <c r="D8" s="26" t="s">
        <v>86</v>
      </c>
      <c r="E8" s="27">
        <f>SUMIFS(전체리스트!D:D,전체리스트!A:A,B8,전체리스트!C:C,D8)</f>
        <v>5220</v>
      </c>
      <c r="F8" s="28">
        <f t="shared" si="1"/>
        <v>2088</v>
      </c>
      <c r="G8" s="29">
        <f>SUMIFS(전체리스트!E:E,전체리스트!A:A,B8,전체리스트!C:C,D8)</f>
        <v>3132</v>
      </c>
      <c r="H8" s="27">
        <f t="shared" si="2"/>
        <v>156.60000000000002</v>
      </c>
      <c r="I8" s="30">
        <f t="shared" si="3"/>
        <v>2975.4</v>
      </c>
      <c r="J8" s="26"/>
    </row>
    <row r="9" spans="2:10">
      <c r="B9" s="26" t="s">
        <v>248</v>
      </c>
      <c r="C9" s="61" t="str">
        <f t="shared" si="0"/>
        <v>1월분</v>
      </c>
      <c r="D9" s="26" t="s">
        <v>244</v>
      </c>
      <c r="E9" s="27">
        <f>SUMIFS(전체리스트!D:D,전체리스트!A:A,B9,전체리스트!C:C,D9)</f>
        <v>540</v>
      </c>
      <c r="F9" s="28">
        <f t="shared" si="1"/>
        <v>216</v>
      </c>
      <c r="G9" s="29">
        <f>SUMIFS(전체리스트!E:E,전체리스트!A:A,B9,전체리스트!C:C,D9)</f>
        <v>324</v>
      </c>
      <c r="H9" s="27">
        <f t="shared" si="2"/>
        <v>16.2</v>
      </c>
      <c r="I9" s="30">
        <f t="shared" si="3"/>
        <v>307.8</v>
      </c>
      <c r="J9" s="26"/>
    </row>
    <row r="10" spans="2:10">
      <c r="B10" s="26" t="s">
        <v>248</v>
      </c>
      <c r="C10" s="61" t="str">
        <f t="shared" si="0"/>
        <v>1월분</v>
      </c>
      <c r="D10" s="26" t="s">
        <v>91</v>
      </c>
      <c r="E10" s="27">
        <f>SUMIFS(전체리스트!D:D,전체리스트!A:A,B10,전체리스트!C:C,D10)</f>
        <v>9450</v>
      </c>
      <c r="F10" s="28">
        <f t="shared" si="1"/>
        <v>3780</v>
      </c>
      <c r="G10" s="29">
        <f>SUMIFS(전체리스트!E:E,전체리스트!A:A,B10,전체리스트!C:C,D10)</f>
        <v>5670</v>
      </c>
      <c r="H10" s="27">
        <f t="shared" si="2"/>
        <v>283.5</v>
      </c>
      <c r="I10" s="30">
        <f t="shared" si="3"/>
        <v>5386.5</v>
      </c>
      <c r="J10" s="26"/>
    </row>
    <row r="11" spans="2:10">
      <c r="B11" s="26" t="s">
        <v>248</v>
      </c>
      <c r="C11" s="61" t="str">
        <f t="shared" si="0"/>
        <v>1월분</v>
      </c>
      <c r="D11" s="26" t="s">
        <v>90</v>
      </c>
      <c r="E11" s="27">
        <f>SUMIFS(전체리스트!D:D,전체리스트!A:A,B11,전체리스트!C:C,D11)</f>
        <v>11610</v>
      </c>
      <c r="F11" s="28">
        <f t="shared" si="1"/>
        <v>4644</v>
      </c>
      <c r="G11" s="29">
        <f>SUMIFS(전체리스트!E:E,전체리스트!A:A,B11,전체리스트!C:C,D11)</f>
        <v>6966</v>
      </c>
      <c r="H11" s="27">
        <f t="shared" si="2"/>
        <v>348.3</v>
      </c>
      <c r="I11" s="30">
        <f t="shared" si="3"/>
        <v>6617.7</v>
      </c>
      <c r="J11" s="26"/>
    </row>
    <row r="12" spans="2:10" ht="15.75" customHeight="1">
      <c r="B12" s="26" t="s">
        <v>248</v>
      </c>
      <c r="C12" s="61" t="str">
        <f t="shared" si="0"/>
        <v>1월분</v>
      </c>
      <c r="D12" s="26" t="s">
        <v>245</v>
      </c>
      <c r="E12" s="27">
        <f>SUMIFS(전체리스트!D:D,전체리스트!A:A,B12,전체리스트!C:C,D12)</f>
        <v>52650</v>
      </c>
      <c r="F12" s="28">
        <f t="shared" si="1"/>
        <v>21060</v>
      </c>
      <c r="G12" s="29">
        <f>SUMIFS(전체리스트!E:E,전체리스트!A:A,B12,전체리스트!C:C,D12)</f>
        <v>31590</v>
      </c>
      <c r="H12" s="27">
        <f t="shared" si="2"/>
        <v>1579.5</v>
      </c>
      <c r="I12" s="30">
        <f t="shared" si="3"/>
        <v>30010.5</v>
      </c>
      <c r="J12" s="26"/>
    </row>
    <row r="13" spans="2:10">
      <c r="B13" s="26" t="s">
        <v>248</v>
      </c>
      <c r="C13" s="61" t="str">
        <f t="shared" si="0"/>
        <v>1월분</v>
      </c>
      <c r="D13" s="26" t="s">
        <v>65</v>
      </c>
      <c r="E13" s="27">
        <f>SUMIFS(전체리스트!D:D,전체리스트!A:A,B13,전체리스트!C:C,D13)</f>
        <v>8460</v>
      </c>
      <c r="F13" s="28">
        <f t="shared" si="1"/>
        <v>3384</v>
      </c>
      <c r="G13" s="29">
        <f>SUMIFS(전체리스트!E:E,전체리스트!A:A,B13,전체리스트!C:C,D13)</f>
        <v>5076</v>
      </c>
      <c r="H13" s="27">
        <f t="shared" si="2"/>
        <v>253.8</v>
      </c>
      <c r="I13" s="30">
        <f t="shared" si="3"/>
        <v>4822.2</v>
      </c>
      <c r="J13" s="26"/>
    </row>
    <row r="14" spans="2:10">
      <c r="B14" s="26" t="s">
        <v>248</v>
      </c>
      <c r="C14" s="61" t="str">
        <f t="shared" si="0"/>
        <v>1월분</v>
      </c>
      <c r="D14" s="26" t="s">
        <v>246</v>
      </c>
      <c r="E14" s="27">
        <f>SUMIFS(전체리스트!D:D,전체리스트!A:A,B14,전체리스트!C:C,D14)</f>
        <v>1890</v>
      </c>
      <c r="F14" s="28">
        <f t="shared" ref="F14:F31" si="4">E14-G14</f>
        <v>756</v>
      </c>
      <c r="G14" s="29">
        <f>SUMIFS(전체리스트!E:E,전체리스트!A:A,B14,전체리스트!C:C,D14)</f>
        <v>1134</v>
      </c>
      <c r="H14" s="27">
        <f t="shared" si="2"/>
        <v>56.7</v>
      </c>
      <c r="I14" s="30">
        <f t="shared" ref="I14:I31" si="5">G14-H14</f>
        <v>1077.3</v>
      </c>
      <c r="J14" s="26"/>
    </row>
    <row r="15" spans="2:10" ht="15.75" customHeight="1">
      <c r="B15" s="26" t="s">
        <v>248</v>
      </c>
      <c r="C15" s="61" t="str">
        <f t="shared" si="0"/>
        <v>1월분</v>
      </c>
      <c r="D15" s="26" t="s">
        <v>388</v>
      </c>
      <c r="E15" s="27">
        <f>SUMIFS(전체리스트!D:D,전체리스트!A:A,B15,전체리스트!C:C,D15)</f>
        <v>9180</v>
      </c>
      <c r="F15" s="28">
        <f t="shared" si="4"/>
        <v>3672</v>
      </c>
      <c r="G15" s="29">
        <f>SUMIFS(전체리스트!E:E,전체리스트!A:A,B15,전체리스트!C:C,D15)</f>
        <v>5508</v>
      </c>
      <c r="H15" s="27">
        <f t="shared" si="2"/>
        <v>275.40000000000003</v>
      </c>
      <c r="I15" s="30">
        <f t="shared" si="5"/>
        <v>5232.6000000000004</v>
      </c>
      <c r="J15" s="26"/>
    </row>
    <row r="16" spans="2:10">
      <c r="B16" s="26" t="s">
        <v>248</v>
      </c>
      <c r="C16" s="61" t="str">
        <f t="shared" si="0"/>
        <v>1월분</v>
      </c>
      <c r="D16" s="26" t="s">
        <v>76</v>
      </c>
      <c r="E16" s="27">
        <f>SUMIFS(전체리스트!D:D,전체리스트!A:A,B16,전체리스트!C:C,D16)</f>
        <v>105120</v>
      </c>
      <c r="F16" s="28">
        <f t="shared" ref="F16:F30" si="6">E16-G16</f>
        <v>42048</v>
      </c>
      <c r="G16" s="29">
        <f>SUMIFS(전체리스트!E:E,전체리스트!A:A,B16,전체리스트!C:C,D16)</f>
        <v>63072</v>
      </c>
      <c r="H16" s="27">
        <f t="shared" si="2"/>
        <v>3153.6000000000004</v>
      </c>
      <c r="I16" s="30">
        <f t="shared" ref="I16:I30" si="7">G16-H16</f>
        <v>59918.400000000001</v>
      </c>
      <c r="J16" s="26"/>
    </row>
    <row r="17" spans="2:10">
      <c r="B17" s="26" t="s">
        <v>248</v>
      </c>
      <c r="C17" s="61" t="str">
        <f t="shared" si="0"/>
        <v>1월분</v>
      </c>
      <c r="D17" s="26" t="s">
        <v>77</v>
      </c>
      <c r="E17" s="27">
        <f>SUMIFS(전체리스트!D:D,전체리스트!A:A,B17,전체리스트!C:C,D17)</f>
        <v>585180</v>
      </c>
      <c r="F17" s="28">
        <f t="shared" si="6"/>
        <v>234072</v>
      </c>
      <c r="G17" s="29">
        <f>SUMIFS(전체리스트!E:E,전체리스트!A:A,B17,전체리스트!C:C,D17)</f>
        <v>351108</v>
      </c>
      <c r="H17" s="27">
        <f t="shared" si="2"/>
        <v>17555.400000000001</v>
      </c>
      <c r="I17" s="30">
        <f t="shared" si="7"/>
        <v>333552.59999999998</v>
      </c>
      <c r="J17" s="26"/>
    </row>
    <row r="18" spans="2:10">
      <c r="B18" s="26" t="s">
        <v>248</v>
      </c>
      <c r="C18" s="61" t="str">
        <f t="shared" ref="C18:C27" si="8">VLOOKUP(B18,raw_a,2,0)</f>
        <v>1월분</v>
      </c>
      <c r="D18" s="26" t="s">
        <v>57</v>
      </c>
      <c r="E18" s="27">
        <f>SUMIFS(전체리스트!D:D,전체리스트!A:A,B18,전체리스트!C:C,D18)</f>
        <v>720</v>
      </c>
      <c r="F18" s="28">
        <f t="shared" ref="F18:F27" si="9">E18-G18</f>
        <v>288</v>
      </c>
      <c r="G18" s="29">
        <f>SUMIFS(전체리스트!E:E,전체리스트!A:A,B18,전체리스트!C:C,D18)</f>
        <v>432</v>
      </c>
      <c r="H18" s="27">
        <f t="shared" si="2"/>
        <v>21.6</v>
      </c>
      <c r="I18" s="30">
        <f t="shared" ref="I18:I27" si="10">G18-H18</f>
        <v>410.4</v>
      </c>
      <c r="J18" s="26"/>
    </row>
    <row r="19" spans="2:10">
      <c r="B19" s="26" t="s">
        <v>248</v>
      </c>
      <c r="C19" s="61" t="str">
        <f t="shared" si="8"/>
        <v>1월분</v>
      </c>
      <c r="D19" s="26" t="s">
        <v>180</v>
      </c>
      <c r="E19" s="27">
        <f>SUMIFS(전체리스트!D:D,전체리스트!A:A,B19,전체리스트!C:C,D19)</f>
        <v>57150</v>
      </c>
      <c r="F19" s="28">
        <f t="shared" si="9"/>
        <v>22860</v>
      </c>
      <c r="G19" s="29">
        <f>SUMIFS(전체리스트!E:E,전체리스트!A:A,B19,전체리스트!C:C,D19)</f>
        <v>34290</v>
      </c>
      <c r="H19" s="27">
        <f t="shared" si="2"/>
        <v>1714.5</v>
      </c>
      <c r="I19" s="30">
        <f t="shared" si="10"/>
        <v>32575.5</v>
      </c>
      <c r="J19" s="26"/>
    </row>
    <row r="20" spans="2:10">
      <c r="B20" s="26" t="s">
        <v>248</v>
      </c>
      <c r="C20" s="61" t="str">
        <f t="shared" si="8"/>
        <v>1월분</v>
      </c>
      <c r="D20" s="26" t="s">
        <v>179</v>
      </c>
      <c r="E20" s="27">
        <f>SUMIFS(전체리스트!D:D,전체리스트!A:A,B20,전체리스트!C:C,D20)</f>
        <v>426330</v>
      </c>
      <c r="F20" s="28">
        <f t="shared" si="9"/>
        <v>170532</v>
      </c>
      <c r="G20" s="29">
        <f>SUMIFS(전체리스트!E:E,전체리스트!A:A,B20,전체리스트!C:C,D20)</f>
        <v>255798</v>
      </c>
      <c r="H20" s="27">
        <f t="shared" si="2"/>
        <v>12789.900000000001</v>
      </c>
      <c r="I20" s="30">
        <f t="shared" si="10"/>
        <v>243008.1</v>
      </c>
      <c r="J20" s="26"/>
    </row>
    <row r="21" spans="2:10">
      <c r="B21" s="26" t="s">
        <v>248</v>
      </c>
      <c r="C21" s="61" t="str">
        <f t="shared" si="8"/>
        <v>1월분</v>
      </c>
      <c r="D21" s="26" t="s">
        <v>229</v>
      </c>
      <c r="E21" s="27">
        <f>SUMIFS(전체리스트!D:D,전체리스트!A:A,B21,전체리스트!C:C,D21)</f>
        <v>121500</v>
      </c>
      <c r="F21" s="28">
        <f t="shared" si="9"/>
        <v>48600</v>
      </c>
      <c r="G21" s="29">
        <f>SUMIFS(전체리스트!E:E,전체리스트!A:A,B21,전체리스트!C:C,D21)</f>
        <v>72900</v>
      </c>
      <c r="H21" s="27">
        <f t="shared" si="2"/>
        <v>3645</v>
      </c>
      <c r="I21" s="30">
        <f t="shared" si="10"/>
        <v>69255</v>
      </c>
      <c r="J21" s="26"/>
    </row>
    <row r="22" spans="2:10">
      <c r="B22" s="26" t="s">
        <v>248</v>
      </c>
      <c r="C22" s="61" t="str">
        <f t="shared" ref="C22:C25" si="11">VLOOKUP(B22,raw_a,2,0)</f>
        <v>1월분</v>
      </c>
      <c r="D22" s="26" t="s">
        <v>282</v>
      </c>
      <c r="E22" s="27">
        <f>SUMIFS(전체리스트!D:D,전체리스트!A:A,B22,전체리스트!C:C,D22)</f>
        <v>86400</v>
      </c>
      <c r="F22" s="28">
        <f t="shared" ref="F22:F25" si="12">E22-G22</f>
        <v>34560</v>
      </c>
      <c r="G22" s="29">
        <f>SUMIFS(전체리스트!E:E,전체리스트!A:A,B22,전체리스트!C:C,D22)</f>
        <v>51840</v>
      </c>
      <c r="H22" s="27">
        <f t="shared" ref="H22:H25" si="13">G22*0.05</f>
        <v>2592</v>
      </c>
      <c r="I22" s="30">
        <f t="shared" ref="I22:I25" si="14">G22-H22</f>
        <v>49248</v>
      </c>
      <c r="J22" s="26"/>
    </row>
    <row r="23" spans="2:10">
      <c r="B23" s="26" t="s">
        <v>248</v>
      </c>
      <c r="C23" s="61" t="str">
        <f t="shared" si="11"/>
        <v>1월분</v>
      </c>
      <c r="D23" s="26" t="s">
        <v>312</v>
      </c>
      <c r="E23" s="27">
        <f>SUMIFS(전체리스트!D:D,전체리스트!A:A,B23,전체리스트!C:C,D23)</f>
        <v>17820</v>
      </c>
      <c r="F23" s="28">
        <f t="shared" si="12"/>
        <v>7128</v>
      </c>
      <c r="G23" s="29">
        <f>SUMIFS(전체리스트!E:E,전체리스트!A:A,B23,전체리스트!C:C,D23)</f>
        <v>10692</v>
      </c>
      <c r="H23" s="27">
        <f t="shared" si="13"/>
        <v>534.6</v>
      </c>
      <c r="I23" s="30">
        <f t="shared" si="14"/>
        <v>10157.4</v>
      </c>
      <c r="J23" s="26"/>
    </row>
    <row r="24" spans="2:10">
      <c r="B24" s="26" t="s">
        <v>248</v>
      </c>
      <c r="C24" s="61" t="str">
        <f t="shared" si="11"/>
        <v>1월분</v>
      </c>
      <c r="D24" s="26" t="s">
        <v>308</v>
      </c>
      <c r="E24" s="27">
        <f>SUMIFS(전체리스트!D:D,전체리스트!A:A,B24,전체리스트!C:C,D24)</f>
        <v>9180</v>
      </c>
      <c r="F24" s="28">
        <f t="shared" si="12"/>
        <v>3672</v>
      </c>
      <c r="G24" s="29">
        <f>SUMIFS(전체리스트!E:E,전체리스트!A:A,B24,전체리스트!C:C,D24)</f>
        <v>5508</v>
      </c>
      <c r="H24" s="27">
        <f t="shared" si="13"/>
        <v>275.40000000000003</v>
      </c>
      <c r="I24" s="30">
        <f t="shared" si="14"/>
        <v>5232.6000000000004</v>
      </c>
      <c r="J24" s="26"/>
    </row>
    <row r="25" spans="2:10">
      <c r="B25" s="26" t="s">
        <v>248</v>
      </c>
      <c r="C25" s="61" t="str">
        <f t="shared" si="11"/>
        <v>1월분</v>
      </c>
      <c r="D25" s="26" t="s">
        <v>321</v>
      </c>
      <c r="E25" s="27">
        <f>SUMIFS(전체리스트!D:D,전체리스트!A:A,B25,전체리스트!C:C,D25)</f>
        <v>53640</v>
      </c>
      <c r="F25" s="28">
        <f t="shared" si="12"/>
        <v>21456</v>
      </c>
      <c r="G25" s="29">
        <f>SUMIFS(전체리스트!E:E,전체리스트!A:A,B25,전체리스트!C:C,D25)</f>
        <v>32184</v>
      </c>
      <c r="H25" s="27">
        <f t="shared" si="13"/>
        <v>1609.2</v>
      </c>
      <c r="I25" s="30">
        <f t="shared" si="14"/>
        <v>30574.799999999999</v>
      </c>
      <c r="J25" s="26"/>
    </row>
    <row r="26" spans="2:10">
      <c r="B26" s="26" t="s">
        <v>248</v>
      </c>
      <c r="C26" s="61" t="str">
        <f t="shared" si="8"/>
        <v>1월분</v>
      </c>
      <c r="D26" s="26" t="s">
        <v>327</v>
      </c>
      <c r="E26" s="27">
        <f>SUMIFS(전체리스트!D:D,전체리스트!A:A,B26,전체리스트!C:C,D26)</f>
        <v>1980</v>
      </c>
      <c r="F26" s="28">
        <f t="shared" si="9"/>
        <v>792</v>
      </c>
      <c r="G26" s="29">
        <f>SUMIFS(전체리스트!E:E,전체리스트!A:A,B26,전체리스트!C:C,D26)</f>
        <v>1188</v>
      </c>
      <c r="H26" s="27">
        <f t="shared" si="2"/>
        <v>59.400000000000006</v>
      </c>
      <c r="I26" s="30">
        <f t="shared" si="10"/>
        <v>1128.5999999999999</v>
      </c>
      <c r="J26" s="26"/>
    </row>
    <row r="27" spans="2:10">
      <c r="B27" s="26" t="s">
        <v>248</v>
      </c>
      <c r="C27" s="61" t="str">
        <f t="shared" si="8"/>
        <v>1월분</v>
      </c>
      <c r="D27" s="26" t="s">
        <v>328</v>
      </c>
      <c r="E27" s="27">
        <f>SUMIFS(전체리스트!D:D,전체리스트!A:A,B27,전체리스트!C:C,D27)</f>
        <v>180</v>
      </c>
      <c r="F27" s="28">
        <f t="shared" si="9"/>
        <v>72</v>
      </c>
      <c r="G27" s="29">
        <f>SUMIFS(전체리스트!E:E,전체리스트!A:A,B27,전체리스트!C:C,D27)</f>
        <v>108</v>
      </c>
      <c r="H27" s="27">
        <f t="shared" si="2"/>
        <v>5.4</v>
      </c>
      <c r="I27" s="30">
        <f t="shared" si="10"/>
        <v>102.6</v>
      </c>
      <c r="J27" s="26"/>
    </row>
    <row r="28" spans="2:10">
      <c r="B28" s="26" t="s">
        <v>248</v>
      </c>
      <c r="C28" s="61" t="str">
        <f t="shared" si="0"/>
        <v>1월분</v>
      </c>
      <c r="D28" s="26" t="s">
        <v>348</v>
      </c>
      <c r="E28" s="27">
        <f>SUMIFS(전체리스트!D:D,전체리스트!A:A,B28,전체리스트!C:C,D28)</f>
        <v>39600</v>
      </c>
      <c r="F28" s="28">
        <f t="shared" si="6"/>
        <v>15840</v>
      </c>
      <c r="G28" s="29">
        <f>SUMIFS(전체리스트!E:E,전체리스트!A:A,B28,전체리스트!C:C,D28)</f>
        <v>23760</v>
      </c>
      <c r="H28" s="27">
        <f t="shared" si="2"/>
        <v>1188</v>
      </c>
      <c r="I28" s="30">
        <f t="shared" si="7"/>
        <v>22572</v>
      </c>
      <c r="J28" s="26"/>
    </row>
    <row r="29" spans="2:10">
      <c r="B29" s="26" t="s">
        <v>248</v>
      </c>
      <c r="C29" s="61" t="str">
        <f t="shared" si="0"/>
        <v>1월분</v>
      </c>
      <c r="D29" s="26" t="s">
        <v>346</v>
      </c>
      <c r="E29" s="27">
        <f>SUMIFS(전체리스트!D:D,전체리스트!A:A,B29,전체리스트!C:C,D29)</f>
        <v>8640</v>
      </c>
      <c r="F29" s="28">
        <f t="shared" si="6"/>
        <v>3456</v>
      </c>
      <c r="G29" s="29">
        <f>SUMIFS(전체리스트!E:E,전체리스트!A:A,B29,전체리스트!C:C,D29)</f>
        <v>5184</v>
      </c>
      <c r="H29" s="27">
        <f t="shared" si="2"/>
        <v>259.2</v>
      </c>
      <c r="I29" s="30">
        <f t="shared" si="7"/>
        <v>4924.8</v>
      </c>
      <c r="J29" s="26"/>
    </row>
    <row r="30" spans="2:10">
      <c r="B30" s="26" t="s">
        <v>248</v>
      </c>
      <c r="C30" s="61" t="str">
        <f t="shared" si="0"/>
        <v>1월분</v>
      </c>
      <c r="D30" s="26" t="s">
        <v>68</v>
      </c>
      <c r="E30" s="27">
        <f>SUMIFS(전체리스트!D:D,전체리스트!A:A,B30,전체리스트!C:C,D30)</f>
        <v>38610</v>
      </c>
      <c r="F30" s="28">
        <f t="shared" si="6"/>
        <v>15444</v>
      </c>
      <c r="G30" s="29">
        <f>SUMIFS(전체리스트!E:E,전체리스트!A:A,B30,전체리스트!C:C,D30)</f>
        <v>23166</v>
      </c>
      <c r="H30" s="27">
        <f t="shared" si="2"/>
        <v>1158.3</v>
      </c>
      <c r="I30" s="30">
        <f t="shared" si="7"/>
        <v>22007.7</v>
      </c>
      <c r="J30" s="26"/>
    </row>
    <row r="31" spans="2:10">
      <c r="B31" s="26" t="s">
        <v>248</v>
      </c>
      <c r="C31" s="61" t="str">
        <f t="shared" si="0"/>
        <v>1월분</v>
      </c>
      <c r="D31" s="26" t="s">
        <v>59</v>
      </c>
      <c r="E31" s="27">
        <f>SUMIFS(전체리스트!D:D,전체리스트!A:A,B31,전체리스트!C:C,D31)</f>
        <v>70740</v>
      </c>
      <c r="F31" s="28">
        <f t="shared" si="4"/>
        <v>28296</v>
      </c>
      <c r="G31" s="29">
        <f>SUMIFS(전체리스트!E:E,전체리스트!A:A,B31,전체리스트!C:C,D31)</f>
        <v>42444</v>
      </c>
      <c r="H31" s="27">
        <f t="shared" si="2"/>
        <v>2122.2000000000003</v>
      </c>
      <c r="I31" s="30">
        <f t="shared" si="5"/>
        <v>40321.800000000003</v>
      </c>
      <c r="J31" s="26"/>
    </row>
    <row r="32" spans="2:10">
      <c r="B32" s="26" t="s">
        <v>248</v>
      </c>
      <c r="C32" s="61" t="str">
        <f t="shared" si="0"/>
        <v>1월분</v>
      </c>
      <c r="D32" s="26" t="s">
        <v>380</v>
      </c>
      <c r="E32" s="27">
        <f>SUMIFS(전체리스트!D:D,전체리스트!A:A,B32,전체리스트!C:C,D32)</f>
        <v>70020</v>
      </c>
      <c r="F32" s="28">
        <f t="shared" si="1"/>
        <v>28008</v>
      </c>
      <c r="G32" s="29">
        <f>SUMIFS(전체리스트!E:E,전체리스트!A:A,B32,전체리스트!C:C,D32)</f>
        <v>42012</v>
      </c>
      <c r="H32" s="27">
        <f t="shared" si="2"/>
        <v>2100.6</v>
      </c>
      <c r="I32" s="30">
        <f t="shared" si="3"/>
        <v>39911.4</v>
      </c>
      <c r="J32" s="26"/>
    </row>
    <row r="33" spans="2:10">
      <c r="B33" s="26" t="s">
        <v>248</v>
      </c>
      <c r="C33" s="61" t="str">
        <f t="shared" ref="C33" si="15">VLOOKUP(B33,raw_a,2,0)</f>
        <v>1월분</v>
      </c>
      <c r="D33" s="26" t="s">
        <v>386</v>
      </c>
      <c r="E33" s="27">
        <f>SUMIFS(전체리스트!D:D,전체리스트!A:A,B33,전체리스트!C:C,D33)</f>
        <v>64800</v>
      </c>
      <c r="F33" s="28">
        <f t="shared" si="1"/>
        <v>25920</v>
      </c>
      <c r="G33" s="29">
        <f>SUMIFS(전체리스트!E:E,전체리스트!A:A,B33,전체리스트!C:C,D33)</f>
        <v>38880</v>
      </c>
      <c r="H33" s="27">
        <f>G33*0.05</f>
        <v>1944</v>
      </c>
      <c r="I33" s="30">
        <f t="shared" si="3"/>
        <v>36936</v>
      </c>
      <c r="J33" s="26"/>
    </row>
    <row r="34" spans="2:10">
      <c r="B34" s="26" t="s">
        <v>248</v>
      </c>
      <c r="C34" s="61" t="str">
        <f t="shared" si="0"/>
        <v>1월분</v>
      </c>
      <c r="D34" s="26" t="s">
        <v>433</v>
      </c>
      <c r="E34" s="27">
        <f>SUMIFS(전체리스트!D:D,전체리스트!A:A,B34,전체리스트!C:C,D34)</f>
        <v>2700</v>
      </c>
      <c r="F34" s="28">
        <f t="shared" ref="F34" si="16">E34-G34</f>
        <v>1080</v>
      </c>
      <c r="G34" s="29">
        <f>SUMIFS(전체리스트!E:E,전체리스트!A:A,B34,전체리스트!C:C,D34)</f>
        <v>1620</v>
      </c>
      <c r="H34" s="27">
        <f>G34*0.05</f>
        <v>81</v>
      </c>
      <c r="I34" s="30">
        <f t="shared" ref="I34" si="17">G34-H34</f>
        <v>1539</v>
      </c>
      <c r="J34" s="26"/>
    </row>
    <row r="35" spans="2:10">
      <c r="B35" s="31" t="s">
        <v>0</v>
      </c>
      <c r="C35" s="31"/>
      <c r="D35" s="32"/>
      <c r="E35" s="33">
        <f t="shared" ref="E35:J35" si="18">SUM(E6:E34)</f>
        <v>1867410</v>
      </c>
      <c r="F35" s="33">
        <f t="shared" si="18"/>
        <v>746964</v>
      </c>
      <c r="G35" s="33">
        <f t="shared" si="18"/>
        <v>1120446</v>
      </c>
      <c r="H35" s="33">
        <f t="shared" si="18"/>
        <v>56022.299999999996</v>
      </c>
      <c r="I35" s="33">
        <f t="shared" si="18"/>
        <v>1064423.7000000002</v>
      </c>
      <c r="J35" s="33">
        <f t="shared" si="18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CDEC-D2D4-4292-BD37-7D9FC68E560C}">
  <dimension ref="B4:J29"/>
  <sheetViews>
    <sheetView workbookViewId="0">
      <selection activeCell="L32" sqref="L32"/>
    </sheetView>
  </sheetViews>
  <sheetFormatPr defaultRowHeight="16.5"/>
  <cols>
    <col min="2" max="2" width="16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249</v>
      </c>
      <c r="C6" s="61" t="str">
        <f t="shared" ref="C6:C7" si="0">VLOOKUP(B6,raw_a,2,0)</f>
        <v>1월분</v>
      </c>
      <c r="D6" s="26" t="s">
        <v>77</v>
      </c>
      <c r="E6" s="27">
        <f>SUMIFS(전체리스트!D:D,전체리스트!A:A,B6,전체리스트!C:C,D6)</f>
        <v>169920</v>
      </c>
      <c r="F6" s="28">
        <f>E6-G6</f>
        <v>67968</v>
      </c>
      <c r="G6" s="29">
        <f>SUMIFS(전체리스트!E:E,전체리스트!A:A,B6,전체리스트!C:C,D6)</f>
        <v>101952</v>
      </c>
      <c r="H6" s="27">
        <f>G6*0.05</f>
        <v>5097.6000000000004</v>
      </c>
      <c r="I6" s="30">
        <f>G6-H6</f>
        <v>96854.399999999994</v>
      </c>
      <c r="J6" s="26"/>
    </row>
    <row r="7" spans="2:10">
      <c r="B7" s="26" t="s">
        <v>249</v>
      </c>
      <c r="C7" s="61" t="str">
        <f t="shared" si="0"/>
        <v>1월분</v>
      </c>
      <c r="D7" s="26" t="s">
        <v>76</v>
      </c>
      <c r="E7" s="27">
        <f>SUMIFS(전체리스트!D:D,전체리스트!A:A,B7,전체리스트!C:C,D7)</f>
        <v>26280</v>
      </c>
      <c r="F7" s="28">
        <f t="shared" ref="F7" si="1">E7-G7</f>
        <v>10512</v>
      </c>
      <c r="G7" s="29">
        <f>SUMIFS(전체리스트!E:E,전체리스트!A:A,B7,전체리스트!C:C,D7)</f>
        <v>15768</v>
      </c>
      <c r="H7" s="27">
        <f t="shared" ref="H7:H28" si="2">G7*0.05</f>
        <v>788.40000000000009</v>
      </c>
      <c r="I7" s="30">
        <f t="shared" ref="I7" si="3">G7-H7</f>
        <v>14979.6</v>
      </c>
      <c r="J7" s="26"/>
    </row>
    <row r="8" spans="2:10">
      <c r="B8" s="26" t="s">
        <v>249</v>
      </c>
      <c r="C8" s="61" t="str">
        <f t="shared" ref="C8:C11" si="4">VLOOKUP(B8,raw_a,2,0)</f>
        <v>1월분</v>
      </c>
      <c r="D8" s="26" t="s">
        <v>154</v>
      </c>
      <c r="E8" s="27">
        <f>SUMIFS(전체리스트!D:D,전체리스트!A:A,B8,전체리스트!C:C,D8)</f>
        <v>6660</v>
      </c>
      <c r="F8" s="28">
        <f t="shared" ref="F8:F11" si="5">E8-G8</f>
        <v>2664</v>
      </c>
      <c r="G8" s="29">
        <f>SUMIFS(전체리스트!E:E,전체리스트!A:A,B8,전체리스트!C:C,D8)</f>
        <v>3996</v>
      </c>
      <c r="H8" s="27">
        <f t="shared" si="2"/>
        <v>199.8</v>
      </c>
      <c r="I8" s="30">
        <f t="shared" ref="I8:I11" si="6">G8-H8</f>
        <v>3796.2</v>
      </c>
      <c r="J8" s="26"/>
    </row>
    <row r="9" spans="2:10">
      <c r="B9" s="26" t="s">
        <v>249</v>
      </c>
      <c r="C9" s="61" t="str">
        <f t="shared" si="4"/>
        <v>1월분</v>
      </c>
      <c r="D9" s="26" t="s">
        <v>388</v>
      </c>
      <c r="E9" s="27">
        <f>SUMIFS(전체리스트!D:D,전체리스트!A:A,B9,전체리스트!C:C,D9)</f>
        <v>5670</v>
      </c>
      <c r="F9" s="28">
        <f t="shared" si="5"/>
        <v>2268</v>
      </c>
      <c r="G9" s="29">
        <f>SUMIFS(전체리스트!E:E,전체리스트!A:A,B9,전체리스트!C:C,D9)</f>
        <v>3402</v>
      </c>
      <c r="H9" s="27">
        <f t="shared" si="2"/>
        <v>170.10000000000002</v>
      </c>
      <c r="I9" s="30">
        <f t="shared" si="6"/>
        <v>3231.9</v>
      </c>
      <c r="J9" s="26"/>
    </row>
    <row r="10" spans="2:10">
      <c r="B10" s="26" t="s">
        <v>249</v>
      </c>
      <c r="C10" s="61" t="str">
        <f t="shared" si="4"/>
        <v>1월분</v>
      </c>
      <c r="D10" s="26" t="s">
        <v>245</v>
      </c>
      <c r="E10" s="27">
        <f>SUMIFS(전체리스트!D:D,전체리스트!A:A,B10,전체리스트!C:C,D10)</f>
        <v>1620</v>
      </c>
      <c r="F10" s="28">
        <f t="shared" si="5"/>
        <v>648</v>
      </c>
      <c r="G10" s="29">
        <f>SUMIFS(전체리스트!E:E,전체리스트!A:A,B10,전체리스트!C:C,D10)</f>
        <v>972</v>
      </c>
      <c r="H10" s="27">
        <f t="shared" si="2"/>
        <v>48.6</v>
      </c>
      <c r="I10" s="30">
        <f t="shared" si="6"/>
        <v>923.4</v>
      </c>
      <c r="J10" s="26"/>
    </row>
    <row r="11" spans="2:10">
      <c r="B11" s="26" t="s">
        <v>249</v>
      </c>
      <c r="C11" s="61" t="str">
        <f t="shared" si="4"/>
        <v>1월분</v>
      </c>
      <c r="D11" s="26" t="s">
        <v>434</v>
      </c>
      <c r="E11" s="27">
        <f>SUMIFS(전체리스트!D:D,전체리스트!A:A,B11,전체리스트!C:C,D11)</f>
        <v>270</v>
      </c>
      <c r="F11" s="28">
        <f t="shared" si="5"/>
        <v>108</v>
      </c>
      <c r="G11" s="29">
        <f>SUMIFS(전체리스트!E:E,전체리스트!A:A,B11,전체리스트!C:C,D11)</f>
        <v>162</v>
      </c>
      <c r="H11" s="27">
        <f t="shared" si="2"/>
        <v>8.1</v>
      </c>
      <c r="I11" s="30">
        <f t="shared" si="6"/>
        <v>153.9</v>
      </c>
      <c r="J11" s="26"/>
    </row>
    <row r="12" spans="2:10">
      <c r="B12" s="26" t="s">
        <v>249</v>
      </c>
      <c r="C12" s="61" t="str">
        <f t="shared" ref="C12:C24" si="7">VLOOKUP(B12,raw_a,2,0)</f>
        <v>1월분</v>
      </c>
      <c r="D12" s="26" t="s">
        <v>37</v>
      </c>
      <c r="E12" s="27">
        <f>SUMIFS(전체리스트!D:D,전체리스트!A:A,B12,전체리스트!C:C,D12)</f>
        <v>8100</v>
      </c>
      <c r="F12" s="28">
        <f t="shared" ref="F12:F24" si="8">E12-G12</f>
        <v>3240</v>
      </c>
      <c r="G12" s="29">
        <f>SUMIFS(전체리스트!E:E,전체리스트!A:A,B12,전체리스트!C:C,D12)</f>
        <v>4860</v>
      </c>
      <c r="H12" s="27">
        <f t="shared" si="2"/>
        <v>243</v>
      </c>
      <c r="I12" s="30">
        <f t="shared" ref="I12:I24" si="9">G12-H12</f>
        <v>4617</v>
      </c>
      <c r="J12" s="26"/>
    </row>
    <row r="13" spans="2:10">
      <c r="B13" s="26" t="s">
        <v>249</v>
      </c>
      <c r="C13" s="61" t="str">
        <f t="shared" ref="C13:C23" si="10">VLOOKUP(B13,raw_a,2,0)</f>
        <v>1월분</v>
      </c>
      <c r="D13" s="26" t="s">
        <v>29</v>
      </c>
      <c r="E13" s="27">
        <f>SUMIFS(전체리스트!D:D,전체리스트!A:A,B13,전체리스트!C:C,D13)</f>
        <v>9000</v>
      </c>
      <c r="F13" s="28">
        <f t="shared" ref="F13:F23" si="11">E13-G13</f>
        <v>3600</v>
      </c>
      <c r="G13" s="29">
        <f>SUMIFS(전체리스트!E:E,전체리스트!A:A,B13,전체리스트!C:C,D13)</f>
        <v>5400</v>
      </c>
      <c r="H13" s="27">
        <f t="shared" si="2"/>
        <v>270</v>
      </c>
      <c r="I13" s="30">
        <f t="shared" ref="I13:I23" si="12">G13-H13</f>
        <v>5130</v>
      </c>
      <c r="J13" s="26"/>
    </row>
    <row r="14" spans="2:10">
      <c r="B14" s="26" t="s">
        <v>249</v>
      </c>
      <c r="C14" s="61" t="str">
        <f t="shared" si="10"/>
        <v>1월분</v>
      </c>
      <c r="D14" s="26" t="s">
        <v>57</v>
      </c>
      <c r="E14" s="27">
        <f>SUMIFS(전체리스트!D:D,전체리스트!A:A,B14,전체리스트!C:C,D14)</f>
        <v>10530</v>
      </c>
      <c r="F14" s="28">
        <f t="shared" si="11"/>
        <v>4212</v>
      </c>
      <c r="G14" s="29">
        <f>SUMIFS(전체리스트!E:E,전체리스트!A:A,B14,전체리스트!C:C,D14)</f>
        <v>6318</v>
      </c>
      <c r="H14" s="27">
        <f t="shared" si="2"/>
        <v>315.90000000000003</v>
      </c>
      <c r="I14" s="30">
        <f t="shared" si="12"/>
        <v>6002.1</v>
      </c>
      <c r="J14" s="26"/>
    </row>
    <row r="15" spans="2:10">
      <c r="B15" s="26" t="s">
        <v>249</v>
      </c>
      <c r="C15" s="61" t="str">
        <f t="shared" ref="C15:C22" si="13">VLOOKUP(B15,raw_a,2,0)</f>
        <v>1월분</v>
      </c>
      <c r="D15" s="26" t="s">
        <v>179</v>
      </c>
      <c r="E15" s="27">
        <f>SUMIFS(전체리스트!D:D,전체리스트!A:A,B15,전체리스트!C:C,D15)</f>
        <v>71100</v>
      </c>
      <c r="F15" s="28">
        <f t="shared" ref="F15:F22" si="14">E15-G15</f>
        <v>28440</v>
      </c>
      <c r="G15" s="29">
        <f>SUMIFS(전체리스트!E:E,전체리스트!A:A,B15,전체리스트!C:C,D15)</f>
        <v>42660</v>
      </c>
      <c r="H15" s="27">
        <f t="shared" ref="H15:H22" si="15">G15*0.05</f>
        <v>2133</v>
      </c>
      <c r="I15" s="30">
        <f t="shared" ref="I15:I22" si="16">G15-H15</f>
        <v>40527</v>
      </c>
      <c r="J15" s="26"/>
    </row>
    <row r="16" spans="2:10">
      <c r="B16" s="26" t="s">
        <v>249</v>
      </c>
      <c r="C16" s="61" t="str">
        <f t="shared" si="13"/>
        <v>1월분</v>
      </c>
      <c r="D16" s="26" t="s">
        <v>180</v>
      </c>
      <c r="E16" s="27">
        <f>SUMIFS(전체리스트!D:D,전체리스트!A:A,B16,전체리스트!C:C,D16)</f>
        <v>51750</v>
      </c>
      <c r="F16" s="28">
        <f t="shared" si="14"/>
        <v>20700</v>
      </c>
      <c r="G16" s="29">
        <f>SUMIFS(전체리스트!E:E,전체리스트!A:A,B16,전체리스트!C:C,D16)</f>
        <v>31050</v>
      </c>
      <c r="H16" s="27">
        <f t="shared" si="15"/>
        <v>1552.5</v>
      </c>
      <c r="I16" s="30">
        <f t="shared" si="16"/>
        <v>29497.5</v>
      </c>
      <c r="J16" s="26"/>
    </row>
    <row r="17" spans="2:10">
      <c r="B17" s="26" t="s">
        <v>249</v>
      </c>
      <c r="C17" s="61" t="str">
        <f t="shared" si="13"/>
        <v>1월분</v>
      </c>
      <c r="D17" s="26" t="s">
        <v>229</v>
      </c>
      <c r="E17" s="27">
        <f>SUMIFS(전체리스트!D:D,전체리스트!A:A,B17,전체리스트!C:C,D17)</f>
        <v>13320</v>
      </c>
      <c r="F17" s="28">
        <f t="shared" si="14"/>
        <v>5328</v>
      </c>
      <c r="G17" s="29">
        <f>SUMIFS(전체리스트!E:E,전체리스트!A:A,B17,전체리스트!C:C,D17)</f>
        <v>7992</v>
      </c>
      <c r="H17" s="27">
        <f t="shared" si="15"/>
        <v>399.6</v>
      </c>
      <c r="I17" s="30">
        <f t="shared" si="16"/>
        <v>7592.4</v>
      </c>
      <c r="J17" s="26"/>
    </row>
    <row r="18" spans="2:10">
      <c r="B18" s="26" t="s">
        <v>249</v>
      </c>
      <c r="C18" s="61" t="str">
        <f t="shared" si="13"/>
        <v>1월분</v>
      </c>
      <c r="D18" s="26" t="s">
        <v>282</v>
      </c>
      <c r="E18" s="27">
        <f>SUMIFS(전체리스트!D:D,전체리스트!A:A,B18,전체리스트!C:C,D18)</f>
        <v>8460</v>
      </c>
      <c r="F18" s="28">
        <f t="shared" si="14"/>
        <v>3384</v>
      </c>
      <c r="G18" s="29">
        <f>SUMIFS(전체리스트!E:E,전체리스트!A:A,B18,전체리스트!C:C,D18)</f>
        <v>5076</v>
      </c>
      <c r="H18" s="27">
        <f t="shared" si="15"/>
        <v>253.8</v>
      </c>
      <c r="I18" s="30">
        <f t="shared" si="16"/>
        <v>4822.2</v>
      </c>
      <c r="J18" s="26"/>
    </row>
    <row r="19" spans="2:10">
      <c r="B19" s="26" t="s">
        <v>249</v>
      </c>
      <c r="C19" s="61" t="str">
        <f t="shared" si="13"/>
        <v>1월분</v>
      </c>
      <c r="D19" s="26" t="s">
        <v>308</v>
      </c>
      <c r="E19" s="27">
        <f>SUMIFS(전체리스트!D:D,전체리스트!A:A,B19,전체리스트!C:C,D19)</f>
        <v>24300</v>
      </c>
      <c r="F19" s="28">
        <f t="shared" si="14"/>
        <v>9720</v>
      </c>
      <c r="G19" s="29">
        <f>SUMIFS(전체리스트!E:E,전체리스트!A:A,B19,전체리스트!C:C,D19)</f>
        <v>14580</v>
      </c>
      <c r="H19" s="27">
        <f t="shared" si="15"/>
        <v>729</v>
      </c>
      <c r="I19" s="30">
        <f t="shared" si="16"/>
        <v>13851</v>
      </c>
      <c r="J19" s="26"/>
    </row>
    <row r="20" spans="2:10">
      <c r="B20" s="26" t="s">
        <v>249</v>
      </c>
      <c r="C20" s="61" t="str">
        <f t="shared" si="13"/>
        <v>1월분</v>
      </c>
      <c r="D20" s="26" t="s">
        <v>312</v>
      </c>
      <c r="E20" s="27">
        <f>SUMIFS(전체리스트!D:D,전체리스트!A:A,B20,전체리스트!C:C,D20)</f>
        <v>1260</v>
      </c>
      <c r="F20" s="28">
        <f t="shared" si="14"/>
        <v>504</v>
      </c>
      <c r="G20" s="29">
        <f>SUMIFS(전체리스트!E:E,전체리스트!A:A,B20,전체리스트!C:C,D20)</f>
        <v>756</v>
      </c>
      <c r="H20" s="27">
        <f t="shared" si="15"/>
        <v>37.800000000000004</v>
      </c>
      <c r="I20" s="30">
        <f t="shared" si="16"/>
        <v>718.2</v>
      </c>
      <c r="J20" s="26"/>
    </row>
    <row r="21" spans="2:10">
      <c r="B21" s="26" t="s">
        <v>249</v>
      </c>
      <c r="C21" s="61" t="str">
        <f t="shared" si="13"/>
        <v>1월분</v>
      </c>
      <c r="D21" s="26" t="s">
        <v>321</v>
      </c>
      <c r="E21" s="27">
        <f>SUMIFS(전체리스트!D:D,전체리스트!A:A,B21,전체리스트!C:C,D21)</f>
        <v>1620</v>
      </c>
      <c r="F21" s="28">
        <f t="shared" si="14"/>
        <v>648</v>
      </c>
      <c r="G21" s="29">
        <f>SUMIFS(전체리스트!E:E,전체리스트!A:A,B21,전체리스트!C:C,D21)</f>
        <v>972</v>
      </c>
      <c r="H21" s="27">
        <f t="shared" si="15"/>
        <v>48.6</v>
      </c>
      <c r="I21" s="30">
        <f t="shared" si="16"/>
        <v>923.4</v>
      </c>
      <c r="J21" s="26"/>
    </row>
    <row r="22" spans="2:10">
      <c r="B22" s="26" t="s">
        <v>249</v>
      </c>
      <c r="C22" s="61" t="str">
        <f t="shared" si="13"/>
        <v>1월분</v>
      </c>
      <c r="D22" s="26" t="s">
        <v>328</v>
      </c>
      <c r="E22" s="27">
        <f>SUMIFS(전체리스트!D:D,전체리스트!A:A,B22,전체리스트!C:C,D22)</f>
        <v>4590</v>
      </c>
      <c r="F22" s="28">
        <f t="shared" si="14"/>
        <v>1836</v>
      </c>
      <c r="G22" s="29">
        <f>SUMIFS(전체리스트!E:E,전체리스트!A:A,B22,전체리스트!C:C,D22)</f>
        <v>2754</v>
      </c>
      <c r="H22" s="27">
        <f t="shared" si="15"/>
        <v>137.70000000000002</v>
      </c>
      <c r="I22" s="30">
        <f t="shared" si="16"/>
        <v>2616.3000000000002</v>
      </c>
      <c r="J22" s="26"/>
    </row>
    <row r="23" spans="2:10">
      <c r="B23" s="26" t="s">
        <v>249</v>
      </c>
      <c r="C23" s="61" t="str">
        <f t="shared" si="10"/>
        <v>1월분</v>
      </c>
      <c r="D23" s="26" t="s">
        <v>348</v>
      </c>
      <c r="E23" s="27">
        <f>SUMIFS(전체리스트!D:D,전체리스트!A:A,B23,전체리스트!C:C,D23)</f>
        <v>3240</v>
      </c>
      <c r="F23" s="28">
        <f t="shared" si="11"/>
        <v>1296</v>
      </c>
      <c r="G23" s="29">
        <f>SUMIFS(전체리스트!E:E,전체리스트!A:A,B23,전체리스트!C:C,D23)</f>
        <v>1944</v>
      </c>
      <c r="H23" s="27">
        <f t="shared" si="2"/>
        <v>97.2</v>
      </c>
      <c r="I23" s="30">
        <f t="shared" si="12"/>
        <v>1846.8</v>
      </c>
      <c r="J23" s="26"/>
    </row>
    <row r="24" spans="2:10">
      <c r="B24" s="26" t="s">
        <v>249</v>
      </c>
      <c r="C24" s="61" t="str">
        <f t="shared" si="7"/>
        <v>1월분</v>
      </c>
      <c r="D24" s="26" t="s">
        <v>346</v>
      </c>
      <c r="E24" s="27">
        <f>SUMIFS(전체리스트!D:D,전체리스트!A:A,B24,전체리스트!C:C,D24)</f>
        <v>4410</v>
      </c>
      <c r="F24" s="28">
        <f t="shared" si="8"/>
        <v>1764</v>
      </c>
      <c r="G24" s="29">
        <f>SUMIFS(전체리스트!E:E,전체리스트!A:A,B24,전체리스트!C:C,D24)</f>
        <v>2646</v>
      </c>
      <c r="H24" s="27">
        <f t="shared" si="2"/>
        <v>132.30000000000001</v>
      </c>
      <c r="I24" s="30">
        <f t="shared" si="9"/>
        <v>2513.6999999999998</v>
      </c>
      <c r="J24" s="26"/>
    </row>
    <row r="25" spans="2:10">
      <c r="B25" s="26" t="s">
        <v>249</v>
      </c>
      <c r="C25" s="61" t="str">
        <f t="shared" ref="C25:C28" si="17">VLOOKUP(B25,raw_a,2,0)</f>
        <v>1월분</v>
      </c>
      <c r="D25" s="26" t="s">
        <v>59</v>
      </c>
      <c r="E25" s="27">
        <f>SUMIFS(전체리스트!D:D,전체리스트!A:A,B25,전체리스트!C:C,D25)</f>
        <v>3060</v>
      </c>
      <c r="F25" s="28">
        <f t="shared" ref="F25:F28" si="18">E25-G25</f>
        <v>1224</v>
      </c>
      <c r="G25" s="29">
        <f>SUMIFS(전체리스트!E:E,전체리스트!A:A,B25,전체리스트!C:C,D25)</f>
        <v>1836</v>
      </c>
      <c r="H25" s="27">
        <f t="shared" si="2"/>
        <v>91.800000000000011</v>
      </c>
      <c r="I25" s="30">
        <f t="shared" ref="I25:I28" si="19">G25-H25</f>
        <v>1744.2</v>
      </c>
      <c r="J25" s="26"/>
    </row>
    <row r="26" spans="2:10">
      <c r="B26" s="26" t="s">
        <v>249</v>
      </c>
      <c r="C26" s="61" t="str">
        <f t="shared" si="17"/>
        <v>1월분</v>
      </c>
      <c r="D26" s="26" t="s">
        <v>380</v>
      </c>
      <c r="E26" s="27">
        <f>SUMIFS(전체리스트!D:D,전체리스트!A:A,B26,전체리스트!C:C,D26)</f>
        <v>9000</v>
      </c>
      <c r="F26" s="28">
        <f t="shared" si="18"/>
        <v>3600</v>
      </c>
      <c r="G26" s="29">
        <f>SUMIFS(전체리스트!E:E,전체리스트!A:A,B26,전체리스트!C:C,D26)</f>
        <v>5400</v>
      </c>
      <c r="H26" s="27">
        <f t="shared" si="2"/>
        <v>270</v>
      </c>
      <c r="I26" s="30">
        <f t="shared" si="19"/>
        <v>5130</v>
      </c>
      <c r="J26" s="26"/>
    </row>
    <row r="27" spans="2:10">
      <c r="B27" s="26" t="s">
        <v>249</v>
      </c>
      <c r="C27" s="61" t="str">
        <f t="shared" ref="C27" si="20">VLOOKUP(B27,raw_a,2,0)</f>
        <v>1월분</v>
      </c>
      <c r="D27" s="26" t="s">
        <v>386</v>
      </c>
      <c r="E27" s="27">
        <f>SUMIFS(전체리스트!D:D,전체리스트!A:A,B27,전체리스트!C:C,D27)</f>
        <v>9180</v>
      </c>
      <c r="F27" s="28">
        <f t="shared" ref="F27" si="21">E27-G27</f>
        <v>3672</v>
      </c>
      <c r="G27" s="29">
        <f>SUMIFS(전체리스트!E:E,전체리스트!A:A,B27,전체리스트!C:C,D27)</f>
        <v>5508</v>
      </c>
      <c r="H27" s="27">
        <f t="shared" si="2"/>
        <v>275.40000000000003</v>
      </c>
      <c r="I27" s="30">
        <f t="shared" ref="I27" si="22">G27-H27</f>
        <v>5232.6000000000004</v>
      </c>
      <c r="J27" s="26"/>
    </row>
    <row r="28" spans="2:10">
      <c r="B28" s="26" t="s">
        <v>249</v>
      </c>
      <c r="C28" s="61" t="str">
        <f t="shared" si="17"/>
        <v>1월분</v>
      </c>
      <c r="D28" s="26" t="s">
        <v>387</v>
      </c>
      <c r="E28" s="27">
        <f>SUMIFS(전체리스트!D:D,전체리스트!A:A,B28,전체리스트!C:C,D28)</f>
        <v>432720</v>
      </c>
      <c r="F28" s="28">
        <f t="shared" si="18"/>
        <v>173088</v>
      </c>
      <c r="G28" s="29">
        <f>SUMIFS(전체리스트!E:E,전체리스트!A:A,B28,전체리스트!C:C,D28)</f>
        <v>259632</v>
      </c>
      <c r="H28" s="27">
        <f t="shared" si="2"/>
        <v>12981.6</v>
      </c>
      <c r="I28" s="30">
        <f t="shared" si="19"/>
        <v>246650.4</v>
      </c>
      <c r="J28" s="26"/>
    </row>
    <row r="29" spans="2:10">
      <c r="B29" s="31" t="s">
        <v>0</v>
      </c>
      <c r="C29" s="31"/>
      <c r="D29" s="32"/>
      <c r="E29" s="33">
        <f t="shared" ref="E29:J29" si="23">SUM(E6:E28)</f>
        <v>876060</v>
      </c>
      <c r="F29" s="33">
        <f t="shared" si="23"/>
        <v>350424</v>
      </c>
      <c r="G29" s="33">
        <f t="shared" si="23"/>
        <v>525636</v>
      </c>
      <c r="H29" s="33">
        <f t="shared" si="23"/>
        <v>26281.8</v>
      </c>
      <c r="I29" s="33">
        <f t="shared" si="23"/>
        <v>499354.19999999995</v>
      </c>
      <c r="J29" s="33">
        <f t="shared" si="2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5CDD-44FE-43C1-86F0-E04DF1417626}">
  <dimension ref="B4:J24"/>
  <sheetViews>
    <sheetView workbookViewId="0">
      <selection activeCell="O29" sqref="O29"/>
    </sheetView>
  </sheetViews>
  <sheetFormatPr defaultRowHeight="16.5"/>
  <cols>
    <col min="2" max="2" width="16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293</v>
      </c>
      <c r="C6" s="61" t="str">
        <f t="shared" ref="C6:C20" si="0">VLOOKUP(B6,raw_a,2,0)</f>
        <v>1월분</v>
      </c>
      <c r="D6" s="26" t="s">
        <v>77</v>
      </c>
      <c r="E6" s="27">
        <f>SUMIFS(전체리스트!D:D,전체리스트!A:A,B6,전체리스트!C:C,D6)</f>
        <v>309400</v>
      </c>
      <c r="F6" s="28">
        <f>E6-G6</f>
        <v>92820</v>
      </c>
      <c r="G6" s="29">
        <f>SUMIFS(전체리스트!E:E,전체리스트!A:A,B6,전체리스트!C:C,D6)</f>
        <v>216580</v>
      </c>
      <c r="H6" s="27">
        <f>G6*0.05</f>
        <v>10829</v>
      </c>
      <c r="I6" s="30">
        <f>G6-H6</f>
        <v>205751</v>
      </c>
      <c r="J6" s="26"/>
    </row>
    <row r="7" spans="2:10">
      <c r="B7" s="26" t="s">
        <v>293</v>
      </c>
      <c r="C7" s="61" t="str">
        <f t="shared" si="0"/>
        <v>1월분</v>
      </c>
      <c r="D7" s="26" t="s">
        <v>343</v>
      </c>
      <c r="E7" s="27">
        <f>SUMIFS(전체리스트!D:D,전체리스트!A:A,B7,전체리스트!C:C,D7)</f>
        <v>285600</v>
      </c>
      <c r="F7" s="28">
        <f t="shared" ref="F7:F19" si="1">E7-G7</f>
        <v>85680</v>
      </c>
      <c r="G7" s="29">
        <f>SUMIFS(전체리스트!E:E,전체리스트!A:A,B7,전체리스트!C:C,D7)</f>
        <v>199920</v>
      </c>
      <c r="H7" s="27">
        <f t="shared" ref="H7:H23" si="2">G7*0.05</f>
        <v>9996</v>
      </c>
      <c r="I7" s="30">
        <f t="shared" ref="I7:I19" si="3">G7-H7</f>
        <v>189924</v>
      </c>
      <c r="J7" s="26"/>
    </row>
    <row r="8" spans="2:10">
      <c r="B8" s="26" t="s">
        <v>293</v>
      </c>
      <c r="C8" s="61" t="str">
        <f t="shared" si="0"/>
        <v>1월분</v>
      </c>
      <c r="D8" s="26" t="s">
        <v>179</v>
      </c>
      <c r="E8" s="27">
        <f>SUMIFS(전체리스트!D:D,전체리스트!A:A,B8,전체리스트!C:C,D8)</f>
        <v>120000</v>
      </c>
      <c r="F8" s="28">
        <f t="shared" si="1"/>
        <v>36000</v>
      </c>
      <c r="G8" s="29">
        <f>SUMIFS(전체리스트!E:E,전체리스트!A:A,B8,전체리스트!C:C,D8)</f>
        <v>84000</v>
      </c>
      <c r="H8" s="27">
        <f t="shared" si="2"/>
        <v>4200</v>
      </c>
      <c r="I8" s="30">
        <f t="shared" si="3"/>
        <v>79800</v>
      </c>
      <c r="J8" s="26"/>
    </row>
    <row r="9" spans="2:10">
      <c r="B9" s="26" t="s">
        <v>293</v>
      </c>
      <c r="C9" s="61" t="str">
        <f t="shared" si="0"/>
        <v>1월분</v>
      </c>
      <c r="D9" s="26" t="s">
        <v>155</v>
      </c>
      <c r="E9" s="27">
        <f>SUMIFS(전체리스트!D:D,전체리스트!A:A,B9,전체리스트!C:C,D9)</f>
        <v>66300</v>
      </c>
      <c r="F9" s="28">
        <f t="shared" si="1"/>
        <v>19890</v>
      </c>
      <c r="G9" s="29">
        <f>SUMIFS(전체리스트!E:E,전체리스트!A:A,B9,전체리스트!C:C,D9)</f>
        <v>46410</v>
      </c>
      <c r="H9" s="27">
        <f t="shared" si="2"/>
        <v>2320.5</v>
      </c>
      <c r="I9" s="30">
        <f t="shared" si="3"/>
        <v>44089.5</v>
      </c>
      <c r="J9" s="26"/>
    </row>
    <row r="10" spans="2:10">
      <c r="B10" s="26" t="s">
        <v>293</v>
      </c>
      <c r="C10" s="61" t="str">
        <f t="shared" si="0"/>
        <v>1월분</v>
      </c>
      <c r="D10" s="26" t="s">
        <v>37</v>
      </c>
      <c r="E10" s="27">
        <f>SUMIFS(전체리스트!D:D,전체리스트!A:A,B10,전체리스트!C:C,D10)</f>
        <v>64200</v>
      </c>
      <c r="F10" s="28">
        <f t="shared" si="1"/>
        <v>19260</v>
      </c>
      <c r="G10" s="29">
        <f>SUMIFS(전체리스트!E:E,전체리스트!A:A,B10,전체리스트!C:C,D10)</f>
        <v>44940</v>
      </c>
      <c r="H10" s="27">
        <f t="shared" si="2"/>
        <v>2247</v>
      </c>
      <c r="I10" s="30">
        <f t="shared" si="3"/>
        <v>42693</v>
      </c>
      <c r="J10" s="26"/>
    </row>
    <row r="11" spans="2:10">
      <c r="B11" s="26" t="s">
        <v>293</v>
      </c>
      <c r="C11" s="61" t="str">
        <f t="shared" si="0"/>
        <v>1월분</v>
      </c>
      <c r="D11" s="26" t="s">
        <v>180</v>
      </c>
      <c r="E11" s="27">
        <f>SUMIFS(전체리스트!D:D,전체리스트!A:A,B11,전체리스트!C:C,D11)</f>
        <v>42600</v>
      </c>
      <c r="F11" s="28">
        <f t="shared" si="1"/>
        <v>12780.000000000004</v>
      </c>
      <c r="G11" s="29">
        <f>SUMIFS(전체리스트!E:E,전체리스트!A:A,B11,전체리스트!C:C,D11)</f>
        <v>29819.999999999996</v>
      </c>
      <c r="H11" s="27">
        <f t="shared" si="2"/>
        <v>1491</v>
      </c>
      <c r="I11" s="30">
        <f t="shared" si="3"/>
        <v>28328.999999999996</v>
      </c>
      <c r="J11" s="26"/>
    </row>
    <row r="12" spans="2:10">
      <c r="B12" s="26" t="s">
        <v>293</v>
      </c>
      <c r="C12" s="61" t="str">
        <f t="shared" si="0"/>
        <v>1월분</v>
      </c>
      <c r="D12" s="26" t="s">
        <v>76</v>
      </c>
      <c r="E12" s="27">
        <f>SUMIFS(전체리스트!D:D,전체리스트!A:A,B12,전체리스트!C:C,D12)</f>
        <v>36200</v>
      </c>
      <c r="F12" s="28">
        <f t="shared" si="1"/>
        <v>10860</v>
      </c>
      <c r="G12" s="29">
        <f>SUMIFS(전체리스트!E:E,전체리스트!A:A,B12,전체리스트!C:C,D12)</f>
        <v>25340</v>
      </c>
      <c r="H12" s="27">
        <f t="shared" si="2"/>
        <v>1267</v>
      </c>
      <c r="I12" s="30">
        <f t="shared" si="3"/>
        <v>24073</v>
      </c>
      <c r="J12" s="26"/>
    </row>
    <row r="13" spans="2:10">
      <c r="B13" s="26" t="s">
        <v>293</v>
      </c>
      <c r="C13" s="61" t="str">
        <f t="shared" si="0"/>
        <v>1월분</v>
      </c>
      <c r="D13" s="26" t="s">
        <v>66</v>
      </c>
      <c r="E13" s="27">
        <f>SUMIFS(전체리스트!D:D,전체리스트!A:A,B13,전체리스트!C:C,D13)</f>
        <v>20900</v>
      </c>
      <c r="F13" s="28">
        <f t="shared" si="1"/>
        <v>6270.0000000000018</v>
      </c>
      <c r="G13" s="29">
        <f>SUMIFS(전체리스트!E:E,전체리스트!A:A,B13,전체리스트!C:C,D13)</f>
        <v>14629.999999999998</v>
      </c>
      <c r="H13" s="27">
        <f t="shared" si="2"/>
        <v>731.5</v>
      </c>
      <c r="I13" s="30">
        <f t="shared" si="3"/>
        <v>13898.499999999998</v>
      </c>
      <c r="J13" s="26"/>
    </row>
    <row r="14" spans="2:10">
      <c r="B14" s="26" t="s">
        <v>293</v>
      </c>
      <c r="C14" s="61" t="str">
        <f t="shared" si="0"/>
        <v>1월분</v>
      </c>
      <c r="D14" s="26" t="s">
        <v>17</v>
      </c>
      <c r="E14" s="27">
        <f>SUMIFS(전체리스트!D:D,전체리스트!A:A,B14,전체리스트!C:C,D14)</f>
        <v>20100</v>
      </c>
      <c r="F14" s="28">
        <f t="shared" si="1"/>
        <v>6030</v>
      </c>
      <c r="G14" s="29">
        <f>SUMIFS(전체리스트!E:E,전체리스트!A:A,B14,전체리스트!C:C,D14)</f>
        <v>14070</v>
      </c>
      <c r="H14" s="27">
        <f t="shared" si="2"/>
        <v>703.5</v>
      </c>
      <c r="I14" s="30">
        <f t="shared" si="3"/>
        <v>13366.5</v>
      </c>
      <c r="J14" s="26"/>
    </row>
    <row r="15" spans="2:10">
      <c r="B15" s="26" t="s">
        <v>291</v>
      </c>
      <c r="C15" s="61" t="str">
        <f t="shared" ref="C15:C18" si="4">VLOOKUP(B15,raw_a,2,0)</f>
        <v>1월분</v>
      </c>
      <c r="D15" s="26" t="s">
        <v>233</v>
      </c>
      <c r="E15" s="27">
        <f>SUMIFS(전체리스트!D:D,전체리스트!A:A,B15,전체리스트!C:C,D15)</f>
        <v>15000</v>
      </c>
      <c r="F15" s="28">
        <f t="shared" ref="F15:F18" si="5">E15-G15</f>
        <v>4500</v>
      </c>
      <c r="G15" s="29">
        <f>SUMIFS(전체리스트!E:E,전체리스트!A:A,B15,전체리스트!C:C,D15)</f>
        <v>10500</v>
      </c>
      <c r="H15" s="27">
        <f t="shared" ref="H15:H18" si="6">G15*0.05</f>
        <v>525</v>
      </c>
      <c r="I15" s="30">
        <f t="shared" ref="I15:I18" si="7">G15-H15</f>
        <v>9975</v>
      </c>
      <c r="J15" s="26"/>
    </row>
    <row r="16" spans="2:10">
      <c r="B16" s="26" t="s">
        <v>291</v>
      </c>
      <c r="C16" s="61" t="str">
        <f t="shared" si="4"/>
        <v>1월분</v>
      </c>
      <c r="D16" s="26" t="s">
        <v>154</v>
      </c>
      <c r="E16" s="27">
        <f>SUMIFS(전체리스트!D:D,전체리스트!A:A,B16,전체리스트!C:C,D16)</f>
        <v>9800</v>
      </c>
      <c r="F16" s="28">
        <f t="shared" si="5"/>
        <v>2940</v>
      </c>
      <c r="G16" s="29">
        <f>SUMIFS(전체리스트!E:E,전체리스트!A:A,B16,전체리스트!C:C,D16)</f>
        <v>6860</v>
      </c>
      <c r="H16" s="27">
        <f t="shared" si="6"/>
        <v>343</v>
      </c>
      <c r="I16" s="30">
        <f t="shared" si="7"/>
        <v>6517</v>
      </c>
      <c r="J16" s="26"/>
    </row>
    <row r="17" spans="2:10">
      <c r="B17" s="26" t="s">
        <v>291</v>
      </c>
      <c r="C17" s="61" t="str">
        <f t="shared" si="4"/>
        <v>1월분</v>
      </c>
      <c r="D17" s="26" t="s">
        <v>229</v>
      </c>
      <c r="E17" s="27">
        <f>SUMIFS(전체리스트!D:D,전체리스트!A:A,B17,전체리스트!C:C,D17)</f>
        <v>9400</v>
      </c>
      <c r="F17" s="28">
        <f t="shared" si="5"/>
        <v>2820</v>
      </c>
      <c r="G17" s="29">
        <f>SUMIFS(전체리스트!E:E,전체리스트!A:A,B17,전체리스트!C:C,D17)</f>
        <v>6580</v>
      </c>
      <c r="H17" s="27">
        <f t="shared" si="6"/>
        <v>329</v>
      </c>
      <c r="I17" s="30">
        <f t="shared" si="7"/>
        <v>6251</v>
      </c>
      <c r="J17" s="26"/>
    </row>
    <row r="18" spans="2:10">
      <c r="B18" s="26" t="s">
        <v>291</v>
      </c>
      <c r="C18" s="61" t="str">
        <f t="shared" si="4"/>
        <v>1월분</v>
      </c>
      <c r="D18" s="26" t="s">
        <v>72</v>
      </c>
      <c r="E18" s="27">
        <f>SUMIFS(전체리스트!D:D,전체리스트!A:A,B18,전체리스트!C:C,D18)</f>
        <v>7500</v>
      </c>
      <c r="F18" s="28">
        <f t="shared" si="5"/>
        <v>2250</v>
      </c>
      <c r="G18" s="29">
        <f>SUMIFS(전체리스트!E:E,전체리스트!A:A,B18,전체리스트!C:C,D18)</f>
        <v>5250</v>
      </c>
      <c r="H18" s="27">
        <f t="shared" si="6"/>
        <v>262.5</v>
      </c>
      <c r="I18" s="30">
        <f t="shared" si="7"/>
        <v>4987.5</v>
      </c>
      <c r="J18" s="26"/>
    </row>
    <row r="19" spans="2:10">
      <c r="B19" s="26" t="s">
        <v>293</v>
      </c>
      <c r="C19" s="61" t="str">
        <f t="shared" si="0"/>
        <v>1월분</v>
      </c>
      <c r="D19" s="26" t="s">
        <v>159</v>
      </c>
      <c r="E19" s="27">
        <f>SUMIFS(전체리스트!D:D,전체리스트!A:A,B19,전체리스트!C:C,D19)</f>
        <v>3900</v>
      </c>
      <c r="F19" s="28">
        <f t="shared" si="1"/>
        <v>1170</v>
      </c>
      <c r="G19" s="29">
        <f>SUMIFS(전체리스트!E:E,전체리스트!A:A,B19,전체리스트!C:C,D19)</f>
        <v>2730</v>
      </c>
      <c r="H19" s="27">
        <f t="shared" si="2"/>
        <v>136.5</v>
      </c>
      <c r="I19" s="30">
        <f t="shared" si="3"/>
        <v>2593.5</v>
      </c>
      <c r="J19" s="26"/>
    </row>
    <row r="20" spans="2:10">
      <c r="B20" s="26" t="s">
        <v>293</v>
      </c>
      <c r="C20" s="61" t="str">
        <f t="shared" si="0"/>
        <v>1월분</v>
      </c>
      <c r="D20" s="26" t="s">
        <v>19</v>
      </c>
      <c r="E20" s="27">
        <f>SUMIFS(전체리스트!D:D,전체리스트!A:A,B20,전체리스트!C:C,D20)</f>
        <v>3000</v>
      </c>
      <c r="F20" s="28">
        <f t="shared" ref="F20" si="8">E20-G20</f>
        <v>900</v>
      </c>
      <c r="G20" s="29">
        <f>SUMIFS(전체리스트!E:E,전체리스트!A:A,B20,전체리스트!C:C,D20)</f>
        <v>2100</v>
      </c>
      <c r="H20" s="27">
        <f t="shared" si="2"/>
        <v>105</v>
      </c>
      <c r="I20" s="30">
        <f t="shared" ref="I20" si="9">G20-H20</f>
        <v>1995</v>
      </c>
      <c r="J20" s="26"/>
    </row>
    <row r="21" spans="2:10">
      <c r="B21" s="26" t="s">
        <v>291</v>
      </c>
      <c r="C21" s="61" t="str">
        <f t="shared" ref="C21:C23" si="10">VLOOKUP(B21,raw_a,2,0)</f>
        <v>1월분</v>
      </c>
      <c r="D21" s="26" t="s">
        <v>20</v>
      </c>
      <c r="E21" s="27">
        <f>SUMIFS(전체리스트!D:D,전체리스트!A:A,B21,전체리스트!C:C,D21)</f>
        <v>2400</v>
      </c>
      <c r="F21" s="28">
        <f t="shared" ref="F21:F23" si="11">E21-G21</f>
        <v>720</v>
      </c>
      <c r="G21" s="29">
        <f>SUMIFS(전체리스트!E:E,전체리스트!A:A,B21,전체리스트!C:C,D21)</f>
        <v>1680</v>
      </c>
      <c r="H21" s="27">
        <f t="shared" si="2"/>
        <v>84</v>
      </c>
      <c r="I21" s="30">
        <f t="shared" ref="I21:I23" si="12">G21-H21</f>
        <v>1596</v>
      </c>
      <c r="J21" s="26"/>
    </row>
    <row r="22" spans="2:10">
      <c r="B22" s="26" t="s">
        <v>291</v>
      </c>
      <c r="C22" s="61" t="str">
        <f t="shared" si="10"/>
        <v>1월분</v>
      </c>
      <c r="D22" s="26" t="s">
        <v>292</v>
      </c>
      <c r="E22" s="27">
        <f>SUMIFS(전체리스트!D:D,전체리스트!A:A,B22,전체리스트!C:C,D22)</f>
        <v>2400</v>
      </c>
      <c r="F22" s="28">
        <f t="shared" si="11"/>
        <v>720</v>
      </c>
      <c r="G22" s="29">
        <f>SUMIFS(전체리스트!E:E,전체리스트!A:A,B22,전체리스트!C:C,D22)</f>
        <v>1680</v>
      </c>
      <c r="H22" s="27">
        <f t="shared" si="2"/>
        <v>84</v>
      </c>
      <c r="I22" s="30">
        <f t="shared" si="12"/>
        <v>1596</v>
      </c>
      <c r="J22" s="26"/>
    </row>
    <row r="23" spans="2:10" ht="15.75" customHeight="1">
      <c r="B23" s="26" t="s">
        <v>291</v>
      </c>
      <c r="C23" s="61" t="str">
        <f t="shared" si="10"/>
        <v>1월분</v>
      </c>
      <c r="D23" s="26" t="s">
        <v>424</v>
      </c>
      <c r="E23" s="27">
        <f>SUMIFS(전체리스트!D:D,전체리스트!A:A,B23,전체리스트!C:C,D23)</f>
        <v>900</v>
      </c>
      <c r="F23" s="28">
        <f t="shared" si="11"/>
        <v>270</v>
      </c>
      <c r="G23" s="29">
        <f>SUMIFS(전체리스트!E:E,전체리스트!A:A,B23,전체리스트!C:C,D23)</f>
        <v>630</v>
      </c>
      <c r="H23" s="27">
        <f t="shared" si="2"/>
        <v>31.5</v>
      </c>
      <c r="I23" s="30">
        <f t="shared" si="12"/>
        <v>598.5</v>
      </c>
      <c r="J23" s="26"/>
    </row>
    <row r="24" spans="2:10">
      <c r="B24" s="31" t="s">
        <v>0</v>
      </c>
      <c r="C24" s="31"/>
      <c r="D24" s="32"/>
      <c r="E24" s="33">
        <f t="shared" ref="E24:J24" si="13">SUM(E6:E23)</f>
        <v>1019600</v>
      </c>
      <c r="F24" s="33">
        <f t="shared" si="13"/>
        <v>305880</v>
      </c>
      <c r="G24" s="33">
        <f t="shared" si="13"/>
        <v>713720</v>
      </c>
      <c r="H24" s="33">
        <f t="shared" si="13"/>
        <v>35686</v>
      </c>
      <c r="I24" s="33">
        <f t="shared" si="13"/>
        <v>678034</v>
      </c>
      <c r="J24" s="33">
        <f t="shared" si="1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60EA-4E5B-4BDD-BD7B-8289A3FFC01B}">
  <dimension ref="B4:J14"/>
  <sheetViews>
    <sheetView workbookViewId="0">
      <selection activeCell="H26" sqref="H26"/>
    </sheetView>
  </sheetViews>
  <sheetFormatPr defaultRowHeight="16.5"/>
  <cols>
    <col min="2" max="2" width="16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305</v>
      </c>
      <c r="C6" s="61" t="str">
        <f t="shared" ref="C6:C8" si="0">VLOOKUP(B6,raw_a,2,0)</f>
        <v>12월분</v>
      </c>
      <c r="D6" s="26" t="s">
        <v>21</v>
      </c>
      <c r="E6" s="27">
        <f>SUMIFS(전체리스트!D:D,전체리스트!A:A,B6,전체리스트!C:C,D6)</f>
        <v>400</v>
      </c>
      <c r="F6" s="28">
        <f t="shared" ref="F6:F13" si="1">E6-G6</f>
        <v>148.00000000000003</v>
      </c>
      <c r="G6" s="29">
        <f>SUMIFS(전체리스트!E:E,전체리스트!A:A,B6,전체리스트!C:C,D6)</f>
        <v>251.99999999999997</v>
      </c>
      <c r="H6" s="27">
        <f>G6*0.05</f>
        <v>12.6</v>
      </c>
      <c r="I6" s="30">
        <f t="shared" ref="I6:I13" si="2">G6-H6</f>
        <v>239.39999999999998</v>
      </c>
      <c r="J6" s="26"/>
    </row>
    <row r="7" spans="2:10">
      <c r="B7" s="26" t="s">
        <v>305</v>
      </c>
      <c r="C7" s="61" t="str">
        <f t="shared" si="0"/>
        <v>12월분</v>
      </c>
      <c r="D7" s="26" t="s">
        <v>77</v>
      </c>
      <c r="E7" s="27">
        <f>SUMIFS(전체리스트!D:D,전체리스트!A:A,B7,전체리스트!C:C,D7)</f>
        <v>1131800</v>
      </c>
      <c r="F7" s="28">
        <f t="shared" si="1"/>
        <v>418766</v>
      </c>
      <c r="G7" s="29">
        <f>SUMIFS(전체리스트!E:E,전체리스트!A:A,B7,전체리스트!C:C,D7)</f>
        <v>713034</v>
      </c>
      <c r="H7" s="27">
        <f t="shared" ref="H7:H13" si="3">G7*0.05</f>
        <v>35651.700000000004</v>
      </c>
      <c r="I7" s="30">
        <f t="shared" si="2"/>
        <v>677382.3</v>
      </c>
      <c r="J7" s="26"/>
    </row>
    <row r="8" spans="2:10">
      <c r="B8" s="26" t="s">
        <v>305</v>
      </c>
      <c r="C8" s="61" t="str">
        <f t="shared" si="0"/>
        <v>12월분</v>
      </c>
      <c r="D8" s="26" t="s">
        <v>321</v>
      </c>
      <c r="E8" s="27">
        <f>SUMIFS(전체리스트!D:D,전체리스트!A:A,B8,전체리스트!C:C,D8)</f>
        <v>27000</v>
      </c>
      <c r="F8" s="28">
        <f t="shared" si="1"/>
        <v>9990</v>
      </c>
      <c r="G8" s="29">
        <f>SUMIFS(전체리스트!E:E,전체리스트!A:A,B8,전체리스트!C:C,D8)</f>
        <v>17010</v>
      </c>
      <c r="H8" s="27">
        <f t="shared" si="3"/>
        <v>850.5</v>
      </c>
      <c r="I8" s="30">
        <f t="shared" si="2"/>
        <v>16159.5</v>
      </c>
      <c r="J8" s="26"/>
    </row>
    <row r="9" spans="2:10">
      <c r="B9" s="26" t="s">
        <v>305</v>
      </c>
      <c r="C9" s="61" t="str">
        <f t="shared" ref="C9:C10" si="4">VLOOKUP(B9,raw_a,2,0)</f>
        <v>12월분</v>
      </c>
      <c r="D9" s="26" t="s">
        <v>179</v>
      </c>
      <c r="E9" s="27">
        <f>SUMIFS(전체리스트!D:D,전체리스트!A:A,B9,전체리스트!C:C,D9)</f>
        <v>982800</v>
      </c>
      <c r="F9" s="28">
        <f t="shared" si="1"/>
        <v>363636</v>
      </c>
      <c r="G9" s="29">
        <f>SUMIFS(전체리스트!E:E,전체리스트!A:A,B9,전체리스트!C:C,D9)</f>
        <v>619164</v>
      </c>
      <c r="H9" s="27">
        <f t="shared" si="3"/>
        <v>30958.2</v>
      </c>
      <c r="I9" s="30">
        <f t="shared" si="2"/>
        <v>588205.80000000005</v>
      </c>
      <c r="J9" s="26"/>
    </row>
    <row r="10" spans="2:10">
      <c r="B10" s="26" t="s">
        <v>305</v>
      </c>
      <c r="C10" s="61" t="str">
        <f t="shared" si="4"/>
        <v>12월분</v>
      </c>
      <c r="D10" s="26" t="s">
        <v>180</v>
      </c>
      <c r="E10" s="27">
        <f>SUMIFS(전체리스트!D:D,전체리스트!A:A,B10,전체리스트!C:C,D10)</f>
        <v>607100</v>
      </c>
      <c r="F10" s="28">
        <f t="shared" si="1"/>
        <v>224627</v>
      </c>
      <c r="G10" s="29">
        <f>SUMIFS(전체리스트!E:E,전체리스트!A:A,B10,전체리스트!C:C,D10)</f>
        <v>382473</v>
      </c>
      <c r="H10" s="27">
        <f t="shared" si="3"/>
        <v>19123.650000000001</v>
      </c>
      <c r="I10" s="30">
        <f t="shared" si="2"/>
        <v>363349.35</v>
      </c>
      <c r="J10" s="26"/>
    </row>
    <row r="11" spans="2:10">
      <c r="B11" s="26" t="s">
        <v>305</v>
      </c>
      <c r="C11" s="61" t="str">
        <f t="shared" ref="C11:C13" si="5">VLOOKUP(B11,raw_a,2,0)</f>
        <v>12월분</v>
      </c>
      <c r="D11" s="26" t="s">
        <v>76</v>
      </c>
      <c r="E11" s="27">
        <f>SUMIFS(전체리스트!D:D,전체리스트!A:A,B11,전체리스트!C:C,D11)</f>
        <v>134800</v>
      </c>
      <c r="F11" s="28">
        <f t="shared" si="1"/>
        <v>49876</v>
      </c>
      <c r="G11" s="29">
        <f>SUMIFS(전체리스트!E:E,전체리스트!A:A,B11,전체리스트!C:C,D11)</f>
        <v>84924</v>
      </c>
      <c r="H11" s="27">
        <f t="shared" si="3"/>
        <v>4246.2</v>
      </c>
      <c r="I11" s="30">
        <f t="shared" si="2"/>
        <v>80677.8</v>
      </c>
      <c r="J11" s="26"/>
    </row>
    <row r="12" spans="2:10">
      <c r="B12" s="26" t="s">
        <v>305</v>
      </c>
      <c r="C12" s="61" t="str">
        <f t="shared" ref="C12" si="6">VLOOKUP(B12,raw_a,2,0)</f>
        <v>12월분</v>
      </c>
      <c r="D12" s="26" t="s">
        <v>66</v>
      </c>
      <c r="E12" s="27">
        <f>SUMIFS(전체리스트!D:D,전체리스트!A:A,B12,전체리스트!C:C,D12)</f>
        <v>99800</v>
      </c>
      <c r="F12" s="28">
        <f t="shared" ref="F12" si="7">E12-G12</f>
        <v>36926.000000000007</v>
      </c>
      <c r="G12" s="29">
        <f>SUMIFS(전체리스트!E:E,전체리스트!A:A,B12,전체리스트!C:C,D12)</f>
        <v>62873.999999999993</v>
      </c>
      <c r="H12" s="27">
        <f t="shared" ref="H12" si="8">G12*0.05</f>
        <v>3143.7</v>
      </c>
      <c r="I12" s="30">
        <f t="shared" ref="I12" si="9">G12-H12</f>
        <v>59730.299999999996</v>
      </c>
      <c r="J12" s="26"/>
    </row>
    <row r="13" spans="2:10">
      <c r="B13" s="26" t="s">
        <v>306</v>
      </c>
      <c r="C13" s="61" t="str">
        <f t="shared" si="5"/>
        <v>12월분</v>
      </c>
      <c r="D13" s="26" t="s">
        <v>20</v>
      </c>
      <c r="E13" s="27">
        <f>SUMIFS(전체리스트!D:D,전체리스트!A:A,B13,전체리스트!C:C,D13)</f>
        <v>36000</v>
      </c>
      <c r="F13" s="28">
        <f t="shared" si="1"/>
        <v>13320</v>
      </c>
      <c r="G13" s="29">
        <f>SUMIFS(전체리스트!E:E,전체리스트!A:A,B13,전체리스트!C:C,D13)</f>
        <v>22680</v>
      </c>
      <c r="H13" s="27">
        <f t="shared" si="3"/>
        <v>1134</v>
      </c>
      <c r="I13" s="30">
        <f t="shared" si="2"/>
        <v>21546</v>
      </c>
      <c r="J13" s="26"/>
    </row>
    <row r="14" spans="2:10">
      <c r="B14" s="31" t="s">
        <v>0</v>
      </c>
      <c r="C14" s="31"/>
      <c r="D14" s="32"/>
      <c r="E14" s="33">
        <f>SUM(E6:E13)</f>
        <v>3019700</v>
      </c>
      <c r="F14" s="33">
        <f t="shared" ref="F14:J14" si="10">SUM(F6:F13)</f>
        <v>1117289</v>
      </c>
      <c r="G14" s="33">
        <f t="shared" si="10"/>
        <v>1902411</v>
      </c>
      <c r="H14" s="33">
        <f t="shared" si="10"/>
        <v>95120.549999999988</v>
      </c>
      <c r="I14" s="33">
        <f t="shared" si="10"/>
        <v>1807290.4500000002</v>
      </c>
      <c r="J14" s="33">
        <f t="shared" si="10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C2B7-A84F-4064-ABC6-5AFDF062E378}">
  <dimension ref="B4:J14"/>
  <sheetViews>
    <sheetView workbookViewId="0">
      <selection activeCell="J29" sqref="J29"/>
    </sheetView>
  </sheetViews>
  <sheetFormatPr defaultRowHeight="16.5"/>
  <cols>
    <col min="2" max="2" width="16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375</v>
      </c>
      <c r="C6" s="61" t="str">
        <f t="shared" ref="C6:C13" si="0">VLOOKUP(B6,raw_a,2,0)</f>
        <v>12월분</v>
      </c>
      <c r="D6" s="26" t="s">
        <v>77</v>
      </c>
      <c r="E6" s="27">
        <f>SUMIFS(전체리스트!D:D,전체리스트!A:A,B6,전체리스트!C:C,D6)</f>
        <v>132800</v>
      </c>
      <c r="F6" s="28">
        <f t="shared" ref="F6:F13" si="1">E6-G6</f>
        <v>49136</v>
      </c>
      <c r="G6" s="29">
        <f>SUMIFS(전체리스트!E:E,전체리스트!A:A,B6,전체리스트!C:C,D6)</f>
        <v>83664</v>
      </c>
      <c r="H6" s="27">
        <f>G6*0.05</f>
        <v>4183.2</v>
      </c>
      <c r="I6" s="30">
        <f t="shared" ref="I6:I13" si="2">G6-H6</f>
        <v>79480.800000000003</v>
      </c>
      <c r="J6" s="26"/>
    </row>
    <row r="7" spans="2:10">
      <c r="B7" s="26" t="s">
        <v>374</v>
      </c>
      <c r="C7" s="61" t="str">
        <f t="shared" ref="C7:C9" si="3">VLOOKUP(B7,raw_a,2,0)</f>
        <v>12월분</v>
      </c>
      <c r="D7" s="26" t="s">
        <v>321</v>
      </c>
      <c r="E7" s="27">
        <f>SUMIFS(전체리스트!D:D,전체리스트!A:A,B7,전체리스트!C:C,D7)</f>
        <v>21100</v>
      </c>
      <c r="F7" s="28">
        <f t="shared" ref="F7:F9" si="4">E7-G7</f>
        <v>7807</v>
      </c>
      <c r="G7" s="29">
        <f>SUMIFS(전체리스트!E:E,전체리스트!A:A,B7,전체리스트!C:C,D7)</f>
        <v>13293</v>
      </c>
      <c r="H7" s="27">
        <f t="shared" ref="H7:H9" si="5">G7*0.05</f>
        <v>664.65000000000009</v>
      </c>
      <c r="I7" s="30">
        <f t="shared" ref="I7:I9" si="6">G7-H7</f>
        <v>12628.35</v>
      </c>
      <c r="J7" s="26"/>
    </row>
    <row r="8" spans="2:10">
      <c r="B8" s="26" t="s">
        <v>374</v>
      </c>
      <c r="C8" s="61" t="str">
        <f t="shared" si="3"/>
        <v>12월분</v>
      </c>
      <c r="D8" s="26" t="s">
        <v>179</v>
      </c>
      <c r="E8" s="27">
        <f>SUMIFS(전체리스트!D:D,전체리스트!A:A,B8,전체리스트!C:C,D8)</f>
        <v>93700</v>
      </c>
      <c r="F8" s="28">
        <f t="shared" si="4"/>
        <v>34669.000000000007</v>
      </c>
      <c r="G8" s="29">
        <f>SUMIFS(전체리스트!E:E,전체리스트!A:A,B8,전체리스트!C:C,D8)</f>
        <v>59030.999999999993</v>
      </c>
      <c r="H8" s="27">
        <f t="shared" si="5"/>
        <v>2951.5499999999997</v>
      </c>
      <c r="I8" s="30">
        <f t="shared" si="6"/>
        <v>56079.44999999999</v>
      </c>
      <c r="J8" s="26"/>
    </row>
    <row r="9" spans="2:10">
      <c r="B9" s="26" t="s">
        <v>374</v>
      </c>
      <c r="C9" s="61" t="str">
        <f t="shared" si="3"/>
        <v>12월분</v>
      </c>
      <c r="D9" s="26" t="s">
        <v>180</v>
      </c>
      <c r="E9" s="27">
        <f>SUMIFS(전체리스트!D:D,전체리스트!A:A,B9,전체리스트!C:C,D9)</f>
        <v>103800</v>
      </c>
      <c r="F9" s="28">
        <f t="shared" si="4"/>
        <v>38406.000000000007</v>
      </c>
      <c r="G9" s="29">
        <f>SUMIFS(전체리스트!E:E,전체리스트!A:A,B9,전체리스트!C:C,D9)</f>
        <v>65393.999999999993</v>
      </c>
      <c r="H9" s="27">
        <f t="shared" si="5"/>
        <v>3269.7</v>
      </c>
      <c r="I9" s="30">
        <f t="shared" si="6"/>
        <v>62124.299999999996</v>
      </c>
      <c r="J9" s="26"/>
    </row>
    <row r="10" spans="2:10">
      <c r="B10" s="26" t="s">
        <v>375</v>
      </c>
      <c r="C10" s="61" t="str">
        <f t="shared" si="0"/>
        <v>12월분</v>
      </c>
      <c r="D10" s="26" t="s">
        <v>76</v>
      </c>
      <c r="E10" s="27">
        <f>SUMIFS(전체리스트!D:D,전체리스트!A:A,B10,전체리스트!C:C,D10)</f>
        <v>43200</v>
      </c>
      <c r="F10" s="28">
        <f t="shared" si="1"/>
        <v>15984</v>
      </c>
      <c r="G10" s="29">
        <f>SUMIFS(전체리스트!E:E,전체리스트!A:A,B10,전체리스트!C:C,D10)</f>
        <v>27216</v>
      </c>
      <c r="H10" s="27">
        <f t="shared" ref="H10:H13" si="7">G10*0.05</f>
        <v>1360.8000000000002</v>
      </c>
      <c r="I10" s="30">
        <f t="shared" si="2"/>
        <v>25855.200000000001</v>
      </c>
      <c r="J10" s="26"/>
    </row>
    <row r="11" spans="2:10">
      <c r="B11" s="26" t="s">
        <v>375</v>
      </c>
      <c r="C11" s="61" t="str">
        <f t="shared" si="0"/>
        <v>12월분</v>
      </c>
      <c r="D11" s="26" t="s">
        <v>66</v>
      </c>
      <c r="E11" s="27">
        <f>SUMIFS(전체리스트!D:D,전체리스트!A:A,B11,전체리스트!C:C,D11)</f>
        <v>10000</v>
      </c>
      <c r="F11" s="28">
        <f t="shared" si="1"/>
        <v>3700</v>
      </c>
      <c r="G11" s="29">
        <f>SUMIFS(전체리스트!E:E,전체리스트!A:A,B11,전체리스트!C:C,D11)</f>
        <v>6300</v>
      </c>
      <c r="H11" s="27">
        <f t="shared" si="7"/>
        <v>315</v>
      </c>
      <c r="I11" s="30">
        <f t="shared" si="2"/>
        <v>5985</v>
      </c>
      <c r="J11" s="26"/>
    </row>
    <row r="12" spans="2:10">
      <c r="B12" s="26" t="s">
        <v>375</v>
      </c>
      <c r="C12" s="61" t="str">
        <f t="shared" si="0"/>
        <v>12월분</v>
      </c>
      <c r="D12" s="26" t="s">
        <v>20</v>
      </c>
      <c r="E12" s="27">
        <f>SUMIFS(전체리스트!D:D,전체리스트!A:A,B12,전체리스트!C:C,D12)</f>
        <v>38100</v>
      </c>
      <c r="F12" s="28">
        <f t="shared" si="1"/>
        <v>14097</v>
      </c>
      <c r="G12" s="29">
        <f>SUMIFS(전체리스트!E:E,전체리스트!A:A,B12,전체리스트!C:C,D12)</f>
        <v>24003</v>
      </c>
      <c r="H12" s="27">
        <f t="shared" si="7"/>
        <v>1200.1500000000001</v>
      </c>
      <c r="I12" s="30">
        <f t="shared" si="2"/>
        <v>22802.85</v>
      </c>
      <c r="J12" s="26"/>
    </row>
    <row r="13" spans="2:10">
      <c r="B13" s="26" t="s">
        <v>375</v>
      </c>
      <c r="C13" s="61" t="str">
        <f t="shared" si="0"/>
        <v>12월분</v>
      </c>
      <c r="D13" s="26" t="s">
        <v>74</v>
      </c>
      <c r="E13" s="27">
        <f>SUMIFS(전체리스트!D:D,전체리스트!A:A,B13,전체리스트!C:C,D13)</f>
        <v>300</v>
      </c>
      <c r="F13" s="28">
        <f t="shared" si="1"/>
        <v>111</v>
      </c>
      <c r="G13" s="29">
        <f>SUMIFS(전체리스트!E:E,전체리스트!A:A,B13,전체리스트!C:C,D13)</f>
        <v>189</v>
      </c>
      <c r="H13" s="27">
        <f t="shared" si="7"/>
        <v>9.4500000000000011</v>
      </c>
      <c r="I13" s="30">
        <f t="shared" si="2"/>
        <v>179.55</v>
      </c>
      <c r="J13" s="26"/>
    </row>
    <row r="14" spans="2:10">
      <c r="B14" s="31" t="s">
        <v>0</v>
      </c>
      <c r="C14" s="31"/>
      <c r="D14" s="32"/>
      <c r="E14" s="33">
        <f t="shared" ref="E14:J14" si="8">SUM(E6:E13)</f>
        <v>443000</v>
      </c>
      <c r="F14" s="33">
        <f t="shared" si="8"/>
        <v>163910</v>
      </c>
      <c r="G14" s="33">
        <f t="shared" si="8"/>
        <v>279090</v>
      </c>
      <c r="H14" s="33">
        <f t="shared" si="8"/>
        <v>13954.499999999998</v>
      </c>
      <c r="I14" s="33">
        <f t="shared" si="8"/>
        <v>265135.5</v>
      </c>
      <c r="J14" s="33">
        <f t="shared" si="8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CCB1-A512-4CC2-92C6-D1ABA03765B8}">
  <dimension ref="B4:J8"/>
  <sheetViews>
    <sheetView workbookViewId="0">
      <selection activeCell="D17" sqref="D17"/>
    </sheetView>
  </sheetViews>
  <sheetFormatPr defaultRowHeight="16.5"/>
  <cols>
    <col min="2" max="2" width="16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403</v>
      </c>
      <c r="C6" s="61" t="str">
        <f t="shared" ref="C6:C7" si="0">VLOOKUP(B6,raw_a,2,0)</f>
        <v>8~12월분</v>
      </c>
      <c r="D6" s="26" t="s">
        <v>21</v>
      </c>
      <c r="E6" s="27">
        <f>SUMIFS(전체리스트!D:D,전체리스트!A:A,B6,전체리스트!C:C,D6)</f>
        <v>152.71</v>
      </c>
      <c r="F6" s="28"/>
      <c r="G6" s="29">
        <f>SUMIFS(전체리스트!E:E,전체리스트!A:A,B6,전체리스트!C:C,D6)</f>
        <v>181358.39600000001</v>
      </c>
      <c r="H6" s="27">
        <f>G6*0.05</f>
        <v>9067.9198000000015</v>
      </c>
      <c r="I6" s="30">
        <f t="shared" ref="I6:I7" si="1">G6-H6</f>
        <v>172290.4762</v>
      </c>
      <c r="J6" s="26"/>
    </row>
    <row r="7" spans="2:10">
      <c r="B7" s="26" t="s">
        <v>403</v>
      </c>
      <c r="C7" s="61" t="str">
        <f t="shared" si="0"/>
        <v>8~12월분</v>
      </c>
      <c r="D7" s="26" t="s">
        <v>87</v>
      </c>
      <c r="E7" s="27">
        <f>SUMIFS(전체리스트!D:D,전체리스트!A:A,B7,전체리스트!C:C,D7)</f>
        <v>17.149999999999999</v>
      </c>
      <c r="F7" s="28"/>
      <c r="G7" s="29">
        <f>SUMIFS(전체리스트!E:E,전체리스트!A:A,B7,전체리스트!C:C,D7)</f>
        <v>20367.339999999997</v>
      </c>
      <c r="H7" s="27">
        <f t="shared" ref="H7" si="2">G7*0.05</f>
        <v>1018.3669999999998</v>
      </c>
      <c r="I7" s="30">
        <f t="shared" si="1"/>
        <v>19348.972999999998</v>
      </c>
      <c r="J7" s="26"/>
    </row>
    <row r="8" spans="2:10">
      <c r="B8" s="31" t="s">
        <v>0</v>
      </c>
      <c r="C8" s="31"/>
      <c r="D8" s="32"/>
      <c r="E8" s="33">
        <f t="shared" ref="E8:J8" si="3">SUM(E6:E7)</f>
        <v>169.86</v>
      </c>
      <c r="F8" s="33">
        <f t="shared" si="3"/>
        <v>0</v>
      </c>
      <c r="G8" s="33">
        <f t="shared" si="3"/>
        <v>201725.736</v>
      </c>
      <c r="H8" s="33">
        <f t="shared" si="3"/>
        <v>10086.286800000002</v>
      </c>
      <c r="I8" s="33">
        <f t="shared" si="3"/>
        <v>191639.4492</v>
      </c>
      <c r="J8" s="33">
        <f t="shared" si="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74CF-ED04-45F1-AF3D-1D1526609E72}">
  <dimension ref="B4:J10"/>
  <sheetViews>
    <sheetView workbookViewId="0">
      <selection activeCell="H21" sqref="H21"/>
    </sheetView>
  </sheetViews>
  <sheetFormatPr defaultRowHeight="16.5"/>
  <cols>
    <col min="2" max="2" width="16.875" customWidth="1"/>
    <col min="3" max="3" width="11.375" customWidth="1"/>
    <col min="4" max="4" width="35.25" bestFit="1" customWidth="1"/>
    <col min="5" max="5" width="12.125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25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408</v>
      </c>
      <c r="C6" s="61" t="str">
        <f t="shared" ref="C6:C7" si="0">VLOOKUP(B6,raw_a,2,0)</f>
        <v>11~12월분</v>
      </c>
      <c r="D6" s="26" t="s">
        <v>410</v>
      </c>
      <c r="E6" s="35">
        <f>SUMIFS(전체리스트!D:D,전체리스트!A:A,B6,전체리스트!C:C,D6)</f>
        <v>79.993499999999869</v>
      </c>
      <c r="F6" s="28"/>
      <c r="G6" s="29">
        <f>SUMIFS(전체리스트!E:E,전체리스트!A:A,B6,전체리스트!C:C,D6)</f>
        <v>95336.253299999837</v>
      </c>
      <c r="H6" s="27">
        <f>G6*0.05</f>
        <v>4766.8126649999922</v>
      </c>
      <c r="I6" s="30">
        <f t="shared" ref="I6:I7" si="1">G6-H6</f>
        <v>90569.440634999846</v>
      </c>
      <c r="J6" s="26"/>
    </row>
    <row r="7" spans="2:10">
      <c r="B7" s="26" t="s">
        <v>408</v>
      </c>
      <c r="C7" s="61" t="str">
        <f t="shared" si="0"/>
        <v>11~12월분</v>
      </c>
      <c r="D7" s="26" t="s">
        <v>411</v>
      </c>
      <c r="E7" s="35">
        <f>SUMIFS(전체리스트!D:D,전체리스트!A:A,B7,전체리스트!C:C,D7)</f>
        <v>20.093000000000004</v>
      </c>
      <c r="F7" s="28"/>
      <c r="G7" s="29">
        <f>SUMIFS(전체리스트!E:E,전체리스트!A:A,B7,전체리스트!C:C,D7)</f>
        <v>23946.837400000004</v>
      </c>
      <c r="H7" s="27">
        <f t="shared" ref="H7" si="2">G7*0.05</f>
        <v>1197.3418700000002</v>
      </c>
      <c r="I7" s="30">
        <f t="shared" si="1"/>
        <v>22749.495530000004</v>
      </c>
      <c r="J7" s="26"/>
    </row>
    <row r="8" spans="2:10">
      <c r="B8" s="26" t="s">
        <v>408</v>
      </c>
      <c r="C8" s="61" t="str">
        <f t="shared" ref="C8:C9" si="3">VLOOKUP(B8,raw_a,2,0)</f>
        <v>11~12월분</v>
      </c>
      <c r="D8" s="26" t="s">
        <v>21</v>
      </c>
      <c r="E8" s="35">
        <f>SUMIFS(전체리스트!D:D,전체리스트!A:A,B8,전체리스트!C:C,D8)</f>
        <v>49.473000000000013</v>
      </c>
      <c r="F8" s="28"/>
      <c r="G8" s="29">
        <f>SUMIFS(전체리스트!E:E,전체리스트!A:A,B8,전체리스트!C:C,D8)</f>
        <v>58961.921400000014</v>
      </c>
      <c r="H8" s="27">
        <f>G8*0.05</f>
        <v>2948.096070000001</v>
      </c>
      <c r="I8" s="30">
        <f t="shared" ref="I8:I9" si="4">G8-H8</f>
        <v>56013.825330000014</v>
      </c>
      <c r="J8" s="26"/>
    </row>
    <row r="9" spans="2:10">
      <c r="B9" s="26" t="s">
        <v>408</v>
      </c>
      <c r="C9" s="61" t="str">
        <f t="shared" si="3"/>
        <v>11~12월분</v>
      </c>
      <c r="D9" s="26" t="s">
        <v>20</v>
      </c>
      <c r="E9" s="35">
        <f>SUMIFS(전체리스트!D:D,전체리스트!A:A,B9,전체리스트!C:C,D9)</f>
        <v>261.42449999999968</v>
      </c>
      <c r="F9" s="28"/>
      <c r="G9" s="29">
        <f>SUMIFS(전체리스트!E:E,전체리스트!A:A,B9,전체리스트!C:C,D9)</f>
        <v>311565.71909999964</v>
      </c>
      <c r="H9" s="27">
        <f t="shared" ref="H9" si="5">G9*0.05</f>
        <v>15578.285954999983</v>
      </c>
      <c r="I9" s="30">
        <f t="shared" si="4"/>
        <v>295987.43314499967</v>
      </c>
      <c r="J9" s="26"/>
    </row>
    <row r="10" spans="2:10">
      <c r="B10" s="31" t="s">
        <v>0</v>
      </c>
      <c r="C10" s="31"/>
      <c r="D10" s="32"/>
      <c r="E10" s="33">
        <f>SUM(E6:E9)</f>
        <v>410.98399999999958</v>
      </c>
      <c r="F10" s="33">
        <f t="shared" ref="F10:J10" si="6">SUM(F6:F9)</f>
        <v>0</v>
      </c>
      <c r="G10" s="33">
        <f t="shared" si="6"/>
        <v>489810.73119999946</v>
      </c>
      <c r="H10" s="33">
        <f t="shared" si="6"/>
        <v>24490.536559999979</v>
      </c>
      <c r="I10" s="33">
        <f t="shared" si="6"/>
        <v>465320.19463999954</v>
      </c>
      <c r="J10" s="33">
        <f t="shared" si="6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0909-652E-48C8-A117-87B78A7B6BE8}">
  <dimension ref="B4:J9"/>
  <sheetViews>
    <sheetView workbookViewId="0">
      <selection activeCell="D21" sqref="D21"/>
    </sheetView>
  </sheetViews>
  <sheetFormatPr defaultRowHeight="16.5"/>
  <cols>
    <col min="2" max="2" width="16.875" customWidth="1"/>
    <col min="3" max="3" width="11.375" customWidth="1"/>
    <col min="4" max="4" width="35.25" bestFit="1" customWidth="1"/>
    <col min="5" max="5" width="12.125" style="73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124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438</v>
      </c>
      <c r="C6" s="61" t="str">
        <f t="shared" ref="C6:C8" si="0">VLOOKUP(B6,raw_a,2,0)</f>
        <v>1월분</v>
      </c>
      <c r="D6" s="26" t="s">
        <v>66</v>
      </c>
      <c r="E6" s="44">
        <f>SUMIFS(전체리스트!D:D,전체리스트!A:A,B6,전체리스트!C:C,D6)</f>
        <v>48400</v>
      </c>
      <c r="F6" s="28"/>
      <c r="G6" s="29">
        <f>SUMIFS(전체리스트!E:E,전체리스트!A:A,B6,전체리스트!C:C,D6)</f>
        <v>33880</v>
      </c>
      <c r="H6" s="27">
        <f>G6*0.05</f>
        <v>1694</v>
      </c>
      <c r="I6" s="30">
        <f t="shared" ref="I6:I8" si="1">G6-H6</f>
        <v>32186</v>
      </c>
      <c r="J6" s="26"/>
    </row>
    <row r="7" spans="2:10">
      <c r="B7" s="26" t="s">
        <v>438</v>
      </c>
      <c r="C7" s="61" t="str">
        <f t="shared" si="0"/>
        <v>1월분</v>
      </c>
      <c r="D7" s="26" t="s">
        <v>76</v>
      </c>
      <c r="E7" s="44">
        <f>SUMIFS(전체리스트!D:D,전체리스트!A:A,B7,전체리스트!C:C,D7)</f>
        <v>40900</v>
      </c>
      <c r="F7" s="28"/>
      <c r="G7" s="29">
        <f>SUMIFS(전체리스트!E:E,전체리스트!A:A,B7,전체리스트!C:C,D7)</f>
        <v>28630</v>
      </c>
      <c r="H7" s="27">
        <f t="shared" ref="H7" si="2">G7*0.05</f>
        <v>1431.5</v>
      </c>
      <c r="I7" s="30">
        <f t="shared" si="1"/>
        <v>27198.5</v>
      </c>
      <c r="J7" s="26"/>
    </row>
    <row r="8" spans="2:10">
      <c r="B8" s="26" t="s">
        <v>438</v>
      </c>
      <c r="C8" s="61" t="str">
        <f t="shared" si="0"/>
        <v>1월분</v>
      </c>
      <c r="D8" s="26" t="s">
        <v>77</v>
      </c>
      <c r="E8" s="44">
        <f>SUMIFS(전체리스트!D:D,전체리스트!A:A,B8,전체리스트!C:C,D8)</f>
        <v>24800</v>
      </c>
      <c r="F8" s="28"/>
      <c r="G8" s="29">
        <f>SUMIFS(전체리스트!E:E,전체리스트!A:A,B8,전체리스트!C:C,D8)</f>
        <v>17360</v>
      </c>
      <c r="H8" s="27">
        <f>G8*0.05</f>
        <v>868</v>
      </c>
      <c r="I8" s="30">
        <f t="shared" si="1"/>
        <v>16492</v>
      </c>
      <c r="J8" s="26"/>
    </row>
    <row r="9" spans="2:10">
      <c r="B9" s="31" t="s">
        <v>0</v>
      </c>
      <c r="C9" s="31"/>
      <c r="D9" s="32"/>
      <c r="E9" s="112">
        <f t="shared" ref="E9:J9" si="3">SUM(E6:E8)</f>
        <v>114100</v>
      </c>
      <c r="F9" s="33">
        <f t="shared" si="3"/>
        <v>0</v>
      </c>
      <c r="G9" s="33">
        <f t="shared" si="3"/>
        <v>79870</v>
      </c>
      <c r="H9" s="33">
        <f t="shared" si="3"/>
        <v>3993.5</v>
      </c>
      <c r="I9" s="33">
        <f t="shared" si="3"/>
        <v>75876.5</v>
      </c>
      <c r="J9" s="33">
        <f t="shared" si="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0554-86C9-45BC-84F0-54F320271B4B}">
  <dimension ref="B4:J9"/>
  <sheetViews>
    <sheetView workbookViewId="0">
      <selection activeCell="L32" sqref="L32"/>
    </sheetView>
  </sheetViews>
  <sheetFormatPr defaultRowHeight="16.5"/>
  <cols>
    <col min="2" max="2" width="16.875" customWidth="1"/>
    <col min="3" max="3" width="11.375" customWidth="1"/>
    <col min="4" max="4" width="35.25" bestFit="1" customWidth="1"/>
    <col min="5" max="5" width="12.125" style="73" bestFit="1" customWidth="1"/>
    <col min="6" max="6" width="11.375" bestFit="1" customWidth="1"/>
    <col min="7" max="7" width="15" bestFit="1" customWidth="1"/>
    <col min="8" max="8" width="11.625" bestFit="1" customWidth="1"/>
    <col min="9" max="9" width="12.125" bestFit="1" customWidth="1"/>
    <col min="10" max="10" width="12" customWidth="1"/>
  </cols>
  <sheetData>
    <row r="4" spans="2:10">
      <c r="B4" s="34" t="s">
        <v>42</v>
      </c>
      <c r="C4" s="34"/>
    </row>
    <row r="5" spans="2:10">
      <c r="B5" s="25" t="s">
        <v>12</v>
      </c>
      <c r="C5" s="25" t="s">
        <v>16</v>
      </c>
      <c r="D5" s="25" t="s">
        <v>13</v>
      </c>
      <c r="E5" s="124" t="s">
        <v>14</v>
      </c>
      <c r="F5" s="25" t="s">
        <v>15</v>
      </c>
      <c r="G5" s="25" t="s">
        <v>311</v>
      </c>
      <c r="H5" s="25" t="s">
        <v>184</v>
      </c>
      <c r="I5" s="25" t="s">
        <v>9</v>
      </c>
      <c r="J5" s="25" t="s">
        <v>24</v>
      </c>
    </row>
    <row r="6" spans="2:10">
      <c r="B6" s="26" t="s">
        <v>440</v>
      </c>
      <c r="C6" s="61" t="str">
        <f t="shared" ref="C6:C8" si="0">VLOOKUP(B6,raw_a,2,0)</f>
        <v>1월분</v>
      </c>
      <c r="D6" s="26" t="s">
        <v>66</v>
      </c>
      <c r="E6" s="44">
        <f>SUMIFS(전체리스트!D:D,전체리스트!A:A,B6,전체리스트!C:C,D6)</f>
        <v>122000</v>
      </c>
      <c r="F6" s="28"/>
      <c r="G6" s="29">
        <f>SUMIFS(전체리스트!E:E,전체리스트!A:A,B6,전체리스트!C:C,D6)</f>
        <v>85400</v>
      </c>
      <c r="H6" s="27">
        <f>G6*0.05</f>
        <v>4270</v>
      </c>
      <c r="I6" s="30">
        <f t="shared" ref="I6:I8" si="1">G6-H6</f>
        <v>81130</v>
      </c>
      <c r="J6" s="26"/>
    </row>
    <row r="7" spans="2:10">
      <c r="B7" s="26" t="s">
        <v>440</v>
      </c>
      <c r="C7" s="61" t="str">
        <f t="shared" si="0"/>
        <v>1월분</v>
      </c>
      <c r="D7" s="26" t="s">
        <v>76</v>
      </c>
      <c r="E7" s="44">
        <f>SUMIFS(전체리스트!D:D,전체리스트!A:A,B7,전체리스트!C:C,D7)</f>
        <v>209900</v>
      </c>
      <c r="F7" s="28"/>
      <c r="G7" s="29">
        <f>SUMIFS(전체리스트!E:E,전체리스트!A:A,B7,전체리스트!C:C,D7)</f>
        <v>146930</v>
      </c>
      <c r="H7" s="27">
        <f t="shared" ref="H7" si="2">G7*0.05</f>
        <v>7346.5</v>
      </c>
      <c r="I7" s="30">
        <f t="shared" si="1"/>
        <v>139583.5</v>
      </c>
      <c r="J7" s="26"/>
    </row>
    <row r="8" spans="2:10">
      <c r="B8" s="26" t="s">
        <v>440</v>
      </c>
      <c r="C8" s="61" t="str">
        <f t="shared" si="0"/>
        <v>1월분</v>
      </c>
      <c r="D8" s="26" t="s">
        <v>77</v>
      </c>
      <c r="E8" s="44">
        <f>SUMIFS(전체리스트!D:D,전체리스트!A:A,B8,전체리스트!C:C,D8)</f>
        <v>251200</v>
      </c>
      <c r="F8" s="28"/>
      <c r="G8" s="29">
        <f>SUMIFS(전체리스트!E:E,전체리스트!A:A,B8,전체리스트!C:C,D8)</f>
        <v>175840</v>
      </c>
      <c r="H8" s="27">
        <f>G8*0.05</f>
        <v>8792</v>
      </c>
      <c r="I8" s="30">
        <f t="shared" si="1"/>
        <v>167048</v>
      </c>
      <c r="J8" s="26"/>
    </row>
    <row r="9" spans="2:10">
      <c r="B9" s="31" t="s">
        <v>0</v>
      </c>
      <c r="C9" s="31"/>
      <c r="D9" s="32"/>
      <c r="E9" s="112">
        <f t="shared" ref="E9:J9" si="3">SUM(E6:E8)</f>
        <v>583100</v>
      </c>
      <c r="F9" s="33">
        <f t="shared" si="3"/>
        <v>0</v>
      </c>
      <c r="G9" s="33">
        <f t="shared" si="3"/>
        <v>408170</v>
      </c>
      <c r="H9" s="33">
        <f t="shared" si="3"/>
        <v>20408.5</v>
      </c>
      <c r="I9" s="33">
        <f t="shared" si="3"/>
        <v>387761.5</v>
      </c>
      <c r="J9" s="33">
        <f t="shared" si="3"/>
        <v>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4:E9"/>
  <sheetViews>
    <sheetView workbookViewId="0">
      <selection activeCell="F34" sqref="F34"/>
    </sheetView>
  </sheetViews>
  <sheetFormatPr defaultRowHeight="14.25" customHeight="1"/>
  <cols>
    <col min="1" max="1" width="9.625" customWidth="1"/>
    <col min="2" max="2" width="19.625" customWidth="1"/>
    <col min="3" max="3" width="67.75" customWidth="1"/>
    <col min="4" max="4" width="25.75" bestFit="1" customWidth="1"/>
  </cols>
  <sheetData>
    <row r="4" spans="1:5" ht="14.25" customHeight="1">
      <c r="B4" s="78" t="s">
        <v>212</v>
      </c>
      <c r="C4" s="1"/>
    </row>
    <row r="5" spans="1:5" ht="14.25" customHeight="1">
      <c r="B5" s="79" t="s">
        <v>47</v>
      </c>
      <c r="C5" s="79" t="s">
        <v>48</v>
      </c>
      <c r="D5" s="79" t="s">
        <v>49</v>
      </c>
      <c r="E5" s="79" t="s">
        <v>50</v>
      </c>
    </row>
    <row r="6" spans="1:5" ht="14.25" customHeight="1">
      <c r="A6" s="34"/>
      <c r="B6" s="80" t="s">
        <v>213</v>
      </c>
      <c r="C6" s="80" t="s">
        <v>214</v>
      </c>
      <c r="D6" s="80" t="s">
        <v>51</v>
      </c>
      <c r="E6" s="81"/>
    </row>
    <row r="7" spans="1:5" ht="14.25" customHeight="1">
      <c r="A7" s="34"/>
      <c r="B7" s="80" t="s">
        <v>215</v>
      </c>
      <c r="C7" s="80" t="s">
        <v>216</v>
      </c>
      <c r="D7" s="80" t="s">
        <v>52</v>
      </c>
      <c r="E7" s="80" t="s">
        <v>217</v>
      </c>
    </row>
    <row r="8" spans="1:5" ht="14.25" customHeight="1">
      <c r="A8" s="34"/>
      <c r="B8" s="82" t="s">
        <v>213</v>
      </c>
      <c r="C8" s="80" t="s">
        <v>218</v>
      </c>
      <c r="D8" s="80" t="s">
        <v>52</v>
      </c>
      <c r="E8" s="80" t="s">
        <v>219</v>
      </c>
    </row>
    <row r="9" spans="1:5" ht="14.25" customHeight="1">
      <c r="B9" s="80" t="s">
        <v>213</v>
      </c>
      <c r="C9" s="80" t="s">
        <v>220</v>
      </c>
      <c r="D9" s="80" t="s">
        <v>221</v>
      </c>
      <c r="E9" s="80" t="s">
        <v>222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44</vt:i4>
      </vt:variant>
      <vt:variant>
        <vt:lpstr>이름 지정된 범위</vt:lpstr>
      </vt:variant>
      <vt:variant>
        <vt:i4>2</vt:i4>
      </vt:variant>
    </vt:vector>
  </HeadingPairs>
  <TitlesOfParts>
    <vt:vector size="46" baseType="lpstr">
      <vt:lpstr>전체리스트</vt:lpstr>
      <vt:lpstr>합계</vt:lpstr>
      <vt:lpstr>카카오페이지</vt:lpstr>
      <vt:lpstr>카카오타파스</vt:lpstr>
      <vt:lpstr>네이버웹툰</vt:lpstr>
      <vt:lpstr>콰이칸_중국</vt:lpstr>
      <vt:lpstr>kt_alpha</vt:lpstr>
      <vt:lpstr>레진코믹스</vt:lpstr>
      <vt:lpstr>북큐브</vt:lpstr>
      <vt:lpstr>탑툰</vt:lpstr>
      <vt:lpstr>봄툰</vt:lpstr>
      <vt:lpstr>애니툰</vt:lpstr>
      <vt:lpstr>코미코_한국</vt:lpstr>
      <vt:lpstr>포켓코믹스</vt:lpstr>
      <vt:lpstr>리디북스</vt:lpstr>
      <vt:lpstr>조아라</vt:lpstr>
      <vt:lpstr>위코믹스_태국</vt:lpstr>
      <vt:lpstr>태피툰_영어</vt:lpstr>
      <vt:lpstr>델리툰</vt:lpstr>
      <vt:lpstr>픽코마_일본</vt:lpstr>
      <vt:lpstr>픽코마_동영상</vt:lpstr>
      <vt:lpstr>네오바자르_인도네시아</vt:lpstr>
      <vt:lpstr>코미코_태국</vt:lpstr>
      <vt:lpstr>코미코_일본_대만</vt:lpstr>
      <vt:lpstr>미스터블루</vt:lpstr>
      <vt:lpstr>원스토어</vt:lpstr>
      <vt:lpstr>피너툰</vt:lpstr>
      <vt:lpstr>투믹스</vt:lpstr>
      <vt:lpstr>빌리빌리</vt:lpstr>
      <vt:lpstr>INKR</vt:lpstr>
      <vt:lpstr>타파스</vt:lpstr>
      <vt:lpstr>코믹툰</vt:lpstr>
      <vt:lpstr>코핀코믹스</vt:lpstr>
      <vt:lpstr>예스24</vt:lpstr>
      <vt:lpstr>핑거스토리_큐툰</vt:lpstr>
      <vt:lpstr>핑거스토리_무툰</vt:lpstr>
      <vt:lpstr>북팔</vt:lpstr>
      <vt:lpstr>엠유네트웍스</vt:lpstr>
      <vt:lpstr>엠피언</vt:lpstr>
      <vt:lpstr>망가툰</vt:lpstr>
      <vt:lpstr>웹코믹스</vt:lpstr>
      <vt:lpstr>교보문고</vt:lpstr>
      <vt:lpstr>톡소다</vt:lpstr>
      <vt:lpstr>process</vt:lpstr>
      <vt:lpstr>raw_a</vt:lpstr>
      <vt:lpstr>raw_d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김세은</dc:creator>
  <cp:lastModifiedBy>스토리숲 이정남</cp:lastModifiedBy>
  <cp:revision>4</cp:revision>
  <cp:lastPrinted>2021-06-08T06:09:30Z</cp:lastPrinted>
  <dcterms:created xsi:type="dcterms:W3CDTF">2016-04-01T02:45:57Z</dcterms:created>
  <dcterms:modified xsi:type="dcterms:W3CDTF">2022-02-09T09:18:46Z</dcterms:modified>
  <cp:version>0906.0100.01</cp:version>
</cp:coreProperties>
</file>