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0" yWindow="0" windowWidth="23040" windowHeight="8952" tabRatio="824"/>
  </bookViews>
  <sheets>
    <sheet name="합계" sheetId="1" r:id="rId1"/>
    <sheet name="계정정보" sheetId="2" r:id="rId2"/>
    <sheet name="카카오페이지1" sheetId="3" r:id="rId3"/>
    <sheet name="카카오페이지2" sheetId="25" r:id="rId4"/>
    <sheet name="네이버웹툰1" sheetId="4" r:id="rId5"/>
    <sheet name="네이버웹툰2" sheetId="5" r:id="rId6"/>
    <sheet name="테크앤조이" sheetId="36" r:id="rId7"/>
    <sheet name="테크앤조이정산서" sheetId="37" r:id="rId8"/>
    <sheet name="키다리스튜디오" sheetId="34" r:id="rId9"/>
    <sheet name="키다리스튜디오정산서" sheetId="35" r:id="rId10"/>
    <sheet name="탑툰" sheetId="38" r:id="rId11"/>
    <sheet name="탑툰정산서" sheetId="40" r:id="rId1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1" l="1"/>
  <c r="D19" i="1"/>
  <c r="N57" i="40" l="1"/>
  <c r="D11" i="1" l="1"/>
  <c r="G11" i="1"/>
  <c r="F11" i="1"/>
  <c r="E11" i="1"/>
  <c r="C11" i="1"/>
  <c r="F3" i="38"/>
  <c r="F4" i="38" l="1"/>
  <c r="H5" i="38" s="1"/>
  <c r="H3" i="38"/>
  <c r="H4" i="38" s="1"/>
  <c r="G3" i="38"/>
  <c r="G4" i="38" s="1"/>
  <c r="E4" i="38"/>
  <c r="D3" i="34"/>
  <c r="D4" i="38" l="1"/>
  <c r="G5" i="38"/>
  <c r="E6" i="25"/>
  <c r="F6" i="25"/>
  <c r="G6" i="25"/>
  <c r="H6" i="25"/>
  <c r="D6" i="25"/>
  <c r="E5" i="25"/>
  <c r="G5" i="25"/>
  <c r="H5" i="25"/>
  <c r="D3" i="36" l="1"/>
  <c r="E15" i="5" l="1"/>
  <c r="G15" i="5"/>
  <c r="H15" i="5"/>
  <c r="F5" i="3"/>
  <c r="H5" i="3" s="1"/>
  <c r="F4" i="3"/>
  <c r="G4" i="3" s="1"/>
  <c r="F4" i="4"/>
  <c r="H4" i="4" s="1"/>
  <c r="D20" i="5"/>
  <c r="E5" i="4"/>
  <c r="G4" i="4" l="1"/>
  <c r="G5" i="3"/>
  <c r="H4" i="3"/>
  <c r="D5" i="4"/>
  <c r="F3" i="4"/>
  <c r="H3" i="4" l="1"/>
  <c r="F5" i="4"/>
  <c r="G3" i="4"/>
  <c r="G5" i="4" s="1"/>
  <c r="H5" i="4" l="1"/>
  <c r="F4" i="34"/>
  <c r="D4" i="34"/>
  <c r="F4" i="36"/>
  <c r="D4" i="36"/>
  <c r="E9" i="5" l="1"/>
  <c r="G9" i="5"/>
  <c r="H9" i="5"/>
  <c r="AD30" i="25"/>
  <c r="D3" i="25" s="1"/>
  <c r="AD20" i="25"/>
  <c r="D4" i="25" s="1"/>
  <c r="E16" i="5" l="1"/>
  <c r="G16" i="5"/>
  <c r="H16" i="5"/>
  <c r="E17" i="5"/>
  <c r="G17" i="5"/>
  <c r="H17" i="5"/>
  <c r="E6" i="1"/>
  <c r="G3" i="25"/>
  <c r="G4" i="25"/>
  <c r="H3" i="25"/>
  <c r="H4" i="25"/>
  <c r="F4" i="5"/>
  <c r="G4" i="5" s="1"/>
  <c r="F5" i="5"/>
  <c r="G5" i="5" s="1"/>
  <c r="F3" i="5"/>
  <c r="F3" i="3"/>
  <c r="H3" i="3" s="1"/>
  <c r="F6" i="3"/>
  <c r="H6" i="3" s="1"/>
  <c r="E7" i="3"/>
  <c r="D5" i="1" s="1"/>
  <c r="D7" i="3"/>
  <c r="C5" i="1" s="1"/>
  <c r="D7" i="1"/>
  <c r="C7" i="1"/>
  <c r="K50" i="1"/>
  <c r="K11" i="1"/>
  <c r="K24" i="1"/>
  <c r="K37" i="1"/>
  <c r="G5" i="36"/>
  <c r="C9" i="1"/>
  <c r="E8" i="5"/>
  <c r="E18" i="5"/>
  <c r="E19" i="5"/>
  <c r="E13" i="5"/>
  <c r="E10" i="5"/>
  <c r="E11" i="5"/>
  <c r="E6" i="5"/>
  <c r="E7" i="5"/>
  <c r="E14" i="5"/>
  <c r="E12" i="5"/>
  <c r="G8" i="5"/>
  <c r="H8" i="5"/>
  <c r="C8" i="1"/>
  <c r="G18" i="5"/>
  <c r="H18" i="5"/>
  <c r="G6" i="37"/>
  <c r="D9" i="37"/>
  <c r="C9" i="37"/>
  <c r="H3" i="36"/>
  <c r="G3" i="36"/>
  <c r="E3" i="36"/>
  <c r="H5" i="36"/>
  <c r="C10" i="1"/>
  <c r="G10" i="5"/>
  <c r="H10" i="5"/>
  <c r="G11" i="5"/>
  <c r="H11" i="5"/>
  <c r="G6" i="5"/>
  <c r="H6" i="5"/>
  <c r="G5" i="34"/>
  <c r="G7" i="5"/>
  <c r="H7" i="5"/>
  <c r="H13" i="5"/>
  <c r="H12" i="5"/>
  <c r="G12" i="5"/>
  <c r="G13" i="5"/>
  <c r="E3" i="34"/>
  <c r="G14" i="5"/>
  <c r="G19" i="5"/>
  <c r="G3" i="34"/>
  <c r="G4" i="34" s="1"/>
  <c r="F10" i="1" s="1"/>
  <c r="H14" i="5"/>
  <c r="H19" i="5"/>
  <c r="H3" i="34"/>
  <c r="G3" i="5" l="1"/>
  <c r="G20" i="5" s="1"/>
  <c r="F8" i="1" s="1"/>
  <c r="F20" i="5"/>
  <c r="H21" i="5" s="1"/>
  <c r="E20" i="5"/>
  <c r="D8" i="1" s="1"/>
  <c r="E4" i="34"/>
  <c r="D10" i="1" s="1"/>
  <c r="H4" i="34"/>
  <c r="G10" i="1" s="1"/>
  <c r="H4" i="5"/>
  <c r="G3" i="3"/>
  <c r="G6" i="3"/>
  <c r="G7" i="3" s="1"/>
  <c r="F5" i="1" s="1"/>
  <c r="H5" i="34"/>
  <c r="E10" i="1"/>
  <c r="H4" i="36"/>
  <c r="G9" i="1" s="1"/>
  <c r="G4" i="36"/>
  <c r="F9" i="1" s="1"/>
  <c r="E4" i="36"/>
  <c r="D9" i="1" s="1"/>
  <c r="E9" i="1"/>
  <c r="H5" i="5"/>
  <c r="H3" i="5"/>
  <c r="H6" i="4"/>
  <c r="E4" i="25"/>
  <c r="F6" i="1"/>
  <c r="G6" i="1"/>
  <c r="F7" i="3"/>
  <c r="G8" i="3" s="1"/>
  <c r="H7" i="3"/>
  <c r="G5" i="1" s="1"/>
  <c r="F7" i="1"/>
  <c r="C6" i="1"/>
  <c r="C12" i="1" s="1"/>
  <c r="E3" i="25"/>
  <c r="G7" i="25"/>
  <c r="H7" i="25"/>
  <c r="F12" i="1" l="1"/>
  <c r="K51" i="1" s="1"/>
  <c r="K53" i="1" s="1"/>
  <c r="K54" i="1" s="1"/>
  <c r="H20" i="5"/>
  <c r="G8" i="1" s="1"/>
  <c r="E5" i="1"/>
  <c r="H8" i="3"/>
  <c r="G7" i="1"/>
  <c r="G6" i="4"/>
  <c r="E7" i="1"/>
  <c r="G21" i="5"/>
  <c r="E8" i="1"/>
  <c r="D6" i="1"/>
  <c r="D12" i="1" s="1"/>
  <c r="G12" i="1" l="1"/>
  <c r="E12" i="1"/>
  <c r="F13" i="1"/>
  <c r="G13" i="1" l="1"/>
</calcChain>
</file>

<file path=xl/comments1.xml><?xml version="1.0" encoding="utf-8"?>
<comments xmlns="http://schemas.openxmlformats.org/spreadsheetml/2006/main">
  <authors>
    <author>Windows 사용자</author>
  </authors>
  <commentList>
    <comment ref="B5" authorId="0" shapeId="0">
      <text>
        <r>
          <rPr>
            <sz val="10"/>
            <color indexed="8"/>
            <rFont val="맑은 고딕"/>
            <family val="3"/>
          </rPr>
          <t>※ 작성 방법 안내
각 채널 별 합계 데이터 정리표입니다.
(기 기입되어 있는 플랫폼 사이트 명은 작성 예시입니다. 
귀사 유통 채널에 맞춰서 작성하시고 초과된 행은 삭제하시면 됩니다.)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F2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<sst xmlns="http://schemas.openxmlformats.org/spreadsheetml/2006/main" count="1215" uniqueCount="379">
  <si>
    <t>사이트명</t>
  </si>
  <si>
    <t xml:space="preserve">소비자매출액 </t>
  </si>
  <si>
    <t>유통사수수료</t>
  </si>
  <si>
    <t>케이티매출액</t>
  </si>
  <si>
    <t>케이티수익</t>
  </si>
  <si>
    <t>만화가족 수익</t>
  </si>
  <si>
    <t>비고</t>
  </si>
  <si>
    <t>선지급금</t>
  </si>
  <si>
    <t>카카오페이지</t>
  </si>
  <si>
    <t>연재고료</t>
  </si>
  <si>
    <t>KT프로젝트수익</t>
  </si>
  <si>
    <t>네이버웹툰1</t>
  </si>
  <si>
    <t>월별 회수금 (케이티 수익)</t>
  </si>
  <si>
    <t>네이버웹툰2</t>
  </si>
  <si>
    <t>유료판매</t>
  </si>
  <si>
    <t>2018. 08</t>
  </si>
  <si>
    <t>2018. 09</t>
  </si>
  <si>
    <t>2018. 10</t>
  </si>
  <si>
    <t>2018. 11</t>
  </si>
  <si>
    <t>2018. 12</t>
  </si>
  <si>
    <t>합계</t>
  </si>
  <si>
    <t>2018년 합계</t>
  </si>
  <si>
    <t>2019년 합계</t>
  </si>
  <si>
    <t>잔여 선지급금</t>
  </si>
  <si>
    <t>■ 만화가족 유통계정정보</t>
  </si>
  <si>
    <t>서비스명</t>
  </si>
  <si>
    <t>아이디</t>
  </si>
  <si>
    <t>패스워드</t>
  </si>
  <si>
    <t>URL</t>
  </si>
  <si>
    <t>toonsfamily11</t>
  </si>
  <si>
    <t>aocnf60djr!</t>
  </si>
  <si>
    <t>FRA01967</t>
  </si>
  <si>
    <t>작품명</t>
  </si>
  <si>
    <t>카테고리</t>
  </si>
  <si>
    <t>케이티&gt; 만화가족 계산서 발행 금액</t>
    <phoneticPr fontId="31" type="noConversion"/>
  </si>
  <si>
    <t>구분</t>
    <phoneticPr fontId="31" type="noConversion"/>
  </si>
  <si>
    <t>금액</t>
    <phoneticPr fontId="31" type="noConversion"/>
  </si>
  <si>
    <t>입금</t>
  </si>
  <si>
    <t>구분</t>
  </si>
  <si>
    <t>작가명</t>
  </si>
  <si>
    <t>17,908,333</t>
  </si>
  <si>
    <t>카카오페이지1</t>
  </si>
  <si>
    <t>카카오페이지2</t>
  </si>
  <si>
    <t>만화가족구작_앱</t>
  </si>
  <si>
    <t>만화가족구작_웹</t>
  </si>
  <si>
    <t>특별계약</t>
  </si>
  <si>
    <t>만화가족</t>
  </si>
  <si>
    <t>과세</t>
  </si>
  <si>
    <t>N</t>
  </si>
  <si>
    <t>만화</t>
  </si>
  <si>
    <t>손길</t>
  </si>
  <si>
    <t>Y</t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</si>
  <si>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</si>
  <si>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</si>
  <si>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</si>
  <si>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</si>
  <si>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</si>
  <si>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</si>
  <si>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</si>
  <si>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</si>
  <si>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</si>
  <si>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시리즈명</t>
  </si>
  <si>
    <t>레이블</t>
  </si>
  <si>
    <t>ISBN(유/무)</t>
  </si>
  <si>
    <t>CP정산율_안드로이드/이벤트캐시</t>
  </si>
  <si>
    <t>CP정산율_iOS</t>
  </si>
  <si>
    <t>이용권 종류</t>
  </si>
  <si>
    <t>이용권 금액</t>
  </si>
  <si>
    <t>CPP</t>
  </si>
  <si>
    <t>CPI</t>
  </si>
  <si>
    <t>CP1</t>
  </si>
  <si>
    <t>CP2</t>
  </si>
  <si>
    <t>CP3</t>
  </si>
  <si>
    <t>CP7</t>
  </si>
  <si>
    <t>CP8</t>
  </si>
  <si>
    <t>CP9</t>
  </si>
  <si>
    <t>이벤트캐시</t>
  </si>
  <si>
    <t>공급가액</t>
  </si>
  <si>
    <t>황금의핸드메이커_앱</t>
  </si>
  <si>
    <t>반투명인간_앱</t>
  </si>
  <si>
    <t>순매출</t>
  </si>
  <si>
    <t>세액</t>
  </si>
  <si>
    <t>글로벌</t>
  </si>
  <si>
    <t>네이버웹툰</t>
    <phoneticPr fontId="31" type="noConversion"/>
  </si>
  <si>
    <t>-</t>
    <phoneticPr fontId="31" type="noConversion"/>
  </si>
  <si>
    <t>봄툰</t>
    <phoneticPr fontId="31" type="noConversion"/>
  </si>
  <si>
    <t>봄툰 구작연재</t>
    <phoneticPr fontId="31" type="noConversion"/>
  </si>
  <si>
    <t>No</t>
  </si>
  <si>
    <t>만화명</t>
  </si>
  <si>
    <t>웹코인합계</t>
  </si>
  <si>
    <t>웹정산율</t>
  </si>
  <si>
    <t>앱코인합계</t>
  </si>
  <si>
    <t>앱정산율</t>
  </si>
  <si>
    <t>연재</t>
  </si>
  <si>
    <t>겨우내</t>
  </si>
  <si>
    <t>세렌디피티</t>
  </si>
  <si>
    <t>만화idx</t>
  </si>
  <si>
    <t>1.과세</t>
  </si>
  <si>
    <t>시어머니는 츤데레(완결)</t>
  </si>
  <si>
    <t>여고를 아느냐(완결)</t>
  </si>
  <si>
    <t>먼지소녀 시즌1,2</t>
  </si>
  <si>
    <t>날라리(완결)</t>
  </si>
  <si>
    <t>죽은자를 상대하는 방법(완결)</t>
  </si>
  <si>
    <t>소음(완결)</t>
  </si>
  <si>
    <t>키다리스튜디오</t>
  </si>
  <si>
    <t>주식회사 만화가족</t>
  </si>
  <si>
    <t>웹툰 선투자 직계약</t>
  </si>
  <si>
    <t>재밌니, 짝사랑</t>
  </si>
  <si>
    <t>시리즈 이용권 패키지</t>
  </si>
  <si>
    <t>단일 대여 이용권</t>
  </si>
  <si>
    <t>시리즈 대여 이용권 패키지</t>
  </si>
  <si>
    <t>단일 이용권</t>
  </si>
  <si>
    <t>＊각 플랫폼 데이터는 시트 추가하여 작성, 합계 표로 가져와 총 정산금액 정리</t>
    <phoneticPr fontId="31" type="noConversion"/>
  </si>
  <si>
    <t>2019.01</t>
    <phoneticPr fontId="31" type="noConversion"/>
  </si>
  <si>
    <t>2019.02</t>
    <phoneticPr fontId="31" type="noConversion"/>
  </si>
  <si>
    <t>2019.03</t>
    <phoneticPr fontId="31" type="noConversion"/>
  </si>
  <si>
    <t>2019.04</t>
    <phoneticPr fontId="31" type="noConversion"/>
  </si>
  <si>
    <t>2019.05</t>
    <phoneticPr fontId="31" type="noConversion"/>
  </si>
  <si>
    <t>2019.06</t>
    <phoneticPr fontId="31" type="noConversion"/>
  </si>
  <si>
    <t>2019.07</t>
    <phoneticPr fontId="31" type="noConversion"/>
  </si>
  <si>
    <t>2019.08</t>
    <phoneticPr fontId="31" type="noConversion"/>
  </si>
  <si>
    <t>2019.09</t>
    <phoneticPr fontId="31" type="noConversion"/>
  </si>
  <si>
    <t>2019.10</t>
    <phoneticPr fontId="31" type="noConversion"/>
  </si>
  <si>
    <t>2019.11</t>
    <phoneticPr fontId="31" type="noConversion"/>
  </si>
  <si>
    <t>입금</t>
    <phoneticPr fontId="31" type="noConversion"/>
  </si>
  <si>
    <t>`</t>
    <phoneticPr fontId="31" type="noConversion"/>
  </si>
  <si>
    <t>45.0%</t>
  </si>
  <si>
    <t>35.0%</t>
  </si>
  <si>
    <t>54.0%</t>
  </si>
  <si>
    <t>42.0%</t>
  </si>
  <si>
    <t>우리집아이돌</t>
    <phoneticPr fontId="31" type="noConversion"/>
  </si>
  <si>
    <t>*익익월 입금</t>
    <phoneticPr fontId="31" type="noConversion"/>
  </si>
  <si>
    <t/>
  </si>
  <si>
    <t>기초정보</t>
  </si>
  <si>
    <t>거래현황(캐시)</t>
  </si>
  <si>
    <t>거래금액(원화)</t>
  </si>
  <si>
    <t>CP</t>
  </si>
  <si>
    <t>제품코드(발행자가 부여하는 코드)</t>
  </si>
  <si>
    <t>캐시합계</t>
  </si>
  <si>
    <t>원화합계</t>
  </si>
  <si>
    <t>합계금액</t>
  </si>
  <si>
    <t>악마와계약연애_앱</t>
    <phoneticPr fontId="31" type="noConversion"/>
  </si>
  <si>
    <t>악마와계약연애_웹</t>
    <phoneticPr fontId="31" type="noConversion"/>
  </si>
  <si>
    <t>나를바꿔줘_앱</t>
    <phoneticPr fontId="31" type="noConversion"/>
  </si>
  <si>
    <t>나를바꿔줘_웹</t>
    <phoneticPr fontId="31" type="noConversion"/>
  </si>
  <si>
    <t>2020년 합계</t>
    <phoneticPr fontId="31" type="noConversion"/>
  </si>
  <si>
    <t>2020.01</t>
    <phoneticPr fontId="31" type="noConversion"/>
  </si>
  <si>
    <t>2020.02</t>
    <phoneticPr fontId="31" type="noConversion"/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</si>
  <si>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</si>
  <si>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</si>
  <si>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</si>
  <si>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</si>
  <si>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</si>
  <si>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</si>
  <si>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</si>
  <si>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</si>
  <si>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</si>
  <si>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</si>
  <si>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상태</t>
  </si>
  <si>
    <t>요일</t>
  </si>
  <si>
    <t>CP회사명</t>
  </si>
  <si>
    <t>MCP</t>
  </si>
  <si>
    <t>업체MG</t>
  </si>
  <si>
    <t>에버그린</t>
  </si>
  <si>
    <t>만화가족(웹툰)</t>
  </si>
  <si>
    <t>부찌</t>
  </si>
  <si>
    <t>요일연재</t>
  </si>
  <si>
    <t>사랑이 커다래</t>
  </si>
  <si>
    <t>깜귤</t>
  </si>
  <si>
    <t>사해&amp;벌래</t>
  </si>
  <si>
    <t>온조</t>
  </si>
  <si>
    <t>어고</t>
  </si>
  <si>
    <t>곽병진</t>
  </si>
  <si>
    <t>젠틀독</t>
  </si>
  <si>
    <t>손 길</t>
  </si>
  <si>
    <t>독트윈</t>
  </si>
  <si>
    <t>CP(정산처)</t>
  </si>
  <si>
    <t>이월 차감잔액</t>
  </si>
  <si>
    <t>콘텐츠 MG</t>
  </si>
  <si>
    <t>실지급 MG</t>
  </si>
  <si>
    <t>웹매출액</t>
  </si>
  <si>
    <t>웹정산액</t>
  </si>
  <si>
    <t>앱매출액</t>
  </si>
  <si>
    <t>앱정산액</t>
  </si>
  <si>
    <t>정산액(웹+앱)</t>
  </si>
  <si>
    <t>총매출액</t>
  </si>
  <si>
    <t>글/그림</t>
  </si>
  <si>
    <t>RS정산액</t>
  </si>
  <si>
    <t>RS-MG</t>
  </si>
  <si>
    <t>RS지급액(MG-RS)</t>
  </si>
  <si>
    <t>차감잔액</t>
  </si>
  <si>
    <t>MG(당월 소멸)</t>
  </si>
  <si>
    <t>금액</t>
  </si>
  <si>
    <t>아는 사람 이야기</t>
  </si>
  <si>
    <t>온우주&amp;서랭</t>
  </si>
  <si>
    <t>테크앤조이</t>
    <phoneticPr fontId="31" type="noConversion"/>
  </si>
  <si>
    <t>투믹스/나인픽셀즈</t>
    <phoneticPr fontId="31" type="noConversion"/>
  </si>
  <si>
    <t>현금 결제</t>
  </si>
  <si>
    <t>정산매출</t>
  </si>
  <si>
    <t>요율</t>
  </si>
  <si>
    <t>테크앤조이</t>
  </si>
  <si>
    <t>구분</t>
    <phoneticPr fontId="53" type="noConversion"/>
  </si>
  <si>
    <t>총 청구금액</t>
    <phoneticPr fontId="53" type="noConversion"/>
  </si>
  <si>
    <t>포인트결제</t>
    <phoneticPr fontId="53" type="noConversion"/>
  </si>
  <si>
    <t xml:space="preserve">공동 마케팅/할인/무료
포인트 공동 부담율 </t>
    <phoneticPr fontId="53" type="noConversion"/>
  </si>
  <si>
    <t>포인트 정산대상금액</t>
    <phoneticPr fontId="53" type="noConversion"/>
  </si>
  <si>
    <t>업체</t>
    <phoneticPr fontId="53" type="noConversion"/>
  </si>
  <si>
    <t>수수료
(KT/KTH/TECH)</t>
    <phoneticPr fontId="53" type="noConversion"/>
  </si>
  <si>
    <t>만화가족</t>
    <phoneticPr fontId="53" type="noConversion"/>
  </si>
  <si>
    <t>부기영화</t>
    <phoneticPr fontId="31" type="noConversion"/>
  </si>
  <si>
    <t>데드라이프_앱</t>
    <phoneticPr fontId="31" type="noConversion"/>
  </si>
  <si>
    <t>데드라이프_웹</t>
    <phoneticPr fontId="31" type="noConversion"/>
  </si>
  <si>
    <t>견우와선녀</t>
    <phoneticPr fontId="31" type="noConversion"/>
  </si>
  <si>
    <t>2618118972</t>
  </si>
  <si>
    <t>1222.0</t>
  </si>
  <si>
    <t xml:space="preserve">재밌니짝사랑 </t>
    <phoneticPr fontId="31" type="noConversion"/>
  </si>
  <si>
    <t>나를바꿔줘</t>
    <phoneticPr fontId="31" type="noConversion"/>
  </si>
  <si>
    <t>창작지원금_견우와선녀</t>
    <phoneticPr fontId="31" type="noConversion"/>
  </si>
  <si>
    <t>입금 : 스토리위즈</t>
    <phoneticPr fontId="31" type="noConversion"/>
  </si>
  <si>
    <t>1246.0</t>
  </si>
  <si>
    <t>우리집 아이돌</t>
  </si>
  <si>
    <t>한둘,자라개</t>
  </si>
  <si>
    <t>연애에 서툰 뱀파이어(완결)</t>
  </si>
  <si>
    <t>유승승</t>
  </si>
  <si>
    <t>카카오페이지</t>
    <phoneticPr fontId="31" type="noConversion"/>
  </si>
  <si>
    <t>https://biz.kakaopage.com/partner/login</t>
  </si>
  <si>
    <t>네이버</t>
  </si>
  <si>
    <t>Good2seeu!</t>
  </si>
  <si>
    <t>https://friend.navercorp.com/login/loginForm.sec?url=%2Fview%2Fsvc%2Fmain%3FsvcId%3DCOM%26lz%3Dko_KR%26tz%3DAsia%252FSeoul%253A%252B09%253A00&amp;c=d#</t>
  </si>
  <si>
    <t>FRA09683</t>
  </si>
  <si>
    <t>FRA07849</t>
  </si>
  <si>
    <t>FRA08900</t>
  </si>
  <si>
    <t>Epemfkdlvm8!</t>
  </si>
  <si>
    <t>FRA07850</t>
  </si>
  <si>
    <t>FRA09684</t>
  </si>
  <si>
    <t>FRA09669</t>
  </si>
  <si>
    <t>구작</t>
  </si>
  <si>
    <t>악마와계약연애</t>
  </si>
  <si>
    <t>반투명인간</t>
  </si>
  <si>
    <t>데드라이프</t>
  </si>
  <si>
    <t>황금의핸드메이커</t>
  </si>
  <si>
    <t>나를바꿔줘</t>
  </si>
  <si>
    <t>그녀의 버킷리스트</t>
  </si>
  <si>
    <t>2021.01</t>
    <phoneticPr fontId="31" type="noConversion"/>
  </si>
  <si>
    <t>2021.02</t>
    <phoneticPr fontId="31" type="noConversion"/>
  </si>
  <si>
    <t>2021.03</t>
    <phoneticPr fontId="31" type="noConversion"/>
  </si>
  <si>
    <t>2021.04</t>
    <phoneticPr fontId="31" type="noConversion"/>
  </si>
  <si>
    <t>2021.05</t>
    <phoneticPr fontId="31" type="noConversion"/>
  </si>
  <si>
    <t>2021.06</t>
    <phoneticPr fontId="31" type="noConversion"/>
  </si>
  <si>
    <t>2021.07</t>
    <phoneticPr fontId="31" type="noConversion"/>
  </si>
  <si>
    <t>2021.08</t>
    <phoneticPr fontId="31" type="noConversion"/>
  </si>
  <si>
    <t>2021.09</t>
    <phoneticPr fontId="31" type="noConversion"/>
  </si>
  <si>
    <t>2021.10</t>
    <phoneticPr fontId="31" type="noConversion"/>
  </si>
  <si>
    <t>2021.11</t>
    <phoneticPr fontId="31" type="noConversion"/>
  </si>
  <si>
    <t>2021.12</t>
    <phoneticPr fontId="31" type="noConversion"/>
  </si>
  <si>
    <t>2021년 합계</t>
    <phoneticPr fontId="31" type="noConversion"/>
  </si>
  <si>
    <t>웽</t>
    <phoneticPr fontId="31" type="noConversion"/>
  </si>
  <si>
    <t>그녀의 버킷리스트_앱</t>
    <phoneticPr fontId="31" type="noConversion"/>
  </si>
  <si>
    <t>21년 1월 서비스분(VAT별도)</t>
    <phoneticPr fontId="31" type="noConversion"/>
  </si>
  <si>
    <t>11/10초과분 18,000원 차감 후 지급</t>
    <phoneticPr fontId="31" type="noConversion"/>
  </si>
  <si>
    <t>시히트왕국정복기</t>
    <phoneticPr fontId="31" type="noConversion"/>
  </si>
  <si>
    <t>수</t>
  </si>
  <si>
    <t>애증과 애정 사이</t>
  </si>
  <si>
    <t>세금계산년월</t>
  </si>
  <si>
    <t>만화IDX</t>
  </si>
  <si>
    <t>서비스사</t>
  </si>
  <si>
    <t>컨텐츠</t>
  </si>
  <si>
    <t>CP1(정산처)</t>
  </si>
  <si>
    <t>봄툰-CP정산액</t>
  </si>
  <si>
    <t>황금의핸드메이커_웹</t>
    <phoneticPr fontId="31" type="noConversion"/>
  </si>
  <si>
    <t>그녀의 버킷리스트_웹</t>
    <phoneticPr fontId="31" type="noConversion"/>
  </si>
  <si>
    <t>레진</t>
  </si>
  <si>
    <t>공유하는 집</t>
  </si>
  <si>
    <t>선독점</t>
  </si>
  <si>
    <t>화</t>
  </si>
  <si>
    <t>징망츄&amp;사앙</t>
  </si>
  <si>
    <t>12월 고료</t>
    <phoneticPr fontId="31" type="noConversion"/>
  </si>
  <si>
    <t>더익스트림</t>
    <phoneticPr fontId="31" type="noConversion"/>
  </si>
  <si>
    <t>11월 RS</t>
    <phoneticPr fontId="31" type="noConversion"/>
  </si>
  <si>
    <t>아임펫! 시즌 1,2,3</t>
  </si>
  <si>
    <t>탐이부</t>
  </si>
  <si>
    <t>■ 만화가족 2022.02월 KT 정산서</t>
    <phoneticPr fontId="31" type="noConversion"/>
  </si>
  <si>
    <t>1월 MG (요율 : 약 60%, 카카오페이지 약관에 따름)</t>
    <phoneticPr fontId="31" type="noConversion"/>
  </si>
  <si>
    <t>1월 초과수익</t>
    <phoneticPr fontId="31" type="noConversion"/>
  </si>
  <si>
    <t>12월 글로벌</t>
    <phoneticPr fontId="31" type="noConversion"/>
  </si>
  <si>
    <t>12월 창작</t>
    <phoneticPr fontId="31" type="noConversion"/>
  </si>
  <si>
    <t>1월</t>
    <phoneticPr fontId="31" type="noConversion"/>
  </si>
  <si>
    <t>창작지원금_나를바꿔줘</t>
    <phoneticPr fontId="31" type="noConversion"/>
  </si>
  <si>
    <t>반투명인간_웹</t>
    <phoneticPr fontId="31" type="noConversion"/>
  </si>
  <si>
    <t>양방향서비스 21년 11월 서비스분 매출정산</t>
    <phoneticPr fontId="31" type="noConversion"/>
  </si>
  <si>
    <t>날라리 外</t>
  </si>
  <si>
    <t>픽코마 12월 RS</t>
    <phoneticPr fontId="31" type="noConversion"/>
  </si>
  <si>
    <t>12월 RS</t>
    <phoneticPr fontId="31" type="noConversion"/>
  </si>
  <si>
    <t>드리밍(완결)</t>
  </si>
  <si>
    <t>달짱</t>
  </si>
  <si>
    <t>잇뚜&amp;주요</t>
  </si>
  <si>
    <t>이상적인관계</t>
  </si>
  <si>
    <t>얏꽁</t>
  </si>
  <si>
    <t>2021-11</t>
  </si>
  <si>
    <t>탑툰</t>
    <phoneticPr fontId="31" type="noConversion"/>
  </si>
  <si>
    <t>해금 外</t>
    <phoneticPr fontId="31" type="noConversion"/>
  </si>
  <si>
    <t>#</t>
  </si>
  <si>
    <t>범위</t>
  </si>
  <si>
    <t>세금</t>
  </si>
  <si>
    <t>WEB 정산</t>
  </si>
  <si>
    <t>APP 정산</t>
  </si>
  <si>
    <t>해외세액</t>
  </si>
  <si>
    <t>12월 연재</t>
  </si>
  <si>
    <t>12월 휴재</t>
  </si>
  <si>
    <t>연재/MG정산액</t>
  </si>
  <si>
    <t>RS 선지급차감액</t>
  </si>
  <si>
    <t>RS 조정액</t>
  </si>
  <si>
    <t>RS 정산액</t>
  </si>
  <si>
    <t>총 정산액</t>
  </si>
  <si>
    <t>기타</t>
  </si>
  <si>
    <t>(대만)</t>
  </si>
  <si>
    <t>Love &amp; Wish 러브 앤 위시</t>
  </si>
  <si>
    <t>전체회차</t>
  </si>
  <si>
    <t>적용</t>
  </si>
  <si>
    <t>(연재없음)</t>
  </si>
  <si>
    <t>人妻的秘密 당신의 아내를 접수합니다</t>
  </si>
  <si>
    <t>LUNA 루나</t>
  </si>
  <si>
    <t>戀愛ing 그래도 사랑해</t>
  </si>
  <si>
    <t>解禁:初始的快感 해금 : 시작되는 쾌락</t>
  </si>
  <si>
    <t>Lust Awakening 해금 : 시작되는 쾌락 - 영어</t>
  </si>
  <si>
    <t>窺視 엿보기</t>
  </si>
  <si>
    <t>前女友 전여친</t>
  </si>
  <si>
    <t>與前妻同居 전처와의 동거</t>
  </si>
  <si>
    <t>(ASP)</t>
  </si>
  <si>
    <t>나싸(완결)</t>
  </si>
  <si>
    <t>당신의 아내를 접수합니다(완결)</t>
  </si>
  <si>
    <t>아임 펫!(완결)</t>
  </si>
  <si>
    <t>그래도 사랑해(완결)</t>
  </si>
  <si>
    <t>해금 : 시작되는 쾌락(완결)</t>
  </si>
  <si>
    <t>루나(완결)</t>
  </si>
  <si>
    <t>우당탕탕 따식이(완결)</t>
  </si>
  <si>
    <t>청춘 : 그 몸을 삼키다(완결)</t>
  </si>
  <si>
    <t>엿보기(완결)</t>
  </si>
  <si>
    <t>전 여친(완결)</t>
  </si>
  <si>
    <t>전처와의 동거(완결)</t>
  </si>
  <si>
    <t>(한국)</t>
  </si>
  <si>
    <t>나싸</t>
  </si>
  <si>
    <t>러브 앤 위시</t>
  </si>
  <si>
    <t>그래도 사랑해</t>
  </si>
  <si>
    <t>루나</t>
  </si>
  <si>
    <t>우당탕탕 따식이</t>
  </si>
  <si>
    <t>시어머니는 츤데레</t>
  </si>
  <si>
    <t>위험한 동거</t>
  </si>
  <si>
    <t>프랑켄이 사는 마을</t>
  </si>
  <si>
    <t>죽은 자를 상대하는 방법</t>
  </si>
  <si>
    <t>NPC</t>
  </si>
  <si>
    <t>아임 펫!</t>
  </si>
  <si>
    <t>당신의 아내를 접수합니다</t>
  </si>
  <si>
    <t>해금 : 시작되는 쾌락</t>
  </si>
  <si>
    <t>청춘 : 그 몸을 삼키다</t>
  </si>
  <si>
    <t>엿보기</t>
  </si>
  <si>
    <t>어린형수</t>
  </si>
  <si>
    <t>전 여친</t>
  </si>
  <si>
    <t>전처와의 동거</t>
  </si>
  <si>
    <t>(글로벌)</t>
  </si>
  <si>
    <t>Nevertheless, I love you. 그래도 사랑해</t>
  </si>
  <si>
    <t>Lust Awakening 해금:시작되는 쾌락</t>
  </si>
  <si>
    <t>How to Deal With the Dead 죽은자를 상대하는 방법</t>
  </si>
  <si>
    <t>LOVE &amp; WISH 러브 앤 위시</t>
  </si>
  <si>
    <t>Ah! I'm your pet! 아임펫</t>
  </si>
  <si>
    <t>Path of Justice 우당탕탕 따식이</t>
  </si>
  <si>
    <t>The Perfect Roommate 위험한 동거</t>
  </si>
  <si>
    <t>Living With My Ex-Wife 전처와의 동거</t>
  </si>
  <si>
    <t>Ex-girlfriend 전여친</t>
  </si>
  <si>
    <t>일부회차</t>
  </si>
  <si>
    <r>
      <rPr>
        <b/>
        <sz val="10"/>
        <color theme="1"/>
        <rFont val="Helvetica Neue"/>
        <family val="3"/>
        <charset val="129"/>
      </rPr>
      <t>青</t>
    </r>
    <r>
      <rPr>
        <b/>
        <sz val="10"/>
        <color theme="1"/>
        <rFont val="맑은 고딕"/>
        <family val="3"/>
        <charset val="129"/>
      </rPr>
      <t>春:逆齡小鮮肉 청춘 : 그 몸을 삼키다</t>
    </r>
  </si>
  <si>
    <t>12월 국내/해외 RS</t>
    <phoneticPr fontId="31" type="noConversion"/>
  </si>
  <si>
    <t>봄툰</t>
  </si>
  <si>
    <t>원스토어</t>
  </si>
  <si>
    <t>일본유통</t>
  </si>
  <si>
    <t>해외유통</t>
  </si>
  <si>
    <t>2022년 합계</t>
    <phoneticPr fontId="31" type="noConversion"/>
  </si>
  <si>
    <t>2022.01</t>
    <phoneticPr fontId="31" type="noConversion"/>
  </si>
  <si>
    <t>만화가족&gt; 입금 대상 금액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</si>
</sst>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 &quot;* #,##0&quot; &quot;;&quot;-&quot;* #,##0&quot; &quot;;&quot; &quot;* &quot;- &quot;"/>
    <numFmt numFmtId="177" formatCode="&quot; &quot;* #,##0.00&quot; &quot;;&quot;-&quot;* #,##0.00&quot; &quot;;&quot; &quot;* &quot;-&quot;??&quot; &quot;"/>
    <numFmt numFmtId="178" formatCode="_(* #,##0_);_(* \(#,##0\);_(* &quot;-&quot;_);_(@_)"/>
    <numFmt numFmtId="179" formatCode="_(* #,##0.00_);_(* \(#,##0.00\);_(* &quot;-&quot;??_);_(@_)"/>
    <numFmt numFmtId="180" formatCode="#,##0_ ;[Red]\-#,##0\ "/>
    <numFmt numFmtId="181" formatCode="#,##0_ "/>
    <numFmt numFmtId="182" formatCode="#,##0_);[Red]\(#,##0\)"/>
    <numFmt numFmtId="183" formatCode="0.0%"/>
    <numFmt numFmtId="184" formatCode="yyyy\.mm;@"/>
  </numFmts>
  <fonts count="116">
    <font>
      <sz val="11"/>
      <color indexed="8"/>
      <name val="Calibri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0"/>
      <color indexed="8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돋움"/>
      <family val="3"/>
    </font>
    <font>
      <sz val="11"/>
      <color indexed="8"/>
      <name val="맑은 고딕"/>
      <family val="3"/>
    </font>
    <font>
      <sz val="11"/>
      <name val="굴림"/>
      <family val="3"/>
      <charset val="129"/>
    </font>
    <font>
      <sz val="11"/>
      <color indexed="9"/>
      <name val="맑은 고딕"/>
      <family val="3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0"/>
      <name val="Helvetica"/>
      <family val="2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indexed="17"/>
      <name val="맑은 고딕"/>
      <family val="3"/>
    </font>
    <font>
      <b/>
      <sz val="11"/>
      <color indexed="63"/>
      <name val="맑은 고딕"/>
      <family val="3"/>
    </font>
    <font>
      <sz val="11"/>
      <color indexed="8"/>
      <name val="돋움"/>
      <family val="3"/>
    </font>
    <font>
      <sz val="10"/>
      <color indexed="8"/>
      <name val="맑은 고딕"/>
      <family val="3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Helvetica Neue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rgb="FFFF000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11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16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6100"/>
      <name val="Helvetica Neue"/>
      <family val="2"/>
      <charset val="129"/>
      <scheme val="minor"/>
    </font>
    <font>
      <sz val="11"/>
      <color rgb="FF9C0006"/>
      <name val="Helvetica Neue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1"/>
      <color indexed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1"/>
      <name val="맑은 고딕"/>
      <family val="3"/>
      <charset val="129"/>
    </font>
    <font>
      <b/>
      <sz val="11"/>
      <color indexed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Helvetica Neue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theme="1"/>
      <name val="Helvetica Neue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sz val="12"/>
      <color theme="1"/>
      <name val="Helvetica Neue"/>
      <family val="2"/>
      <charset val="129"/>
      <scheme val="minor"/>
    </font>
    <font>
      <sz val="9"/>
      <color theme="0" tint="-0.34998626667073579"/>
      <name val="맑은 고딕"/>
      <family val="3"/>
      <charset val="129"/>
    </font>
    <font>
      <b/>
      <sz val="15"/>
      <color theme="3"/>
      <name val="Helvetica Neue"/>
      <family val="2"/>
      <charset val="129"/>
      <scheme val="minor"/>
    </font>
    <font>
      <b/>
      <sz val="13"/>
      <color theme="3"/>
      <name val="Helvetica Neue"/>
      <family val="2"/>
      <charset val="129"/>
      <scheme val="minor"/>
    </font>
    <font>
      <b/>
      <sz val="11"/>
      <color theme="3"/>
      <name val="Helvetica Neue"/>
      <family val="2"/>
      <charset val="129"/>
      <scheme val="minor"/>
    </font>
    <font>
      <sz val="11"/>
      <color rgb="FF3F3F76"/>
      <name val="Helvetica Neue"/>
      <family val="2"/>
      <charset val="129"/>
      <scheme val="minor"/>
    </font>
    <font>
      <b/>
      <sz val="11"/>
      <color rgb="FF3F3F3F"/>
      <name val="Helvetica Neue"/>
      <family val="2"/>
      <charset val="129"/>
      <scheme val="minor"/>
    </font>
    <font>
      <b/>
      <sz val="11"/>
      <color rgb="FFFA7D00"/>
      <name val="Helvetica Neue"/>
      <family val="2"/>
      <charset val="129"/>
      <scheme val="minor"/>
    </font>
    <font>
      <sz val="11"/>
      <color rgb="FFFA7D00"/>
      <name val="Helvetica Neue"/>
      <family val="2"/>
      <charset val="129"/>
      <scheme val="minor"/>
    </font>
    <font>
      <b/>
      <sz val="11"/>
      <color theme="0"/>
      <name val="Helvetica Neue"/>
      <family val="2"/>
      <charset val="129"/>
      <scheme val="minor"/>
    </font>
    <font>
      <sz val="11"/>
      <color rgb="FFFF0000"/>
      <name val="Helvetica Neue"/>
      <family val="2"/>
      <charset val="129"/>
      <scheme val="minor"/>
    </font>
    <font>
      <i/>
      <sz val="11"/>
      <color rgb="FF7F7F7F"/>
      <name val="Helvetica Neue"/>
      <family val="2"/>
      <charset val="129"/>
      <scheme val="minor"/>
    </font>
    <font>
      <b/>
      <sz val="11"/>
      <color theme="1"/>
      <name val="Helvetica Neue"/>
      <family val="2"/>
      <charset val="129"/>
      <scheme val="minor"/>
    </font>
    <font>
      <sz val="11"/>
      <color theme="0"/>
      <name val="Helvetica Neue"/>
      <family val="2"/>
      <charset val="129"/>
      <scheme val="minor"/>
    </font>
    <font>
      <sz val="9"/>
      <color theme="0" tint="-0.249977111117893"/>
      <name val="맑은 고딕"/>
      <family val="3"/>
      <charset val="129"/>
    </font>
    <font>
      <sz val="11"/>
      <color indexed="8"/>
      <name val="Helvetica Neue"/>
      <family val="2"/>
      <scheme val="minor"/>
    </font>
    <font>
      <sz val="10"/>
      <color rgb="FF000000"/>
      <name val="Arial"/>
      <family val="2"/>
    </font>
    <font>
      <b/>
      <sz val="18"/>
      <color theme="3"/>
      <name val="Helvetica Neue"/>
      <family val="2"/>
      <charset val="129"/>
      <scheme val="major"/>
    </font>
    <font>
      <sz val="11"/>
      <color rgb="FF9C6500"/>
      <name val="Helvetica Neue"/>
      <family val="2"/>
      <charset val="129"/>
      <scheme val="minor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indexed="8"/>
      <name val="Malgun Gothic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33993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7"/>
      <color rgb="FFAAAAAA"/>
      <name val="맑은 고딕"/>
      <family val="3"/>
      <charset val="129"/>
    </font>
    <font>
      <sz val="10"/>
      <color rgb="FFEE3333"/>
      <name val="맑은 고딕"/>
      <family val="3"/>
      <charset val="129"/>
    </font>
    <font>
      <sz val="10"/>
      <color rgb="FFCCCCCC"/>
      <name val="맑은 고딕"/>
      <family val="3"/>
      <charset val="129"/>
    </font>
    <font>
      <b/>
      <sz val="10"/>
      <color theme="1"/>
      <name val="Helvetica Neue"/>
      <family val="3"/>
      <charset val="129"/>
    </font>
    <font>
      <b/>
      <sz val="10"/>
      <color rgb="FF3333EE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b/>
      <sz val="10"/>
      <color rgb="FFC641DD"/>
      <name val="맑은 고딕"/>
      <family val="3"/>
      <charset val="129"/>
    </font>
    <font>
      <sz val="7"/>
      <color rgb="FFEE3333"/>
      <name val="맑은 고딕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216">
    <xf numFmtId="0" fontId="0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1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7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9" fontId="7" fillId="0" borderId="0" applyNumberFormat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9" borderId="3" applyNumberFormat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0" borderId="0"/>
    <xf numFmtId="0" fontId="21" fillId="8" borderId="1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22" borderId="9" applyNumberFormat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0" fontId="61" fillId="0" borderId="37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43" borderId="40" applyNumberFormat="0" applyAlignment="0" applyProtection="0">
      <alignment vertical="center"/>
    </xf>
    <xf numFmtId="0" fontId="65" fillId="44" borderId="41" applyNumberFormat="0" applyAlignment="0" applyProtection="0">
      <alignment vertical="center"/>
    </xf>
    <xf numFmtId="0" fontId="66" fillId="44" borderId="40" applyNumberFormat="0" applyAlignment="0" applyProtection="0">
      <alignment vertical="center"/>
    </xf>
    <xf numFmtId="0" fontId="67" fillId="0" borderId="42" applyNumberFormat="0" applyFill="0" applyAlignment="0" applyProtection="0">
      <alignment vertical="center"/>
    </xf>
    <xf numFmtId="0" fontId="68" fillId="45" borderId="4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72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74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7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72" fillId="70" borderId="0" applyNumberFormat="0" applyBorder="0" applyAlignment="0" applyProtection="0">
      <alignment vertical="center"/>
    </xf>
    <xf numFmtId="0" fontId="56" fillId="0" borderId="0">
      <alignment vertical="center"/>
    </xf>
    <xf numFmtId="0" fontId="7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44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8" fillId="0" borderId="0"/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6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2" borderId="46" applyNumberFormat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78" fillId="27" borderId="47" applyNumberFormat="0" applyFont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29" borderId="3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86" fillId="0" borderId="0"/>
    <xf numFmtId="0" fontId="87" fillId="0" borderId="4" applyNumberFormat="0" applyFill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88" fillId="8" borderId="46" applyNumberFormat="0" applyAlignment="0" applyProtection="0">
      <alignment vertical="center"/>
    </xf>
    <xf numFmtId="0" fontId="89" fillId="0" borderId="6" applyNumberFormat="0" applyFill="0" applyAlignment="0" applyProtection="0">
      <alignment vertical="center"/>
    </xf>
    <xf numFmtId="0" fontId="90" fillId="0" borderId="7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10" borderId="0" applyNumberFormat="0" applyBorder="0" applyAlignment="0" applyProtection="0">
      <alignment vertical="center"/>
    </xf>
    <xf numFmtId="0" fontId="94" fillId="22" borderId="49" applyNumberFormat="0" applyAlignment="0" applyProtection="0">
      <alignment vertical="center"/>
    </xf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44" applyNumberFormat="0" applyFont="0" applyAlignment="0" applyProtection="0">
      <alignment vertical="center"/>
    </xf>
    <xf numFmtId="0" fontId="1" fillId="0" borderId="0">
      <alignment vertical="center"/>
    </xf>
    <xf numFmtId="0" fontId="59" fillId="0" borderId="0"/>
    <xf numFmtId="0" fontId="75" fillId="0" borderId="0"/>
  </cellStyleXfs>
  <cellXfs count="311">
    <xf numFmtId="0" fontId="0" fillId="0" borderId="0" xfId="0" applyFont="1" applyAlignment="1">
      <alignment vertical="center"/>
    </xf>
    <xf numFmtId="49" fontId="35" fillId="3" borderId="10" xfId="0" applyNumberFormat="1" applyFont="1" applyFill="1" applyBorder="1" applyAlignment="1">
      <alignment horizontal="center" vertical="center"/>
    </xf>
    <xf numFmtId="49" fontId="36" fillId="2" borderId="10" xfId="0" applyNumberFormat="1" applyFont="1" applyFill="1" applyBorder="1" applyAlignment="1">
      <alignment horizontal="center" vertical="center"/>
    </xf>
    <xf numFmtId="176" fontId="36" fillId="2" borderId="10" xfId="0" applyNumberFormat="1" applyFont="1" applyFill="1" applyBorder="1" applyAlignment="1">
      <alignment vertical="center"/>
    </xf>
    <xf numFmtId="176" fontId="36" fillId="3" borderId="10" xfId="0" applyNumberFormat="1" applyFont="1" applyFill="1" applyBorder="1" applyAlignment="1">
      <alignment vertical="center"/>
    </xf>
    <xf numFmtId="176" fontId="36" fillId="2" borderId="10" xfId="0" applyNumberFormat="1" applyFont="1" applyFill="1" applyBorder="1" applyAlignment="1">
      <alignment vertical="center" wrapText="1"/>
    </xf>
    <xf numFmtId="49" fontId="36" fillId="2" borderId="14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9" fontId="36" fillId="2" borderId="10" xfId="0" applyNumberFormat="1" applyFont="1" applyFill="1" applyBorder="1" applyAlignment="1">
      <alignment vertical="center"/>
    </xf>
    <xf numFmtId="0" fontId="36" fillId="0" borderId="0" xfId="0" applyNumberFormat="1" applyFont="1" applyAlignment="1">
      <alignment vertical="center"/>
    </xf>
    <xf numFmtId="0" fontId="36" fillId="2" borderId="0" xfId="0" applyFont="1" applyFill="1" applyBorder="1" applyAlignment="1">
      <alignment vertical="center"/>
    </xf>
    <xf numFmtId="3" fontId="36" fillId="2" borderId="0" xfId="0" applyNumberFormat="1" applyFont="1" applyFill="1" applyBorder="1" applyAlignment="1">
      <alignment vertical="center"/>
    </xf>
    <xf numFmtId="49" fontId="35" fillId="5" borderId="15" xfId="0" applyNumberFormat="1" applyFont="1" applyFill="1" applyBorder="1" applyAlignment="1">
      <alignment horizontal="center" vertical="center"/>
    </xf>
    <xf numFmtId="176" fontId="35" fillId="5" borderId="15" xfId="0" applyNumberFormat="1" applyFont="1" applyFill="1" applyBorder="1" applyAlignment="1">
      <alignment vertical="center"/>
    </xf>
    <xf numFmtId="3" fontId="0" fillId="31" borderId="0" xfId="0" applyNumberFormat="1" applyFont="1" applyFill="1" applyAlignment="1">
      <alignment vertical="center"/>
    </xf>
    <xf numFmtId="176" fontId="36" fillId="32" borderId="10" xfId="0" applyNumberFormat="1" applyFont="1" applyFill="1" applyBorder="1" applyAlignment="1">
      <alignment vertical="center"/>
    </xf>
    <xf numFmtId="176" fontId="36" fillId="32" borderId="14" xfId="0" applyNumberFormat="1" applyFont="1" applyFill="1" applyBorder="1" applyAlignment="1">
      <alignment horizontal="center" vertical="center"/>
    </xf>
    <xf numFmtId="41" fontId="38" fillId="2" borderId="0" xfId="3" applyFont="1" applyFill="1" applyBorder="1" applyAlignment="1">
      <alignment vertical="center"/>
    </xf>
    <xf numFmtId="0" fontId="35" fillId="36" borderId="15" xfId="0" applyFont="1" applyFill="1" applyBorder="1" applyAlignment="1">
      <alignment horizontal="center" vertical="center"/>
    </xf>
    <xf numFmtId="0" fontId="36" fillId="37" borderId="0" xfId="0" applyFont="1" applyFill="1" applyAlignment="1">
      <alignment vertical="center"/>
    </xf>
    <xf numFmtId="49" fontId="36" fillId="37" borderId="11" xfId="0" applyNumberFormat="1" applyFont="1" applyFill="1" applyBorder="1" applyAlignment="1">
      <alignment horizontal="center" vertical="center"/>
    </xf>
    <xf numFmtId="176" fontId="36" fillId="37" borderId="10" xfId="0" applyNumberFormat="1" applyFont="1" applyFill="1" applyBorder="1" applyAlignment="1">
      <alignment vertical="center"/>
    </xf>
    <xf numFmtId="41" fontId="36" fillId="37" borderId="10" xfId="3" applyFont="1" applyFill="1" applyBorder="1" applyAlignment="1">
      <alignment vertical="center"/>
    </xf>
    <xf numFmtId="41" fontId="36" fillId="37" borderId="10" xfId="3" applyFont="1" applyFill="1" applyBorder="1" applyAlignment="1">
      <alignment vertical="center" wrapText="1"/>
    </xf>
    <xf numFmtId="49" fontId="36" fillId="37" borderId="14" xfId="0" applyNumberFormat="1" applyFont="1" applyFill="1" applyBorder="1" applyAlignment="1">
      <alignment vertical="center"/>
    </xf>
    <xf numFmtId="0" fontId="0" fillId="37" borderId="0" xfId="0" applyNumberFormat="1" applyFont="1" applyFill="1" applyAlignment="1">
      <alignment vertical="center"/>
    </xf>
    <xf numFmtId="3" fontId="0" fillId="37" borderId="0" xfId="0" applyNumberFormat="1" applyFont="1" applyFill="1" applyAlignment="1">
      <alignment vertical="center"/>
    </xf>
    <xf numFmtId="0" fontId="0" fillId="37" borderId="0" xfId="0" applyFont="1" applyFill="1" applyAlignment="1">
      <alignment vertical="center"/>
    </xf>
    <xf numFmtId="0" fontId="36" fillId="0" borderId="0" xfId="0" applyFont="1" applyBorder="1" applyAlignment="1">
      <alignment vertical="center"/>
    </xf>
    <xf numFmtId="0" fontId="36" fillId="37" borderId="0" xfId="0" applyFont="1" applyFill="1" applyBorder="1" applyAlignment="1">
      <alignment vertical="center"/>
    </xf>
    <xf numFmtId="49" fontId="35" fillId="31" borderId="10" xfId="0" applyNumberFormat="1" applyFont="1" applyFill="1" applyBorder="1" applyAlignment="1">
      <alignment horizontal="center" vertical="center"/>
    </xf>
    <xf numFmtId="41" fontId="38" fillId="37" borderId="0" xfId="3" applyFont="1" applyFill="1" applyBorder="1" applyAlignment="1">
      <alignment vertical="center"/>
    </xf>
    <xf numFmtId="43" fontId="36" fillId="37" borderId="0" xfId="0" applyNumberFormat="1" applyFont="1" applyFill="1" applyBorder="1" applyAlignment="1">
      <alignment vertical="center"/>
    </xf>
    <xf numFmtId="49" fontId="35" fillId="36" borderId="15" xfId="0" applyNumberFormat="1" applyFont="1" applyFill="1" applyBorder="1" applyAlignment="1">
      <alignment horizontal="center" vertical="center"/>
    </xf>
    <xf numFmtId="176" fontId="35" fillId="36" borderId="15" xfId="0" applyNumberFormat="1" applyFont="1" applyFill="1" applyBorder="1" applyAlignment="1">
      <alignment vertical="center"/>
    </xf>
    <xf numFmtId="176" fontId="36" fillId="31" borderId="11" xfId="0" applyNumberFormat="1" applyFont="1" applyFill="1" applyBorder="1" applyAlignment="1">
      <alignment vertical="center"/>
    </xf>
    <xf numFmtId="0" fontId="44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49" fontId="45" fillId="2" borderId="0" xfId="0" applyNumberFormat="1" applyFont="1" applyFill="1" applyBorder="1" applyAlignment="1">
      <alignment vertical="center"/>
    </xf>
    <xf numFmtId="49" fontId="38" fillId="2" borderId="0" xfId="0" applyNumberFormat="1" applyFont="1" applyFill="1" applyBorder="1" applyAlignment="1">
      <alignment horizontal="left" vertical="center"/>
    </xf>
    <xf numFmtId="176" fontId="36" fillId="2" borderId="14" xfId="0" applyNumberFormat="1" applyFont="1" applyFill="1" applyBorder="1" applyAlignment="1">
      <alignment horizontal="center" vertical="center"/>
    </xf>
    <xf numFmtId="176" fontId="36" fillId="3" borderId="14" xfId="0" applyNumberFormat="1" applyFont="1" applyFill="1" applyBorder="1" applyAlignment="1">
      <alignment horizontal="center" vertical="center"/>
    </xf>
    <xf numFmtId="176" fontId="36" fillId="2" borderId="14" xfId="0" applyNumberFormat="1" applyFont="1" applyFill="1" applyBorder="1" applyAlignment="1">
      <alignment horizontal="center" vertical="center" wrapText="1"/>
    </xf>
    <xf numFmtId="41" fontId="44" fillId="0" borderId="0" xfId="3" applyFont="1" applyAlignment="1">
      <alignment vertical="center"/>
    </xf>
    <xf numFmtId="176" fontId="38" fillId="3" borderId="14" xfId="0" applyNumberFormat="1" applyFont="1" applyFill="1" applyBorder="1" applyAlignment="1">
      <alignment horizontal="center" vertical="center"/>
    </xf>
    <xf numFmtId="49" fontId="38" fillId="2" borderId="15" xfId="0" applyNumberFormat="1" applyFont="1" applyFill="1" applyBorder="1" applyAlignment="1">
      <alignment horizontal="center" vertical="center"/>
    </xf>
    <xf numFmtId="176" fontId="38" fillId="2" borderId="15" xfId="0" applyNumberFormat="1" applyFont="1" applyFill="1" applyBorder="1" applyAlignment="1">
      <alignment horizontal="center" vertical="center"/>
    </xf>
    <xf numFmtId="41" fontId="38" fillId="2" borderId="15" xfId="3" applyFont="1" applyFill="1" applyBorder="1" applyAlignment="1">
      <alignment horizontal="center" vertical="center"/>
    </xf>
    <xf numFmtId="176" fontId="38" fillId="3" borderId="15" xfId="0" applyNumberFormat="1" applyFont="1" applyFill="1" applyBorder="1" applyAlignment="1">
      <alignment horizontal="center" vertical="center"/>
    </xf>
    <xf numFmtId="41" fontId="38" fillId="2" borderId="15" xfId="3" applyFont="1" applyFill="1" applyBorder="1" applyAlignment="1">
      <alignment horizontal="center" vertical="center" wrapText="1"/>
    </xf>
    <xf numFmtId="49" fontId="38" fillId="3" borderId="14" xfId="0" applyNumberFormat="1" applyFont="1" applyFill="1" applyBorder="1" applyAlignment="1">
      <alignment horizontal="center" vertical="center"/>
    </xf>
    <xf numFmtId="176" fontId="47" fillId="3" borderId="14" xfId="0" applyNumberFormat="1" applyFont="1" applyFill="1" applyBorder="1" applyAlignment="1">
      <alignment horizontal="center" vertical="center"/>
    </xf>
    <xf numFmtId="0" fontId="38" fillId="3" borderId="14" xfId="0" applyFont="1" applyFill="1" applyBorder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36" fillId="30" borderId="11" xfId="0" applyNumberFormat="1" applyFont="1" applyFill="1" applyBorder="1" applyAlignment="1">
      <alignment horizontal="center" vertical="center"/>
    </xf>
    <xf numFmtId="0" fontId="38" fillId="0" borderId="14" xfId="0" applyNumberFormat="1" applyFont="1" applyBorder="1" applyAlignment="1">
      <alignment horizontal="center" vertical="center"/>
    </xf>
    <xf numFmtId="49" fontId="36" fillId="2" borderId="17" xfId="0" applyNumberFormat="1" applyFont="1" applyFill="1" applyBorder="1" applyAlignment="1">
      <alignment horizontal="center" vertical="center"/>
    </xf>
    <xf numFmtId="49" fontId="36" fillId="4" borderId="18" xfId="0" applyNumberFormat="1" applyFont="1" applyFill="1" applyBorder="1" applyAlignment="1">
      <alignment horizontal="center" vertical="center"/>
    </xf>
    <xf numFmtId="176" fontId="46" fillId="4" borderId="19" xfId="0" applyNumberFormat="1" applyFont="1" applyFill="1" applyBorder="1" applyAlignment="1">
      <alignment horizontal="center" vertical="center"/>
    </xf>
    <xf numFmtId="49" fontId="36" fillId="4" borderId="20" xfId="0" applyNumberFormat="1" applyFont="1" applyFill="1" applyBorder="1" applyAlignment="1">
      <alignment horizontal="center" vertical="center"/>
    </xf>
    <xf numFmtId="176" fontId="46" fillId="4" borderId="21" xfId="0" applyNumberFormat="1" applyFont="1" applyFill="1" applyBorder="1" applyAlignment="1">
      <alignment horizontal="center" vertical="center"/>
    </xf>
    <xf numFmtId="49" fontId="36" fillId="2" borderId="24" xfId="0" applyNumberFormat="1" applyFont="1" applyFill="1" applyBorder="1" applyAlignment="1">
      <alignment horizontal="center" vertical="center"/>
    </xf>
    <xf numFmtId="176" fontId="36" fillId="2" borderId="25" xfId="0" applyNumberFormat="1" applyFont="1" applyFill="1" applyBorder="1" applyAlignment="1">
      <alignment horizontal="right" vertical="center"/>
    </xf>
    <xf numFmtId="41" fontId="36" fillId="2" borderId="25" xfId="3" applyFont="1" applyFill="1" applyBorder="1" applyAlignment="1">
      <alignment horizontal="right" vertical="center"/>
    </xf>
    <xf numFmtId="49" fontId="36" fillId="2" borderId="22" xfId="0" applyNumberFormat="1" applyFont="1" applyFill="1" applyBorder="1" applyAlignment="1">
      <alignment horizontal="center" vertical="center"/>
    </xf>
    <xf numFmtId="41" fontId="36" fillId="2" borderId="23" xfId="3" applyFont="1" applyFill="1" applyBorder="1" applyAlignment="1">
      <alignment horizontal="right" vertical="center"/>
    </xf>
    <xf numFmtId="181" fontId="36" fillId="2" borderId="25" xfId="3" applyNumberFormat="1" applyFont="1" applyFill="1" applyBorder="1" applyAlignment="1">
      <alignment horizontal="right" vertical="center"/>
    </xf>
    <xf numFmtId="0" fontId="36" fillId="2" borderId="24" xfId="0" applyNumberFormat="1" applyFont="1" applyFill="1" applyBorder="1" applyAlignment="1">
      <alignment horizontal="center" vertical="center"/>
    </xf>
    <xf numFmtId="176" fontId="49" fillId="4" borderId="29" xfId="0" applyNumberFormat="1" applyFont="1" applyFill="1" applyBorder="1" applyAlignment="1">
      <alignment horizontal="center" vertical="center"/>
    </xf>
    <xf numFmtId="49" fontId="50" fillId="4" borderId="28" xfId="0" applyNumberFormat="1" applyFont="1" applyFill="1" applyBorder="1" applyAlignment="1">
      <alignment horizontal="center" vertical="center"/>
    </xf>
    <xf numFmtId="41" fontId="36" fillId="2" borderId="17" xfId="3" applyFont="1" applyFill="1" applyBorder="1" applyAlignment="1">
      <alignment vertical="center"/>
    </xf>
    <xf numFmtId="41" fontId="36" fillId="31" borderId="17" xfId="3" applyFont="1" applyFill="1" applyBorder="1" applyAlignment="1">
      <alignment vertical="center"/>
    </xf>
    <xf numFmtId="0" fontId="44" fillId="2" borderId="0" xfId="0" applyFont="1" applyFill="1" applyBorder="1" applyAlignment="1">
      <alignment vertical="center"/>
    </xf>
    <xf numFmtId="176" fontId="36" fillId="2" borderId="0" xfId="0" applyNumberFormat="1" applyFont="1" applyFill="1" applyBorder="1" applyAlignment="1">
      <alignment vertical="center"/>
    </xf>
    <xf numFmtId="177" fontId="36" fillId="2" borderId="0" xfId="0" applyNumberFormat="1" applyFont="1" applyFill="1" applyBorder="1" applyAlignment="1">
      <alignment vertical="center"/>
    </xf>
    <xf numFmtId="3" fontId="39" fillId="2" borderId="0" xfId="0" applyNumberFormat="1" applyFont="1" applyFill="1" applyBorder="1" applyAlignment="1">
      <alignment vertical="center"/>
    </xf>
    <xf numFmtId="0" fontId="36" fillId="0" borderId="0" xfId="0" applyNumberFormat="1" applyFont="1" applyBorder="1" applyAlignment="1">
      <alignment vertical="center"/>
    </xf>
    <xf numFmtId="49" fontId="37" fillId="2" borderId="0" xfId="0" applyNumberFormat="1" applyFont="1" applyFill="1" applyBorder="1" applyAlignment="1">
      <alignment vertical="center"/>
    </xf>
    <xf numFmtId="49" fontId="35" fillId="3" borderId="17" xfId="0" applyNumberFormat="1" applyFont="1" applyFill="1" applyBorder="1" applyAlignment="1">
      <alignment horizontal="center" vertical="center"/>
    </xf>
    <xf numFmtId="176" fontId="36" fillId="32" borderId="17" xfId="0" applyNumberFormat="1" applyFont="1" applyFill="1" applyBorder="1" applyAlignment="1">
      <alignment horizontal="center" vertical="center"/>
    </xf>
    <xf numFmtId="176" fontId="36" fillId="31" borderId="17" xfId="0" applyNumberFormat="1" applyFont="1" applyFill="1" applyBorder="1" applyAlignment="1">
      <alignment horizontal="center" vertical="center"/>
    </xf>
    <xf numFmtId="176" fontId="36" fillId="2" borderId="17" xfId="0" applyNumberFormat="1" applyFont="1" applyFill="1" applyBorder="1" applyAlignment="1">
      <alignment horizontal="center" vertical="center"/>
    </xf>
    <xf numFmtId="176" fontId="36" fillId="2" borderId="17" xfId="0" applyNumberFormat="1" applyFont="1" applyFill="1" applyBorder="1" applyAlignment="1">
      <alignment horizontal="center" vertical="center" wrapText="1"/>
    </xf>
    <xf numFmtId="49" fontId="36" fillId="2" borderId="17" xfId="0" applyNumberFormat="1" applyFont="1" applyFill="1" applyBorder="1" applyAlignment="1">
      <alignment horizontal="left" vertical="center"/>
    </xf>
    <xf numFmtId="49" fontId="35" fillId="5" borderId="17" xfId="0" applyNumberFormat="1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center" vertical="center"/>
    </xf>
    <xf numFmtId="176" fontId="35" fillId="5" borderId="17" xfId="0" applyNumberFormat="1" applyFont="1" applyFill="1" applyBorder="1" applyAlignment="1">
      <alignment vertical="center"/>
    </xf>
    <xf numFmtId="0" fontId="41" fillId="0" borderId="0" xfId="0" applyNumberFormat="1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49" fontId="36" fillId="32" borderId="17" xfId="0" applyNumberFormat="1" applyFont="1" applyFill="1" applyBorder="1" applyAlignment="1">
      <alignment horizontal="right" vertical="center"/>
    </xf>
    <xf numFmtId="41" fontId="36" fillId="3" borderId="17" xfId="3" applyFont="1" applyFill="1" applyBorder="1" applyAlignment="1">
      <alignment vertical="center"/>
    </xf>
    <xf numFmtId="176" fontId="36" fillId="2" borderId="17" xfId="0" applyNumberFormat="1" applyFont="1" applyFill="1" applyBorder="1" applyAlignment="1">
      <alignment vertical="center" wrapText="1"/>
    </xf>
    <xf numFmtId="176" fontId="36" fillId="2" borderId="17" xfId="0" applyNumberFormat="1" applyFont="1" applyFill="1" applyBorder="1" applyAlignment="1">
      <alignment vertical="center"/>
    </xf>
    <xf numFmtId="49" fontId="36" fillId="0" borderId="17" xfId="0" applyNumberFormat="1" applyFont="1" applyFill="1" applyBorder="1" applyAlignment="1">
      <alignment horizontal="left" vertical="center"/>
    </xf>
    <xf numFmtId="176" fontId="36" fillId="0" borderId="17" xfId="0" applyNumberFormat="1" applyFont="1" applyFill="1" applyBorder="1" applyAlignment="1">
      <alignment vertical="center"/>
    </xf>
    <xf numFmtId="176" fontId="36" fillId="3" borderId="17" xfId="0" applyNumberFormat="1" applyFont="1" applyFill="1" applyBorder="1" applyAlignment="1">
      <alignment vertical="center"/>
    </xf>
    <xf numFmtId="0" fontId="34" fillId="0" borderId="0" xfId="0" applyNumberFormat="1" applyFont="1" applyBorder="1" applyAlignment="1">
      <alignment vertical="center"/>
    </xf>
    <xf numFmtId="49" fontId="35" fillId="31" borderId="17" xfId="0" applyNumberFormat="1" applyFont="1" applyFill="1" applyBorder="1" applyAlignment="1">
      <alignment horizontal="center" vertical="center"/>
    </xf>
    <xf numFmtId="49" fontId="36" fillId="37" borderId="17" xfId="0" applyNumberFormat="1" applyFont="1" applyFill="1" applyBorder="1" applyAlignment="1">
      <alignment horizontal="center" vertical="center"/>
    </xf>
    <xf numFmtId="176" fontId="36" fillId="37" borderId="17" xfId="0" applyNumberFormat="1" applyFont="1" applyFill="1" applyBorder="1" applyAlignment="1">
      <alignment vertical="center"/>
    </xf>
    <xf numFmtId="49" fontId="35" fillId="36" borderId="17" xfId="0" applyNumberFormat="1" applyFont="1" applyFill="1" applyBorder="1" applyAlignment="1">
      <alignment horizontal="center" vertical="center"/>
    </xf>
    <xf numFmtId="0" fontId="35" fillId="36" borderId="17" xfId="0" applyFont="1" applyFill="1" applyBorder="1" applyAlignment="1">
      <alignment horizontal="center" vertical="center"/>
    </xf>
    <xf numFmtId="176" fontId="35" fillId="36" borderId="17" xfId="0" applyNumberFormat="1" applyFont="1" applyFill="1" applyBorder="1" applyAlignment="1">
      <alignment vertical="center"/>
    </xf>
    <xf numFmtId="41" fontId="36" fillId="37" borderId="17" xfId="3" applyFont="1" applyFill="1" applyBorder="1" applyAlignment="1">
      <alignment vertical="center"/>
    </xf>
    <xf numFmtId="176" fontId="36" fillId="37" borderId="17" xfId="0" applyNumberFormat="1" applyFont="1" applyFill="1" applyBorder="1" applyAlignment="1">
      <alignment vertical="center" wrapText="1"/>
    </xf>
    <xf numFmtId="0" fontId="29" fillId="37" borderId="17" xfId="0" applyFont="1" applyFill="1" applyBorder="1" applyAlignment="1">
      <alignment vertical="center"/>
    </xf>
    <xf numFmtId="176" fontId="36" fillId="31" borderId="17" xfId="0" applyNumberFormat="1" applyFont="1" applyFill="1" applyBorder="1" applyAlignment="1">
      <alignment vertical="center"/>
    </xf>
    <xf numFmtId="0" fontId="44" fillId="0" borderId="0" xfId="0" applyFont="1">
      <alignment vertical="center"/>
    </xf>
    <xf numFmtId="49" fontId="35" fillId="32" borderId="26" xfId="0" applyNumberFormat="1" applyFont="1" applyFill="1" applyBorder="1" applyAlignment="1">
      <alignment horizontal="center" vertical="center"/>
    </xf>
    <xf numFmtId="176" fontId="48" fillId="32" borderId="27" xfId="0" applyNumberFormat="1" applyFont="1" applyFill="1" applyBorder="1" applyAlignment="1">
      <alignment horizontal="center" vertical="center"/>
    </xf>
    <xf numFmtId="0" fontId="55" fillId="0" borderId="0" xfId="0" applyNumberFormat="1" applyFont="1" applyAlignment="1">
      <alignment vertical="center"/>
    </xf>
    <xf numFmtId="0" fontId="0" fillId="0" borderId="32" xfId="0" applyBorder="1" applyAlignment="1"/>
    <xf numFmtId="3" fontId="0" fillId="0" borderId="32" xfId="0" applyNumberFormat="1" applyBorder="1" applyAlignment="1"/>
    <xf numFmtId="0" fontId="0" fillId="0" borderId="0" xfId="0" applyFill="1">
      <alignment vertical="center"/>
    </xf>
    <xf numFmtId="176" fontId="36" fillId="2" borderId="31" xfId="0" applyNumberFormat="1" applyFont="1" applyFill="1" applyBorder="1" applyAlignment="1">
      <alignment vertical="center" wrapText="1"/>
    </xf>
    <xf numFmtId="0" fontId="0" fillId="33" borderId="32" xfId="0" applyFill="1" applyBorder="1" applyAlignment="1">
      <alignment horizontal="center"/>
    </xf>
    <xf numFmtId="176" fontId="36" fillId="0" borderId="31" xfId="0" applyNumberFormat="1" applyFont="1" applyFill="1" applyBorder="1" applyAlignment="1">
      <alignment vertical="center"/>
    </xf>
    <xf numFmtId="176" fontId="36" fillId="3" borderId="31" xfId="0" applyNumberFormat="1" applyFont="1" applyFill="1" applyBorder="1" applyAlignment="1">
      <alignment vertical="center"/>
    </xf>
    <xf numFmtId="49" fontId="36" fillId="37" borderId="34" xfId="0" applyNumberFormat="1" applyFont="1" applyFill="1" applyBorder="1" applyAlignment="1">
      <alignment horizontal="center" vertical="center"/>
    </xf>
    <xf numFmtId="176" fontId="36" fillId="37" borderId="34" xfId="0" applyNumberFormat="1" applyFont="1" applyFill="1" applyBorder="1" applyAlignment="1">
      <alignment vertical="center" wrapText="1"/>
    </xf>
    <xf numFmtId="0" fontId="36" fillId="37" borderId="0" xfId="0" applyFont="1" applyFill="1" applyBorder="1">
      <alignment vertical="center"/>
    </xf>
    <xf numFmtId="49" fontId="35" fillId="31" borderId="34" xfId="0" applyNumberFormat="1" applyFont="1" applyFill="1" applyBorder="1" applyAlignment="1">
      <alignment horizontal="center" vertical="center"/>
    </xf>
    <xf numFmtId="176" fontId="36" fillId="37" borderId="34" xfId="0" applyNumberFormat="1" applyFont="1" applyFill="1" applyBorder="1">
      <alignment vertical="center"/>
    </xf>
    <xf numFmtId="176" fontId="36" fillId="31" borderId="34" xfId="0" applyNumberFormat="1" applyFont="1" applyFill="1" applyBorder="1">
      <alignment vertical="center"/>
    </xf>
    <xf numFmtId="49" fontId="36" fillId="37" borderId="34" xfId="0" applyNumberFormat="1" applyFont="1" applyFill="1" applyBorder="1" applyAlignment="1">
      <alignment horizontal="left" vertical="center"/>
    </xf>
    <xf numFmtId="49" fontId="35" fillId="36" borderId="34" xfId="0" applyNumberFormat="1" applyFont="1" applyFill="1" applyBorder="1" applyAlignment="1">
      <alignment horizontal="center" vertical="center"/>
    </xf>
    <xf numFmtId="0" fontId="35" fillId="36" borderId="34" xfId="0" applyFont="1" applyFill="1" applyBorder="1" applyAlignment="1">
      <alignment horizontal="center" vertical="center"/>
    </xf>
    <xf numFmtId="176" fontId="35" fillId="36" borderId="34" xfId="0" applyNumberFormat="1" applyFont="1" applyFill="1" applyBorder="1">
      <alignment vertical="center"/>
    </xf>
    <xf numFmtId="0" fontId="44" fillId="0" borderId="0" xfId="0" applyFont="1" applyFill="1">
      <alignment vertical="center"/>
    </xf>
    <xf numFmtId="0" fontId="57" fillId="0" borderId="0" xfId="0" applyFont="1" applyFill="1" applyBorder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35" fillId="41" borderId="34" xfId="0" applyFont="1" applyFill="1" applyBorder="1" applyAlignment="1">
      <alignment horizontal="center" vertical="center"/>
    </xf>
    <xf numFmtId="0" fontId="35" fillId="39" borderId="34" xfId="0" applyFont="1" applyFill="1" applyBorder="1" applyAlignment="1">
      <alignment horizontal="center" vertical="center"/>
    </xf>
    <xf numFmtId="0" fontId="35" fillId="38" borderId="34" xfId="0" applyFont="1" applyFill="1" applyBorder="1" applyAlignment="1">
      <alignment horizontal="center" vertical="center"/>
    </xf>
    <xf numFmtId="0" fontId="35" fillId="38" borderId="34" xfId="0" applyFont="1" applyFill="1" applyBorder="1" applyAlignment="1">
      <alignment horizontal="center" vertical="center" wrapText="1"/>
    </xf>
    <xf numFmtId="181" fontId="35" fillId="38" borderId="34" xfId="0" applyNumberFormat="1" applyFont="1" applyFill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181" fontId="35" fillId="0" borderId="34" xfId="0" applyNumberFormat="1" applyFont="1" applyBorder="1">
      <alignment vertical="center"/>
    </xf>
    <xf numFmtId="181" fontId="58" fillId="0" borderId="34" xfId="0" applyNumberFormat="1" applyFont="1" applyBorder="1">
      <alignment vertical="center"/>
    </xf>
    <xf numFmtId="181" fontId="58" fillId="0" borderId="34" xfId="0" applyNumberFormat="1" applyFont="1" applyFill="1" applyBorder="1" applyAlignment="1">
      <alignment horizontal="right" vertical="center"/>
    </xf>
    <xf numFmtId="9" fontId="58" fillId="0" borderId="34" xfId="3" applyNumberFormat="1" applyFont="1" applyFill="1" applyBorder="1" applyAlignment="1">
      <alignment horizontal="right" vertical="center"/>
    </xf>
    <xf numFmtId="0" fontId="41" fillId="0" borderId="0" xfId="0" applyFont="1">
      <alignment vertical="center"/>
    </xf>
    <xf numFmtId="0" fontId="44" fillId="0" borderId="0" xfId="0" applyFont="1" applyFill="1" applyBorder="1">
      <alignment vertical="center"/>
    </xf>
    <xf numFmtId="0" fontId="55" fillId="0" borderId="0" xfId="0" applyFont="1" applyFill="1" applyBorder="1">
      <alignment vertical="center"/>
    </xf>
    <xf numFmtId="0" fontId="44" fillId="0" borderId="0" xfId="0" applyFont="1" applyAlignment="1">
      <alignment horizontal="center" vertical="center" wrapText="1"/>
    </xf>
    <xf numFmtId="0" fontId="35" fillId="41" borderId="34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181" fontId="36" fillId="0" borderId="34" xfId="0" applyNumberFormat="1" applyFont="1" applyBorder="1">
      <alignment vertical="center"/>
    </xf>
    <xf numFmtId="181" fontId="35" fillId="31" borderId="34" xfId="0" applyNumberFormat="1" applyFont="1" applyFill="1" applyBorder="1">
      <alignment vertical="center"/>
    </xf>
    <xf numFmtId="181" fontId="35" fillId="0" borderId="0" xfId="0" applyNumberFormat="1" applyFont="1" applyFill="1" applyBorder="1">
      <alignment vertical="center"/>
    </xf>
    <xf numFmtId="183" fontId="36" fillId="0" borderId="34" xfId="0" applyNumberFormat="1" applyFont="1" applyBorder="1">
      <alignment vertical="center"/>
    </xf>
    <xf numFmtId="183" fontId="35" fillId="31" borderId="34" xfId="0" applyNumberFormat="1" applyFont="1" applyFill="1" applyBorder="1">
      <alignment vertical="center"/>
    </xf>
    <xf numFmtId="183" fontId="35" fillId="0" borderId="0" xfId="0" applyNumberFormat="1" applyFont="1" applyFill="1" applyBorder="1">
      <alignment vertical="center"/>
    </xf>
    <xf numFmtId="176" fontId="38" fillId="2" borderId="34" xfId="0" applyNumberFormat="1" applyFont="1" applyFill="1" applyBorder="1" applyAlignment="1">
      <alignment horizontal="center" vertical="center"/>
    </xf>
    <xf numFmtId="176" fontId="38" fillId="3" borderId="34" xfId="0" applyNumberFormat="1" applyFont="1" applyFill="1" applyBorder="1" applyAlignment="1">
      <alignment horizontal="center" vertical="center"/>
    </xf>
    <xf numFmtId="41" fontId="38" fillId="2" borderId="34" xfId="3" applyFont="1" applyFill="1" applyBorder="1" applyAlignment="1">
      <alignment horizontal="center" vertical="center"/>
    </xf>
    <xf numFmtId="41" fontId="38" fillId="2" borderId="34" xfId="3" applyFont="1" applyFill="1" applyBorder="1" applyAlignment="1">
      <alignment horizontal="center" vertical="center" wrapText="1"/>
    </xf>
    <xf numFmtId="0" fontId="38" fillId="0" borderId="34" xfId="0" applyNumberFormat="1" applyFont="1" applyBorder="1" applyAlignment="1">
      <alignment horizontal="center" vertical="center"/>
    </xf>
    <xf numFmtId="0" fontId="40" fillId="37" borderId="0" xfId="0" applyFont="1" applyFill="1" applyAlignment="1">
      <alignment vertical="center"/>
    </xf>
    <xf numFmtId="0" fontId="35" fillId="37" borderId="0" xfId="0" applyFont="1" applyFill="1" applyAlignment="1">
      <alignment vertical="center"/>
    </xf>
    <xf numFmtId="0" fontId="60" fillId="0" borderId="0" xfId="0" applyNumberFormat="1" applyFont="1" applyAlignment="1">
      <alignment vertical="center"/>
    </xf>
    <xf numFmtId="0" fontId="73" fillId="0" borderId="0" xfId="0" applyFont="1" applyAlignment="1">
      <alignment vertical="center"/>
    </xf>
    <xf numFmtId="0" fontId="73" fillId="0" borderId="0" xfId="0" applyFont="1">
      <alignment vertical="center"/>
    </xf>
    <xf numFmtId="0" fontId="73" fillId="0" borderId="0" xfId="0" applyNumberFormat="1" applyFont="1">
      <alignment vertical="center"/>
    </xf>
    <xf numFmtId="0" fontId="40" fillId="2" borderId="0" xfId="0" applyFont="1" applyFill="1" applyBorder="1" applyAlignment="1">
      <alignment vertical="center"/>
    </xf>
    <xf numFmtId="0" fontId="40" fillId="37" borderId="0" xfId="0" applyFont="1" applyFill="1" applyBorder="1">
      <alignment vertical="center"/>
    </xf>
    <xf numFmtId="41" fontId="97" fillId="2" borderId="0" xfId="3" applyFont="1" applyFill="1" applyBorder="1" applyAlignment="1">
      <alignment vertical="center"/>
    </xf>
    <xf numFmtId="176" fontId="36" fillId="0" borderId="17" xfId="0" applyNumberFormat="1" applyFont="1" applyFill="1" applyBorder="1" applyAlignment="1">
      <alignment horizontal="center" vertical="center"/>
    </xf>
    <xf numFmtId="49" fontId="36" fillId="0" borderId="14" xfId="0" applyNumberFormat="1" applyFont="1" applyFill="1" applyBorder="1" applyAlignment="1">
      <alignment horizontal="center" vertical="center"/>
    </xf>
    <xf numFmtId="49" fontId="38" fillId="0" borderId="34" xfId="0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49" fontId="36" fillId="2" borderId="10" xfId="0" applyNumberFormat="1" applyFont="1" applyFill="1" applyBorder="1" applyAlignment="1">
      <alignment horizontal="left" vertical="center"/>
    </xf>
    <xf numFmtId="49" fontId="36" fillId="2" borderId="34" xfId="0" applyNumberFormat="1" applyFont="1" applyFill="1" applyBorder="1" applyAlignment="1">
      <alignment horizontal="left" vertical="center"/>
    </xf>
    <xf numFmtId="49" fontId="36" fillId="37" borderId="14" xfId="0" applyNumberFormat="1" applyFont="1" applyFill="1" applyBorder="1" applyAlignment="1">
      <alignment horizontal="left" vertical="center"/>
    </xf>
    <xf numFmtId="49" fontId="36" fillId="2" borderId="31" xfId="0" applyNumberFormat="1" applyFont="1" applyFill="1" applyBorder="1" applyAlignment="1">
      <alignment horizontal="left" vertical="center"/>
    </xf>
    <xf numFmtId="41" fontId="36" fillId="0" borderId="0" xfId="3" applyFont="1" applyBorder="1" applyAlignment="1">
      <alignment vertical="center"/>
    </xf>
    <xf numFmtId="0" fontId="73" fillId="0" borderId="0" xfId="0" applyNumberFormat="1" applyFont="1" applyAlignment="1">
      <alignment vertical="center"/>
    </xf>
    <xf numFmtId="41" fontId="36" fillId="37" borderId="0" xfId="0" applyNumberFormat="1" applyFont="1" applyFill="1" applyBorder="1" applyAlignment="1">
      <alignment vertical="center"/>
    </xf>
    <xf numFmtId="49" fontId="35" fillId="3" borderId="14" xfId="0" applyNumberFormat="1" applyFont="1" applyFill="1" applyBorder="1" applyAlignment="1">
      <alignment horizontal="center" vertical="center"/>
    </xf>
    <xf numFmtId="0" fontId="36" fillId="0" borderId="31" xfId="0" applyNumberFormat="1" applyFont="1" applyBorder="1" applyAlignment="1">
      <alignment vertical="center"/>
    </xf>
    <xf numFmtId="41" fontId="36" fillId="0" borderId="0" xfId="3" applyFont="1" applyAlignment="1">
      <alignment vertical="center"/>
    </xf>
    <xf numFmtId="176" fontId="36" fillId="2" borderId="34" xfId="0" applyNumberFormat="1" applyFont="1" applyFill="1" applyBorder="1" applyAlignment="1">
      <alignment vertical="center"/>
    </xf>
    <xf numFmtId="0" fontId="36" fillId="2" borderId="55" xfId="0" applyFont="1" applyFill="1" applyBorder="1" applyAlignment="1">
      <alignment vertical="center"/>
    </xf>
    <xf numFmtId="0" fontId="36" fillId="0" borderId="54" xfId="0" applyNumberFormat="1" applyFont="1" applyBorder="1" applyAlignment="1">
      <alignment vertical="center"/>
    </xf>
    <xf numFmtId="0" fontId="36" fillId="0" borderId="56" xfId="0" applyNumberFormat="1" applyFont="1" applyBorder="1" applyAlignment="1">
      <alignment vertical="center"/>
    </xf>
    <xf numFmtId="0" fontId="36" fillId="0" borderId="57" xfId="0" applyNumberFormat="1" applyFont="1" applyBorder="1" applyAlignment="1">
      <alignment vertical="center"/>
    </xf>
    <xf numFmtId="176" fontId="36" fillId="37" borderId="0" xfId="0" applyNumberFormat="1" applyFont="1" applyFill="1" applyBorder="1" applyAlignment="1">
      <alignment vertical="center"/>
    </xf>
    <xf numFmtId="3" fontId="36" fillId="0" borderId="0" xfId="0" applyNumberFormat="1" applyFont="1" applyBorder="1" applyAlignment="1">
      <alignment vertical="center"/>
    </xf>
    <xf numFmtId="3" fontId="98" fillId="0" borderId="0" xfId="0" applyNumberFormat="1" applyFont="1" applyAlignment="1">
      <alignment vertical="center"/>
    </xf>
    <xf numFmtId="176" fontId="36" fillId="0" borderId="34" xfId="0" applyNumberFormat="1" applyFont="1" applyFill="1" applyBorder="1" applyAlignment="1">
      <alignment vertical="center"/>
    </xf>
    <xf numFmtId="176" fontId="36" fillId="0" borderId="11" xfId="0" applyNumberFormat="1" applyFont="1" applyFill="1" applyBorder="1" applyAlignment="1">
      <alignment vertical="center"/>
    </xf>
    <xf numFmtId="176" fontId="38" fillId="0" borderId="14" xfId="0" applyNumberFormat="1" applyFont="1" applyFill="1" applyBorder="1" applyAlignment="1">
      <alignment vertical="center"/>
    </xf>
    <xf numFmtId="0" fontId="0" fillId="37" borderId="0" xfId="0" applyNumberFormat="1" applyFont="1" applyFill="1" applyBorder="1" applyAlignment="1">
      <alignment vertical="center"/>
    </xf>
    <xf numFmtId="49" fontId="99" fillId="0" borderId="0" xfId="0" applyNumberFormat="1" applyFont="1">
      <alignment vertical="center"/>
    </xf>
    <xf numFmtId="0" fontId="100" fillId="0" borderId="0" xfId="0" applyFont="1">
      <alignment vertical="center"/>
    </xf>
    <xf numFmtId="180" fontId="101" fillId="0" borderId="0" xfId="215" applyNumberFormat="1" applyFont="1" applyFill="1" applyBorder="1" applyAlignment="1">
      <alignment vertical="center"/>
    </xf>
    <xf numFmtId="41" fontId="101" fillId="0" borderId="0" xfId="215" applyFont="1" applyFill="1" applyBorder="1" applyAlignment="1">
      <alignment vertical="center"/>
    </xf>
    <xf numFmtId="0" fontId="100" fillId="0" borderId="16" xfId="0" applyFont="1" applyBorder="1">
      <alignment vertical="center"/>
    </xf>
    <xf numFmtId="0" fontId="102" fillId="31" borderId="16" xfId="703" applyFont="1" applyFill="1" applyBorder="1" applyAlignment="1">
      <alignment horizontal="center" vertical="center"/>
    </xf>
    <xf numFmtId="0" fontId="100" fillId="31" borderId="34" xfId="0" applyFont="1" applyFill="1" applyBorder="1" applyAlignment="1">
      <alignment horizontal="center" vertical="center"/>
    </xf>
    <xf numFmtId="180" fontId="100" fillId="31" borderId="34" xfId="215" applyNumberFormat="1" applyFont="1" applyFill="1" applyBorder="1" applyAlignment="1">
      <alignment horizontal="center" vertical="center"/>
    </xf>
    <xf numFmtId="180" fontId="100" fillId="31" borderId="34" xfId="0" applyNumberFormat="1" applyFont="1" applyFill="1" applyBorder="1" applyAlignment="1">
      <alignment horizontal="center" vertical="center"/>
    </xf>
    <xf numFmtId="9" fontId="100" fillId="31" borderId="34" xfId="209" applyFont="1" applyFill="1" applyBorder="1" applyAlignment="1">
      <alignment horizontal="center" vertical="center"/>
    </xf>
    <xf numFmtId="180" fontId="103" fillId="31" borderId="16" xfId="702" applyNumberFormat="1" applyFont="1" applyFill="1" applyBorder="1" applyAlignment="1">
      <alignment horizontal="center" vertical="center"/>
    </xf>
    <xf numFmtId="41" fontId="100" fillId="31" borderId="34" xfId="215" applyFont="1" applyFill="1" applyBorder="1" applyAlignment="1">
      <alignment horizontal="center" vertical="center"/>
    </xf>
    <xf numFmtId="0" fontId="100" fillId="0" borderId="0" xfId="335" applyFont="1">
      <alignment vertical="center"/>
    </xf>
    <xf numFmtId="0" fontId="55" fillId="0" borderId="16" xfId="0" applyFont="1" applyBorder="1">
      <alignment vertical="center"/>
    </xf>
    <xf numFmtId="3" fontId="100" fillId="0" borderId="16" xfId="0" applyNumberFormat="1" applyFont="1" applyBorder="1">
      <alignment vertical="center"/>
    </xf>
    <xf numFmtId="41" fontId="104" fillId="0" borderId="16" xfId="618" applyFont="1" applyBorder="1" applyAlignment="1">
      <alignment vertical="center"/>
    </xf>
    <xf numFmtId="41" fontId="100" fillId="0" borderId="16" xfId="618" applyFont="1" applyBorder="1" applyAlignment="1">
      <alignment vertical="center"/>
    </xf>
    <xf numFmtId="49" fontId="100" fillId="0" borderId="16" xfId="0" applyNumberFormat="1" applyFont="1" applyBorder="1">
      <alignment vertical="center"/>
    </xf>
    <xf numFmtId="180" fontId="100" fillId="0" borderId="16" xfId="215" applyNumberFormat="1" applyFont="1" applyBorder="1" applyAlignment="1">
      <alignment vertical="center"/>
    </xf>
    <xf numFmtId="49" fontId="100" fillId="0" borderId="30" xfId="0" applyNumberFormat="1" applyFont="1" applyBorder="1">
      <alignment vertical="center"/>
    </xf>
    <xf numFmtId="180" fontId="100" fillId="0" borderId="34" xfId="215" applyNumberFormat="1" applyFont="1" applyBorder="1" applyAlignment="1">
      <alignment vertical="center"/>
    </xf>
    <xf numFmtId="0" fontId="55" fillId="0" borderId="34" xfId="0" applyFont="1" applyBorder="1">
      <alignment vertical="center"/>
    </xf>
    <xf numFmtId="180" fontId="100" fillId="0" borderId="16" xfId="618" applyNumberFormat="1" applyFont="1" applyBorder="1" applyAlignment="1">
      <alignment vertical="center"/>
    </xf>
    <xf numFmtId="41" fontId="100" fillId="0" borderId="30" xfId="618" applyFont="1" applyBorder="1" applyAlignment="1">
      <alignment vertical="center"/>
    </xf>
    <xf numFmtId="41" fontId="100" fillId="0" borderId="34" xfId="618" applyFont="1" applyBorder="1" applyAlignment="1">
      <alignment vertical="center"/>
    </xf>
    <xf numFmtId="41" fontId="55" fillId="0" borderId="0" xfId="0" applyNumberFormat="1" applyFont="1">
      <alignment vertical="center"/>
    </xf>
    <xf numFmtId="0" fontId="100" fillId="0" borderId="50" xfId="0" applyFont="1" applyBorder="1">
      <alignment vertical="center"/>
    </xf>
    <xf numFmtId="0" fontId="55" fillId="0" borderId="50" xfId="0" applyFont="1" applyBorder="1">
      <alignment vertical="center"/>
    </xf>
    <xf numFmtId="3" fontId="100" fillId="0" borderId="50" xfId="0" applyNumberFormat="1" applyFont="1" applyBorder="1">
      <alignment vertical="center"/>
    </xf>
    <xf numFmtId="41" fontId="104" fillId="0" borderId="50" xfId="618" applyFont="1" applyBorder="1" applyAlignment="1">
      <alignment vertical="center"/>
    </xf>
    <xf numFmtId="41" fontId="100" fillId="0" borderId="50" xfId="618" applyFont="1" applyBorder="1" applyAlignment="1">
      <alignment vertical="center"/>
    </xf>
    <xf numFmtId="49" fontId="100" fillId="0" borderId="50" xfId="0" applyNumberFormat="1" applyFont="1" applyBorder="1">
      <alignment vertical="center"/>
    </xf>
    <xf numFmtId="180" fontId="100" fillId="0" borderId="50" xfId="215" applyNumberFormat="1" applyFont="1" applyBorder="1" applyAlignment="1">
      <alignment vertical="center"/>
    </xf>
    <xf numFmtId="49" fontId="100" fillId="0" borderId="51" xfId="0" applyNumberFormat="1" applyFont="1" applyBorder="1">
      <alignment vertical="center"/>
    </xf>
    <xf numFmtId="180" fontId="100" fillId="0" borderId="52" xfId="215" applyNumberFormat="1" applyFont="1" applyBorder="1" applyAlignment="1">
      <alignment vertical="center"/>
    </xf>
    <xf numFmtId="0" fontId="55" fillId="0" borderId="52" xfId="0" applyFont="1" applyBorder="1">
      <alignment vertical="center"/>
    </xf>
    <xf numFmtId="180" fontId="100" fillId="0" borderId="50" xfId="618" applyNumberFormat="1" applyFont="1" applyBorder="1" applyAlignment="1">
      <alignment vertical="center"/>
    </xf>
    <xf numFmtId="41" fontId="100" fillId="0" borderId="51" xfId="618" applyFont="1" applyBorder="1" applyAlignment="1">
      <alignment vertical="center"/>
    </xf>
    <xf numFmtId="41" fontId="100" fillId="0" borderId="52" xfId="618" applyFont="1" applyBorder="1" applyAlignment="1">
      <alignment vertical="center"/>
    </xf>
    <xf numFmtId="0" fontId="100" fillId="0" borderId="17" xfId="0" applyFont="1" applyBorder="1">
      <alignment vertical="center"/>
    </xf>
    <xf numFmtId="0" fontId="55" fillId="0" borderId="17" xfId="0" applyFont="1" applyBorder="1">
      <alignment vertical="center"/>
    </xf>
    <xf numFmtId="3" fontId="100" fillId="0" borderId="17" xfId="0" applyNumberFormat="1" applyFont="1" applyBorder="1">
      <alignment vertical="center"/>
    </xf>
    <xf numFmtId="41" fontId="104" fillId="0" borderId="17" xfId="618" applyFont="1" applyBorder="1" applyAlignment="1">
      <alignment vertical="center"/>
    </xf>
    <xf numFmtId="41" fontId="100" fillId="0" borderId="17" xfId="618" applyFont="1" applyBorder="1" applyAlignment="1">
      <alignment vertical="center"/>
    </xf>
    <xf numFmtId="49" fontId="100" fillId="0" borderId="17" xfId="0" applyNumberFormat="1" applyFont="1" applyBorder="1">
      <alignment vertical="center"/>
    </xf>
    <xf numFmtId="180" fontId="100" fillId="0" borderId="17" xfId="215" applyNumberFormat="1" applyFont="1" applyBorder="1" applyAlignment="1">
      <alignment vertical="center"/>
    </xf>
    <xf numFmtId="180" fontId="100" fillId="0" borderId="17" xfId="618" applyNumberFormat="1" applyFont="1" applyBorder="1" applyAlignment="1">
      <alignment vertical="center"/>
    </xf>
    <xf numFmtId="0" fontId="100" fillId="0" borderId="34" xfId="0" applyFont="1" applyBorder="1">
      <alignment vertical="center"/>
    </xf>
    <xf numFmtId="3" fontId="100" fillId="0" borderId="34" xfId="0" applyNumberFormat="1" applyFont="1" applyBorder="1">
      <alignment vertical="center"/>
    </xf>
    <xf numFmtId="41" fontId="104" fillId="0" borderId="34" xfId="618" applyFont="1" applyBorder="1" applyAlignment="1">
      <alignment vertical="center"/>
    </xf>
    <xf numFmtId="49" fontId="100" fillId="0" borderId="34" xfId="0" applyNumberFormat="1" applyFont="1" applyBorder="1">
      <alignment vertical="center"/>
    </xf>
    <xf numFmtId="180" fontId="100" fillId="0" borderId="34" xfId="618" applyNumberFormat="1" applyFont="1" applyBorder="1" applyAlignment="1">
      <alignment vertical="center"/>
    </xf>
    <xf numFmtId="0" fontId="100" fillId="0" borderId="0" xfId="0" applyFont="1" applyBorder="1">
      <alignment vertical="center"/>
    </xf>
    <xf numFmtId="0" fontId="55" fillId="0" borderId="0" xfId="0" applyFont="1" applyBorder="1">
      <alignment vertical="center"/>
    </xf>
    <xf numFmtId="3" fontId="100" fillId="0" borderId="0" xfId="0" applyNumberFormat="1" applyFont="1" applyBorder="1">
      <alignment vertical="center"/>
    </xf>
    <xf numFmtId="41" fontId="104" fillId="0" borderId="0" xfId="618" applyFont="1" applyBorder="1" applyAlignment="1">
      <alignment vertical="center"/>
    </xf>
    <xf numFmtId="41" fontId="100" fillId="0" borderId="0" xfId="618" applyFont="1" applyBorder="1" applyAlignment="1">
      <alignment vertical="center"/>
    </xf>
    <xf numFmtId="49" fontId="100" fillId="0" borderId="0" xfId="0" applyNumberFormat="1" applyFont="1" applyBorder="1">
      <alignment vertical="center"/>
    </xf>
    <xf numFmtId="180" fontId="100" fillId="0" borderId="0" xfId="215" applyNumberFormat="1" applyFont="1" applyBorder="1" applyAlignment="1">
      <alignment vertical="center"/>
    </xf>
    <xf numFmtId="180" fontId="100" fillId="0" borderId="0" xfId="618" applyNumberFormat="1" applyFont="1" applyBorder="1" applyAlignment="1">
      <alignment vertical="center"/>
    </xf>
    <xf numFmtId="184" fontId="100" fillId="0" borderId="0" xfId="0" applyNumberFormat="1" applyFont="1" applyAlignment="1">
      <alignment horizontal="center" vertical="center"/>
    </xf>
    <xf numFmtId="41" fontId="100" fillId="0" borderId="0" xfId="3" applyFont="1" applyAlignment="1">
      <alignment vertical="center"/>
    </xf>
    <xf numFmtId="41" fontId="102" fillId="0" borderId="0" xfId="3" applyFont="1" applyAlignment="1">
      <alignment vertical="center"/>
    </xf>
    <xf numFmtId="182" fontId="100" fillId="0" borderId="0" xfId="0" applyNumberFormat="1" applyFont="1">
      <alignment vertical="center"/>
    </xf>
    <xf numFmtId="180" fontId="100" fillId="0" borderId="0" xfId="0" applyNumberFormat="1" applyFont="1">
      <alignment vertical="center"/>
    </xf>
    <xf numFmtId="0" fontId="99" fillId="31" borderId="34" xfId="0" applyFont="1" applyFill="1" applyBorder="1" applyAlignment="1">
      <alignment horizontal="center" vertical="center"/>
    </xf>
    <xf numFmtId="2" fontId="99" fillId="31" borderId="34" xfId="0" applyNumberFormat="1" applyFont="1" applyFill="1" applyBorder="1" applyAlignment="1">
      <alignment horizontal="center" vertical="center"/>
    </xf>
    <xf numFmtId="0" fontId="105" fillId="31" borderId="34" xfId="703" applyFont="1" applyFill="1" applyBorder="1" applyAlignment="1">
      <alignment horizontal="center" vertical="center"/>
    </xf>
    <xf numFmtId="0" fontId="99" fillId="31" borderId="34" xfId="1214" applyFont="1" applyFill="1" applyBorder="1" applyAlignment="1">
      <alignment horizontal="center" vertical="center"/>
    </xf>
    <xf numFmtId="41" fontId="99" fillId="31" borderId="34" xfId="3" applyFont="1" applyFill="1" applyBorder="1" applyAlignment="1">
      <alignment horizontal="center" vertical="center"/>
    </xf>
    <xf numFmtId="2" fontId="100" fillId="37" borderId="34" xfId="0" applyNumberFormat="1" applyFont="1" applyFill="1" applyBorder="1" applyAlignment="1">
      <alignment horizontal="center" vertical="center"/>
    </xf>
    <xf numFmtId="0" fontId="102" fillId="37" borderId="34" xfId="703" applyFont="1" applyFill="1" applyBorder="1" applyAlignment="1">
      <alignment vertical="center"/>
    </xf>
    <xf numFmtId="0" fontId="100" fillId="37" borderId="34" xfId="1214" applyFont="1" applyFill="1" applyBorder="1" applyAlignment="1">
      <alignment vertical="center"/>
    </xf>
    <xf numFmtId="41" fontId="100" fillId="37" borderId="34" xfId="3" applyFont="1" applyFill="1" applyBorder="1" applyAlignment="1">
      <alignment vertical="center"/>
    </xf>
    <xf numFmtId="41" fontId="100" fillId="0" borderId="34" xfId="3" applyFont="1" applyFill="1" applyBorder="1" applyAlignment="1">
      <alignment vertical="center"/>
    </xf>
    <xf numFmtId="0" fontId="100" fillId="0" borderId="34" xfId="0" applyFont="1" applyBorder="1" applyAlignment="1">
      <alignment horizontal="center" vertical="center"/>
    </xf>
    <xf numFmtId="180" fontId="100" fillId="0" borderId="34" xfId="0" applyNumberFormat="1" applyFont="1" applyBorder="1">
      <alignment vertical="center"/>
    </xf>
    <xf numFmtId="176" fontId="38" fillId="0" borderId="34" xfId="0" applyNumberFormat="1" applyFont="1" applyFill="1" applyBorder="1" applyAlignment="1">
      <alignment vertical="center"/>
    </xf>
    <xf numFmtId="49" fontId="36" fillId="37" borderId="34" xfId="0" applyNumberFormat="1" applyFont="1" applyFill="1" applyBorder="1" applyAlignment="1">
      <alignment vertical="center"/>
    </xf>
    <xf numFmtId="0" fontId="54" fillId="71" borderId="16" xfId="0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vertical="center" wrapText="1"/>
    </xf>
    <xf numFmtId="0" fontId="106" fillId="0" borderId="16" xfId="0" applyFont="1" applyBorder="1" applyAlignment="1">
      <alignment vertical="center" wrapText="1"/>
    </xf>
    <xf numFmtId="0" fontId="107" fillId="0" borderId="16" xfId="0" applyFont="1" applyBorder="1" applyAlignment="1">
      <alignment vertical="center" wrapText="1"/>
    </xf>
    <xf numFmtId="0" fontId="108" fillId="0" borderId="16" xfId="0" applyFont="1" applyBorder="1" applyAlignment="1">
      <alignment vertical="center" wrapText="1"/>
    </xf>
    <xf numFmtId="0" fontId="54" fillId="0" borderId="16" xfId="0" applyFont="1" applyBorder="1" applyAlignment="1">
      <alignment horizontal="right" vertical="center" wrapText="1"/>
    </xf>
    <xf numFmtId="0" fontId="109" fillId="0" borderId="16" xfId="0" applyFont="1" applyBorder="1" applyAlignment="1">
      <alignment horizontal="right" vertical="center" wrapText="1"/>
    </xf>
    <xf numFmtId="0" fontId="110" fillId="0" borderId="16" xfId="0" applyFont="1" applyBorder="1" applyAlignment="1">
      <alignment horizontal="right" vertical="center" wrapText="1"/>
    </xf>
    <xf numFmtId="3" fontId="54" fillId="0" borderId="16" xfId="0" applyNumberFormat="1" applyFont="1" applyBorder="1" applyAlignment="1">
      <alignment horizontal="right" vertical="center" wrapText="1"/>
    </xf>
    <xf numFmtId="0" fontId="44" fillId="0" borderId="16" xfId="0" applyFont="1" applyBorder="1" applyAlignment="1">
      <alignment horizontal="right" vertical="center" wrapText="1"/>
    </xf>
    <xf numFmtId="3" fontId="109" fillId="0" borderId="16" xfId="0" applyNumberFormat="1" applyFont="1" applyBorder="1" applyAlignment="1">
      <alignment horizontal="right" vertical="center" wrapText="1"/>
    </xf>
    <xf numFmtId="0" fontId="112" fillId="0" borderId="16" xfId="0" applyFont="1" applyBorder="1" applyAlignment="1">
      <alignment vertical="center" wrapText="1"/>
    </xf>
    <xf numFmtId="0" fontId="113" fillId="0" borderId="16" xfId="0" applyFont="1" applyBorder="1" applyAlignment="1">
      <alignment vertical="center" wrapText="1"/>
    </xf>
    <xf numFmtId="0" fontId="114" fillId="0" borderId="16" xfId="0" applyFont="1" applyBorder="1" applyAlignment="1">
      <alignment vertical="center" wrapText="1"/>
    </xf>
    <xf numFmtId="0" fontId="115" fillId="0" borderId="16" xfId="0" applyFont="1" applyBorder="1" applyAlignment="1">
      <alignment vertical="center" wrapText="1"/>
    </xf>
    <xf numFmtId="49" fontId="38" fillId="2" borderId="34" xfId="0" applyNumberFormat="1" applyFont="1" applyFill="1" applyBorder="1" applyAlignment="1">
      <alignment horizontal="center" vertical="center"/>
    </xf>
    <xf numFmtId="3" fontId="36" fillId="31" borderId="0" xfId="0" applyNumberFormat="1" applyFont="1" applyFill="1">
      <alignment vertical="center"/>
    </xf>
    <xf numFmtId="49" fontId="45" fillId="2" borderId="0" xfId="0" applyNumberFormat="1" applyFont="1" applyFill="1" applyBorder="1" applyAlignment="1">
      <alignment horizontal="left" vertical="center"/>
    </xf>
    <xf numFmtId="49" fontId="36" fillId="3" borderId="22" xfId="0" applyNumberFormat="1" applyFont="1" applyFill="1" applyBorder="1" applyAlignment="1">
      <alignment horizontal="center" vertical="center"/>
    </xf>
    <xf numFmtId="49" fontId="36" fillId="3" borderId="23" xfId="0" applyNumberFormat="1" applyFont="1" applyFill="1" applyBorder="1" applyAlignment="1">
      <alignment horizontal="center" vertical="center"/>
    </xf>
    <xf numFmtId="0" fontId="36" fillId="30" borderId="17" xfId="0" applyNumberFormat="1" applyFont="1" applyFill="1" applyBorder="1" applyAlignment="1">
      <alignment horizontal="center" vertical="center"/>
    </xf>
    <xf numFmtId="0" fontId="36" fillId="0" borderId="12" xfId="0" applyNumberFormat="1" applyFont="1" applyBorder="1" applyAlignment="1">
      <alignment horizontal="center" vertical="center"/>
    </xf>
    <xf numFmtId="0" fontId="36" fillId="0" borderId="13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52" xfId="0" applyNumberFormat="1" applyFont="1" applyBorder="1" applyAlignment="1">
      <alignment horizontal="center" vertical="center"/>
    </xf>
    <xf numFmtId="0" fontId="36" fillId="0" borderId="53" xfId="0" applyNumberFormat="1" applyFont="1" applyBorder="1" applyAlignment="1">
      <alignment horizontal="center" vertical="center"/>
    </xf>
    <xf numFmtId="0" fontId="36" fillId="0" borderId="54" xfId="0" applyNumberFormat="1" applyFont="1" applyBorder="1" applyAlignment="1">
      <alignment horizontal="center" vertical="center"/>
    </xf>
    <xf numFmtId="0" fontId="0" fillId="33" borderId="33" xfId="0" applyFill="1" applyBorder="1" applyAlignment="1">
      <alignment horizontal="center"/>
    </xf>
    <xf numFmtId="0" fontId="57" fillId="40" borderId="35" xfId="0" applyFont="1" applyFill="1" applyBorder="1" applyAlignment="1">
      <alignment horizontal="center" vertical="center"/>
    </xf>
    <xf numFmtId="0" fontId="57" fillId="40" borderId="36" xfId="0" applyFont="1" applyFill="1" applyBorder="1" applyAlignment="1">
      <alignment horizontal="center" vertical="center"/>
    </xf>
    <xf numFmtId="0" fontId="44" fillId="0" borderId="30" xfId="0" applyFont="1" applyBorder="1" applyAlignment="1">
      <alignment vertical="center" wrapText="1"/>
    </xf>
    <xf numFmtId="0" fontId="44" fillId="0" borderId="58" xfId="0" applyFont="1" applyBorder="1" applyAlignment="1">
      <alignment vertical="center" wrapText="1"/>
    </xf>
    <xf numFmtId="0" fontId="44" fillId="0" borderId="59" xfId="0" applyFont="1" applyBorder="1" applyAlignment="1">
      <alignment vertical="center" wrapText="1"/>
    </xf>
    <xf numFmtId="49" fontId="36" fillId="2" borderId="60" xfId="0" applyNumberFormat="1" applyFont="1" applyFill="1" applyBorder="1" applyAlignment="1">
      <alignment horizontal="center" vertical="center"/>
    </xf>
    <xf numFmtId="181" fontId="36" fillId="2" borderId="61" xfId="3" applyNumberFormat="1" applyFont="1" applyFill="1" applyBorder="1" applyAlignment="1">
      <alignment horizontal="right" vertical="center"/>
    </xf>
    <xf numFmtId="49" fontId="36" fillId="2" borderId="24" xfId="0" quotePrefix="1" applyNumberFormat="1" applyFont="1" applyFill="1" applyBorder="1" applyAlignment="1">
      <alignment horizontal="center" vertical="center"/>
    </xf>
  </cellXfs>
  <cellStyles count="1216">
    <cellStyle name="=C:\WINNT\SYSTEM32\COMMAND.COM" xfId="4"/>
    <cellStyle name="=C:\WINNT\SYSTEM32\COMMAND.COM 10" xfId="5"/>
    <cellStyle name="=C:\WINNT\SYSTEM32\COMMAND.COM 2" xfId="6"/>
    <cellStyle name="=C:\WINNT\SYSTEM32\COMMAND.COM 2 2" xfId="7"/>
    <cellStyle name="=C:\WINNT\SYSTEM32\COMMAND.COM 2 2 2" xfId="752"/>
    <cellStyle name="=C:\WINNT\SYSTEM32\COMMAND.COM 2 3" xfId="8"/>
    <cellStyle name="=C:\WINNT\SYSTEM32\COMMAND.COM 2 3 2" xfId="753"/>
    <cellStyle name="=C:\WINNT\SYSTEM32\COMMAND.COM 2 4" xfId="9"/>
    <cellStyle name="=C:\WINNT\SYSTEM32\COMMAND.COM 2 4 2" xfId="754"/>
    <cellStyle name="=C:\WINNT\SYSTEM32\COMMAND.COM 2 5" xfId="10"/>
    <cellStyle name="=C:\WINNT\SYSTEM32\COMMAND.COM 2 5 2" xfId="755"/>
    <cellStyle name="=C:\WINNT\SYSTEM32\COMMAND.COM 2 6" xfId="751"/>
    <cellStyle name="=C:\WINNT\SYSTEM32\COMMAND.COM 3" xfId="11"/>
    <cellStyle name="=C:\WINNT\SYSTEM32\COMMAND.COM 3 2" xfId="12"/>
    <cellStyle name="=C:\WINNT\SYSTEM32\COMMAND.COM 3 3" xfId="13"/>
    <cellStyle name="=C:\WINNT\SYSTEM32\COMMAND.COM 3 4" xfId="14"/>
    <cellStyle name="=C:\WINNT\SYSTEM32\COMMAND.COM 3 5" xfId="15"/>
    <cellStyle name="=C:\WINNT\SYSTEM32\COMMAND.COM 3 6" xfId="756"/>
    <cellStyle name="=C:\WINNT\SYSTEM32\COMMAND.COM 4" xfId="16"/>
    <cellStyle name="=C:\WINNT\SYSTEM32\COMMAND.COM 4 2" xfId="17"/>
    <cellStyle name="=C:\WINNT\SYSTEM32\COMMAND.COM 4 3" xfId="757"/>
    <cellStyle name="=C:\WINNT\SYSTEM32\COMMAND.COM 5" xfId="18"/>
    <cellStyle name="=C:\WINNT\SYSTEM32\COMMAND.COM 5 2" xfId="758"/>
    <cellStyle name="=C:\WINNT\SYSTEM32\COMMAND.COM 6" xfId="19"/>
    <cellStyle name="=C:\WINNT\SYSTEM32\COMMAND.COM 6 2" xfId="759"/>
    <cellStyle name="=C:\WINNT\SYSTEM32\COMMAND.COM 7" xfId="20"/>
    <cellStyle name="=C:\WINNT\SYSTEM32\COMMAND.COM 7 2" xfId="760"/>
    <cellStyle name="=C:\WINNT\SYSTEM32\COMMAND.COM 8" xfId="21"/>
    <cellStyle name="=C:\WINNT\SYSTEM32\COMMAND.COM 8 2" xfId="761"/>
    <cellStyle name="=C:\WINNT\SYSTEM32\COMMAND.COM 9" xfId="22"/>
    <cellStyle name="=C:\WINNT\SYSTEM32\COMMAND.COM 9 2" xfId="762"/>
    <cellStyle name="=C:\WINNT\SYSTEM32\COMMAND.COM_KT_WB_PPV_NOV_11_WB" xfId="23"/>
    <cellStyle name="20% - 강조색1" xfId="718" builtinId="30" customBuiltin="1"/>
    <cellStyle name="20% - 강조색1 10" xfId="24"/>
    <cellStyle name="20% - 강조색1 10 2" xfId="1104"/>
    <cellStyle name="20% - 강조색1 11" xfId="25"/>
    <cellStyle name="20% - 강조색1 11 2" xfId="1119"/>
    <cellStyle name="20% - 강조색1 12" xfId="26"/>
    <cellStyle name="20% - 강조색1 12 2" xfId="1134"/>
    <cellStyle name="20% - 강조색1 13" xfId="27"/>
    <cellStyle name="20% - 강조색1 13 2" xfId="1149"/>
    <cellStyle name="20% - 강조색1 14" xfId="28"/>
    <cellStyle name="20% - 강조색1 14 2" xfId="1199"/>
    <cellStyle name="20% - 강조색1 2" xfId="29"/>
    <cellStyle name="20% - 강조색1 2 2" xfId="763"/>
    <cellStyle name="20% - 강조색1 3" xfId="30"/>
    <cellStyle name="20% - 강조색1 3 2" xfId="1002"/>
    <cellStyle name="20% - 강조색1 4" xfId="31"/>
    <cellStyle name="20% - 강조색1 4 2" xfId="1016"/>
    <cellStyle name="20% - 강조색1 5" xfId="32"/>
    <cellStyle name="20% - 강조색1 5 2" xfId="1030"/>
    <cellStyle name="20% - 강조색1 6" xfId="33"/>
    <cellStyle name="20% - 강조색1 6 2" xfId="1044"/>
    <cellStyle name="20% - 강조색1 7" xfId="34"/>
    <cellStyle name="20% - 강조색1 7 2" xfId="1059"/>
    <cellStyle name="20% - 강조색1 8" xfId="35"/>
    <cellStyle name="20% - 강조색1 8 2" xfId="1074"/>
    <cellStyle name="20% - 강조색1 9" xfId="36"/>
    <cellStyle name="20% - 강조색1 9 2" xfId="1089"/>
    <cellStyle name="20% - 강조색2" xfId="721" builtinId="34" customBuiltin="1"/>
    <cellStyle name="20% - 강조색2 10" xfId="37"/>
    <cellStyle name="20% - 강조색2 10 2" xfId="1106"/>
    <cellStyle name="20% - 강조색2 11" xfId="38"/>
    <cellStyle name="20% - 강조색2 11 2" xfId="1121"/>
    <cellStyle name="20% - 강조색2 12" xfId="39"/>
    <cellStyle name="20% - 강조색2 12 2" xfId="1136"/>
    <cellStyle name="20% - 강조색2 13" xfId="40"/>
    <cellStyle name="20% - 강조색2 13 2" xfId="1151"/>
    <cellStyle name="20% - 강조색2 14" xfId="41"/>
    <cellStyle name="20% - 강조색2 14 2" xfId="1201"/>
    <cellStyle name="20% - 강조색2 2" xfId="42"/>
    <cellStyle name="20% - 강조색2 2 2" xfId="764"/>
    <cellStyle name="20% - 강조색2 3" xfId="43"/>
    <cellStyle name="20% - 강조색2 3 2" xfId="1004"/>
    <cellStyle name="20% - 강조색2 4" xfId="44"/>
    <cellStyle name="20% - 강조색2 4 2" xfId="1018"/>
    <cellStyle name="20% - 강조색2 5" xfId="45"/>
    <cellStyle name="20% - 강조색2 5 2" xfId="1032"/>
    <cellStyle name="20% - 강조색2 6" xfId="46"/>
    <cellStyle name="20% - 강조색2 6 2" xfId="1046"/>
    <cellStyle name="20% - 강조색2 7" xfId="47"/>
    <cellStyle name="20% - 강조색2 7 2" xfId="1061"/>
    <cellStyle name="20% - 강조색2 8" xfId="48"/>
    <cellStyle name="20% - 강조색2 8 2" xfId="1076"/>
    <cellStyle name="20% - 강조색2 9" xfId="49"/>
    <cellStyle name="20% - 강조색2 9 2" xfId="1091"/>
    <cellStyle name="20% - 강조색3" xfId="724" builtinId="38" customBuiltin="1"/>
    <cellStyle name="20% - 강조색3 10" xfId="50"/>
    <cellStyle name="20% - 강조색3 10 2" xfId="1108"/>
    <cellStyle name="20% - 강조색3 11" xfId="51"/>
    <cellStyle name="20% - 강조색3 11 2" xfId="1123"/>
    <cellStyle name="20% - 강조색3 12" xfId="52"/>
    <cellStyle name="20% - 강조색3 12 2" xfId="1138"/>
    <cellStyle name="20% - 강조색3 13" xfId="53"/>
    <cellStyle name="20% - 강조색3 13 2" xfId="1153"/>
    <cellStyle name="20% - 강조색3 14" xfId="54"/>
    <cellStyle name="20% - 강조색3 14 2" xfId="1203"/>
    <cellStyle name="20% - 강조색3 2" xfId="55"/>
    <cellStyle name="20% - 강조색3 2 2" xfId="765"/>
    <cellStyle name="20% - 강조색3 3" xfId="56"/>
    <cellStyle name="20% - 강조색3 3 2" xfId="1006"/>
    <cellStyle name="20% - 강조색3 4" xfId="57"/>
    <cellStyle name="20% - 강조색3 4 2" xfId="1020"/>
    <cellStyle name="20% - 강조색3 5" xfId="58"/>
    <cellStyle name="20% - 강조색3 5 2" xfId="1034"/>
    <cellStyle name="20% - 강조색3 6" xfId="59"/>
    <cellStyle name="20% - 강조색3 6 2" xfId="1048"/>
    <cellStyle name="20% - 강조색3 7" xfId="60"/>
    <cellStyle name="20% - 강조색3 7 2" xfId="1063"/>
    <cellStyle name="20% - 강조색3 8" xfId="61"/>
    <cellStyle name="20% - 강조색3 8 2" xfId="1078"/>
    <cellStyle name="20% - 강조색3 9" xfId="62"/>
    <cellStyle name="20% - 강조색3 9 2" xfId="1093"/>
    <cellStyle name="20% - 강조색4" xfId="727" builtinId="42" customBuiltin="1"/>
    <cellStyle name="20% - 강조색4 10" xfId="63"/>
    <cellStyle name="20% - 강조색4 10 2" xfId="1110"/>
    <cellStyle name="20% - 강조색4 11" xfId="64"/>
    <cellStyle name="20% - 강조색4 11 2" xfId="1125"/>
    <cellStyle name="20% - 강조색4 12" xfId="65"/>
    <cellStyle name="20% - 강조색4 12 2" xfId="1140"/>
    <cellStyle name="20% - 강조색4 13" xfId="66"/>
    <cellStyle name="20% - 강조색4 13 2" xfId="1155"/>
    <cellStyle name="20% - 강조색4 14" xfId="67"/>
    <cellStyle name="20% - 강조색4 14 2" xfId="1205"/>
    <cellStyle name="20% - 강조색4 2" xfId="68"/>
    <cellStyle name="20% - 강조색4 2 2" xfId="766"/>
    <cellStyle name="20% - 강조색4 3" xfId="69"/>
    <cellStyle name="20% - 강조색4 3 2" xfId="1008"/>
    <cellStyle name="20% - 강조색4 4" xfId="70"/>
    <cellStyle name="20% - 강조색4 4 2" xfId="1022"/>
    <cellStyle name="20% - 강조색4 5" xfId="71"/>
    <cellStyle name="20% - 강조색4 5 2" xfId="1036"/>
    <cellStyle name="20% - 강조색4 6" xfId="72"/>
    <cellStyle name="20% - 강조색4 6 2" xfId="1050"/>
    <cellStyle name="20% - 강조색4 7" xfId="73"/>
    <cellStyle name="20% - 강조색4 7 2" xfId="1065"/>
    <cellStyle name="20% - 강조색4 8" xfId="74"/>
    <cellStyle name="20% - 강조색4 8 2" xfId="1080"/>
    <cellStyle name="20% - 강조색4 9" xfId="75"/>
    <cellStyle name="20% - 강조색4 9 2" xfId="1095"/>
    <cellStyle name="20% - 강조색5" xfId="730" builtinId="46" customBuiltin="1"/>
    <cellStyle name="20% - 강조색5 10" xfId="76"/>
    <cellStyle name="20% - 강조색5 10 2" xfId="1112"/>
    <cellStyle name="20% - 강조색5 11" xfId="77"/>
    <cellStyle name="20% - 강조색5 11 2" xfId="1127"/>
    <cellStyle name="20% - 강조색5 12" xfId="78"/>
    <cellStyle name="20% - 강조색5 12 2" xfId="1142"/>
    <cellStyle name="20% - 강조색5 13" xfId="79"/>
    <cellStyle name="20% - 강조색5 13 2" xfId="1157"/>
    <cellStyle name="20% - 강조색5 14" xfId="80"/>
    <cellStyle name="20% - 강조색5 14 2" xfId="1207"/>
    <cellStyle name="20% - 강조색5 2" xfId="81"/>
    <cellStyle name="20% - 강조색5 2 2" xfId="767"/>
    <cellStyle name="20% - 강조색5 3" xfId="82"/>
    <cellStyle name="20% - 강조색5 3 2" xfId="1010"/>
    <cellStyle name="20% - 강조색5 4" xfId="83"/>
    <cellStyle name="20% - 강조색5 4 2" xfId="1024"/>
    <cellStyle name="20% - 강조색5 5" xfId="84"/>
    <cellStyle name="20% - 강조색5 5 2" xfId="1038"/>
    <cellStyle name="20% - 강조색5 6" xfId="85"/>
    <cellStyle name="20% - 강조색5 6 2" xfId="1052"/>
    <cellStyle name="20% - 강조색5 7" xfId="86"/>
    <cellStyle name="20% - 강조색5 7 2" xfId="1067"/>
    <cellStyle name="20% - 강조색5 8" xfId="87"/>
    <cellStyle name="20% - 강조색5 8 2" xfId="1082"/>
    <cellStyle name="20% - 강조색5 9" xfId="88"/>
    <cellStyle name="20% - 강조색5 9 2" xfId="1097"/>
    <cellStyle name="20% - 강조색6" xfId="733" builtinId="50" customBuiltin="1"/>
    <cellStyle name="20% - 강조색6 10" xfId="89"/>
    <cellStyle name="20% - 강조색6 10 2" xfId="1114"/>
    <cellStyle name="20% - 강조색6 11" xfId="90"/>
    <cellStyle name="20% - 강조색6 11 2" xfId="1129"/>
    <cellStyle name="20% - 강조색6 12" xfId="91"/>
    <cellStyle name="20% - 강조색6 12 2" xfId="1144"/>
    <cellStyle name="20% - 강조색6 13" xfId="92"/>
    <cellStyle name="20% - 강조색6 13 2" xfId="1159"/>
    <cellStyle name="20% - 강조색6 14" xfId="93"/>
    <cellStyle name="20% - 강조색6 14 2" xfId="1209"/>
    <cellStyle name="20% - 강조색6 2" xfId="94"/>
    <cellStyle name="20% - 강조색6 2 2" xfId="768"/>
    <cellStyle name="20% - 강조색6 3" xfId="95"/>
    <cellStyle name="20% - 강조색6 3 2" xfId="1012"/>
    <cellStyle name="20% - 강조색6 4" xfId="96"/>
    <cellStyle name="20% - 강조색6 4 2" xfId="1026"/>
    <cellStyle name="20% - 강조색6 5" xfId="97"/>
    <cellStyle name="20% - 강조색6 5 2" xfId="1040"/>
    <cellStyle name="20% - 강조색6 6" xfId="98"/>
    <cellStyle name="20% - 강조색6 6 2" xfId="1054"/>
    <cellStyle name="20% - 강조색6 7" xfId="99"/>
    <cellStyle name="20% - 강조색6 7 2" xfId="1069"/>
    <cellStyle name="20% - 강조색6 8" xfId="100"/>
    <cellStyle name="20% - 강조색6 8 2" xfId="1084"/>
    <cellStyle name="20% - 강조색6 9" xfId="101"/>
    <cellStyle name="20% - 강조색6 9 2" xfId="1099"/>
    <cellStyle name="40% - 강조색1" xfId="719" builtinId="31" customBuiltin="1"/>
    <cellStyle name="40% - 강조색1 10" xfId="102"/>
    <cellStyle name="40% - 강조색1 10 2" xfId="1105"/>
    <cellStyle name="40% - 강조색1 11" xfId="103"/>
    <cellStyle name="40% - 강조색1 11 2" xfId="1120"/>
    <cellStyle name="40% - 강조색1 12" xfId="104"/>
    <cellStyle name="40% - 강조색1 12 2" xfId="1135"/>
    <cellStyle name="40% - 강조색1 13" xfId="105"/>
    <cellStyle name="40% - 강조색1 13 2" xfId="1150"/>
    <cellStyle name="40% - 강조색1 14" xfId="106"/>
    <cellStyle name="40% - 강조색1 14 2" xfId="1200"/>
    <cellStyle name="40% - 강조색1 2" xfId="107"/>
    <cellStyle name="40% - 강조색1 2 2" xfId="769"/>
    <cellStyle name="40% - 강조색1 3" xfId="108"/>
    <cellStyle name="40% - 강조색1 3 2" xfId="1003"/>
    <cellStyle name="40% - 강조색1 4" xfId="109"/>
    <cellStyle name="40% - 강조색1 4 2" xfId="1017"/>
    <cellStyle name="40% - 강조색1 5" xfId="110"/>
    <cellStyle name="40% - 강조색1 5 2" xfId="1031"/>
    <cellStyle name="40% - 강조색1 6" xfId="111"/>
    <cellStyle name="40% - 강조색1 6 2" xfId="1045"/>
    <cellStyle name="40% - 강조색1 7" xfId="112"/>
    <cellStyle name="40% - 강조색1 7 2" xfId="1060"/>
    <cellStyle name="40% - 강조색1 8" xfId="113"/>
    <cellStyle name="40% - 강조색1 8 2" xfId="1075"/>
    <cellStyle name="40% - 강조색1 9" xfId="114"/>
    <cellStyle name="40% - 강조색1 9 2" xfId="1090"/>
    <cellStyle name="40% - 강조색2" xfId="722" builtinId="35" customBuiltin="1"/>
    <cellStyle name="40% - 강조색2 10" xfId="115"/>
    <cellStyle name="40% - 강조색2 10 2" xfId="1107"/>
    <cellStyle name="40% - 강조색2 11" xfId="116"/>
    <cellStyle name="40% - 강조색2 11 2" xfId="1122"/>
    <cellStyle name="40% - 강조색2 12" xfId="117"/>
    <cellStyle name="40% - 강조색2 12 2" xfId="1137"/>
    <cellStyle name="40% - 강조색2 13" xfId="118"/>
    <cellStyle name="40% - 강조색2 13 2" xfId="1152"/>
    <cellStyle name="40% - 강조색2 14" xfId="119"/>
    <cellStyle name="40% - 강조색2 14 2" xfId="1202"/>
    <cellStyle name="40% - 강조색2 2" xfId="120"/>
    <cellStyle name="40% - 강조색2 2 2" xfId="770"/>
    <cellStyle name="40% - 강조색2 3" xfId="121"/>
    <cellStyle name="40% - 강조색2 3 2" xfId="1005"/>
    <cellStyle name="40% - 강조색2 4" xfId="122"/>
    <cellStyle name="40% - 강조색2 4 2" xfId="1019"/>
    <cellStyle name="40% - 강조색2 5" xfId="123"/>
    <cellStyle name="40% - 강조색2 5 2" xfId="1033"/>
    <cellStyle name="40% - 강조색2 6" xfId="124"/>
    <cellStyle name="40% - 강조색2 6 2" xfId="1047"/>
    <cellStyle name="40% - 강조색2 7" xfId="125"/>
    <cellStyle name="40% - 강조색2 7 2" xfId="1062"/>
    <cellStyle name="40% - 강조색2 8" xfId="126"/>
    <cellStyle name="40% - 강조색2 8 2" xfId="1077"/>
    <cellStyle name="40% - 강조색2 9" xfId="127"/>
    <cellStyle name="40% - 강조색2 9 2" xfId="1092"/>
    <cellStyle name="40% - 강조색3" xfId="725" builtinId="39" customBuiltin="1"/>
    <cellStyle name="40% - 강조색3 10" xfId="128"/>
    <cellStyle name="40% - 강조색3 10 2" xfId="1109"/>
    <cellStyle name="40% - 강조색3 11" xfId="129"/>
    <cellStyle name="40% - 강조색3 11 2" xfId="1124"/>
    <cellStyle name="40% - 강조색3 12" xfId="130"/>
    <cellStyle name="40% - 강조색3 12 2" xfId="1139"/>
    <cellStyle name="40% - 강조색3 13" xfId="131"/>
    <cellStyle name="40% - 강조색3 13 2" xfId="1154"/>
    <cellStyle name="40% - 강조색3 14" xfId="132"/>
    <cellStyle name="40% - 강조색3 14 2" xfId="1204"/>
    <cellStyle name="40% - 강조색3 2" xfId="133"/>
    <cellStyle name="40% - 강조색3 2 2" xfId="771"/>
    <cellStyle name="40% - 강조색3 3" xfId="134"/>
    <cellStyle name="40% - 강조색3 3 2" xfId="1007"/>
    <cellStyle name="40% - 강조색3 4" xfId="135"/>
    <cellStyle name="40% - 강조색3 4 2" xfId="1021"/>
    <cellStyle name="40% - 강조색3 5" xfId="136"/>
    <cellStyle name="40% - 강조색3 5 2" xfId="1035"/>
    <cellStyle name="40% - 강조색3 6" xfId="137"/>
    <cellStyle name="40% - 강조색3 6 2" xfId="1049"/>
    <cellStyle name="40% - 강조색3 7" xfId="138"/>
    <cellStyle name="40% - 강조색3 7 2" xfId="1064"/>
    <cellStyle name="40% - 강조색3 8" xfId="139"/>
    <cellStyle name="40% - 강조색3 8 2" xfId="1079"/>
    <cellStyle name="40% - 강조색3 9" xfId="140"/>
    <cellStyle name="40% - 강조색3 9 2" xfId="1094"/>
    <cellStyle name="40% - 강조색4" xfId="728" builtinId="43" customBuiltin="1"/>
    <cellStyle name="40% - 강조색4 10" xfId="141"/>
    <cellStyle name="40% - 강조색4 10 2" xfId="1111"/>
    <cellStyle name="40% - 강조색4 11" xfId="142"/>
    <cellStyle name="40% - 강조색4 11 2" xfId="1126"/>
    <cellStyle name="40% - 강조색4 12" xfId="143"/>
    <cellStyle name="40% - 강조색4 12 2" xfId="1141"/>
    <cellStyle name="40% - 강조색4 13" xfId="144"/>
    <cellStyle name="40% - 강조색4 13 2" xfId="1156"/>
    <cellStyle name="40% - 강조색4 14" xfId="145"/>
    <cellStyle name="40% - 강조색4 14 2" xfId="1206"/>
    <cellStyle name="40% - 강조색4 2" xfId="146"/>
    <cellStyle name="40% - 강조색4 2 2" xfId="772"/>
    <cellStyle name="40% - 강조색4 3" xfId="147"/>
    <cellStyle name="40% - 강조색4 3 2" xfId="1009"/>
    <cellStyle name="40% - 강조색4 4" xfId="148"/>
    <cellStyle name="40% - 강조색4 4 2" xfId="1023"/>
    <cellStyle name="40% - 강조색4 5" xfId="149"/>
    <cellStyle name="40% - 강조색4 5 2" xfId="1037"/>
    <cellStyle name="40% - 강조색4 6" xfId="150"/>
    <cellStyle name="40% - 강조색4 6 2" xfId="1051"/>
    <cellStyle name="40% - 강조색4 7" xfId="151"/>
    <cellStyle name="40% - 강조색4 7 2" xfId="1066"/>
    <cellStyle name="40% - 강조색4 8" xfId="152"/>
    <cellStyle name="40% - 강조색4 8 2" xfId="1081"/>
    <cellStyle name="40% - 강조색4 9" xfId="153"/>
    <cellStyle name="40% - 강조색4 9 2" xfId="1096"/>
    <cellStyle name="40% - 강조색5" xfId="731" builtinId="47" customBuiltin="1"/>
    <cellStyle name="40% - 강조색5 10" xfId="154"/>
    <cellStyle name="40% - 강조색5 10 2" xfId="1113"/>
    <cellStyle name="40% - 강조색5 11" xfId="155"/>
    <cellStyle name="40% - 강조색5 11 2" xfId="1128"/>
    <cellStyle name="40% - 강조색5 12" xfId="156"/>
    <cellStyle name="40% - 강조색5 12 2" xfId="1143"/>
    <cellStyle name="40% - 강조색5 13" xfId="157"/>
    <cellStyle name="40% - 강조색5 13 2" xfId="1158"/>
    <cellStyle name="40% - 강조색5 14" xfId="158"/>
    <cellStyle name="40% - 강조색5 14 2" xfId="1208"/>
    <cellStyle name="40% - 강조색5 2" xfId="159"/>
    <cellStyle name="40% - 강조색5 2 2" xfId="773"/>
    <cellStyle name="40% - 강조색5 3" xfId="160"/>
    <cellStyle name="40% - 강조색5 3 2" xfId="1011"/>
    <cellStyle name="40% - 강조색5 4" xfId="161"/>
    <cellStyle name="40% - 강조색5 4 2" xfId="1025"/>
    <cellStyle name="40% - 강조색5 5" xfId="162"/>
    <cellStyle name="40% - 강조색5 5 2" xfId="1039"/>
    <cellStyle name="40% - 강조색5 6" xfId="163"/>
    <cellStyle name="40% - 강조색5 6 2" xfId="1053"/>
    <cellStyle name="40% - 강조색5 7" xfId="164"/>
    <cellStyle name="40% - 강조색5 7 2" xfId="1068"/>
    <cellStyle name="40% - 강조색5 8" xfId="165"/>
    <cellStyle name="40% - 강조색5 8 2" xfId="1083"/>
    <cellStyle name="40% - 강조색5 9" xfId="166"/>
    <cellStyle name="40% - 강조색5 9 2" xfId="1098"/>
    <cellStyle name="40% - 강조색6" xfId="734" builtinId="51" customBuiltin="1"/>
    <cellStyle name="40% - 강조색6 10" xfId="167"/>
    <cellStyle name="40% - 강조색6 10 2" xfId="1115"/>
    <cellStyle name="40% - 강조색6 11" xfId="168"/>
    <cellStyle name="40% - 강조색6 11 2" xfId="1130"/>
    <cellStyle name="40% - 강조색6 12" xfId="169"/>
    <cellStyle name="40% - 강조색6 12 2" xfId="1145"/>
    <cellStyle name="40% - 강조색6 13" xfId="170"/>
    <cellStyle name="40% - 강조색6 13 2" xfId="1160"/>
    <cellStyle name="40% - 강조색6 14" xfId="171"/>
    <cellStyle name="40% - 강조색6 14 2" xfId="1210"/>
    <cellStyle name="40% - 강조색6 2" xfId="172"/>
    <cellStyle name="40% - 강조색6 2 2" xfId="774"/>
    <cellStyle name="40% - 강조색6 3" xfId="173"/>
    <cellStyle name="40% - 강조색6 3 2" xfId="1013"/>
    <cellStyle name="40% - 강조색6 4" xfId="174"/>
    <cellStyle name="40% - 강조색6 4 2" xfId="1027"/>
    <cellStyle name="40% - 강조색6 5" xfId="175"/>
    <cellStyle name="40% - 강조색6 5 2" xfId="1041"/>
    <cellStyle name="40% - 강조색6 6" xfId="176"/>
    <cellStyle name="40% - 강조색6 6 2" xfId="1055"/>
    <cellStyle name="40% - 강조색6 7" xfId="177"/>
    <cellStyle name="40% - 강조색6 7 2" xfId="1070"/>
    <cellStyle name="40% - 강조색6 8" xfId="178"/>
    <cellStyle name="40% - 강조색6 8 2" xfId="1085"/>
    <cellStyle name="40% - 강조색6 9" xfId="179"/>
    <cellStyle name="40% - 강조색6 9 2" xfId="1100"/>
    <cellStyle name="60% - 강조색1 2" xfId="180"/>
    <cellStyle name="60% - 강조색1 2 2" xfId="775"/>
    <cellStyle name="60% - 강조색1 3" xfId="744"/>
    <cellStyle name="60% - 강조색2 2" xfId="181"/>
    <cellStyle name="60% - 강조색2 2 2" xfId="776"/>
    <cellStyle name="60% - 강조색2 3" xfId="745"/>
    <cellStyle name="60% - 강조색3 2" xfId="182"/>
    <cellStyle name="60% - 강조색3 2 2" xfId="777"/>
    <cellStyle name="60% - 강조색3 3" xfId="746"/>
    <cellStyle name="60% - 강조색4 2" xfId="183"/>
    <cellStyle name="60% - 강조색4 2 2" xfId="778"/>
    <cellStyle name="60% - 강조색4 3" xfId="747"/>
    <cellStyle name="60% - 강조색5 2" xfId="184"/>
    <cellStyle name="60% - 강조색5 2 2" xfId="779"/>
    <cellStyle name="60% - 강조색5 3" xfId="748"/>
    <cellStyle name="60% - 강조색6 2" xfId="185"/>
    <cellStyle name="60% - 강조색6 2 2" xfId="780"/>
    <cellStyle name="60% - 강조색6 3" xfId="749"/>
    <cellStyle name="Excel Built-in Normal" xfId="503"/>
    <cellStyle name="Excel Built-in Normal 2" xfId="781"/>
    <cellStyle name="Normal 2" xfId="504"/>
    <cellStyle name="강조색1" xfId="717" builtinId="29" customBuiltin="1"/>
    <cellStyle name="강조색1 2" xfId="186"/>
    <cellStyle name="강조색1 2 2" xfId="782"/>
    <cellStyle name="강조색2" xfId="720" builtinId="33" customBuiltin="1"/>
    <cellStyle name="강조색2 2" xfId="187"/>
    <cellStyle name="강조색2 2 2" xfId="783"/>
    <cellStyle name="강조색3" xfId="723" builtinId="37" customBuiltin="1"/>
    <cellStyle name="강조색3 2" xfId="188"/>
    <cellStyle name="강조색3 2 2" xfId="784"/>
    <cellStyle name="강조색4" xfId="726" builtinId="41" customBuiltin="1"/>
    <cellStyle name="강조색4 2" xfId="189"/>
    <cellStyle name="강조색4 2 2" xfId="785"/>
    <cellStyle name="강조색5" xfId="729" builtinId="45" customBuiltin="1"/>
    <cellStyle name="강조색5 2" xfId="190"/>
    <cellStyle name="강조색5 2 2" xfId="786"/>
    <cellStyle name="강조색6" xfId="732" builtinId="49" customBuiltin="1"/>
    <cellStyle name="강조색6 2" xfId="191"/>
    <cellStyle name="강조색6 2 2" xfId="787"/>
    <cellStyle name="경고문" xfId="714" builtinId="11" customBuiltin="1"/>
    <cellStyle name="경고문 2" xfId="192"/>
    <cellStyle name="경고문 2 2" xfId="788"/>
    <cellStyle name="계산" xfId="711" builtinId="22" customBuiltin="1"/>
    <cellStyle name="계산 2" xfId="193"/>
    <cellStyle name="계산 2 2" xfId="789"/>
    <cellStyle name="나쁨" xfId="703" builtinId="27" customBuiltin="1"/>
    <cellStyle name="나쁨 2" xfId="194"/>
    <cellStyle name="나쁨 2 2" xfId="790"/>
    <cellStyle name="메모 2" xfId="195"/>
    <cellStyle name="메모 2 2" xfId="791"/>
    <cellStyle name="메모 3" xfId="196"/>
    <cellStyle name="메모 3 10" xfId="197"/>
    <cellStyle name="메모 3 10 2" xfId="1132"/>
    <cellStyle name="메모 3 11" xfId="198"/>
    <cellStyle name="메모 3 11 2" xfId="1147"/>
    <cellStyle name="메모 3 12" xfId="199"/>
    <cellStyle name="메모 3 12 2" xfId="1162"/>
    <cellStyle name="메모 3 13" xfId="200"/>
    <cellStyle name="메모 3 13 2" xfId="1212"/>
    <cellStyle name="메모 3 14" xfId="1001"/>
    <cellStyle name="메모 3 2" xfId="201"/>
    <cellStyle name="메모 3 2 2" xfId="1015"/>
    <cellStyle name="메모 3 3" xfId="202"/>
    <cellStyle name="메모 3 3 2" xfId="1029"/>
    <cellStyle name="메모 3 4" xfId="203"/>
    <cellStyle name="메모 3 4 2" xfId="1043"/>
    <cellStyle name="메모 3 5" xfId="204"/>
    <cellStyle name="메모 3 5 2" xfId="1057"/>
    <cellStyle name="메모 3 6" xfId="205"/>
    <cellStyle name="메모 3 6 2" xfId="1072"/>
    <cellStyle name="메모 3 7" xfId="206"/>
    <cellStyle name="메모 3 7 2" xfId="1087"/>
    <cellStyle name="메모 3 8" xfId="207"/>
    <cellStyle name="메모 3 8 2" xfId="1102"/>
    <cellStyle name="메모 3 9" xfId="208"/>
    <cellStyle name="메모 3 9 2" xfId="1117"/>
    <cellStyle name="백분율 2" xfId="209"/>
    <cellStyle name="백분율 2 2 3" xfId="704"/>
    <cellStyle name="백분율 3" xfId="210"/>
    <cellStyle name="백분율 3 2" xfId="793"/>
    <cellStyle name="백분율 4" xfId="211"/>
    <cellStyle name="백분율 4 2" xfId="792"/>
    <cellStyle name="보통 2" xfId="212"/>
    <cellStyle name="보통 2 2" xfId="794"/>
    <cellStyle name="보통 3" xfId="743"/>
    <cellStyle name="설명 텍스트" xfId="715" builtinId="53" customBuiltin="1"/>
    <cellStyle name="설명 텍스트 2" xfId="213"/>
    <cellStyle name="설명 텍스트 2 2" xfId="795"/>
    <cellStyle name="셀 확인" xfId="713" builtinId="23" customBuiltin="1"/>
    <cellStyle name="셀 확인 2" xfId="214"/>
    <cellStyle name="셀 확인 2 2" xfId="796"/>
    <cellStyle name="쉼표 [0]" xfId="3" builtinId="6"/>
    <cellStyle name="쉼표 [0] 10" xfId="736"/>
    <cellStyle name="쉼표 [0] 2" xfId="215"/>
    <cellStyle name="쉼표 [0] 2 10" xfId="216"/>
    <cellStyle name="쉼표 [0] 2 10 2" xfId="1165"/>
    <cellStyle name="쉼표 [0] 2 11" xfId="798"/>
    <cellStyle name="쉼표 [0] 2 2" xfId="217"/>
    <cellStyle name="쉼표 [0] 2 2 2" xfId="218"/>
    <cellStyle name="쉼표 [0] 2 2 2 2" xfId="1166"/>
    <cellStyle name="쉼표 [0] 2 2 3" xfId="799"/>
    <cellStyle name="쉼표 [0] 2 3" xfId="219"/>
    <cellStyle name="쉼표 [0] 2 3 2" xfId="220"/>
    <cellStyle name="쉼표 [0] 2 3 2 2" xfId="1167"/>
    <cellStyle name="쉼표 [0] 2 3 3" xfId="800"/>
    <cellStyle name="쉼표 [0] 2 4" xfId="221"/>
    <cellStyle name="쉼표 [0] 2 4 2" xfId="222"/>
    <cellStyle name="쉼표 [0] 2 4 2 2" xfId="1168"/>
    <cellStyle name="쉼표 [0] 2 4 3" xfId="801"/>
    <cellStyle name="쉼표 [0] 2 5" xfId="223"/>
    <cellStyle name="쉼표 [0] 2 5 2" xfId="224"/>
    <cellStyle name="쉼표 [0] 2 5 2 2" xfId="1169"/>
    <cellStyle name="쉼표 [0] 2 5 3" xfId="802"/>
    <cellStyle name="쉼표 [0] 2 6" xfId="225"/>
    <cellStyle name="쉼표 [0] 2 6 2" xfId="226"/>
    <cellStyle name="쉼표 [0] 2 6 2 2" xfId="1170"/>
    <cellStyle name="쉼표 [0] 2 6 3" xfId="803"/>
    <cellStyle name="쉼표 [0] 2 7" xfId="227"/>
    <cellStyle name="쉼표 [0] 2 7 2" xfId="228"/>
    <cellStyle name="쉼표 [0] 2 7 2 2" xfId="229"/>
    <cellStyle name="쉼표 [0] 2 7 2 2 2" xfId="1172"/>
    <cellStyle name="쉼표 [0] 2 7 3" xfId="230"/>
    <cellStyle name="쉼표 [0] 2 7 3 2" xfId="231"/>
    <cellStyle name="쉼표 [0] 2 7 3 2 2" xfId="1173"/>
    <cellStyle name="쉼표 [0] 2 7 3 3" xfId="804"/>
    <cellStyle name="쉼표 [0] 2 7 4" xfId="232"/>
    <cellStyle name="쉼표 [0] 2 7 4 2" xfId="233"/>
    <cellStyle name="쉼표 [0] 2 7 4 2 2" xfId="1174"/>
    <cellStyle name="쉼표 [0] 2 7 5" xfId="234"/>
    <cellStyle name="쉼표 [0] 2 7 5 2" xfId="1171"/>
    <cellStyle name="쉼표 [0] 2 8" xfId="235"/>
    <cellStyle name="쉼표 [0] 2 8 2" xfId="236"/>
    <cellStyle name="쉼표 [0] 2 8 2 2" xfId="237"/>
    <cellStyle name="쉼표 [0] 2 8 2 2 2" xfId="1176"/>
    <cellStyle name="쉼표 [0] 2 8 2 3" xfId="806"/>
    <cellStyle name="쉼표 [0] 2 8 3" xfId="238"/>
    <cellStyle name="쉼표 [0] 2 8 3 2" xfId="239"/>
    <cellStyle name="쉼표 [0] 2 8 3 2 2" xfId="1177"/>
    <cellStyle name="쉼표 [0] 2 8 3 3" xfId="807"/>
    <cellStyle name="쉼표 [0] 2 8 4" xfId="240"/>
    <cellStyle name="쉼표 [0] 2 8 4 2" xfId="1175"/>
    <cellStyle name="쉼표 [0] 2 8 5" xfId="805"/>
    <cellStyle name="쉼표 [0] 2 9" xfId="241"/>
    <cellStyle name="쉼표 [0] 2 9 2" xfId="242"/>
    <cellStyle name="쉼표 [0] 2 9 2 2" xfId="1178"/>
    <cellStyle name="쉼표 [0] 3" xfId="243"/>
    <cellStyle name="쉼표 [0] 3 10" xfId="244"/>
    <cellStyle name="쉼표 [0] 3 10 2" xfId="1179"/>
    <cellStyle name="쉼표 [0] 3 11" xfId="808"/>
    <cellStyle name="쉼표 [0] 3 2" xfId="245"/>
    <cellStyle name="쉼표 [0] 3 2 2" xfId="246"/>
    <cellStyle name="쉼표 [0] 3 2 2 2" xfId="1180"/>
    <cellStyle name="쉼표 [0] 3 2 3" xfId="809"/>
    <cellStyle name="쉼표 [0] 3 3" xfId="247"/>
    <cellStyle name="쉼표 [0] 3 3 2" xfId="248"/>
    <cellStyle name="쉼표 [0] 3 3 2 2" xfId="1181"/>
    <cellStyle name="쉼표 [0] 3 3 3" xfId="810"/>
    <cellStyle name="쉼표 [0] 3 4" xfId="249"/>
    <cellStyle name="쉼표 [0] 3 4 2" xfId="250"/>
    <cellStyle name="쉼표 [0] 3 4 2 2" xfId="1182"/>
    <cellStyle name="쉼표 [0] 3 4 3" xfId="811"/>
    <cellStyle name="쉼표 [0] 3 5" xfId="251"/>
    <cellStyle name="쉼표 [0] 3 5 2" xfId="252"/>
    <cellStyle name="쉼표 [0] 3 5 2 2" xfId="1183"/>
    <cellStyle name="쉼표 [0] 3 5 3" xfId="812"/>
    <cellStyle name="쉼표 [0] 3 6" xfId="253"/>
    <cellStyle name="쉼표 [0] 3 6 2" xfId="254"/>
    <cellStyle name="쉼표 [0] 3 6 2 2" xfId="1184"/>
    <cellStyle name="쉼표 [0] 3 6 3" xfId="813"/>
    <cellStyle name="쉼표 [0] 3 7" xfId="255"/>
    <cellStyle name="쉼표 [0] 3 7 2" xfId="256"/>
    <cellStyle name="쉼표 [0] 3 7 2 2" xfId="1185"/>
    <cellStyle name="쉼표 [0] 3 7 3" xfId="814"/>
    <cellStyle name="쉼표 [0] 3 8" xfId="257"/>
    <cellStyle name="쉼표 [0] 3 8 2" xfId="258"/>
    <cellStyle name="쉼표 [0] 3 8 2 2" xfId="1186"/>
    <cellStyle name="쉼표 [0] 3 8 3" xfId="815"/>
    <cellStyle name="쉼표 [0] 3 9" xfId="259"/>
    <cellStyle name="쉼표 [0] 3 9 2" xfId="260"/>
    <cellStyle name="쉼표 [0] 3 9 2 2" xfId="1187"/>
    <cellStyle name="쉼표 [0] 3 9 3" xfId="816"/>
    <cellStyle name="쉼표 [0] 4" xfId="261"/>
    <cellStyle name="쉼표 [0] 4 2" xfId="262"/>
    <cellStyle name="쉼표 [0] 4 2 2" xfId="263"/>
    <cellStyle name="쉼표 [0] 4 2 2 2" xfId="264"/>
    <cellStyle name="쉼표 [0] 4 2 2 2 2" xfId="1190"/>
    <cellStyle name="쉼표 [0] 4 2 2 3" xfId="819"/>
    <cellStyle name="쉼표 [0] 4 2 3" xfId="265"/>
    <cellStyle name="쉼표 [0] 4 2 3 2" xfId="266"/>
    <cellStyle name="쉼표 [0] 4 2 3 2 2" xfId="1191"/>
    <cellStyle name="쉼표 [0] 4 2 3 3" xfId="820"/>
    <cellStyle name="쉼표 [0] 4 2 4" xfId="267"/>
    <cellStyle name="쉼표 [0] 4 2 4 2" xfId="1189"/>
    <cellStyle name="쉼표 [0] 4 2 5" xfId="818"/>
    <cellStyle name="쉼표 [0] 4 3" xfId="268"/>
    <cellStyle name="쉼표 [0] 4 3 2" xfId="1188"/>
    <cellStyle name="쉼표 [0] 4 4" xfId="817"/>
    <cellStyle name="쉼표 [0] 5" xfId="269"/>
    <cellStyle name="쉼표 [0] 5 2" xfId="270"/>
    <cellStyle name="쉼표 [0] 5 2 2" xfId="1192"/>
    <cellStyle name="쉼표 [0] 5 3" xfId="821"/>
    <cellStyle name="쉼표 [0] 6" xfId="271"/>
    <cellStyle name="쉼표 [0] 6 2" xfId="272"/>
    <cellStyle name="쉼표 [0] 6 2 2" xfId="1193"/>
    <cellStyle name="쉼표 [0] 6 3" xfId="822"/>
    <cellStyle name="쉼표 [0] 7" xfId="273"/>
    <cellStyle name="쉼표 [0] 7 2" xfId="797"/>
    <cellStyle name="쉼표 [0] 8" xfId="274"/>
    <cellStyle name="쉼표 [0] 8 2" xfId="1164"/>
    <cellStyle name="쉼표 [0] 9" xfId="536"/>
    <cellStyle name="쉼표 [0] 9 2" xfId="618"/>
    <cellStyle name="쉼표 2" xfId="275"/>
    <cellStyle name="쉼표 2 2" xfId="276"/>
    <cellStyle name="쉼표 2 2 2" xfId="1194"/>
    <cellStyle name="쉼표 3" xfId="277"/>
    <cellStyle name="쉼표 3 2" xfId="278"/>
    <cellStyle name="쉼표 3 2 2" xfId="1195"/>
    <cellStyle name="스타일 1" xfId="279"/>
    <cellStyle name="스타일 1 2" xfId="823"/>
    <cellStyle name="연결된 셀" xfId="712" builtinId="24" customBuiltin="1"/>
    <cellStyle name="연결된 셀 2" xfId="280"/>
    <cellStyle name="연결된 셀 2 2" xfId="824"/>
    <cellStyle name="열어 본 하이퍼링크" xfId="1" builtinId="9" hidden="1"/>
    <cellStyle name="열어 본 하이퍼링크" xfId="2" builtinId="9" hidden="1"/>
    <cellStyle name="열어 본 하이퍼링크" xfId="505" builtinId="9" hidden="1"/>
    <cellStyle name="열어 본 하이퍼링크" xfId="506" builtinId="9" hidden="1"/>
    <cellStyle name="열어 본 하이퍼링크" xfId="507" builtinId="9" hidden="1"/>
    <cellStyle name="열어 본 하이퍼링크" xfId="508" builtinId="9" hidden="1"/>
    <cellStyle name="열어 본 하이퍼링크" xfId="509" builtinId="9" hidden="1"/>
    <cellStyle name="열어 본 하이퍼링크" xfId="510" builtinId="9" hidden="1"/>
    <cellStyle name="열어 본 하이퍼링크" xfId="511" builtinId="9" hidden="1"/>
    <cellStyle name="열어 본 하이퍼링크" xfId="512" builtinId="9" hidden="1"/>
    <cellStyle name="열어 본 하이퍼링크" xfId="513" builtinId="9" hidden="1"/>
    <cellStyle name="열어 본 하이퍼링크" xfId="514" builtinId="9" hidden="1"/>
    <cellStyle name="열어 본 하이퍼링크" xfId="515" builtinId="9" hidden="1"/>
    <cellStyle name="열어 본 하이퍼링크" xfId="516" builtinId="9" hidden="1"/>
    <cellStyle name="열어 본 하이퍼링크" xfId="517" builtinId="9" hidden="1"/>
    <cellStyle name="열어 본 하이퍼링크" xfId="518" builtinId="9" hidden="1"/>
    <cellStyle name="열어 본 하이퍼링크" xfId="519" builtinId="9" hidden="1"/>
    <cellStyle name="열어 본 하이퍼링크" xfId="520" builtinId="9" hidden="1"/>
    <cellStyle name="열어 본 하이퍼링크" xfId="521" builtinId="9" hidden="1"/>
    <cellStyle name="열어 본 하이퍼링크" xfId="522" builtinId="9" hidden="1"/>
    <cellStyle name="열어 본 하이퍼링크" xfId="523" builtinId="9" hidden="1"/>
    <cellStyle name="열어 본 하이퍼링크" xfId="524" builtinId="9" hidden="1"/>
    <cellStyle name="열어 본 하이퍼링크" xfId="525" builtinId="9" hidden="1"/>
    <cellStyle name="열어 본 하이퍼링크" xfId="526" builtinId="9" hidden="1"/>
    <cellStyle name="열어 본 하이퍼링크" xfId="527" builtinId="9" hidden="1"/>
    <cellStyle name="열어 본 하이퍼링크" xfId="528" builtinId="9" hidden="1"/>
    <cellStyle name="열어 본 하이퍼링크" xfId="529" builtinId="9" hidden="1"/>
    <cellStyle name="열어 본 하이퍼링크" xfId="530" builtinId="9" hidden="1"/>
    <cellStyle name="열어 본 하이퍼링크" xfId="531" builtinId="9" hidden="1"/>
    <cellStyle name="열어 본 하이퍼링크" xfId="532" builtinId="9" hidden="1"/>
    <cellStyle name="열어 본 하이퍼링크" xfId="533" builtinId="9" hidden="1"/>
    <cellStyle name="열어 본 하이퍼링크" xfId="538" builtinId="9" hidden="1"/>
    <cellStyle name="열어 본 하이퍼링크" xfId="539" builtinId="9" hidden="1"/>
    <cellStyle name="열어 본 하이퍼링크" xfId="540" builtinId="9" hidden="1"/>
    <cellStyle name="열어 본 하이퍼링크" xfId="541" builtinId="9" hidden="1"/>
    <cellStyle name="열어 본 하이퍼링크" xfId="542" builtinId="9" hidden="1"/>
    <cellStyle name="열어 본 하이퍼링크" xfId="543" builtinId="9" hidden="1"/>
    <cellStyle name="열어 본 하이퍼링크" xfId="544" builtinId="9" hidden="1"/>
    <cellStyle name="열어 본 하이퍼링크" xfId="545" builtinId="9" hidden="1"/>
    <cellStyle name="열어 본 하이퍼링크" xfId="546" builtinId="9" hidden="1"/>
    <cellStyle name="열어 본 하이퍼링크" xfId="547" builtinId="9" hidden="1"/>
    <cellStyle name="열어 본 하이퍼링크" xfId="548" builtinId="9" hidden="1"/>
    <cellStyle name="열어 본 하이퍼링크" xfId="549" builtinId="9" hidden="1"/>
    <cellStyle name="열어 본 하이퍼링크" xfId="550" builtinId="9" hidden="1"/>
    <cellStyle name="열어 본 하이퍼링크" xfId="551" builtinId="9" hidden="1"/>
    <cellStyle name="열어 본 하이퍼링크" xfId="552" builtinId="9" hidden="1"/>
    <cellStyle name="열어 본 하이퍼링크" xfId="553" builtinId="9" hidden="1"/>
    <cellStyle name="열어 본 하이퍼링크" xfId="554" builtinId="9" hidden="1"/>
    <cellStyle name="열어 본 하이퍼링크" xfId="555" builtinId="9" hidden="1"/>
    <cellStyle name="열어 본 하이퍼링크" xfId="556" builtinId="9" hidden="1"/>
    <cellStyle name="열어 본 하이퍼링크" xfId="557" builtinId="9" hidden="1"/>
    <cellStyle name="열어 본 하이퍼링크" xfId="558" builtinId="9" hidden="1"/>
    <cellStyle name="열어 본 하이퍼링크" xfId="559" builtinId="9" hidden="1"/>
    <cellStyle name="열어 본 하이퍼링크" xfId="560" builtinId="9" hidden="1"/>
    <cellStyle name="열어 본 하이퍼링크" xfId="561" builtinId="9" hidden="1"/>
    <cellStyle name="열어 본 하이퍼링크" xfId="562" builtinId="9" hidden="1"/>
    <cellStyle name="열어 본 하이퍼링크" xfId="563" builtinId="9" hidden="1"/>
    <cellStyle name="열어 본 하이퍼링크" xfId="564" builtinId="9" hidden="1"/>
    <cellStyle name="열어 본 하이퍼링크" xfId="565" builtinId="9" hidden="1"/>
    <cellStyle name="열어 본 하이퍼링크" xfId="566" builtinId="9" hidden="1"/>
    <cellStyle name="열어 본 하이퍼링크" xfId="567" builtinId="9" hidden="1"/>
    <cellStyle name="열어 본 하이퍼링크" xfId="568" builtinId="9" hidden="1"/>
    <cellStyle name="열어 본 하이퍼링크" xfId="569" builtinId="9" hidden="1"/>
    <cellStyle name="열어 본 하이퍼링크" xfId="570" builtinId="9" hidden="1"/>
    <cellStyle name="열어 본 하이퍼링크" xfId="571" builtinId="9" hidden="1"/>
    <cellStyle name="열어 본 하이퍼링크" xfId="572" builtinId="9" hidden="1"/>
    <cellStyle name="열어 본 하이퍼링크" xfId="573" builtinId="9" hidden="1"/>
    <cellStyle name="열어 본 하이퍼링크" xfId="574" builtinId="9" hidden="1"/>
    <cellStyle name="열어 본 하이퍼링크" xfId="575" builtinId="9" hidden="1"/>
    <cellStyle name="열어 본 하이퍼링크" xfId="576" builtinId="9" hidden="1"/>
    <cellStyle name="열어 본 하이퍼링크" xfId="577" builtinId="9" hidden="1"/>
    <cellStyle name="열어 본 하이퍼링크" xfId="578" builtinId="9" hidden="1"/>
    <cellStyle name="열어 본 하이퍼링크" xfId="579" builtinId="9" hidden="1"/>
    <cellStyle name="열어 본 하이퍼링크" xfId="580" builtinId="9" hidden="1"/>
    <cellStyle name="열어 본 하이퍼링크" xfId="581" builtinId="9" hidden="1"/>
    <cellStyle name="열어 본 하이퍼링크" xfId="582" builtinId="9" hidden="1"/>
    <cellStyle name="열어 본 하이퍼링크" xfId="583" builtinId="9" hidden="1"/>
    <cellStyle name="열어 본 하이퍼링크" xfId="584" builtinId="9" hidden="1"/>
    <cellStyle name="열어 본 하이퍼링크" xfId="585" builtinId="9" hidden="1"/>
    <cellStyle name="열어 본 하이퍼링크" xfId="586" builtinId="9" hidden="1"/>
    <cellStyle name="열어 본 하이퍼링크" xfId="587" builtinId="9" hidden="1"/>
    <cellStyle name="열어 본 하이퍼링크" xfId="588" builtinId="9" hidden="1"/>
    <cellStyle name="열어 본 하이퍼링크" xfId="589" builtinId="9" hidden="1"/>
    <cellStyle name="열어 본 하이퍼링크" xfId="590" builtinId="9" hidden="1"/>
    <cellStyle name="열어 본 하이퍼링크" xfId="591" builtinId="9" hidden="1"/>
    <cellStyle name="열어 본 하이퍼링크" xfId="592" builtinId="9" hidden="1"/>
    <cellStyle name="열어 본 하이퍼링크" xfId="593" builtinId="9" hidden="1"/>
    <cellStyle name="열어 본 하이퍼링크" xfId="594" builtinId="9" hidden="1"/>
    <cellStyle name="열어 본 하이퍼링크" xfId="595" builtinId="9" hidden="1"/>
    <cellStyle name="열어 본 하이퍼링크" xfId="596" builtinId="9" hidden="1"/>
    <cellStyle name="열어 본 하이퍼링크" xfId="597" builtinId="9" hidden="1"/>
    <cellStyle name="열어 본 하이퍼링크" xfId="598" builtinId="9" hidden="1"/>
    <cellStyle name="열어 본 하이퍼링크" xfId="599" builtinId="9" hidden="1"/>
    <cellStyle name="열어 본 하이퍼링크" xfId="600" builtinId="9" hidden="1"/>
    <cellStyle name="열어 본 하이퍼링크" xfId="601" builtinId="9" hidden="1"/>
    <cellStyle name="열어 본 하이퍼링크" xfId="602" builtinId="9" hidden="1"/>
    <cellStyle name="열어 본 하이퍼링크" xfId="603" builtinId="9" hidden="1"/>
    <cellStyle name="열어 본 하이퍼링크" xfId="604" builtinId="9" hidden="1"/>
    <cellStyle name="열어 본 하이퍼링크" xfId="605" builtinId="9" hidden="1"/>
    <cellStyle name="열어 본 하이퍼링크" xfId="606" builtinId="9" hidden="1"/>
    <cellStyle name="열어 본 하이퍼링크" xfId="607" builtinId="9" hidden="1"/>
    <cellStyle name="열어 본 하이퍼링크" xfId="608" builtinId="9" hidden="1"/>
    <cellStyle name="열어 본 하이퍼링크" xfId="609" builtinId="9" hidden="1"/>
    <cellStyle name="열어 본 하이퍼링크" xfId="610" builtinId="9" hidden="1"/>
    <cellStyle name="열어 본 하이퍼링크" xfId="611" builtinId="9" hidden="1"/>
    <cellStyle name="열어 본 하이퍼링크" xfId="612" builtinId="9" hidden="1"/>
    <cellStyle name="열어 본 하이퍼링크" xfId="613" builtinId="9" hidden="1"/>
    <cellStyle name="열어 본 하이퍼링크" xfId="614" builtinId="9" hidden="1"/>
    <cellStyle name="열어 본 하이퍼링크" xfId="615" builtinId="9" hidden="1"/>
    <cellStyle name="열어 본 하이퍼링크" xfId="616" builtinId="9" hidden="1"/>
    <cellStyle name="열어 본 하이퍼링크" xfId="617" builtinId="9" hidden="1"/>
    <cellStyle name="열어 본 하이퍼링크" xfId="621" builtinId="9" hidden="1"/>
    <cellStyle name="열어 본 하이퍼링크" xfId="622" builtinId="9" hidden="1"/>
    <cellStyle name="열어 본 하이퍼링크" xfId="623" builtinId="9" hidden="1"/>
    <cellStyle name="열어 본 하이퍼링크" xfId="624" builtinId="9" hidden="1"/>
    <cellStyle name="열어 본 하이퍼링크" xfId="625" builtinId="9" hidden="1"/>
    <cellStyle name="열어 본 하이퍼링크" xfId="626" builtinId="9" hidden="1"/>
    <cellStyle name="열어 본 하이퍼링크" xfId="627" builtinId="9" hidden="1"/>
    <cellStyle name="열어 본 하이퍼링크" xfId="628" builtinId="9" hidden="1"/>
    <cellStyle name="열어 본 하이퍼링크" xfId="629" builtinId="9" hidden="1"/>
    <cellStyle name="열어 본 하이퍼링크" xfId="630" builtinId="9" hidden="1"/>
    <cellStyle name="열어 본 하이퍼링크" xfId="631" builtinId="9" hidden="1"/>
    <cellStyle name="열어 본 하이퍼링크" xfId="632" builtinId="9" hidden="1"/>
    <cellStyle name="열어 본 하이퍼링크" xfId="633" builtinId="9" hidden="1"/>
    <cellStyle name="열어 본 하이퍼링크" xfId="634" builtinId="9" hidden="1"/>
    <cellStyle name="열어 본 하이퍼링크" xfId="635" builtinId="9" hidden="1"/>
    <cellStyle name="열어 본 하이퍼링크" xfId="636" builtinId="9" hidden="1"/>
    <cellStyle name="열어 본 하이퍼링크" xfId="637" builtinId="9" hidden="1"/>
    <cellStyle name="열어 본 하이퍼링크" xfId="638" builtinId="9" hidden="1"/>
    <cellStyle name="열어 본 하이퍼링크" xfId="639" builtinId="9" hidden="1"/>
    <cellStyle name="열어 본 하이퍼링크" xfId="640" builtinId="9" hidden="1"/>
    <cellStyle name="열어 본 하이퍼링크" xfId="641" builtinId="9" hidden="1"/>
    <cellStyle name="열어 본 하이퍼링크" xfId="642" builtinId="9" hidden="1"/>
    <cellStyle name="열어 본 하이퍼링크" xfId="643" builtinId="9" hidden="1"/>
    <cellStyle name="열어 본 하이퍼링크" xfId="644" builtinId="9" hidden="1"/>
    <cellStyle name="열어 본 하이퍼링크" xfId="645" builtinId="9" hidden="1"/>
    <cellStyle name="열어 본 하이퍼링크" xfId="646" builtinId="9" hidden="1"/>
    <cellStyle name="열어 본 하이퍼링크" xfId="647" builtinId="9" hidden="1"/>
    <cellStyle name="열어 본 하이퍼링크" xfId="648" builtinId="9" hidden="1"/>
    <cellStyle name="열어 본 하이퍼링크" xfId="649" builtinId="9" hidden="1"/>
    <cellStyle name="열어 본 하이퍼링크" xfId="650" builtinId="9" hidden="1"/>
    <cellStyle name="열어 본 하이퍼링크" xfId="651" builtinId="9" hidden="1"/>
    <cellStyle name="열어 본 하이퍼링크" xfId="652" builtinId="9" hidden="1"/>
    <cellStyle name="열어 본 하이퍼링크" xfId="653" builtinId="9" hidden="1"/>
    <cellStyle name="열어 본 하이퍼링크" xfId="654" builtinId="9" hidden="1"/>
    <cellStyle name="열어 본 하이퍼링크" xfId="655" builtinId="9" hidden="1"/>
    <cellStyle name="열어 본 하이퍼링크" xfId="656" builtinId="9" hidden="1"/>
    <cellStyle name="열어 본 하이퍼링크" xfId="657" builtinId="9" hidden="1"/>
    <cellStyle name="열어 본 하이퍼링크" xfId="658" builtinId="9" hidden="1"/>
    <cellStyle name="열어 본 하이퍼링크" xfId="659" builtinId="9" hidden="1"/>
    <cellStyle name="열어 본 하이퍼링크" xfId="660" builtinId="9" hidden="1"/>
    <cellStyle name="열어 본 하이퍼링크" xfId="661" builtinId="9" hidden="1"/>
    <cellStyle name="열어 본 하이퍼링크" xfId="662" builtinId="9" hidden="1"/>
    <cellStyle name="열어 본 하이퍼링크" xfId="663" builtinId="9" hidden="1"/>
    <cellStyle name="열어 본 하이퍼링크" xfId="664" builtinId="9" hidden="1"/>
    <cellStyle name="열어 본 하이퍼링크" xfId="665" builtinId="9" hidden="1"/>
    <cellStyle name="열어 본 하이퍼링크" xfId="666" builtinId="9" hidden="1"/>
    <cellStyle name="열어 본 하이퍼링크" xfId="667" builtinId="9" hidden="1"/>
    <cellStyle name="열어 본 하이퍼링크" xfId="668" builtinId="9" hidden="1"/>
    <cellStyle name="열어 본 하이퍼링크" xfId="669" builtinId="9" hidden="1"/>
    <cellStyle name="열어 본 하이퍼링크" xfId="670" builtinId="9" hidden="1"/>
    <cellStyle name="열어 본 하이퍼링크" xfId="671" builtinId="9" hidden="1"/>
    <cellStyle name="열어 본 하이퍼링크" xfId="672" builtinId="9" hidden="1"/>
    <cellStyle name="열어 본 하이퍼링크" xfId="673" builtinId="9" hidden="1"/>
    <cellStyle name="열어 본 하이퍼링크" xfId="674" builtinId="9" hidden="1"/>
    <cellStyle name="열어 본 하이퍼링크" xfId="675" builtinId="9" hidden="1"/>
    <cellStyle name="열어 본 하이퍼링크" xfId="676" builtinId="9" hidden="1"/>
    <cellStyle name="열어 본 하이퍼링크" xfId="677" builtinId="9" hidden="1"/>
    <cellStyle name="열어 본 하이퍼링크" xfId="678" builtinId="9" hidden="1"/>
    <cellStyle name="열어 본 하이퍼링크" xfId="679" builtinId="9" hidden="1"/>
    <cellStyle name="열어 본 하이퍼링크" xfId="680" builtinId="9" hidden="1"/>
    <cellStyle name="열어 본 하이퍼링크" xfId="681" builtinId="9" hidden="1"/>
    <cellStyle name="열어 본 하이퍼링크" xfId="682" builtinId="9" hidden="1"/>
    <cellStyle name="열어 본 하이퍼링크" xfId="683" builtinId="9" hidden="1"/>
    <cellStyle name="열어 본 하이퍼링크" xfId="684" builtinId="9" hidden="1"/>
    <cellStyle name="열어 본 하이퍼링크" xfId="685" builtinId="9" hidden="1"/>
    <cellStyle name="열어 본 하이퍼링크" xfId="686" builtinId="9" hidden="1"/>
    <cellStyle name="열어 본 하이퍼링크" xfId="687" builtinId="9" hidden="1"/>
    <cellStyle name="열어 본 하이퍼링크" xfId="688" builtinId="9" hidden="1"/>
    <cellStyle name="열어 본 하이퍼링크" xfId="689" builtinId="9" hidden="1"/>
    <cellStyle name="열어 본 하이퍼링크" xfId="690" builtinId="9" hidden="1"/>
    <cellStyle name="열어 본 하이퍼링크" xfId="691" builtinId="9" hidden="1"/>
    <cellStyle name="열어 본 하이퍼링크" xfId="692" builtinId="9" hidden="1"/>
    <cellStyle name="열어 본 하이퍼링크" xfId="693" builtinId="9" hidden="1"/>
    <cellStyle name="열어 본 하이퍼링크" xfId="694" builtinId="9" hidden="1"/>
    <cellStyle name="열어 본 하이퍼링크" xfId="695" builtinId="9" hidden="1"/>
    <cellStyle name="열어 본 하이퍼링크" xfId="696" builtinId="9" hidden="1"/>
    <cellStyle name="열어 본 하이퍼링크" xfId="697" builtinId="9" hidden="1"/>
    <cellStyle name="열어 본 하이퍼링크" xfId="698" builtinId="9" hidden="1"/>
    <cellStyle name="열어 본 하이퍼링크" xfId="699" builtinId="9" hidden="1"/>
    <cellStyle name="열어 본 하이퍼링크" xfId="700" builtinId="9" hidden="1"/>
    <cellStyle name="열어 본 하이퍼링크" xfId="701" builtinId="9" hidden="1"/>
    <cellStyle name="요약" xfId="716" builtinId="25" customBuiltin="1"/>
    <cellStyle name="요약 2" xfId="281"/>
    <cellStyle name="요약 2 2" xfId="825"/>
    <cellStyle name="一般_Sheet1" xfId="282"/>
    <cellStyle name="입력" xfId="709" builtinId="20" customBuiltin="1"/>
    <cellStyle name="입력 2" xfId="283"/>
    <cellStyle name="입력 2 2" xfId="826"/>
    <cellStyle name="제목 1" xfId="705" builtinId="16" customBuiltin="1"/>
    <cellStyle name="제목 1 2" xfId="284"/>
    <cellStyle name="제목 1 2 2" xfId="827"/>
    <cellStyle name="제목 2" xfId="706" builtinId="17" customBuiltin="1"/>
    <cellStyle name="제목 2 2" xfId="285"/>
    <cellStyle name="제목 2 2 2" xfId="828"/>
    <cellStyle name="제목 3" xfId="707" builtinId="18" customBuiltin="1"/>
    <cellStyle name="제목 3 2" xfId="286"/>
    <cellStyle name="제목 3 2 2" xfId="829"/>
    <cellStyle name="제목 4" xfId="708" builtinId="19" customBuiltin="1"/>
    <cellStyle name="제목 4 2" xfId="287"/>
    <cellStyle name="제목 4 2 2" xfId="830"/>
    <cellStyle name="제목 5" xfId="288"/>
    <cellStyle name="제목 5 2" xfId="831"/>
    <cellStyle name="제목 6" xfId="742"/>
    <cellStyle name="좋음" xfId="702" builtinId="26" customBuiltin="1"/>
    <cellStyle name="좋음 2" xfId="289"/>
    <cellStyle name="좋음 2 2" xfId="832"/>
    <cellStyle name="출력" xfId="710" builtinId="21" customBuiltin="1"/>
    <cellStyle name="출력 2" xfId="290"/>
    <cellStyle name="출력 2 2" xfId="833"/>
    <cellStyle name="통화 [0] 3" xfId="291"/>
    <cellStyle name="통화 [0] 3 2" xfId="292"/>
    <cellStyle name="통화 [0] 3 2 2" xfId="1196"/>
    <cellStyle name="통화 [0] 3 3" xfId="834"/>
    <cellStyle name="통화 [0] 4" xfId="293"/>
    <cellStyle name="통화 [0] 4 2" xfId="294"/>
    <cellStyle name="통화 [0] 4 2 2" xfId="295"/>
    <cellStyle name="통화 [0] 4 2 2 2" xfId="1198"/>
    <cellStyle name="통화 [0] 4 2 3" xfId="835"/>
    <cellStyle name="통화 [0] 4 3" xfId="296"/>
    <cellStyle name="통화 [0] 4 3 2" xfId="1197"/>
    <cellStyle name="통화 [0] 4 4" xfId="738"/>
    <cellStyle name="표준" xfId="0" builtinId="0"/>
    <cellStyle name="표준 10" xfId="297"/>
    <cellStyle name="표준 10 10" xfId="298"/>
    <cellStyle name="표준 10 10 2" xfId="837"/>
    <cellStyle name="표준 10 12 2" xfId="299"/>
    <cellStyle name="표준 10 2" xfId="300"/>
    <cellStyle name="표준 10 2 2" xfId="838"/>
    <cellStyle name="표준 10 3" xfId="301"/>
    <cellStyle name="표준 10 3 2" xfId="839"/>
    <cellStyle name="표준 10 4" xfId="836"/>
    <cellStyle name="표준 102 5 2 4 2 2" xfId="302"/>
    <cellStyle name="표준 102 5 2 4 2 2 2" xfId="840"/>
    <cellStyle name="표준 11" xfId="303"/>
    <cellStyle name="표준 11 2" xfId="304"/>
    <cellStyle name="표준 11 2 2" xfId="842"/>
    <cellStyle name="표준 11 3" xfId="305"/>
    <cellStyle name="표준 11 3 2" xfId="306"/>
    <cellStyle name="표준 11 3 2 2" xfId="307"/>
    <cellStyle name="표준 11 3 2 2 2" xfId="845"/>
    <cellStyle name="표준 11 3 2 3" xfId="308"/>
    <cellStyle name="표준 11 3 2 3 2" xfId="846"/>
    <cellStyle name="표준 11 3 2 4" xfId="844"/>
    <cellStyle name="표준 11 3 3" xfId="309"/>
    <cellStyle name="표준 11 3 3 2" xfId="847"/>
    <cellStyle name="표준 11 3 4" xfId="310"/>
    <cellStyle name="표준 11 3 4 2" xfId="848"/>
    <cellStyle name="표준 11 3 5" xfId="311"/>
    <cellStyle name="표준 11 3 5 2" xfId="849"/>
    <cellStyle name="표준 11 3 6" xfId="843"/>
    <cellStyle name="표준 11 4" xfId="841"/>
    <cellStyle name="표준 114" xfId="312"/>
    <cellStyle name="표준 114 2" xfId="850"/>
    <cellStyle name="표준 12" xfId="313"/>
    <cellStyle name="표준 12 2" xfId="851"/>
    <cellStyle name="표준 13" xfId="314"/>
    <cellStyle name="표준 13 2" xfId="852"/>
    <cellStyle name="표준 14" xfId="315"/>
    <cellStyle name="표준 14 2" xfId="853"/>
    <cellStyle name="표준 15" xfId="316"/>
    <cellStyle name="표준 15 2" xfId="854"/>
    <cellStyle name="표준 16" xfId="317"/>
    <cellStyle name="표준 16 2" xfId="318"/>
    <cellStyle name="표준 16 2 2" xfId="856"/>
    <cellStyle name="표준 16 3" xfId="319"/>
    <cellStyle name="표준 16 3 2" xfId="857"/>
    <cellStyle name="표준 16 4" xfId="320"/>
    <cellStyle name="표준 16 4 2" xfId="858"/>
    <cellStyle name="표준 16 5" xfId="855"/>
    <cellStyle name="표준 17" xfId="321"/>
    <cellStyle name="표준 17 2" xfId="859"/>
    <cellStyle name="표준 18" xfId="322"/>
    <cellStyle name="표준 18 2" xfId="323"/>
    <cellStyle name="표준 18 2 2" xfId="861"/>
    <cellStyle name="표준 18 3" xfId="324"/>
    <cellStyle name="표준 18 3 2" xfId="862"/>
    <cellStyle name="표준 18 4" xfId="860"/>
    <cellStyle name="표준 19" xfId="325"/>
    <cellStyle name="표준 19 2" xfId="326"/>
    <cellStyle name="표준 19 2 2" xfId="864"/>
    <cellStyle name="표준 19 3" xfId="327"/>
    <cellStyle name="표준 19 3 2" xfId="865"/>
    <cellStyle name="표준 19 4" xfId="863"/>
    <cellStyle name="표준 2" xfId="328"/>
    <cellStyle name="표준 2 10" xfId="329"/>
    <cellStyle name="표준 2 10 2" xfId="330"/>
    <cellStyle name="표준 2 10 2 2" xfId="867"/>
    <cellStyle name="표준 2 10 3" xfId="866"/>
    <cellStyle name="표준 2 11" xfId="331"/>
    <cellStyle name="표준 2 11 2" xfId="868"/>
    <cellStyle name="표준 2 12" xfId="332"/>
    <cellStyle name="표준 2 13" xfId="333"/>
    <cellStyle name="표준 2 13 2" xfId="869"/>
    <cellStyle name="표준 2 14" xfId="334"/>
    <cellStyle name="표준 2 14 2" xfId="870"/>
    <cellStyle name="표준 2 15" xfId="535"/>
    <cellStyle name="표준 2 2" xfId="335"/>
    <cellStyle name="표준 2 2 2" xfId="336"/>
    <cellStyle name="표준 2 2 2 2" xfId="337"/>
    <cellStyle name="표준 2 2 2 2 2" xfId="871"/>
    <cellStyle name="표준 2 2 2 3" xfId="338"/>
    <cellStyle name="표준 2 2 2 3 2" xfId="872"/>
    <cellStyle name="표준 2 2 2 4" xfId="620"/>
    <cellStyle name="표준 2 2 3" xfId="339"/>
    <cellStyle name="표준 2 2 3 2" xfId="873"/>
    <cellStyle name="표준 2 2 4" xfId="340"/>
    <cellStyle name="표준 2 2 4 2" xfId="874"/>
    <cellStyle name="표준 2 2 5" xfId="341"/>
    <cellStyle name="표준 2 2 5 2" xfId="875"/>
    <cellStyle name="표준 2 22" xfId="1214"/>
    <cellStyle name="표준 2 3" xfId="342"/>
    <cellStyle name="표준 2 3 2" xfId="343"/>
    <cellStyle name="표준 2 3 2 2" xfId="877"/>
    <cellStyle name="표준 2 3 3" xfId="344"/>
    <cellStyle name="표준 2 3 3 2" xfId="878"/>
    <cellStyle name="표준 2 3 4" xfId="345"/>
    <cellStyle name="표준 2 3 4 2" xfId="879"/>
    <cellStyle name="표준 2 3 5" xfId="876"/>
    <cellStyle name="표준 2 4" xfId="346"/>
    <cellStyle name="표준 2 4 2" xfId="880"/>
    <cellStyle name="표준 2 5" xfId="347"/>
    <cellStyle name="표준 2 5 2" xfId="881"/>
    <cellStyle name="표준 2 6" xfId="348"/>
    <cellStyle name="표준 2 6 2" xfId="882"/>
    <cellStyle name="표준 2 7" xfId="349"/>
    <cellStyle name="표준 2 7 2" xfId="350"/>
    <cellStyle name="표준 2 7 3" xfId="351"/>
    <cellStyle name="표준 2 7 3 2" xfId="883"/>
    <cellStyle name="표준 2 7 4" xfId="352"/>
    <cellStyle name="표준 2 8" xfId="353"/>
    <cellStyle name="표준 2 8 2" xfId="354"/>
    <cellStyle name="표준 2 8 2 2" xfId="885"/>
    <cellStyle name="표준 2 8 3" xfId="355"/>
    <cellStyle name="표준 2 8 3 2" xfId="886"/>
    <cellStyle name="표준 2 8 4" xfId="884"/>
    <cellStyle name="표준 2 9" xfId="356"/>
    <cellStyle name="표준 20" xfId="357"/>
    <cellStyle name="표준 20 2" xfId="358"/>
    <cellStyle name="표준 20 2 2" xfId="888"/>
    <cellStyle name="표준 20 3" xfId="359"/>
    <cellStyle name="표준 20 3 2" xfId="889"/>
    <cellStyle name="표준 20 4" xfId="887"/>
    <cellStyle name="표준 21" xfId="360"/>
    <cellStyle name="표준 22" xfId="361"/>
    <cellStyle name="표준 23" xfId="362"/>
    <cellStyle name="표준 23 2" xfId="890"/>
    <cellStyle name="표준 24" xfId="363"/>
    <cellStyle name="표준 24 2" xfId="364"/>
    <cellStyle name="표준 24 2 2" xfId="891"/>
    <cellStyle name="표준 24 3" xfId="365"/>
    <cellStyle name="표준 24 3 2" xfId="892"/>
    <cellStyle name="표준 24 4" xfId="737"/>
    <cellStyle name="표준 25" xfId="366"/>
    <cellStyle name="표준 25 2" xfId="893"/>
    <cellStyle name="표준 26" xfId="367"/>
    <cellStyle name="표준 26 2" xfId="894"/>
    <cellStyle name="표준 27" xfId="368"/>
    <cellStyle name="표준 27 2" xfId="895"/>
    <cellStyle name="표준 28" xfId="369"/>
    <cellStyle name="표준 28 2" xfId="896"/>
    <cellStyle name="표준 29" xfId="370"/>
    <cellStyle name="표준 29 2" xfId="897"/>
    <cellStyle name="표준 3" xfId="371"/>
    <cellStyle name="표준 3 10" xfId="372"/>
    <cellStyle name="표준 3 10 2" xfId="899"/>
    <cellStyle name="표준 3 11" xfId="898"/>
    <cellStyle name="표준 3 2" xfId="373"/>
    <cellStyle name="표준 3 2 2" xfId="1215"/>
    <cellStyle name="표준 3 3" xfId="374"/>
    <cellStyle name="표준 3 3 2" xfId="375"/>
    <cellStyle name="표준 3 3 2 2" xfId="901"/>
    <cellStyle name="표준 3 3 3" xfId="376"/>
    <cellStyle name="표준 3 3 4" xfId="377"/>
    <cellStyle name="표준 3 3 4 2" xfId="902"/>
    <cellStyle name="표준 3 3 5" xfId="900"/>
    <cellStyle name="표준 3 30" xfId="378"/>
    <cellStyle name="표준 3 4" xfId="379"/>
    <cellStyle name="표준 3 4 2" xfId="903"/>
    <cellStyle name="표준 3 5" xfId="380"/>
    <cellStyle name="표준 3 5 2" xfId="904"/>
    <cellStyle name="표준 3 6" xfId="381"/>
    <cellStyle name="표준 3 6 2" xfId="905"/>
    <cellStyle name="표준 3 7" xfId="382"/>
    <cellStyle name="표준 3 7 2" xfId="906"/>
    <cellStyle name="표준 3 8" xfId="383"/>
    <cellStyle name="표준 3 8 2" xfId="907"/>
    <cellStyle name="표준 3 9" xfId="384"/>
    <cellStyle name="표준 3 9 2" xfId="908"/>
    <cellStyle name="표준 30" xfId="385"/>
    <cellStyle name="표준 30 2" xfId="909"/>
    <cellStyle name="표준 31" xfId="386"/>
    <cellStyle name="표준 31 2" xfId="910"/>
    <cellStyle name="표준 32" xfId="387"/>
    <cellStyle name="표준 32 2" xfId="911"/>
    <cellStyle name="표준 33" xfId="388"/>
    <cellStyle name="표준 33 2" xfId="912"/>
    <cellStyle name="표준 34" xfId="389"/>
    <cellStyle name="표준 34 2" xfId="913"/>
    <cellStyle name="표준 35" xfId="390"/>
    <cellStyle name="표준 35 2" xfId="914"/>
    <cellStyle name="표준 36" xfId="391"/>
    <cellStyle name="표준 36 2" xfId="915"/>
    <cellStyle name="표준 37" xfId="392"/>
    <cellStyle name="표준 37 2" xfId="916"/>
    <cellStyle name="표준 38" xfId="393"/>
    <cellStyle name="표준 38 2" xfId="917"/>
    <cellStyle name="표준 39" xfId="394"/>
    <cellStyle name="표준 39 2" xfId="918"/>
    <cellStyle name="표준 4" xfId="395"/>
    <cellStyle name="표준 4 10" xfId="396"/>
    <cellStyle name="표준 4 10 2" xfId="397"/>
    <cellStyle name="표준 4 10 2 2" xfId="921"/>
    <cellStyle name="표준 4 10 3" xfId="398"/>
    <cellStyle name="표준 4 10 3 2" xfId="922"/>
    <cellStyle name="표준 4 10 4" xfId="920"/>
    <cellStyle name="표준 4 11" xfId="399"/>
    <cellStyle name="표준 4 11 2" xfId="400"/>
    <cellStyle name="표준 4 11 2 2" xfId="924"/>
    <cellStyle name="표준 4 11 3" xfId="401"/>
    <cellStyle name="표준 4 11 3 2" xfId="925"/>
    <cellStyle name="표준 4 11 4" xfId="923"/>
    <cellStyle name="표준 4 12" xfId="402"/>
    <cellStyle name="표준 4 12 2" xfId="926"/>
    <cellStyle name="표준 4 13" xfId="403"/>
    <cellStyle name="표준 4 13 2" xfId="927"/>
    <cellStyle name="표준 4 14" xfId="919"/>
    <cellStyle name="표준 4 2" xfId="404"/>
    <cellStyle name="표준 4 2 2" xfId="405"/>
    <cellStyle name="표준 4 2 2 2" xfId="929"/>
    <cellStyle name="표준 4 2 3" xfId="406"/>
    <cellStyle name="표준 4 2 3 2" xfId="930"/>
    <cellStyle name="표준 4 2 4" xfId="407"/>
    <cellStyle name="표준 4 2 4 2" xfId="931"/>
    <cellStyle name="표준 4 2 5" xfId="928"/>
    <cellStyle name="표준 4 3" xfId="408"/>
    <cellStyle name="표준 4 3 2" xfId="932"/>
    <cellStyle name="표준 4 4" xfId="409"/>
    <cellStyle name="표준 4 4 2" xfId="933"/>
    <cellStyle name="표준 4 5" xfId="410"/>
    <cellStyle name="표준 4 5 2" xfId="934"/>
    <cellStyle name="표준 4 6" xfId="411"/>
    <cellStyle name="표준 4 6 2" xfId="935"/>
    <cellStyle name="표준 4 7" xfId="412"/>
    <cellStyle name="표준 4 7 2" xfId="413"/>
    <cellStyle name="표준 4 7 2 2" xfId="937"/>
    <cellStyle name="표준 4 7 3" xfId="414"/>
    <cellStyle name="표준 4 7 3 2" xfId="938"/>
    <cellStyle name="표준 4 7 4" xfId="936"/>
    <cellStyle name="표준 4 8" xfId="415"/>
    <cellStyle name="표준 4 8 2" xfId="939"/>
    <cellStyle name="표준 4 9" xfId="416"/>
    <cellStyle name="표준 4 9 2" xfId="417"/>
    <cellStyle name="표준 4 9 2 2" xfId="941"/>
    <cellStyle name="표준 4 9 3" xfId="418"/>
    <cellStyle name="표준 4 9 3 2" xfId="942"/>
    <cellStyle name="표준 4 9 4" xfId="940"/>
    <cellStyle name="표준 40" xfId="419"/>
    <cellStyle name="표준 40 2" xfId="943"/>
    <cellStyle name="표준 41" xfId="420"/>
    <cellStyle name="표준 41 2" xfId="944"/>
    <cellStyle name="표준 42" xfId="421"/>
    <cellStyle name="표준 42 2" xfId="945"/>
    <cellStyle name="표준 43" xfId="422"/>
    <cellStyle name="표준 43 2" xfId="946"/>
    <cellStyle name="표준 44" xfId="423"/>
    <cellStyle name="표준 44 2" xfId="947"/>
    <cellStyle name="표준 45" xfId="424"/>
    <cellStyle name="표준 45 2" xfId="948"/>
    <cellStyle name="표준 46" xfId="425"/>
    <cellStyle name="표준 46 2" xfId="949"/>
    <cellStyle name="표준 47" xfId="426"/>
    <cellStyle name="표준 47 2" xfId="950"/>
    <cellStyle name="표준 48" xfId="427"/>
    <cellStyle name="표준 48 2" xfId="951"/>
    <cellStyle name="표준 49" xfId="428"/>
    <cellStyle name="표준 49 2" xfId="952"/>
    <cellStyle name="표준 5" xfId="429"/>
    <cellStyle name="표준 5 2" xfId="430"/>
    <cellStyle name="표준 5 2 2" xfId="954"/>
    <cellStyle name="표준 5 3" xfId="431"/>
    <cellStyle name="표준 5 3 2" xfId="432"/>
    <cellStyle name="표준 5 3 2 2" xfId="956"/>
    <cellStyle name="표준 5 3 3" xfId="433"/>
    <cellStyle name="표준 5 3 3 2" xfId="957"/>
    <cellStyle name="표준 5 3 4" xfId="955"/>
    <cellStyle name="표준 5 4" xfId="434"/>
    <cellStyle name="표준 5 4 2" xfId="435"/>
    <cellStyle name="표준 5 4 2 2" xfId="959"/>
    <cellStyle name="표준 5 4 3" xfId="436"/>
    <cellStyle name="표준 5 4 3 2" xfId="960"/>
    <cellStyle name="표준 5 4 4" xfId="958"/>
    <cellStyle name="표준 5 5" xfId="437"/>
    <cellStyle name="표준 5 5 2" xfId="438"/>
    <cellStyle name="표준 5 5 2 2" xfId="962"/>
    <cellStyle name="표준 5 5 3" xfId="439"/>
    <cellStyle name="표준 5 5 3 2" xfId="963"/>
    <cellStyle name="표준 5 5 4" xfId="961"/>
    <cellStyle name="표준 5 6" xfId="440"/>
    <cellStyle name="표준 5 6 2" xfId="441"/>
    <cellStyle name="표준 5 6 2 2" xfId="965"/>
    <cellStyle name="표준 5 6 3" xfId="442"/>
    <cellStyle name="표준 5 6 3 2" xfId="966"/>
    <cellStyle name="표준 5 6 4" xfId="964"/>
    <cellStyle name="표준 5 7" xfId="537"/>
    <cellStyle name="표준 5 8" xfId="953"/>
    <cellStyle name="표준 50" xfId="443"/>
    <cellStyle name="표준 50 2" xfId="967"/>
    <cellStyle name="표준 51" xfId="444"/>
    <cellStyle name="표준 51 2" xfId="968"/>
    <cellStyle name="표준 52" xfId="445"/>
    <cellStyle name="표준 52 2" xfId="969"/>
    <cellStyle name="표준 53" xfId="446"/>
    <cellStyle name="표준 53 2" xfId="970"/>
    <cellStyle name="표준 54" xfId="447"/>
    <cellStyle name="표준 54 2" xfId="971"/>
    <cellStyle name="표준 55" xfId="448"/>
    <cellStyle name="표준 55 2" xfId="972"/>
    <cellStyle name="표준 56" xfId="449"/>
    <cellStyle name="표준 56 2" xfId="973"/>
    <cellStyle name="표준 57" xfId="450"/>
    <cellStyle name="표준 57 2" xfId="974"/>
    <cellStyle name="표준 58" xfId="451"/>
    <cellStyle name="표준 58 2" xfId="452"/>
    <cellStyle name="표준 58 2 2" xfId="975"/>
    <cellStyle name="표준 58 3" xfId="453"/>
    <cellStyle name="표준 58 3 2" xfId="976"/>
    <cellStyle name="표준 58 4" xfId="739"/>
    <cellStyle name="표준 59" xfId="454"/>
    <cellStyle name="표준 59 2" xfId="741"/>
    <cellStyle name="표준 6" xfId="455"/>
    <cellStyle name="표준 6 2" xfId="456"/>
    <cellStyle name="표준 6 2 2" xfId="978"/>
    <cellStyle name="표준 6 3" xfId="457"/>
    <cellStyle name="표준 6 3 2" xfId="979"/>
    <cellStyle name="표준 6 4" xfId="458"/>
    <cellStyle name="표준 6 4 2" xfId="980"/>
    <cellStyle name="표준 6 5" xfId="977"/>
    <cellStyle name="표준 60" xfId="459"/>
    <cellStyle name="표준 60 2" xfId="981"/>
    <cellStyle name="표준 61" xfId="460"/>
    <cellStyle name="표준 61 10" xfId="461"/>
    <cellStyle name="표준 61 10 2" xfId="1131"/>
    <cellStyle name="표준 61 11" xfId="462"/>
    <cellStyle name="표준 61 11 2" xfId="1146"/>
    <cellStyle name="표준 61 12" xfId="463"/>
    <cellStyle name="표준 61 12 2" xfId="1161"/>
    <cellStyle name="표준 61 13" xfId="464"/>
    <cellStyle name="표준 61 13 2" xfId="1211"/>
    <cellStyle name="표준 61 14" xfId="1000"/>
    <cellStyle name="표준 61 2" xfId="465"/>
    <cellStyle name="표준 61 2 2" xfId="1014"/>
    <cellStyle name="표준 61 3" xfId="466"/>
    <cellStyle name="표준 61 3 2" xfId="1028"/>
    <cellStyle name="표준 61 4" xfId="467"/>
    <cellStyle name="표준 61 4 2" xfId="1042"/>
    <cellStyle name="표준 61 5" xfId="468"/>
    <cellStyle name="표준 61 5 2" xfId="1056"/>
    <cellStyle name="표준 61 6" xfId="469"/>
    <cellStyle name="표준 61 6 2" xfId="1071"/>
    <cellStyle name="표준 61 7" xfId="470"/>
    <cellStyle name="표준 61 7 2" xfId="1086"/>
    <cellStyle name="표준 61 8" xfId="471"/>
    <cellStyle name="표준 61 8 2" xfId="1101"/>
    <cellStyle name="표준 61 9" xfId="472"/>
    <cellStyle name="표준 61 9 2" xfId="1116"/>
    <cellStyle name="표준 62" xfId="473"/>
    <cellStyle name="표준 62 10" xfId="474"/>
    <cellStyle name="표준 62 10 2" xfId="1213"/>
    <cellStyle name="표준 62 11" xfId="750"/>
    <cellStyle name="표준 62 2" xfId="475"/>
    <cellStyle name="표준 62 2 2" xfId="1058"/>
    <cellStyle name="표준 62 3" xfId="476"/>
    <cellStyle name="표준 62 3 2" xfId="1073"/>
    <cellStyle name="표준 62 4" xfId="477"/>
    <cellStyle name="표준 62 4 2" xfId="1088"/>
    <cellStyle name="표준 62 5" xfId="478"/>
    <cellStyle name="표준 62 5 2" xfId="1103"/>
    <cellStyle name="표준 62 6" xfId="479"/>
    <cellStyle name="표준 62 6 2" xfId="1118"/>
    <cellStyle name="표준 62 7" xfId="480"/>
    <cellStyle name="표준 62 7 2" xfId="1133"/>
    <cellStyle name="표준 62 8" xfId="481"/>
    <cellStyle name="표준 62 8 2" xfId="1148"/>
    <cellStyle name="표준 62 9" xfId="482"/>
    <cellStyle name="표준 62 9 2" xfId="1163"/>
    <cellStyle name="표준 63" xfId="534"/>
    <cellStyle name="표준 63 2" xfId="619"/>
    <cellStyle name="표준 64" xfId="483"/>
    <cellStyle name="표준 64 2" xfId="982"/>
    <cellStyle name="표준 65" xfId="735"/>
    <cellStyle name="표준 69" xfId="484"/>
    <cellStyle name="표준 69 2" xfId="740"/>
    <cellStyle name="표준 7" xfId="485"/>
    <cellStyle name="표준 7 2" xfId="486"/>
    <cellStyle name="표준 7 2 2" xfId="487"/>
    <cellStyle name="표준 7 2 2 2" xfId="985"/>
    <cellStyle name="표준 7 2 3" xfId="488"/>
    <cellStyle name="표준 7 2 3 2" xfId="986"/>
    <cellStyle name="표준 7 2 4" xfId="984"/>
    <cellStyle name="표준 7 3" xfId="489"/>
    <cellStyle name="표준 7 3 2" xfId="987"/>
    <cellStyle name="표준 7 4" xfId="490"/>
    <cellStyle name="표준 7 4 2" xfId="491"/>
    <cellStyle name="표준 7 4 2 2" xfId="989"/>
    <cellStyle name="표준 7 4 3" xfId="492"/>
    <cellStyle name="표준 7 4 3 2" xfId="990"/>
    <cellStyle name="표준 7 4 4" xfId="988"/>
    <cellStyle name="표준 7 5" xfId="493"/>
    <cellStyle name="표준 7 5 2" xfId="991"/>
    <cellStyle name="표준 7 6" xfId="494"/>
    <cellStyle name="표준 7 6 2" xfId="992"/>
    <cellStyle name="표준 7 7" xfId="983"/>
    <cellStyle name="표준 8" xfId="495"/>
    <cellStyle name="표준 9" xfId="496"/>
    <cellStyle name="표준 9 2" xfId="497"/>
    <cellStyle name="표준 9 2 2" xfId="498"/>
    <cellStyle name="표준 9 2 2 2" xfId="995"/>
    <cellStyle name="표준 9 2 3" xfId="499"/>
    <cellStyle name="표준 9 2 3 2" xfId="996"/>
    <cellStyle name="표준 9 2 4" xfId="994"/>
    <cellStyle name="표준 9 3" xfId="500"/>
    <cellStyle name="표준 9 3 2" xfId="997"/>
    <cellStyle name="표준 9 4" xfId="501"/>
    <cellStyle name="표준 9 4 2" xfId="998"/>
    <cellStyle name="표준 9 5" xfId="502"/>
    <cellStyle name="표준 9 5 2" xfId="999"/>
    <cellStyle name="표준 9 6" xfId="993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FFFFFF00"/>
      <rgbColor rgb="FFC0C0C0"/>
      <rgbColor rgb="FF0000FF"/>
      <rgbColor rgb="FFFFFF99"/>
      <rgbColor rgb="FF333333"/>
      <rgbColor rgb="FFC0504D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006600"/>
      <color rgb="FFFFFFCC"/>
      <color rgb="FFFF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16</xdr:col>
      <xdr:colOff>59553</xdr:colOff>
      <xdr:row>47</xdr:row>
      <xdr:rowOff>136781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AD6DBD1E-B279-439F-86BE-6C0F3B1E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1675"/>
          <a:ext cx="11257143" cy="30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515108</xdr:colOff>
      <xdr:row>80</xdr:row>
      <xdr:rowOff>5264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58A45A04-708C-42B4-A62D-1FC932798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0580"/>
          <a:ext cx="5430008" cy="10421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22</xdr:col>
      <xdr:colOff>136978</xdr:colOff>
      <xdr:row>98</xdr:row>
      <xdr:rowOff>140587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C078166F-2CA3-4EC6-9FD0-18A4D52C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22880"/>
          <a:ext cx="16695238" cy="3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160020</xdr:rowOff>
    </xdr:from>
    <xdr:to>
      <xdr:col>22</xdr:col>
      <xdr:colOff>146502</xdr:colOff>
      <xdr:row>116</xdr:row>
      <xdr:rowOff>127250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A6631CD4-72C6-4BBE-B550-448EE46B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91860"/>
          <a:ext cx="16704762" cy="3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22</xdr:col>
      <xdr:colOff>156026</xdr:colOff>
      <xdr:row>134</xdr:row>
      <xdr:rowOff>112015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06B75BE5-74A9-42EC-8569-94E00BE12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006560"/>
          <a:ext cx="16714286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22</xdr:col>
      <xdr:colOff>175073</xdr:colOff>
      <xdr:row>153</xdr:row>
      <xdr:rowOff>157707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BAF43CC4-9359-4C0F-B48C-14BC4F9B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298400"/>
          <a:ext cx="16733333" cy="3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22</xdr:col>
      <xdr:colOff>165549</xdr:colOff>
      <xdr:row>172</xdr:row>
      <xdr:rowOff>157707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xmlns="" id="{1454E730-9997-416D-A100-BA63D84F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773120"/>
          <a:ext cx="16723809" cy="3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22</xdr:col>
      <xdr:colOff>165549</xdr:colOff>
      <xdr:row>189</xdr:row>
      <xdr:rowOff>113943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xmlns="" id="{0FF2A122-BAB0-40D9-B7C8-05E24EB8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247840"/>
          <a:ext cx="16723809" cy="2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22</xdr:col>
      <xdr:colOff>165549</xdr:colOff>
      <xdr:row>208</xdr:row>
      <xdr:rowOff>157707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xmlns="" id="{A8888F75-4EC3-44C0-ADEA-AFFD4828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5356800"/>
          <a:ext cx="16723809" cy="3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4"/>
  <sheetViews>
    <sheetView showGridLines="0" tabSelected="1" workbookViewId="0">
      <selection activeCell="F16" sqref="F16"/>
    </sheetView>
  </sheetViews>
  <sheetFormatPr defaultColWidth="8.77734375" defaultRowHeight="17.399999999999999"/>
  <cols>
    <col min="1" max="1" width="3.6640625" style="36" customWidth="1"/>
    <col min="2" max="2" width="19.44140625" style="36" customWidth="1"/>
    <col min="3" max="3" width="17.6640625" style="36" customWidth="1"/>
    <col min="4" max="4" width="13.109375" style="36" customWidth="1"/>
    <col min="5" max="5" width="15" style="36" bestFit="1" customWidth="1"/>
    <col min="6" max="6" width="15.6640625" style="36" bestFit="1" customWidth="1"/>
    <col min="7" max="7" width="15.44140625" style="36" customWidth="1"/>
    <col min="8" max="8" width="9.109375" style="36" bestFit="1" customWidth="1"/>
    <col min="9" max="9" width="7.109375" style="36" customWidth="1"/>
    <col min="10" max="10" width="15.6640625" style="36" bestFit="1" customWidth="1"/>
    <col min="11" max="11" width="16" style="36" customWidth="1"/>
    <col min="12" max="12" width="5.44140625" style="9" customWidth="1"/>
    <col min="13" max="13" width="8.77734375" style="36" customWidth="1"/>
    <col min="14" max="14" width="10.77734375" style="36" bestFit="1" customWidth="1"/>
    <col min="15" max="15" width="8.77734375" style="9" customWidth="1"/>
    <col min="16" max="16" width="13.33203125" style="182" bestFit="1" customWidth="1"/>
    <col min="17" max="256" width="8.77734375" style="36" customWidth="1"/>
    <col min="257" max="16384" width="8.77734375" style="37"/>
  </cols>
  <sheetData>
    <row r="1" spans="2:14" ht="7.8" customHeight="1"/>
    <row r="2" spans="2:14" ht="21.6" thickBot="1">
      <c r="B2" s="291" t="s">
        <v>281</v>
      </c>
      <c r="C2" s="291"/>
      <c r="D2" s="291"/>
      <c r="J2" s="110" t="s">
        <v>131</v>
      </c>
    </row>
    <row r="3" spans="2:14">
      <c r="B3" s="37"/>
      <c r="J3" s="57" t="s">
        <v>7</v>
      </c>
      <c r="K3" s="58">
        <v>1027970000</v>
      </c>
    </row>
    <row r="4" spans="2:14" ht="18" thickBot="1">
      <c r="B4" s="180" t="s">
        <v>0</v>
      </c>
      <c r="C4" s="180" t="s">
        <v>1</v>
      </c>
      <c r="D4" s="180" t="s">
        <v>2</v>
      </c>
      <c r="E4" s="180" t="s">
        <v>3</v>
      </c>
      <c r="F4" s="180" t="s">
        <v>4</v>
      </c>
      <c r="G4" s="180" t="s">
        <v>5</v>
      </c>
      <c r="H4" s="180" t="s">
        <v>6</v>
      </c>
      <c r="J4" s="59" t="s">
        <v>10</v>
      </c>
      <c r="K4" s="60">
        <v>250000000</v>
      </c>
    </row>
    <row r="5" spans="2:14">
      <c r="B5" s="6" t="s">
        <v>41</v>
      </c>
      <c r="C5" s="40">
        <f>카카오페이지1!D7</f>
        <v>18550000</v>
      </c>
      <c r="D5" s="16">
        <f>카카오페이지1!E7</f>
        <v>0</v>
      </c>
      <c r="E5" s="41">
        <f>카카오페이지1!F7</f>
        <v>18550000</v>
      </c>
      <c r="F5" s="40">
        <f>카카오페이지1!G7</f>
        <v>3710000</v>
      </c>
      <c r="G5" s="42">
        <f>카카오페이지1!H7</f>
        <v>14840000</v>
      </c>
      <c r="H5" s="6" t="s">
        <v>9</v>
      </c>
      <c r="J5" s="292" t="s">
        <v>12</v>
      </c>
      <c r="K5" s="293"/>
    </row>
    <row r="6" spans="2:14">
      <c r="B6" s="6" t="s">
        <v>42</v>
      </c>
      <c r="C6" s="40">
        <f>카카오페이지2!D6</f>
        <v>10737935.323899999</v>
      </c>
      <c r="D6" s="40">
        <f>카카오페이지2!E6</f>
        <v>4648831.3238999993</v>
      </c>
      <c r="E6" s="41">
        <f>카카오페이지2!F6</f>
        <v>6089104</v>
      </c>
      <c r="F6" s="40">
        <f>카카오페이지2!G6</f>
        <v>1217820.8</v>
      </c>
      <c r="G6" s="42">
        <f>카카오페이지2!H6</f>
        <v>4871283.2</v>
      </c>
      <c r="H6" s="6" t="s">
        <v>14</v>
      </c>
      <c r="J6" s="61" t="s">
        <v>15</v>
      </c>
      <c r="K6" s="62">
        <v>14506621</v>
      </c>
      <c r="L6" s="9" t="s">
        <v>37</v>
      </c>
    </row>
    <row r="7" spans="2:14">
      <c r="B7" s="169" t="s">
        <v>11</v>
      </c>
      <c r="C7" s="40">
        <f>네이버웹툰1!D5</f>
        <v>4700000</v>
      </c>
      <c r="D7" s="16">
        <f>네이버웹툰1!E5</f>
        <v>0</v>
      </c>
      <c r="E7" s="41">
        <f>네이버웹툰1!F5</f>
        <v>4700000</v>
      </c>
      <c r="F7" s="40">
        <f>네이버웹툰1!G5</f>
        <v>940000</v>
      </c>
      <c r="G7" s="42">
        <f>네이버웹툰1!H5</f>
        <v>3760000</v>
      </c>
      <c r="H7" s="6" t="s">
        <v>9</v>
      </c>
      <c r="J7" s="61" t="s">
        <v>16</v>
      </c>
      <c r="K7" s="63">
        <v>8562269</v>
      </c>
      <c r="L7" s="9" t="s">
        <v>37</v>
      </c>
      <c r="N7" s="43"/>
    </row>
    <row r="8" spans="2:14">
      <c r="B8" s="169" t="s">
        <v>13</v>
      </c>
      <c r="C8" s="40">
        <f>네이버웹툰2!D20</f>
        <v>115630393</v>
      </c>
      <c r="D8" s="40">
        <f>네이버웹툰2!E20</f>
        <v>52232688</v>
      </c>
      <c r="E8" s="41">
        <f>네이버웹툰2!F20</f>
        <v>63397705</v>
      </c>
      <c r="F8" s="40">
        <f>네이버웹툰2!G20</f>
        <v>12679541</v>
      </c>
      <c r="G8" s="40">
        <f>네이버웹툰2!H20</f>
        <v>50718164</v>
      </c>
      <c r="H8" s="6" t="s">
        <v>14</v>
      </c>
      <c r="J8" s="61" t="s">
        <v>17</v>
      </c>
      <c r="K8" s="63">
        <v>17036883</v>
      </c>
      <c r="L8" s="9" t="s">
        <v>37</v>
      </c>
    </row>
    <row r="9" spans="2:14">
      <c r="B9" s="170" t="s">
        <v>200</v>
      </c>
      <c r="C9" s="154">
        <f>테크앤조이!D4</f>
        <v>762859</v>
      </c>
      <c r="D9" s="156">
        <f>테크앤조이!E4</f>
        <v>457715</v>
      </c>
      <c r="E9" s="155">
        <f>테크앤조이!F4</f>
        <v>305144</v>
      </c>
      <c r="F9" s="156">
        <f>테크앤조이!G4</f>
        <v>61028.800000000003</v>
      </c>
      <c r="G9" s="157">
        <f>테크앤조이!H4</f>
        <v>244115.20000000001</v>
      </c>
      <c r="H9" s="158" t="s">
        <v>14</v>
      </c>
      <c r="J9" s="61" t="s">
        <v>18</v>
      </c>
      <c r="K9" s="63">
        <v>30825944</v>
      </c>
      <c r="L9" s="9" t="s">
        <v>37</v>
      </c>
    </row>
    <row r="10" spans="2:14">
      <c r="B10" s="45" t="s">
        <v>104</v>
      </c>
      <c r="C10" s="46">
        <f>키다리스튜디오!D4</f>
        <v>12389440</v>
      </c>
      <c r="D10" s="47">
        <f>키다리스튜디오!E4</f>
        <v>9703554</v>
      </c>
      <c r="E10" s="48">
        <f>키다리스튜디오!F4</f>
        <v>2685886</v>
      </c>
      <c r="F10" s="47">
        <f>키다리스튜디오!G4</f>
        <v>537177.20000000007</v>
      </c>
      <c r="G10" s="49">
        <f>키다리스튜디오!H4</f>
        <v>2148708.8000000003</v>
      </c>
      <c r="H10" s="55" t="s">
        <v>14</v>
      </c>
      <c r="J10" s="61" t="s">
        <v>19</v>
      </c>
      <c r="K10" s="63">
        <v>17198136</v>
      </c>
      <c r="L10" s="9" t="s">
        <v>37</v>
      </c>
    </row>
    <row r="11" spans="2:14" ht="18" thickBot="1">
      <c r="B11" s="289" t="s">
        <v>299</v>
      </c>
      <c r="C11" s="154">
        <f>탑툰!D4</f>
        <v>3335368</v>
      </c>
      <c r="D11" s="16">
        <f>네이버웹툰1!E9</f>
        <v>0</v>
      </c>
      <c r="E11" s="155">
        <f>탑툰!F4</f>
        <v>3335368</v>
      </c>
      <c r="F11" s="156">
        <f>탑툰!G4</f>
        <v>667073.60000000009</v>
      </c>
      <c r="G11" s="157">
        <f>탑툰!H4</f>
        <v>2668294.4000000004</v>
      </c>
      <c r="H11" s="55" t="s">
        <v>14</v>
      </c>
      <c r="J11" s="108" t="s">
        <v>21</v>
      </c>
      <c r="K11" s="109">
        <f>SUM(K6:K10)</f>
        <v>88129853</v>
      </c>
    </row>
    <row r="12" spans="2:14" ht="18" thickTop="1">
      <c r="B12" s="50" t="s">
        <v>20</v>
      </c>
      <c r="C12" s="44">
        <f>SUM(C5:C11)</f>
        <v>166105995.32389998</v>
      </c>
      <c r="D12" s="44">
        <f t="shared" ref="D12:G12" si="0">SUM(D5:D11)</f>
        <v>67042788.323899999</v>
      </c>
      <c r="E12" s="44">
        <f t="shared" si="0"/>
        <v>99063207</v>
      </c>
      <c r="F12" s="51">
        <f t="shared" si="0"/>
        <v>19812641.400000002</v>
      </c>
      <c r="G12" s="51">
        <f t="shared" si="0"/>
        <v>79250565.600000009</v>
      </c>
      <c r="H12" s="52"/>
      <c r="J12" s="64" t="s">
        <v>113</v>
      </c>
      <c r="K12" s="65" t="s">
        <v>40</v>
      </c>
      <c r="L12" s="9" t="s">
        <v>37</v>
      </c>
    </row>
    <row r="13" spans="2:14">
      <c r="F13" s="167">
        <f>E12*0.2</f>
        <v>19812641.400000002</v>
      </c>
      <c r="G13" s="167">
        <f>E12*0.8</f>
        <v>79250565.600000009</v>
      </c>
      <c r="J13" s="61" t="s">
        <v>114</v>
      </c>
      <c r="K13" s="63">
        <v>40642286</v>
      </c>
      <c r="L13" s="9" t="s">
        <v>37</v>
      </c>
    </row>
    <row r="14" spans="2:14">
      <c r="B14" s="39" t="s">
        <v>112</v>
      </c>
      <c r="J14" s="61" t="s">
        <v>115</v>
      </c>
      <c r="K14" s="63">
        <v>28776392</v>
      </c>
      <c r="L14" s="9" t="s">
        <v>37</v>
      </c>
    </row>
    <row r="15" spans="2:14">
      <c r="J15" s="61" t="s">
        <v>116</v>
      </c>
      <c r="K15" s="63">
        <v>17432662</v>
      </c>
      <c r="L15" s="9" t="s">
        <v>37</v>
      </c>
    </row>
    <row r="16" spans="2:14">
      <c r="C16" s="37"/>
      <c r="D16" s="37"/>
      <c r="E16" s="37"/>
      <c r="J16" s="61" t="s">
        <v>117</v>
      </c>
      <c r="K16" s="63">
        <v>35056871</v>
      </c>
      <c r="L16" s="9" t="s">
        <v>37</v>
      </c>
    </row>
    <row r="17" spans="2:13">
      <c r="B17" s="294" t="s">
        <v>35</v>
      </c>
      <c r="C17" s="294"/>
      <c r="D17" s="54" t="s">
        <v>36</v>
      </c>
      <c r="E17" s="162"/>
      <c r="J17" s="61" t="s">
        <v>118</v>
      </c>
      <c r="K17" s="63">
        <v>33089659</v>
      </c>
      <c r="L17" s="9" t="s">
        <v>37</v>
      </c>
    </row>
    <row r="18" spans="2:13">
      <c r="B18" s="297" t="s">
        <v>34</v>
      </c>
      <c r="C18" s="298"/>
      <c r="D18" s="70">
        <f>F12</f>
        <v>19812641.400000002</v>
      </c>
      <c r="E18" s="178"/>
      <c r="J18" s="61" t="s">
        <v>119</v>
      </c>
      <c r="K18" s="63">
        <v>17278906</v>
      </c>
      <c r="L18" s="9" t="s">
        <v>37</v>
      </c>
    </row>
    <row r="19" spans="2:13">
      <c r="B19" s="295" t="s">
        <v>378</v>
      </c>
      <c r="C19" s="296"/>
      <c r="D19" s="71">
        <f>D18</f>
        <v>19812641.400000002</v>
      </c>
      <c r="E19" s="163"/>
      <c r="J19" s="61" t="s">
        <v>120</v>
      </c>
      <c r="K19" s="66">
        <v>24626732</v>
      </c>
      <c r="L19" s="9" t="s">
        <v>37</v>
      </c>
    </row>
    <row r="20" spans="2:13">
      <c r="E20" s="164"/>
      <c r="J20" s="61" t="s">
        <v>121</v>
      </c>
      <c r="K20" s="66">
        <v>27140688</v>
      </c>
      <c r="L20" s="9" t="s">
        <v>124</v>
      </c>
    </row>
    <row r="21" spans="2:13">
      <c r="E21" s="164"/>
      <c r="J21" s="61" t="s">
        <v>122</v>
      </c>
      <c r="K21" s="66">
        <v>29171298</v>
      </c>
      <c r="L21" s="9" t="s">
        <v>124</v>
      </c>
    </row>
    <row r="22" spans="2:13">
      <c r="J22" s="61" t="s">
        <v>123</v>
      </c>
      <c r="K22" s="66">
        <v>15744187</v>
      </c>
      <c r="L22" s="9" t="s">
        <v>124</v>
      </c>
    </row>
    <row r="23" spans="2:13">
      <c r="J23" s="67">
        <v>2019.12</v>
      </c>
      <c r="K23" s="66">
        <v>18683634</v>
      </c>
      <c r="L23" s="9" t="s">
        <v>124</v>
      </c>
    </row>
    <row r="24" spans="2:13" ht="18" thickBot="1">
      <c r="J24" s="108" t="s">
        <v>22</v>
      </c>
      <c r="K24" s="109">
        <f>SUM(K12:K23)</f>
        <v>287643315</v>
      </c>
    </row>
    <row r="25" spans="2:13" ht="18" thickTop="1">
      <c r="B25" s="161"/>
      <c r="J25" s="64" t="s">
        <v>146</v>
      </c>
      <c r="K25" s="65">
        <v>25963688</v>
      </c>
      <c r="L25" s="9" t="s">
        <v>124</v>
      </c>
    </row>
    <row r="26" spans="2:13">
      <c r="B26" s="164"/>
      <c r="J26" s="61" t="s">
        <v>147</v>
      </c>
      <c r="K26" s="63">
        <v>24673815</v>
      </c>
      <c r="L26" s="9" t="s">
        <v>124</v>
      </c>
      <c r="M26" s="53" t="s">
        <v>218</v>
      </c>
    </row>
    <row r="27" spans="2:13">
      <c r="J27" s="61" t="s">
        <v>148</v>
      </c>
      <c r="K27" s="63">
        <v>24315434</v>
      </c>
      <c r="L27" s="9" t="s">
        <v>124</v>
      </c>
      <c r="M27" s="53"/>
    </row>
    <row r="28" spans="2:13">
      <c r="J28" s="61" t="s">
        <v>149</v>
      </c>
      <c r="K28" s="63">
        <v>31918486</v>
      </c>
      <c r="L28" s="9" t="s">
        <v>124</v>
      </c>
    </row>
    <row r="29" spans="2:13">
      <c r="J29" s="61" t="s">
        <v>150</v>
      </c>
      <c r="K29" s="63">
        <v>27302553</v>
      </c>
      <c r="L29" s="9" t="s">
        <v>124</v>
      </c>
    </row>
    <row r="30" spans="2:13">
      <c r="J30" s="61" t="s">
        <v>151</v>
      </c>
      <c r="K30" s="63">
        <v>25712668</v>
      </c>
      <c r="L30" s="9" t="s">
        <v>124</v>
      </c>
    </row>
    <row r="31" spans="2:13">
      <c r="J31" s="61" t="s">
        <v>152</v>
      </c>
      <c r="K31" s="63">
        <v>29131889</v>
      </c>
      <c r="L31" s="9" t="s">
        <v>124</v>
      </c>
      <c r="M31" s="171"/>
    </row>
    <row r="32" spans="2:13">
      <c r="J32" s="61" t="s">
        <v>153</v>
      </c>
      <c r="K32" s="66">
        <v>27059690</v>
      </c>
      <c r="L32" s="9" t="s">
        <v>124</v>
      </c>
    </row>
    <row r="33" spans="10:13">
      <c r="J33" s="61" t="s">
        <v>154</v>
      </c>
      <c r="K33" s="66">
        <v>34344144</v>
      </c>
      <c r="L33" s="9" t="s">
        <v>124</v>
      </c>
    </row>
    <row r="34" spans="10:13">
      <c r="J34" s="61" t="s">
        <v>155</v>
      </c>
      <c r="K34" s="66">
        <v>27618375</v>
      </c>
      <c r="L34" s="9" t="s">
        <v>124</v>
      </c>
    </row>
    <row r="35" spans="10:13">
      <c r="J35" s="61" t="s">
        <v>156</v>
      </c>
      <c r="K35" s="66">
        <v>18666794</v>
      </c>
      <c r="L35" s="9" t="s">
        <v>124</v>
      </c>
      <c r="M35" s="9" t="s">
        <v>259</v>
      </c>
    </row>
    <row r="36" spans="10:13">
      <c r="J36" s="61" t="s">
        <v>157</v>
      </c>
      <c r="K36" s="66">
        <v>22399933</v>
      </c>
      <c r="L36" s="9" t="s">
        <v>124</v>
      </c>
    </row>
    <row r="37" spans="10:13" ht="18" thickBot="1">
      <c r="J37" s="108" t="s">
        <v>145</v>
      </c>
      <c r="K37" s="109">
        <f>SUM(K25:K36)</f>
        <v>319107469</v>
      </c>
    </row>
    <row r="38" spans="10:13" ht="18" thickTop="1">
      <c r="J38" s="64" t="s">
        <v>243</v>
      </c>
      <c r="K38" s="65">
        <v>25525200.799999997</v>
      </c>
      <c r="L38" s="9" t="s">
        <v>124</v>
      </c>
    </row>
    <row r="39" spans="10:13">
      <c r="J39" s="61" t="s">
        <v>244</v>
      </c>
      <c r="K39" s="63">
        <v>23838777.200000003</v>
      </c>
      <c r="L39" s="9" t="s">
        <v>124</v>
      </c>
    </row>
    <row r="40" spans="10:13">
      <c r="J40" s="61" t="s">
        <v>245</v>
      </c>
      <c r="K40" s="63">
        <v>19328258.200000003</v>
      </c>
      <c r="L40" s="9" t="s">
        <v>124</v>
      </c>
    </row>
    <row r="41" spans="10:13">
      <c r="J41" s="61" t="s">
        <v>246</v>
      </c>
      <c r="K41" s="63">
        <v>20722060</v>
      </c>
      <c r="L41" s="9" t="s">
        <v>124</v>
      </c>
    </row>
    <row r="42" spans="10:13">
      <c r="J42" s="61" t="s">
        <v>247</v>
      </c>
      <c r="K42" s="63">
        <v>20670191.199999999</v>
      </c>
      <c r="L42" s="9" t="s">
        <v>124</v>
      </c>
    </row>
    <row r="43" spans="10:13">
      <c r="J43" s="61" t="s">
        <v>248</v>
      </c>
      <c r="K43" s="63">
        <v>21199151</v>
      </c>
      <c r="L43" s="9" t="s">
        <v>124</v>
      </c>
    </row>
    <row r="44" spans="10:13">
      <c r="J44" s="61" t="s">
        <v>249</v>
      </c>
      <c r="K44" s="63">
        <v>20129780.880000003</v>
      </c>
      <c r="L44" s="9" t="s">
        <v>124</v>
      </c>
    </row>
    <row r="45" spans="10:13">
      <c r="J45" s="61" t="s">
        <v>250</v>
      </c>
      <c r="K45" s="66">
        <v>14471595.200000003</v>
      </c>
      <c r="L45" s="9" t="s">
        <v>124</v>
      </c>
    </row>
    <row r="46" spans="10:13">
      <c r="J46" s="61" t="s">
        <v>251</v>
      </c>
      <c r="K46" s="66">
        <v>13902655.76</v>
      </c>
      <c r="L46" s="9" t="s">
        <v>124</v>
      </c>
    </row>
    <row r="47" spans="10:13">
      <c r="J47" s="61" t="s">
        <v>252</v>
      </c>
      <c r="K47" s="66">
        <v>15806725.000000002</v>
      </c>
    </row>
    <row r="48" spans="10:13">
      <c r="J48" s="61" t="s">
        <v>253</v>
      </c>
      <c r="K48" s="66">
        <v>14272427.000000002</v>
      </c>
    </row>
    <row r="49" spans="10:11">
      <c r="J49" s="61" t="s">
        <v>254</v>
      </c>
      <c r="K49" s="66">
        <v>17635227.000000004</v>
      </c>
    </row>
    <row r="50" spans="10:11" ht="18" thickBot="1">
      <c r="J50" s="108" t="s">
        <v>255</v>
      </c>
      <c r="K50" s="109">
        <f>SUM(K38:K49)</f>
        <v>227502049.24000001</v>
      </c>
    </row>
    <row r="51" spans="10:11" ht="18" thickTop="1">
      <c r="J51" s="310" t="s">
        <v>377</v>
      </c>
      <c r="K51" s="66">
        <f>F12</f>
        <v>19812641.400000002</v>
      </c>
    </row>
    <row r="52" spans="10:11">
      <c r="J52" s="308"/>
      <c r="K52" s="309"/>
    </row>
    <row r="53" spans="10:11" ht="18" thickBot="1">
      <c r="J53" s="108" t="s">
        <v>376</v>
      </c>
      <c r="K53" s="109">
        <f>SUM(K51:K52)</f>
        <v>19812641.400000002</v>
      </c>
    </row>
    <row r="54" spans="10:11" ht="18.600000000000001" thickTop="1" thickBot="1">
      <c r="J54" s="69" t="s">
        <v>23</v>
      </c>
      <c r="K54" s="68">
        <f>K3-K11-K24-K37-K50-K53</f>
        <v>85774672.359999985</v>
      </c>
    </row>
  </sheetData>
  <mergeCells count="5">
    <mergeCell ref="B2:D2"/>
    <mergeCell ref="J5:K5"/>
    <mergeCell ref="B17:C17"/>
    <mergeCell ref="B19:C19"/>
    <mergeCell ref="B18:C18"/>
  </mergeCells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2"/>
  <sheetViews>
    <sheetView showGridLines="0" workbookViewId="0">
      <selection activeCell="F10" sqref="F10"/>
    </sheetView>
  </sheetViews>
  <sheetFormatPr defaultColWidth="8.77734375" defaultRowHeight="13.95" customHeight="1"/>
  <cols>
    <col min="1" max="1" width="3.6640625" style="36" customWidth="1"/>
    <col min="2" max="2" width="20" style="36" customWidth="1"/>
    <col min="3" max="3" width="17.109375" style="36" bestFit="1" customWidth="1"/>
    <col min="4" max="4" width="14.77734375" style="36" bestFit="1" customWidth="1"/>
    <col min="5" max="5" width="42" style="36" customWidth="1"/>
    <col min="6" max="256" width="8.77734375" style="36" customWidth="1"/>
    <col min="257" max="16384" width="8.77734375" style="37"/>
  </cols>
  <sheetData>
    <row r="1" spans="2:6" s="36" customFormat="1" ht="15.75" customHeight="1"/>
    <row r="2" spans="2:6" ht="19.95" customHeight="1">
      <c r="B2" s="38" t="s">
        <v>24</v>
      </c>
      <c r="C2" s="72"/>
      <c r="D2" s="72"/>
      <c r="E2" s="72"/>
    </row>
    <row r="3" spans="2:6" ht="15.45" customHeight="1">
      <c r="B3" s="72"/>
      <c r="C3" s="72"/>
      <c r="D3" s="72"/>
      <c r="E3" s="72"/>
    </row>
    <row r="4" spans="2:6" ht="17.399999999999999">
      <c r="B4" s="78" t="s">
        <v>25</v>
      </c>
      <c r="C4" s="78" t="s">
        <v>26</v>
      </c>
      <c r="D4" s="78" t="s">
        <v>27</v>
      </c>
      <c r="E4" s="78" t="s">
        <v>28</v>
      </c>
    </row>
    <row r="5" spans="2:6" ht="17.399999999999999">
      <c r="B5" s="2" t="s">
        <v>224</v>
      </c>
      <c r="C5" s="181" t="s">
        <v>29</v>
      </c>
      <c r="D5" s="181" t="s">
        <v>30</v>
      </c>
      <c r="E5" s="181" t="s">
        <v>225</v>
      </c>
    </row>
    <row r="6" spans="2:6" ht="17.399999999999999">
      <c r="B6" s="299" t="s">
        <v>226</v>
      </c>
      <c r="C6" s="186" t="s">
        <v>31</v>
      </c>
      <c r="D6" s="186" t="s">
        <v>227</v>
      </c>
      <c r="E6" s="186" t="s">
        <v>228</v>
      </c>
      <c r="F6" s="9" t="s">
        <v>236</v>
      </c>
    </row>
    <row r="7" spans="2:6" ht="17.399999999999999">
      <c r="B7" s="300"/>
      <c r="C7" s="187" t="s">
        <v>229</v>
      </c>
      <c r="D7" s="187" t="s">
        <v>30</v>
      </c>
      <c r="E7" s="187" t="s">
        <v>228</v>
      </c>
      <c r="F7" s="9" t="s">
        <v>237</v>
      </c>
    </row>
    <row r="8" spans="2:6" ht="17.399999999999999">
      <c r="B8" s="300"/>
      <c r="C8" s="187" t="s">
        <v>230</v>
      </c>
      <c r="D8" s="187" t="s">
        <v>30</v>
      </c>
      <c r="E8" s="187" t="s">
        <v>228</v>
      </c>
      <c r="F8" s="9" t="s">
        <v>238</v>
      </c>
    </row>
    <row r="9" spans="2:6" ht="17.399999999999999">
      <c r="B9" s="300"/>
      <c r="C9" s="187" t="s">
        <v>231</v>
      </c>
      <c r="D9" s="187" t="s">
        <v>232</v>
      </c>
      <c r="E9" s="187" t="s">
        <v>228</v>
      </c>
      <c r="F9" s="9" t="s">
        <v>239</v>
      </c>
    </row>
    <row r="10" spans="2:6" ht="17.399999999999999">
      <c r="B10" s="300"/>
      <c r="C10" s="187" t="s">
        <v>233</v>
      </c>
      <c r="D10" s="187" t="s">
        <v>30</v>
      </c>
      <c r="E10" s="187" t="s">
        <v>228</v>
      </c>
      <c r="F10" s="9" t="s">
        <v>240</v>
      </c>
    </row>
    <row r="11" spans="2:6" ht="17.399999999999999">
      <c r="B11" s="300"/>
      <c r="C11" s="187" t="s">
        <v>234</v>
      </c>
      <c r="D11" s="187" t="s">
        <v>30</v>
      </c>
      <c r="E11" s="187" t="s">
        <v>228</v>
      </c>
      <c r="F11" s="9" t="s">
        <v>241</v>
      </c>
    </row>
    <row r="12" spans="2:6" ht="17.399999999999999">
      <c r="B12" s="301"/>
      <c r="C12" s="185" t="s">
        <v>235</v>
      </c>
      <c r="D12" s="185" t="s">
        <v>30</v>
      </c>
      <c r="E12" s="185" t="s">
        <v>228</v>
      </c>
      <c r="F12" s="9" t="s">
        <v>242</v>
      </c>
    </row>
  </sheetData>
  <mergeCells count="1">
    <mergeCell ref="B6:B12"/>
  </mergeCells>
  <phoneticPr fontId="31" type="noConversion"/>
  <pageMargins left="0.7" right="0.7" top="0.75" bottom="0.75" header="0.3" footer="0.3"/>
  <headerFooter>
    <oddFooter>&amp;C&amp;"Helvetica Neue,Regular"&amp;12&amp;K000000&amp;P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10"/>
  <sheetViews>
    <sheetView showGridLines="0" workbookViewId="0">
      <selection activeCell="H14" sqref="H14"/>
    </sheetView>
  </sheetViews>
  <sheetFormatPr defaultColWidth="8.77734375" defaultRowHeight="13.95" customHeight="1"/>
  <cols>
    <col min="1" max="1" width="4" style="9" customWidth="1"/>
    <col min="2" max="2" width="13.109375" style="9" customWidth="1"/>
    <col min="3" max="3" width="24" style="9" customWidth="1"/>
    <col min="4" max="4" width="13.44140625" style="9" customWidth="1"/>
    <col min="5" max="7" width="12.6640625" style="9" customWidth="1"/>
    <col min="8" max="8" width="15.109375" style="9" bestFit="1" customWidth="1"/>
    <col min="9" max="9" width="49.33203125" style="9" bestFit="1" customWidth="1"/>
    <col min="10" max="256" width="8.77734375" style="9" customWidth="1"/>
    <col min="257" max="16384" width="8.77734375" style="7"/>
  </cols>
  <sheetData>
    <row r="1" spans="1:256" s="9" customFormat="1" ht="15.45" customHeight="1"/>
    <row r="2" spans="1:256" ht="16.05" customHeight="1">
      <c r="B2" s="1" t="s">
        <v>0</v>
      </c>
      <c r="C2" s="1" t="s">
        <v>32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pans="1:256" ht="16.5" customHeight="1">
      <c r="B3" s="2" t="s">
        <v>8</v>
      </c>
      <c r="C3" s="173" t="s">
        <v>209</v>
      </c>
      <c r="D3" s="3">
        <v>4000000</v>
      </c>
      <c r="E3" s="15">
        <v>0</v>
      </c>
      <c r="F3" s="4">
        <f t="shared" ref="F3" si="0">D3</f>
        <v>4000000</v>
      </c>
      <c r="G3" s="3">
        <f>F3*20%</f>
        <v>800000</v>
      </c>
      <c r="H3" s="5">
        <f>F3*80%</f>
        <v>3200000</v>
      </c>
      <c r="I3" s="8" t="s">
        <v>282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 spans="1:256" ht="16.5" customHeight="1">
      <c r="B4" s="2" t="s">
        <v>8</v>
      </c>
      <c r="C4" s="174" t="s">
        <v>277</v>
      </c>
      <c r="D4" s="183">
        <v>5400000</v>
      </c>
      <c r="E4" s="15">
        <v>0</v>
      </c>
      <c r="F4" s="4">
        <f t="shared" ref="F4" si="1">D4</f>
        <v>5400000</v>
      </c>
      <c r="G4" s="3">
        <f>F4*20%</f>
        <v>1080000</v>
      </c>
      <c r="H4" s="5">
        <f>F4*80%</f>
        <v>4320000</v>
      </c>
      <c r="I4" s="8" t="s">
        <v>282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ht="16.5" customHeight="1">
      <c r="B5" s="2" t="s">
        <v>8</v>
      </c>
      <c r="C5" s="174" t="s">
        <v>260</v>
      </c>
      <c r="D5" s="183">
        <v>2400000</v>
      </c>
      <c r="E5" s="15">
        <v>0</v>
      </c>
      <c r="F5" s="4">
        <f t="shared" ref="F5" si="2">D5</f>
        <v>2400000</v>
      </c>
      <c r="G5" s="3">
        <f>F5*20%</f>
        <v>480000</v>
      </c>
      <c r="H5" s="5">
        <f>F5*80%</f>
        <v>1920000</v>
      </c>
      <c r="I5" s="8" t="s">
        <v>282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ht="16.5" customHeight="1">
      <c r="B6" s="2" t="s">
        <v>8</v>
      </c>
      <c r="C6" s="174" t="s">
        <v>256</v>
      </c>
      <c r="D6" s="183">
        <v>6750000</v>
      </c>
      <c r="E6" s="15">
        <v>0</v>
      </c>
      <c r="F6" s="4">
        <f t="shared" ref="F6" si="3">D6</f>
        <v>6750000</v>
      </c>
      <c r="G6" s="3">
        <f t="shared" ref="G6" si="4">F6*20%</f>
        <v>1350000</v>
      </c>
      <c r="H6" s="5">
        <f t="shared" ref="H6" si="5">F6*80%</f>
        <v>5400000</v>
      </c>
      <c r="I6" s="8" t="s">
        <v>282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ht="16.05" customHeight="1">
      <c r="A7" s="7"/>
      <c r="B7" s="12" t="s">
        <v>20</v>
      </c>
      <c r="C7" s="18"/>
      <c r="D7" s="13">
        <f>SUM(D3:D6)</f>
        <v>18550000</v>
      </c>
      <c r="E7" s="13">
        <f>SUM(E3:E6)</f>
        <v>0</v>
      </c>
      <c r="F7" s="13">
        <f>SUM(F3:F6)</f>
        <v>18550000</v>
      </c>
      <c r="G7" s="13">
        <f>SUM(G3:G6)</f>
        <v>3710000</v>
      </c>
      <c r="H7" s="13">
        <f>SUM(H3:H6)</f>
        <v>14840000</v>
      </c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ht="15.45" customHeight="1">
      <c r="A8" s="7"/>
      <c r="B8" s="10"/>
      <c r="C8" s="10"/>
      <c r="D8" s="10"/>
      <c r="E8" s="10"/>
      <c r="F8" s="10"/>
      <c r="G8" s="17">
        <f>F7*0.2</f>
        <v>3710000</v>
      </c>
      <c r="H8" s="17">
        <f>F7*0.8</f>
        <v>14840000</v>
      </c>
      <c r="I8" s="1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 s="9" customFormat="1" ht="15" customHeight="1"/>
    <row r="10" spans="1:256" s="9" customFormat="1" ht="15" customHeight="1"/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33"/>
  <sheetViews>
    <sheetView showGridLines="0" zoomScaleNormal="100" workbookViewId="0">
      <selection activeCell="L7" sqref="L7"/>
    </sheetView>
  </sheetViews>
  <sheetFormatPr defaultColWidth="8.77734375" defaultRowHeight="14.4"/>
  <cols>
    <col min="1" max="1" width="4" style="25" customWidth="1"/>
    <col min="2" max="2" width="13.109375" style="25" customWidth="1"/>
    <col min="3" max="3" width="13.109375" style="25" bestFit="1" customWidth="1"/>
    <col min="4" max="4" width="13.44140625" style="25" customWidth="1"/>
    <col min="5" max="6" width="12.6640625" style="25" customWidth="1"/>
    <col min="7" max="7" width="13.109375" style="25" bestFit="1" customWidth="1"/>
    <col min="8" max="8" width="13.44140625" style="25" customWidth="1"/>
    <col min="9" max="9" width="13.77734375" style="25" customWidth="1"/>
    <col min="10" max="10" width="11.44140625" style="25" bestFit="1" customWidth="1"/>
    <col min="11" max="11" width="12.44140625" style="25" customWidth="1"/>
    <col min="12" max="13" width="5.109375" style="25" customWidth="1"/>
    <col min="14" max="18" width="6.6640625" style="25" customWidth="1"/>
    <col min="19" max="19" width="11.44140625" style="25" bestFit="1" customWidth="1"/>
    <col min="20" max="21" width="10.44140625" style="25" bestFit="1" customWidth="1"/>
    <col min="22" max="22" width="3.77734375" style="25" bestFit="1" customWidth="1"/>
    <col min="23" max="23" width="4.33203125" style="25" bestFit="1" customWidth="1"/>
    <col min="24" max="27" width="8.77734375" style="25" customWidth="1"/>
    <col min="28" max="28" width="4.33203125" style="25" bestFit="1" customWidth="1"/>
    <col min="29" max="29" width="11.44140625" style="25" bestFit="1" customWidth="1"/>
    <col min="30" max="30" width="10.109375" style="25" bestFit="1" customWidth="1"/>
    <col min="31" max="31" width="9.109375" style="25" bestFit="1" customWidth="1"/>
    <col min="32" max="32" width="3.77734375" style="25" bestFit="1" customWidth="1"/>
    <col min="33" max="33" width="4.33203125" style="25" bestFit="1" customWidth="1"/>
    <col min="34" max="37" width="8.77734375" style="25" customWidth="1"/>
    <col min="38" max="38" width="4.33203125" style="25" bestFit="1" customWidth="1"/>
    <col min="39" max="39" width="11.44140625" style="25" bestFit="1" customWidth="1"/>
    <col min="40" max="40" width="10.109375" style="25" bestFit="1" customWidth="1"/>
    <col min="41" max="41" width="11.44140625" style="25" bestFit="1" customWidth="1"/>
    <col min="42" max="42" width="10.109375" style="25" bestFit="1" customWidth="1"/>
    <col min="43" max="256" width="8.77734375" style="25" customWidth="1"/>
    <col min="257" max="16384" width="8.77734375" style="27"/>
  </cols>
  <sheetData>
    <row r="1" spans="1:42" s="19" customFormat="1" ht="15.45" customHeight="1"/>
    <row r="2" spans="1:42" s="19" customFormat="1" ht="16.05" customHeight="1">
      <c r="B2" s="30" t="s">
        <v>0</v>
      </c>
      <c r="C2" s="30" t="s">
        <v>32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5</v>
      </c>
      <c r="I2" s="30" t="s">
        <v>6</v>
      </c>
    </row>
    <row r="3" spans="1:42" s="19" customFormat="1" ht="16.05" customHeight="1">
      <c r="B3" s="20" t="s">
        <v>8</v>
      </c>
      <c r="C3" s="124" t="s">
        <v>130</v>
      </c>
      <c r="D3" s="192">
        <f>AD30</f>
        <v>772120</v>
      </c>
      <c r="E3" s="21">
        <f>D3-F3</f>
        <v>289927</v>
      </c>
      <c r="F3" s="35">
        <v>482193</v>
      </c>
      <c r="G3" s="22">
        <f>F3*20%</f>
        <v>96438.6</v>
      </c>
      <c r="H3" s="23">
        <f>F3*80%</f>
        <v>385754.4</v>
      </c>
      <c r="I3" s="24" t="s">
        <v>283</v>
      </c>
      <c r="J3" s="159"/>
      <c r="K3" s="25"/>
    </row>
    <row r="4" spans="1:42" s="19" customFormat="1" ht="16.05" customHeight="1">
      <c r="B4" s="20" t="s">
        <v>8</v>
      </c>
      <c r="C4" s="175" t="s">
        <v>215</v>
      </c>
      <c r="D4" s="193">
        <f>AD20</f>
        <v>5208906.3238999993</v>
      </c>
      <c r="E4" s="21">
        <f>D4-F4</f>
        <v>1982955.3238999993</v>
      </c>
      <c r="F4" s="35">
        <v>3225951</v>
      </c>
      <c r="G4" s="22">
        <f t="shared" ref="G4" si="0">F4*20%</f>
        <v>645190.20000000007</v>
      </c>
      <c r="H4" s="23">
        <f t="shared" ref="H4" si="1">F4*80%</f>
        <v>2580760.8000000003</v>
      </c>
      <c r="I4" s="24" t="s">
        <v>283</v>
      </c>
      <c r="J4" s="159"/>
    </row>
    <row r="5" spans="1:42" s="19" customFormat="1" ht="16.05" customHeight="1">
      <c r="B5" s="20" t="s">
        <v>8</v>
      </c>
      <c r="C5" s="124" t="s">
        <v>290</v>
      </c>
      <c r="D5" s="272">
        <v>4756909</v>
      </c>
      <c r="E5" s="21">
        <f>D5-F5</f>
        <v>2375949</v>
      </c>
      <c r="F5" s="35">
        <v>2380960</v>
      </c>
      <c r="G5" s="22">
        <f t="shared" ref="G5" si="2">F5*20%</f>
        <v>476192</v>
      </c>
      <c r="H5" s="23">
        <f t="shared" ref="H5" si="3">F5*80%</f>
        <v>1904768</v>
      </c>
      <c r="I5" s="273" t="s">
        <v>291</v>
      </c>
      <c r="J5" s="159"/>
    </row>
    <row r="6" spans="1:42" s="19" customFormat="1" ht="16.05" customHeight="1">
      <c r="B6" s="33" t="s">
        <v>20</v>
      </c>
      <c r="C6" s="18"/>
      <c r="D6" s="34">
        <f>SUM(D3:D5)</f>
        <v>10737935.323899999</v>
      </c>
      <c r="E6" s="34">
        <f t="shared" ref="E6:H6" si="4">SUM(E3:E5)</f>
        <v>4648831.3238999993</v>
      </c>
      <c r="F6" s="34">
        <f t="shared" si="4"/>
        <v>6089104</v>
      </c>
      <c r="G6" s="34">
        <f t="shared" si="4"/>
        <v>1217820.8</v>
      </c>
      <c r="H6" s="34">
        <f t="shared" si="4"/>
        <v>4871283.2</v>
      </c>
      <c r="I6" s="34"/>
    </row>
    <row r="7" spans="1:42" s="19" customFormat="1" ht="15.45" customHeight="1">
      <c r="B7" s="29"/>
      <c r="C7" s="29"/>
      <c r="D7" s="29"/>
      <c r="E7" s="29"/>
      <c r="F7" s="29"/>
      <c r="G7" s="31">
        <f>F6*0.2</f>
        <v>1217820.8</v>
      </c>
      <c r="H7" s="31">
        <f>F6*0.8</f>
        <v>4871283.2</v>
      </c>
      <c r="I7" s="29"/>
      <c r="L7" s="19" t="s">
        <v>125</v>
      </c>
    </row>
    <row r="8" spans="1:42" s="19" customFormat="1" ht="15.45" customHeight="1">
      <c r="B8" s="29"/>
      <c r="C8" s="29"/>
      <c r="D8" s="29"/>
      <c r="E8" s="29"/>
      <c r="F8" s="29"/>
      <c r="G8" s="31"/>
      <c r="H8" s="31"/>
      <c r="I8" s="29"/>
    </row>
    <row r="9" spans="1:42" s="19" customFormat="1" ht="15" customHeight="1">
      <c r="B9" s="160"/>
      <c r="C9" s="29"/>
      <c r="D9" s="32"/>
      <c r="E9" s="29"/>
      <c r="F9" s="29"/>
      <c r="G9" s="29"/>
      <c r="H9" s="29"/>
      <c r="I9" s="29"/>
    </row>
    <row r="10" spans="1:42" s="113" customFormat="1" ht="15" thickBot="1">
      <c r="A10" s="302" t="s">
        <v>133</v>
      </c>
      <c r="B10" s="302" t="s">
        <v>132</v>
      </c>
      <c r="C10" s="302" t="s">
        <v>132</v>
      </c>
      <c r="D10" s="302" t="s">
        <v>132</v>
      </c>
      <c r="E10" s="302" t="s">
        <v>132</v>
      </c>
      <c r="F10" s="302" t="s">
        <v>132</v>
      </c>
      <c r="G10" s="302" t="s">
        <v>132</v>
      </c>
      <c r="H10" s="302" t="s">
        <v>132</v>
      </c>
      <c r="I10" s="302" t="s">
        <v>132</v>
      </c>
      <c r="J10" s="302" t="s">
        <v>132</v>
      </c>
      <c r="K10" s="302" t="s">
        <v>132</v>
      </c>
      <c r="L10" s="302" t="s">
        <v>132</v>
      </c>
      <c r="M10" s="302" t="s">
        <v>132</v>
      </c>
      <c r="N10" s="302" t="s">
        <v>132</v>
      </c>
      <c r="O10" s="302" t="s">
        <v>132</v>
      </c>
      <c r="P10" s="302" t="s">
        <v>132</v>
      </c>
      <c r="Q10" s="302" t="s">
        <v>132</v>
      </c>
      <c r="R10" s="302" t="s">
        <v>132</v>
      </c>
      <c r="S10" s="302" t="s">
        <v>132</v>
      </c>
      <c r="T10" s="302" t="s">
        <v>134</v>
      </c>
      <c r="U10" s="302" t="s">
        <v>132</v>
      </c>
      <c r="V10" s="302" t="s">
        <v>132</v>
      </c>
      <c r="W10" s="302" t="s">
        <v>132</v>
      </c>
      <c r="X10" s="302" t="s">
        <v>132</v>
      </c>
      <c r="Y10" s="302" t="s">
        <v>132</v>
      </c>
      <c r="Z10" s="302" t="s">
        <v>132</v>
      </c>
      <c r="AA10" s="302" t="s">
        <v>132</v>
      </c>
      <c r="AB10" s="302" t="s">
        <v>132</v>
      </c>
      <c r="AC10" s="302" t="s">
        <v>132</v>
      </c>
      <c r="AD10" s="302" t="s">
        <v>135</v>
      </c>
      <c r="AE10" s="302" t="s">
        <v>132</v>
      </c>
      <c r="AF10" s="302" t="s">
        <v>132</v>
      </c>
      <c r="AG10" s="302" t="s">
        <v>132</v>
      </c>
      <c r="AH10" s="302" t="s">
        <v>132</v>
      </c>
      <c r="AI10" s="302" t="s">
        <v>132</v>
      </c>
      <c r="AJ10" s="302" t="s">
        <v>132</v>
      </c>
      <c r="AK10" s="302" t="s">
        <v>132</v>
      </c>
      <c r="AL10" s="302" t="s">
        <v>132</v>
      </c>
      <c r="AM10" s="302" t="s">
        <v>132</v>
      </c>
      <c r="AN10" s="302" t="s">
        <v>136</v>
      </c>
      <c r="AO10" s="302" t="s">
        <v>132</v>
      </c>
      <c r="AP10" s="302" t="s">
        <v>132</v>
      </c>
    </row>
    <row r="11" spans="1:42" s="113" customFormat="1" ht="15" thickTop="1">
      <c r="A11" s="115" t="s">
        <v>52</v>
      </c>
      <c r="B11" s="115" t="s">
        <v>53</v>
      </c>
      <c r="C11" s="115" t="s">
        <v>54</v>
      </c>
      <c r="D11" s="115" t="s">
        <v>55</v>
      </c>
      <c r="E11" s="115" t="s">
        <v>56</v>
      </c>
      <c r="F11" s="115" t="s">
        <v>57</v>
      </c>
      <c r="G11" s="115" t="s">
        <v>58</v>
      </c>
      <c r="H11" s="115" t="s">
        <v>59</v>
      </c>
      <c r="I11" s="115" t="s">
        <v>33</v>
      </c>
      <c r="J11" s="115" t="s">
        <v>60</v>
      </c>
      <c r="K11" s="115" t="s">
        <v>61</v>
      </c>
      <c r="L11" s="115" t="s">
        <v>137</v>
      </c>
      <c r="M11" s="115" t="s">
        <v>62</v>
      </c>
      <c r="N11" s="115" t="s">
        <v>39</v>
      </c>
      <c r="O11" s="115" t="s">
        <v>63</v>
      </c>
      <c r="P11" s="115" t="s">
        <v>64</v>
      </c>
      <c r="Q11" s="115" t="s">
        <v>65</v>
      </c>
      <c r="R11" s="115" t="s">
        <v>66</v>
      </c>
      <c r="S11" s="115" t="s">
        <v>67</v>
      </c>
      <c r="T11" s="115" t="s">
        <v>138</v>
      </c>
      <c r="U11" s="115" t="s">
        <v>68</v>
      </c>
      <c r="V11" s="115" t="s">
        <v>69</v>
      </c>
      <c r="W11" s="115" t="s">
        <v>70</v>
      </c>
      <c r="X11" s="115" t="s">
        <v>71</v>
      </c>
      <c r="Y11" s="115" t="s">
        <v>72</v>
      </c>
      <c r="Z11" s="115" t="s">
        <v>73</v>
      </c>
      <c r="AA11" s="115" t="s">
        <v>74</v>
      </c>
      <c r="AB11" s="115" t="s">
        <v>75</v>
      </c>
      <c r="AC11" s="115" t="s">
        <v>76</v>
      </c>
      <c r="AD11" s="115" t="s">
        <v>139</v>
      </c>
      <c r="AE11" s="115" t="s">
        <v>68</v>
      </c>
      <c r="AF11" s="115" t="s">
        <v>69</v>
      </c>
      <c r="AG11" s="115" t="s">
        <v>70</v>
      </c>
      <c r="AH11" s="115" t="s">
        <v>71</v>
      </c>
      <c r="AI11" s="115" t="s">
        <v>72</v>
      </c>
      <c r="AJ11" s="115" t="s">
        <v>73</v>
      </c>
      <c r="AK11" s="115" t="s">
        <v>74</v>
      </c>
      <c r="AL11" s="115" t="s">
        <v>75</v>
      </c>
      <c r="AM11" s="115" t="s">
        <v>76</v>
      </c>
      <c r="AN11" s="115" t="s">
        <v>77</v>
      </c>
      <c r="AO11" s="115" t="s">
        <v>81</v>
      </c>
      <c r="AP11" s="115" t="s">
        <v>140</v>
      </c>
    </row>
    <row r="12" spans="1:42" s="172" customFormat="1">
      <c r="A12" s="111" t="s">
        <v>45</v>
      </c>
      <c r="B12" s="111" t="s">
        <v>105</v>
      </c>
      <c r="C12" s="111" t="s">
        <v>213</v>
      </c>
      <c r="D12" s="111" t="s">
        <v>46</v>
      </c>
      <c r="E12" s="111" t="s">
        <v>214</v>
      </c>
      <c r="F12" s="111" t="s">
        <v>106</v>
      </c>
      <c r="G12" s="111" t="s">
        <v>47</v>
      </c>
      <c r="H12" s="111" t="s">
        <v>48</v>
      </c>
      <c r="I12" s="111" t="s">
        <v>49</v>
      </c>
      <c r="J12" s="111">
        <v>50744771</v>
      </c>
      <c r="K12" s="111" t="s">
        <v>107</v>
      </c>
      <c r="L12" s="111"/>
      <c r="M12" s="111"/>
      <c r="N12" s="111" t="s">
        <v>50</v>
      </c>
      <c r="O12" s="111" t="s">
        <v>51</v>
      </c>
      <c r="P12" s="111">
        <v>0.7</v>
      </c>
      <c r="Q12" s="111">
        <v>0.6</v>
      </c>
      <c r="R12" s="112" t="s">
        <v>111</v>
      </c>
      <c r="S12" s="112">
        <v>400</v>
      </c>
      <c r="T12" s="112">
        <v>161600</v>
      </c>
      <c r="U12" s="112">
        <v>38650</v>
      </c>
      <c r="V12" s="112">
        <v>0</v>
      </c>
      <c r="W12" s="112">
        <v>0</v>
      </c>
      <c r="X12" s="112">
        <v>0</v>
      </c>
      <c r="Y12" s="112">
        <v>1000</v>
      </c>
      <c r="Z12" s="112">
        <v>10200</v>
      </c>
      <c r="AA12" s="112">
        <v>0</v>
      </c>
      <c r="AB12" s="112">
        <v>0</v>
      </c>
      <c r="AC12" s="112">
        <v>111750</v>
      </c>
      <c r="AD12" s="112">
        <v>162820</v>
      </c>
      <c r="AE12" s="112">
        <v>38650</v>
      </c>
      <c r="AF12" s="112">
        <v>0</v>
      </c>
      <c r="AG12" s="112">
        <v>0</v>
      </c>
      <c r="AH12" s="112">
        <v>0</v>
      </c>
      <c r="AI12" s="112">
        <v>1200</v>
      </c>
      <c r="AJ12" s="112">
        <v>11220</v>
      </c>
      <c r="AK12" s="112">
        <v>0</v>
      </c>
      <c r="AL12" s="112">
        <v>0</v>
      </c>
      <c r="AM12" s="112">
        <v>111750</v>
      </c>
      <c r="AN12" s="112">
        <v>102484</v>
      </c>
      <c r="AO12" s="112">
        <v>10248</v>
      </c>
      <c r="AP12" s="112">
        <v>112732</v>
      </c>
    </row>
    <row r="13" spans="1:42" s="172" customFormat="1">
      <c r="A13" s="111" t="s">
        <v>45</v>
      </c>
      <c r="B13" s="111" t="s">
        <v>105</v>
      </c>
      <c r="C13" s="111" t="s">
        <v>213</v>
      </c>
      <c r="D13" s="111" t="s">
        <v>46</v>
      </c>
      <c r="E13" s="111" t="s">
        <v>214</v>
      </c>
      <c r="F13" s="111" t="s">
        <v>106</v>
      </c>
      <c r="G13" s="111" t="s">
        <v>47</v>
      </c>
      <c r="H13" s="111" t="s">
        <v>48</v>
      </c>
      <c r="I13" s="111" t="s">
        <v>49</v>
      </c>
      <c r="J13" s="111">
        <v>50744771</v>
      </c>
      <c r="K13" s="111" t="s">
        <v>107</v>
      </c>
      <c r="L13" s="111"/>
      <c r="M13" s="111"/>
      <c r="N13" s="111" t="s">
        <v>50</v>
      </c>
      <c r="O13" s="111" t="s">
        <v>51</v>
      </c>
      <c r="P13" s="111">
        <v>0.7</v>
      </c>
      <c r="Q13" s="111">
        <v>0.6</v>
      </c>
      <c r="R13" s="112" t="s">
        <v>108</v>
      </c>
      <c r="S13" s="112">
        <v>3600</v>
      </c>
      <c r="T13" s="112">
        <v>74800</v>
      </c>
      <c r="U13" s="112">
        <v>56200</v>
      </c>
      <c r="V13" s="112">
        <v>0</v>
      </c>
      <c r="W13" s="112">
        <v>0</v>
      </c>
      <c r="X13" s="112">
        <v>0</v>
      </c>
      <c r="Y13" s="112">
        <v>0</v>
      </c>
      <c r="Z13" s="112">
        <v>3600</v>
      </c>
      <c r="AA13" s="112">
        <v>0</v>
      </c>
      <c r="AB13" s="112">
        <v>0</v>
      </c>
      <c r="AC13" s="112">
        <v>15000</v>
      </c>
      <c r="AD13" s="112">
        <v>75160</v>
      </c>
      <c r="AE13" s="112">
        <v>56200</v>
      </c>
      <c r="AF13" s="112">
        <v>0</v>
      </c>
      <c r="AG13" s="112">
        <v>0</v>
      </c>
      <c r="AH13" s="112">
        <v>0</v>
      </c>
      <c r="AI13" s="112">
        <v>0</v>
      </c>
      <c r="AJ13" s="112">
        <v>3960</v>
      </c>
      <c r="AK13" s="112">
        <v>0</v>
      </c>
      <c r="AL13" s="112">
        <v>0</v>
      </c>
      <c r="AM13" s="112">
        <v>15000</v>
      </c>
      <c r="AN13" s="112">
        <v>47469</v>
      </c>
      <c r="AO13" s="112">
        <v>4747</v>
      </c>
      <c r="AP13" s="112">
        <v>52216</v>
      </c>
    </row>
    <row r="14" spans="1:42" s="172" customFormat="1">
      <c r="A14" s="111" t="s">
        <v>45</v>
      </c>
      <c r="B14" s="111" t="s">
        <v>105</v>
      </c>
      <c r="C14" s="111" t="s">
        <v>213</v>
      </c>
      <c r="D14" s="111" t="s">
        <v>46</v>
      </c>
      <c r="E14" s="111" t="s">
        <v>214</v>
      </c>
      <c r="F14" s="111" t="s">
        <v>106</v>
      </c>
      <c r="G14" s="111" t="s">
        <v>47</v>
      </c>
      <c r="H14" s="111" t="s">
        <v>48</v>
      </c>
      <c r="I14" s="111" t="s">
        <v>49</v>
      </c>
      <c r="J14" s="111">
        <v>50744771</v>
      </c>
      <c r="K14" s="111" t="s">
        <v>107</v>
      </c>
      <c r="L14" s="111"/>
      <c r="M14" s="111"/>
      <c r="N14" s="111" t="s">
        <v>50</v>
      </c>
      <c r="O14" s="111" t="s">
        <v>51</v>
      </c>
      <c r="P14" s="111">
        <v>0.7</v>
      </c>
      <c r="Q14" s="111">
        <v>0.6</v>
      </c>
      <c r="R14" s="112" t="s">
        <v>108</v>
      </c>
      <c r="S14" s="112">
        <v>7200</v>
      </c>
      <c r="T14" s="112">
        <v>100000</v>
      </c>
      <c r="U14" s="112">
        <v>57400</v>
      </c>
      <c r="V14" s="112">
        <v>0</v>
      </c>
      <c r="W14" s="112">
        <v>0</v>
      </c>
      <c r="X14" s="112">
        <v>0</v>
      </c>
      <c r="Y14" s="112">
        <v>0</v>
      </c>
      <c r="Z14" s="112">
        <v>31000</v>
      </c>
      <c r="AA14" s="112">
        <v>0</v>
      </c>
      <c r="AB14" s="112">
        <v>0</v>
      </c>
      <c r="AC14" s="112">
        <v>11600</v>
      </c>
      <c r="AD14" s="112">
        <v>103100</v>
      </c>
      <c r="AE14" s="112">
        <v>57400</v>
      </c>
      <c r="AF14" s="112">
        <v>0</v>
      </c>
      <c r="AG14" s="112">
        <v>0</v>
      </c>
      <c r="AH14" s="112">
        <v>0</v>
      </c>
      <c r="AI14" s="112">
        <v>0</v>
      </c>
      <c r="AJ14" s="112">
        <v>34100</v>
      </c>
      <c r="AK14" s="112">
        <v>0</v>
      </c>
      <c r="AL14" s="112">
        <v>0</v>
      </c>
      <c r="AM14" s="112">
        <v>11600</v>
      </c>
      <c r="AN14" s="112">
        <v>62509</v>
      </c>
      <c r="AO14" s="112">
        <v>6251</v>
      </c>
      <c r="AP14" s="112">
        <v>68760</v>
      </c>
    </row>
    <row r="15" spans="1:42" s="172" customFormat="1">
      <c r="A15" s="111" t="s">
        <v>45</v>
      </c>
      <c r="B15" s="111" t="s">
        <v>105</v>
      </c>
      <c r="C15" s="111" t="s">
        <v>213</v>
      </c>
      <c r="D15" s="111" t="s">
        <v>46</v>
      </c>
      <c r="E15" s="111" t="s">
        <v>214</v>
      </c>
      <c r="F15" s="111" t="s">
        <v>106</v>
      </c>
      <c r="G15" s="111" t="s">
        <v>47</v>
      </c>
      <c r="H15" s="111" t="s">
        <v>48</v>
      </c>
      <c r="I15" s="111" t="s">
        <v>49</v>
      </c>
      <c r="J15" s="111">
        <v>50744771</v>
      </c>
      <c r="K15" s="111" t="s">
        <v>107</v>
      </c>
      <c r="L15" s="111"/>
      <c r="M15" s="111"/>
      <c r="N15" s="111" t="s">
        <v>50</v>
      </c>
      <c r="O15" s="111" t="s">
        <v>51</v>
      </c>
      <c r="P15" s="111">
        <v>0.7</v>
      </c>
      <c r="Q15" s="111">
        <v>0.6</v>
      </c>
      <c r="R15" s="112" t="s">
        <v>108</v>
      </c>
      <c r="S15" s="112">
        <v>10800</v>
      </c>
      <c r="T15" s="112">
        <v>583200</v>
      </c>
      <c r="U15" s="112">
        <v>338900</v>
      </c>
      <c r="V15" s="112">
        <v>0</v>
      </c>
      <c r="W15" s="112">
        <v>0</v>
      </c>
      <c r="X15" s="112">
        <v>0</v>
      </c>
      <c r="Y15" s="112">
        <v>700</v>
      </c>
      <c r="Z15" s="112">
        <v>172100</v>
      </c>
      <c r="AA15" s="112">
        <v>0</v>
      </c>
      <c r="AB15" s="112">
        <v>0</v>
      </c>
      <c r="AC15" s="112">
        <v>71500</v>
      </c>
      <c r="AD15" s="112">
        <v>600550</v>
      </c>
      <c r="AE15" s="112">
        <v>338900</v>
      </c>
      <c r="AF15" s="112">
        <v>0</v>
      </c>
      <c r="AG15" s="112">
        <v>0</v>
      </c>
      <c r="AH15" s="112">
        <v>0</v>
      </c>
      <c r="AI15" s="112">
        <v>840</v>
      </c>
      <c r="AJ15" s="112">
        <v>189310</v>
      </c>
      <c r="AK15" s="112">
        <v>0</v>
      </c>
      <c r="AL15" s="112">
        <v>0</v>
      </c>
      <c r="AM15" s="112">
        <v>71500</v>
      </c>
      <c r="AN15" s="112">
        <v>364882</v>
      </c>
      <c r="AO15" s="112">
        <v>36488</v>
      </c>
      <c r="AP15" s="112">
        <v>401370</v>
      </c>
    </row>
    <row r="16" spans="1:42" s="172" customFormat="1">
      <c r="A16" s="111" t="s">
        <v>45</v>
      </c>
      <c r="B16" s="111" t="s">
        <v>105</v>
      </c>
      <c r="C16" s="111" t="s">
        <v>213</v>
      </c>
      <c r="D16" s="111" t="s">
        <v>46</v>
      </c>
      <c r="E16" s="111" t="s">
        <v>214</v>
      </c>
      <c r="F16" s="111" t="s">
        <v>106</v>
      </c>
      <c r="G16" s="111" t="s">
        <v>47</v>
      </c>
      <c r="H16" s="111" t="s">
        <v>48</v>
      </c>
      <c r="I16" s="111" t="s">
        <v>49</v>
      </c>
      <c r="J16" s="111">
        <v>50744771</v>
      </c>
      <c r="K16" s="111" t="s">
        <v>107</v>
      </c>
      <c r="L16" s="111"/>
      <c r="M16" s="111"/>
      <c r="N16" s="111" t="s">
        <v>50</v>
      </c>
      <c r="O16" s="111" t="s">
        <v>51</v>
      </c>
      <c r="P16" s="111">
        <v>0.7</v>
      </c>
      <c r="Q16" s="111">
        <v>0.6</v>
      </c>
      <c r="R16" s="112" t="s">
        <v>109</v>
      </c>
      <c r="S16" s="112">
        <v>200</v>
      </c>
      <c r="T16" s="112">
        <v>1269600</v>
      </c>
      <c r="U16" s="112">
        <v>293670</v>
      </c>
      <c r="V16" s="112">
        <v>0</v>
      </c>
      <c r="W16" s="112">
        <v>0</v>
      </c>
      <c r="X16" s="112">
        <v>400</v>
      </c>
      <c r="Y16" s="112">
        <v>57390</v>
      </c>
      <c r="Z16" s="112">
        <v>58390</v>
      </c>
      <c r="AA16" s="112">
        <v>0</v>
      </c>
      <c r="AB16" s="112">
        <v>0</v>
      </c>
      <c r="AC16" s="112">
        <v>859750</v>
      </c>
      <c r="AD16" s="112">
        <v>1287037.5884</v>
      </c>
      <c r="AE16" s="112">
        <v>293670</v>
      </c>
      <c r="AF16" s="112">
        <v>0</v>
      </c>
      <c r="AG16" s="112">
        <v>0</v>
      </c>
      <c r="AH16" s="112">
        <v>520.58839999999998</v>
      </c>
      <c r="AI16" s="112">
        <v>68868</v>
      </c>
      <c r="AJ16" s="112">
        <v>64229</v>
      </c>
      <c r="AK16" s="112">
        <v>0</v>
      </c>
      <c r="AL16" s="112">
        <v>0</v>
      </c>
      <c r="AM16" s="112">
        <v>859750</v>
      </c>
      <c r="AN16" s="112">
        <v>806877</v>
      </c>
      <c r="AO16" s="112">
        <v>80688</v>
      </c>
      <c r="AP16" s="112">
        <v>887565</v>
      </c>
    </row>
    <row r="17" spans="1:256" s="172" customFormat="1">
      <c r="A17" s="111" t="s">
        <v>45</v>
      </c>
      <c r="B17" s="111" t="s">
        <v>105</v>
      </c>
      <c r="C17" s="111" t="s">
        <v>213</v>
      </c>
      <c r="D17" s="111" t="s">
        <v>46</v>
      </c>
      <c r="E17" s="111" t="s">
        <v>214</v>
      </c>
      <c r="F17" s="111" t="s">
        <v>106</v>
      </c>
      <c r="G17" s="111" t="s">
        <v>47</v>
      </c>
      <c r="H17" s="111" t="s">
        <v>48</v>
      </c>
      <c r="I17" s="111" t="s">
        <v>49</v>
      </c>
      <c r="J17" s="111">
        <v>50744771</v>
      </c>
      <c r="K17" s="111" t="s">
        <v>107</v>
      </c>
      <c r="L17" s="111"/>
      <c r="M17" s="111"/>
      <c r="N17" s="111" t="s">
        <v>50</v>
      </c>
      <c r="O17" s="111" t="s">
        <v>51</v>
      </c>
      <c r="P17" s="111">
        <v>0.7</v>
      </c>
      <c r="Q17" s="111">
        <v>0.6</v>
      </c>
      <c r="R17" s="112" t="s">
        <v>110</v>
      </c>
      <c r="S17" s="112">
        <v>1800</v>
      </c>
      <c r="T17" s="112">
        <v>784000</v>
      </c>
      <c r="U17" s="112">
        <v>463010</v>
      </c>
      <c r="V17" s="112">
        <v>0</v>
      </c>
      <c r="W17" s="112">
        <v>0</v>
      </c>
      <c r="X17" s="112">
        <v>0</v>
      </c>
      <c r="Y17" s="112">
        <v>22740</v>
      </c>
      <c r="Z17" s="112">
        <v>59600</v>
      </c>
      <c r="AA17" s="112">
        <v>0</v>
      </c>
      <c r="AB17" s="112">
        <v>0</v>
      </c>
      <c r="AC17" s="112">
        <v>238650</v>
      </c>
      <c r="AD17" s="112">
        <v>794508</v>
      </c>
      <c r="AE17" s="112">
        <v>463010</v>
      </c>
      <c r="AF17" s="112">
        <v>0</v>
      </c>
      <c r="AG17" s="112">
        <v>0</v>
      </c>
      <c r="AH17" s="112">
        <v>0</v>
      </c>
      <c r="AI17" s="112">
        <v>27288</v>
      </c>
      <c r="AJ17" s="112">
        <v>65560</v>
      </c>
      <c r="AK17" s="112">
        <v>0</v>
      </c>
      <c r="AL17" s="112">
        <v>0</v>
      </c>
      <c r="AM17" s="112">
        <v>238650</v>
      </c>
      <c r="AN17" s="112">
        <v>497155</v>
      </c>
      <c r="AO17" s="112">
        <v>49716</v>
      </c>
      <c r="AP17" s="112">
        <v>546871</v>
      </c>
    </row>
    <row r="18" spans="1:256" s="172" customFormat="1">
      <c r="A18" s="111" t="s">
        <v>45</v>
      </c>
      <c r="B18" s="111" t="s">
        <v>105</v>
      </c>
      <c r="C18" s="111" t="s">
        <v>213</v>
      </c>
      <c r="D18" s="111" t="s">
        <v>46</v>
      </c>
      <c r="E18" s="111" t="s">
        <v>214</v>
      </c>
      <c r="F18" s="111" t="s">
        <v>106</v>
      </c>
      <c r="G18" s="111" t="s">
        <v>47</v>
      </c>
      <c r="H18" s="111" t="s">
        <v>48</v>
      </c>
      <c r="I18" s="111" t="s">
        <v>49</v>
      </c>
      <c r="J18" s="111">
        <v>50744771</v>
      </c>
      <c r="K18" s="111" t="s">
        <v>107</v>
      </c>
      <c r="L18" s="111"/>
      <c r="M18" s="111"/>
      <c r="N18" s="111" t="s">
        <v>50</v>
      </c>
      <c r="O18" s="111" t="s">
        <v>51</v>
      </c>
      <c r="P18" s="111">
        <v>0.7</v>
      </c>
      <c r="Q18" s="111">
        <v>0.6</v>
      </c>
      <c r="R18" s="112" t="s">
        <v>110</v>
      </c>
      <c r="S18" s="112">
        <v>3600</v>
      </c>
      <c r="T18" s="112">
        <v>490600</v>
      </c>
      <c r="U18" s="112">
        <v>296200</v>
      </c>
      <c r="V18" s="112">
        <v>0</v>
      </c>
      <c r="W18" s="112">
        <v>0</v>
      </c>
      <c r="X18" s="112">
        <v>0</v>
      </c>
      <c r="Y18" s="112">
        <v>7600</v>
      </c>
      <c r="Z18" s="112">
        <v>101000</v>
      </c>
      <c r="AA18" s="112">
        <v>0</v>
      </c>
      <c r="AB18" s="112">
        <v>0</v>
      </c>
      <c r="AC18" s="112">
        <v>85800</v>
      </c>
      <c r="AD18" s="112">
        <v>502220</v>
      </c>
      <c r="AE18" s="112">
        <v>296200</v>
      </c>
      <c r="AF18" s="112">
        <v>0</v>
      </c>
      <c r="AG18" s="112">
        <v>0</v>
      </c>
      <c r="AH18" s="112">
        <v>0</v>
      </c>
      <c r="AI18" s="112">
        <v>9120</v>
      </c>
      <c r="AJ18" s="112">
        <v>111100</v>
      </c>
      <c r="AK18" s="112">
        <v>0</v>
      </c>
      <c r="AL18" s="112">
        <v>0</v>
      </c>
      <c r="AM18" s="112">
        <v>85800</v>
      </c>
      <c r="AN18" s="112">
        <v>308665</v>
      </c>
      <c r="AO18" s="112">
        <v>30867</v>
      </c>
      <c r="AP18" s="112">
        <v>339532</v>
      </c>
    </row>
    <row r="19" spans="1:256" s="172" customFormat="1">
      <c r="A19" s="111" t="s">
        <v>45</v>
      </c>
      <c r="B19" s="111" t="s">
        <v>105</v>
      </c>
      <c r="C19" s="111" t="s">
        <v>213</v>
      </c>
      <c r="D19" s="111" t="s">
        <v>46</v>
      </c>
      <c r="E19" s="111" t="s">
        <v>214</v>
      </c>
      <c r="F19" s="111" t="s">
        <v>106</v>
      </c>
      <c r="G19" s="111" t="s">
        <v>47</v>
      </c>
      <c r="H19" s="111" t="s">
        <v>48</v>
      </c>
      <c r="I19" s="111" t="s">
        <v>49</v>
      </c>
      <c r="J19" s="111">
        <v>50744771</v>
      </c>
      <c r="K19" s="111" t="s">
        <v>107</v>
      </c>
      <c r="L19" s="111"/>
      <c r="M19" s="111"/>
      <c r="N19" s="111" t="s">
        <v>50</v>
      </c>
      <c r="O19" s="111" t="s">
        <v>51</v>
      </c>
      <c r="P19" s="111">
        <v>0.7</v>
      </c>
      <c r="Q19" s="111">
        <v>0.6</v>
      </c>
      <c r="R19" s="112" t="s">
        <v>110</v>
      </c>
      <c r="S19" s="112">
        <v>5400</v>
      </c>
      <c r="T19" s="112">
        <v>1647400</v>
      </c>
      <c r="U19" s="112">
        <v>1158550</v>
      </c>
      <c r="V19" s="112">
        <v>0</v>
      </c>
      <c r="W19" s="112">
        <v>0</v>
      </c>
      <c r="X19" s="112">
        <v>500</v>
      </c>
      <c r="Y19" s="112">
        <v>6650</v>
      </c>
      <c r="Z19" s="112">
        <v>346300</v>
      </c>
      <c r="AA19" s="112">
        <v>0</v>
      </c>
      <c r="AB19" s="112">
        <v>0</v>
      </c>
      <c r="AC19" s="112">
        <v>135400</v>
      </c>
      <c r="AD19" s="112">
        <v>1683510.7355</v>
      </c>
      <c r="AE19" s="112">
        <v>1158550</v>
      </c>
      <c r="AF19" s="112">
        <v>0</v>
      </c>
      <c r="AG19" s="112">
        <v>0</v>
      </c>
      <c r="AH19" s="112">
        <v>650.7355</v>
      </c>
      <c r="AI19" s="112">
        <v>7980</v>
      </c>
      <c r="AJ19" s="112">
        <v>380930</v>
      </c>
      <c r="AK19" s="112">
        <v>0</v>
      </c>
      <c r="AL19" s="112">
        <v>0</v>
      </c>
      <c r="AM19" s="112">
        <v>135400</v>
      </c>
      <c r="AN19" s="112">
        <v>1035910</v>
      </c>
      <c r="AO19" s="112">
        <v>103591</v>
      </c>
      <c r="AP19" s="112">
        <v>1139501</v>
      </c>
    </row>
    <row r="20" spans="1:256">
      <c r="AD20" s="14">
        <f>SUM(AD12:AD19)</f>
        <v>5208906.3238999993</v>
      </c>
      <c r="AN20" s="26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</row>
    <row r="21" spans="1:256"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</row>
    <row r="22" spans="1:256" s="113" customFormat="1" ht="15" thickBot="1">
      <c r="A22" s="302" t="s">
        <v>133</v>
      </c>
      <c r="B22" s="302" t="s">
        <v>132</v>
      </c>
      <c r="C22" s="302" t="s">
        <v>132</v>
      </c>
      <c r="D22" s="302" t="s">
        <v>132</v>
      </c>
      <c r="E22" s="302" t="s">
        <v>132</v>
      </c>
      <c r="F22" s="302" t="s">
        <v>132</v>
      </c>
      <c r="G22" s="302" t="s">
        <v>132</v>
      </c>
      <c r="H22" s="302" t="s">
        <v>132</v>
      </c>
      <c r="I22" s="302" t="s">
        <v>132</v>
      </c>
      <c r="J22" s="302" t="s">
        <v>132</v>
      </c>
      <c r="K22" s="302" t="s">
        <v>132</v>
      </c>
      <c r="L22" s="302" t="s">
        <v>132</v>
      </c>
      <c r="M22" s="302" t="s">
        <v>132</v>
      </c>
      <c r="N22" s="302" t="s">
        <v>132</v>
      </c>
      <c r="O22" s="302" t="s">
        <v>132</v>
      </c>
      <c r="P22" s="302" t="s">
        <v>132</v>
      </c>
      <c r="Q22" s="302" t="s">
        <v>132</v>
      </c>
      <c r="R22" s="302" t="s">
        <v>132</v>
      </c>
      <c r="S22" s="302" t="s">
        <v>132</v>
      </c>
      <c r="T22" s="302" t="s">
        <v>134</v>
      </c>
      <c r="U22" s="302" t="s">
        <v>132</v>
      </c>
      <c r="V22" s="302" t="s">
        <v>132</v>
      </c>
      <c r="W22" s="302" t="s">
        <v>132</v>
      </c>
      <c r="X22" s="302" t="s">
        <v>132</v>
      </c>
      <c r="Y22" s="302" t="s">
        <v>132</v>
      </c>
      <c r="Z22" s="302" t="s">
        <v>132</v>
      </c>
      <c r="AA22" s="302" t="s">
        <v>132</v>
      </c>
      <c r="AB22" s="302" t="s">
        <v>132</v>
      </c>
      <c r="AC22" s="302" t="s">
        <v>132</v>
      </c>
      <c r="AD22" s="302" t="s">
        <v>135</v>
      </c>
      <c r="AE22" s="302" t="s">
        <v>132</v>
      </c>
      <c r="AF22" s="302" t="s">
        <v>132</v>
      </c>
      <c r="AG22" s="302" t="s">
        <v>132</v>
      </c>
      <c r="AH22" s="302" t="s">
        <v>132</v>
      </c>
      <c r="AI22" s="302" t="s">
        <v>132</v>
      </c>
      <c r="AJ22" s="302" t="s">
        <v>132</v>
      </c>
      <c r="AK22" s="302" t="s">
        <v>132</v>
      </c>
      <c r="AL22" s="302" t="s">
        <v>132</v>
      </c>
      <c r="AM22" s="302" t="s">
        <v>132</v>
      </c>
      <c r="AN22" s="302" t="s">
        <v>136</v>
      </c>
      <c r="AO22" s="302" t="s">
        <v>132</v>
      </c>
      <c r="AP22" s="302" t="s">
        <v>132</v>
      </c>
    </row>
    <row r="23" spans="1:256" s="113" customFormat="1" ht="15" thickTop="1">
      <c r="A23" s="115" t="s">
        <v>52</v>
      </c>
      <c r="B23" s="115" t="s">
        <v>53</v>
      </c>
      <c r="C23" s="115" t="s">
        <v>54</v>
      </c>
      <c r="D23" s="115" t="s">
        <v>55</v>
      </c>
      <c r="E23" s="115" t="s">
        <v>56</v>
      </c>
      <c r="F23" s="115" t="s">
        <v>57</v>
      </c>
      <c r="G23" s="115" t="s">
        <v>58</v>
      </c>
      <c r="H23" s="115" t="s">
        <v>59</v>
      </c>
      <c r="I23" s="115" t="s">
        <v>33</v>
      </c>
      <c r="J23" s="115" t="s">
        <v>60</v>
      </c>
      <c r="K23" s="115" t="s">
        <v>61</v>
      </c>
      <c r="L23" s="115" t="s">
        <v>137</v>
      </c>
      <c r="M23" s="115" t="s">
        <v>62</v>
      </c>
      <c r="N23" s="115" t="s">
        <v>39</v>
      </c>
      <c r="O23" s="115" t="s">
        <v>63</v>
      </c>
      <c r="P23" s="115" t="s">
        <v>64</v>
      </c>
      <c r="Q23" s="115" t="s">
        <v>65</v>
      </c>
      <c r="R23" s="115" t="s">
        <v>66</v>
      </c>
      <c r="S23" s="115" t="s">
        <v>67</v>
      </c>
      <c r="T23" s="115" t="s">
        <v>138</v>
      </c>
      <c r="U23" s="115" t="s">
        <v>68</v>
      </c>
      <c r="V23" s="115" t="s">
        <v>69</v>
      </c>
      <c r="W23" s="115" t="s">
        <v>70</v>
      </c>
      <c r="X23" s="115" t="s">
        <v>71</v>
      </c>
      <c r="Y23" s="115" t="s">
        <v>72</v>
      </c>
      <c r="Z23" s="115" t="s">
        <v>73</v>
      </c>
      <c r="AA23" s="115" t="s">
        <v>74</v>
      </c>
      <c r="AB23" s="115" t="s">
        <v>75</v>
      </c>
      <c r="AC23" s="115" t="s">
        <v>76</v>
      </c>
      <c r="AD23" s="115" t="s">
        <v>139</v>
      </c>
      <c r="AE23" s="115" t="s">
        <v>68</v>
      </c>
      <c r="AF23" s="115" t="s">
        <v>69</v>
      </c>
      <c r="AG23" s="115" t="s">
        <v>70</v>
      </c>
      <c r="AH23" s="115" t="s">
        <v>71</v>
      </c>
      <c r="AI23" s="115" t="s">
        <v>72</v>
      </c>
      <c r="AJ23" s="115" t="s">
        <v>73</v>
      </c>
      <c r="AK23" s="115" t="s">
        <v>74</v>
      </c>
      <c r="AL23" s="115" t="s">
        <v>75</v>
      </c>
      <c r="AM23" s="115" t="s">
        <v>76</v>
      </c>
      <c r="AN23" s="115" t="s">
        <v>77</v>
      </c>
      <c r="AO23" s="115" t="s">
        <v>81</v>
      </c>
      <c r="AP23" s="115" t="s">
        <v>140</v>
      </c>
    </row>
    <row r="24" spans="1:256" s="172" customFormat="1">
      <c r="A24" s="111" t="s">
        <v>45</v>
      </c>
      <c r="B24" s="111" t="s">
        <v>105</v>
      </c>
      <c r="C24" s="111" t="s">
        <v>213</v>
      </c>
      <c r="D24" s="111" t="s">
        <v>46</v>
      </c>
      <c r="E24" s="111" t="s">
        <v>219</v>
      </c>
      <c r="F24" s="111" t="s">
        <v>106</v>
      </c>
      <c r="G24" s="111" t="s">
        <v>47</v>
      </c>
      <c r="H24" s="111" t="s">
        <v>48</v>
      </c>
      <c r="I24" s="111" t="s">
        <v>49</v>
      </c>
      <c r="J24" s="111">
        <v>53067806</v>
      </c>
      <c r="K24" s="111" t="s">
        <v>220</v>
      </c>
      <c r="L24" s="111"/>
      <c r="M24" s="111"/>
      <c r="N24" s="111" t="s">
        <v>221</v>
      </c>
      <c r="O24" s="111" t="s">
        <v>51</v>
      </c>
      <c r="P24" s="111">
        <v>0.7</v>
      </c>
      <c r="Q24" s="111">
        <v>0.6</v>
      </c>
      <c r="R24" s="112" t="s">
        <v>111</v>
      </c>
      <c r="S24" s="112">
        <v>400</v>
      </c>
      <c r="T24" s="112">
        <v>6400</v>
      </c>
      <c r="U24" s="112">
        <v>4400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2000</v>
      </c>
      <c r="AD24" s="112">
        <v>6400</v>
      </c>
      <c r="AE24" s="112">
        <v>4400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2000</v>
      </c>
      <c r="AN24" s="112">
        <v>4073</v>
      </c>
      <c r="AO24" s="112">
        <v>407</v>
      </c>
      <c r="AP24" s="112">
        <v>4480</v>
      </c>
    </row>
    <row r="25" spans="1:256" s="172" customFormat="1">
      <c r="A25" s="111" t="s">
        <v>45</v>
      </c>
      <c r="B25" s="111" t="s">
        <v>105</v>
      </c>
      <c r="C25" s="111" t="s">
        <v>213</v>
      </c>
      <c r="D25" s="111" t="s">
        <v>46</v>
      </c>
      <c r="E25" s="111" t="s">
        <v>219</v>
      </c>
      <c r="F25" s="111" t="s">
        <v>106</v>
      </c>
      <c r="G25" s="111" t="s">
        <v>47</v>
      </c>
      <c r="H25" s="111" t="s">
        <v>48</v>
      </c>
      <c r="I25" s="111" t="s">
        <v>49</v>
      </c>
      <c r="J25" s="111">
        <v>53067806</v>
      </c>
      <c r="K25" s="111" t="s">
        <v>220</v>
      </c>
      <c r="L25" s="111"/>
      <c r="M25" s="111"/>
      <c r="N25" s="111" t="s">
        <v>221</v>
      </c>
      <c r="O25" s="111" t="s">
        <v>51</v>
      </c>
      <c r="P25" s="111">
        <v>0.7</v>
      </c>
      <c r="Q25" s="111">
        <v>0.6</v>
      </c>
      <c r="R25" s="112" t="s">
        <v>108</v>
      </c>
      <c r="S25" s="112">
        <v>3600</v>
      </c>
      <c r="T25" s="112">
        <v>-1200</v>
      </c>
      <c r="U25" s="112">
        <v>1200</v>
      </c>
      <c r="V25" s="112">
        <v>0</v>
      </c>
      <c r="W25" s="112">
        <v>0</v>
      </c>
      <c r="X25" s="112">
        <v>0</v>
      </c>
      <c r="Y25" s="112">
        <v>-2400</v>
      </c>
      <c r="Z25" s="112">
        <v>0</v>
      </c>
      <c r="AA25" s="112">
        <v>0</v>
      </c>
      <c r="AB25" s="112">
        <v>0</v>
      </c>
      <c r="AC25" s="112">
        <v>0</v>
      </c>
      <c r="AD25" s="112">
        <v>-1680</v>
      </c>
      <c r="AE25" s="112">
        <v>1200</v>
      </c>
      <c r="AF25" s="112">
        <v>0</v>
      </c>
      <c r="AG25" s="112">
        <v>0</v>
      </c>
      <c r="AH25" s="112">
        <v>0</v>
      </c>
      <c r="AI25" s="112">
        <v>-2880</v>
      </c>
      <c r="AJ25" s="112">
        <v>0</v>
      </c>
      <c r="AK25" s="112">
        <v>0</v>
      </c>
      <c r="AL25" s="112">
        <v>0</v>
      </c>
      <c r="AM25" s="112">
        <v>0</v>
      </c>
      <c r="AN25" s="112">
        <v>-807</v>
      </c>
      <c r="AO25" s="112">
        <v>-81</v>
      </c>
      <c r="AP25" s="112">
        <v>-888</v>
      </c>
    </row>
    <row r="26" spans="1:256" s="172" customFormat="1">
      <c r="A26" s="111" t="s">
        <v>45</v>
      </c>
      <c r="B26" s="111" t="s">
        <v>105</v>
      </c>
      <c r="C26" s="111" t="s">
        <v>213</v>
      </c>
      <c r="D26" s="111" t="s">
        <v>46</v>
      </c>
      <c r="E26" s="111" t="s">
        <v>219</v>
      </c>
      <c r="F26" s="111" t="s">
        <v>106</v>
      </c>
      <c r="G26" s="111" t="s">
        <v>47</v>
      </c>
      <c r="H26" s="111" t="s">
        <v>48</v>
      </c>
      <c r="I26" s="111" t="s">
        <v>49</v>
      </c>
      <c r="J26" s="111">
        <v>53067806</v>
      </c>
      <c r="K26" s="111" t="s">
        <v>220</v>
      </c>
      <c r="L26" s="111"/>
      <c r="M26" s="111"/>
      <c r="N26" s="111" t="s">
        <v>221</v>
      </c>
      <c r="O26" s="111" t="s">
        <v>51</v>
      </c>
      <c r="P26" s="111">
        <v>0.7</v>
      </c>
      <c r="Q26" s="111">
        <v>0.6</v>
      </c>
      <c r="R26" s="112" t="s">
        <v>108</v>
      </c>
      <c r="S26" s="112">
        <v>7200</v>
      </c>
      <c r="T26" s="112">
        <v>50400</v>
      </c>
      <c r="U26" s="112">
        <v>50400</v>
      </c>
      <c r="V26" s="112">
        <v>0</v>
      </c>
      <c r="W26" s="112">
        <v>0</v>
      </c>
      <c r="X26" s="112">
        <v>0</v>
      </c>
      <c r="Y26" s="112">
        <v>0</v>
      </c>
      <c r="Z26" s="112">
        <v>0</v>
      </c>
      <c r="AA26" s="112">
        <v>0</v>
      </c>
      <c r="AB26" s="112">
        <v>0</v>
      </c>
      <c r="AC26" s="112">
        <v>0</v>
      </c>
      <c r="AD26" s="112">
        <v>50400</v>
      </c>
      <c r="AE26" s="112">
        <v>50400</v>
      </c>
      <c r="AF26" s="112">
        <v>0</v>
      </c>
      <c r="AG26" s="112">
        <v>0</v>
      </c>
      <c r="AH26" s="112">
        <v>0</v>
      </c>
      <c r="AI26" s="112">
        <v>0</v>
      </c>
      <c r="AJ26" s="112">
        <v>0</v>
      </c>
      <c r="AK26" s="112">
        <v>0</v>
      </c>
      <c r="AL26" s="112">
        <v>0</v>
      </c>
      <c r="AM26" s="112">
        <v>0</v>
      </c>
      <c r="AN26" s="112">
        <v>32073</v>
      </c>
      <c r="AO26" s="112">
        <v>3207</v>
      </c>
      <c r="AP26" s="112">
        <v>35280</v>
      </c>
    </row>
    <row r="27" spans="1:256" s="172" customFormat="1">
      <c r="A27" s="111" t="s">
        <v>45</v>
      </c>
      <c r="B27" s="111" t="s">
        <v>105</v>
      </c>
      <c r="C27" s="111" t="s">
        <v>213</v>
      </c>
      <c r="D27" s="111" t="s">
        <v>46</v>
      </c>
      <c r="E27" s="111" t="s">
        <v>219</v>
      </c>
      <c r="F27" s="111" t="s">
        <v>106</v>
      </c>
      <c r="G27" s="111" t="s">
        <v>47</v>
      </c>
      <c r="H27" s="111" t="s">
        <v>48</v>
      </c>
      <c r="I27" s="111" t="s">
        <v>49</v>
      </c>
      <c r="J27" s="111">
        <v>53067806</v>
      </c>
      <c r="K27" s="111" t="s">
        <v>220</v>
      </c>
      <c r="L27" s="111"/>
      <c r="M27" s="111"/>
      <c r="N27" s="111" t="s">
        <v>221</v>
      </c>
      <c r="O27" s="111" t="s">
        <v>51</v>
      </c>
      <c r="P27" s="111">
        <v>0.7</v>
      </c>
      <c r="Q27" s="111">
        <v>0.6</v>
      </c>
      <c r="R27" s="112" t="s">
        <v>109</v>
      </c>
      <c r="S27" s="112">
        <v>200</v>
      </c>
      <c r="T27" s="112">
        <v>194800</v>
      </c>
      <c r="U27" s="112">
        <v>64100</v>
      </c>
      <c r="V27" s="112">
        <v>0</v>
      </c>
      <c r="W27" s="112">
        <v>0</v>
      </c>
      <c r="X27" s="112">
        <v>0</v>
      </c>
      <c r="Y27" s="112">
        <v>4400</v>
      </c>
      <c r="Z27" s="112">
        <v>7000</v>
      </c>
      <c r="AA27" s="112">
        <v>0</v>
      </c>
      <c r="AB27" s="112">
        <v>0</v>
      </c>
      <c r="AC27" s="112">
        <v>119300</v>
      </c>
      <c r="AD27" s="112">
        <v>196380</v>
      </c>
      <c r="AE27" s="112">
        <v>64100</v>
      </c>
      <c r="AF27" s="112">
        <v>0</v>
      </c>
      <c r="AG27" s="112">
        <v>0</v>
      </c>
      <c r="AH27" s="112">
        <v>0</v>
      </c>
      <c r="AI27" s="112">
        <v>5280</v>
      </c>
      <c r="AJ27" s="112">
        <v>7700</v>
      </c>
      <c r="AK27" s="112">
        <v>0</v>
      </c>
      <c r="AL27" s="112">
        <v>0</v>
      </c>
      <c r="AM27" s="112">
        <v>119300</v>
      </c>
      <c r="AN27" s="112">
        <v>123789</v>
      </c>
      <c r="AO27" s="112">
        <v>12379</v>
      </c>
      <c r="AP27" s="112">
        <v>136168</v>
      </c>
    </row>
    <row r="28" spans="1:256" s="172" customFormat="1">
      <c r="A28" s="111" t="s">
        <v>45</v>
      </c>
      <c r="B28" s="111" t="s">
        <v>105</v>
      </c>
      <c r="C28" s="111" t="s">
        <v>213</v>
      </c>
      <c r="D28" s="111" t="s">
        <v>46</v>
      </c>
      <c r="E28" s="111" t="s">
        <v>219</v>
      </c>
      <c r="F28" s="111" t="s">
        <v>106</v>
      </c>
      <c r="G28" s="111" t="s">
        <v>47</v>
      </c>
      <c r="H28" s="111" t="s">
        <v>48</v>
      </c>
      <c r="I28" s="111" t="s">
        <v>49</v>
      </c>
      <c r="J28" s="111">
        <v>53067806</v>
      </c>
      <c r="K28" s="111" t="s">
        <v>220</v>
      </c>
      <c r="L28" s="111"/>
      <c r="M28" s="111"/>
      <c r="N28" s="111" t="s">
        <v>221</v>
      </c>
      <c r="O28" s="111" t="s">
        <v>51</v>
      </c>
      <c r="P28" s="111">
        <v>0.7</v>
      </c>
      <c r="Q28" s="111">
        <v>0.6</v>
      </c>
      <c r="R28" s="112" t="s">
        <v>110</v>
      </c>
      <c r="S28" s="112">
        <v>1800</v>
      </c>
      <c r="T28" s="112">
        <v>199200</v>
      </c>
      <c r="U28" s="112">
        <v>171100</v>
      </c>
      <c r="V28" s="112">
        <v>0</v>
      </c>
      <c r="W28" s="112">
        <v>0</v>
      </c>
      <c r="X28" s="112">
        <v>0</v>
      </c>
      <c r="Y28" s="112">
        <v>3600</v>
      </c>
      <c r="Z28" s="112">
        <v>10800</v>
      </c>
      <c r="AA28" s="112">
        <v>0</v>
      </c>
      <c r="AB28" s="112">
        <v>0</v>
      </c>
      <c r="AC28" s="112">
        <v>13700</v>
      </c>
      <c r="AD28" s="112">
        <v>201000</v>
      </c>
      <c r="AE28" s="112">
        <v>171100</v>
      </c>
      <c r="AF28" s="112">
        <v>0</v>
      </c>
      <c r="AG28" s="112">
        <v>0</v>
      </c>
      <c r="AH28" s="112">
        <v>0</v>
      </c>
      <c r="AI28" s="112">
        <v>4320</v>
      </c>
      <c r="AJ28" s="112">
        <v>11880</v>
      </c>
      <c r="AK28" s="112">
        <v>0</v>
      </c>
      <c r="AL28" s="112">
        <v>0</v>
      </c>
      <c r="AM28" s="112">
        <v>13700</v>
      </c>
      <c r="AN28" s="112">
        <v>126436</v>
      </c>
      <c r="AO28" s="112">
        <v>12644</v>
      </c>
      <c r="AP28" s="112">
        <v>139080</v>
      </c>
    </row>
    <row r="29" spans="1:256" s="172" customFormat="1">
      <c r="A29" s="111" t="s">
        <v>45</v>
      </c>
      <c r="B29" s="111" t="s">
        <v>105</v>
      </c>
      <c r="C29" s="111" t="s">
        <v>213</v>
      </c>
      <c r="D29" s="111" t="s">
        <v>46</v>
      </c>
      <c r="E29" s="111" t="s">
        <v>219</v>
      </c>
      <c r="F29" s="111" t="s">
        <v>106</v>
      </c>
      <c r="G29" s="111" t="s">
        <v>47</v>
      </c>
      <c r="H29" s="111" t="s">
        <v>48</v>
      </c>
      <c r="I29" s="111" t="s">
        <v>49</v>
      </c>
      <c r="J29" s="111">
        <v>53067806</v>
      </c>
      <c r="K29" s="111" t="s">
        <v>220</v>
      </c>
      <c r="L29" s="111"/>
      <c r="M29" s="111"/>
      <c r="N29" s="111" t="s">
        <v>221</v>
      </c>
      <c r="O29" s="111" t="s">
        <v>51</v>
      </c>
      <c r="P29" s="111">
        <v>0.7</v>
      </c>
      <c r="Q29" s="111">
        <v>0.6</v>
      </c>
      <c r="R29" s="112" t="s">
        <v>110</v>
      </c>
      <c r="S29" s="112">
        <v>3600</v>
      </c>
      <c r="T29" s="112">
        <v>312200</v>
      </c>
      <c r="U29" s="112">
        <v>230100</v>
      </c>
      <c r="V29" s="112">
        <v>0</v>
      </c>
      <c r="W29" s="112">
        <v>0</v>
      </c>
      <c r="X29" s="112">
        <v>0</v>
      </c>
      <c r="Y29" s="112">
        <v>7200</v>
      </c>
      <c r="Z29" s="112">
        <v>59800</v>
      </c>
      <c r="AA29" s="112">
        <v>0</v>
      </c>
      <c r="AB29" s="112">
        <v>0</v>
      </c>
      <c r="AC29" s="112">
        <v>15100</v>
      </c>
      <c r="AD29" s="112">
        <v>319620</v>
      </c>
      <c r="AE29" s="112">
        <v>230100</v>
      </c>
      <c r="AF29" s="112">
        <v>0</v>
      </c>
      <c r="AG29" s="112">
        <v>0</v>
      </c>
      <c r="AH29" s="112">
        <v>0</v>
      </c>
      <c r="AI29" s="112">
        <v>8640</v>
      </c>
      <c r="AJ29" s="112">
        <v>65780</v>
      </c>
      <c r="AK29" s="112">
        <v>0</v>
      </c>
      <c r="AL29" s="112">
        <v>0</v>
      </c>
      <c r="AM29" s="112">
        <v>15100</v>
      </c>
      <c r="AN29" s="112">
        <v>196629</v>
      </c>
      <c r="AO29" s="112">
        <v>19663</v>
      </c>
      <c r="AP29" s="112">
        <v>216292</v>
      </c>
    </row>
    <row r="30" spans="1:256">
      <c r="AD30" s="14">
        <f>SUM(AD24:AD29)</f>
        <v>772120</v>
      </c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</row>
    <row r="31" spans="1:256"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</row>
    <row r="32" spans="1:256">
      <c r="A32" s="194"/>
      <c r="S32" s="26"/>
      <c r="AD32" s="26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</row>
    <row r="33" spans="1:1">
      <c r="A33" s="194"/>
    </row>
  </sheetData>
  <mergeCells count="8">
    <mergeCell ref="A10:S10"/>
    <mergeCell ref="T10:AC10"/>
    <mergeCell ref="AD10:AM10"/>
    <mergeCell ref="AN10:AP10"/>
    <mergeCell ref="A22:S22"/>
    <mergeCell ref="T22:AC22"/>
    <mergeCell ref="AD22:AM22"/>
    <mergeCell ref="AN22:AP22"/>
  </mergeCells>
  <phoneticPr fontId="31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15"/>
  <sheetViews>
    <sheetView showGridLines="0" workbookViewId="0">
      <selection activeCell="D3" sqref="D3:F3"/>
    </sheetView>
  </sheetViews>
  <sheetFormatPr defaultColWidth="8.77734375" defaultRowHeight="13.95" customHeight="1"/>
  <cols>
    <col min="1" max="1" width="4" style="76" customWidth="1"/>
    <col min="2" max="2" width="13.109375" style="76" customWidth="1"/>
    <col min="3" max="3" width="14.33203125" style="76" bestFit="1" customWidth="1"/>
    <col min="4" max="4" width="13.44140625" style="76" customWidth="1"/>
    <col min="5" max="5" width="13.6640625" style="76" customWidth="1"/>
    <col min="6" max="7" width="12.6640625" style="76" customWidth="1"/>
    <col min="8" max="8" width="13.44140625" style="76" customWidth="1"/>
    <col min="9" max="9" width="35.33203125" style="76" customWidth="1"/>
    <col min="10" max="256" width="8.77734375" style="76" customWidth="1"/>
    <col min="257" max="16384" width="8.77734375" style="28"/>
  </cols>
  <sheetData>
    <row r="1" spans="1:9" ht="15.45" customHeight="1">
      <c r="A1" s="10"/>
      <c r="B1" s="10"/>
      <c r="C1" s="10"/>
      <c r="D1" s="10"/>
      <c r="E1" s="10"/>
      <c r="F1" s="10"/>
      <c r="G1" s="10"/>
      <c r="H1" s="10"/>
      <c r="I1" s="10"/>
    </row>
    <row r="2" spans="1:9" ht="16.05" customHeight="1">
      <c r="A2" s="10"/>
      <c r="B2" s="78" t="s">
        <v>0</v>
      </c>
      <c r="C2" s="78" t="s">
        <v>32</v>
      </c>
      <c r="D2" s="78" t="s">
        <v>1</v>
      </c>
      <c r="E2" s="78" t="s">
        <v>2</v>
      </c>
      <c r="F2" s="78" t="s">
        <v>3</v>
      </c>
      <c r="G2" s="78" t="s">
        <v>4</v>
      </c>
      <c r="H2" s="78" t="s">
        <v>5</v>
      </c>
      <c r="I2" s="78" t="s">
        <v>6</v>
      </c>
    </row>
    <row r="3" spans="1:9" ht="16.2" customHeight="1">
      <c r="A3" s="10"/>
      <c r="B3" s="56" t="s">
        <v>83</v>
      </c>
      <c r="C3" s="83" t="s">
        <v>212</v>
      </c>
      <c r="D3" s="168">
        <v>2200000</v>
      </c>
      <c r="E3" s="79">
        <v>0</v>
      </c>
      <c r="F3" s="80">
        <f t="shared" ref="F3" si="0">D3</f>
        <v>2200000</v>
      </c>
      <c r="G3" s="81">
        <f t="shared" ref="G3" si="1">F3*20%</f>
        <v>440000</v>
      </c>
      <c r="H3" s="82">
        <f t="shared" ref="H3" si="2">F3*80%</f>
        <v>1760000</v>
      </c>
      <c r="I3" s="83" t="s">
        <v>276</v>
      </c>
    </row>
    <row r="4" spans="1:9" ht="16.2" customHeight="1">
      <c r="A4" s="10"/>
      <c r="B4" s="56" t="s">
        <v>83</v>
      </c>
      <c r="C4" s="83" t="s">
        <v>216</v>
      </c>
      <c r="D4" s="168">
        <v>2500000</v>
      </c>
      <c r="E4" s="79">
        <v>0</v>
      </c>
      <c r="F4" s="80">
        <f t="shared" ref="F4" si="3">D4</f>
        <v>2500000</v>
      </c>
      <c r="G4" s="81">
        <f t="shared" ref="G4" si="4">F4*20%</f>
        <v>500000</v>
      </c>
      <c r="H4" s="82">
        <f t="shared" ref="H4" si="5">F4*80%</f>
        <v>2000000</v>
      </c>
      <c r="I4" s="83" t="s">
        <v>276</v>
      </c>
    </row>
    <row r="5" spans="1:9" ht="16.05" customHeight="1">
      <c r="A5" s="10"/>
      <c r="B5" s="84" t="s">
        <v>20</v>
      </c>
      <c r="C5" s="85"/>
      <c r="D5" s="86">
        <f>SUM(D3:D4)</f>
        <v>4700000</v>
      </c>
      <c r="E5" s="86">
        <f>SUM(E3:E4)</f>
        <v>0</v>
      </c>
      <c r="F5" s="86">
        <f>SUM(F3:F4)</f>
        <v>4700000</v>
      </c>
      <c r="G5" s="86">
        <f>SUM(G3:G4)</f>
        <v>940000</v>
      </c>
      <c r="H5" s="86">
        <f>SUM(H3:H4)</f>
        <v>3760000</v>
      </c>
      <c r="I5" s="86"/>
    </row>
    <row r="6" spans="1:9" ht="15.45" customHeight="1">
      <c r="A6" s="10"/>
      <c r="B6" s="77"/>
      <c r="C6" s="10"/>
      <c r="D6" s="10"/>
      <c r="E6" s="10"/>
      <c r="F6" s="10"/>
      <c r="G6" s="17">
        <f>F5*0.2</f>
        <v>940000</v>
      </c>
      <c r="H6" s="17">
        <f>F5*0.8</f>
        <v>3760000</v>
      </c>
      <c r="I6" s="10"/>
    </row>
    <row r="7" spans="1:9" ht="15" customHeight="1">
      <c r="A7" s="10"/>
      <c r="B7" s="10"/>
      <c r="C7" s="10"/>
      <c r="D7" s="10"/>
      <c r="E7" s="10"/>
      <c r="F7" s="10"/>
      <c r="G7" s="73"/>
      <c r="H7" s="10"/>
      <c r="I7" s="10"/>
    </row>
    <row r="8" spans="1:9" ht="15" customHeight="1">
      <c r="A8" s="10"/>
      <c r="B8" s="165"/>
      <c r="C8" s="10"/>
      <c r="D8" s="10"/>
      <c r="E8" s="10"/>
      <c r="F8" s="10"/>
      <c r="G8" s="10"/>
      <c r="H8" s="10"/>
      <c r="I8" s="10"/>
    </row>
    <row r="9" spans="1:9" ht="15" customHeight="1">
      <c r="A9" s="10"/>
      <c r="B9" s="165"/>
      <c r="C9" s="10"/>
      <c r="D9" s="10"/>
      <c r="E9" s="10"/>
      <c r="F9" s="10"/>
      <c r="G9" s="10"/>
      <c r="H9" s="10"/>
      <c r="I9" s="10"/>
    </row>
    <row r="10" spans="1:9" ht="16.05" customHeight="1">
      <c r="A10" s="10"/>
      <c r="B10" s="10"/>
      <c r="C10" s="10"/>
      <c r="D10" s="73"/>
      <c r="E10" s="73"/>
      <c r="F10" s="10"/>
      <c r="G10" s="10"/>
      <c r="H10" s="10"/>
      <c r="I10" s="10"/>
    </row>
    <row r="11" spans="1:9" ht="16.05" customHeight="1">
      <c r="A11" s="10"/>
      <c r="B11" s="10"/>
      <c r="C11" s="10"/>
      <c r="D11" s="74"/>
      <c r="E11" s="10"/>
      <c r="F11" s="10"/>
      <c r="G11" s="10"/>
      <c r="H11" s="10"/>
      <c r="I11" s="10"/>
    </row>
    <row r="12" spans="1:9" ht="16.05" customHeight="1">
      <c r="A12" s="10"/>
      <c r="B12" s="10"/>
      <c r="C12" s="10"/>
      <c r="D12" s="10"/>
      <c r="E12" s="74"/>
      <c r="F12" s="10"/>
      <c r="G12" s="10"/>
      <c r="H12" s="10"/>
      <c r="I12" s="10"/>
    </row>
    <row r="13" spans="1:9" ht="19.95" customHeight="1">
      <c r="A13" s="10"/>
      <c r="B13" s="10"/>
      <c r="C13" s="75"/>
      <c r="D13" s="10"/>
      <c r="E13" s="10"/>
      <c r="F13" s="10"/>
      <c r="G13" s="10"/>
      <c r="H13" s="10"/>
      <c r="I13" s="10"/>
    </row>
    <row r="14" spans="1:9" ht="19.95" customHeight="1">
      <c r="A14" s="10"/>
      <c r="B14" s="10"/>
      <c r="C14" s="75"/>
      <c r="D14" s="10"/>
      <c r="E14" s="10"/>
      <c r="F14" s="10"/>
      <c r="G14" s="10"/>
      <c r="H14" s="10"/>
      <c r="I14" s="10"/>
    </row>
    <row r="15" spans="1:9" ht="16.05" customHeight="1">
      <c r="A15" s="10"/>
      <c r="B15" s="10"/>
      <c r="C15" s="11"/>
      <c r="D15" s="10"/>
      <c r="E15" s="10"/>
      <c r="F15" s="10"/>
      <c r="G15" s="10"/>
      <c r="H15" s="10"/>
    </row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59"/>
  <sheetViews>
    <sheetView showGridLines="0" zoomScaleNormal="100" workbookViewId="0">
      <selection activeCell="D3" sqref="D3:E3"/>
    </sheetView>
  </sheetViews>
  <sheetFormatPr defaultColWidth="8.77734375" defaultRowHeight="14.7" customHeight="1"/>
  <cols>
    <col min="1" max="1" width="4" style="76" customWidth="1"/>
    <col min="2" max="2" width="12.77734375" style="76" customWidth="1"/>
    <col min="3" max="3" width="27.6640625" style="76" bestFit="1" customWidth="1"/>
    <col min="4" max="4" width="13.44140625" style="76" customWidth="1"/>
    <col min="5" max="5" width="13.77734375" style="76" customWidth="1"/>
    <col min="6" max="6" width="14.77734375" style="76" customWidth="1"/>
    <col min="7" max="7" width="15.109375" style="76" customWidth="1"/>
    <col min="8" max="8" width="13.77734375" style="76" bestFit="1" customWidth="1"/>
    <col min="9" max="9" width="12" style="76" customWidth="1"/>
    <col min="10" max="256" width="8.77734375" style="76" customWidth="1"/>
    <col min="257" max="16384" width="8.77734375" style="28"/>
  </cols>
  <sheetData>
    <row r="1" spans="1:11" ht="15.45" customHeight="1">
      <c r="A1" s="10"/>
      <c r="B1" s="10"/>
      <c r="C1" s="10"/>
      <c r="D1" s="10"/>
      <c r="E1" s="10"/>
      <c r="F1" s="10"/>
      <c r="G1" s="10"/>
      <c r="H1" s="10"/>
      <c r="I1" s="10"/>
    </row>
    <row r="2" spans="1:11" ht="16.05" customHeight="1">
      <c r="A2" s="10"/>
      <c r="B2" s="78" t="s">
        <v>0</v>
      </c>
      <c r="C2" s="78" t="s">
        <v>32</v>
      </c>
      <c r="D2" s="78" t="s">
        <v>1</v>
      </c>
      <c r="E2" s="78" t="s">
        <v>2</v>
      </c>
      <c r="F2" s="78" t="s">
        <v>3</v>
      </c>
      <c r="G2" s="78" t="s">
        <v>4</v>
      </c>
      <c r="H2" s="78" t="s">
        <v>5</v>
      </c>
      <c r="I2" s="78" t="s">
        <v>6</v>
      </c>
    </row>
    <row r="3" spans="1:11" ht="16.05" customHeight="1">
      <c r="A3" s="10"/>
      <c r="B3" s="56" t="s">
        <v>83</v>
      </c>
      <c r="C3" s="93" t="s">
        <v>82</v>
      </c>
      <c r="D3" s="190">
        <v>7757187</v>
      </c>
      <c r="E3" s="89" t="s">
        <v>84</v>
      </c>
      <c r="F3" s="90">
        <f>D3</f>
        <v>7757187</v>
      </c>
      <c r="G3" s="70">
        <f t="shared" ref="G3" si="0">F3*20%</f>
        <v>1551437.4000000001</v>
      </c>
      <c r="H3" s="91">
        <f t="shared" ref="H3" si="1">F3*80%</f>
        <v>6205749.6000000006</v>
      </c>
      <c r="I3" s="93" t="s">
        <v>284</v>
      </c>
    </row>
    <row r="4" spans="1:11" ht="16.5" customHeight="1">
      <c r="A4" s="10"/>
      <c r="B4" s="56" t="s">
        <v>83</v>
      </c>
      <c r="C4" s="83" t="s">
        <v>217</v>
      </c>
      <c r="D4" s="94">
        <v>91249</v>
      </c>
      <c r="E4" s="89" t="s">
        <v>84</v>
      </c>
      <c r="F4" s="90">
        <f t="shared" ref="F4:F5" si="2">D4</f>
        <v>91249</v>
      </c>
      <c r="G4" s="70">
        <f t="shared" ref="G4:G5" si="3">F4*20%</f>
        <v>18249.8</v>
      </c>
      <c r="H4" s="91">
        <f t="shared" ref="H4:H5" si="4">F4*80%</f>
        <v>72999.199999999997</v>
      </c>
      <c r="I4" s="93" t="s">
        <v>285</v>
      </c>
    </row>
    <row r="5" spans="1:11" ht="16.5" customHeight="1">
      <c r="A5" s="10"/>
      <c r="B5" s="56" t="s">
        <v>83</v>
      </c>
      <c r="C5" s="83" t="s">
        <v>287</v>
      </c>
      <c r="D5" s="94">
        <v>111961</v>
      </c>
      <c r="E5" s="89" t="s">
        <v>84</v>
      </c>
      <c r="F5" s="90">
        <f t="shared" si="2"/>
        <v>111961</v>
      </c>
      <c r="G5" s="70">
        <f t="shared" si="3"/>
        <v>22392.2</v>
      </c>
      <c r="H5" s="91">
        <f t="shared" si="4"/>
        <v>89568.8</v>
      </c>
      <c r="I5" s="93" t="s">
        <v>285</v>
      </c>
    </row>
    <row r="6" spans="1:11" ht="16.5" customHeight="1">
      <c r="A6" s="10"/>
      <c r="B6" s="56" t="s">
        <v>83</v>
      </c>
      <c r="C6" s="176" t="s">
        <v>210</v>
      </c>
      <c r="D6" s="116">
        <v>39512363</v>
      </c>
      <c r="E6" s="92">
        <f t="shared" ref="E6" si="5">D6-F6</f>
        <v>17935477</v>
      </c>
      <c r="F6" s="117">
        <v>21576886</v>
      </c>
      <c r="G6" s="70">
        <f>F6*20%</f>
        <v>4315377.2</v>
      </c>
      <c r="H6" s="114">
        <f>F6*80%</f>
        <v>17261508.800000001</v>
      </c>
      <c r="I6" s="93" t="s">
        <v>286</v>
      </c>
      <c r="K6" s="189"/>
    </row>
    <row r="7" spans="1:11" ht="16.5" customHeight="1">
      <c r="A7" s="10"/>
      <c r="B7" s="56" t="s">
        <v>83</v>
      </c>
      <c r="C7" s="176" t="s">
        <v>211</v>
      </c>
      <c r="D7" s="116">
        <v>314020</v>
      </c>
      <c r="E7" s="92">
        <f>D7-F7</f>
        <v>137089</v>
      </c>
      <c r="F7" s="117">
        <v>176931</v>
      </c>
      <c r="G7" s="70">
        <f t="shared" ref="G7" si="6">F7*20%</f>
        <v>35386.200000000004</v>
      </c>
      <c r="H7" s="91">
        <f t="shared" ref="H7" si="7">F7*80%</f>
        <v>141544.80000000002</v>
      </c>
      <c r="I7" s="93" t="s">
        <v>286</v>
      </c>
      <c r="K7" s="189"/>
    </row>
    <row r="8" spans="1:11" ht="16.5" customHeight="1">
      <c r="A8" s="10"/>
      <c r="B8" s="56" t="s">
        <v>83</v>
      </c>
      <c r="C8" s="83" t="s">
        <v>257</v>
      </c>
      <c r="D8" s="94">
        <v>624934</v>
      </c>
      <c r="E8" s="92">
        <f>D8-F8</f>
        <v>303850</v>
      </c>
      <c r="F8" s="95">
        <v>321084</v>
      </c>
      <c r="G8" s="70">
        <f t="shared" ref="G8" si="8">F8*20%</f>
        <v>64216.800000000003</v>
      </c>
      <c r="H8" s="91">
        <f t="shared" ref="H8" si="9">F8*80%</f>
        <v>256867.20000000001</v>
      </c>
      <c r="I8" s="93" t="s">
        <v>286</v>
      </c>
    </row>
    <row r="9" spans="1:11" ht="16.5" customHeight="1">
      <c r="A9" s="10"/>
      <c r="B9" s="56" t="s">
        <v>83</v>
      </c>
      <c r="C9" s="83" t="s">
        <v>270</v>
      </c>
      <c r="D9" s="191">
        <v>10200</v>
      </c>
      <c r="E9" s="92">
        <f>D9-F9</f>
        <v>4636</v>
      </c>
      <c r="F9" s="95">
        <v>5564</v>
      </c>
      <c r="G9" s="70">
        <f t="shared" ref="G9" si="10">F9*20%</f>
        <v>1112.8</v>
      </c>
      <c r="H9" s="91">
        <f t="shared" ref="H9" si="11">F9*80%</f>
        <v>4451.2</v>
      </c>
      <c r="I9" s="93" t="s">
        <v>286</v>
      </c>
    </row>
    <row r="10" spans="1:11" ht="16.5" customHeight="1">
      <c r="A10" s="10"/>
      <c r="B10" s="56" t="s">
        <v>83</v>
      </c>
      <c r="C10" s="176" t="s">
        <v>143</v>
      </c>
      <c r="D10" s="94">
        <v>61897004</v>
      </c>
      <c r="E10" s="92">
        <f>D10-F10</f>
        <v>31259516</v>
      </c>
      <c r="F10" s="95">
        <v>30637488</v>
      </c>
      <c r="G10" s="70">
        <f t="shared" ref="G10" si="12">F10*20%</f>
        <v>6127497.6000000006</v>
      </c>
      <c r="H10" s="114">
        <f t="shared" ref="H10" si="13">F10*80%</f>
        <v>24509990.400000002</v>
      </c>
      <c r="I10" s="93" t="s">
        <v>286</v>
      </c>
    </row>
    <row r="11" spans="1:11" ht="16.5" customHeight="1">
      <c r="A11" s="10"/>
      <c r="B11" s="56" t="s">
        <v>83</v>
      </c>
      <c r="C11" s="176" t="s">
        <v>144</v>
      </c>
      <c r="D11" s="94">
        <v>309080</v>
      </c>
      <c r="E11" s="92">
        <f>D11-F11</f>
        <v>152410</v>
      </c>
      <c r="F11" s="95">
        <v>156670</v>
      </c>
      <c r="G11" s="70">
        <f>F11*20%</f>
        <v>31334</v>
      </c>
      <c r="H11" s="114">
        <f>F11*80%</f>
        <v>125336</v>
      </c>
      <c r="I11" s="93" t="s">
        <v>286</v>
      </c>
    </row>
    <row r="12" spans="1:11" ht="16.5" customHeight="1">
      <c r="A12" s="10"/>
      <c r="B12" s="56" t="s">
        <v>83</v>
      </c>
      <c r="C12" s="176" t="s">
        <v>141</v>
      </c>
      <c r="D12" s="94">
        <v>4066495</v>
      </c>
      <c r="E12" s="92">
        <f t="shared" ref="E12" si="14">D12-F12</f>
        <v>2048753</v>
      </c>
      <c r="F12" s="95">
        <v>2017742</v>
      </c>
      <c r="G12" s="70">
        <f t="shared" ref="G12" si="15">F12*20%</f>
        <v>403548.4</v>
      </c>
      <c r="H12" s="91">
        <f t="shared" ref="H12" si="16">F12*80%</f>
        <v>1614193.6</v>
      </c>
      <c r="I12" s="93" t="s">
        <v>286</v>
      </c>
    </row>
    <row r="13" spans="1:11" ht="16.5" customHeight="1">
      <c r="A13" s="10"/>
      <c r="B13" s="56" t="s">
        <v>83</v>
      </c>
      <c r="C13" s="176" t="s">
        <v>142</v>
      </c>
      <c r="D13" s="94">
        <v>117380</v>
      </c>
      <c r="E13" s="92">
        <f t="shared" ref="E13:E19" si="17">D13-F13</f>
        <v>58532</v>
      </c>
      <c r="F13" s="95">
        <v>58848</v>
      </c>
      <c r="G13" s="70">
        <f t="shared" ref="G13:G19" si="18">F13*20%</f>
        <v>11769.6</v>
      </c>
      <c r="H13" s="114">
        <f t="shared" ref="H13:H19" si="19">F13*80%</f>
        <v>47078.400000000001</v>
      </c>
      <c r="I13" s="93" t="s">
        <v>286</v>
      </c>
    </row>
    <row r="14" spans="1:11" ht="16.5" customHeight="1">
      <c r="A14" s="10"/>
      <c r="B14" s="56" t="s">
        <v>83</v>
      </c>
      <c r="C14" s="83" t="s">
        <v>79</v>
      </c>
      <c r="D14" s="94">
        <v>31640</v>
      </c>
      <c r="E14" s="92">
        <f t="shared" si="17"/>
        <v>16349</v>
      </c>
      <c r="F14" s="95">
        <v>15291</v>
      </c>
      <c r="G14" s="70">
        <f t="shared" si="18"/>
        <v>3058.2000000000003</v>
      </c>
      <c r="H14" s="91">
        <f t="shared" si="19"/>
        <v>12232.800000000001</v>
      </c>
      <c r="I14" s="93" t="s">
        <v>286</v>
      </c>
    </row>
    <row r="15" spans="1:11" ht="16.5" customHeight="1">
      <c r="A15" s="10"/>
      <c r="B15" s="56" t="s">
        <v>83</v>
      </c>
      <c r="C15" s="83" t="s">
        <v>288</v>
      </c>
      <c r="D15" s="191">
        <v>3200</v>
      </c>
      <c r="E15" s="92">
        <f t="shared" ref="E15" si="20">D15-F15</f>
        <v>1571</v>
      </c>
      <c r="F15" s="95">
        <v>1629</v>
      </c>
      <c r="G15" s="70">
        <f t="shared" ref="G15" si="21">F15*20%</f>
        <v>325.8</v>
      </c>
      <c r="H15" s="91">
        <f t="shared" ref="H15" si="22">F15*80%</f>
        <v>1303.2</v>
      </c>
      <c r="I15" s="93" t="s">
        <v>286</v>
      </c>
    </row>
    <row r="16" spans="1:11" ht="16.5" customHeight="1">
      <c r="A16" s="10"/>
      <c r="B16" s="56" t="s">
        <v>83</v>
      </c>
      <c r="C16" s="83" t="s">
        <v>78</v>
      </c>
      <c r="D16" s="94">
        <v>63200</v>
      </c>
      <c r="E16" s="92">
        <f t="shared" ref="E16:E17" si="23">D16-F16</f>
        <v>31407</v>
      </c>
      <c r="F16" s="95">
        <v>31793</v>
      </c>
      <c r="G16" s="70">
        <f t="shared" ref="G16:G17" si="24">F16*20%</f>
        <v>6358.6</v>
      </c>
      <c r="H16" s="91">
        <f t="shared" ref="H16:H17" si="25">F16*80%</f>
        <v>25434.400000000001</v>
      </c>
      <c r="I16" s="93" t="s">
        <v>286</v>
      </c>
    </row>
    <row r="17" spans="1:256" ht="16.5" customHeight="1">
      <c r="A17" s="10"/>
      <c r="B17" s="56" t="s">
        <v>83</v>
      </c>
      <c r="C17" s="83" t="s">
        <v>269</v>
      </c>
      <c r="D17" s="191">
        <v>400</v>
      </c>
      <c r="E17" s="92">
        <f t="shared" si="23"/>
        <v>196</v>
      </c>
      <c r="F17" s="95">
        <v>204</v>
      </c>
      <c r="G17" s="70">
        <f t="shared" si="24"/>
        <v>40.800000000000004</v>
      </c>
      <c r="H17" s="91">
        <f t="shared" si="25"/>
        <v>163.20000000000002</v>
      </c>
      <c r="I17" s="93" t="s">
        <v>286</v>
      </c>
    </row>
    <row r="18" spans="1:256" ht="16.5" customHeight="1">
      <c r="A18" s="10"/>
      <c r="B18" s="56" t="s">
        <v>83</v>
      </c>
      <c r="C18" s="83" t="s">
        <v>43</v>
      </c>
      <c r="D18" s="94">
        <v>707060</v>
      </c>
      <c r="E18" s="92">
        <f t="shared" si="17"/>
        <v>278144</v>
      </c>
      <c r="F18" s="95">
        <v>428916</v>
      </c>
      <c r="G18" s="70">
        <f t="shared" si="18"/>
        <v>85783.200000000012</v>
      </c>
      <c r="H18" s="91">
        <f t="shared" si="19"/>
        <v>343132.80000000005</v>
      </c>
      <c r="I18" s="93" t="s">
        <v>286</v>
      </c>
    </row>
    <row r="19" spans="1:256" ht="16.5" customHeight="1">
      <c r="A19" s="10"/>
      <c r="B19" s="56" t="s">
        <v>83</v>
      </c>
      <c r="C19" s="83" t="s">
        <v>44</v>
      </c>
      <c r="D19" s="94">
        <v>13020</v>
      </c>
      <c r="E19" s="92">
        <f t="shared" si="17"/>
        <v>4758</v>
      </c>
      <c r="F19" s="95">
        <v>8262</v>
      </c>
      <c r="G19" s="70">
        <f t="shared" si="18"/>
        <v>1652.4</v>
      </c>
      <c r="H19" s="91">
        <f t="shared" si="19"/>
        <v>6609.6</v>
      </c>
      <c r="I19" s="93" t="s">
        <v>286</v>
      </c>
    </row>
    <row r="20" spans="1:256" ht="16.05" customHeight="1">
      <c r="A20" s="10"/>
      <c r="B20" s="84" t="s">
        <v>20</v>
      </c>
      <c r="C20" s="85"/>
      <c r="D20" s="86">
        <f>SUM(D3:D19)</f>
        <v>115630393</v>
      </c>
      <c r="E20" s="86">
        <f>SUM(E3:E19)</f>
        <v>52232688</v>
      </c>
      <c r="F20" s="86">
        <f>SUM(F3:F19)</f>
        <v>63397705</v>
      </c>
      <c r="G20" s="86">
        <f>SUM(G3:G19)</f>
        <v>12679541</v>
      </c>
      <c r="H20" s="86">
        <f>SUM(H3:H19)</f>
        <v>50718164</v>
      </c>
      <c r="I20" s="86"/>
    </row>
    <row r="21" spans="1:256" ht="15.45" customHeight="1">
      <c r="A21" s="10"/>
      <c r="B21" s="77"/>
      <c r="C21" s="10"/>
      <c r="D21" s="10"/>
      <c r="E21" s="10"/>
      <c r="F21" s="10"/>
      <c r="G21" s="17">
        <f>F20*0.2</f>
        <v>12679541</v>
      </c>
      <c r="H21" s="17">
        <f>F20*0.8</f>
        <v>50718164</v>
      </c>
      <c r="I21" s="10"/>
    </row>
    <row r="22" spans="1:256" ht="15.45" customHeight="1">
      <c r="A22" s="10"/>
      <c r="B22" s="77"/>
      <c r="C22" s="10"/>
      <c r="D22" s="10"/>
      <c r="E22" s="10"/>
      <c r="F22" s="10"/>
      <c r="G22" s="17"/>
      <c r="H22" s="17"/>
      <c r="I22" s="10"/>
    </row>
    <row r="23" spans="1:256" ht="14.7" customHeight="1">
      <c r="A23" s="184"/>
      <c r="B23" s="10"/>
      <c r="C23" s="10"/>
      <c r="D23" s="10"/>
      <c r="E23" s="10"/>
      <c r="F23" s="10"/>
      <c r="G23" s="10"/>
      <c r="H23" s="10"/>
      <c r="I23" s="10"/>
    </row>
    <row r="24" spans="1:256" s="88" customFormat="1" ht="14.7" customHeight="1">
      <c r="A24" s="87"/>
      <c r="B24" s="9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  <c r="GR24" s="87"/>
      <c r="GS24" s="87"/>
      <c r="GT24" s="87"/>
      <c r="GU24" s="87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87"/>
      <c r="HI24" s="87"/>
      <c r="HJ24" s="87"/>
      <c r="HK24" s="87"/>
      <c r="HL24" s="87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7"/>
      <c r="HX24" s="87"/>
      <c r="HY24" s="87"/>
      <c r="HZ24" s="87"/>
      <c r="IA24" s="87"/>
      <c r="IB24" s="87"/>
      <c r="IC24" s="87"/>
      <c r="ID24" s="87"/>
      <c r="IE24" s="87"/>
      <c r="IF24" s="87"/>
      <c r="IG24" s="87"/>
      <c r="IH24" s="87"/>
      <c r="II24" s="87"/>
      <c r="IJ24" s="87"/>
      <c r="IK24" s="87"/>
      <c r="IL24" s="87"/>
      <c r="IM24" s="87"/>
      <c r="IN24" s="87"/>
      <c r="IO24" s="87"/>
      <c r="IP24" s="87"/>
      <c r="IQ24" s="87"/>
      <c r="IR24" s="87"/>
      <c r="IS24" s="87"/>
      <c r="IT24" s="87"/>
      <c r="IU24" s="87"/>
      <c r="IV24" s="87"/>
    </row>
    <row r="25" spans="1:256" ht="14.7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spans="1:256" ht="14.7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spans="1:256" ht="14.7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spans="1:256" ht="14.7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spans="1:256" ht="14.7" customHeight="1">
      <c r="A29" s="10"/>
      <c r="B29" s="10"/>
      <c r="C29" s="11"/>
      <c r="D29" s="10"/>
      <c r="E29" s="10"/>
      <c r="F29" s="10"/>
      <c r="G29" s="10"/>
      <c r="H29" s="10"/>
      <c r="I29" s="10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</row>
    <row r="30" spans="1:256" ht="14.7" customHeight="1">
      <c r="A30" s="10"/>
      <c r="B30" s="10"/>
      <c r="C30" s="11"/>
      <c r="D30" s="10"/>
      <c r="E30" s="10"/>
      <c r="F30" s="10"/>
      <c r="G30" s="10"/>
      <c r="H30" s="10"/>
      <c r="I30" s="10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</row>
    <row r="31" spans="1:256" ht="14.7" customHeight="1">
      <c r="A31" s="10"/>
      <c r="B31" s="10"/>
      <c r="C31" s="11"/>
      <c r="D31" s="10"/>
      <c r="E31" s="10"/>
      <c r="F31" s="10"/>
      <c r="G31" s="10"/>
      <c r="H31" s="10"/>
      <c r="I31" s="10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28"/>
      <c r="IV31" s="28"/>
    </row>
    <row r="32" spans="1:256" ht="14.7" customHeight="1">
      <c r="A32" s="10"/>
      <c r="B32" s="10"/>
      <c r="C32" s="11"/>
      <c r="D32" s="10"/>
      <c r="E32" s="10"/>
      <c r="F32" s="10"/>
      <c r="G32" s="10"/>
      <c r="H32" s="10"/>
      <c r="I32" s="10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</row>
    <row r="33" spans="1:256" ht="14.7" customHeight="1">
      <c r="A33" s="10"/>
      <c r="B33" s="10"/>
      <c r="C33" s="11"/>
      <c r="D33" s="10"/>
      <c r="E33" s="10"/>
      <c r="F33" s="10"/>
      <c r="G33" s="10"/>
      <c r="H33" s="10"/>
      <c r="I33" s="10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</row>
    <row r="34" spans="1:256" ht="14.7" customHeight="1">
      <c r="A34" s="10"/>
      <c r="B34" s="10"/>
      <c r="C34" s="11"/>
      <c r="D34" s="10"/>
      <c r="E34" s="10"/>
      <c r="F34" s="10"/>
      <c r="G34" s="10"/>
      <c r="H34" s="10"/>
      <c r="I34" s="10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</row>
    <row r="35" spans="1:256" ht="14.7" customHeight="1">
      <c r="A35" s="10"/>
      <c r="B35" s="10"/>
      <c r="C35" s="11"/>
      <c r="D35" s="10"/>
      <c r="E35" s="10"/>
      <c r="F35" s="10"/>
      <c r="G35" s="10"/>
      <c r="H35" s="10"/>
      <c r="I35" s="10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</row>
    <row r="36" spans="1:256" ht="14.7" customHeight="1">
      <c r="A36" s="10"/>
      <c r="B36" s="10"/>
      <c r="C36" s="11"/>
      <c r="D36" s="10"/>
      <c r="E36" s="10"/>
      <c r="F36" s="10"/>
      <c r="G36" s="10"/>
      <c r="H36" s="10"/>
      <c r="I36" s="10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</row>
    <row r="37" spans="1:256" ht="13.95" customHeight="1">
      <c r="A37" s="10"/>
      <c r="B37" s="10"/>
      <c r="C37" s="11"/>
      <c r="D37" s="10"/>
      <c r="E37" s="10"/>
      <c r="F37" s="10"/>
      <c r="G37" s="10"/>
      <c r="H37" s="10"/>
      <c r="I37" s="10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</row>
    <row r="38" spans="1:256" ht="14.7" customHeight="1">
      <c r="A38" s="10"/>
      <c r="B38" s="10"/>
      <c r="C38" s="10"/>
      <c r="D38" s="10"/>
      <c r="E38" s="10"/>
      <c r="F38" s="10"/>
      <c r="G38" s="10"/>
      <c r="H38" s="10"/>
      <c r="I38" s="10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</row>
    <row r="39" spans="1:256" ht="14.7" customHeight="1">
      <c r="A39" s="10"/>
      <c r="B39" s="10"/>
      <c r="C39" s="11"/>
      <c r="D39" s="10"/>
      <c r="E39" s="10"/>
      <c r="F39" s="10"/>
      <c r="G39" s="10"/>
      <c r="H39" s="10"/>
      <c r="I39" s="10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</row>
    <row r="40" spans="1:256" ht="14.7" customHeight="1">
      <c r="A40" s="10"/>
      <c r="B40" s="10"/>
      <c r="C40" s="10"/>
      <c r="D40" s="10"/>
      <c r="E40" s="10"/>
      <c r="F40" s="10"/>
      <c r="G40" s="10"/>
      <c r="H40" s="10"/>
      <c r="I40" s="10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</row>
    <row r="41" spans="1:256" ht="14.7" customHeight="1">
      <c r="A41" s="10"/>
      <c r="B41" s="10"/>
      <c r="C41" s="10"/>
      <c r="D41" s="10"/>
      <c r="E41" s="10"/>
      <c r="F41" s="10"/>
      <c r="G41" s="10"/>
      <c r="H41" s="10"/>
      <c r="I41" s="10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</row>
    <row r="42" spans="1:256" ht="14.7" customHeight="1">
      <c r="A42" s="10"/>
      <c r="B42" s="10"/>
      <c r="C42" s="10"/>
      <c r="D42" s="10"/>
      <c r="E42" s="10"/>
      <c r="F42" s="10"/>
      <c r="G42" s="10"/>
      <c r="H42" s="10"/>
      <c r="I42" s="10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</row>
    <row r="59" spans="6:6" s="28" customFormat="1" ht="14.7" customHeight="1">
      <c r="F59" s="177"/>
    </row>
  </sheetData>
  <phoneticPr fontId="31" type="noConversion"/>
  <pageMargins left="0.75" right="0.75" top="1" bottom="1" header="0.5" footer="0.5"/>
  <pageSetup paperSize="9" orientation="portrait" horizontalDpi="4294967292" verticalDpi="4294967292"/>
  <headerFooter>
    <oddFooter>&amp;C&amp;"Helvetica Neue,Regular"&amp;12&amp;K000000&amp;P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1:I8"/>
  <sheetViews>
    <sheetView workbookViewId="0">
      <selection activeCell="H18" sqref="H18"/>
    </sheetView>
  </sheetViews>
  <sheetFormatPr defaultColWidth="11.44140625" defaultRowHeight="15.6"/>
  <cols>
    <col min="1" max="1" width="5.44140625" style="120" customWidth="1"/>
    <col min="2" max="2" width="13.109375" style="120" customWidth="1"/>
    <col min="3" max="3" width="20.109375" style="120" customWidth="1"/>
    <col min="4" max="4" width="13.77734375" style="120" bestFit="1" customWidth="1"/>
    <col min="5" max="6" width="13.109375" style="120" bestFit="1" customWidth="1"/>
    <col min="7" max="8" width="13.77734375" style="120" bestFit="1" customWidth="1"/>
    <col min="9" max="9" width="12" style="120" customWidth="1"/>
    <col min="10" max="16384" width="11.44140625" style="120"/>
  </cols>
  <sheetData>
    <row r="1" spans="2:9" ht="15.45" customHeight="1"/>
    <row r="2" spans="2:9">
      <c r="B2" s="121" t="s">
        <v>0</v>
      </c>
      <c r="C2" s="121" t="s">
        <v>32</v>
      </c>
      <c r="D2" s="121" t="s">
        <v>1</v>
      </c>
      <c r="E2" s="121" t="s">
        <v>2</v>
      </c>
      <c r="F2" s="121" t="s">
        <v>3</v>
      </c>
      <c r="G2" s="121" t="s">
        <v>4</v>
      </c>
      <c r="H2" s="121" t="s">
        <v>5</v>
      </c>
      <c r="I2" s="121" t="s">
        <v>6</v>
      </c>
    </row>
    <row r="3" spans="2:9" ht="16.5" customHeight="1">
      <c r="B3" s="118" t="s">
        <v>195</v>
      </c>
      <c r="C3" s="118" t="s">
        <v>196</v>
      </c>
      <c r="D3" s="122">
        <f>테크앤조이정산서!C6</f>
        <v>762859</v>
      </c>
      <c r="E3" s="122">
        <f>D3-F3</f>
        <v>457715</v>
      </c>
      <c r="F3" s="123">
        <v>305144</v>
      </c>
      <c r="G3" s="122">
        <f t="shared" ref="G3" si="0">F3*20%</f>
        <v>61028.800000000003</v>
      </c>
      <c r="H3" s="119">
        <f t="shared" ref="H3" si="1">F3*80%</f>
        <v>244115.20000000001</v>
      </c>
      <c r="I3" s="124" t="s">
        <v>278</v>
      </c>
    </row>
    <row r="4" spans="2:9">
      <c r="B4" s="125" t="s">
        <v>20</v>
      </c>
      <c r="C4" s="126"/>
      <c r="D4" s="127">
        <f>SUM(D3:D3)</f>
        <v>762859</v>
      </c>
      <c r="E4" s="127">
        <f>SUM(E3:E3)</f>
        <v>457715</v>
      </c>
      <c r="F4" s="127">
        <f>SUM(F3:F3)</f>
        <v>305144</v>
      </c>
      <c r="G4" s="127">
        <f>SUM(G3:G3)</f>
        <v>61028.800000000003</v>
      </c>
      <c r="H4" s="127">
        <f>SUM(H3:H3)</f>
        <v>244115.20000000001</v>
      </c>
      <c r="I4" s="127"/>
    </row>
    <row r="5" spans="2:9" ht="15.45" customHeight="1">
      <c r="G5" s="31">
        <f>F4*0.2</f>
        <v>61028.800000000003</v>
      </c>
      <c r="H5" s="31">
        <f>F4*0.8</f>
        <v>244115.20000000001</v>
      </c>
    </row>
    <row r="6" spans="2:9" ht="15" customHeight="1">
      <c r="B6" s="166"/>
    </row>
    <row r="7" spans="2:9" ht="15" customHeight="1">
      <c r="B7" s="166"/>
    </row>
    <row r="8" spans="2:9">
      <c r="B8" s="165"/>
    </row>
  </sheetData>
  <phoneticPr fontId="3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1:G12"/>
  <sheetViews>
    <sheetView showGridLines="0" workbookViewId="0">
      <selection activeCell="C6" sqref="C6"/>
    </sheetView>
  </sheetViews>
  <sheetFormatPr defaultColWidth="8.77734375" defaultRowHeight="17.399999999999999"/>
  <cols>
    <col min="1" max="1" width="8.77734375" style="107"/>
    <col min="2" max="2" width="18" style="107" customWidth="1"/>
    <col min="3" max="7" width="20.6640625" style="107" customWidth="1"/>
    <col min="8" max="8" width="11" style="107" customWidth="1"/>
    <col min="9" max="16384" width="8.77734375" style="107"/>
  </cols>
  <sheetData>
    <row r="1" spans="2:7" ht="15.45" customHeight="1"/>
    <row r="2" spans="2:7" ht="37.5" customHeight="1">
      <c r="B2" s="303" t="s">
        <v>289</v>
      </c>
      <c r="C2" s="304"/>
      <c r="D2" s="304"/>
      <c r="E2" s="304"/>
      <c r="F2" s="304"/>
      <c r="G2" s="304"/>
    </row>
    <row r="3" spans="2:7" s="128" customFormat="1" ht="16.5" customHeight="1">
      <c r="B3" s="129"/>
      <c r="C3" s="129"/>
      <c r="D3" s="129"/>
      <c r="E3" s="129"/>
      <c r="F3" s="129"/>
      <c r="G3" s="129"/>
    </row>
    <row r="4" spans="2:7">
      <c r="C4" s="130"/>
      <c r="D4" s="130"/>
      <c r="E4" s="130"/>
      <c r="F4" s="130"/>
      <c r="G4" s="131" t="s">
        <v>258</v>
      </c>
    </row>
    <row r="5" spans="2:7" ht="34.5" customHeight="1">
      <c r="B5" s="132" t="s">
        <v>201</v>
      </c>
      <c r="C5" s="132" t="s">
        <v>202</v>
      </c>
      <c r="D5" s="133" t="s">
        <v>197</v>
      </c>
      <c r="E5" s="134" t="s">
        <v>203</v>
      </c>
      <c r="F5" s="135" t="s">
        <v>204</v>
      </c>
      <c r="G5" s="136" t="s">
        <v>205</v>
      </c>
    </row>
    <row r="6" spans="2:7" ht="34.5" customHeight="1">
      <c r="B6" s="137" t="s">
        <v>192</v>
      </c>
      <c r="C6" s="138">
        <v>762859</v>
      </c>
      <c r="D6" s="139">
        <v>707000</v>
      </c>
      <c r="E6" s="140">
        <v>55859</v>
      </c>
      <c r="F6" s="141">
        <v>0.5</v>
      </c>
      <c r="G6" s="138">
        <f>E6*F6</f>
        <v>27929.5</v>
      </c>
    </row>
    <row r="7" spans="2:7" ht="15" customHeight="1">
      <c r="B7" s="142"/>
      <c r="C7" s="130"/>
      <c r="E7" s="143"/>
      <c r="F7" s="143"/>
      <c r="G7" s="144"/>
    </row>
    <row r="8" spans="2:7" s="145" customFormat="1" ht="34.5" customHeight="1">
      <c r="B8" s="146" t="s">
        <v>206</v>
      </c>
      <c r="C8" s="146" t="s">
        <v>207</v>
      </c>
      <c r="D8" s="146" t="s">
        <v>208</v>
      </c>
      <c r="E8" s="147"/>
      <c r="F8" s="147"/>
      <c r="G8" s="147"/>
    </row>
    <row r="9" spans="2:7" ht="34.5" customHeight="1">
      <c r="B9" s="137" t="s">
        <v>198</v>
      </c>
      <c r="C9" s="148">
        <f>C6*C10</f>
        <v>457715.39999999997</v>
      </c>
      <c r="D9" s="149">
        <f>C6*D10</f>
        <v>305143.60000000003</v>
      </c>
      <c r="E9" s="150"/>
      <c r="F9" s="150"/>
      <c r="G9" s="150"/>
    </row>
    <row r="10" spans="2:7" ht="34.5" customHeight="1">
      <c r="B10" s="137" t="s">
        <v>199</v>
      </c>
      <c r="C10" s="151">
        <v>0.6</v>
      </c>
      <c r="D10" s="152">
        <v>0.4</v>
      </c>
      <c r="E10" s="153"/>
      <c r="F10" s="153"/>
      <c r="G10" s="153"/>
    </row>
    <row r="11" spans="2:7">
      <c r="G11" s="143"/>
    </row>
    <row r="12" spans="2:7">
      <c r="G12" s="143"/>
    </row>
  </sheetData>
  <mergeCells count="1">
    <mergeCell ref="B2:G2"/>
  </mergeCells>
  <phoneticPr fontId="3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I10"/>
  <sheetViews>
    <sheetView zoomScaleNormal="100" workbookViewId="0">
      <selection activeCell="D4" sqref="D4"/>
    </sheetView>
  </sheetViews>
  <sheetFormatPr defaultColWidth="11.44140625" defaultRowHeight="15.6"/>
  <cols>
    <col min="1" max="1" width="5.44140625" style="29" customWidth="1"/>
    <col min="2" max="2" width="12.77734375" style="29" customWidth="1"/>
    <col min="3" max="3" width="20.44140625" style="29" customWidth="1"/>
    <col min="4" max="4" width="13.77734375" style="29" bestFit="1" customWidth="1"/>
    <col min="5" max="6" width="13.109375" style="29" bestFit="1" customWidth="1"/>
    <col min="7" max="8" width="13.77734375" style="29" bestFit="1" customWidth="1"/>
    <col min="9" max="9" width="13.33203125" style="29" customWidth="1"/>
    <col min="10" max="16384" width="11.44140625" style="29"/>
  </cols>
  <sheetData>
    <row r="2" spans="2:9">
      <c r="B2" s="97" t="s">
        <v>0</v>
      </c>
      <c r="C2" s="97" t="s">
        <v>32</v>
      </c>
      <c r="D2" s="97" t="s">
        <v>1</v>
      </c>
      <c r="E2" s="97" t="s">
        <v>2</v>
      </c>
      <c r="F2" s="97" t="s">
        <v>3</v>
      </c>
      <c r="G2" s="97" t="s">
        <v>4</v>
      </c>
      <c r="H2" s="97" t="s">
        <v>5</v>
      </c>
      <c r="I2" s="97" t="s">
        <v>6</v>
      </c>
    </row>
    <row r="3" spans="2:9">
      <c r="B3" s="98" t="s">
        <v>85</v>
      </c>
      <c r="C3" s="98" t="s">
        <v>86</v>
      </c>
      <c r="D3" s="103">
        <f>키다리스튜디오정산서!Z1+키다리스튜디오정산서!H22</f>
        <v>12389440</v>
      </c>
      <c r="E3" s="99">
        <f>D3-F3</f>
        <v>9703554</v>
      </c>
      <c r="F3" s="106">
        <v>2685886</v>
      </c>
      <c r="G3" s="99">
        <f t="shared" ref="G3" si="0">F3*20%</f>
        <v>537177.20000000007</v>
      </c>
      <c r="H3" s="104">
        <f t="shared" ref="H3" si="1">F3*80%</f>
        <v>2148708.8000000003</v>
      </c>
      <c r="I3" s="105" t="s">
        <v>292</v>
      </c>
    </row>
    <row r="4" spans="2:9">
      <c r="B4" s="100" t="s">
        <v>20</v>
      </c>
      <c r="C4" s="101"/>
      <c r="D4" s="102">
        <f>SUM(D3:D3)</f>
        <v>12389440</v>
      </c>
      <c r="E4" s="102">
        <f>SUM(E3:E3)</f>
        <v>9703554</v>
      </c>
      <c r="F4" s="102">
        <f>SUM(F3:F3)</f>
        <v>2685886</v>
      </c>
      <c r="G4" s="102">
        <f>SUM(G3:G3)</f>
        <v>537177.20000000007</v>
      </c>
      <c r="H4" s="102">
        <f>SUM(H3:H3)</f>
        <v>2148708.8000000003</v>
      </c>
      <c r="I4" s="102"/>
    </row>
    <row r="5" spans="2:9">
      <c r="G5" s="31">
        <f>F4*0.2</f>
        <v>537177.20000000007</v>
      </c>
      <c r="H5" s="31">
        <f>F4*0.8</f>
        <v>2148708.8000000003</v>
      </c>
    </row>
    <row r="8" spans="2:9">
      <c r="C8" s="179"/>
    </row>
    <row r="9" spans="2:9">
      <c r="F9" s="188"/>
    </row>
    <row r="10" spans="2:9">
      <c r="D10" s="179"/>
    </row>
  </sheetData>
  <phoneticPr fontId="3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</sheetPr>
  <dimension ref="B1:AH25"/>
  <sheetViews>
    <sheetView showGridLines="0" zoomScaleNormal="100" workbookViewId="0">
      <selection activeCell="H22" activeCellId="1" sqref="Z1 H22"/>
    </sheetView>
  </sheetViews>
  <sheetFormatPr defaultColWidth="8.6640625" defaultRowHeight="17.55" customHeight="1"/>
  <cols>
    <col min="1" max="1" width="3.109375" style="196" customWidth="1"/>
    <col min="2" max="2" width="11.6640625" style="196" bestFit="1" customWidth="1"/>
    <col min="3" max="3" width="7.88671875" style="196" bestFit="1" customWidth="1"/>
    <col min="4" max="6" width="8.5546875" style="196" bestFit="1" customWidth="1"/>
    <col min="7" max="7" width="17.21875" style="196" customWidth="1"/>
    <col min="8" max="8" width="14.33203125" style="196" bestFit="1" customWidth="1"/>
    <col min="9" max="9" width="11.5546875" style="259" customWidth="1"/>
    <col min="10" max="10" width="14.109375" style="196" bestFit="1" customWidth="1"/>
    <col min="11" max="11" width="12.109375" style="196" bestFit="1" customWidth="1"/>
    <col min="12" max="12" width="7.33203125" style="258" bestFit="1" customWidth="1"/>
    <col min="13" max="13" width="5.88671875" style="196" bestFit="1" customWidth="1"/>
    <col min="14" max="14" width="12.44140625" style="196" bestFit="1" customWidth="1"/>
    <col min="15" max="15" width="10.6640625" style="196" bestFit="1" customWidth="1"/>
    <col min="16" max="17" width="10" style="196" bestFit="1" customWidth="1"/>
    <col min="18" max="18" width="8" style="196" bestFit="1" customWidth="1"/>
    <col min="19" max="20" width="12.21875" style="196" bestFit="1" customWidth="1"/>
    <col min="21" max="21" width="10" style="196" bestFit="1" customWidth="1"/>
    <col min="22" max="22" width="8" style="196" bestFit="1" customWidth="1"/>
    <col min="23" max="23" width="12.5546875" style="196" bestFit="1" customWidth="1"/>
    <col min="24" max="24" width="12.21875" style="196" bestFit="1" customWidth="1"/>
    <col min="25" max="25" width="12.5546875" style="259" bestFit="1" customWidth="1"/>
    <col min="26" max="26" width="12.5546875" style="196" bestFit="1" customWidth="1"/>
    <col min="27" max="27" width="7" style="196" bestFit="1" customWidth="1"/>
    <col min="28" max="29" width="12.5546875" style="196" bestFit="1" customWidth="1"/>
    <col min="30" max="30" width="15.88671875" style="196" bestFit="1" customWidth="1"/>
    <col min="31" max="31" width="11.88671875" style="196" bestFit="1" customWidth="1"/>
    <col min="32" max="32" width="13" style="196" bestFit="1" customWidth="1"/>
    <col min="33" max="16384" width="8.6640625" style="196"/>
  </cols>
  <sheetData>
    <row r="1" spans="2:34" ht="13.2">
      <c r="B1" s="195">
        <v>2021.12</v>
      </c>
      <c r="I1" s="196"/>
      <c r="L1" s="196"/>
      <c r="N1" s="197">
        <v>-9469482</v>
      </c>
      <c r="O1" s="198">
        <v>0</v>
      </c>
      <c r="P1" s="198">
        <v>0</v>
      </c>
      <c r="S1" s="198">
        <v>6945660</v>
      </c>
      <c r="T1" s="198">
        <v>3436927.2</v>
      </c>
      <c r="W1" s="198">
        <v>5088600</v>
      </c>
      <c r="X1" s="198">
        <v>1959980.4</v>
      </c>
      <c r="Y1" s="198">
        <v>5396907.6000000006</v>
      </c>
      <c r="Z1" s="198">
        <v>12034260</v>
      </c>
      <c r="AA1" s="198"/>
      <c r="AB1" s="198">
        <v>5396907.6000000006</v>
      </c>
      <c r="AC1" s="198">
        <v>5396907.6000000006</v>
      </c>
      <c r="AD1" s="197">
        <v>2508296</v>
      </c>
      <c r="AE1" s="198">
        <v>-6580870.7999999998</v>
      </c>
      <c r="AF1" s="198">
        <v>0</v>
      </c>
    </row>
    <row r="2" spans="2:34" ht="13.2">
      <c r="B2" s="199" t="s">
        <v>87</v>
      </c>
      <c r="C2" s="199" t="s">
        <v>38</v>
      </c>
      <c r="D2" s="199" t="s">
        <v>96</v>
      </c>
      <c r="E2" s="199" t="s">
        <v>158</v>
      </c>
      <c r="F2" s="199" t="s">
        <v>159</v>
      </c>
      <c r="G2" s="199" t="s">
        <v>88</v>
      </c>
      <c r="H2" s="199" t="s">
        <v>160</v>
      </c>
      <c r="I2" s="199" t="s">
        <v>161</v>
      </c>
      <c r="J2" s="199" t="s">
        <v>39</v>
      </c>
      <c r="K2" s="200" t="s">
        <v>176</v>
      </c>
      <c r="L2" s="201" t="s">
        <v>38</v>
      </c>
      <c r="M2" s="201" t="s">
        <v>6</v>
      </c>
      <c r="N2" s="202" t="s">
        <v>177</v>
      </c>
      <c r="O2" s="203" t="s">
        <v>178</v>
      </c>
      <c r="P2" s="203" t="s">
        <v>179</v>
      </c>
      <c r="Q2" s="199" t="s">
        <v>89</v>
      </c>
      <c r="R2" s="199" t="s">
        <v>90</v>
      </c>
      <c r="S2" s="202" t="s">
        <v>180</v>
      </c>
      <c r="T2" s="203" t="s">
        <v>181</v>
      </c>
      <c r="U2" s="199" t="s">
        <v>91</v>
      </c>
      <c r="V2" s="199" t="s">
        <v>92</v>
      </c>
      <c r="W2" s="202" t="s">
        <v>182</v>
      </c>
      <c r="X2" s="203" t="s">
        <v>183</v>
      </c>
      <c r="Y2" s="201" t="s">
        <v>184</v>
      </c>
      <c r="Z2" s="201" t="s">
        <v>185</v>
      </c>
      <c r="AA2" s="204" t="s">
        <v>186</v>
      </c>
      <c r="AB2" s="201" t="s">
        <v>187</v>
      </c>
      <c r="AC2" s="201" t="s">
        <v>188</v>
      </c>
      <c r="AD2" s="205" t="s">
        <v>189</v>
      </c>
      <c r="AE2" s="206" t="s">
        <v>190</v>
      </c>
      <c r="AF2" s="207" t="s">
        <v>191</v>
      </c>
    </row>
    <row r="3" spans="2:34" s="130" customFormat="1" ht="13.2">
      <c r="B3" s="199">
        <v>2348</v>
      </c>
      <c r="C3" s="199" t="s">
        <v>93</v>
      </c>
      <c r="D3" s="199">
        <v>6335</v>
      </c>
      <c r="E3" s="199" t="s">
        <v>162</v>
      </c>
      <c r="F3" s="199"/>
      <c r="G3" s="199" t="s">
        <v>94</v>
      </c>
      <c r="H3" s="199" t="s">
        <v>164</v>
      </c>
      <c r="I3" s="208"/>
      <c r="J3" s="199" t="s">
        <v>169</v>
      </c>
      <c r="K3" s="199" t="s">
        <v>46</v>
      </c>
      <c r="L3" s="209" t="s">
        <v>97</v>
      </c>
      <c r="M3" s="209"/>
      <c r="N3" s="210">
        <v>0</v>
      </c>
      <c r="O3" s="211"/>
      <c r="P3" s="211"/>
      <c r="Q3" s="209">
        <v>138</v>
      </c>
      <c r="R3" s="212" t="s">
        <v>126</v>
      </c>
      <c r="S3" s="213">
        <v>24840</v>
      </c>
      <c r="T3" s="213">
        <v>11178</v>
      </c>
      <c r="U3" s="209">
        <v>15</v>
      </c>
      <c r="V3" s="214" t="s">
        <v>127</v>
      </c>
      <c r="W3" s="215">
        <v>2700</v>
      </c>
      <c r="X3" s="215">
        <v>944.99999999999989</v>
      </c>
      <c r="Y3" s="215">
        <v>12123</v>
      </c>
      <c r="Z3" s="215">
        <v>27540</v>
      </c>
      <c r="AA3" s="216"/>
      <c r="AB3" s="211">
        <v>12123</v>
      </c>
      <c r="AC3" s="211">
        <v>12123</v>
      </c>
      <c r="AD3" s="217">
        <v>12123</v>
      </c>
      <c r="AE3" s="218">
        <v>0</v>
      </c>
      <c r="AF3" s="219">
        <v>0</v>
      </c>
    </row>
    <row r="4" spans="2:34" s="130" customFormat="1" ht="13.2">
      <c r="B4" s="199">
        <v>113</v>
      </c>
      <c r="C4" s="199" t="s">
        <v>93</v>
      </c>
      <c r="D4" s="199">
        <v>20105</v>
      </c>
      <c r="E4" s="199" t="s">
        <v>273</v>
      </c>
      <c r="F4" s="199" t="s">
        <v>274</v>
      </c>
      <c r="G4" s="199" t="s">
        <v>272</v>
      </c>
      <c r="H4" s="199" t="s">
        <v>164</v>
      </c>
      <c r="I4" s="208"/>
      <c r="J4" s="199" t="s">
        <v>275</v>
      </c>
      <c r="K4" s="199" t="s">
        <v>46</v>
      </c>
      <c r="L4" s="209" t="s">
        <v>97</v>
      </c>
      <c r="M4" s="209"/>
      <c r="N4" s="210">
        <v>-9469482</v>
      </c>
      <c r="O4" s="211"/>
      <c r="P4" s="211"/>
      <c r="Q4" s="209">
        <v>18736</v>
      </c>
      <c r="R4" s="212" t="s">
        <v>128</v>
      </c>
      <c r="S4" s="213">
        <v>3372480</v>
      </c>
      <c r="T4" s="213">
        <v>1821139.2000000002</v>
      </c>
      <c r="U4" s="209">
        <v>14120</v>
      </c>
      <c r="V4" s="214" t="s">
        <v>129</v>
      </c>
      <c r="W4" s="215">
        <v>2541600</v>
      </c>
      <c r="X4" s="215">
        <v>1067472</v>
      </c>
      <c r="Y4" s="215">
        <v>2888611.2</v>
      </c>
      <c r="Z4" s="215">
        <v>5914080</v>
      </c>
      <c r="AA4" s="216"/>
      <c r="AB4" s="211">
        <v>2888611.2</v>
      </c>
      <c r="AC4" s="211">
        <v>2888611.2</v>
      </c>
      <c r="AD4" s="217">
        <v>0</v>
      </c>
      <c r="AE4" s="218">
        <v>-6580870.7999999998</v>
      </c>
      <c r="AF4" s="219">
        <v>0</v>
      </c>
    </row>
    <row r="5" spans="2:34" s="130" customFormat="1" ht="13.2">
      <c r="B5" s="199">
        <v>8464</v>
      </c>
      <c r="C5" s="199" t="s">
        <v>93</v>
      </c>
      <c r="D5" s="199">
        <v>6932</v>
      </c>
      <c r="E5" s="199" t="s">
        <v>166</v>
      </c>
      <c r="F5" s="208"/>
      <c r="G5" s="199" t="s">
        <v>101</v>
      </c>
      <c r="H5" s="199" t="s">
        <v>164</v>
      </c>
      <c r="I5" s="208"/>
      <c r="J5" s="199" t="s">
        <v>174</v>
      </c>
      <c r="K5" s="199" t="s">
        <v>46</v>
      </c>
      <c r="L5" s="209" t="s">
        <v>97</v>
      </c>
      <c r="M5" s="209"/>
      <c r="N5" s="210">
        <v>0</v>
      </c>
      <c r="O5" s="211"/>
      <c r="P5" s="211"/>
      <c r="Q5" s="199">
        <v>12</v>
      </c>
      <c r="R5" s="212" t="s">
        <v>126</v>
      </c>
      <c r="S5" s="213">
        <v>2160</v>
      </c>
      <c r="T5" s="213">
        <v>972</v>
      </c>
      <c r="U5" s="199">
        <v>0</v>
      </c>
      <c r="V5" s="214" t="s">
        <v>127</v>
      </c>
      <c r="W5" s="215">
        <v>0</v>
      </c>
      <c r="X5" s="215">
        <v>0</v>
      </c>
      <c r="Y5" s="215">
        <v>972</v>
      </c>
      <c r="Z5" s="215">
        <v>2160</v>
      </c>
      <c r="AA5" s="216"/>
      <c r="AB5" s="211">
        <v>972</v>
      </c>
      <c r="AC5" s="211">
        <v>972</v>
      </c>
      <c r="AD5" s="217">
        <v>972</v>
      </c>
      <c r="AE5" s="218">
        <v>0</v>
      </c>
      <c r="AF5" s="219">
        <v>0</v>
      </c>
    </row>
    <row r="6" spans="2:34" s="130" customFormat="1" ht="13.2">
      <c r="B6" s="199">
        <v>10741</v>
      </c>
      <c r="C6" s="199" t="s">
        <v>93</v>
      </c>
      <c r="D6" s="199">
        <v>6555</v>
      </c>
      <c r="E6" s="199" t="s">
        <v>166</v>
      </c>
      <c r="F6" s="208"/>
      <c r="G6" s="199" t="s">
        <v>293</v>
      </c>
      <c r="H6" s="199" t="s">
        <v>164</v>
      </c>
      <c r="I6" s="208"/>
      <c r="J6" s="199" t="s">
        <v>294</v>
      </c>
      <c r="K6" s="199" t="s">
        <v>46</v>
      </c>
      <c r="L6" s="209" t="s">
        <v>97</v>
      </c>
      <c r="M6" s="209"/>
      <c r="N6" s="210"/>
      <c r="O6" s="211"/>
      <c r="P6" s="211"/>
      <c r="Q6" s="199">
        <v>2</v>
      </c>
      <c r="R6" s="212" t="s">
        <v>126</v>
      </c>
      <c r="S6" s="213">
        <v>360</v>
      </c>
      <c r="T6" s="213">
        <v>162</v>
      </c>
      <c r="U6" s="199">
        <v>0</v>
      </c>
      <c r="V6" s="214" t="s">
        <v>127</v>
      </c>
      <c r="W6" s="215">
        <v>0</v>
      </c>
      <c r="X6" s="215">
        <v>0</v>
      </c>
      <c r="Y6" s="215">
        <v>162</v>
      </c>
      <c r="Z6" s="215">
        <v>360</v>
      </c>
      <c r="AA6" s="216"/>
      <c r="AB6" s="211">
        <v>162</v>
      </c>
      <c r="AC6" s="211">
        <v>162</v>
      </c>
      <c r="AD6" s="217">
        <v>162</v>
      </c>
      <c r="AE6" s="218">
        <v>0</v>
      </c>
      <c r="AF6" s="219">
        <v>0</v>
      </c>
    </row>
    <row r="7" spans="2:34" s="130" customFormat="1" ht="13.2">
      <c r="B7" s="199">
        <v>12120</v>
      </c>
      <c r="C7" s="199" t="s">
        <v>93</v>
      </c>
      <c r="D7" s="199">
        <v>6456</v>
      </c>
      <c r="E7" s="199" t="s">
        <v>166</v>
      </c>
      <c r="F7" s="208"/>
      <c r="G7" s="199" t="s">
        <v>100</v>
      </c>
      <c r="H7" s="199" t="s">
        <v>164</v>
      </c>
      <c r="I7" s="208"/>
      <c r="J7" s="199" t="s">
        <v>175</v>
      </c>
      <c r="K7" s="199" t="s">
        <v>46</v>
      </c>
      <c r="L7" s="209" t="s">
        <v>97</v>
      </c>
      <c r="M7" s="209"/>
      <c r="N7" s="210">
        <v>0</v>
      </c>
      <c r="O7" s="211"/>
      <c r="P7" s="211"/>
      <c r="Q7" s="199">
        <v>0</v>
      </c>
      <c r="R7" s="212" t="s">
        <v>126</v>
      </c>
      <c r="S7" s="213">
        <v>0</v>
      </c>
      <c r="T7" s="213">
        <v>0</v>
      </c>
      <c r="U7" s="199">
        <v>0</v>
      </c>
      <c r="V7" s="214" t="s">
        <v>127</v>
      </c>
      <c r="W7" s="215">
        <v>0</v>
      </c>
      <c r="X7" s="215">
        <v>0</v>
      </c>
      <c r="Y7" s="215">
        <v>0</v>
      </c>
      <c r="Z7" s="215">
        <v>0</v>
      </c>
      <c r="AA7" s="216"/>
      <c r="AB7" s="211">
        <v>0</v>
      </c>
      <c r="AC7" s="211">
        <v>0</v>
      </c>
      <c r="AD7" s="217">
        <v>0</v>
      </c>
      <c r="AE7" s="218">
        <v>0</v>
      </c>
      <c r="AF7" s="219">
        <v>0</v>
      </c>
      <c r="AH7" s="220"/>
    </row>
    <row r="8" spans="2:34" s="130" customFormat="1" ht="13.2">
      <c r="B8" s="199">
        <v>4976</v>
      </c>
      <c r="C8" s="199" t="s">
        <v>93</v>
      </c>
      <c r="D8" s="199">
        <v>12145</v>
      </c>
      <c r="E8" s="199" t="s">
        <v>166</v>
      </c>
      <c r="F8" s="208"/>
      <c r="G8" s="199" t="s">
        <v>167</v>
      </c>
      <c r="H8" s="199" t="s">
        <v>164</v>
      </c>
      <c r="I8" s="208"/>
      <c r="J8" s="199" t="s">
        <v>168</v>
      </c>
      <c r="K8" s="199" t="s">
        <v>46</v>
      </c>
      <c r="L8" s="209" t="s">
        <v>97</v>
      </c>
      <c r="M8" s="209"/>
      <c r="N8" s="210">
        <v>0</v>
      </c>
      <c r="O8" s="211"/>
      <c r="P8" s="211"/>
      <c r="Q8" s="199">
        <v>31</v>
      </c>
      <c r="R8" s="212" t="s">
        <v>128</v>
      </c>
      <c r="S8" s="213">
        <v>5580</v>
      </c>
      <c r="T8" s="213">
        <v>3013.2000000000003</v>
      </c>
      <c r="U8" s="199">
        <v>0</v>
      </c>
      <c r="V8" s="214" t="s">
        <v>129</v>
      </c>
      <c r="W8" s="215">
        <v>0</v>
      </c>
      <c r="X8" s="215">
        <v>0</v>
      </c>
      <c r="Y8" s="215">
        <v>3013.2000000000003</v>
      </c>
      <c r="Z8" s="215">
        <v>5580</v>
      </c>
      <c r="AA8" s="216"/>
      <c r="AB8" s="211">
        <v>3013.2000000000003</v>
      </c>
      <c r="AC8" s="211">
        <v>3013.2000000000003</v>
      </c>
      <c r="AD8" s="217">
        <v>3013</v>
      </c>
      <c r="AE8" s="218">
        <v>0</v>
      </c>
      <c r="AF8" s="219">
        <v>0</v>
      </c>
    </row>
    <row r="9" spans="2:34" s="130" customFormat="1" ht="13.2">
      <c r="B9" s="199">
        <v>11214</v>
      </c>
      <c r="C9" s="199" t="s">
        <v>93</v>
      </c>
      <c r="D9" s="199">
        <v>8960</v>
      </c>
      <c r="E9" s="199" t="s">
        <v>162</v>
      </c>
      <c r="F9" s="208"/>
      <c r="G9" s="199" t="s">
        <v>95</v>
      </c>
      <c r="H9" s="199" t="s">
        <v>164</v>
      </c>
      <c r="I9" s="208"/>
      <c r="J9" s="199" t="s">
        <v>295</v>
      </c>
      <c r="K9" s="199" t="s">
        <v>46</v>
      </c>
      <c r="L9" s="209" t="s">
        <v>97</v>
      </c>
      <c r="M9" s="209"/>
      <c r="N9" s="210"/>
      <c r="O9" s="211"/>
      <c r="P9" s="211"/>
      <c r="Q9" s="199">
        <v>0</v>
      </c>
      <c r="R9" s="212" t="s">
        <v>126</v>
      </c>
      <c r="S9" s="213">
        <v>0</v>
      </c>
      <c r="T9" s="213">
        <v>0</v>
      </c>
      <c r="U9" s="199">
        <v>0</v>
      </c>
      <c r="V9" s="214" t="s">
        <v>127</v>
      </c>
      <c r="W9" s="215">
        <v>0</v>
      </c>
      <c r="X9" s="215">
        <v>0</v>
      </c>
      <c r="Y9" s="215">
        <v>0</v>
      </c>
      <c r="Z9" s="215">
        <v>0</v>
      </c>
      <c r="AA9" s="216"/>
      <c r="AB9" s="211">
        <v>0</v>
      </c>
      <c r="AC9" s="211">
        <v>0</v>
      </c>
      <c r="AD9" s="217">
        <v>0</v>
      </c>
      <c r="AE9" s="218">
        <v>0</v>
      </c>
      <c r="AF9" s="219">
        <v>0</v>
      </c>
    </row>
    <row r="10" spans="2:34" s="130" customFormat="1" ht="13.2">
      <c r="B10" s="199">
        <v>6037</v>
      </c>
      <c r="C10" s="199" t="s">
        <v>93</v>
      </c>
      <c r="D10" s="199">
        <v>5822</v>
      </c>
      <c r="E10" s="199" t="s">
        <v>166</v>
      </c>
      <c r="F10" s="208"/>
      <c r="G10" s="199" t="s">
        <v>103</v>
      </c>
      <c r="H10" s="199" t="s">
        <v>164</v>
      </c>
      <c r="I10" s="208"/>
      <c r="J10" s="199" t="s">
        <v>171</v>
      </c>
      <c r="K10" s="199" t="s">
        <v>46</v>
      </c>
      <c r="L10" s="209" t="s">
        <v>97</v>
      </c>
      <c r="M10" s="209"/>
      <c r="N10" s="210">
        <v>0</v>
      </c>
      <c r="O10" s="211"/>
      <c r="P10" s="211"/>
      <c r="Q10" s="199">
        <v>12</v>
      </c>
      <c r="R10" s="212" t="s">
        <v>126</v>
      </c>
      <c r="S10" s="213">
        <v>2160</v>
      </c>
      <c r="T10" s="213">
        <v>972</v>
      </c>
      <c r="U10" s="199">
        <v>24</v>
      </c>
      <c r="V10" s="214" t="s">
        <v>127</v>
      </c>
      <c r="W10" s="215">
        <v>4320</v>
      </c>
      <c r="X10" s="215">
        <v>1512</v>
      </c>
      <c r="Y10" s="215">
        <v>2484</v>
      </c>
      <c r="Z10" s="215">
        <v>6480</v>
      </c>
      <c r="AA10" s="216"/>
      <c r="AB10" s="211">
        <v>2484</v>
      </c>
      <c r="AC10" s="211">
        <v>2484</v>
      </c>
      <c r="AD10" s="217">
        <v>2484</v>
      </c>
      <c r="AE10" s="218">
        <v>0</v>
      </c>
      <c r="AF10" s="219">
        <v>0</v>
      </c>
    </row>
    <row r="11" spans="2:34" s="130" customFormat="1" ht="13.2">
      <c r="B11" s="199">
        <v>4630</v>
      </c>
      <c r="C11" s="199" t="s">
        <v>93</v>
      </c>
      <c r="D11" s="199">
        <v>5455</v>
      </c>
      <c r="E11" s="199" t="s">
        <v>166</v>
      </c>
      <c r="F11" s="208"/>
      <c r="G11" s="199" t="s">
        <v>98</v>
      </c>
      <c r="H11" s="199" t="s">
        <v>164</v>
      </c>
      <c r="I11" s="208"/>
      <c r="J11" s="199" t="s">
        <v>170</v>
      </c>
      <c r="K11" s="199" t="s">
        <v>46</v>
      </c>
      <c r="L11" s="209" t="s">
        <v>97</v>
      </c>
      <c r="M11" s="209"/>
      <c r="N11" s="210">
        <v>0</v>
      </c>
      <c r="O11" s="211"/>
      <c r="P11" s="211"/>
      <c r="Q11" s="199">
        <v>28</v>
      </c>
      <c r="R11" s="212" t="s">
        <v>126</v>
      </c>
      <c r="S11" s="213">
        <v>5040</v>
      </c>
      <c r="T11" s="213">
        <v>2268</v>
      </c>
      <c r="U11" s="199">
        <v>10</v>
      </c>
      <c r="V11" s="214" t="s">
        <v>127</v>
      </c>
      <c r="W11" s="215">
        <v>1800</v>
      </c>
      <c r="X11" s="215">
        <v>630</v>
      </c>
      <c r="Y11" s="215">
        <v>2898</v>
      </c>
      <c r="Z11" s="215">
        <v>6840</v>
      </c>
      <c r="AA11" s="216"/>
      <c r="AB11" s="211">
        <v>2898</v>
      </c>
      <c r="AC11" s="211">
        <v>2898</v>
      </c>
      <c r="AD11" s="217">
        <v>2898</v>
      </c>
      <c r="AE11" s="218">
        <v>0</v>
      </c>
      <c r="AF11" s="219">
        <v>0</v>
      </c>
    </row>
    <row r="12" spans="2:34" s="130" customFormat="1" ht="13.2">
      <c r="B12" s="199">
        <v>331</v>
      </c>
      <c r="C12" s="199" t="s">
        <v>93</v>
      </c>
      <c r="D12" s="199">
        <v>12853</v>
      </c>
      <c r="E12" s="199" t="s">
        <v>162</v>
      </c>
      <c r="F12" s="208"/>
      <c r="G12" s="199" t="s">
        <v>193</v>
      </c>
      <c r="H12" s="199" t="s">
        <v>164</v>
      </c>
      <c r="I12" s="208"/>
      <c r="J12" s="199" t="s">
        <v>194</v>
      </c>
      <c r="K12" s="199" t="s">
        <v>46</v>
      </c>
      <c r="L12" s="209" t="s">
        <v>97</v>
      </c>
      <c r="M12" s="209"/>
      <c r="N12" s="210">
        <v>0</v>
      </c>
      <c r="O12" s="211"/>
      <c r="P12" s="211"/>
      <c r="Q12" s="199">
        <v>3969</v>
      </c>
      <c r="R12" s="212" t="s">
        <v>126</v>
      </c>
      <c r="S12" s="213">
        <v>714420</v>
      </c>
      <c r="T12" s="213">
        <v>321489</v>
      </c>
      <c r="U12" s="199">
        <v>3507</v>
      </c>
      <c r="V12" s="214" t="s">
        <v>127</v>
      </c>
      <c r="W12" s="215">
        <v>631260</v>
      </c>
      <c r="X12" s="215">
        <v>220941</v>
      </c>
      <c r="Y12" s="215">
        <v>542430</v>
      </c>
      <c r="Z12" s="215">
        <v>1345680</v>
      </c>
      <c r="AA12" s="216"/>
      <c r="AB12" s="211">
        <v>542430</v>
      </c>
      <c r="AC12" s="211">
        <v>542430</v>
      </c>
      <c r="AD12" s="217">
        <v>542430</v>
      </c>
      <c r="AE12" s="218">
        <v>0</v>
      </c>
      <c r="AF12" s="219">
        <v>0</v>
      </c>
    </row>
    <row r="13" spans="2:34" s="130" customFormat="1" ht="13.2">
      <c r="B13" s="199">
        <v>6162</v>
      </c>
      <c r="C13" s="199" t="s">
        <v>93</v>
      </c>
      <c r="D13" s="199">
        <v>6732</v>
      </c>
      <c r="E13" s="199" t="s">
        <v>166</v>
      </c>
      <c r="F13" s="208"/>
      <c r="G13" s="199" t="s">
        <v>279</v>
      </c>
      <c r="H13" s="199" t="s">
        <v>164</v>
      </c>
      <c r="I13" s="208"/>
      <c r="J13" s="199" t="s">
        <v>280</v>
      </c>
      <c r="K13" s="199" t="s">
        <v>46</v>
      </c>
      <c r="L13" s="209" t="s">
        <v>97</v>
      </c>
      <c r="M13" s="209"/>
      <c r="N13" s="210">
        <v>0</v>
      </c>
      <c r="O13" s="211"/>
      <c r="P13" s="211"/>
      <c r="Q13" s="199">
        <v>39</v>
      </c>
      <c r="R13" s="212" t="s">
        <v>126</v>
      </c>
      <c r="S13" s="213">
        <v>7020</v>
      </c>
      <c r="T13" s="213">
        <v>3159</v>
      </c>
      <c r="U13" s="199">
        <v>0</v>
      </c>
      <c r="V13" s="214" t="s">
        <v>127</v>
      </c>
      <c r="W13" s="215">
        <v>0</v>
      </c>
      <c r="X13" s="215">
        <v>0</v>
      </c>
      <c r="Y13" s="215">
        <v>3159</v>
      </c>
      <c r="Z13" s="215">
        <v>7020</v>
      </c>
      <c r="AA13" s="216"/>
      <c r="AB13" s="211">
        <v>3159</v>
      </c>
      <c r="AC13" s="211">
        <v>3159</v>
      </c>
      <c r="AD13" s="217">
        <v>3159</v>
      </c>
      <c r="AE13" s="218">
        <v>0</v>
      </c>
      <c r="AF13" s="219">
        <v>0</v>
      </c>
    </row>
    <row r="14" spans="2:34" s="130" customFormat="1" ht="13.2">
      <c r="B14" s="199">
        <v>148</v>
      </c>
      <c r="C14" s="199" t="s">
        <v>93</v>
      </c>
      <c r="D14" s="199">
        <v>17898</v>
      </c>
      <c r="E14" s="199" t="s">
        <v>162</v>
      </c>
      <c r="F14" s="208" t="s">
        <v>261</v>
      </c>
      <c r="G14" s="199" t="s">
        <v>262</v>
      </c>
      <c r="H14" s="199" t="s">
        <v>164</v>
      </c>
      <c r="I14" s="208"/>
      <c r="J14" s="199" t="s">
        <v>165</v>
      </c>
      <c r="K14" s="199" t="s">
        <v>46</v>
      </c>
      <c r="L14" s="209" t="s">
        <v>97</v>
      </c>
      <c r="M14" s="209"/>
      <c r="N14" s="210">
        <v>0</v>
      </c>
      <c r="O14" s="211"/>
      <c r="P14" s="211"/>
      <c r="Q14" s="199">
        <v>13245</v>
      </c>
      <c r="R14" s="212" t="s">
        <v>126</v>
      </c>
      <c r="S14" s="213">
        <v>2384100</v>
      </c>
      <c r="T14" s="213">
        <v>1072845</v>
      </c>
      <c r="U14" s="199">
        <v>8289</v>
      </c>
      <c r="V14" s="214" t="s">
        <v>127</v>
      </c>
      <c r="W14" s="215">
        <v>1492020</v>
      </c>
      <c r="X14" s="215">
        <v>522206.99999999994</v>
      </c>
      <c r="Y14" s="215">
        <v>1595052</v>
      </c>
      <c r="Z14" s="215">
        <v>3876120</v>
      </c>
      <c r="AA14" s="216"/>
      <c r="AB14" s="211">
        <v>1595052</v>
      </c>
      <c r="AC14" s="211">
        <v>1595052</v>
      </c>
      <c r="AD14" s="217">
        <v>1595052</v>
      </c>
      <c r="AE14" s="218">
        <v>0</v>
      </c>
      <c r="AF14" s="219">
        <v>0</v>
      </c>
    </row>
    <row r="15" spans="2:34" s="130" customFormat="1" ht="13.2">
      <c r="B15" s="199">
        <v>476</v>
      </c>
      <c r="C15" s="199" t="s">
        <v>93</v>
      </c>
      <c r="D15" s="199">
        <v>12179</v>
      </c>
      <c r="E15" s="199" t="s">
        <v>162</v>
      </c>
      <c r="F15" s="208"/>
      <c r="G15" s="199" t="s">
        <v>163</v>
      </c>
      <c r="H15" s="199" t="s">
        <v>164</v>
      </c>
      <c r="I15" s="208"/>
      <c r="J15" s="199" t="s">
        <v>165</v>
      </c>
      <c r="K15" s="199" t="s">
        <v>46</v>
      </c>
      <c r="L15" s="209" t="s">
        <v>97</v>
      </c>
      <c r="M15" s="209"/>
      <c r="N15" s="210">
        <v>0</v>
      </c>
      <c r="O15" s="211"/>
      <c r="P15" s="211"/>
      <c r="Q15" s="199">
        <v>1881</v>
      </c>
      <c r="R15" s="212" t="s">
        <v>126</v>
      </c>
      <c r="S15" s="213">
        <v>338580</v>
      </c>
      <c r="T15" s="213">
        <v>152361</v>
      </c>
      <c r="U15" s="199">
        <v>2211</v>
      </c>
      <c r="V15" s="214" t="s">
        <v>127</v>
      </c>
      <c r="W15" s="215">
        <v>397980</v>
      </c>
      <c r="X15" s="215">
        <v>139293</v>
      </c>
      <c r="Y15" s="215">
        <v>291654</v>
      </c>
      <c r="Z15" s="215">
        <v>736560</v>
      </c>
      <c r="AA15" s="216"/>
      <c r="AB15" s="211">
        <v>291654</v>
      </c>
      <c r="AC15" s="211">
        <v>291654</v>
      </c>
      <c r="AD15" s="217">
        <v>291654</v>
      </c>
      <c r="AE15" s="218">
        <v>0</v>
      </c>
      <c r="AF15" s="219">
        <v>0</v>
      </c>
    </row>
    <row r="16" spans="2:34" s="130" customFormat="1" ht="13.2">
      <c r="B16" s="199">
        <v>7737</v>
      </c>
      <c r="C16" s="199" t="s">
        <v>93</v>
      </c>
      <c r="D16" s="199">
        <v>5392</v>
      </c>
      <c r="E16" s="199" t="s">
        <v>166</v>
      </c>
      <c r="F16" s="208"/>
      <c r="G16" s="199" t="s">
        <v>99</v>
      </c>
      <c r="H16" s="199" t="s">
        <v>164</v>
      </c>
      <c r="I16" s="208"/>
      <c r="J16" s="199" t="s">
        <v>173</v>
      </c>
      <c r="K16" s="199" t="s">
        <v>46</v>
      </c>
      <c r="L16" s="209" t="s">
        <v>97</v>
      </c>
      <c r="M16" s="209"/>
      <c r="N16" s="210">
        <v>0</v>
      </c>
      <c r="O16" s="211"/>
      <c r="P16" s="211"/>
      <c r="Q16" s="199">
        <v>8</v>
      </c>
      <c r="R16" s="212" t="s">
        <v>126</v>
      </c>
      <c r="S16" s="213">
        <v>1440</v>
      </c>
      <c r="T16" s="213">
        <v>648</v>
      </c>
      <c r="U16" s="199">
        <v>10</v>
      </c>
      <c r="V16" s="214" t="s">
        <v>127</v>
      </c>
      <c r="W16" s="215">
        <v>1800</v>
      </c>
      <c r="X16" s="215">
        <v>630</v>
      </c>
      <c r="Y16" s="215">
        <v>1278</v>
      </c>
      <c r="Z16" s="215">
        <v>3240</v>
      </c>
      <c r="AA16" s="216"/>
      <c r="AB16" s="211">
        <v>1278</v>
      </c>
      <c r="AC16" s="211">
        <v>1278</v>
      </c>
      <c r="AD16" s="217">
        <v>1278</v>
      </c>
      <c r="AE16" s="218">
        <v>0</v>
      </c>
      <c r="AF16" s="219">
        <v>0</v>
      </c>
    </row>
    <row r="17" spans="2:32" s="130" customFormat="1" ht="13.2">
      <c r="B17" s="221">
        <v>7958</v>
      </c>
      <c r="C17" s="221" t="s">
        <v>93</v>
      </c>
      <c r="D17" s="221">
        <v>6457</v>
      </c>
      <c r="E17" s="221" t="s">
        <v>166</v>
      </c>
      <c r="F17" s="222"/>
      <c r="G17" s="221" t="s">
        <v>222</v>
      </c>
      <c r="H17" s="221" t="s">
        <v>164</v>
      </c>
      <c r="I17" s="222"/>
      <c r="J17" s="221" t="s">
        <v>223</v>
      </c>
      <c r="K17" s="221" t="s">
        <v>46</v>
      </c>
      <c r="L17" s="223" t="s">
        <v>97</v>
      </c>
      <c r="M17" s="223"/>
      <c r="N17" s="224">
        <v>0</v>
      </c>
      <c r="O17" s="225"/>
      <c r="P17" s="225"/>
      <c r="Q17" s="221">
        <v>16</v>
      </c>
      <c r="R17" s="226" t="s">
        <v>126</v>
      </c>
      <c r="S17" s="227">
        <v>2880</v>
      </c>
      <c r="T17" s="227">
        <v>1296</v>
      </c>
      <c r="U17" s="221">
        <v>0</v>
      </c>
      <c r="V17" s="228" t="s">
        <v>127</v>
      </c>
      <c r="W17" s="229">
        <v>0</v>
      </c>
      <c r="X17" s="229">
        <v>0</v>
      </c>
      <c r="Y17" s="229">
        <v>1296</v>
      </c>
      <c r="Z17" s="229">
        <v>2880</v>
      </c>
      <c r="AA17" s="230"/>
      <c r="AB17" s="225">
        <v>1296</v>
      </c>
      <c r="AC17" s="225">
        <v>1296</v>
      </c>
      <c r="AD17" s="231">
        <v>1296</v>
      </c>
      <c r="AE17" s="232">
        <v>0</v>
      </c>
      <c r="AF17" s="233">
        <v>0</v>
      </c>
    </row>
    <row r="18" spans="2:32" s="130" customFormat="1" ht="13.2">
      <c r="B18" s="234">
        <v>1748</v>
      </c>
      <c r="C18" s="234" t="s">
        <v>93</v>
      </c>
      <c r="D18" s="234">
        <v>21065</v>
      </c>
      <c r="E18" s="234" t="s">
        <v>166</v>
      </c>
      <c r="F18" s="235" t="s">
        <v>274</v>
      </c>
      <c r="G18" s="234" t="s">
        <v>296</v>
      </c>
      <c r="H18" s="234" t="s">
        <v>164</v>
      </c>
      <c r="I18" s="235"/>
      <c r="J18" s="234" t="s">
        <v>297</v>
      </c>
      <c r="K18" s="234" t="s">
        <v>46</v>
      </c>
      <c r="L18" s="236" t="s">
        <v>97</v>
      </c>
      <c r="M18" s="236"/>
      <c r="N18" s="237"/>
      <c r="O18" s="238"/>
      <c r="P18" s="238"/>
      <c r="Q18" s="234">
        <v>454</v>
      </c>
      <c r="R18" s="239" t="s">
        <v>128</v>
      </c>
      <c r="S18" s="240">
        <v>81720</v>
      </c>
      <c r="T18" s="240">
        <v>44128.800000000003</v>
      </c>
      <c r="U18" s="234">
        <v>84</v>
      </c>
      <c r="V18" s="239" t="s">
        <v>129</v>
      </c>
      <c r="W18" s="240">
        <v>15120</v>
      </c>
      <c r="X18" s="240">
        <v>6350.4</v>
      </c>
      <c r="Y18" s="240">
        <v>50479.200000000004</v>
      </c>
      <c r="Z18" s="240">
        <v>96840</v>
      </c>
      <c r="AA18" s="235"/>
      <c r="AB18" s="238">
        <v>50479.200000000004</v>
      </c>
      <c r="AC18" s="238">
        <v>50479.200000000004</v>
      </c>
      <c r="AD18" s="241">
        <v>50479</v>
      </c>
      <c r="AE18" s="238">
        <v>0</v>
      </c>
      <c r="AF18" s="238">
        <v>0</v>
      </c>
    </row>
    <row r="19" spans="2:32" s="130" customFormat="1" ht="13.2">
      <c r="B19" s="242">
        <v>6566</v>
      </c>
      <c r="C19" s="242" t="s">
        <v>93</v>
      </c>
      <c r="D19" s="242">
        <v>5401</v>
      </c>
      <c r="E19" s="242" t="s">
        <v>166</v>
      </c>
      <c r="F19" s="216"/>
      <c r="G19" s="242" t="s">
        <v>102</v>
      </c>
      <c r="H19" s="242" t="s">
        <v>164</v>
      </c>
      <c r="I19" s="216"/>
      <c r="J19" s="242" t="s">
        <v>172</v>
      </c>
      <c r="K19" s="242" t="s">
        <v>46</v>
      </c>
      <c r="L19" s="243" t="s">
        <v>97</v>
      </c>
      <c r="M19" s="243"/>
      <c r="N19" s="244">
        <v>0</v>
      </c>
      <c r="O19" s="219"/>
      <c r="P19" s="219"/>
      <c r="Q19" s="242">
        <v>16</v>
      </c>
      <c r="R19" s="245" t="s">
        <v>126</v>
      </c>
      <c r="S19" s="215">
        <v>2880</v>
      </c>
      <c r="T19" s="215">
        <v>1296</v>
      </c>
      <c r="U19" s="242">
        <v>0</v>
      </c>
      <c r="V19" s="245" t="s">
        <v>127</v>
      </c>
      <c r="W19" s="215">
        <v>0</v>
      </c>
      <c r="X19" s="215">
        <v>0</v>
      </c>
      <c r="Y19" s="215">
        <v>1296</v>
      </c>
      <c r="Z19" s="215">
        <v>2880</v>
      </c>
      <c r="AA19" s="216"/>
      <c r="AB19" s="219">
        <v>1296</v>
      </c>
      <c r="AC19" s="219">
        <v>1296</v>
      </c>
      <c r="AD19" s="246">
        <v>1296</v>
      </c>
      <c r="AE19" s="219">
        <v>0</v>
      </c>
      <c r="AF19" s="219">
        <v>0</v>
      </c>
    </row>
    <row r="20" spans="2:32" s="130" customFormat="1" ht="13.2">
      <c r="B20" s="247"/>
      <c r="C20" s="247"/>
      <c r="D20" s="247"/>
      <c r="E20" s="247"/>
      <c r="F20" s="248"/>
      <c r="G20" s="247"/>
      <c r="H20" s="247"/>
      <c r="I20" s="248"/>
      <c r="J20" s="247"/>
      <c r="K20" s="247"/>
      <c r="L20" s="249"/>
      <c r="M20" s="249"/>
      <c r="N20" s="250"/>
      <c r="O20" s="251"/>
      <c r="P20" s="251"/>
      <c r="Q20" s="247"/>
      <c r="R20" s="252"/>
      <c r="S20" s="253"/>
      <c r="T20" s="253"/>
      <c r="U20" s="247"/>
      <c r="V20" s="252"/>
      <c r="W20" s="253"/>
      <c r="X20" s="253"/>
      <c r="Y20" s="253"/>
      <c r="Z20" s="253"/>
      <c r="AA20" s="248"/>
      <c r="AB20" s="251"/>
      <c r="AC20" s="251"/>
      <c r="AD20" s="254"/>
      <c r="AE20" s="251"/>
      <c r="AF20" s="251"/>
    </row>
    <row r="21" spans="2:32" s="130" customFormat="1" ht="13.2">
      <c r="B21" s="247"/>
      <c r="C21" s="247"/>
      <c r="D21" s="247"/>
      <c r="E21" s="247"/>
      <c r="F21" s="248"/>
      <c r="G21" s="247"/>
      <c r="H21" s="247"/>
      <c r="I21" s="248"/>
      <c r="J21" s="247"/>
      <c r="K21" s="247"/>
      <c r="L21" s="249"/>
      <c r="M21" s="249"/>
      <c r="N21" s="250"/>
      <c r="O21" s="251"/>
      <c r="P21" s="251"/>
      <c r="Q21" s="247"/>
      <c r="R21" s="252"/>
      <c r="S21" s="253"/>
      <c r="T21" s="253"/>
      <c r="U21" s="247"/>
      <c r="V21" s="252"/>
      <c r="W21" s="253"/>
      <c r="X21" s="253"/>
      <c r="Y21" s="253"/>
      <c r="Z21" s="253"/>
      <c r="AA21" s="248"/>
      <c r="AB21" s="251"/>
      <c r="AC21" s="251"/>
      <c r="AD21" s="254"/>
      <c r="AE21" s="251"/>
      <c r="AF21" s="251"/>
    </row>
    <row r="22" spans="2:32" ht="17.55" customHeight="1">
      <c r="C22" s="255"/>
      <c r="D22" s="256"/>
      <c r="E22" s="256"/>
      <c r="F22" s="256"/>
      <c r="G22" s="256"/>
      <c r="H22" s="257">
        <v>355180</v>
      </c>
      <c r="I22" s="257">
        <v>177590</v>
      </c>
    </row>
    <row r="23" spans="2:32" ht="17.55" customHeight="1">
      <c r="B23" s="260" t="s">
        <v>265</v>
      </c>
      <c r="C23" s="261" t="s">
        <v>263</v>
      </c>
      <c r="D23" s="260" t="s">
        <v>264</v>
      </c>
      <c r="E23" s="260" t="s">
        <v>266</v>
      </c>
      <c r="F23" s="262" t="s">
        <v>267</v>
      </c>
      <c r="G23" s="263" t="s">
        <v>38</v>
      </c>
      <c r="H23" s="264" t="s">
        <v>80</v>
      </c>
      <c r="I23" s="264" t="s">
        <v>268</v>
      </c>
    </row>
    <row r="24" spans="2:32" ht="13.2">
      <c r="B24" s="242" t="s">
        <v>8</v>
      </c>
      <c r="C24" s="265" t="s">
        <v>298</v>
      </c>
      <c r="D24" s="242">
        <v>8960</v>
      </c>
      <c r="E24" s="242" t="s">
        <v>95</v>
      </c>
      <c r="F24" s="266" t="s">
        <v>46</v>
      </c>
      <c r="G24" s="267" t="s">
        <v>97</v>
      </c>
      <c r="H24" s="268">
        <v>3360</v>
      </c>
      <c r="I24" s="269">
        <v>1680</v>
      </c>
    </row>
    <row r="25" spans="2:32" ht="13.2">
      <c r="B25" s="242" t="s">
        <v>271</v>
      </c>
      <c r="C25" s="270" t="s">
        <v>298</v>
      </c>
      <c r="D25" s="242">
        <v>12179</v>
      </c>
      <c r="E25" s="242" t="s">
        <v>163</v>
      </c>
      <c r="F25" s="242" t="s">
        <v>46</v>
      </c>
      <c r="G25" s="242" t="s">
        <v>97</v>
      </c>
      <c r="H25" s="242">
        <v>351820</v>
      </c>
      <c r="I25" s="271">
        <v>175910</v>
      </c>
    </row>
  </sheetData>
  <phoneticPr fontId="31" type="noConversion"/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I10"/>
  <sheetViews>
    <sheetView zoomScaleNormal="100" workbookViewId="0">
      <selection activeCell="K18" sqref="K18"/>
    </sheetView>
  </sheetViews>
  <sheetFormatPr defaultColWidth="11.44140625" defaultRowHeight="15.6"/>
  <cols>
    <col min="1" max="1" width="5.44140625" style="29" customWidth="1"/>
    <col min="2" max="2" width="12.77734375" style="29" customWidth="1"/>
    <col min="3" max="3" width="20.44140625" style="29" customWidth="1"/>
    <col min="4" max="4" width="13.77734375" style="29" bestFit="1" customWidth="1"/>
    <col min="5" max="6" width="13.109375" style="29" bestFit="1" customWidth="1"/>
    <col min="7" max="8" width="13.77734375" style="29" bestFit="1" customWidth="1"/>
    <col min="9" max="9" width="17.88671875" style="29" bestFit="1" customWidth="1"/>
    <col min="10" max="16384" width="11.44140625" style="29"/>
  </cols>
  <sheetData>
    <row r="2" spans="2:9">
      <c r="B2" s="97" t="s">
        <v>0</v>
      </c>
      <c r="C2" s="97" t="s">
        <v>32</v>
      </c>
      <c r="D2" s="97" t="s">
        <v>1</v>
      </c>
      <c r="E2" s="97" t="s">
        <v>2</v>
      </c>
      <c r="F2" s="97" t="s">
        <v>3</v>
      </c>
      <c r="G2" s="97" t="s">
        <v>4</v>
      </c>
      <c r="H2" s="97" t="s">
        <v>5</v>
      </c>
      <c r="I2" s="97" t="s">
        <v>6</v>
      </c>
    </row>
    <row r="3" spans="2:9">
      <c r="B3" s="98" t="s">
        <v>299</v>
      </c>
      <c r="C3" s="98" t="s">
        <v>300</v>
      </c>
      <c r="D3" s="168">
        <v>3335368</v>
      </c>
      <c r="E3" s="79">
        <v>0</v>
      </c>
      <c r="F3" s="80">
        <f t="shared" ref="F3" si="0">D3</f>
        <v>3335368</v>
      </c>
      <c r="G3" s="99">
        <f t="shared" ref="G3" si="1">F3*20%</f>
        <v>667073.60000000009</v>
      </c>
      <c r="H3" s="104">
        <f t="shared" ref="H3" si="2">F3*80%</f>
        <v>2668294.4000000004</v>
      </c>
      <c r="I3" s="105" t="s">
        <v>371</v>
      </c>
    </row>
    <row r="4" spans="2:9">
      <c r="B4" s="100" t="s">
        <v>20</v>
      </c>
      <c r="C4" s="101"/>
      <c r="D4" s="102">
        <f>SUM(D3:D3)</f>
        <v>3335368</v>
      </c>
      <c r="E4" s="102">
        <f>SUM(E3:E3)</f>
        <v>0</v>
      </c>
      <c r="F4" s="102">
        <f>SUM(F3:F3)</f>
        <v>3335368</v>
      </c>
      <c r="G4" s="102">
        <f>SUM(G3:G3)</f>
        <v>667073.60000000009</v>
      </c>
      <c r="H4" s="102">
        <f>SUM(H3:H3)</f>
        <v>2668294.4000000004</v>
      </c>
      <c r="I4" s="102"/>
    </row>
    <row r="5" spans="2:9">
      <c r="G5" s="31">
        <f>F4*0.2</f>
        <v>667073.60000000009</v>
      </c>
      <c r="H5" s="31">
        <f>F4*0.8</f>
        <v>2668294.4000000004</v>
      </c>
    </row>
    <row r="8" spans="2:9">
      <c r="C8" s="179"/>
    </row>
    <row r="9" spans="2:9">
      <c r="F9" s="188"/>
    </row>
    <row r="10" spans="2:9">
      <c r="D10" s="179"/>
    </row>
  </sheetData>
  <phoneticPr fontId="31" type="noConversion"/>
  <pageMargins left="0.75" right="0.75" top="1" bottom="1" header="0.5" footer="0.5"/>
  <pageSetup paperSize="9"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P57"/>
  <sheetViews>
    <sheetView workbookViewId="0">
      <pane ySplit="1" topLeftCell="A38" activePane="bottomLeft" state="frozen"/>
      <selection pane="bottomLeft" activeCell="Q58" sqref="Q58"/>
    </sheetView>
  </sheetViews>
  <sheetFormatPr defaultRowHeight="17.399999999999999"/>
  <cols>
    <col min="1" max="1" width="7.5546875" style="107" bestFit="1" customWidth="1"/>
    <col min="2" max="2" width="8.5546875" style="107" bestFit="1" customWidth="1"/>
    <col min="3" max="3" width="35.5546875" style="107" bestFit="1" customWidth="1"/>
    <col min="4" max="4" width="6.6640625" style="107" bestFit="1" customWidth="1"/>
    <col min="5" max="5" width="5.33203125" style="107" bestFit="1" customWidth="1"/>
    <col min="6" max="6" width="9.88671875" style="107" bestFit="1" customWidth="1"/>
    <col min="7" max="7" width="9.44140625" style="107" bestFit="1" customWidth="1"/>
    <col min="8" max="8" width="9.109375" style="107" bestFit="1" customWidth="1"/>
    <col min="9" max="10" width="10.21875" style="107" bestFit="1" customWidth="1"/>
    <col min="11" max="11" width="15.33203125" style="107" bestFit="1" customWidth="1"/>
    <col min="12" max="12" width="16.21875" style="107" bestFit="1" customWidth="1"/>
    <col min="13" max="13" width="10" style="107" bestFit="1" customWidth="1"/>
    <col min="14" max="14" width="10.21875" style="107" bestFit="1" customWidth="1"/>
    <col min="15" max="15" width="9.77734375" style="107" bestFit="1" customWidth="1"/>
    <col min="16" max="16" width="5.33203125" style="107" bestFit="1" customWidth="1"/>
    <col min="17" max="16384" width="8.88671875" style="107"/>
  </cols>
  <sheetData>
    <row r="1" spans="1:16">
      <c r="A1" s="274" t="s">
        <v>301</v>
      </c>
      <c r="B1" s="274" t="s">
        <v>38</v>
      </c>
      <c r="C1" s="274" t="s">
        <v>32</v>
      </c>
      <c r="D1" s="274" t="s">
        <v>302</v>
      </c>
      <c r="E1" s="274" t="s">
        <v>303</v>
      </c>
      <c r="F1" s="274" t="s">
        <v>304</v>
      </c>
      <c r="G1" s="274" t="s">
        <v>305</v>
      </c>
      <c r="H1" s="274" t="s">
        <v>306</v>
      </c>
      <c r="I1" s="274" t="s">
        <v>307</v>
      </c>
      <c r="J1" s="274" t="s">
        <v>308</v>
      </c>
      <c r="K1" s="274" t="s">
        <v>309</v>
      </c>
      <c r="L1" s="274" t="s">
        <v>310</v>
      </c>
      <c r="M1" s="274" t="s">
        <v>311</v>
      </c>
      <c r="N1" s="274" t="s">
        <v>312</v>
      </c>
      <c r="O1" s="274" t="s">
        <v>313</v>
      </c>
      <c r="P1" s="274" t="s">
        <v>314</v>
      </c>
    </row>
    <row r="2" spans="1:16">
      <c r="A2" s="275">
        <v>402</v>
      </c>
      <c r="B2" s="276" t="s">
        <v>315</v>
      </c>
      <c r="C2" s="277" t="s">
        <v>316</v>
      </c>
      <c r="D2" s="278" t="s">
        <v>317</v>
      </c>
      <c r="E2" s="277" t="s">
        <v>318</v>
      </c>
      <c r="F2" s="279">
        <v>63</v>
      </c>
      <c r="G2" s="279">
        <v>0</v>
      </c>
      <c r="H2" s="280">
        <v>12</v>
      </c>
      <c r="I2" s="281" t="s">
        <v>319</v>
      </c>
      <c r="J2" s="281" t="s">
        <v>319</v>
      </c>
      <c r="K2" s="279">
        <v>0</v>
      </c>
      <c r="L2" s="279">
        <v>0</v>
      </c>
      <c r="M2" s="282">
        <v>2592</v>
      </c>
      <c r="N2" s="282">
        <v>2643</v>
      </c>
      <c r="O2" s="282">
        <v>2643</v>
      </c>
      <c r="P2" s="283"/>
    </row>
    <row r="3" spans="1:16">
      <c r="A3" s="275">
        <v>530</v>
      </c>
      <c r="B3" s="276" t="s">
        <v>315</v>
      </c>
      <c r="C3" s="277" t="s">
        <v>320</v>
      </c>
      <c r="D3" s="278" t="s">
        <v>317</v>
      </c>
      <c r="E3" s="277" t="s">
        <v>318</v>
      </c>
      <c r="F3" s="279">
        <v>0</v>
      </c>
      <c r="G3" s="279">
        <v>0</v>
      </c>
      <c r="H3" s="283"/>
      <c r="I3" s="281" t="s">
        <v>319</v>
      </c>
      <c r="J3" s="281" t="s">
        <v>319</v>
      </c>
      <c r="K3" s="279">
        <v>0</v>
      </c>
      <c r="L3" s="279">
        <v>0</v>
      </c>
      <c r="M3" s="279">
        <v>0</v>
      </c>
      <c r="N3" s="279">
        <v>0</v>
      </c>
      <c r="O3" s="279">
        <v>0</v>
      </c>
      <c r="P3" s="283"/>
    </row>
    <row r="4" spans="1:16">
      <c r="A4" s="275">
        <v>570</v>
      </c>
      <c r="B4" s="276" t="s">
        <v>315</v>
      </c>
      <c r="C4" s="277" t="s">
        <v>321</v>
      </c>
      <c r="D4" s="278" t="s">
        <v>317</v>
      </c>
      <c r="E4" s="277" t="s">
        <v>318</v>
      </c>
      <c r="F4" s="279">
        <v>0</v>
      </c>
      <c r="G4" s="279">
        <v>0</v>
      </c>
      <c r="H4" s="283"/>
      <c r="I4" s="281" t="s">
        <v>319</v>
      </c>
      <c r="J4" s="281" t="s">
        <v>319</v>
      </c>
      <c r="K4" s="279">
        <v>0</v>
      </c>
      <c r="L4" s="279">
        <v>0</v>
      </c>
      <c r="M4" s="279">
        <v>0</v>
      </c>
      <c r="N4" s="279">
        <v>0</v>
      </c>
      <c r="O4" s="279">
        <v>0</v>
      </c>
      <c r="P4" s="283"/>
    </row>
    <row r="5" spans="1:16">
      <c r="A5" s="275">
        <v>571</v>
      </c>
      <c r="B5" s="276" t="s">
        <v>315</v>
      </c>
      <c r="C5" s="277" t="s">
        <v>322</v>
      </c>
      <c r="D5" s="278" t="s">
        <v>317</v>
      </c>
      <c r="E5" s="277" t="s">
        <v>318</v>
      </c>
      <c r="F5" s="279">
        <v>0</v>
      </c>
      <c r="G5" s="279">
        <v>0</v>
      </c>
      <c r="H5" s="283"/>
      <c r="I5" s="281" t="s">
        <v>319</v>
      </c>
      <c r="J5" s="281" t="s">
        <v>319</v>
      </c>
      <c r="K5" s="279">
        <v>0</v>
      </c>
      <c r="L5" s="279">
        <v>0</v>
      </c>
      <c r="M5" s="279">
        <v>0</v>
      </c>
      <c r="N5" s="279">
        <v>0</v>
      </c>
      <c r="O5" s="279">
        <v>0</v>
      </c>
      <c r="P5" s="283"/>
    </row>
    <row r="6" spans="1:16">
      <c r="A6" s="275">
        <v>616</v>
      </c>
      <c r="B6" s="276" t="s">
        <v>315</v>
      </c>
      <c r="C6" s="277" t="s">
        <v>323</v>
      </c>
      <c r="D6" s="278" t="s">
        <v>317</v>
      </c>
      <c r="E6" s="277" t="s">
        <v>318</v>
      </c>
      <c r="F6" s="282">
        <v>87415</v>
      </c>
      <c r="G6" s="279">
        <v>0</v>
      </c>
      <c r="H6" s="284">
        <v>17483</v>
      </c>
      <c r="I6" s="281" t="s">
        <v>319</v>
      </c>
      <c r="J6" s="281" t="s">
        <v>319</v>
      </c>
      <c r="K6" s="279">
        <v>0</v>
      </c>
      <c r="L6" s="279">
        <v>0</v>
      </c>
      <c r="M6" s="282">
        <v>218855</v>
      </c>
      <c r="N6" s="282">
        <v>288787</v>
      </c>
      <c r="O6" s="282">
        <v>288787</v>
      </c>
      <c r="P6" s="283"/>
    </row>
    <row r="7" spans="1:16" ht="31.2">
      <c r="A7" s="275">
        <v>807</v>
      </c>
      <c r="B7" s="276" t="s">
        <v>315</v>
      </c>
      <c r="C7" s="277" t="s">
        <v>324</v>
      </c>
      <c r="D7" s="278" t="s">
        <v>317</v>
      </c>
      <c r="E7" s="277" t="s">
        <v>318</v>
      </c>
      <c r="F7" s="279">
        <v>0</v>
      </c>
      <c r="G7" s="279">
        <v>0</v>
      </c>
      <c r="H7" s="283"/>
      <c r="I7" s="281" t="s">
        <v>319</v>
      </c>
      <c r="J7" s="281" t="s">
        <v>319</v>
      </c>
      <c r="K7" s="279">
        <v>0</v>
      </c>
      <c r="L7" s="279">
        <v>0</v>
      </c>
      <c r="M7" s="279">
        <v>0</v>
      </c>
      <c r="N7" s="279">
        <v>0</v>
      </c>
      <c r="O7" s="279">
        <v>0</v>
      </c>
      <c r="P7" s="283"/>
    </row>
    <row r="8" spans="1:16">
      <c r="A8" s="275">
        <v>833</v>
      </c>
      <c r="B8" s="276" t="s">
        <v>315</v>
      </c>
      <c r="C8" s="277" t="s">
        <v>325</v>
      </c>
      <c r="D8" s="278" t="s">
        <v>317</v>
      </c>
      <c r="E8" s="277" t="s">
        <v>318</v>
      </c>
      <c r="F8" s="282">
        <v>6517</v>
      </c>
      <c r="G8" s="279">
        <v>0</v>
      </c>
      <c r="H8" s="284">
        <v>1303</v>
      </c>
      <c r="I8" s="281" t="s">
        <v>319</v>
      </c>
      <c r="J8" s="281" t="s">
        <v>319</v>
      </c>
      <c r="K8" s="279">
        <v>0</v>
      </c>
      <c r="L8" s="279">
        <v>0</v>
      </c>
      <c r="M8" s="282">
        <v>34399</v>
      </c>
      <c r="N8" s="282">
        <v>39613</v>
      </c>
      <c r="O8" s="282">
        <v>39613</v>
      </c>
      <c r="P8" s="283"/>
    </row>
    <row r="9" spans="1:16">
      <c r="A9" s="275">
        <v>870</v>
      </c>
      <c r="B9" s="276" t="s">
        <v>315</v>
      </c>
      <c r="C9" s="277" t="s">
        <v>370</v>
      </c>
      <c r="D9" s="278" t="s">
        <v>317</v>
      </c>
      <c r="E9" s="277" t="s">
        <v>318</v>
      </c>
      <c r="F9" s="282">
        <v>1086</v>
      </c>
      <c r="G9" s="279">
        <v>0</v>
      </c>
      <c r="H9" s="280">
        <v>217</v>
      </c>
      <c r="I9" s="281" t="s">
        <v>319</v>
      </c>
      <c r="J9" s="281" t="s">
        <v>319</v>
      </c>
      <c r="K9" s="279">
        <v>0</v>
      </c>
      <c r="L9" s="279">
        <v>0</v>
      </c>
      <c r="M9" s="282">
        <v>2966</v>
      </c>
      <c r="N9" s="282">
        <v>3835</v>
      </c>
      <c r="O9" s="282">
        <v>3835</v>
      </c>
      <c r="P9" s="283"/>
    </row>
    <row r="10" spans="1:16">
      <c r="A10" s="275">
        <v>1017</v>
      </c>
      <c r="B10" s="276" t="s">
        <v>315</v>
      </c>
      <c r="C10" s="277" t="s">
        <v>326</v>
      </c>
      <c r="D10" s="278" t="s">
        <v>317</v>
      </c>
      <c r="E10" s="277" t="s">
        <v>318</v>
      </c>
      <c r="F10" s="282">
        <v>52142</v>
      </c>
      <c r="G10" s="279">
        <v>0</v>
      </c>
      <c r="H10" s="284">
        <v>10428</v>
      </c>
      <c r="I10" s="281" t="s">
        <v>319</v>
      </c>
      <c r="J10" s="281" t="s">
        <v>319</v>
      </c>
      <c r="K10" s="279">
        <v>0</v>
      </c>
      <c r="L10" s="279">
        <v>0</v>
      </c>
      <c r="M10" s="282">
        <v>154714</v>
      </c>
      <c r="N10" s="282">
        <v>196428</v>
      </c>
      <c r="O10" s="282">
        <v>196428</v>
      </c>
      <c r="P10" s="283"/>
    </row>
    <row r="11" spans="1:16">
      <c r="A11" s="275">
        <v>1157</v>
      </c>
      <c r="B11" s="276" t="s">
        <v>315</v>
      </c>
      <c r="C11" s="277" t="s">
        <v>327</v>
      </c>
      <c r="D11" s="278" t="s">
        <v>317</v>
      </c>
      <c r="E11" s="277" t="s">
        <v>318</v>
      </c>
      <c r="F11" s="282">
        <v>16614</v>
      </c>
      <c r="G11" s="279">
        <v>0</v>
      </c>
      <c r="H11" s="284">
        <v>3322</v>
      </c>
      <c r="I11" s="281" t="s">
        <v>319</v>
      </c>
      <c r="J11" s="281" t="s">
        <v>319</v>
      </c>
      <c r="K11" s="279">
        <v>0</v>
      </c>
      <c r="L11" s="279">
        <v>0</v>
      </c>
      <c r="M11" s="282">
        <v>76042</v>
      </c>
      <c r="N11" s="282">
        <v>89334</v>
      </c>
      <c r="O11" s="282">
        <v>89334</v>
      </c>
      <c r="P11" s="283"/>
    </row>
    <row r="12" spans="1:16">
      <c r="A12" s="275">
        <v>1844</v>
      </c>
      <c r="B12" s="285" t="s">
        <v>328</v>
      </c>
      <c r="C12" s="277" t="s">
        <v>329</v>
      </c>
      <c r="D12" s="278" t="s">
        <v>317</v>
      </c>
      <c r="E12" s="277" t="s">
        <v>318</v>
      </c>
      <c r="F12" s="279">
        <v>0</v>
      </c>
      <c r="G12" s="279">
        <v>0</v>
      </c>
      <c r="H12" s="283"/>
      <c r="I12" s="281" t="s">
        <v>319</v>
      </c>
      <c r="J12" s="281" t="s">
        <v>319</v>
      </c>
      <c r="K12" s="279">
        <v>0</v>
      </c>
      <c r="L12" s="279">
        <v>0</v>
      </c>
      <c r="M12" s="279">
        <v>0</v>
      </c>
      <c r="N12" s="279">
        <v>0</v>
      </c>
      <c r="O12" s="279">
        <v>0</v>
      </c>
      <c r="P12" s="283"/>
    </row>
    <row r="13" spans="1:16">
      <c r="A13" s="275">
        <v>1845</v>
      </c>
      <c r="B13" s="285" t="s">
        <v>328</v>
      </c>
      <c r="C13" s="277" t="s">
        <v>330</v>
      </c>
      <c r="D13" s="278" t="s">
        <v>317</v>
      </c>
      <c r="E13" s="277" t="s">
        <v>318</v>
      </c>
      <c r="F13" s="279">
        <v>0</v>
      </c>
      <c r="G13" s="279">
        <v>0</v>
      </c>
      <c r="H13" s="283"/>
      <c r="I13" s="281" t="s">
        <v>319</v>
      </c>
      <c r="J13" s="281" t="s">
        <v>319</v>
      </c>
      <c r="K13" s="279">
        <v>0</v>
      </c>
      <c r="L13" s="279">
        <v>0</v>
      </c>
      <c r="M13" s="279">
        <v>0</v>
      </c>
      <c r="N13" s="279">
        <v>0</v>
      </c>
      <c r="O13" s="279">
        <v>0</v>
      </c>
      <c r="P13" s="283"/>
    </row>
    <row r="14" spans="1:16">
      <c r="A14" s="275">
        <v>1899</v>
      </c>
      <c r="B14" s="285" t="s">
        <v>328</v>
      </c>
      <c r="C14" s="277" t="s">
        <v>331</v>
      </c>
      <c r="D14" s="278" t="s">
        <v>317</v>
      </c>
      <c r="E14" s="277" t="s">
        <v>318</v>
      </c>
      <c r="F14" s="279">
        <v>0</v>
      </c>
      <c r="G14" s="279">
        <v>0</v>
      </c>
      <c r="H14" s="283"/>
      <c r="I14" s="281" t="s">
        <v>319</v>
      </c>
      <c r="J14" s="281" t="s">
        <v>319</v>
      </c>
      <c r="K14" s="279">
        <v>0</v>
      </c>
      <c r="L14" s="279">
        <v>0</v>
      </c>
      <c r="M14" s="279">
        <v>0</v>
      </c>
      <c r="N14" s="279">
        <v>0</v>
      </c>
      <c r="O14" s="279">
        <v>0</v>
      </c>
      <c r="P14" s="283"/>
    </row>
    <row r="15" spans="1:16">
      <c r="A15" s="275">
        <v>1903</v>
      </c>
      <c r="B15" s="285" t="s">
        <v>328</v>
      </c>
      <c r="C15" s="277" t="s">
        <v>332</v>
      </c>
      <c r="D15" s="278" t="s">
        <v>317</v>
      </c>
      <c r="E15" s="277" t="s">
        <v>318</v>
      </c>
      <c r="F15" s="279">
        <v>907</v>
      </c>
      <c r="G15" s="279">
        <v>0</v>
      </c>
      <c r="H15" s="283"/>
      <c r="I15" s="281" t="s">
        <v>319</v>
      </c>
      <c r="J15" s="281" t="s">
        <v>319</v>
      </c>
      <c r="K15" s="279">
        <v>0</v>
      </c>
      <c r="L15" s="279">
        <v>0</v>
      </c>
      <c r="M15" s="279">
        <v>0</v>
      </c>
      <c r="N15" s="279">
        <v>907</v>
      </c>
      <c r="O15" s="279">
        <v>907</v>
      </c>
      <c r="P15" s="283"/>
    </row>
    <row r="16" spans="1:16">
      <c r="A16" s="275">
        <v>1909</v>
      </c>
      <c r="B16" s="285" t="s">
        <v>328</v>
      </c>
      <c r="C16" s="277" t="s">
        <v>333</v>
      </c>
      <c r="D16" s="278" t="s">
        <v>317</v>
      </c>
      <c r="E16" s="277" t="s">
        <v>318</v>
      </c>
      <c r="F16" s="282">
        <v>93279</v>
      </c>
      <c r="G16" s="279">
        <v>0</v>
      </c>
      <c r="H16" s="283"/>
      <c r="I16" s="281" t="s">
        <v>319</v>
      </c>
      <c r="J16" s="281" t="s">
        <v>319</v>
      </c>
      <c r="K16" s="279">
        <v>0</v>
      </c>
      <c r="L16" s="279">
        <v>0</v>
      </c>
      <c r="M16" s="279">
        <v>0</v>
      </c>
      <c r="N16" s="282">
        <v>93279</v>
      </c>
      <c r="O16" s="282">
        <v>93279</v>
      </c>
      <c r="P16" s="283"/>
    </row>
    <row r="17" spans="1:16">
      <c r="A17" s="275">
        <v>1910</v>
      </c>
      <c r="B17" s="285" t="s">
        <v>328</v>
      </c>
      <c r="C17" s="277" t="s">
        <v>334</v>
      </c>
      <c r="D17" s="278" t="s">
        <v>317</v>
      </c>
      <c r="E17" s="277" t="s">
        <v>318</v>
      </c>
      <c r="F17" s="279">
        <v>0</v>
      </c>
      <c r="G17" s="279">
        <v>0</v>
      </c>
      <c r="H17" s="283"/>
      <c r="I17" s="281" t="s">
        <v>319</v>
      </c>
      <c r="J17" s="281" t="s">
        <v>319</v>
      </c>
      <c r="K17" s="279">
        <v>0</v>
      </c>
      <c r="L17" s="279">
        <v>0</v>
      </c>
      <c r="M17" s="279">
        <v>0</v>
      </c>
      <c r="N17" s="279">
        <v>0</v>
      </c>
      <c r="O17" s="279">
        <v>0</v>
      </c>
      <c r="P17" s="283"/>
    </row>
    <row r="18" spans="1:16">
      <c r="A18" s="275">
        <v>1913</v>
      </c>
      <c r="B18" s="285" t="s">
        <v>328</v>
      </c>
      <c r="C18" s="277" t="s">
        <v>335</v>
      </c>
      <c r="D18" s="278" t="s">
        <v>317</v>
      </c>
      <c r="E18" s="277" t="s">
        <v>318</v>
      </c>
      <c r="F18" s="279">
        <v>0</v>
      </c>
      <c r="G18" s="279">
        <v>0</v>
      </c>
      <c r="H18" s="283"/>
      <c r="I18" s="281" t="s">
        <v>319</v>
      </c>
      <c r="J18" s="281" t="s">
        <v>319</v>
      </c>
      <c r="K18" s="279">
        <v>0</v>
      </c>
      <c r="L18" s="279">
        <v>0</v>
      </c>
      <c r="M18" s="279">
        <v>0</v>
      </c>
      <c r="N18" s="279">
        <v>0</v>
      </c>
      <c r="O18" s="279">
        <v>0</v>
      </c>
      <c r="P18" s="283"/>
    </row>
    <row r="19" spans="1:16">
      <c r="A19" s="275">
        <v>2011</v>
      </c>
      <c r="B19" s="285" t="s">
        <v>328</v>
      </c>
      <c r="C19" s="277" t="s">
        <v>336</v>
      </c>
      <c r="D19" s="278" t="s">
        <v>317</v>
      </c>
      <c r="E19" s="277" t="s">
        <v>318</v>
      </c>
      <c r="F19" s="282">
        <v>1749</v>
      </c>
      <c r="G19" s="279">
        <v>0</v>
      </c>
      <c r="H19" s="283"/>
      <c r="I19" s="281" t="s">
        <v>319</v>
      </c>
      <c r="J19" s="281" t="s">
        <v>319</v>
      </c>
      <c r="K19" s="279">
        <v>0</v>
      </c>
      <c r="L19" s="279">
        <v>0</v>
      </c>
      <c r="M19" s="279">
        <v>0</v>
      </c>
      <c r="N19" s="282">
        <v>1749</v>
      </c>
      <c r="O19" s="282">
        <v>1749</v>
      </c>
      <c r="P19" s="283"/>
    </row>
    <row r="20" spans="1:16">
      <c r="A20" s="275">
        <v>2013</v>
      </c>
      <c r="B20" s="285" t="s">
        <v>328</v>
      </c>
      <c r="C20" s="277" t="s">
        <v>337</v>
      </c>
      <c r="D20" s="278" t="s">
        <v>317</v>
      </c>
      <c r="E20" s="277" t="s">
        <v>318</v>
      </c>
      <c r="F20" s="282">
        <v>1944</v>
      </c>
      <c r="G20" s="279">
        <v>0</v>
      </c>
      <c r="H20" s="283"/>
      <c r="I20" s="281" t="s">
        <v>319</v>
      </c>
      <c r="J20" s="281" t="s">
        <v>319</v>
      </c>
      <c r="K20" s="279">
        <v>0</v>
      </c>
      <c r="L20" s="279">
        <v>0</v>
      </c>
      <c r="M20" s="279">
        <v>0</v>
      </c>
      <c r="N20" s="282">
        <v>1944</v>
      </c>
      <c r="O20" s="282">
        <v>1944</v>
      </c>
      <c r="P20" s="283"/>
    </row>
    <row r="21" spans="1:16">
      <c r="A21" s="275">
        <v>2106</v>
      </c>
      <c r="B21" s="285" t="s">
        <v>328</v>
      </c>
      <c r="C21" s="277" t="s">
        <v>338</v>
      </c>
      <c r="D21" s="278" t="s">
        <v>317</v>
      </c>
      <c r="E21" s="277" t="s">
        <v>318</v>
      </c>
      <c r="F21" s="282">
        <v>6739</v>
      </c>
      <c r="G21" s="279">
        <v>0</v>
      </c>
      <c r="H21" s="283"/>
      <c r="I21" s="281" t="s">
        <v>319</v>
      </c>
      <c r="J21" s="281" t="s">
        <v>319</v>
      </c>
      <c r="K21" s="279">
        <v>0</v>
      </c>
      <c r="L21" s="279">
        <v>0</v>
      </c>
      <c r="M21" s="279">
        <v>0</v>
      </c>
      <c r="N21" s="282">
        <v>6739</v>
      </c>
      <c r="O21" s="282">
        <v>6739</v>
      </c>
      <c r="P21" s="283"/>
    </row>
    <row r="22" spans="1:16">
      <c r="A22" s="275">
        <v>2165</v>
      </c>
      <c r="B22" s="285" t="s">
        <v>328</v>
      </c>
      <c r="C22" s="277" t="s">
        <v>339</v>
      </c>
      <c r="D22" s="278" t="s">
        <v>317</v>
      </c>
      <c r="E22" s="277" t="s">
        <v>318</v>
      </c>
      <c r="F22" s="282">
        <v>52666</v>
      </c>
      <c r="G22" s="279">
        <v>0</v>
      </c>
      <c r="H22" s="283"/>
      <c r="I22" s="281" t="s">
        <v>319</v>
      </c>
      <c r="J22" s="281" t="s">
        <v>319</v>
      </c>
      <c r="K22" s="279">
        <v>0</v>
      </c>
      <c r="L22" s="279">
        <v>0</v>
      </c>
      <c r="M22" s="279">
        <v>0</v>
      </c>
      <c r="N22" s="282">
        <v>52666</v>
      </c>
      <c r="O22" s="282">
        <v>52666</v>
      </c>
      <c r="P22" s="283"/>
    </row>
    <row r="23" spans="1:16">
      <c r="A23" s="275">
        <v>8013</v>
      </c>
      <c r="B23" s="286" t="s">
        <v>340</v>
      </c>
      <c r="C23" s="277" t="s">
        <v>341</v>
      </c>
      <c r="D23" s="278" t="s">
        <v>317</v>
      </c>
      <c r="E23" s="277" t="s">
        <v>318</v>
      </c>
      <c r="F23" s="279">
        <v>0</v>
      </c>
      <c r="G23" s="279">
        <v>0</v>
      </c>
      <c r="H23" s="283"/>
      <c r="I23" s="281" t="s">
        <v>319</v>
      </c>
      <c r="J23" s="281" t="s">
        <v>319</v>
      </c>
      <c r="K23" s="279">
        <v>0</v>
      </c>
      <c r="L23" s="279">
        <v>0</v>
      </c>
      <c r="M23" s="279">
        <v>0</v>
      </c>
      <c r="N23" s="279">
        <v>0</v>
      </c>
      <c r="O23" s="279">
        <v>0</v>
      </c>
      <c r="P23" s="283"/>
    </row>
    <row r="24" spans="1:16">
      <c r="A24" s="275">
        <v>8749</v>
      </c>
      <c r="B24" s="286" t="s">
        <v>340</v>
      </c>
      <c r="C24" s="277" t="s">
        <v>342</v>
      </c>
      <c r="D24" s="278" t="s">
        <v>317</v>
      </c>
      <c r="E24" s="277" t="s">
        <v>318</v>
      </c>
      <c r="F24" s="282">
        <v>16815</v>
      </c>
      <c r="G24" s="279">
        <v>0</v>
      </c>
      <c r="H24" s="283"/>
      <c r="I24" s="281" t="s">
        <v>319</v>
      </c>
      <c r="J24" s="281" t="s">
        <v>319</v>
      </c>
      <c r="K24" s="279">
        <v>0</v>
      </c>
      <c r="L24" s="279">
        <v>0</v>
      </c>
      <c r="M24" s="279">
        <v>0</v>
      </c>
      <c r="N24" s="282">
        <v>16815</v>
      </c>
      <c r="O24" s="282">
        <v>16815</v>
      </c>
      <c r="P24" s="283"/>
    </row>
    <row r="25" spans="1:16">
      <c r="A25" s="275">
        <v>8896</v>
      </c>
      <c r="B25" s="286" t="s">
        <v>340</v>
      </c>
      <c r="C25" s="277" t="s">
        <v>343</v>
      </c>
      <c r="D25" s="278" t="s">
        <v>317</v>
      </c>
      <c r="E25" s="277" t="s">
        <v>318</v>
      </c>
      <c r="F25" s="282">
        <v>1895</v>
      </c>
      <c r="G25" s="282">
        <v>2305</v>
      </c>
      <c r="H25" s="283"/>
      <c r="I25" s="281" t="s">
        <v>319</v>
      </c>
      <c r="J25" s="281" t="s">
        <v>319</v>
      </c>
      <c r="K25" s="279">
        <v>0</v>
      </c>
      <c r="L25" s="279">
        <v>0</v>
      </c>
      <c r="M25" s="279">
        <v>0</v>
      </c>
      <c r="N25" s="282">
        <v>4200</v>
      </c>
      <c r="O25" s="282">
        <v>4200</v>
      </c>
      <c r="P25" s="283"/>
    </row>
    <row r="26" spans="1:16">
      <c r="A26" s="275">
        <v>8943</v>
      </c>
      <c r="B26" s="286" t="s">
        <v>340</v>
      </c>
      <c r="C26" s="277" t="s">
        <v>344</v>
      </c>
      <c r="D26" s="278" t="s">
        <v>317</v>
      </c>
      <c r="E26" s="277" t="s">
        <v>318</v>
      </c>
      <c r="F26" s="282">
        <v>6723</v>
      </c>
      <c r="G26" s="279">
        <v>0</v>
      </c>
      <c r="H26" s="283"/>
      <c r="I26" s="281" t="s">
        <v>319</v>
      </c>
      <c r="J26" s="281" t="s">
        <v>319</v>
      </c>
      <c r="K26" s="279">
        <v>0</v>
      </c>
      <c r="L26" s="279">
        <v>0</v>
      </c>
      <c r="M26" s="279">
        <v>0</v>
      </c>
      <c r="N26" s="282">
        <v>6723</v>
      </c>
      <c r="O26" s="282">
        <v>6723</v>
      </c>
      <c r="P26" s="283"/>
    </row>
    <row r="27" spans="1:16">
      <c r="A27" s="275">
        <v>8988</v>
      </c>
      <c r="B27" s="286" t="s">
        <v>340</v>
      </c>
      <c r="C27" s="277" t="s">
        <v>345</v>
      </c>
      <c r="D27" s="278" t="s">
        <v>317</v>
      </c>
      <c r="E27" s="277" t="s">
        <v>318</v>
      </c>
      <c r="F27" s="279">
        <v>0</v>
      </c>
      <c r="G27" s="279">
        <v>0</v>
      </c>
      <c r="H27" s="283"/>
      <c r="I27" s="281" t="s">
        <v>319</v>
      </c>
      <c r="J27" s="281" t="s">
        <v>319</v>
      </c>
      <c r="K27" s="279">
        <v>0</v>
      </c>
      <c r="L27" s="279">
        <v>0</v>
      </c>
      <c r="M27" s="279">
        <v>0</v>
      </c>
      <c r="N27" s="279">
        <v>0</v>
      </c>
      <c r="O27" s="279">
        <v>0</v>
      </c>
      <c r="P27" s="283"/>
    </row>
    <row r="28" spans="1:16">
      <c r="A28" s="275">
        <v>8989</v>
      </c>
      <c r="B28" s="286" t="s">
        <v>340</v>
      </c>
      <c r="C28" s="277" t="s">
        <v>346</v>
      </c>
      <c r="D28" s="278" t="s">
        <v>317</v>
      </c>
      <c r="E28" s="277" t="s">
        <v>318</v>
      </c>
      <c r="F28" s="279">
        <v>388</v>
      </c>
      <c r="G28" s="279">
        <v>0</v>
      </c>
      <c r="H28" s="283"/>
      <c r="I28" s="281" t="s">
        <v>319</v>
      </c>
      <c r="J28" s="281" t="s">
        <v>319</v>
      </c>
      <c r="K28" s="279">
        <v>0</v>
      </c>
      <c r="L28" s="279">
        <v>388</v>
      </c>
      <c r="M28" s="279">
        <v>0</v>
      </c>
      <c r="N28" s="279">
        <v>0</v>
      </c>
      <c r="O28" s="279">
        <v>0</v>
      </c>
      <c r="P28" s="283"/>
    </row>
    <row r="29" spans="1:16">
      <c r="A29" s="275">
        <v>8990</v>
      </c>
      <c r="B29" s="286" t="s">
        <v>340</v>
      </c>
      <c r="C29" s="277" t="s">
        <v>347</v>
      </c>
      <c r="D29" s="278" t="s">
        <v>317</v>
      </c>
      <c r="E29" s="277" t="s">
        <v>318</v>
      </c>
      <c r="F29" s="282">
        <v>2203</v>
      </c>
      <c r="G29" s="279">
        <v>0</v>
      </c>
      <c r="H29" s="283"/>
      <c r="I29" s="281" t="s">
        <v>319</v>
      </c>
      <c r="J29" s="281" t="s">
        <v>319</v>
      </c>
      <c r="K29" s="279">
        <v>0</v>
      </c>
      <c r="L29" s="282">
        <v>2203</v>
      </c>
      <c r="M29" s="279">
        <v>0</v>
      </c>
      <c r="N29" s="279">
        <v>0</v>
      </c>
      <c r="O29" s="279">
        <v>0</v>
      </c>
      <c r="P29" s="283"/>
    </row>
    <row r="30" spans="1:16">
      <c r="A30" s="275">
        <v>8991</v>
      </c>
      <c r="B30" s="286" t="s">
        <v>340</v>
      </c>
      <c r="C30" s="277" t="s">
        <v>348</v>
      </c>
      <c r="D30" s="278" t="s">
        <v>317</v>
      </c>
      <c r="E30" s="277" t="s">
        <v>318</v>
      </c>
      <c r="F30" s="279">
        <v>0</v>
      </c>
      <c r="G30" s="279">
        <v>0</v>
      </c>
      <c r="H30" s="283"/>
      <c r="I30" s="281" t="s">
        <v>319</v>
      </c>
      <c r="J30" s="281" t="s">
        <v>319</v>
      </c>
      <c r="K30" s="279">
        <v>0</v>
      </c>
      <c r="L30" s="279">
        <v>0</v>
      </c>
      <c r="M30" s="279">
        <v>0</v>
      </c>
      <c r="N30" s="279">
        <v>0</v>
      </c>
      <c r="O30" s="279">
        <v>0</v>
      </c>
      <c r="P30" s="283"/>
    </row>
    <row r="31" spans="1:16">
      <c r="A31" s="275">
        <v>8992</v>
      </c>
      <c r="B31" s="286" t="s">
        <v>340</v>
      </c>
      <c r="C31" s="277" t="s">
        <v>349</v>
      </c>
      <c r="D31" s="278" t="s">
        <v>317</v>
      </c>
      <c r="E31" s="277" t="s">
        <v>318</v>
      </c>
      <c r="F31" s="282">
        <v>4924</v>
      </c>
      <c r="G31" s="279">
        <v>0</v>
      </c>
      <c r="H31" s="283"/>
      <c r="I31" s="281" t="s">
        <v>319</v>
      </c>
      <c r="J31" s="281" t="s">
        <v>319</v>
      </c>
      <c r="K31" s="279">
        <v>0</v>
      </c>
      <c r="L31" s="282">
        <v>4924</v>
      </c>
      <c r="M31" s="279">
        <v>0</v>
      </c>
      <c r="N31" s="279">
        <v>0</v>
      </c>
      <c r="O31" s="279">
        <v>0</v>
      </c>
      <c r="P31" s="283"/>
    </row>
    <row r="32" spans="1:16">
      <c r="A32" s="275">
        <v>8993</v>
      </c>
      <c r="B32" s="286" t="s">
        <v>340</v>
      </c>
      <c r="C32" s="277" t="s">
        <v>350</v>
      </c>
      <c r="D32" s="278" t="s">
        <v>317</v>
      </c>
      <c r="E32" s="277" t="s">
        <v>318</v>
      </c>
      <c r="F32" s="279">
        <v>0</v>
      </c>
      <c r="G32" s="282">
        <v>1965</v>
      </c>
      <c r="H32" s="283"/>
      <c r="I32" s="281" t="s">
        <v>319</v>
      </c>
      <c r="J32" s="281" t="s">
        <v>319</v>
      </c>
      <c r="K32" s="279">
        <v>0</v>
      </c>
      <c r="L32" s="282">
        <v>1965</v>
      </c>
      <c r="M32" s="279">
        <v>0</v>
      </c>
      <c r="N32" s="279">
        <v>0</v>
      </c>
      <c r="O32" s="279">
        <v>0</v>
      </c>
      <c r="P32" s="283"/>
    </row>
    <row r="33" spans="1:16">
      <c r="A33" s="275">
        <v>8995</v>
      </c>
      <c r="B33" s="286" t="s">
        <v>340</v>
      </c>
      <c r="C33" s="277" t="s">
        <v>351</v>
      </c>
      <c r="D33" s="278" t="s">
        <v>317</v>
      </c>
      <c r="E33" s="277" t="s">
        <v>318</v>
      </c>
      <c r="F33" s="279">
        <v>0</v>
      </c>
      <c r="G33" s="279">
        <v>0</v>
      </c>
      <c r="H33" s="283"/>
      <c r="I33" s="281" t="s">
        <v>319</v>
      </c>
      <c r="J33" s="281" t="s">
        <v>319</v>
      </c>
      <c r="K33" s="279">
        <v>0</v>
      </c>
      <c r="L33" s="279">
        <v>0</v>
      </c>
      <c r="M33" s="279">
        <v>0</v>
      </c>
      <c r="N33" s="279">
        <v>0</v>
      </c>
      <c r="O33" s="279">
        <v>0</v>
      </c>
      <c r="P33" s="283"/>
    </row>
    <row r="34" spans="1:16">
      <c r="A34" s="275">
        <v>9030</v>
      </c>
      <c r="B34" s="286" t="s">
        <v>340</v>
      </c>
      <c r="C34" s="277" t="s">
        <v>352</v>
      </c>
      <c r="D34" s="278" t="s">
        <v>317</v>
      </c>
      <c r="E34" s="277" t="s">
        <v>318</v>
      </c>
      <c r="F34" s="279">
        <v>0</v>
      </c>
      <c r="G34" s="279">
        <v>0</v>
      </c>
      <c r="H34" s="283"/>
      <c r="I34" s="281" t="s">
        <v>319</v>
      </c>
      <c r="J34" s="281" t="s">
        <v>319</v>
      </c>
      <c r="K34" s="279">
        <v>0</v>
      </c>
      <c r="L34" s="279">
        <v>0</v>
      </c>
      <c r="M34" s="279">
        <v>0</v>
      </c>
      <c r="N34" s="279">
        <v>0</v>
      </c>
      <c r="O34" s="279">
        <v>0</v>
      </c>
      <c r="P34" s="283"/>
    </row>
    <row r="35" spans="1:16">
      <c r="A35" s="275">
        <v>9996</v>
      </c>
      <c r="B35" s="286" t="s">
        <v>340</v>
      </c>
      <c r="C35" s="277" t="s">
        <v>353</v>
      </c>
      <c r="D35" s="278" t="s">
        <v>317</v>
      </c>
      <c r="E35" s="277" t="s">
        <v>318</v>
      </c>
      <c r="F35" s="282">
        <v>529837</v>
      </c>
      <c r="G35" s="282">
        <v>12436</v>
      </c>
      <c r="H35" s="283"/>
      <c r="I35" s="281" t="s">
        <v>319</v>
      </c>
      <c r="J35" s="281" t="s">
        <v>319</v>
      </c>
      <c r="K35" s="279">
        <v>0</v>
      </c>
      <c r="L35" s="279">
        <v>0</v>
      </c>
      <c r="M35" s="279">
        <v>0</v>
      </c>
      <c r="N35" s="282">
        <v>542273</v>
      </c>
      <c r="O35" s="282">
        <v>542273</v>
      </c>
      <c r="P35" s="283"/>
    </row>
    <row r="36" spans="1:16">
      <c r="A36" s="275">
        <v>10061</v>
      </c>
      <c r="B36" s="286" t="s">
        <v>340</v>
      </c>
      <c r="C36" s="277" t="s">
        <v>354</v>
      </c>
      <c r="D36" s="278" t="s">
        <v>317</v>
      </c>
      <c r="E36" s="277" t="s">
        <v>318</v>
      </c>
      <c r="F36" s="282">
        <v>180451</v>
      </c>
      <c r="G36" s="282">
        <v>12209</v>
      </c>
      <c r="H36" s="283"/>
      <c r="I36" s="281" t="s">
        <v>319</v>
      </c>
      <c r="J36" s="281" t="s">
        <v>319</v>
      </c>
      <c r="K36" s="279">
        <v>0</v>
      </c>
      <c r="L36" s="279">
        <v>0</v>
      </c>
      <c r="M36" s="279">
        <v>0</v>
      </c>
      <c r="N36" s="282">
        <v>192660</v>
      </c>
      <c r="O36" s="282">
        <v>192660</v>
      </c>
      <c r="P36" s="283"/>
    </row>
    <row r="37" spans="1:16">
      <c r="A37" s="275">
        <v>10062</v>
      </c>
      <c r="B37" s="286" t="s">
        <v>340</v>
      </c>
      <c r="C37" s="277" t="s">
        <v>355</v>
      </c>
      <c r="D37" s="278" t="s">
        <v>317</v>
      </c>
      <c r="E37" s="277" t="s">
        <v>318</v>
      </c>
      <c r="F37" s="282">
        <v>260496</v>
      </c>
      <c r="G37" s="282">
        <v>17136</v>
      </c>
      <c r="H37" s="283"/>
      <c r="I37" s="281" t="s">
        <v>319</v>
      </c>
      <c r="J37" s="281" t="s">
        <v>319</v>
      </c>
      <c r="K37" s="279">
        <v>0</v>
      </c>
      <c r="L37" s="279">
        <v>0</v>
      </c>
      <c r="M37" s="282">
        <v>-277632</v>
      </c>
      <c r="N37" s="279">
        <v>0</v>
      </c>
      <c r="O37" s="279">
        <v>0</v>
      </c>
      <c r="P37" s="283"/>
    </row>
    <row r="38" spans="1:16">
      <c r="A38" s="275">
        <v>10171</v>
      </c>
      <c r="B38" s="286" t="s">
        <v>340</v>
      </c>
      <c r="C38" s="277" t="s">
        <v>356</v>
      </c>
      <c r="D38" s="278" t="s">
        <v>317</v>
      </c>
      <c r="E38" s="277" t="s">
        <v>318</v>
      </c>
      <c r="F38" s="279">
        <v>0</v>
      </c>
      <c r="G38" s="279">
        <v>0</v>
      </c>
      <c r="H38" s="283"/>
      <c r="I38" s="281" t="s">
        <v>319</v>
      </c>
      <c r="J38" s="281" t="s">
        <v>319</v>
      </c>
      <c r="K38" s="279">
        <v>0</v>
      </c>
      <c r="L38" s="279">
        <v>0</v>
      </c>
      <c r="M38" s="279">
        <v>0</v>
      </c>
      <c r="N38" s="279">
        <v>0</v>
      </c>
      <c r="O38" s="279">
        <v>0</v>
      </c>
      <c r="P38" s="283"/>
    </row>
    <row r="39" spans="1:16">
      <c r="A39" s="275">
        <v>10297</v>
      </c>
      <c r="B39" s="286" t="s">
        <v>340</v>
      </c>
      <c r="C39" s="277" t="s">
        <v>357</v>
      </c>
      <c r="D39" s="278" t="s">
        <v>317</v>
      </c>
      <c r="E39" s="277" t="s">
        <v>318</v>
      </c>
      <c r="F39" s="282">
        <v>94478</v>
      </c>
      <c r="G39" s="282">
        <v>3628</v>
      </c>
      <c r="H39" s="283"/>
      <c r="I39" s="281" t="s">
        <v>319</v>
      </c>
      <c r="J39" s="281" t="s">
        <v>319</v>
      </c>
      <c r="K39" s="279">
        <v>0</v>
      </c>
      <c r="L39" s="279">
        <v>0</v>
      </c>
      <c r="M39" s="279">
        <v>0</v>
      </c>
      <c r="N39" s="282">
        <v>98106</v>
      </c>
      <c r="O39" s="282">
        <v>98106</v>
      </c>
      <c r="P39" s="283"/>
    </row>
    <row r="40" spans="1:16">
      <c r="A40" s="275">
        <v>10401</v>
      </c>
      <c r="B40" s="286" t="s">
        <v>340</v>
      </c>
      <c r="C40" s="277" t="s">
        <v>358</v>
      </c>
      <c r="D40" s="278" t="s">
        <v>317</v>
      </c>
      <c r="E40" s="277" t="s">
        <v>318</v>
      </c>
      <c r="F40" s="282">
        <v>855214</v>
      </c>
      <c r="G40" s="282">
        <v>109771</v>
      </c>
      <c r="H40" s="283"/>
      <c r="I40" s="281" t="s">
        <v>319</v>
      </c>
      <c r="J40" s="281" t="s">
        <v>319</v>
      </c>
      <c r="K40" s="279">
        <v>0</v>
      </c>
      <c r="L40" s="279">
        <v>0</v>
      </c>
      <c r="M40" s="279">
        <v>0</v>
      </c>
      <c r="N40" s="282">
        <v>964985</v>
      </c>
      <c r="O40" s="282">
        <v>964985</v>
      </c>
      <c r="P40" s="283"/>
    </row>
    <row r="41" spans="1:16">
      <c r="A41" s="275">
        <v>100104</v>
      </c>
      <c r="B41" s="287" t="s">
        <v>359</v>
      </c>
      <c r="C41" s="277" t="s">
        <v>321</v>
      </c>
      <c r="D41" s="278" t="s">
        <v>317</v>
      </c>
      <c r="E41" s="277" t="s">
        <v>318</v>
      </c>
      <c r="F41" s="282">
        <v>16655</v>
      </c>
      <c r="G41" s="279">
        <v>0</v>
      </c>
      <c r="H41" s="284">
        <v>3331</v>
      </c>
      <c r="I41" s="281" t="s">
        <v>319</v>
      </c>
      <c r="J41" s="281" t="s">
        <v>319</v>
      </c>
      <c r="K41" s="279">
        <v>0</v>
      </c>
      <c r="L41" s="279">
        <v>0</v>
      </c>
      <c r="M41" s="279">
        <v>0</v>
      </c>
      <c r="N41" s="282">
        <v>13324</v>
      </c>
      <c r="O41" s="282">
        <v>13324</v>
      </c>
      <c r="P41" s="283"/>
    </row>
    <row r="42" spans="1:16">
      <c r="A42" s="275">
        <v>100106</v>
      </c>
      <c r="B42" s="287" t="s">
        <v>359</v>
      </c>
      <c r="C42" s="277" t="s">
        <v>360</v>
      </c>
      <c r="D42" s="278" t="s">
        <v>317</v>
      </c>
      <c r="E42" s="277" t="s">
        <v>318</v>
      </c>
      <c r="F42" s="279">
        <v>0</v>
      </c>
      <c r="G42" s="279">
        <v>0</v>
      </c>
      <c r="H42" s="283"/>
      <c r="I42" s="281" t="s">
        <v>319</v>
      </c>
      <c r="J42" s="281" t="s">
        <v>319</v>
      </c>
      <c r="K42" s="279">
        <v>0</v>
      </c>
      <c r="L42" s="279">
        <v>0</v>
      </c>
      <c r="M42" s="279">
        <v>0</v>
      </c>
      <c r="N42" s="279">
        <v>0</v>
      </c>
      <c r="O42" s="279">
        <v>0</v>
      </c>
      <c r="P42" s="283"/>
    </row>
    <row r="43" spans="1:16">
      <c r="A43" s="275">
        <v>100136</v>
      </c>
      <c r="B43" s="287" t="s">
        <v>359</v>
      </c>
      <c r="C43" s="277" t="s">
        <v>361</v>
      </c>
      <c r="D43" s="278" t="s">
        <v>317</v>
      </c>
      <c r="E43" s="277" t="s">
        <v>318</v>
      </c>
      <c r="F43" s="282">
        <v>758078</v>
      </c>
      <c r="G43" s="279">
        <v>0</v>
      </c>
      <c r="H43" s="284">
        <v>151615</v>
      </c>
      <c r="I43" s="281" t="s">
        <v>319</v>
      </c>
      <c r="J43" s="281" t="s">
        <v>319</v>
      </c>
      <c r="K43" s="279">
        <v>0</v>
      </c>
      <c r="L43" s="279">
        <v>0</v>
      </c>
      <c r="M43" s="279">
        <v>0</v>
      </c>
      <c r="N43" s="282">
        <v>606463</v>
      </c>
      <c r="O43" s="282">
        <v>606463</v>
      </c>
      <c r="P43" s="283"/>
    </row>
    <row r="44" spans="1:16" ht="31.2">
      <c r="A44" s="275">
        <v>100217</v>
      </c>
      <c r="B44" s="287" t="s">
        <v>359</v>
      </c>
      <c r="C44" s="277" t="s">
        <v>362</v>
      </c>
      <c r="D44" s="278" t="s">
        <v>317</v>
      </c>
      <c r="E44" s="277" t="s">
        <v>318</v>
      </c>
      <c r="F44" s="279">
        <v>0</v>
      </c>
      <c r="G44" s="279">
        <v>0</v>
      </c>
      <c r="H44" s="283"/>
      <c r="I44" s="281" t="s">
        <v>319</v>
      </c>
      <c r="J44" s="281" t="s">
        <v>319</v>
      </c>
      <c r="K44" s="279">
        <v>0</v>
      </c>
      <c r="L44" s="279">
        <v>0</v>
      </c>
      <c r="M44" s="279">
        <v>0</v>
      </c>
      <c r="N44" s="279">
        <v>0</v>
      </c>
      <c r="O44" s="279">
        <v>0</v>
      </c>
      <c r="P44" s="283"/>
    </row>
    <row r="45" spans="1:16">
      <c r="A45" s="275">
        <v>100254</v>
      </c>
      <c r="B45" s="287" t="s">
        <v>359</v>
      </c>
      <c r="C45" s="277" t="s">
        <v>363</v>
      </c>
      <c r="D45" s="278" t="s">
        <v>317</v>
      </c>
      <c r="E45" s="277" t="s">
        <v>318</v>
      </c>
      <c r="F45" s="279">
        <v>0</v>
      </c>
      <c r="G45" s="279">
        <v>0</v>
      </c>
      <c r="H45" s="283"/>
      <c r="I45" s="281" t="s">
        <v>319</v>
      </c>
      <c r="J45" s="281" t="s">
        <v>319</v>
      </c>
      <c r="K45" s="279">
        <v>0</v>
      </c>
      <c r="L45" s="279">
        <v>0</v>
      </c>
      <c r="M45" s="279">
        <v>0</v>
      </c>
      <c r="N45" s="279">
        <v>0</v>
      </c>
      <c r="O45" s="279">
        <v>0</v>
      </c>
      <c r="P45" s="283"/>
    </row>
    <row r="46" spans="1:16">
      <c r="A46" s="275">
        <v>100290</v>
      </c>
      <c r="B46" s="287" t="s">
        <v>359</v>
      </c>
      <c r="C46" s="277" t="s">
        <v>364</v>
      </c>
      <c r="D46" s="278" t="s">
        <v>317</v>
      </c>
      <c r="E46" s="277" t="s">
        <v>318</v>
      </c>
      <c r="F46" s="279">
        <v>0</v>
      </c>
      <c r="G46" s="279">
        <v>0</v>
      </c>
      <c r="H46" s="283"/>
      <c r="I46" s="281" t="s">
        <v>319</v>
      </c>
      <c r="J46" s="281" t="s">
        <v>319</v>
      </c>
      <c r="K46" s="279">
        <v>0</v>
      </c>
      <c r="L46" s="279">
        <v>0</v>
      </c>
      <c r="M46" s="282">
        <v>1193</v>
      </c>
      <c r="N46" s="282">
        <v>1193</v>
      </c>
      <c r="O46" s="282">
        <v>1193</v>
      </c>
      <c r="P46" s="283"/>
    </row>
    <row r="47" spans="1:16">
      <c r="A47" s="275">
        <v>100307</v>
      </c>
      <c r="B47" s="287" t="s">
        <v>359</v>
      </c>
      <c r="C47" s="277" t="s">
        <v>365</v>
      </c>
      <c r="D47" s="278" t="s">
        <v>317</v>
      </c>
      <c r="E47" s="277" t="s">
        <v>318</v>
      </c>
      <c r="F47" s="279">
        <v>351</v>
      </c>
      <c r="G47" s="279">
        <v>0</v>
      </c>
      <c r="H47" s="280">
        <v>70</v>
      </c>
      <c r="I47" s="281" t="s">
        <v>319</v>
      </c>
      <c r="J47" s="281" t="s">
        <v>319</v>
      </c>
      <c r="K47" s="279">
        <v>0</v>
      </c>
      <c r="L47" s="279">
        <v>0</v>
      </c>
      <c r="M47" s="279">
        <v>0</v>
      </c>
      <c r="N47" s="279">
        <v>281</v>
      </c>
      <c r="O47" s="279">
        <v>281</v>
      </c>
      <c r="P47" s="283"/>
    </row>
    <row r="48" spans="1:16">
      <c r="A48" s="275">
        <v>100308</v>
      </c>
      <c r="B48" s="287" t="s">
        <v>359</v>
      </c>
      <c r="C48" s="277" t="s">
        <v>366</v>
      </c>
      <c r="D48" s="278" t="s">
        <v>317</v>
      </c>
      <c r="E48" s="277" t="s">
        <v>318</v>
      </c>
      <c r="F48" s="279">
        <v>821</v>
      </c>
      <c r="G48" s="279">
        <v>0</v>
      </c>
      <c r="H48" s="280">
        <v>164</v>
      </c>
      <c r="I48" s="281" t="s">
        <v>319</v>
      </c>
      <c r="J48" s="281" t="s">
        <v>319</v>
      </c>
      <c r="K48" s="279">
        <v>0</v>
      </c>
      <c r="L48" s="279">
        <v>0</v>
      </c>
      <c r="M48" s="279">
        <v>0</v>
      </c>
      <c r="N48" s="279">
        <v>657</v>
      </c>
      <c r="O48" s="279">
        <v>657</v>
      </c>
      <c r="P48" s="283"/>
    </row>
    <row r="49" spans="1:16">
      <c r="A49" s="275">
        <v>100553</v>
      </c>
      <c r="B49" s="287" t="s">
        <v>359</v>
      </c>
      <c r="C49" s="277" t="s">
        <v>367</v>
      </c>
      <c r="D49" s="278" t="s">
        <v>317</v>
      </c>
      <c r="E49" s="277" t="s">
        <v>318</v>
      </c>
      <c r="F49" s="282">
        <v>73145</v>
      </c>
      <c r="G49" s="279">
        <v>0</v>
      </c>
      <c r="H49" s="284">
        <v>14629</v>
      </c>
      <c r="I49" s="281" t="s">
        <v>319</v>
      </c>
      <c r="J49" s="281" t="s">
        <v>319</v>
      </c>
      <c r="K49" s="279">
        <v>0</v>
      </c>
      <c r="L49" s="279">
        <v>0</v>
      </c>
      <c r="M49" s="279">
        <v>0</v>
      </c>
      <c r="N49" s="282">
        <v>58516</v>
      </c>
      <c r="O49" s="282">
        <v>58516</v>
      </c>
      <c r="P49" s="283"/>
    </row>
    <row r="50" spans="1:16">
      <c r="A50" s="275">
        <v>100594</v>
      </c>
      <c r="B50" s="287" t="s">
        <v>359</v>
      </c>
      <c r="C50" s="277" t="s">
        <v>368</v>
      </c>
      <c r="D50" s="278" t="s">
        <v>317</v>
      </c>
      <c r="E50" s="277" t="s">
        <v>318</v>
      </c>
      <c r="F50" s="282">
        <v>38590</v>
      </c>
      <c r="G50" s="279">
        <v>0</v>
      </c>
      <c r="H50" s="284">
        <v>7718</v>
      </c>
      <c r="I50" s="281" t="s">
        <v>319</v>
      </c>
      <c r="J50" s="281" t="s">
        <v>319</v>
      </c>
      <c r="K50" s="279">
        <v>0</v>
      </c>
      <c r="L50" s="279">
        <v>0</v>
      </c>
      <c r="M50" s="279">
        <v>0</v>
      </c>
      <c r="N50" s="282">
        <v>30872</v>
      </c>
      <c r="O50" s="282">
        <v>30872</v>
      </c>
      <c r="P50" s="283"/>
    </row>
    <row r="51" spans="1:16">
      <c r="A51" s="275">
        <v>0</v>
      </c>
      <c r="B51" s="286" t="s">
        <v>340</v>
      </c>
      <c r="C51" s="277" t="s">
        <v>372</v>
      </c>
      <c r="D51" s="288" t="s">
        <v>369</v>
      </c>
      <c r="E51" s="277" t="s">
        <v>318</v>
      </c>
      <c r="F51" s="279">
        <v>0</v>
      </c>
      <c r="G51" s="279">
        <v>0</v>
      </c>
      <c r="H51" s="283"/>
      <c r="I51" s="281" t="s">
        <v>319</v>
      </c>
      <c r="J51" s="281" t="s">
        <v>319</v>
      </c>
      <c r="K51" s="279">
        <v>0</v>
      </c>
      <c r="L51" s="279">
        <v>0</v>
      </c>
      <c r="M51" s="279">
        <v>0</v>
      </c>
      <c r="N51" s="279">
        <v>0</v>
      </c>
      <c r="O51" s="279">
        <v>0</v>
      </c>
      <c r="P51" s="283"/>
    </row>
    <row r="52" spans="1:16">
      <c r="A52" s="275">
        <v>0</v>
      </c>
      <c r="B52" s="286" t="s">
        <v>340</v>
      </c>
      <c r="C52" s="277" t="s">
        <v>373</v>
      </c>
      <c r="D52" s="288" t="s">
        <v>369</v>
      </c>
      <c r="E52" s="277" t="s">
        <v>318</v>
      </c>
      <c r="F52" s="282">
        <v>20237</v>
      </c>
      <c r="G52" s="279">
        <v>0</v>
      </c>
      <c r="H52" s="283"/>
      <c r="I52" s="281" t="s">
        <v>319</v>
      </c>
      <c r="J52" s="281" t="s">
        <v>319</v>
      </c>
      <c r="K52" s="279">
        <v>0</v>
      </c>
      <c r="L52" s="279">
        <v>0</v>
      </c>
      <c r="M52" s="279">
        <v>0</v>
      </c>
      <c r="N52" s="282">
        <v>20237</v>
      </c>
      <c r="O52" s="282">
        <v>20237</v>
      </c>
      <c r="P52" s="283"/>
    </row>
    <row r="53" spans="1:16">
      <c r="A53" s="275">
        <v>0</v>
      </c>
      <c r="B53" s="286" t="s">
        <v>340</v>
      </c>
      <c r="C53" s="277" t="s">
        <v>374</v>
      </c>
      <c r="D53" s="288" t="s">
        <v>369</v>
      </c>
      <c r="E53" s="277" t="s">
        <v>318</v>
      </c>
      <c r="F53" s="279">
        <v>0</v>
      </c>
      <c r="G53" s="279">
        <v>0</v>
      </c>
      <c r="H53" s="283"/>
      <c r="I53" s="281" t="s">
        <v>319</v>
      </c>
      <c r="J53" s="281" t="s">
        <v>319</v>
      </c>
      <c r="K53" s="279">
        <v>0</v>
      </c>
      <c r="L53" s="279">
        <v>0</v>
      </c>
      <c r="M53" s="279">
        <v>0</v>
      </c>
      <c r="N53" s="279">
        <v>0</v>
      </c>
      <c r="O53" s="279">
        <v>0</v>
      </c>
      <c r="P53" s="283"/>
    </row>
    <row r="54" spans="1:16">
      <c r="A54" s="275">
        <v>0</v>
      </c>
      <c r="B54" s="286" t="s">
        <v>340</v>
      </c>
      <c r="C54" s="277" t="s">
        <v>375</v>
      </c>
      <c r="D54" s="288" t="s">
        <v>369</v>
      </c>
      <c r="E54" s="277" t="s">
        <v>318</v>
      </c>
      <c r="F54" s="279">
        <v>139</v>
      </c>
      <c r="G54" s="279">
        <v>0</v>
      </c>
      <c r="H54" s="283"/>
      <c r="I54" s="281" t="s">
        <v>319</v>
      </c>
      <c r="J54" s="281" t="s">
        <v>319</v>
      </c>
      <c r="K54" s="279">
        <v>0</v>
      </c>
      <c r="L54" s="279">
        <v>0</v>
      </c>
      <c r="M54" s="279">
        <v>0</v>
      </c>
      <c r="N54" s="279">
        <v>139</v>
      </c>
      <c r="O54" s="279">
        <v>139</v>
      </c>
      <c r="P54" s="283"/>
    </row>
    <row r="55" spans="1:16">
      <c r="A55" s="305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7"/>
    </row>
    <row r="57" spans="1:16">
      <c r="N57" s="290">
        <f>SUM(N2:N54)</f>
        <v>3335368</v>
      </c>
    </row>
  </sheetData>
  <mergeCells count="1">
    <mergeCell ref="A55:P55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합계</vt:lpstr>
      <vt:lpstr>계정정보</vt:lpstr>
      <vt:lpstr>카카오페이지1</vt:lpstr>
      <vt:lpstr>카카오페이지2</vt:lpstr>
      <vt:lpstr>네이버웹툰1</vt:lpstr>
      <vt:lpstr>네이버웹툰2</vt:lpstr>
      <vt:lpstr>테크앤조이</vt:lpstr>
      <vt:lpstr>테크앤조이정산서</vt:lpstr>
      <vt:lpstr>키다리스튜디오</vt:lpstr>
      <vt:lpstr>키다리스튜디오정산서</vt:lpstr>
      <vt:lpstr>탑툰</vt:lpstr>
      <vt:lpstr>탑툰정산서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2019-07-05T08:56:44Z</cp:lastPrinted>
  <dcterms:created xsi:type="dcterms:W3CDTF">2018-09-06T02:47:59Z</dcterms:created>
  <dcterms:modified xsi:type="dcterms:W3CDTF">2022-02-08T05:51:42Z</dcterms:modified>
</cp:coreProperties>
</file>